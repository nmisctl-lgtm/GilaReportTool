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ocalProjects\GilaReportTool\data\"/>
    </mc:Choice>
  </mc:AlternateContent>
  <xr:revisionPtr revIDLastSave="0" documentId="13_ncr:1_{07143CFA-FD6F-49A1-9F13-88EC03B39E2D}" xr6:coauthVersionLast="47" xr6:coauthVersionMax="47" xr10:uidLastSave="{00000000-0000-0000-0000-000000000000}"/>
  <bookViews>
    <workbookView xWindow="-105" yWindow="0" windowWidth="24210" windowHeight="20985" tabRatio="758" firstSheet="4" activeTab="12" xr2:uid="{00000000-000D-0000-FFFF-FFFF00000000}"/>
  </bookViews>
  <sheets>
    <sheet name="GSAR_IA_2025" sheetId="9" r:id="rId1"/>
    <sheet name="GSCG_IA_2025" sheetId="8" r:id="rId2"/>
    <sheet name="GSGW_IA_2025" sheetId="7" r:id="rId3"/>
    <sheet name="GSLU_IA_2025" sheetId="6" r:id="rId4"/>
    <sheet name="GSRR_IA_2025" sheetId="4" r:id="rId5"/>
    <sheet name="GSRE_IA_2025" sheetId="5" r:id="rId6"/>
    <sheet name="GSUG_IA_2025" sheetId="3" r:id="rId7"/>
    <sheet name="VV_IA_2025" sheetId="1" r:id="rId8"/>
    <sheet name="SS_IA_2025" sheetId="2" r:id="rId9"/>
    <sheet name="Sheet1" sheetId="10" r:id="rId10"/>
    <sheet name="All" sheetId="11" r:id="rId11"/>
    <sheet name="Keys" sheetId="12" r:id="rId12"/>
    <sheet name="Stats" sheetId="13" r:id="rId13"/>
  </sheets>
  <externalReferences>
    <externalReference r:id="rId14"/>
  </externalReferences>
  <definedNames>
    <definedName name="_xlnm._FilterDatabase" localSheetId="10" hidden="1">All!$A$1:$L$3066</definedName>
    <definedName name="_xlnm._FilterDatabase" localSheetId="0" hidden="1">GSAR_IA_2025!$A$1:$AH$179</definedName>
    <definedName name="_xlnm._FilterDatabase" localSheetId="1" hidden="1">GSCG_IA_2025!$A$1:$AK$1107</definedName>
    <definedName name="_xlnm._FilterDatabase" localSheetId="2" hidden="1">GSGW_IA_2025!$A$1:$AJ$395</definedName>
    <definedName name="_xlnm._FilterDatabase" localSheetId="3" hidden="1">GSLU_IA_2025!$A$1:$AJ$274</definedName>
    <definedName name="_xlnm._FilterDatabase" localSheetId="5" hidden="1">GSRE_IA_2025!$A$1:$AJ$282</definedName>
    <definedName name="_xlnm._FilterDatabase" localSheetId="4" hidden="1">GSRR_IA_2025!$A$1:$AD$225</definedName>
    <definedName name="_xlnm._FilterDatabase" localSheetId="6" hidden="1">GSUG_IA_2025!$A$1:$AJ$131</definedName>
    <definedName name="_xlnm._FilterDatabase" localSheetId="8" hidden="1">SS_IA_2025!$A$1:$AJ$174</definedName>
    <definedName name="_xlnm._FilterDatabase" localSheetId="7" hidden="1">VV_IA_2025!$A$1:$AJ$306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0" i="13" l="1"/>
  <c r="AF40" i="13"/>
  <c r="AE41" i="13"/>
  <c r="AF41" i="13"/>
  <c r="AE42" i="13"/>
  <c r="AF42" i="13"/>
  <c r="AE43" i="13"/>
  <c r="AF43" i="13"/>
  <c r="AE44" i="13"/>
  <c r="AF44" i="13"/>
  <c r="AF39" i="13"/>
  <c r="AE39" i="13"/>
  <c r="AE5" i="13"/>
  <c r="AF5" i="13"/>
  <c r="AE6" i="13"/>
  <c r="AF6" i="13"/>
  <c r="AE7" i="13"/>
  <c r="AF7" i="13"/>
  <c r="AE8" i="13"/>
  <c r="AF8" i="13"/>
  <c r="AE9" i="13"/>
  <c r="AF9" i="13"/>
  <c r="AE10" i="13"/>
  <c r="AF10" i="13"/>
  <c r="AE11" i="13"/>
  <c r="AF11" i="13"/>
  <c r="AE12" i="13"/>
  <c r="AF12" i="13"/>
  <c r="AE13" i="13"/>
  <c r="AF13" i="13"/>
  <c r="AE14" i="13"/>
  <c r="AF14" i="13"/>
  <c r="AE15" i="13"/>
  <c r="AF15" i="13"/>
  <c r="AE16" i="13"/>
  <c r="AF16" i="13"/>
  <c r="AE17" i="13"/>
  <c r="AF17" i="13"/>
  <c r="AE18" i="13"/>
  <c r="AF18" i="13"/>
  <c r="AE19" i="13"/>
  <c r="AF19" i="13"/>
  <c r="AE20" i="13"/>
  <c r="AF20" i="13"/>
  <c r="AE21" i="13"/>
  <c r="AF21" i="13"/>
  <c r="AE22" i="13"/>
  <c r="AF22" i="13"/>
  <c r="AE23" i="13"/>
  <c r="AF23" i="13"/>
  <c r="AE24" i="13"/>
  <c r="AF24" i="13"/>
  <c r="AE25" i="13"/>
  <c r="AF25" i="13"/>
  <c r="AE26" i="13"/>
  <c r="AF26" i="13"/>
  <c r="AE27" i="13"/>
  <c r="AF27" i="13"/>
  <c r="AE28" i="13"/>
  <c r="AF28" i="13"/>
  <c r="AE29" i="13"/>
  <c r="AF29" i="13"/>
  <c r="AE30" i="13"/>
  <c r="AF30" i="13"/>
  <c r="AE31" i="13"/>
  <c r="AF31" i="13"/>
  <c r="AE32" i="13"/>
  <c r="AF32" i="13"/>
  <c r="AE33" i="13"/>
  <c r="AF33" i="13"/>
  <c r="AE34" i="13"/>
  <c r="AF34" i="13"/>
  <c r="AF4" i="13"/>
  <c r="AE4" i="13"/>
  <c r="AB40" i="13"/>
  <c r="AC40" i="13"/>
  <c r="AB41" i="13"/>
  <c r="AC41" i="13"/>
  <c r="AB42" i="13"/>
  <c r="AC42" i="13"/>
  <c r="AB43" i="13"/>
  <c r="AC43" i="13"/>
  <c r="AB44" i="13"/>
  <c r="AC44" i="13"/>
  <c r="AC39" i="13"/>
  <c r="AB39" i="13"/>
  <c r="Y40" i="13"/>
  <c r="Z40" i="13"/>
  <c r="Y41" i="13"/>
  <c r="Z41" i="13"/>
  <c r="Y42" i="13"/>
  <c r="Z42" i="13"/>
  <c r="Y43" i="13"/>
  <c r="Z43" i="13"/>
  <c r="Y44" i="13"/>
  <c r="Z44" i="13"/>
  <c r="Z39" i="13"/>
  <c r="Y39" i="13"/>
  <c r="V40" i="13"/>
  <c r="W40" i="13"/>
  <c r="V41" i="13"/>
  <c r="W41" i="13"/>
  <c r="V42" i="13"/>
  <c r="W42" i="13"/>
  <c r="V43" i="13"/>
  <c r="W43" i="13"/>
  <c r="V44" i="13"/>
  <c r="W44" i="13"/>
  <c r="W39" i="13"/>
  <c r="V39" i="13"/>
  <c r="S40" i="13"/>
  <c r="T40" i="13"/>
  <c r="S41" i="13"/>
  <c r="T41" i="13"/>
  <c r="S42" i="13"/>
  <c r="T42" i="13"/>
  <c r="S43" i="13"/>
  <c r="T43" i="13"/>
  <c r="S44" i="13"/>
  <c r="T44" i="13"/>
  <c r="T39" i="13"/>
  <c r="S39" i="13"/>
  <c r="Q39" i="13"/>
  <c r="Q40" i="13"/>
  <c r="Q41" i="13"/>
  <c r="Q42" i="13"/>
  <c r="Q43" i="13"/>
  <c r="Q44" i="13"/>
  <c r="P40" i="13"/>
  <c r="P41" i="13"/>
  <c r="P42" i="13"/>
  <c r="P43" i="13"/>
  <c r="P44" i="13"/>
  <c r="P39" i="13"/>
  <c r="N40" i="13"/>
  <c r="N41" i="13"/>
  <c r="N42" i="13"/>
  <c r="N43" i="13"/>
  <c r="N44" i="13"/>
  <c r="N39" i="13"/>
  <c r="M40" i="13"/>
  <c r="M41" i="13"/>
  <c r="M42" i="13"/>
  <c r="M43" i="13"/>
  <c r="M44" i="13"/>
  <c r="M39" i="13"/>
  <c r="K40" i="13"/>
  <c r="K41" i="13"/>
  <c r="K42" i="13"/>
  <c r="K43" i="13"/>
  <c r="K44" i="13"/>
  <c r="K39" i="13"/>
  <c r="H40" i="13"/>
  <c r="H41" i="13"/>
  <c r="H42" i="13"/>
  <c r="H43" i="13"/>
  <c r="H44" i="13"/>
  <c r="H39" i="13"/>
  <c r="G40" i="13"/>
  <c r="G41" i="13"/>
  <c r="G42" i="13"/>
  <c r="G43" i="13"/>
  <c r="G44" i="13"/>
  <c r="G39" i="13"/>
  <c r="J39" i="13"/>
  <c r="E41" i="13"/>
  <c r="E40" i="13"/>
  <c r="E42" i="13"/>
  <c r="E43" i="13"/>
  <c r="E44" i="13"/>
  <c r="E39" i="13"/>
  <c r="D40" i="13"/>
  <c r="D41" i="13"/>
  <c r="D42" i="13"/>
  <c r="D43" i="13"/>
  <c r="D44" i="13"/>
  <c r="D39" i="13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473" i="11"/>
  <c r="E1474" i="11"/>
  <c r="E1480" i="11"/>
  <c r="E1481" i="11"/>
  <c r="E1482" i="11"/>
  <c r="E1483" i="11"/>
  <c r="E1484" i="11"/>
  <c r="E1485" i="11"/>
  <c r="E1486" i="11"/>
  <c r="E1487" i="11"/>
  <c r="E1642" i="11"/>
  <c r="E1643" i="11"/>
  <c r="E1644" i="11"/>
  <c r="E1645" i="11"/>
  <c r="E1646" i="11"/>
  <c r="E1647" i="11"/>
  <c r="E1648" i="11"/>
  <c r="E1691" i="11"/>
  <c r="E1698" i="11"/>
  <c r="E1699" i="11"/>
  <c r="E2199" i="11"/>
  <c r="E2200" i="11"/>
  <c r="E2201" i="11"/>
  <c r="E2264" i="11"/>
  <c r="E2265" i="11"/>
  <c r="E2266" i="11"/>
  <c r="E2267" i="11"/>
  <c r="E2268" i="11"/>
  <c r="E2399" i="11"/>
  <c r="E2400" i="11"/>
  <c r="E2401" i="11"/>
  <c r="E2402" i="11"/>
  <c r="E2403" i="11"/>
  <c r="E2404" i="11"/>
  <c r="E2405" i="11"/>
  <c r="E2745" i="11"/>
  <c r="E2900" i="11"/>
  <c r="E2901" i="11"/>
  <c r="E2931" i="11"/>
  <c r="E2964" i="11"/>
  <c r="E2965" i="11"/>
  <c r="E2966" i="11"/>
  <c r="E2967" i="11"/>
  <c r="E2968" i="11"/>
  <c r="E2969" i="11"/>
  <c r="E2970" i="11"/>
  <c r="E2971" i="11"/>
  <c r="E2972" i="11"/>
  <c r="E2973" i="11"/>
  <c r="E2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08" i="11"/>
  <c r="E109" i="11"/>
  <c r="E127" i="11"/>
  <c r="E10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649" i="11"/>
  <c r="E1661" i="11"/>
  <c r="E1662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2202" i="11"/>
  <c r="E2203" i="11"/>
  <c r="E2406" i="11"/>
  <c r="E2407" i="11"/>
  <c r="E2408" i="11"/>
  <c r="E2409" i="11"/>
  <c r="E2410" i="11"/>
  <c r="E2411" i="11"/>
  <c r="E2412" i="11"/>
  <c r="E2413" i="11"/>
  <c r="E2414" i="11"/>
  <c r="E2415" i="11"/>
  <c r="E2416" i="11"/>
  <c r="E2417" i="11"/>
  <c r="E2418" i="11"/>
  <c r="E2419" i="11"/>
  <c r="E2420" i="11"/>
  <c r="E2421" i="11"/>
  <c r="E2422" i="11"/>
  <c r="E2423" i="11"/>
  <c r="E2424" i="11"/>
  <c r="E2425" i="11"/>
  <c r="E2426" i="11"/>
  <c r="E2427" i="11"/>
  <c r="E2428" i="11"/>
  <c r="E2429" i="11"/>
  <c r="E2430" i="11"/>
  <c r="E2431" i="11"/>
  <c r="E2432" i="11"/>
  <c r="E2433" i="11"/>
  <c r="E2434" i="11"/>
  <c r="E2435" i="11"/>
  <c r="E2436" i="11"/>
  <c r="E2437" i="11"/>
  <c r="E2438" i="11"/>
  <c r="E2444" i="11"/>
  <c r="E2445" i="11"/>
  <c r="E2446" i="11"/>
  <c r="E2447" i="11"/>
  <c r="E2448" i="11"/>
  <c r="E2439" i="11"/>
  <c r="E2440" i="11"/>
  <c r="E2441" i="11"/>
  <c r="E2442" i="11"/>
  <c r="E2443" i="11"/>
  <c r="E2700" i="11"/>
  <c r="E2746" i="11"/>
  <c r="E2747" i="11"/>
  <c r="E2748" i="11"/>
  <c r="E2749" i="11"/>
  <c r="E2750" i="11"/>
  <c r="E2805" i="11"/>
  <c r="E2806" i="11"/>
  <c r="E2807" i="11"/>
  <c r="E2808" i="11"/>
  <c r="E2902" i="11"/>
  <c r="E2903" i="11"/>
  <c r="E2904" i="11"/>
  <c r="E2905" i="11"/>
  <c r="E2906" i="11"/>
  <c r="E2932" i="11"/>
  <c r="E2933" i="11"/>
  <c r="E2934" i="11"/>
  <c r="E3040" i="11"/>
  <c r="E3041" i="11"/>
  <c r="E304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663" i="11"/>
  <c r="E49" i="11"/>
  <c r="E44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75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50" i="11"/>
  <c r="E1664" i="11"/>
  <c r="E1665" i="11"/>
  <c r="E1666" i="11"/>
  <c r="E1667" i="11"/>
  <c r="E1668" i="11"/>
  <c r="E1669" i="11"/>
  <c r="E1670" i="11"/>
  <c r="E1671" i="11"/>
  <c r="E1672" i="11"/>
  <c r="E1673" i="11"/>
  <c r="E1692" i="11"/>
  <c r="E1693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1" i="11"/>
  <c r="E1812" i="11"/>
  <c r="E1813" i="11"/>
  <c r="E1814" i="11"/>
  <c r="E1815" i="11"/>
  <c r="E1816" i="11"/>
  <c r="E1817" i="11"/>
  <c r="E1818" i="11"/>
  <c r="E1819" i="11"/>
  <c r="E1820" i="11"/>
  <c r="E1821" i="11"/>
  <c r="E1822" i="11"/>
  <c r="E1823" i="11"/>
  <c r="E1824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E1839" i="11"/>
  <c r="E1840" i="11"/>
  <c r="E1841" i="11"/>
  <c r="E1842" i="11"/>
  <c r="E1843" i="11"/>
  <c r="E1844" i="11"/>
  <c r="E1845" i="11"/>
  <c r="E1846" i="11"/>
  <c r="E1847" i="11"/>
  <c r="E1848" i="11"/>
  <c r="E1849" i="11"/>
  <c r="E1850" i="11"/>
  <c r="E1851" i="11"/>
  <c r="E1852" i="11"/>
  <c r="E1853" i="11"/>
  <c r="E1854" i="11"/>
  <c r="E1855" i="11"/>
  <c r="E1856" i="11"/>
  <c r="E1857" i="11"/>
  <c r="E1858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E1915" i="11"/>
  <c r="E1916" i="11"/>
  <c r="E1917" i="11"/>
  <c r="E1918" i="11"/>
  <c r="E1919" i="11"/>
  <c r="E1920" i="11"/>
  <c r="E1921" i="11"/>
  <c r="E1922" i="11"/>
  <c r="E1923" i="11"/>
  <c r="E1924" i="11"/>
  <c r="E1925" i="11"/>
  <c r="E1926" i="11"/>
  <c r="E1927" i="11"/>
  <c r="E2712" i="11"/>
  <c r="E2713" i="11"/>
  <c r="E2204" i="11"/>
  <c r="E2205" i="11"/>
  <c r="E2206" i="11"/>
  <c r="E2207" i="11"/>
  <c r="E2208" i="11"/>
  <c r="E2209" i="11"/>
  <c r="E2210" i="11"/>
  <c r="E2211" i="11"/>
  <c r="E2212" i="11"/>
  <c r="E2213" i="11"/>
  <c r="E2214" i="11"/>
  <c r="E2215" i="11"/>
  <c r="E2216" i="11"/>
  <c r="E2217" i="11"/>
  <c r="E2218" i="11"/>
  <c r="E2219" i="11"/>
  <c r="E2220" i="11"/>
  <c r="E2221" i="11"/>
  <c r="E2222" i="11"/>
  <c r="E2223" i="11"/>
  <c r="E2269" i="11"/>
  <c r="E2270" i="11"/>
  <c r="E2271" i="11"/>
  <c r="E2272" i="11"/>
  <c r="E2273" i="11"/>
  <c r="E2274" i="11"/>
  <c r="E2275" i="11"/>
  <c r="E2276" i="11"/>
  <c r="E2277" i="11"/>
  <c r="E2278" i="11"/>
  <c r="E2279" i="11"/>
  <c r="E2280" i="11"/>
  <c r="E2281" i="11"/>
  <c r="E2282" i="11"/>
  <c r="E2283" i="11"/>
  <c r="E2284" i="11"/>
  <c r="E2285" i="11"/>
  <c r="E2286" i="11"/>
  <c r="E2287" i="11"/>
  <c r="E2288" i="11"/>
  <c r="E2289" i="11"/>
  <c r="E2290" i="11"/>
  <c r="E2291" i="11"/>
  <c r="E2292" i="11"/>
  <c r="E2293" i="11"/>
  <c r="E2294" i="11"/>
  <c r="E2295" i="11"/>
  <c r="E2296" i="11"/>
  <c r="E2297" i="11"/>
  <c r="E2298" i="11"/>
  <c r="E2299" i="11"/>
  <c r="E2300" i="11"/>
  <c r="E2301" i="11"/>
  <c r="E2302" i="11"/>
  <c r="E2303" i="11"/>
  <c r="E2304" i="11"/>
  <c r="E2305" i="11"/>
  <c r="E2306" i="11"/>
  <c r="E2307" i="11"/>
  <c r="E2308" i="11"/>
  <c r="E2309" i="11"/>
  <c r="E2310" i="11"/>
  <c r="E2311" i="11"/>
  <c r="E2312" i="11"/>
  <c r="E2313" i="11"/>
  <c r="E2314" i="11"/>
  <c r="E2315" i="11"/>
  <c r="E2316" i="11"/>
  <c r="E2317" i="11"/>
  <c r="E2318" i="11"/>
  <c r="E2319" i="11"/>
  <c r="E2320" i="11"/>
  <c r="E2321" i="11"/>
  <c r="E2322" i="11"/>
  <c r="E2323" i="11"/>
  <c r="E2324" i="11"/>
  <c r="E2325" i="11"/>
  <c r="E2326" i="11"/>
  <c r="E2327" i="11"/>
  <c r="E2328" i="11"/>
  <c r="E2329" i="11"/>
  <c r="E2330" i="11"/>
  <c r="E2331" i="11"/>
  <c r="E2332" i="11"/>
  <c r="E2333" i="11"/>
  <c r="E2334" i="11"/>
  <c r="E2335" i="11"/>
  <c r="E2336" i="11"/>
  <c r="E2737" i="11"/>
  <c r="E2738" i="11"/>
  <c r="E2739" i="11"/>
  <c r="E2740" i="11"/>
  <c r="E2741" i="11"/>
  <c r="E2742" i="11"/>
  <c r="E2449" i="11"/>
  <c r="E2450" i="11"/>
  <c r="E2451" i="11"/>
  <c r="E2452" i="11"/>
  <c r="E2453" i="11"/>
  <c r="E2454" i="11"/>
  <c r="E2455" i="11"/>
  <c r="E2456" i="11"/>
  <c r="E2457" i="11"/>
  <c r="E2458" i="11"/>
  <c r="E2459" i="11"/>
  <c r="E2460" i="11"/>
  <c r="E2461" i="11"/>
  <c r="E2462" i="11"/>
  <c r="E2463" i="11"/>
  <c r="E2464" i="11"/>
  <c r="E2465" i="11"/>
  <c r="E2466" i="11"/>
  <c r="E2467" i="11"/>
  <c r="E2468" i="11"/>
  <c r="E2469" i="11"/>
  <c r="E2470" i="11"/>
  <c r="E2471" i="11"/>
  <c r="E2472" i="11"/>
  <c r="E2473" i="11"/>
  <c r="E2474" i="11"/>
  <c r="E2475" i="11"/>
  <c r="E2476" i="11"/>
  <c r="E2477" i="11"/>
  <c r="E2478" i="11"/>
  <c r="E2479" i="11"/>
  <c r="E2480" i="11"/>
  <c r="E2481" i="11"/>
  <c r="E2482" i="11"/>
  <c r="E2483" i="11"/>
  <c r="E2484" i="11"/>
  <c r="E2485" i="11"/>
  <c r="E2486" i="11"/>
  <c r="E2487" i="11"/>
  <c r="E2488" i="11"/>
  <c r="E2489" i="11"/>
  <c r="E2490" i="11"/>
  <c r="E2491" i="11"/>
  <c r="E2492" i="11"/>
  <c r="E2493" i="11"/>
  <c r="E2494" i="11"/>
  <c r="E2495" i="11"/>
  <c r="E2496" i="11"/>
  <c r="E2497" i="11"/>
  <c r="E2498" i="11"/>
  <c r="E2499" i="11"/>
  <c r="E2500" i="11"/>
  <c r="E2501" i="11"/>
  <c r="E2502" i="11"/>
  <c r="E2503" i="11"/>
  <c r="E2504" i="11"/>
  <c r="E2505" i="11"/>
  <c r="E2506" i="11"/>
  <c r="E2507" i="11"/>
  <c r="E2508" i="11"/>
  <c r="E2509" i="11"/>
  <c r="E2510" i="11"/>
  <c r="E2511" i="11"/>
  <c r="E2512" i="11"/>
  <c r="E2513" i="11"/>
  <c r="E2514" i="11"/>
  <c r="E2515" i="11"/>
  <c r="E2516" i="11"/>
  <c r="E2517" i="11"/>
  <c r="E2518" i="11"/>
  <c r="E2519" i="11"/>
  <c r="E2520" i="11"/>
  <c r="E2521" i="11"/>
  <c r="E2522" i="11"/>
  <c r="E2523" i="11"/>
  <c r="E2524" i="11"/>
  <c r="E2525" i="11"/>
  <c r="E2526" i="11"/>
  <c r="E2527" i="11"/>
  <c r="E2528" i="11"/>
  <c r="E2529" i="11"/>
  <c r="E2530" i="11"/>
  <c r="E2531" i="11"/>
  <c r="E2532" i="11"/>
  <c r="E2533" i="11"/>
  <c r="E2534" i="11"/>
  <c r="E2535" i="11"/>
  <c r="E2536" i="11"/>
  <c r="E2537" i="11"/>
  <c r="E2538" i="11"/>
  <c r="E2539" i="11"/>
  <c r="E2540" i="11"/>
  <c r="E2541" i="11"/>
  <c r="E2542" i="11"/>
  <c r="E2543" i="11"/>
  <c r="E2544" i="11"/>
  <c r="E2545" i="11"/>
  <c r="E2546" i="11"/>
  <c r="E2701" i="11"/>
  <c r="E2702" i="11"/>
  <c r="E2751" i="11"/>
  <c r="E2752" i="11"/>
  <c r="E2753" i="11"/>
  <c r="E2754" i="11"/>
  <c r="E2755" i="11"/>
  <c r="E2756" i="11"/>
  <c r="E2757" i="11"/>
  <c r="E2758" i="11"/>
  <c r="E2759" i="11"/>
  <c r="E2760" i="11"/>
  <c r="E2761" i="11"/>
  <c r="E2762" i="11"/>
  <c r="E2763" i="11"/>
  <c r="E2764" i="11"/>
  <c r="E2765" i="11"/>
  <c r="E2766" i="11"/>
  <c r="E2767" i="11"/>
  <c r="E2768" i="11"/>
  <c r="E2769" i="11"/>
  <c r="E2809" i="11"/>
  <c r="E2810" i="11"/>
  <c r="E2811" i="11"/>
  <c r="E2812" i="11"/>
  <c r="E2813" i="11"/>
  <c r="E2814" i="11"/>
  <c r="E2815" i="11"/>
  <c r="E2816" i="11"/>
  <c r="E2817" i="11"/>
  <c r="E2818" i="11"/>
  <c r="E2863" i="11"/>
  <c r="E2864" i="11"/>
  <c r="E2865" i="11"/>
  <c r="E2866" i="11"/>
  <c r="E2867" i="11"/>
  <c r="E2868" i="11"/>
  <c r="E2869" i="11"/>
  <c r="E2870" i="11"/>
  <c r="E2871" i="11"/>
  <c r="E2872" i="11"/>
  <c r="E2924" i="11"/>
  <c r="E2925" i="11"/>
  <c r="E2926" i="11"/>
  <c r="E2927" i="11"/>
  <c r="E2928" i="11"/>
  <c r="E2929" i="11"/>
  <c r="E2930" i="11"/>
  <c r="E2886" i="11"/>
  <c r="E2887" i="11"/>
  <c r="E2888" i="11"/>
  <c r="E2889" i="11"/>
  <c r="E2890" i="11"/>
  <c r="E2891" i="11"/>
  <c r="E2907" i="11"/>
  <c r="E2908" i="11"/>
  <c r="E2909" i="11"/>
  <c r="E2935" i="11"/>
  <c r="E2936" i="11"/>
  <c r="E2937" i="11"/>
  <c r="E2974" i="11"/>
  <c r="E2975" i="11"/>
  <c r="E2976" i="11"/>
  <c r="E2977" i="11"/>
  <c r="E2978" i="11"/>
  <c r="E2979" i="11"/>
  <c r="E2980" i="11"/>
  <c r="E2981" i="11"/>
  <c r="E2982" i="11"/>
  <c r="E2983" i="11"/>
  <c r="E2984" i="11"/>
  <c r="E2985" i="11"/>
  <c r="E2986" i="11"/>
  <c r="E2987" i="11"/>
  <c r="E2988" i="11"/>
  <c r="E2989" i="11"/>
  <c r="E2990" i="11"/>
  <c r="E2991" i="11"/>
  <c r="E2992" i="11"/>
  <c r="E2993" i="11"/>
  <c r="E2994" i="11"/>
  <c r="E2995" i="11"/>
  <c r="E2996" i="11"/>
  <c r="E2997" i="11"/>
  <c r="E2998" i="11"/>
  <c r="E2999" i="11"/>
  <c r="E3000" i="11"/>
  <c r="E3043" i="11"/>
  <c r="E3044" i="11"/>
  <c r="E3045" i="11"/>
  <c r="E3046" i="11"/>
  <c r="E3047" i="11"/>
  <c r="E3048" i="11"/>
  <c r="E3049" i="11"/>
  <c r="E3050" i="11"/>
  <c r="E3051" i="11"/>
  <c r="E3052" i="11"/>
  <c r="E3053" i="11"/>
  <c r="E2337" i="11"/>
  <c r="E2338" i="11"/>
  <c r="E2339" i="11"/>
  <c r="E45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1451" i="11"/>
  <c r="E1452" i="11"/>
  <c r="E1453" i="11"/>
  <c r="E1454" i="11"/>
  <c r="E1455" i="11"/>
  <c r="E1456" i="11"/>
  <c r="E1457" i="11"/>
  <c r="E1458" i="11"/>
  <c r="E1459" i="11"/>
  <c r="E1476" i="11"/>
  <c r="E1477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51" i="11"/>
  <c r="E1652" i="11"/>
  <c r="E1653" i="11"/>
  <c r="E1654" i="11"/>
  <c r="E1674" i="11"/>
  <c r="E1675" i="11"/>
  <c r="E1676" i="11"/>
  <c r="E1677" i="11"/>
  <c r="E1678" i="11"/>
  <c r="E1928" i="11"/>
  <c r="E1929" i="11"/>
  <c r="E1930" i="11"/>
  <c r="E1931" i="11"/>
  <c r="E1932" i="11"/>
  <c r="E1933" i="11"/>
  <c r="E1934" i="11"/>
  <c r="E1935" i="11"/>
  <c r="E1936" i="11"/>
  <c r="E1937" i="11"/>
  <c r="E1938" i="11"/>
  <c r="E1939" i="11"/>
  <c r="E1940" i="11"/>
  <c r="E2224" i="11"/>
  <c r="E2225" i="11"/>
  <c r="E2226" i="11"/>
  <c r="E2227" i="11"/>
  <c r="E2228" i="11"/>
  <c r="E2229" i="11"/>
  <c r="E2230" i="11"/>
  <c r="E2231" i="11"/>
  <c r="E2232" i="11"/>
  <c r="E2233" i="11"/>
  <c r="E2234" i="11"/>
  <c r="E2235" i="11"/>
  <c r="E2236" i="11"/>
  <c r="E2237" i="11"/>
  <c r="E2238" i="11"/>
  <c r="E2239" i="11"/>
  <c r="E2240" i="11"/>
  <c r="E2241" i="11"/>
  <c r="E2242" i="11"/>
  <c r="E2243" i="11"/>
  <c r="E2340" i="11"/>
  <c r="E2341" i="11"/>
  <c r="E2342" i="11"/>
  <c r="E2343" i="11"/>
  <c r="E2344" i="11"/>
  <c r="E2345" i="11"/>
  <c r="E2346" i="11"/>
  <c r="E2347" i="11"/>
  <c r="E2348" i="11"/>
  <c r="E2349" i="11"/>
  <c r="E2350" i="11"/>
  <c r="E2351" i="11"/>
  <c r="E2352" i="11"/>
  <c r="E2353" i="11"/>
  <c r="E2354" i="11"/>
  <c r="E2355" i="11"/>
  <c r="E2356" i="11"/>
  <c r="E2357" i="11"/>
  <c r="E2358" i="11"/>
  <c r="E2359" i="11"/>
  <c r="E2360" i="11"/>
  <c r="E2361" i="11"/>
  <c r="E2362" i="11"/>
  <c r="E2363" i="11"/>
  <c r="E2364" i="11"/>
  <c r="E2743" i="11"/>
  <c r="E2547" i="11"/>
  <c r="E2548" i="11"/>
  <c r="E2549" i="11"/>
  <c r="E2550" i="11"/>
  <c r="E2551" i="11"/>
  <c r="E2552" i="11"/>
  <c r="E2553" i="11"/>
  <c r="E2554" i="11"/>
  <c r="E2555" i="11"/>
  <c r="E2556" i="11"/>
  <c r="E2557" i="11"/>
  <c r="E2558" i="11"/>
  <c r="E2559" i="11"/>
  <c r="E2560" i="11"/>
  <c r="E2561" i="11"/>
  <c r="E2562" i="11"/>
  <c r="E2563" i="11"/>
  <c r="E2564" i="11"/>
  <c r="E2565" i="11"/>
  <c r="E2566" i="11"/>
  <c r="E2567" i="11"/>
  <c r="E2568" i="11"/>
  <c r="E2569" i="11"/>
  <c r="E2570" i="11"/>
  <c r="E2571" i="11"/>
  <c r="E2572" i="11"/>
  <c r="E2573" i="11"/>
  <c r="E2574" i="11"/>
  <c r="E2575" i="11"/>
  <c r="E2576" i="11"/>
  <c r="E2577" i="11"/>
  <c r="E2578" i="11"/>
  <c r="E2579" i="11"/>
  <c r="E2580" i="11"/>
  <c r="E2581" i="11"/>
  <c r="E2582" i="11"/>
  <c r="E2583" i="11"/>
  <c r="E2584" i="11"/>
  <c r="E2585" i="11"/>
  <c r="E2586" i="11"/>
  <c r="E2587" i="11"/>
  <c r="E2588" i="11"/>
  <c r="E2589" i="11"/>
  <c r="E2590" i="11"/>
  <c r="E2591" i="11"/>
  <c r="E2592" i="11"/>
  <c r="E2770" i="11"/>
  <c r="E2771" i="11"/>
  <c r="E2772" i="11"/>
  <c r="E2773" i="11"/>
  <c r="E2774" i="11"/>
  <c r="E2819" i="11"/>
  <c r="E2820" i="11"/>
  <c r="E2821" i="11"/>
  <c r="E2822" i="11"/>
  <c r="E2823" i="11"/>
  <c r="E2824" i="11"/>
  <c r="E2825" i="11"/>
  <c r="E2826" i="11"/>
  <c r="E2827" i="11"/>
  <c r="E2828" i="11"/>
  <c r="E2829" i="11"/>
  <c r="E2830" i="11"/>
  <c r="E2831" i="11"/>
  <c r="E2832" i="11"/>
  <c r="E2833" i="11"/>
  <c r="E2834" i="11"/>
  <c r="E2835" i="11"/>
  <c r="E2836" i="11"/>
  <c r="E2837" i="11"/>
  <c r="E2873" i="11"/>
  <c r="E2874" i="11"/>
  <c r="E2875" i="11"/>
  <c r="E2876" i="11"/>
  <c r="E2877" i="11"/>
  <c r="E2878" i="11"/>
  <c r="E2910" i="11"/>
  <c r="E2911" i="11"/>
  <c r="E2938" i="11"/>
  <c r="E3001" i="11"/>
  <c r="E3002" i="11"/>
  <c r="E3003" i="11"/>
  <c r="E3004" i="11"/>
  <c r="E3005" i="11"/>
  <c r="E3006" i="11"/>
  <c r="E3007" i="11"/>
  <c r="E3008" i="11"/>
  <c r="E3009" i="11"/>
  <c r="E3010" i="11"/>
  <c r="E3011" i="11"/>
  <c r="E3012" i="11"/>
  <c r="E3013" i="11"/>
  <c r="E3014" i="11"/>
  <c r="E3015" i="11"/>
  <c r="E3016" i="11"/>
  <c r="E3017" i="11"/>
  <c r="E3018" i="11"/>
  <c r="E3019" i="11"/>
  <c r="E3020" i="11"/>
  <c r="E3063" i="11"/>
  <c r="E3064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1614" i="11"/>
  <c r="E1615" i="11"/>
  <c r="E1655" i="11"/>
  <c r="E1656" i="11"/>
  <c r="E1941" i="11"/>
  <c r="E1942" i="11"/>
  <c r="E1943" i="11"/>
  <c r="E1944" i="11"/>
  <c r="E1945" i="11"/>
  <c r="E1946" i="11"/>
  <c r="E1947" i="11"/>
  <c r="E1948" i="11"/>
  <c r="E1949" i="11"/>
  <c r="E1950" i="11"/>
  <c r="E1951" i="11"/>
  <c r="E1952" i="11"/>
  <c r="E1953" i="11"/>
  <c r="E1954" i="11"/>
  <c r="E1955" i="11"/>
  <c r="E1956" i="11"/>
  <c r="E1957" i="11"/>
  <c r="E1958" i="11"/>
  <c r="E1959" i="11"/>
  <c r="E1960" i="11"/>
  <c r="E1961" i="11"/>
  <c r="E1962" i="11"/>
  <c r="E1963" i="11"/>
  <c r="E1964" i="11"/>
  <c r="E1965" i="11"/>
  <c r="E1966" i="11"/>
  <c r="E1967" i="11"/>
  <c r="E1968" i="11"/>
  <c r="E1969" i="11"/>
  <c r="E1970" i="11"/>
  <c r="E1971" i="11"/>
  <c r="E1972" i="11"/>
  <c r="E1973" i="11"/>
  <c r="E1974" i="11"/>
  <c r="E1975" i="11"/>
  <c r="E1976" i="11"/>
  <c r="E1977" i="11"/>
  <c r="E1978" i="11"/>
  <c r="E1979" i="11"/>
  <c r="E1980" i="11"/>
  <c r="E1981" i="11"/>
  <c r="E1982" i="11"/>
  <c r="E1983" i="11"/>
  <c r="E1984" i="11"/>
  <c r="E1985" i="11"/>
  <c r="E1986" i="11"/>
  <c r="E1987" i="11"/>
  <c r="E1988" i="11"/>
  <c r="E1989" i="11"/>
  <c r="E1990" i="11"/>
  <c r="E1991" i="11"/>
  <c r="E1992" i="11"/>
  <c r="E1993" i="11"/>
  <c r="E1994" i="11"/>
  <c r="E1995" i="11"/>
  <c r="E1996" i="11"/>
  <c r="E1997" i="11"/>
  <c r="E1998" i="11"/>
  <c r="E1999" i="11"/>
  <c r="E2000" i="11"/>
  <c r="E2001" i="11"/>
  <c r="E2002" i="11"/>
  <c r="E2003" i="11"/>
  <c r="E2004" i="11"/>
  <c r="E2005" i="11"/>
  <c r="E2006" i="11"/>
  <c r="E2007" i="11"/>
  <c r="E2008" i="11"/>
  <c r="E2009" i="11"/>
  <c r="E2010" i="11"/>
  <c r="E2011" i="11"/>
  <c r="E2012" i="11"/>
  <c r="E2013" i="11"/>
  <c r="E2014" i="11"/>
  <c r="E2015" i="11"/>
  <c r="E2016" i="11"/>
  <c r="E2017" i="11"/>
  <c r="E2018" i="11"/>
  <c r="E2019" i="11"/>
  <c r="E2020" i="11"/>
  <c r="E2021" i="11"/>
  <c r="E2022" i="11"/>
  <c r="E2023" i="11"/>
  <c r="E2024" i="11"/>
  <c r="E2025" i="11"/>
  <c r="E2026" i="11"/>
  <c r="E2027" i="11"/>
  <c r="E2593" i="11"/>
  <c r="E2594" i="11"/>
  <c r="E2595" i="11"/>
  <c r="E2596" i="11"/>
  <c r="E2597" i="11"/>
  <c r="E2598" i="11"/>
  <c r="E2599" i="11"/>
  <c r="E2600" i="11"/>
  <c r="E2601" i="11"/>
  <c r="E2602" i="11"/>
  <c r="E2603" i="11"/>
  <c r="E2604" i="11"/>
  <c r="E2605" i="11"/>
  <c r="E2606" i="11"/>
  <c r="E2607" i="11"/>
  <c r="E2608" i="11"/>
  <c r="E2609" i="11"/>
  <c r="E2610" i="11"/>
  <c r="E2611" i="11"/>
  <c r="E2612" i="11"/>
  <c r="E2613" i="11"/>
  <c r="E2775" i="11"/>
  <c r="E2776" i="11"/>
  <c r="E2777" i="11"/>
  <c r="E2778" i="11"/>
  <c r="E2779" i="11"/>
  <c r="E2780" i="11"/>
  <c r="E2781" i="11"/>
  <c r="E2838" i="11"/>
  <c r="E2839" i="11"/>
  <c r="E2840" i="11"/>
  <c r="E2841" i="11"/>
  <c r="E2842" i="11"/>
  <c r="E2843" i="11"/>
  <c r="E2892" i="11"/>
  <c r="E2893" i="11"/>
  <c r="E2894" i="11"/>
  <c r="E2895" i="11"/>
  <c r="E2896" i="11"/>
  <c r="E2897" i="11"/>
  <c r="E2912" i="11"/>
  <c r="E2939" i="11"/>
  <c r="E2940" i="11"/>
  <c r="E2941" i="11"/>
  <c r="E2942" i="11"/>
  <c r="E2943" i="11"/>
  <c r="E2944" i="11"/>
  <c r="E2945" i="11"/>
  <c r="E2946" i="11"/>
  <c r="E2947" i="11"/>
  <c r="E2948" i="11"/>
  <c r="E2949" i="11"/>
  <c r="E2950" i="11"/>
  <c r="E2061" i="11"/>
  <c r="E2062" i="11"/>
  <c r="E2063" i="11"/>
  <c r="E2064" i="11"/>
  <c r="E2065" i="11"/>
  <c r="E2066" i="11"/>
  <c r="E2067" i="11"/>
  <c r="E2068" i="11"/>
  <c r="E2069" i="11"/>
  <c r="E2070" i="11"/>
  <c r="E2071" i="11"/>
  <c r="E2072" i="11"/>
  <c r="E2073" i="11"/>
  <c r="E2074" i="11"/>
  <c r="E2075" i="11"/>
  <c r="E2076" i="11"/>
  <c r="E2077" i="11"/>
  <c r="E2078" i="11"/>
  <c r="E2079" i="11"/>
  <c r="E2080" i="11"/>
  <c r="E2081" i="11"/>
  <c r="E2082" i="11"/>
  <c r="E2083" i="11"/>
  <c r="E2084" i="11"/>
  <c r="E2085" i="11"/>
  <c r="E2086" i="11"/>
  <c r="E2087" i="11"/>
  <c r="E2088" i="11"/>
  <c r="E2089" i="11"/>
  <c r="E2090" i="11"/>
  <c r="E2091" i="11"/>
  <c r="E2092" i="11"/>
  <c r="E2093" i="11"/>
  <c r="E2094" i="11"/>
  <c r="E2095" i="11"/>
  <c r="E2096" i="11"/>
  <c r="E2097" i="11"/>
  <c r="E2098" i="11"/>
  <c r="E2099" i="11"/>
  <c r="E2100" i="11"/>
  <c r="E2101" i="11"/>
  <c r="E2102" i="11"/>
  <c r="E2103" i="11"/>
  <c r="E2104" i="11"/>
  <c r="E2105" i="11"/>
  <c r="E2106" i="11"/>
  <c r="E2107" i="11"/>
  <c r="E2108" i="11"/>
  <c r="E2109" i="11"/>
  <c r="E2110" i="11"/>
  <c r="E2111" i="11"/>
  <c r="E2112" i="11"/>
  <c r="E2113" i="11"/>
  <c r="E2114" i="11"/>
  <c r="E2115" i="11"/>
  <c r="E2116" i="11"/>
  <c r="E2117" i="11"/>
  <c r="E2118" i="11"/>
  <c r="E2119" i="11"/>
  <c r="E2120" i="11"/>
  <c r="E2121" i="11"/>
  <c r="E2122" i="11"/>
  <c r="E2123" i="11"/>
  <c r="E2124" i="11"/>
  <c r="E2125" i="11"/>
  <c r="E2126" i="11"/>
  <c r="E2127" i="11"/>
  <c r="E2128" i="11"/>
  <c r="E2129" i="11"/>
  <c r="E2130" i="11"/>
  <c r="E2131" i="11"/>
  <c r="E2132" i="11"/>
  <c r="E2365" i="11"/>
  <c r="E2366" i="11"/>
  <c r="E2367" i="11"/>
  <c r="E2368" i="11"/>
  <c r="E2614" i="11"/>
  <c r="E2615" i="11"/>
  <c r="E2616" i="11"/>
  <c r="E2617" i="11"/>
  <c r="E2618" i="11"/>
  <c r="E2619" i="11"/>
  <c r="E2620" i="11"/>
  <c r="E2734" i="11"/>
  <c r="E2744" i="11"/>
  <c r="E2782" i="11"/>
  <c r="E2783" i="11"/>
  <c r="E2784" i="11"/>
  <c r="E2785" i="11"/>
  <c r="E2786" i="11"/>
  <c r="E2787" i="11"/>
  <c r="E2844" i="11"/>
  <c r="E2898" i="11"/>
  <c r="E3021" i="11"/>
  <c r="E2057" i="11"/>
  <c r="E2058" i="11"/>
  <c r="E2040" i="11"/>
  <c r="E2041" i="11"/>
  <c r="E2042" i="11"/>
  <c r="E2043" i="11"/>
  <c r="E2044" i="11"/>
  <c r="E2045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1616" i="11"/>
  <c r="E1657" i="11"/>
  <c r="E2028" i="11"/>
  <c r="E2029" i="11"/>
  <c r="E2030" i="11"/>
  <c r="E2056" i="11"/>
  <c r="E2046" i="11"/>
  <c r="E2047" i="11"/>
  <c r="E2048" i="11"/>
  <c r="E2049" i="11"/>
  <c r="E2031" i="11"/>
  <c r="E2050" i="11"/>
  <c r="E2051" i="11"/>
  <c r="E2052" i="11"/>
  <c r="E2053" i="11"/>
  <c r="E2054" i="11"/>
  <c r="E2055" i="11"/>
  <c r="E2059" i="11"/>
  <c r="E2032" i="11"/>
  <c r="E2033" i="11"/>
  <c r="E2034" i="11"/>
  <c r="E2035" i="11"/>
  <c r="E2036" i="11"/>
  <c r="E2037" i="11"/>
  <c r="E2038" i="11"/>
  <c r="E2039" i="11"/>
  <c r="E2060" i="11"/>
  <c r="E19" i="11"/>
  <c r="E2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478" i="11"/>
  <c r="E1617" i="11"/>
  <c r="E1618" i="11"/>
  <c r="E1658" i="11"/>
  <c r="E1659" i="11"/>
  <c r="E1679" i="11"/>
  <c r="E1680" i="11"/>
  <c r="E1681" i="11"/>
  <c r="E1682" i="11"/>
  <c r="E1683" i="11"/>
  <c r="E1684" i="11"/>
  <c r="E1685" i="11"/>
  <c r="E1686" i="11"/>
  <c r="E1687" i="11"/>
  <c r="E1694" i="11"/>
  <c r="E1695" i="11"/>
  <c r="E2133" i="11"/>
  <c r="E2134" i="11"/>
  <c r="E2135" i="11"/>
  <c r="E2136" i="11"/>
  <c r="E2137" i="11"/>
  <c r="E2138" i="11"/>
  <c r="E2139" i="11"/>
  <c r="E2140" i="11"/>
  <c r="E2141" i="11"/>
  <c r="E2142" i="11"/>
  <c r="E2143" i="11"/>
  <c r="E2144" i="11"/>
  <c r="E2145" i="11"/>
  <c r="E2146" i="11"/>
  <c r="E2147" i="11"/>
  <c r="E2148" i="11"/>
  <c r="E2149" i="11"/>
  <c r="E2150" i="11"/>
  <c r="E2151" i="11"/>
  <c r="E2152" i="11"/>
  <c r="E2153" i="11"/>
  <c r="E2154" i="11"/>
  <c r="E2155" i="11"/>
  <c r="E2156" i="11"/>
  <c r="E2157" i="11"/>
  <c r="E2158" i="11"/>
  <c r="E2159" i="11"/>
  <c r="E2160" i="11"/>
  <c r="E2161" i="11"/>
  <c r="E2162" i="11"/>
  <c r="E2163" i="11"/>
  <c r="E2244" i="11"/>
  <c r="E2245" i="11"/>
  <c r="E2246" i="11"/>
  <c r="E2247" i="11"/>
  <c r="E2248" i="11"/>
  <c r="E2249" i="11"/>
  <c r="E2250" i="11"/>
  <c r="E2251" i="11"/>
  <c r="E2252" i="11"/>
  <c r="E2253" i="11"/>
  <c r="E2621" i="11"/>
  <c r="E2622" i="11"/>
  <c r="E2623" i="11"/>
  <c r="E2624" i="11"/>
  <c r="E2625" i="11"/>
  <c r="E2626" i="11"/>
  <c r="E2627" i="11"/>
  <c r="E2628" i="11"/>
  <c r="E2629" i="11"/>
  <c r="E2630" i="11"/>
  <c r="E2631" i="11"/>
  <c r="E2632" i="11"/>
  <c r="E2633" i="11"/>
  <c r="E2634" i="11"/>
  <c r="E2635" i="11"/>
  <c r="E2636" i="11"/>
  <c r="E2637" i="11"/>
  <c r="E2638" i="11"/>
  <c r="E2639" i="11"/>
  <c r="E2640" i="11"/>
  <c r="E2641" i="11"/>
  <c r="E2642" i="11"/>
  <c r="E2643" i="11"/>
  <c r="E2644" i="11"/>
  <c r="E2645" i="11"/>
  <c r="E2646" i="11"/>
  <c r="E2647" i="11"/>
  <c r="E2648" i="11"/>
  <c r="E2649" i="11"/>
  <c r="E2650" i="11"/>
  <c r="E2651" i="11"/>
  <c r="E2652" i="11"/>
  <c r="E2653" i="11"/>
  <c r="E2654" i="11"/>
  <c r="E2655" i="11"/>
  <c r="E2656" i="11"/>
  <c r="E2657" i="11"/>
  <c r="E2658" i="11"/>
  <c r="E2659" i="11"/>
  <c r="E2660" i="11"/>
  <c r="E2661" i="11"/>
  <c r="E2662" i="11"/>
  <c r="E2663" i="11"/>
  <c r="E2664" i="11"/>
  <c r="E2665" i="11"/>
  <c r="E2666" i="11"/>
  <c r="E2667" i="11"/>
  <c r="E2668" i="11"/>
  <c r="E2669" i="11"/>
  <c r="E2670" i="11"/>
  <c r="E2671" i="11"/>
  <c r="E2703" i="11"/>
  <c r="E2704" i="11"/>
  <c r="E2705" i="11"/>
  <c r="E2706" i="11"/>
  <c r="E2788" i="11"/>
  <c r="E2789" i="11"/>
  <c r="E2845" i="11"/>
  <c r="E2846" i="11"/>
  <c r="E2847" i="11"/>
  <c r="E2848" i="11"/>
  <c r="E2849" i="11"/>
  <c r="E2850" i="11"/>
  <c r="E2851" i="11"/>
  <c r="E2852" i="11"/>
  <c r="E2913" i="11"/>
  <c r="E2853" i="11"/>
  <c r="E2854" i="11"/>
  <c r="E2855" i="11"/>
  <c r="E2856" i="11"/>
  <c r="E2914" i="11"/>
  <c r="E2915" i="11"/>
  <c r="E2916" i="11"/>
  <c r="E2917" i="11"/>
  <c r="E2918" i="11"/>
  <c r="E2919" i="11"/>
  <c r="E2920" i="11"/>
  <c r="E2951" i="11"/>
  <c r="E2952" i="11"/>
  <c r="E2953" i="11"/>
  <c r="E2954" i="11"/>
  <c r="E3054" i="11"/>
  <c r="E3055" i="11"/>
  <c r="E3056" i="11"/>
  <c r="E3057" i="11"/>
  <c r="E3058" i="11"/>
  <c r="E3059" i="11"/>
  <c r="E21" i="11"/>
  <c r="E22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460" i="11"/>
  <c r="E1696" i="11"/>
  <c r="E2714" i="11"/>
  <c r="E2715" i="11"/>
  <c r="E2369" i="11"/>
  <c r="E2370" i="11"/>
  <c r="E2371" i="11"/>
  <c r="E2790" i="11"/>
  <c r="E2791" i="11"/>
  <c r="E2792" i="11"/>
  <c r="E2793" i="11"/>
  <c r="E2794" i="11"/>
  <c r="E2795" i="11"/>
  <c r="E2796" i="11"/>
  <c r="E2797" i="11"/>
  <c r="E2798" i="11"/>
  <c r="E2799" i="11"/>
  <c r="E2800" i="11"/>
  <c r="E2857" i="11"/>
  <c r="E2879" i="11"/>
  <c r="E2880" i="11"/>
  <c r="E2881" i="11"/>
  <c r="E2801" i="11"/>
  <c r="E2802" i="11"/>
  <c r="E2858" i="11"/>
  <c r="E2859" i="11"/>
  <c r="E2899" i="11"/>
  <c r="E2860" i="11"/>
  <c r="E2803" i="11"/>
  <c r="E2861" i="11"/>
  <c r="E2921" i="11"/>
  <c r="E2922" i="11"/>
  <c r="E1688" i="11"/>
  <c r="E1689" i="11"/>
  <c r="E1275" i="11"/>
  <c r="Z4" i="13" s="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60" i="11"/>
  <c r="E2164" i="11"/>
  <c r="E2165" i="11"/>
  <c r="E2166" i="11"/>
  <c r="E2167" i="11"/>
  <c r="E2168" i="11"/>
  <c r="E2169" i="11"/>
  <c r="E2170" i="11"/>
  <c r="E2171" i="11"/>
  <c r="E2172" i="11"/>
  <c r="E2173" i="11"/>
  <c r="E2174" i="11"/>
  <c r="E2175" i="11"/>
  <c r="E2176" i="11"/>
  <c r="E2177" i="11"/>
  <c r="E2178" i="11"/>
  <c r="E2179" i="11"/>
  <c r="E2180" i="11"/>
  <c r="E2181" i="11"/>
  <c r="E2182" i="11"/>
  <c r="E2183" i="11"/>
  <c r="E2184" i="11"/>
  <c r="E2185" i="11"/>
  <c r="E2186" i="11"/>
  <c r="E2187" i="11"/>
  <c r="E2188" i="11"/>
  <c r="E2189" i="11"/>
  <c r="E2190" i="11"/>
  <c r="E2191" i="11"/>
  <c r="E2192" i="11"/>
  <c r="E2193" i="11"/>
  <c r="E2194" i="11"/>
  <c r="E2195" i="11"/>
  <c r="E2196" i="11"/>
  <c r="E2197" i="11"/>
  <c r="E2198" i="11"/>
  <c r="E2254" i="11"/>
  <c r="E2255" i="11"/>
  <c r="E2256" i="11"/>
  <c r="E2257" i="11"/>
  <c r="E2258" i="11"/>
  <c r="E2259" i="11"/>
  <c r="E2260" i="11"/>
  <c r="E2672" i="11"/>
  <c r="E2673" i="11"/>
  <c r="E2674" i="11"/>
  <c r="E2675" i="11"/>
  <c r="E2676" i="11"/>
  <c r="E2677" i="11"/>
  <c r="E2678" i="11"/>
  <c r="E2679" i="11"/>
  <c r="E2680" i="11"/>
  <c r="E2681" i="11"/>
  <c r="E2682" i="11"/>
  <c r="E2683" i="11"/>
  <c r="E2684" i="11"/>
  <c r="E2685" i="11"/>
  <c r="E2686" i="11"/>
  <c r="E2687" i="11"/>
  <c r="E2688" i="11"/>
  <c r="E2689" i="11"/>
  <c r="E2690" i="11"/>
  <c r="E2955" i="11"/>
  <c r="E2956" i="11"/>
  <c r="E2957" i="11"/>
  <c r="E2958" i="11"/>
  <c r="E2959" i="11"/>
  <c r="E2960" i="11"/>
  <c r="E2961" i="11"/>
  <c r="E2962" i="11"/>
  <c r="E2963" i="11"/>
  <c r="E3060" i="11"/>
  <c r="E3061" i="11"/>
  <c r="E3062" i="11"/>
  <c r="E26" i="11"/>
  <c r="E27" i="11"/>
  <c r="E28" i="11"/>
  <c r="E29" i="11"/>
  <c r="E1410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6" i="11"/>
  <c r="E47" i="11"/>
  <c r="E65" i="11"/>
  <c r="E66" i="11"/>
  <c r="E67" i="11"/>
  <c r="E1392" i="11"/>
  <c r="E1420" i="11"/>
  <c r="E1421" i="11"/>
  <c r="E1422" i="11"/>
  <c r="E68" i="11"/>
  <c r="E1423" i="11"/>
  <c r="E69" i="11"/>
  <c r="E70" i="11"/>
  <c r="E1393" i="11"/>
  <c r="E1321" i="11"/>
  <c r="E71" i="11"/>
  <c r="E72" i="11"/>
  <c r="E73" i="11"/>
  <c r="E74" i="11"/>
  <c r="E75" i="11"/>
  <c r="E76" i="11"/>
  <c r="E77" i="11"/>
  <c r="E52" i="11"/>
  <c r="E53" i="11"/>
  <c r="E1411" i="11"/>
  <c r="E1412" i="11"/>
  <c r="E1413" i="11"/>
  <c r="E1414" i="11"/>
  <c r="E1415" i="11"/>
  <c r="E1416" i="11"/>
  <c r="E54" i="11"/>
  <c r="E55" i="11"/>
  <c r="E56" i="11"/>
  <c r="E1417" i="11"/>
  <c r="E1418" i="11"/>
  <c r="E57" i="11"/>
  <c r="E58" i="11"/>
  <c r="E1419" i="11"/>
  <c r="E59" i="11"/>
  <c r="E60" i="11"/>
  <c r="E61" i="11"/>
  <c r="E62" i="11"/>
  <c r="E63" i="11"/>
  <c r="E64" i="11"/>
  <c r="E48" i="11"/>
  <c r="E50" i="11"/>
  <c r="E51" i="11"/>
  <c r="E1425" i="11"/>
  <c r="E1426" i="11"/>
  <c r="E1427" i="11"/>
  <c r="E1428" i="11"/>
  <c r="E1429" i="11"/>
  <c r="E143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90" i="11"/>
  <c r="E1697" i="11"/>
  <c r="E2261" i="11"/>
  <c r="E2262" i="11"/>
  <c r="E2263" i="11"/>
  <c r="E2372" i="11"/>
  <c r="E2373" i="11"/>
  <c r="E2374" i="11"/>
  <c r="E2375" i="11"/>
  <c r="E2376" i="11"/>
  <c r="E2377" i="11"/>
  <c r="E2378" i="11"/>
  <c r="E2379" i="11"/>
  <c r="E2380" i="11"/>
  <c r="E2381" i="11"/>
  <c r="E2382" i="11"/>
  <c r="E2383" i="11"/>
  <c r="E2384" i="11"/>
  <c r="E2385" i="11"/>
  <c r="E2386" i="11"/>
  <c r="E2387" i="11"/>
  <c r="E2388" i="11"/>
  <c r="E2389" i="11"/>
  <c r="E2390" i="11"/>
  <c r="E2391" i="11"/>
  <c r="E2392" i="11"/>
  <c r="E2393" i="11"/>
  <c r="E2394" i="11"/>
  <c r="E2395" i="11"/>
  <c r="E2396" i="11"/>
  <c r="E2397" i="11"/>
  <c r="E2398" i="11"/>
  <c r="E2691" i="11"/>
  <c r="E2692" i="11"/>
  <c r="E2693" i="11"/>
  <c r="E2694" i="11"/>
  <c r="E2695" i="11"/>
  <c r="E2696" i="11"/>
  <c r="E2697" i="11"/>
  <c r="E2698" i="11"/>
  <c r="E2699" i="11"/>
  <c r="E2707" i="11"/>
  <c r="E2708" i="11"/>
  <c r="E2709" i="11"/>
  <c r="E2710" i="11"/>
  <c r="E2711" i="11"/>
  <c r="E2716" i="11"/>
  <c r="E2717" i="11"/>
  <c r="E2718" i="11"/>
  <c r="E2719" i="11"/>
  <c r="E2720" i="11"/>
  <c r="E2721" i="11"/>
  <c r="E2722" i="11"/>
  <c r="E2723" i="11"/>
  <c r="E2724" i="11"/>
  <c r="E2725" i="11"/>
  <c r="E2726" i="11"/>
  <c r="E2727" i="11"/>
  <c r="E2728" i="11"/>
  <c r="E2729" i="11"/>
  <c r="E2730" i="11"/>
  <c r="E2731" i="11"/>
  <c r="E2732" i="11"/>
  <c r="E2733" i="11"/>
  <c r="E2735" i="11"/>
  <c r="E2736" i="11"/>
  <c r="E2804" i="11"/>
  <c r="E2862" i="11"/>
  <c r="E2882" i="11"/>
  <c r="E2883" i="11"/>
  <c r="E2884" i="11"/>
  <c r="E2885" i="11"/>
  <c r="E2923" i="11"/>
  <c r="E3022" i="11"/>
  <c r="E3023" i="11"/>
  <c r="E3024" i="11"/>
  <c r="E3025" i="11"/>
  <c r="E3026" i="11"/>
  <c r="E3027" i="11"/>
  <c r="E3028" i="11"/>
  <c r="E3029" i="11"/>
  <c r="E3030" i="11"/>
  <c r="E3031" i="11"/>
  <c r="E3032" i="11"/>
  <c r="E3033" i="11"/>
  <c r="E3034" i="11"/>
  <c r="E3035" i="11"/>
  <c r="E3036" i="11"/>
  <c r="E3037" i="11"/>
  <c r="E3038" i="11"/>
  <c r="E78" i="11"/>
  <c r="E3039" i="11"/>
  <c r="E79" i="11"/>
  <c r="E1394" i="11"/>
  <c r="E80" i="11"/>
  <c r="E81" i="11"/>
  <c r="E82" i="11"/>
  <c r="E83" i="11"/>
  <c r="E84" i="11"/>
  <c r="E1395" i="11"/>
  <c r="E85" i="11"/>
  <c r="E86" i="11"/>
  <c r="E87" i="11"/>
  <c r="E1424" i="11"/>
  <c r="E88" i="11"/>
  <c r="E89" i="11"/>
  <c r="E90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56" i="11"/>
  <c r="E3066" i="11"/>
  <c r="E1357" i="11"/>
  <c r="E1358" i="11"/>
  <c r="E1359" i="11"/>
  <c r="E1360" i="11"/>
  <c r="E1403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20" i="11"/>
  <c r="E1396" i="11"/>
  <c r="E1397" i="11"/>
  <c r="E1322" i="11"/>
  <c r="E1323" i="11"/>
  <c r="E1324" i="11"/>
  <c r="E1325" i="11"/>
  <c r="E1398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99" i="11"/>
  <c r="E1345" i="11"/>
  <c r="E1346" i="11"/>
  <c r="E1347" i="11"/>
  <c r="E1348" i="11"/>
  <c r="E1349" i="11"/>
  <c r="E1350" i="11"/>
  <c r="E1351" i="11"/>
  <c r="E1400" i="11"/>
  <c r="E1401" i="11"/>
  <c r="E1402" i="11"/>
  <c r="E3065" i="11"/>
  <c r="E1352" i="11"/>
  <c r="E1353" i="11"/>
  <c r="E1354" i="11"/>
  <c r="E1355" i="11"/>
  <c r="E23" i="11"/>
  <c r="AB5" i="13" s="1"/>
  <c r="E25" i="11"/>
  <c r="E24" i="11"/>
  <c r="E1374" i="11"/>
  <c r="E1375" i="11"/>
  <c r="E1376" i="11"/>
  <c r="E1377" i="11"/>
  <c r="E1378" i="11"/>
  <c r="E1404" i="11"/>
  <c r="E1379" i="11"/>
  <c r="E1380" i="11"/>
  <c r="E1381" i="11"/>
  <c r="E1382" i="11"/>
  <c r="E1383" i="11"/>
  <c r="E1405" i="11"/>
  <c r="E1384" i="11"/>
  <c r="E1385" i="11"/>
  <c r="E1386" i="11"/>
  <c r="E1387" i="11"/>
  <c r="E1388" i="11"/>
  <c r="E1389" i="11"/>
  <c r="E1406" i="11"/>
  <c r="E1407" i="11"/>
  <c r="E1408" i="11"/>
  <c r="E1409" i="11"/>
  <c r="E1390" i="11"/>
  <c r="E1391" i="11"/>
  <c r="E91" i="11"/>
  <c r="J44" i="13"/>
  <c r="J43" i="13"/>
  <c r="J42" i="13"/>
  <c r="J41" i="13"/>
  <c r="J40" i="13"/>
  <c r="A1" i="10" a="1"/>
  <c r="A1" i="10" s="1"/>
  <c r="S13" i="13" l="1"/>
  <c r="T24" i="13"/>
  <c r="S8" i="13"/>
  <c r="Y4" i="13"/>
  <c r="AC6" i="13"/>
  <c r="W16" i="13"/>
  <c r="AB29" i="13"/>
  <c r="S14" i="13"/>
  <c r="T15" i="13"/>
  <c r="V9" i="13"/>
  <c r="V14" i="13"/>
  <c r="AC18" i="13"/>
  <c r="Z9" i="13"/>
  <c r="AC28" i="13"/>
  <c r="AB16" i="13"/>
  <c r="AC27" i="13"/>
  <c r="Z11" i="13"/>
  <c r="Y9" i="13"/>
  <c r="AC8" i="13"/>
  <c r="Y10" i="13"/>
  <c r="Z8" i="13"/>
  <c r="AC32" i="13"/>
  <c r="Y16" i="13"/>
  <c r="AB11" i="13"/>
  <c r="AC10" i="13"/>
  <c r="W32" i="13"/>
  <c r="AC21" i="13"/>
  <c r="AC9" i="13"/>
  <c r="S30" i="13"/>
  <c r="S18" i="13"/>
  <c r="S6" i="13"/>
  <c r="V31" i="13"/>
  <c r="V19" i="13"/>
  <c r="V7" i="13"/>
  <c r="Y26" i="13"/>
  <c r="Y14" i="13"/>
  <c r="AB33" i="13"/>
  <c r="AB21" i="13"/>
  <c r="AB9" i="13"/>
  <c r="T19" i="13"/>
  <c r="S19" i="13"/>
  <c r="V32" i="13"/>
  <c r="V8" i="13"/>
  <c r="Y27" i="13"/>
  <c r="AB10" i="13"/>
  <c r="T18" i="13"/>
  <c r="T7" i="13"/>
  <c r="Y15" i="13"/>
  <c r="T30" i="13"/>
  <c r="Z14" i="13"/>
  <c r="S5" i="13"/>
  <c r="V6" i="13"/>
  <c r="Y25" i="13"/>
  <c r="Y13" i="13"/>
  <c r="AB32" i="13"/>
  <c r="AB20" i="13"/>
  <c r="AB8" i="13"/>
  <c r="AB34" i="13"/>
  <c r="W30" i="13"/>
  <c r="V30" i="13"/>
  <c r="Z24" i="13"/>
  <c r="Z12" i="13"/>
  <c r="AC31" i="13"/>
  <c r="AC19" i="13"/>
  <c r="AC7" i="13"/>
  <c r="T31" i="13"/>
  <c r="W20" i="13"/>
  <c r="W8" i="13"/>
  <c r="Z27" i="13"/>
  <c r="Z15" i="13"/>
  <c r="AC34" i="13"/>
  <c r="AC22" i="13"/>
  <c r="S31" i="13"/>
  <c r="S7" i="13"/>
  <c r="V20" i="13"/>
  <c r="AB22" i="13"/>
  <c r="T6" i="13"/>
  <c r="W31" i="13"/>
  <c r="W19" i="13"/>
  <c r="W7" i="13"/>
  <c r="Z26" i="13"/>
  <c r="AC33" i="13"/>
  <c r="T29" i="13"/>
  <c r="T17" i="13"/>
  <c r="T5" i="13"/>
  <c r="W18" i="13"/>
  <c r="W6" i="13"/>
  <c r="Z25" i="13"/>
  <c r="Z13" i="13"/>
  <c r="AC20" i="13"/>
  <c r="S29" i="13"/>
  <c r="S17" i="13"/>
  <c r="V18" i="13"/>
  <c r="T28" i="13"/>
  <c r="T16" i="13"/>
  <c r="W29" i="13"/>
  <c r="W17" i="13"/>
  <c r="W5" i="13"/>
  <c r="S28" i="13"/>
  <c r="S16" i="13"/>
  <c r="V29" i="13"/>
  <c r="V17" i="13"/>
  <c r="V5" i="13"/>
  <c r="Y24" i="13"/>
  <c r="Y12" i="13"/>
  <c r="AB31" i="13"/>
  <c r="AB19" i="13"/>
  <c r="AB7" i="13"/>
  <c r="Y23" i="13"/>
  <c r="Y11" i="13"/>
  <c r="AB30" i="13"/>
  <c r="AB18" i="13"/>
  <c r="AB6" i="13"/>
  <c r="T26" i="13"/>
  <c r="T14" i="13"/>
  <c r="W27" i="13"/>
  <c r="W15" i="13"/>
  <c r="Z34" i="13"/>
  <c r="Z22" i="13"/>
  <c r="Z10" i="13"/>
  <c r="AC29" i="13"/>
  <c r="AC17" i="13"/>
  <c r="AC5" i="13"/>
  <c r="Y33" i="13"/>
  <c r="T12" i="13"/>
  <c r="Z32" i="13"/>
  <c r="S24" i="13"/>
  <c r="S12" i="13"/>
  <c r="V25" i="13"/>
  <c r="V13" i="13"/>
  <c r="Y32" i="13"/>
  <c r="Y20" i="13"/>
  <c r="Y8" i="13"/>
  <c r="AB27" i="13"/>
  <c r="AB15" i="13"/>
  <c r="Y21" i="13"/>
  <c r="Z20" i="13"/>
  <c r="S4" i="13"/>
  <c r="T23" i="13"/>
  <c r="T11" i="13"/>
  <c r="W24" i="13"/>
  <c r="W12" i="13"/>
  <c r="Z31" i="13"/>
  <c r="Z19" i="13"/>
  <c r="Z7" i="13"/>
  <c r="AC26" i="13"/>
  <c r="AC14" i="13"/>
  <c r="Z23" i="13"/>
  <c r="W25" i="13"/>
  <c r="T4" i="13"/>
  <c r="S23" i="13"/>
  <c r="S11" i="13"/>
  <c r="V24" i="13"/>
  <c r="V12" i="13"/>
  <c r="Y31" i="13"/>
  <c r="Y19" i="13"/>
  <c r="Y7" i="13"/>
  <c r="AB26" i="13"/>
  <c r="AB14" i="13"/>
  <c r="AB35" i="13" s="1"/>
  <c r="W28" i="13"/>
  <c r="Y22" i="13"/>
  <c r="S25" i="13"/>
  <c r="T34" i="13"/>
  <c r="T22" i="13"/>
  <c r="T10" i="13"/>
  <c r="V4" i="13"/>
  <c r="W23" i="13"/>
  <c r="W11" i="13"/>
  <c r="Z30" i="13"/>
  <c r="Z18" i="13"/>
  <c r="Z6" i="13"/>
  <c r="AC25" i="13"/>
  <c r="AC13" i="13"/>
  <c r="S27" i="13"/>
  <c r="Y34" i="13"/>
  <c r="Z33" i="13"/>
  <c r="Y30" i="13"/>
  <c r="Y18" i="13"/>
  <c r="Y6" i="13"/>
  <c r="AB25" i="13"/>
  <c r="AB13" i="13"/>
  <c r="T27" i="13"/>
  <c r="V28" i="13"/>
  <c r="S26" i="13"/>
  <c r="V27" i="13"/>
  <c r="AB17" i="13"/>
  <c r="T25" i="13"/>
  <c r="AC16" i="13"/>
  <c r="S34" i="13"/>
  <c r="S22" i="13"/>
  <c r="S10" i="13"/>
  <c r="W4" i="13"/>
  <c r="V23" i="13"/>
  <c r="V11" i="13"/>
  <c r="T33" i="13"/>
  <c r="T21" i="13"/>
  <c r="T9" i="13"/>
  <c r="W34" i="13"/>
  <c r="W22" i="13"/>
  <c r="W10" i="13"/>
  <c r="Z29" i="13"/>
  <c r="Z17" i="13"/>
  <c r="Z5" i="13"/>
  <c r="AC24" i="13"/>
  <c r="AC12" i="13"/>
  <c r="S15" i="13"/>
  <c r="Z21" i="13"/>
  <c r="V26" i="13"/>
  <c r="V35" i="13" s="1"/>
  <c r="AC15" i="13"/>
  <c r="S33" i="13"/>
  <c r="S21" i="13"/>
  <c r="S9" i="13"/>
  <c r="V34" i="13"/>
  <c r="V22" i="13"/>
  <c r="V10" i="13"/>
  <c r="Y29" i="13"/>
  <c r="Y17" i="13"/>
  <c r="Y5" i="13"/>
  <c r="AB24" i="13"/>
  <c r="AB12" i="13"/>
  <c r="AC30" i="13"/>
  <c r="T13" i="13"/>
  <c r="AB28" i="13"/>
  <c r="W13" i="13"/>
  <c r="T32" i="13"/>
  <c r="T20" i="13"/>
  <c r="T8" i="13"/>
  <c r="W33" i="13"/>
  <c r="W21" i="13"/>
  <c r="W9" i="13"/>
  <c r="Z28" i="13"/>
  <c r="Z16" i="13"/>
  <c r="AB4" i="13"/>
  <c r="AC23" i="13"/>
  <c r="AC11" i="13"/>
  <c r="V16" i="13"/>
  <c r="V15" i="13"/>
  <c r="W26" i="13"/>
  <c r="W14" i="13"/>
  <c r="S32" i="13"/>
  <c r="S20" i="13"/>
  <c r="V33" i="13"/>
  <c r="V21" i="13"/>
  <c r="Y28" i="13"/>
  <c r="AC4" i="13"/>
  <c r="AB23" i="13"/>
  <c r="Q10" i="13"/>
  <c r="AF35" i="13"/>
  <c r="Q22" i="13"/>
  <c r="N13" i="13"/>
  <c r="Q32" i="13"/>
  <c r="P23" i="13"/>
  <c r="P11" i="13"/>
  <c r="Q11" i="13"/>
  <c r="M10" i="13"/>
  <c r="P8" i="13"/>
  <c r="M25" i="13"/>
  <c r="N15" i="13"/>
  <c r="M11" i="13"/>
  <c r="N17" i="13"/>
  <c r="K19" i="13"/>
  <c r="P33" i="13"/>
  <c r="M24" i="13"/>
  <c r="M31" i="13"/>
  <c r="N18" i="13"/>
  <c r="M26" i="13"/>
  <c r="J33" i="13"/>
  <c r="J9" i="13"/>
  <c r="K16" i="13"/>
  <c r="M29" i="13"/>
  <c r="M5" i="13"/>
  <c r="N12" i="13"/>
  <c r="P34" i="13"/>
  <c r="P22" i="13"/>
  <c r="P10" i="13"/>
  <c r="J32" i="13"/>
  <c r="J8" i="13"/>
  <c r="K15" i="13"/>
  <c r="M28" i="13"/>
  <c r="N4" i="13"/>
  <c r="N11" i="13"/>
  <c r="Q33" i="13"/>
  <c r="Q21" i="13"/>
  <c r="Q9" i="13"/>
  <c r="J29" i="13"/>
  <c r="K34" i="13"/>
  <c r="J26" i="13"/>
  <c r="K33" i="13"/>
  <c r="K9" i="13"/>
  <c r="M22" i="13"/>
  <c r="N29" i="13"/>
  <c r="N5" i="13"/>
  <c r="Q30" i="13"/>
  <c r="Q18" i="13"/>
  <c r="Q6" i="13"/>
  <c r="N34" i="13"/>
  <c r="N33" i="13"/>
  <c r="P32" i="13"/>
  <c r="N31" i="13"/>
  <c r="N30" i="13"/>
  <c r="J25" i="13"/>
  <c r="K32" i="13"/>
  <c r="K8" i="13"/>
  <c r="M21" i="13"/>
  <c r="N28" i="13"/>
  <c r="P30" i="13"/>
  <c r="P18" i="13"/>
  <c r="P6" i="13"/>
  <c r="P9" i="13"/>
  <c r="Q8" i="13"/>
  <c r="P20" i="13"/>
  <c r="J28" i="13"/>
  <c r="Q19" i="13"/>
  <c r="K10" i="13"/>
  <c r="P7" i="13"/>
  <c r="J24" i="13"/>
  <c r="K31" i="13"/>
  <c r="K7" i="13"/>
  <c r="M20" i="13"/>
  <c r="N27" i="13"/>
  <c r="Q29" i="13"/>
  <c r="Q17" i="13"/>
  <c r="Q5" i="13"/>
  <c r="P21" i="13"/>
  <c r="Q20" i="13"/>
  <c r="K4" i="13"/>
  <c r="Q7" i="13"/>
  <c r="J27" i="13"/>
  <c r="M23" i="13"/>
  <c r="P19" i="13"/>
  <c r="J23" i="13"/>
  <c r="K30" i="13"/>
  <c r="K6" i="13"/>
  <c r="M19" i="13"/>
  <c r="N26" i="13"/>
  <c r="P29" i="13"/>
  <c r="P17" i="13"/>
  <c r="P5" i="13"/>
  <c r="J11" i="13"/>
  <c r="M30" i="13"/>
  <c r="M27" i="13"/>
  <c r="N8" i="13"/>
  <c r="P31" i="13"/>
  <c r="J22" i="13"/>
  <c r="K29" i="13"/>
  <c r="K5" i="13"/>
  <c r="M18" i="13"/>
  <c r="N25" i="13"/>
  <c r="Q28" i="13"/>
  <c r="Q16" i="13"/>
  <c r="N9" i="13"/>
  <c r="N32" i="13"/>
  <c r="K11" i="13"/>
  <c r="N6" i="13"/>
  <c r="J21" i="13"/>
  <c r="K28" i="13"/>
  <c r="M17" i="13"/>
  <c r="N24" i="13"/>
  <c r="P28" i="13"/>
  <c r="P16" i="13"/>
  <c r="N14" i="13"/>
  <c r="K17" i="13"/>
  <c r="Q34" i="13"/>
  <c r="N10" i="13"/>
  <c r="J30" i="13"/>
  <c r="K12" i="13"/>
  <c r="Q31" i="13"/>
  <c r="J20" i="13"/>
  <c r="K27" i="13"/>
  <c r="M16" i="13"/>
  <c r="N23" i="13"/>
  <c r="Q27" i="13"/>
  <c r="Q15" i="13"/>
  <c r="J34" i="13"/>
  <c r="J10" i="13"/>
  <c r="M6" i="13"/>
  <c r="J31" i="13"/>
  <c r="J6" i="13"/>
  <c r="J5" i="13"/>
  <c r="N7" i="13"/>
  <c r="J19" i="13"/>
  <c r="K26" i="13"/>
  <c r="M15" i="13"/>
  <c r="N22" i="13"/>
  <c r="P27" i="13"/>
  <c r="P15" i="13"/>
  <c r="K14" i="13"/>
  <c r="K13" i="13"/>
  <c r="J18" i="13"/>
  <c r="K25" i="13"/>
  <c r="M14" i="13"/>
  <c r="N21" i="13"/>
  <c r="Q26" i="13"/>
  <c r="Q14" i="13"/>
  <c r="J7" i="13"/>
  <c r="J17" i="13"/>
  <c r="K24" i="13"/>
  <c r="M13" i="13"/>
  <c r="N20" i="13"/>
  <c r="P26" i="13"/>
  <c r="P14" i="13"/>
  <c r="M7" i="13"/>
  <c r="AE35" i="13"/>
  <c r="J16" i="13"/>
  <c r="K23" i="13"/>
  <c r="M12" i="13"/>
  <c r="N19" i="13"/>
  <c r="Q25" i="13"/>
  <c r="Q13" i="13"/>
  <c r="P25" i="13"/>
  <c r="P13" i="13"/>
  <c r="Q12" i="13"/>
  <c r="K18" i="13"/>
  <c r="J15" i="13"/>
  <c r="K22" i="13"/>
  <c r="M4" i="13"/>
  <c r="J14" i="13"/>
  <c r="K21" i="13"/>
  <c r="M34" i="13"/>
  <c r="Q24" i="13"/>
  <c r="J13" i="13"/>
  <c r="K20" i="13"/>
  <c r="M33" i="13"/>
  <c r="M9" i="13"/>
  <c r="N16" i="13"/>
  <c r="P4" i="13"/>
  <c r="P24" i="13"/>
  <c r="P12" i="13"/>
  <c r="J12" i="13"/>
  <c r="M32" i="13"/>
  <c r="M8" i="13"/>
  <c r="Q4" i="13"/>
  <c r="Q23" i="13"/>
  <c r="E23" i="13"/>
  <c r="E22" i="13"/>
  <c r="E19" i="13"/>
  <c r="E17" i="13"/>
  <c r="E15" i="13"/>
  <c r="H25" i="13"/>
  <c r="G15" i="13"/>
  <c r="H23" i="13"/>
  <c r="E8" i="13"/>
  <c r="E25" i="13"/>
  <c r="H16" i="13"/>
  <c r="E27" i="13"/>
  <c r="G14" i="13"/>
  <c r="G4" i="13"/>
  <c r="G12" i="13"/>
  <c r="H21" i="13"/>
  <c r="E24" i="13"/>
  <c r="H20" i="13"/>
  <c r="E21" i="13"/>
  <c r="G32" i="13"/>
  <c r="G8" i="13"/>
  <c r="H17" i="13"/>
  <c r="E20" i="13"/>
  <c r="H19" i="13"/>
  <c r="H15" i="13"/>
  <c r="G28" i="13"/>
  <c r="G5" i="13"/>
  <c r="H13" i="13"/>
  <c r="E16" i="13"/>
  <c r="E26" i="13"/>
  <c r="E18" i="13"/>
  <c r="H11" i="13"/>
  <c r="E14" i="13"/>
  <c r="G13" i="13"/>
  <c r="H14" i="13"/>
  <c r="H34" i="13"/>
  <c r="E13" i="13"/>
  <c r="G26" i="13"/>
  <c r="G25" i="13"/>
  <c r="H10" i="13"/>
  <c r="G24" i="13"/>
  <c r="H33" i="13"/>
  <c r="H9" i="13"/>
  <c r="E12" i="13"/>
  <c r="H22" i="13"/>
  <c r="G10" i="13"/>
  <c r="G31" i="13"/>
  <c r="G6" i="13"/>
  <c r="G23" i="13"/>
  <c r="H32" i="13"/>
  <c r="H8" i="13"/>
  <c r="E11" i="13"/>
  <c r="G11" i="13"/>
  <c r="H18" i="13"/>
  <c r="G7" i="13"/>
  <c r="G22" i="13"/>
  <c r="H31" i="13"/>
  <c r="E34" i="13"/>
  <c r="E10" i="13"/>
  <c r="H24" i="13"/>
  <c r="G34" i="13"/>
  <c r="G29" i="13"/>
  <c r="G27" i="13"/>
  <c r="G21" i="13"/>
  <c r="H30" i="13"/>
  <c r="H7" i="13"/>
  <c r="E33" i="13"/>
  <c r="E9" i="13"/>
  <c r="G33" i="13"/>
  <c r="G30" i="13"/>
  <c r="H4" i="13"/>
  <c r="G20" i="13"/>
  <c r="H29" i="13"/>
  <c r="H6" i="13"/>
  <c r="E32" i="13"/>
  <c r="G9" i="13"/>
  <c r="D15" i="13"/>
  <c r="G19" i="13"/>
  <c r="H28" i="13"/>
  <c r="H5" i="13"/>
  <c r="E31" i="13"/>
  <c r="G18" i="13"/>
  <c r="H27" i="13"/>
  <c r="E30" i="13"/>
  <c r="E7" i="13"/>
  <c r="D14" i="13"/>
  <c r="J4" i="13"/>
  <c r="H12" i="13"/>
  <c r="G17" i="13"/>
  <c r="H26" i="13"/>
  <c r="E29" i="13"/>
  <c r="E6" i="13"/>
  <c r="G16" i="13"/>
  <c r="E28" i="13"/>
  <c r="E5" i="13"/>
  <c r="D4" i="13"/>
  <c r="D12" i="13"/>
  <c r="D11" i="13"/>
  <c r="D13" i="13"/>
  <c r="D34" i="13"/>
  <c r="D32" i="13"/>
  <c r="D30" i="13"/>
  <c r="D29" i="13"/>
  <c r="D27" i="13"/>
  <c r="D26" i="13"/>
  <c r="D25" i="13"/>
  <c r="D24" i="13"/>
  <c r="D23" i="13"/>
  <c r="D22" i="13"/>
  <c r="D31" i="13"/>
  <c r="E4" i="13"/>
  <c r="D21" i="13"/>
  <c r="D9" i="13"/>
  <c r="D20" i="13"/>
  <c r="D7" i="13"/>
  <c r="D19" i="13"/>
  <c r="D33" i="13"/>
  <c r="D8" i="13"/>
  <c r="D28" i="13"/>
  <c r="D18" i="13"/>
  <c r="D17" i="13"/>
  <c r="D6" i="13"/>
  <c r="D10" i="13"/>
  <c r="D5" i="13"/>
  <c r="D16" i="13"/>
  <c r="K45" i="13"/>
  <c r="M45" i="13"/>
  <c r="T48" i="13"/>
  <c r="T75" i="13" s="1"/>
  <c r="P45" i="13"/>
  <c r="T45" i="13"/>
  <c r="N45" i="13"/>
  <c r="Z45" i="13"/>
  <c r="AF48" i="13"/>
  <c r="AF68" i="13" s="1"/>
  <c r="H48" i="13"/>
  <c r="AE45" i="13"/>
  <c r="Q45" i="13"/>
  <c r="K48" i="13"/>
  <c r="K90" i="13" s="1"/>
  <c r="Q48" i="13"/>
  <c r="AF45" i="13"/>
  <c r="V45" i="13"/>
  <c r="W45" i="13"/>
  <c r="AB45" i="13"/>
  <c r="W48" i="13"/>
  <c r="D45" i="13"/>
  <c r="E48" i="13"/>
  <c r="E45" i="13"/>
  <c r="AC48" i="13"/>
  <c r="AC89" i="13" s="1"/>
  <c r="G45" i="13"/>
  <c r="H45" i="13"/>
  <c r="Z48" i="13"/>
  <c r="S45" i="13"/>
  <c r="Y45" i="13"/>
  <c r="AC45" i="13"/>
  <c r="J45" i="13"/>
  <c r="N48" i="13"/>
  <c r="N88" i="13" s="1"/>
  <c r="W35" i="13" l="1"/>
  <c r="S35" i="13"/>
  <c r="Z35" i="13"/>
  <c r="AC35" i="13"/>
  <c r="T35" i="13"/>
  <c r="Y35" i="13"/>
  <c r="W68" i="13"/>
  <c r="Z70" i="13"/>
  <c r="P35" i="13"/>
  <c r="N35" i="13"/>
  <c r="M35" i="13"/>
  <c r="Q35" i="13"/>
  <c r="A43" i="13" s="1"/>
  <c r="Q65" i="13"/>
  <c r="K35" i="13"/>
  <c r="K81" i="13" s="1"/>
  <c r="G35" i="13"/>
  <c r="E35" i="13"/>
  <c r="E77" i="13" s="1"/>
  <c r="D35" i="13"/>
  <c r="J35" i="13"/>
  <c r="H35" i="13"/>
  <c r="H79" i="13" s="1"/>
  <c r="H66" i="13"/>
  <c r="E74" i="13"/>
  <c r="E57" i="13"/>
  <c r="E64" i="13"/>
  <c r="T55" i="13"/>
  <c r="E65" i="13"/>
  <c r="E55" i="13"/>
  <c r="E89" i="13"/>
  <c r="T70" i="13"/>
  <c r="N81" i="13"/>
  <c r="T89" i="13"/>
  <c r="T58" i="13"/>
  <c r="T72" i="13"/>
  <c r="N89" i="13"/>
  <c r="T76" i="13"/>
  <c r="T66" i="13"/>
  <c r="K65" i="13"/>
  <c r="T74" i="13"/>
  <c r="T62" i="13"/>
  <c r="T68" i="13"/>
  <c r="Z74" i="13"/>
  <c r="Z65" i="13"/>
  <c r="AC58" i="13"/>
  <c r="Z53" i="13"/>
  <c r="Z88" i="13"/>
  <c r="Z62" i="13"/>
  <c r="Z90" i="13"/>
  <c r="E67" i="13"/>
  <c r="E54" i="13"/>
  <c r="Z56" i="13"/>
  <c r="E75" i="13"/>
  <c r="AC74" i="13"/>
  <c r="Z71" i="13"/>
  <c r="AC88" i="13"/>
  <c r="Z58" i="13"/>
  <c r="Z55" i="13"/>
  <c r="AC70" i="13"/>
  <c r="Z69" i="13"/>
  <c r="Z72" i="13"/>
  <c r="E69" i="13"/>
  <c r="AC66" i="13"/>
  <c r="AC62" i="13"/>
  <c r="Z66" i="13"/>
  <c r="AC72" i="13"/>
  <c r="Z64" i="13"/>
  <c r="Z79" i="13"/>
  <c r="AC90" i="13"/>
  <c r="AC71" i="13"/>
  <c r="K53" i="13"/>
  <c r="Z67" i="13"/>
  <c r="Z89" i="13"/>
  <c r="Z57" i="13"/>
  <c r="AC56" i="13"/>
  <c r="E68" i="13"/>
  <c r="E70" i="13"/>
  <c r="AC75" i="13"/>
  <c r="AF64" i="13"/>
  <c r="AF65" i="13"/>
  <c r="AF55" i="13"/>
  <c r="N71" i="13"/>
  <c r="H74" i="13"/>
  <c r="H68" i="13"/>
  <c r="H69" i="13"/>
  <c r="E66" i="13"/>
  <c r="AF71" i="13"/>
  <c r="AF54" i="13"/>
  <c r="AF53" i="13"/>
  <c r="W76" i="13"/>
  <c r="H64" i="13"/>
  <c r="AF66" i="13"/>
  <c r="AF77" i="13"/>
  <c r="E53" i="13"/>
  <c r="AF88" i="13"/>
  <c r="AF56" i="13"/>
  <c r="E71" i="13"/>
  <c r="H58" i="13"/>
  <c r="H89" i="13"/>
  <c r="Z68" i="13"/>
  <c r="AF76" i="13"/>
  <c r="AF75" i="13"/>
  <c r="AF79" i="13"/>
  <c r="H70" i="13"/>
  <c r="H57" i="13"/>
  <c r="E72" i="13"/>
  <c r="T79" i="13"/>
  <c r="AF89" i="13"/>
  <c r="AF58" i="13"/>
  <c r="T90" i="13"/>
  <c r="T69" i="13"/>
  <c r="AF62" i="13"/>
  <c r="H62" i="13"/>
  <c r="T53" i="13"/>
  <c r="T67" i="13"/>
  <c r="AF90" i="13"/>
  <c r="H77" i="13"/>
  <c r="N76" i="13"/>
  <c r="N66" i="13"/>
  <c r="AF57" i="13"/>
  <c r="W53" i="13"/>
  <c r="W79" i="13"/>
  <c r="H90" i="13"/>
  <c r="N55" i="13"/>
  <c r="T54" i="13"/>
  <c r="W56" i="13"/>
  <c r="T56" i="13"/>
  <c r="T57" i="13"/>
  <c r="T71" i="13"/>
  <c r="W89" i="13"/>
  <c r="Z77" i="13"/>
  <c r="T64" i="13"/>
  <c r="AF67" i="13"/>
  <c r="H56" i="13"/>
  <c r="T88" i="13"/>
  <c r="T65" i="13"/>
  <c r="N74" i="13"/>
  <c r="W69" i="13"/>
  <c r="T77" i="13"/>
  <c r="AF69" i="13"/>
  <c r="H54" i="13"/>
  <c r="Z81" i="13"/>
  <c r="H75" i="13"/>
  <c r="Z54" i="13"/>
  <c r="E88" i="13"/>
  <c r="K76" i="13"/>
  <c r="K77" i="13"/>
  <c r="K62" i="13"/>
  <c r="K56" i="13"/>
  <c r="AC69" i="13"/>
  <c r="Q75" i="13"/>
  <c r="Q69" i="13"/>
  <c r="AC68" i="13"/>
  <c r="W70" i="13"/>
  <c r="Q54" i="13"/>
  <c r="W81" i="13"/>
  <c r="H72" i="13"/>
  <c r="K64" i="13"/>
  <c r="Q64" i="13"/>
  <c r="Q76" i="13"/>
  <c r="H76" i="13"/>
  <c r="Q58" i="13"/>
  <c r="Q89" i="13"/>
  <c r="W55" i="13"/>
  <c r="AC64" i="13"/>
  <c r="W66" i="13"/>
  <c r="K55" i="13"/>
  <c r="W75" i="13"/>
  <c r="Q90" i="13"/>
  <c r="AC81" i="13"/>
  <c r="H88" i="13"/>
  <c r="AC65" i="13"/>
  <c r="W54" i="13"/>
  <c r="K66" i="13"/>
  <c r="W71" i="13"/>
  <c r="Q74" i="13"/>
  <c r="K68" i="13"/>
  <c r="AC77" i="13"/>
  <c r="AC55" i="13"/>
  <c r="Q67" i="13"/>
  <c r="K72" i="13"/>
  <c r="E58" i="13"/>
  <c r="H65" i="13"/>
  <c r="AF74" i="13"/>
  <c r="H53" i="13"/>
  <c r="AF70" i="13"/>
  <c r="K67" i="13"/>
  <c r="W77" i="13"/>
  <c r="Z76" i="13"/>
  <c r="H55" i="13"/>
  <c r="W57" i="13"/>
  <c r="Z75" i="13"/>
  <c r="Q77" i="13"/>
  <c r="W62" i="13"/>
  <c r="K75" i="13"/>
  <c r="W67" i="13"/>
  <c r="K88" i="13"/>
  <c r="W65" i="13"/>
  <c r="W74" i="13"/>
  <c r="W90" i="13"/>
  <c r="K57" i="13"/>
  <c r="AC57" i="13"/>
  <c r="Q56" i="13"/>
  <c r="W64" i="13"/>
  <c r="Q53" i="13"/>
  <c r="Q72" i="13"/>
  <c r="Q62" i="13"/>
  <c r="K89" i="13"/>
  <c r="Q70" i="13"/>
  <c r="H71" i="13"/>
  <c r="Q88" i="13"/>
  <c r="E76" i="13"/>
  <c r="K58" i="13"/>
  <c r="K54" i="13"/>
  <c r="AC76" i="13"/>
  <c r="E62" i="13"/>
  <c r="K74" i="13"/>
  <c r="H67" i="13"/>
  <c r="W88" i="13"/>
  <c r="K70" i="13"/>
  <c r="Q68" i="13"/>
  <c r="Q66" i="13"/>
  <c r="E56" i="13"/>
  <c r="Q71" i="13"/>
  <c r="Q55" i="13"/>
  <c r="K71" i="13"/>
  <c r="Q57" i="13"/>
  <c r="AC53" i="13"/>
  <c r="W58" i="13"/>
  <c r="AC54" i="13"/>
  <c r="K69" i="13"/>
  <c r="AF72" i="13"/>
  <c r="W72" i="13"/>
  <c r="AC67" i="13"/>
  <c r="E90" i="13"/>
  <c r="E79" i="13"/>
  <c r="T81" i="13"/>
  <c r="AC79" i="13"/>
  <c r="AF81" i="13"/>
  <c r="E81" i="13"/>
  <c r="N79" i="13"/>
  <c r="N90" i="13"/>
  <c r="N70" i="13"/>
  <c r="N54" i="13"/>
  <c r="N67" i="13"/>
  <c r="N68" i="13"/>
  <c r="N57" i="13"/>
  <c r="N64" i="13"/>
  <c r="N72" i="13"/>
  <c r="N56" i="13"/>
  <c r="N75" i="13"/>
  <c r="N69" i="13"/>
  <c r="N62" i="13"/>
  <c r="N77" i="13"/>
  <c r="N58" i="13"/>
  <c r="AH48" i="13"/>
  <c r="AJ48" i="13" s="1"/>
  <c r="N53" i="13"/>
  <c r="N65" i="13"/>
  <c r="Q81" i="13" l="1"/>
  <c r="Q79" i="13"/>
  <c r="K79" i="13"/>
  <c r="H81" i="13"/>
  <c r="AC91" i="13"/>
  <c r="H91" i="13"/>
  <c r="E91" i="13"/>
  <c r="Z91" i="13"/>
  <c r="T91" i="13"/>
  <c r="N91" i="13"/>
  <c r="W83" i="13"/>
  <c r="T83" i="13"/>
  <c r="AF91" i="13"/>
  <c r="Z83" i="13"/>
  <c r="Q91" i="13"/>
  <c r="K91" i="13"/>
  <c r="Q83" i="13"/>
  <c r="H83" i="13"/>
  <c r="W91" i="13"/>
  <c r="AC83" i="13"/>
  <c r="E83" i="13"/>
  <c r="AF83" i="13"/>
  <c r="K83" i="13"/>
  <c r="N83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<sst xmlns="http://schemas.openxmlformats.org/spreadsheetml/2006/main" count="84210" uniqueCount="4302">
  <si>
    <t>OBJECTID</t>
  </si>
  <si>
    <t>Field_ID</t>
  </si>
  <si>
    <t>Basin</t>
  </si>
  <si>
    <t>Sub_Basin</t>
  </si>
  <si>
    <t>Inspector_1</t>
  </si>
  <si>
    <t>Inspector_2</t>
  </si>
  <si>
    <t>Inspection_Date</t>
  </si>
  <si>
    <t>Water_Righted_Acreage</t>
  </si>
  <si>
    <t>Decree</t>
  </si>
  <si>
    <t>System</t>
  </si>
  <si>
    <t>SysCode</t>
  </si>
  <si>
    <t>Unit</t>
  </si>
  <si>
    <t>UCode</t>
  </si>
  <si>
    <t>Ditch</t>
  </si>
  <si>
    <t>Crop_Code</t>
  </si>
  <si>
    <t>Crop_Type</t>
  </si>
  <si>
    <t>Computed_Acreage</t>
  </si>
  <si>
    <t>Irr_Code</t>
  </si>
  <si>
    <t>Irr_Method</t>
  </si>
  <si>
    <t>Remarks</t>
  </si>
  <si>
    <t>Season</t>
  </si>
  <si>
    <t>Mapsheet</t>
  </si>
  <si>
    <t>Sections</t>
  </si>
  <si>
    <t>File_nbr</t>
  </si>
  <si>
    <t>Tws</t>
  </si>
  <si>
    <t>Rng</t>
  </si>
  <si>
    <t>Sec</t>
  </si>
  <si>
    <t>County</t>
  </si>
  <si>
    <t>Owner</t>
  </si>
  <si>
    <t>Priority</t>
  </si>
  <si>
    <t>No_Adjudicated_Water_Right</t>
  </si>
  <si>
    <t>Subfile</t>
  </si>
  <si>
    <t>PLSS QQQ</t>
  </si>
  <si>
    <t>Pla_rec_nbr</t>
  </si>
  <si>
    <t>Shape_Length</t>
  </si>
  <si>
    <t>Shape_Area</t>
  </si>
  <si>
    <t>VV</t>
  </si>
  <si>
    <t>MM</t>
  </si>
  <si>
    <t>&lt;Null&gt;</t>
  </si>
  <si>
    <t>Globe Equity Decree</t>
  </si>
  <si>
    <t>Gila River</t>
  </si>
  <si>
    <t>GR</t>
  </si>
  <si>
    <t>Virden Valey</t>
  </si>
  <si>
    <t>Sunset Canal</t>
  </si>
  <si>
    <t>AL</t>
  </si>
  <si>
    <t>Alfalfa</t>
  </si>
  <si>
    <t>1</t>
  </si>
  <si>
    <t>Flood irrigated</t>
  </si>
  <si>
    <t>T19S</t>
  </si>
  <si>
    <t>R20W</t>
  </si>
  <si>
    <t>17</t>
  </si>
  <si>
    <t>HI</t>
  </si>
  <si>
    <t>CS</t>
  </si>
  <si>
    <t>Corn (Silage)</t>
  </si>
  <si>
    <t>18</t>
  </si>
  <si>
    <t>SSG</t>
  </si>
  <si>
    <t>Spring Small Grains</t>
  </si>
  <si>
    <t xml:space="preserve"> </t>
  </si>
  <si>
    <t>CO</t>
  </si>
  <si>
    <t>Cotton</t>
  </si>
  <si>
    <t>2</t>
  </si>
  <si>
    <t>7</t>
  </si>
  <si>
    <t>FA</t>
  </si>
  <si>
    <t>Fallow, idle or otherwise not irrigated</t>
  </si>
  <si>
    <t>4</t>
  </si>
  <si>
    <t>Not irrigated</t>
  </si>
  <si>
    <t>Sprinkler irrigated</t>
  </si>
  <si>
    <t>PEI</t>
  </si>
  <si>
    <t>Pecans ISC</t>
  </si>
  <si>
    <t>R21W</t>
  </si>
  <si>
    <t>12</t>
  </si>
  <si>
    <t>13</t>
  </si>
  <si>
    <t>Arizona v California</t>
  </si>
  <si>
    <t>3</t>
  </si>
  <si>
    <t>Drip irrigated</t>
  </si>
  <si>
    <t>5</t>
  </si>
  <si>
    <t>6</t>
  </si>
  <si>
    <t>PU</t>
  </si>
  <si>
    <t>Pasture (Unimproved)</t>
  </si>
  <si>
    <t>PN</t>
  </si>
  <si>
    <t>Pasture (Native)</t>
  </si>
  <si>
    <t>HA</t>
  </si>
  <si>
    <t>Hay (all other)</t>
  </si>
  <si>
    <t>Sub-irrigated</t>
  </si>
  <si>
    <t>No water applied to surface well or surface subirrigated</t>
  </si>
  <si>
    <t xml:space="preserve">new pecan trees planted surrounded by grasses/native   </t>
  </si>
  <si>
    <t>8</t>
  </si>
  <si>
    <t>PIC</t>
  </si>
  <si>
    <t>Pasture (Improved/Planted, Cool Grass)</t>
  </si>
  <si>
    <t>76 Slash Cattle, LLC  c/o Jim W. Haught</t>
  </si>
  <si>
    <t>VV-00220</t>
  </si>
  <si>
    <t>Virden Valley</t>
  </si>
  <si>
    <t>School</t>
  </si>
  <si>
    <t>1900</t>
  </si>
  <si>
    <t>VV-00311</t>
  </si>
  <si>
    <t>Sunset Ditch</t>
  </si>
  <si>
    <t>TW</t>
  </si>
  <si>
    <t>Turfgrass (Warm Season)</t>
  </si>
  <si>
    <t>VV-00312</t>
  </si>
  <si>
    <t>MON</t>
  </si>
  <si>
    <t>Misc. Outdoor Nursery Stock</t>
  </si>
  <si>
    <t>VV-00313</t>
  </si>
  <si>
    <t>VV-00314</t>
  </si>
  <si>
    <t>VV-00315</t>
  </si>
  <si>
    <t>VV-00316</t>
  </si>
  <si>
    <t>VV-00317</t>
  </si>
  <si>
    <t>VV-00318</t>
  </si>
  <si>
    <t>VV-00319</t>
  </si>
  <si>
    <t>VV-00320</t>
  </si>
  <si>
    <t>VV-00321</t>
  </si>
  <si>
    <t>10</t>
  </si>
  <si>
    <t>PI</t>
  </si>
  <si>
    <t>Pistachios</t>
  </si>
  <si>
    <t>PIW</t>
  </si>
  <si>
    <t>Pasture (improved/Planted, Warm Grass)</t>
  </si>
  <si>
    <t>RW</t>
  </si>
  <si>
    <t>Stock Tank Retaining water (note volume in remarks)</t>
  </si>
  <si>
    <t>75% full</t>
  </si>
  <si>
    <t>9</t>
  </si>
  <si>
    <t>11</t>
  </si>
  <si>
    <t>T18S</t>
  </si>
  <si>
    <t>33</t>
  </si>
  <si>
    <t>WSG</t>
  </si>
  <si>
    <t>Winter Small Grains</t>
  </si>
  <si>
    <t>32</t>
  </si>
  <si>
    <t>14</t>
  </si>
  <si>
    <t>New Modell</t>
  </si>
  <si>
    <t>Lazy B Ranch, LLC</t>
  </si>
  <si>
    <t>04/09/52</t>
  </si>
  <si>
    <t>ONG</t>
  </si>
  <si>
    <t>Orchard (no ground cover)</t>
  </si>
  <si>
    <t>VV_00218</t>
  </si>
  <si>
    <t xml:space="preserve">1874 </t>
  </si>
  <si>
    <t>Orchard (ground cover)</t>
  </si>
  <si>
    <t>CT</t>
  </si>
  <si>
    <t>Chistmas Trees</t>
  </si>
  <si>
    <t>Holding Pen</t>
  </si>
  <si>
    <t>Reservoir Retaining water (note volume in remarks)</t>
  </si>
  <si>
    <t xml:space="preserve">50% full </t>
  </si>
  <si>
    <t>31</t>
  </si>
  <si>
    <t>Orchard does not appear to have been irrigated</t>
  </si>
  <si>
    <t>RD</t>
  </si>
  <si>
    <t>Reservoir Dry</t>
  </si>
  <si>
    <t>VV-00370</t>
  </si>
  <si>
    <t>C. Pirtel</t>
  </si>
  <si>
    <t>1885</t>
  </si>
  <si>
    <t>MFC</t>
  </si>
  <si>
    <t>Misc. Field Crops</t>
  </si>
  <si>
    <t>SS-00001</t>
  </si>
  <si>
    <t>SS</t>
  </si>
  <si>
    <t>San Simon Creek</t>
  </si>
  <si>
    <t>SC</t>
  </si>
  <si>
    <t>San Simon</t>
  </si>
  <si>
    <t>T26S</t>
  </si>
  <si>
    <t>R22W</t>
  </si>
  <si>
    <t>United States of America</t>
  </si>
  <si>
    <t>1954</t>
  </si>
  <si>
    <t>SS-00002</t>
  </si>
  <si>
    <t>State of New Mexico Dept. of Game and Fish</t>
  </si>
  <si>
    <t>0</t>
  </si>
  <si>
    <t>SS-00003</t>
  </si>
  <si>
    <t>SS-00004</t>
  </si>
  <si>
    <t>SS-00005</t>
  </si>
  <si>
    <t>T25S</t>
  </si>
  <si>
    <t>SS-00006</t>
  </si>
  <si>
    <t>SS-00007</t>
  </si>
  <si>
    <t>SS-00008</t>
  </si>
  <si>
    <t>SS-00009</t>
  </si>
  <si>
    <t>SS-00010</t>
  </si>
  <si>
    <t>SS-00011</t>
  </si>
  <si>
    <t>SS-00012</t>
  </si>
  <si>
    <t>Roosevelt Theodore Robb and May Belle Robb</t>
  </si>
  <si>
    <t>SS-00013</t>
  </si>
  <si>
    <t>SS-00014</t>
  </si>
  <si>
    <t>SS-00015</t>
  </si>
  <si>
    <t>SS-108</t>
  </si>
  <si>
    <t>SS-00016</t>
  </si>
  <si>
    <t>SS-00017</t>
  </si>
  <si>
    <t>SS-00018</t>
  </si>
  <si>
    <t>SS-00019</t>
  </si>
  <si>
    <t>19</t>
  </si>
  <si>
    <t>SS-00020</t>
  </si>
  <si>
    <t>24</t>
  </si>
  <si>
    <t>SS-00021</t>
  </si>
  <si>
    <t>Swimming Pool, not filled with water</t>
  </si>
  <si>
    <t>SS-00022</t>
  </si>
  <si>
    <t>SS-00023</t>
  </si>
  <si>
    <t>SS-00024</t>
  </si>
  <si>
    <t xml:space="preserve">100% Full </t>
  </si>
  <si>
    <t>SS-00025</t>
  </si>
  <si>
    <t>SS-00026</t>
  </si>
  <si>
    <t>SS-00030</t>
  </si>
  <si>
    <t>Early season grain</t>
  </si>
  <si>
    <t>4A</t>
  </si>
  <si>
    <t>SS-00032</t>
  </si>
  <si>
    <t>SS-00033</t>
  </si>
  <si>
    <t>SS-00034</t>
  </si>
  <si>
    <t>SS-00035</t>
  </si>
  <si>
    <t>SS-00036</t>
  </si>
  <si>
    <t>SS-00037</t>
  </si>
  <si>
    <t>SS-23,24</t>
  </si>
  <si>
    <t>E.J. Bagwell and Charlotte Bagwell</t>
  </si>
  <si>
    <t>1945</t>
  </si>
  <si>
    <t>SS-00038</t>
  </si>
  <si>
    <t>SS-00039</t>
  </si>
  <si>
    <t>SS-00040</t>
  </si>
  <si>
    <t>SS-00041</t>
  </si>
  <si>
    <t>SS-00042</t>
  </si>
  <si>
    <t>SS-00043</t>
  </si>
  <si>
    <t>SS-00044</t>
  </si>
  <si>
    <t>SS-00045</t>
  </si>
  <si>
    <t>SS-00046</t>
  </si>
  <si>
    <t>SS-00047</t>
  </si>
  <si>
    <t>State of New Mexico</t>
  </si>
  <si>
    <t>SS-00071</t>
  </si>
  <si>
    <t>SS-00072</t>
  </si>
  <si>
    <t>James F. Richards</t>
  </si>
  <si>
    <t>SS-00073</t>
  </si>
  <si>
    <t>James F. Richards and Sally Ann Richards</t>
  </si>
  <si>
    <t>SS-00074</t>
  </si>
  <si>
    <t>SS-00075</t>
  </si>
  <si>
    <t>SS-00076</t>
  </si>
  <si>
    <t>SS-6</t>
  </si>
  <si>
    <t>C.L. Johnston and Fay Rose Johnston</t>
  </si>
  <si>
    <t>1952</t>
  </si>
  <si>
    <t>SS-00077</t>
  </si>
  <si>
    <t>SS-00079</t>
  </si>
  <si>
    <t>SS-00080</t>
  </si>
  <si>
    <t>SS-00082</t>
  </si>
  <si>
    <t>SS-00083</t>
  </si>
  <si>
    <t>SS-33,37</t>
  </si>
  <si>
    <t>Jack Hoggett and Annie Lee Hoggett</t>
  </si>
  <si>
    <t>1949</t>
  </si>
  <si>
    <t>SS-00085</t>
  </si>
  <si>
    <t>SS-27,28</t>
  </si>
  <si>
    <t>Rosalio Alba and Maria Alba</t>
  </si>
  <si>
    <t>1953</t>
  </si>
  <si>
    <t>SS-00086</t>
  </si>
  <si>
    <t>SS-41</t>
  </si>
  <si>
    <t>Earl A. Merrell and Mary Merrell</t>
  </si>
  <si>
    <t>SS-00087</t>
  </si>
  <si>
    <t>SS-00089</t>
  </si>
  <si>
    <t>SS-00090</t>
  </si>
  <si>
    <t>None</t>
  </si>
  <si>
    <t>Bufford Martin</t>
  </si>
  <si>
    <t>1947</t>
  </si>
  <si>
    <t>SS-00091</t>
  </si>
  <si>
    <t>SS-00092</t>
  </si>
  <si>
    <t>SS-00093</t>
  </si>
  <si>
    <t>SS-37</t>
  </si>
  <si>
    <t>1958</t>
  </si>
  <si>
    <t>SS-00094</t>
  </si>
  <si>
    <t>SS-00095</t>
  </si>
  <si>
    <t>SS-00096</t>
  </si>
  <si>
    <t>SS-00097</t>
  </si>
  <si>
    <t>SS-00098</t>
  </si>
  <si>
    <t>SS-00099</t>
  </si>
  <si>
    <t>SS-00100</t>
  </si>
  <si>
    <t>SS-2</t>
  </si>
  <si>
    <t>Boyce H. Lines and Carol M. Lines</t>
  </si>
  <si>
    <t>1950</t>
  </si>
  <si>
    <t>SS-00101</t>
  </si>
  <si>
    <t>SS-00102</t>
  </si>
  <si>
    <t>SS-00103</t>
  </si>
  <si>
    <t>SS-33,38</t>
  </si>
  <si>
    <t>Jack Hoggett</t>
  </si>
  <si>
    <t>SS-00104</t>
  </si>
  <si>
    <t>SS-00105</t>
  </si>
  <si>
    <t>SS-00106</t>
  </si>
  <si>
    <t>SS-00107</t>
  </si>
  <si>
    <t>SS-00108</t>
  </si>
  <si>
    <t>SS-00109</t>
  </si>
  <si>
    <t>SS-7,8,9</t>
  </si>
  <si>
    <t>Bill Veck</t>
  </si>
  <si>
    <t>SS-00110</t>
  </si>
  <si>
    <t>SS-00111</t>
  </si>
  <si>
    <t>SS-00112</t>
  </si>
  <si>
    <t>SS-00113</t>
  </si>
  <si>
    <t>SS-00114</t>
  </si>
  <si>
    <t>SS-00115</t>
  </si>
  <si>
    <t>SS-27</t>
  </si>
  <si>
    <t>SS-00116</t>
  </si>
  <si>
    <t>SS-00117</t>
  </si>
  <si>
    <t>SS-00118</t>
  </si>
  <si>
    <t>SS-28,29</t>
  </si>
  <si>
    <t>SS-00119</t>
  </si>
  <si>
    <t>SS-00120</t>
  </si>
  <si>
    <t>SS-00121</t>
  </si>
  <si>
    <t>SS-1</t>
  </si>
  <si>
    <t>Harry D. and Rosemary Turner</t>
  </si>
  <si>
    <t>SS-00122</t>
  </si>
  <si>
    <t>SS-00123</t>
  </si>
  <si>
    <t>SS-00124</t>
  </si>
  <si>
    <t>SS-00125</t>
  </si>
  <si>
    <t>SS-00126</t>
  </si>
  <si>
    <t>SS-00127</t>
  </si>
  <si>
    <t>SS-00128</t>
  </si>
  <si>
    <t>SS-9</t>
  </si>
  <si>
    <t>SS-00129</t>
  </si>
  <si>
    <t>SS-00130</t>
  </si>
  <si>
    <t>SS-00131</t>
  </si>
  <si>
    <t>SS-00132</t>
  </si>
  <si>
    <t>SS-00134</t>
  </si>
  <si>
    <t>SS-4,5</t>
  </si>
  <si>
    <t>Walter A. Turner and Jacqueline Turner</t>
  </si>
  <si>
    <t>SS-00135</t>
  </si>
  <si>
    <t>SS-00136</t>
  </si>
  <si>
    <t>SS-00137</t>
  </si>
  <si>
    <t>SS-00138</t>
  </si>
  <si>
    <t>SS-00139</t>
  </si>
  <si>
    <t>SS-7,9</t>
  </si>
  <si>
    <t>SS-00141</t>
  </si>
  <si>
    <t>SS-00142</t>
  </si>
  <si>
    <t>SS-00144</t>
  </si>
  <si>
    <t>SS-00145</t>
  </si>
  <si>
    <t>SS-00148</t>
  </si>
  <si>
    <t>SS-15,16</t>
  </si>
  <si>
    <t>1959</t>
  </si>
  <si>
    <t>SS-00151</t>
  </si>
  <si>
    <t>SS-00152</t>
  </si>
  <si>
    <t>SS-00153</t>
  </si>
  <si>
    <t>SS-00159</t>
  </si>
  <si>
    <t>SS-16</t>
  </si>
  <si>
    <t>SS-00160</t>
  </si>
  <si>
    <t>SS-00167</t>
  </si>
  <si>
    <t>SS-3,17,</t>
  </si>
  <si>
    <t>William G. Richards and Ruby Lee Richards</t>
  </si>
  <si>
    <t>SS-00171</t>
  </si>
  <si>
    <t>SS-00172</t>
  </si>
  <si>
    <t>SS-00173</t>
  </si>
  <si>
    <t>SS-00175</t>
  </si>
  <si>
    <t>SS-18</t>
  </si>
  <si>
    <t>SS-00176</t>
  </si>
  <si>
    <t>SS-00177</t>
  </si>
  <si>
    <t>SS-00178</t>
  </si>
  <si>
    <t>SS-00179</t>
  </si>
  <si>
    <t>SS-3</t>
  </si>
  <si>
    <t>SS-00180</t>
  </si>
  <si>
    <t>SS-00181</t>
  </si>
  <si>
    <t>SS-00182</t>
  </si>
  <si>
    <t>SS-00183</t>
  </si>
  <si>
    <t>SS-00184</t>
  </si>
  <si>
    <t>SS-00185</t>
  </si>
  <si>
    <t>SS-00189</t>
  </si>
  <si>
    <t>SS-00190</t>
  </si>
  <si>
    <t>SS-00192</t>
  </si>
  <si>
    <t>SS-00193</t>
  </si>
  <si>
    <t>SS-00194</t>
  </si>
  <si>
    <t>SS-00195</t>
  </si>
  <si>
    <t>SS-00196</t>
  </si>
  <si>
    <t>SS-00197</t>
  </si>
  <si>
    <t>SS-10</t>
  </si>
  <si>
    <t>HOLLY HUGHES LAPIN</t>
  </si>
  <si>
    <t>SS-00198</t>
  </si>
  <si>
    <t>SS-00069</t>
  </si>
  <si>
    <t>SS-34,35</t>
  </si>
  <si>
    <t>SS-00070</t>
  </si>
  <si>
    <t>SS-36</t>
  </si>
  <si>
    <t>SS-00133</t>
  </si>
  <si>
    <t>SS-14,15</t>
  </si>
  <si>
    <t>SS-00140</t>
  </si>
  <si>
    <t>SS-00146</t>
  </si>
  <si>
    <t>SS-00147</t>
  </si>
  <si>
    <t>SS-14</t>
  </si>
  <si>
    <t>SS-00155</t>
  </si>
  <si>
    <t>Abandoned</t>
  </si>
  <si>
    <t>SS-00161</t>
  </si>
  <si>
    <t>SS-4</t>
  </si>
  <si>
    <t>SS-00163</t>
  </si>
  <si>
    <t>Empty</t>
  </si>
  <si>
    <t>SS-00154</t>
  </si>
  <si>
    <t>SS-00156</t>
  </si>
  <si>
    <t>Found out January 1961</t>
  </si>
  <si>
    <t>SS-00157</t>
  </si>
  <si>
    <t>SS-00162</t>
  </si>
  <si>
    <t>GSUG-00001</t>
  </si>
  <si>
    <t>GSF</t>
  </si>
  <si>
    <t>GSUG</t>
  </si>
  <si>
    <t>Upper Gila</t>
  </si>
  <si>
    <t>UG</t>
  </si>
  <si>
    <t>OSE File No. 01688, Clark Ditch No. 2</t>
  </si>
  <si>
    <t>01688</t>
  </si>
  <si>
    <t>T16S</t>
  </si>
  <si>
    <t>R15W</t>
  </si>
  <si>
    <t xml:space="preserve"> Billie Jo Clard &amp; Lucy Tabb Clark</t>
  </si>
  <si>
    <t>359</t>
  </si>
  <si>
    <t>GSUG-00002</t>
  </si>
  <si>
    <t>OSE File No. 01688, Clark Ditch No. 1</t>
  </si>
  <si>
    <t>GSUG-00003</t>
  </si>
  <si>
    <t>GSUG-00004</t>
  </si>
  <si>
    <t>Spring to the east irrigates area</t>
  </si>
  <si>
    <t>GSUG-00005</t>
  </si>
  <si>
    <t>OSE File No. 01688, Clark Ditch No. 1, Reservoir Dry</t>
  </si>
  <si>
    <t>GSUG-00006</t>
  </si>
  <si>
    <t xml:space="preserve">OSE File No. 01910, Franks Pump, Reservoir, Dry </t>
  </si>
  <si>
    <t>01910</t>
  </si>
  <si>
    <t>R14W</t>
  </si>
  <si>
    <t>23</t>
  </si>
  <si>
    <t xml:space="preserve"> Randolph Franks</t>
  </si>
  <si>
    <t>1907</t>
  </si>
  <si>
    <t>440</t>
  </si>
  <si>
    <t>GSUG-00007</t>
  </si>
  <si>
    <t>OUT</t>
  </si>
  <si>
    <t>Out Areas</t>
  </si>
  <si>
    <t>OSE FIle No. 01910, Water Rights transfered into GSF-440</t>
  </si>
  <si>
    <t>GSUG-00009</t>
  </si>
  <si>
    <t>GSUG-00010</t>
  </si>
  <si>
    <t>GSUG-00011</t>
  </si>
  <si>
    <t>TC</t>
  </si>
  <si>
    <t>Turfgrass (Cool Season)</t>
  </si>
  <si>
    <t>3-A</t>
  </si>
  <si>
    <t>GSF-1603 &amp; GSF-1603-S</t>
  </si>
  <si>
    <t>T15S</t>
  </si>
  <si>
    <t>R12W</t>
  </si>
  <si>
    <t>113</t>
  </si>
  <si>
    <t>GSUG-00012</t>
  </si>
  <si>
    <t>OSE FIle No. GSF-1603 &amp; GSF-1603-S, Permitted</t>
  </si>
  <si>
    <t>GSUG-00013</t>
  </si>
  <si>
    <t>OSE File No. 01517, Heart Bar Ditch #5</t>
  </si>
  <si>
    <t>01517</t>
  </si>
  <si>
    <t>T14S</t>
  </si>
  <si>
    <t>R13W</t>
  </si>
  <si>
    <t>1882</t>
  </si>
  <si>
    <t>524</t>
  </si>
  <si>
    <t>GSUG-00014</t>
  </si>
  <si>
    <t>OSE File No. 01517, Heart Bar Ditch #4</t>
  </si>
  <si>
    <t>GSUG-00015</t>
  </si>
  <si>
    <t xml:space="preserve">OSE File No. 01517, Heart Bar Ditch #3 </t>
  </si>
  <si>
    <t>GSUG-00016</t>
  </si>
  <si>
    <t>OSE File No. 01517, Heart Bar Ditch #2</t>
  </si>
  <si>
    <t xml:space="preserve"> J &amp; I Houghtaling &amp; Federal Land Bank</t>
  </si>
  <si>
    <t>GSUG-00017</t>
  </si>
  <si>
    <t>GSUG-00018</t>
  </si>
  <si>
    <t>OSE File No. 01517, Heart Bar Ditch #2, Reservoir, 25% Full</t>
  </si>
  <si>
    <t>GSUG-00019</t>
  </si>
  <si>
    <t>OSE File No. 01517, Heart Bar Ditch #1</t>
  </si>
  <si>
    <t xml:space="preserve"> Heart Bar Ranch Inc.</t>
  </si>
  <si>
    <t>GSUG-00020</t>
  </si>
  <si>
    <t xml:space="preserve">OSE File No. 01907, Private Ditch </t>
  </si>
  <si>
    <t>01907</t>
  </si>
  <si>
    <t>T13S</t>
  </si>
  <si>
    <t>08</t>
  </si>
  <si>
    <t xml:space="preserve"> U.S.D.A. Forest Service</t>
  </si>
  <si>
    <t>464</t>
  </si>
  <si>
    <t>GSUG-00021</t>
  </si>
  <si>
    <t>09</t>
  </si>
  <si>
    <t>GSUG-00022</t>
  </si>
  <si>
    <t>GSUG-00023</t>
  </si>
  <si>
    <t>GSUG-00024</t>
  </si>
  <si>
    <t>OSE File No. 01480, West Fork Ditch No. 1</t>
  </si>
  <si>
    <t>01480</t>
  </si>
  <si>
    <t>T12S</t>
  </si>
  <si>
    <t>26</t>
  </si>
  <si>
    <t>CA</t>
  </si>
  <si>
    <t xml:space="preserve"> New Mexico Game &amp; Fish</t>
  </si>
  <si>
    <t>1901</t>
  </si>
  <si>
    <t>530</t>
  </si>
  <si>
    <t>GSUG-00025</t>
  </si>
  <si>
    <t xml:space="preserve"> U.S.D.A Forest Service</t>
  </si>
  <si>
    <t>GSUG-00026</t>
  </si>
  <si>
    <t>25</t>
  </si>
  <si>
    <t>GSUG-00027</t>
  </si>
  <si>
    <t>OSE File No. 01480, West Fork Ditch No. 2</t>
  </si>
  <si>
    <t>GSUG-00028</t>
  </si>
  <si>
    <t>OSE File No. 01480, West Fork Ditch</t>
  </si>
  <si>
    <t>GSUG-00034</t>
  </si>
  <si>
    <t>GSUG-00035</t>
  </si>
  <si>
    <t>OSE File No. 01480, Middle Fork Ditch</t>
  </si>
  <si>
    <t>GSUG-00036</t>
  </si>
  <si>
    <t>OSE File No. 3382. Permitted</t>
  </si>
  <si>
    <t>3382</t>
  </si>
  <si>
    <t>05</t>
  </si>
  <si>
    <t>GSUG-00037</t>
  </si>
  <si>
    <t>GSUG-00038</t>
  </si>
  <si>
    <t>OSE File No. GSF-1958, Permitted</t>
  </si>
  <si>
    <t>GSF-1958</t>
  </si>
  <si>
    <t>06/09/1961</t>
  </si>
  <si>
    <t>GSUG-00039</t>
  </si>
  <si>
    <t>GSUG-00040</t>
  </si>
  <si>
    <t>Gila Hot Sping Ditch</t>
  </si>
  <si>
    <t>OSE File No. 01554, Gila Hot Springs Ditch, 0.2 acres moved off</t>
  </si>
  <si>
    <t>01731</t>
  </si>
  <si>
    <t xml:space="preserve"> Dorothy l. Porterfield</t>
  </si>
  <si>
    <t>1895</t>
  </si>
  <si>
    <t>545</t>
  </si>
  <si>
    <t>GSUG-00041</t>
  </si>
  <si>
    <t xml:space="preserve"> Sydney L. &amp; R. Curtis</t>
  </si>
  <si>
    <t>403</t>
  </si>
  <si>
    <t>GSUG-00042</t>
  </si>
  <si>
    <t xml:space="preserve"> L.L. Woodworth</t>
  </si>
  <si>
    <t>618</t>
  </si>
  <si>
    <t>GSUG-00043</t>
  </si>
  <si>
    <t>465</t>
  </si>
  <si>
    <t>GSUG-00044</t>
  </si>
  <si>
    <t>Out Area, Possible illegal irrigation</t>
  </si>
  <si>
    <t>Out Area</t>
  </si>
  <si>
    <t>GSUG-00045</t>
  </si>
  <si>
    <t>GSUG-00046</t>
  </si>
  <si>
    <t>01453</t>
  </si>
  <si>
    <t>621</t>
  </si>
  <si>
    <t>GSUG-00047</t>
  </si>
  <si>
    <t xml:space="preserve"> Edith Guthrey</t>
  </si>
  <si>
    <t>355</t>
  </si>
  <si>
    <t>GSUG-00048</t>
  </si>
  <si>
    <t>01574</t>
  </si>
  <si>
    <t xml:space="preserve"> Edgar Cureton</t>
  </si>
  <si>
    <t>402</t>
  </si>
  <si>
    <t>GSUG-00049</t>
  </si>
  <si>
    <t xml:space="preserve"> Gilbert Bailey</t>
  </si>
  <si>
    <t>361</t>
  </si>
  <si>
    <t>GSUG-00050</t>
  </si>
  <si>
    <t xml:space="preserve"> D.A. &amp; Ida Campbell</t>
  </si>
  <si>
    <t>379 &amp; 380</t>
  </si>
  <si>
    <t>GSUG-00051</t>
  </si>
  <si>
    <t xml:space="preserve"> Naomi Wrinkle</t>
  </si>
  <si>
    <t>GSUG-00052</t>
  </si>
  <si>
    <t xml:space="preserve"> S.E. &amp; Ann Steepe/ J.R. Wrinkle</t>
  </si>
  <si>
    <t>587</t>
  </si>
  <si>
    <t>GSUG-00053</t>
  </si>
  <si>
    <t xml:space="preserve"> J.B. Murphy</t>
  </si>
  <si>
    <t>525</t>
  </si>
  <si>
    <t>GSUG-00054</t>
  </si>
  <si>
    <t>01551</t>
  </si>
  <si>
    <t xml:space="preserve"> A.D. Black</t>
  </si>
  <si>
    <t>369</t>
  </si>
  <si>
    <t>GSUG-00055</t>
  </si>
  <si>
    <t>01552</t>
  </si>
  <si>
    <t xml:space="preserve"> J.H. Black</t>
  </si>
  <si>
    <t>370</t>
  </si>
  <si>
    <t>GSUG-00056</t>
  </si>
  <si>
    <t xml:space="preserve">1895 </t>
  </si>
  <si>
    <t>GSUG-00058</t>
  </si>
  <si>
    <t>OSE File No. 01554, Gila Hot Springs Ditch</t>
  </si>
  <si>
    <t>01556</t>
  </si>
  <si>
    <t xml:space="preserve"> Chancie Snyder</t>
  </si>
  <si>
    <t>580</t>
  </si>
  <si>
    <t>GSUG-00059</t>
  </si>
  <si>
    <t>01554</t>
  </si>
  <si>
    <t xml:space="preserve"> Clyde Ely</t>
  </si>
  <si>
    <t>422</t>
  </si>
  <si>
    <t>GSUG-00060</t>
  </si>
  <si>
    <t>OSE File No. 01554, Gila Hot Springs Ditch Full</t>
  </si>
  <si>
    <t>GSUG-00062</t>
  </si>
  <si>
    <t>OSE File No. 01863, Nunn Ditch</t>
  </si>
  <si>
    <t>7C</t>
  </si>
  <si>
    <t>01863</t>
  </si>
  <si>
    <t>T11S</t>
  </si>
  <si>
    <t>Fowler Cattle Company</t>
  </si>
  <si>
    <t>439</t>
  </si>
  <si>
    <t>GSUG-00063</t>
  </si>
  <si>
    <t xml:space="preserve">OSE File No. 0158, Cantwell Ditch </t>
  </si>
  <si>
    <t>7-7A</t>
  </si>
  <si>
    <t>30, 29</t>
  </si>
  <si>
    <t>01858</t>
  </si>
  <si>
    <t>30</t>
  </si>
  <si>
    <t>GSUG-00064</t>
  </si>
  <si>
    <t xml:space="preserve">OSE File No. 01859, Mattice Ditch </t>
  </si>
  <si>
    <t>01859</t>
  </si>
  <si>
    <t>GSUG-00065</t>
  </si>
  <si>
    <t xml:space="preserve">OSE File No. 01861, Nat Straw Ditch </t>
  </si>
  <si>
    <t>7B</t>
  </si>
  <si>
    <t>20, 29</t>
  </si>
  <si>
    <t>01861</t>
  </si>
  <si>
    <t>20</t>
  </si>
  <si>
    <t>GSUG-00066</t>
  </si>
  <si>
    <t xml:space="preserve">OSE File No. 01864, Keene-Sayre-Ake Ditch </t>
  </si>
  <si>
    <t>7D</t>
  </si>
  <si>
    <t>01864</t>
  </si>
  <si>
    <t>GSUG-00067</t>
  </si>
  <si>
    <t xml:space="preserve">OSE File No. 01866, Moorre-Staple - U Ditch </t>
  </si>
  <si>
    <t>7E</t>
  </si>
  <si>
    <t>01866</t>
  </si>
  <si>
    <t>GSUG-00068</t>
  </si>
  <si>
    <t xml:space="preserve">OSE File No. GSF-2217 &amp; GSF-2217-S, Permitted </t>
  </si>
  <si>
    <t>3-B</t>
  </si>
  <si>
    <t>GSF-2217</t>
  </si>
  <si>
    <t>34</t>
  </si>
  <si>
    <t>GSUG-00069</t>
  </si>
  <si>
    <t>GSUG-00070</t>
  </si>
  <si>
    <t>GSUG-00071</t>
  </si>
  <si>
    <t>GSUG-00072</t>
  </si>
  <si>
    <t>GSUG-00073</t>
  </si>
  <si>
    <t xml:space="preserve">Spring Declaration </t>
  </si>
  <si>
    <t>Spring</t>
  </si>
  <si>
    <t>SI</t>
  </si>
  <si>
    <t>GSUG-00074</t>
  </si>
  <si>
    <t>GSUG-00077</t>
  </si>
  <si>
    <t>OSE File No. 02046, Kartchner, WR's Transferred to Snow Lake</t>
  </si>
  <si>
    <t>02046</t>
  </si>
  <si>
    <t>1898</t>
  </si>
  <si>
    <t>480</t>
  </si>
  <si>
    <t>GSUG-00078</t>
  </si>
  <si>
    <t>GSUG-00079</t>
  </si>
  <si>
    <t>GSUG-00080</t>
  </si>
  <si>
    <t>GSUG-00081</t>
  </si>
  <si>
    <t>GSUG-00082</t>
  </si>
  <si>
    <t>GSUG-00083</t>
  </si>
  <si>
    <t>GSUG-00084</t>
  </si>
  <si>
    <t>GSUG-00085</t>
  </si>
  <si>
    <t>GSUG-00086</t>
  </si>
  <si>
    <t>GSUG-00087</t>
  </si>
  <si>
    <t>GSUG-00088</t>
  </si>
  <si>
    <t>02045</t>
  </si>
  <si>
    <t>02</t>
  </si>
  <si>
    <t>GSUG-00089</t>
  </si>
  <si>
    <t>GSUG-00090</t>
  </si>
  <si>
    <t>01</t>
  </si>
  <si>
    <t>GSUG-00091</t>
  </si>
  <si>
    <t>GSUG-00092</t>
  </si>
  <si>
    <t>Out Area, NO WATER RIGHT</t>
  </si>
  <si>
    <t>GSUG-00093</t>
  </si>
  <si>
    <t>GSUG-00094</t>
  </si>
  <si>
    <t>GSUG-00095</t>
  </si>
  <si>
    <t>GSUG-00096</t>
  </si>
  <si>
    <t>GSUG-00097</t>
  </si>
  <si>
    <t>OSE File No. GSF-4202, Permitted, PART 2 OF 2</t>
  </si>
  <si>
    <t>3C</t>
  </si>
  <si>
    <t>GSF-4202</t>
  </si>
  <si>
    <t>15</t>
  </si>
  <si>
    <t>Sylvia &amp; Keith Stearns</t>
  </si>
  <si>
    <t>01/01/1897</t>
  </si>
  <si>
    <t>GSUG-00098</t>
  </si>
  <si>
    <t>OSE File No. GSF-4202, Permitted, PART 1 OF 2</t>
  </si>
  <si>
    <t>GSUG-00099</t>
  </si>
  <si>
    <t>UN</t>
  </si>
  <si>
    <t>Unreported</t>
  </si>
  <si>
    <t>OSE File No. 3412, Part 1 OF 3, Permitted  Locked Gate</t>
  </si>
  <si>
    <t>4-A</t>
  </si>
  <si>
    <t>3412</t>
  </si>
  <si>
    <t>03</t>
  </si>
  <si>
    <t>Frank Weber</t>
  </si>
  <si>
    <t>GSUG-00100</t>
  </si>
  <si>
    <t>OSE File No. 3412, Part 2 OF 3, Permitted  Locked Gate</t>
  </si>
  <si>
    <t>GSUG-00101</t>
  </si>
  <si>
    <t>OSE File No. 3412, Part 3 OF 3, Permitted  Locked Gate</t>
  </si>
  <si>
    <t>04</t>
  </si>
  <si>
    <t>GSUG-00102</t>
  </si>
  <si>
    <t>OSE File No. GSF-4240</t>
  </si>
  <si>
    <t>GSF-4240</t>
  </si>
  <si>
    <t>Denise Evans &amp; Terry Crase</t>
  </si>
  <si>
    <t>GSUG-00103</t>
  </si>
  <si>
    <t>PART 1 OF 3</t>
  </si>
  <si>
    <t>GSF-3037</t>
  </si>
  <si>
    <t>The Jack F. Byrne Revocable Trust Sapillo Crossing Inc.</t>
  </si>
  <si>
    <t>GSUG-00104</t>
  </si>
  <si>
    <t>PART 2 OF 3</t>
  </si>
  <si>
    <t>GSUG-00105</t>
  </si>
  <si>
    <t>PART 3 OF 3</t>
  </si>
  <si>
    <t>GSUG-00106</t>
  </si>
  <si>
    <t>GILA HOT SPRINGS DITCH</t>
  </si>
  <si>
    <t>OSE File No. 01556, Gila Hot Springs Ditch. SUMP PUMP IN DITCH</t>
  </si>
  <si>
    <t xml:space="preserve"> Allen &amp; Carla Campbell</t>
  </si>
  <si>
    <t>GSUG-00107</t>
  </si>
  <si>
    <t>OSE File No. GSF-4320, Permitted, PART 1 OF 2</t>
  </si>
  <si>
    <t>GSF-4320</t>
  </si>
  <si>
    <t>T13W</t>
  </si>
  <si>
    <t>1883</t>
  </si>
  <si>
    <t>68</t>
  </si>
  <si>
    <t>GSUG-00108</t>
  </si>
  <si>
    <t>OSE File No. GSF-4320, Permitted, PART 2 OF 2</t>
  </si>
  <si>
    <t>GSUG-00109</t>
  </si>
  <si>
    <t>OSE File No. GSF-1509, Permitted, PART 1 OF 2</t>
  </si>
  <si>
    <t>GSF-1509</t>
  </si>
  <si>
    <t>Dean Bruemmer</t>
  </si>
  <si>
    <t>1897</t>
  </si>
  <si>
    <t>247</t>
  </si>
  <si>
    <t>GSUG-00110</t>
  </si>
  <si>
    <t>OSE File No. GSF-1509, Permitted, PART 2 OF 2</t>
  </si>
  <si>
    <t>GSUG-0</t>
  </si>
  <si>
    <t>16S</t>
  </si>
  <si>
    <t>15W</t>
  </si>
  <si>
    <t>Stock Rank, Dry</t>
  </si>
  <si>
    <t>Silted in from flood - No Right</t>
  </si>
  <si>
    <t>No Right</t>
  </si>
  <si>
    <t>14W</t>
  </si>
  <si>
    <t>OSE File No. 01907, Private Ditch, Water Right moved off by permit</t>
  </si>
  <si>
    <t>13S</t>
  </si>
  <si>
    <t>13W</t>
  </si>
  <si>
    <t>OSE File No. 01688, Clark Ditch No. 1  Irrigated from Spring across Bear Creek</t>
  </si>
  <si>
    <t>OSE File No. GSF-4015, permit: GSF-1433 into GSF-4015-2</t>
  </si>
  <si>
    <t>GSF-04015</t>
  </si>
  <si>
    <t>16</t>
  </si>
  <si>
    <t>PATRICK JOHNSON</t>
  </si>
  <si>
    <t>1917</t>
  </si>
  <si>
    <t>252</t>
  </si>
  <si>
    <t>Permitted: GSF-1603-P into GSF-4015</t>
  </si>
  <si>
    <t xml:space="preserve">PART 1 OF 3 also SP-5057 is alternate POD </t>
  </si>
  <si>
    <t>GSF-4498</t>
  </si>
  <si>
    <t>5/12/1961</t>
  </si>
  <si>
    <t>N1/2NE1/4</t>
  </si>
  <si>
    <t>PART 2 OF 3 also SP-5057 is alternate POD "</t>
  </si>
  <si>
    <t xml:space="preserve">PART 3 OF 3 also SP-5057 is alternate POD </t>
  </si>
  <si>
    <t>STOCK/RECREATIONAL/ALTERNATE POD FOR GSF-4498  Res 95% Full</t>
  </si>
  <si>
    <t>SP-5057</t>
  </si>
  <si>
    <t>NE1/4</t>
  </si>
  <si>
    <t>Wall Lake -Silted In</t>
  </si>
  <si>
    <t>SP-02645</t>
  </si>
  <si>
    <t>GSF-4315</t>
  </si>
  <si>
    <t>T17S</t>
  </si>
  <si>
    <t>06</t>
  </si>
  <si>
    <t>Nicholas J. and Nina R. Gibson</t>
  </si>
  <si>
    <t>1956</t>
  </si>
  <si>
    <t>50</t>
  </si>
  <si>
    <t>3-D</t>
  </si>
  <si>
    <t>MV</t>
  </si>
  <si>
    <t>Misc. Vegetables</t>
  </si>
  <si>
    <t xml:space="preserve">SP-3078-1 Lake Roberts 90% Full </t>
  </si>
  <si>
    <t>SP-03078-1</t>
  </si>
  <si>
    <t>SP-3212-1 Snow Lake 80% Full</t>
  </si>
  <si>
    <t>5-B</t>
  </si>
  <si>
    <t>SP-03212-1</t>
  </si>
  <si>
    <t>T10S</t>
  </si>
  <si>
    <t>21</t>
  </si>
  <si>
    <t>GSRR_00001</t>
  </si>
  <si>
    <t>Red Rock</t>
  </si>
  <si>
    <t>RR</t>
  </si>
  <si>
    <t>Fuller Ditch</t>
  </si>
  <si>
    <t>Road to river not passable. best to view fron point above the river on southwest side - No WR's</t>
  </si>
  <si>
    <t>1459</t>
  </si>
  <si>
    <t>R19W</t>
  </si>
  <si>
    <t>Martha Fuller</t>
  </si>
  <si>
    <t>1904</t>
  </si>
  <si>
    <t>GSRR_00002</t>
  </si>
  <si>
    <t>Road to river not passable. best to view fron point above the river on southwest side</t>
  </si>
  <si>
    <t>Pacific Western</t>
  </si>
  <si>
    <t>GSRR_00003</t>
  </si>
  <si>
    <t>Calvin C. Martin</t>
  </si>
  <si>
    <t>GSRR_00004</t>
  </si>
  <si>
    <t>GSRR_00005</t>
  </si>
  <si>
    <t>GSRR_00006</t>
  </si>
  <si>
    <t>GSRR_00007</t>
  </si>
  <si>
    <t>Maverick Flat Ditch</t>
  </si>
  <si>
    <t>1566</t>
  </si>
  <si>
    <t>1902</t>
  </si>
  <si>
    <t>GSRR_00008</t>
  </si>
  <si>
    <t>Charlie Anderson</t>
  </si>
  <si>
    <t>GSRR_00009</t>
  </si>
  <si>
    <t>GSRR_00010</t>
  </si>
  <si>
    <t>Fred Anderson</t>
  </si>
  <si>
    <t>GSRR_00011</t>
  </si>
  <si>
    <t>GSRR_00012</t>
  </si>
  <si>
    <t>GSRR_00013</t>
  </si>
  <si>
    <t>rights moved to mine?</t>
  </si>
  <si>
    <t>GSRR_00014</t>
  </si>
  <si>
    <t>GSRR_00015</t>
  </si>
  <si>
    <t>No WR's - Transferred Out</t>
  </si>
  <si>
    <t>GSRR_00016</t>
  </si>
  <si>
    <t>GSRR_00017</t>
  </si>
  <si>
    <t>GSRR_00018</t>
  </si>
  <si>
    <t>GSRR_00019</t>
  </si>
  <si>
    <t>OSE File No. GSF-2443, Part 2 of 2 totaling 29.06 acres by permit</t>
  </si>
  <si>
    <t>GSF-2443</t>
  </si>
  <si>
    <t>1877</t>
  </si>
  <si>
    <t>GSRR_00020</t>
  </si>
  <si>
    <t>M. H. D. &amp; E. Ditch</t>
  </si>
  <si>
    <t>1887</t>
  </si>
  <si>
    <t>GSRR_00022</t>
  </si>
  <si>
    <t>Robinson Ditch</t>
  </si>
  <si>
    <t>1891</t>
  </si>
  <si>
    <t>GSRR_00023</t>
  </si>
  <si>
    <t>963</t>
  </si>
  <si>
    <t>GSRR_00024</t>
  </si>
  <si>
    <t>GSRR_00026</t>
  </si>
  <si>
    <t>961</t>
  </si>
  <si>
    <t>GSRR_00027</t>
  </si>
  <si>
    <t>R18W</t>
  </si>
  <si>
    <t>GSRR_00028</t>
  </si>
  <si>
    <t>GSRR_00029</t>
  </si>
  <si>
    <t>GSRR_00030</t>
  </si>
  <si>
    <t>GSRR_00032</t>
  </si>
  <si>
    <t>GSRR_00033</t>
  </si>
  <si>
    <t>GSRR_00034</t>
  </si>
  <si>
    <t>RESERVOIR</t>
  </si>
  <si>
    <t>GSRR_00035</t>
  </si>
  <si>
    <t>Pacific Western Land Company</t>
  </si>
  <si>
    <t>GSRR_00036</t>
  </si>
  <si>
    <t>GSRR_00037</t>
  </si>
  <si>
    <t>GSRR_00038</t>
  </si>
  <si>
    <t>GSRR_00039</t>
  </si>
  <si>
    <t>GSRR_00040</t>
  </si>
  <si>
    <t>GSRR_00041</t>
  </si>
  <si>
    <t>LC Ditch</t>
  </si>
  <si>
    <t>964</t>
  </si>
  <si>
    <t>GSRR_00042</t>
  </si>
  <si>
    <t>GSRR_00043</t>
  </si>
  <si>
    <t>GSRR_00044</t>
  </si>
  <si>
    <t>GSRR_00045</t>
  </si>
  <si>
    <t>GSRR_00046</t>
  </si>
  <si>
    <t>GSRR_00049</t>
  </si>
  <si>
    <t>Area not declared in surface file No. 0964 &amp; 0964 Amended</t>
  </si>
  <si>
    <t>GSRR_00050</t>
  </si>
  <si>
    <t>L.C. Ditch</t>
  </si>
  <si>
    <t>GSRR_00052</t>
  </si>
  <si>
    <t>GSRR_00054</t>
  </si>
  <si>
    <t>GSRR_00056</t>
  </si>
  <si>
    <t>GSRR_00057</t>
  </si>
  <si>
    <t>GSRR_00058</t>
  </si>
  <si>
    <t>GSRR_00060</t>
  </si>
  <si>
    <t>Toney Ditch</t>
  </si>
  <si>
    <t>184</t>
  </si>
  <si>
    <t>GSRR_00061</t>
  </si>
  <si>
    <t>GSRR_00062</t>
  </si>
  <si>
    <t>GSRR_00064</t>
  </si>
  <si>
    <t>Elma K. Wright</t>
  </si>
  <si>
    <t>GSRR_00065</t>
  </si>
  <si>
    <t>GSRR_00066</t>
  </si>
  <si>
    <t>GSRR_00067</t>
  </si>
  <si>
    <t>Crabtree-Patton Ditch</t>
  </si>
  <si>
    <t>432</t>
  </si>
  <si>
    <t>GSRR_00068</t>
  </si>
  <si>
    <t>Clem C. Patton</t>
  </si>
  <si>
    <t>GSRR_00069</t>
  </si>
  <si>
    <t>GSRR_00070</t>
  </si>
  <si>
    <t>GSRR_00071</t>
  </si>
  <si>
    <t>GSRR_00072</t>
  </si>
  <si>
    <t>GSRR_00073</t>
  </si>
  <si>
    <t>GSRR_00074</t>
  </si>
  <si>
    <t>1432</t>
  </si>
  <si>
    <t>36</t>
  </si>
  <si>
    <t>GSRR_00075</t>
  </si>
  <si>
    <t>GSRR_00076</t>
  </si>
  <si>
    <t>GSRR_00077</t>
  </si>
  <si>
    <t>1905</t>
  </si>
  <si>
    <t>GSRR_00078</t>
  </si>
  <si>
    <t>GSRR_00079</t>
  </si>
  <si>
    <t>STOCK TANK</t>
  </si>
  <si>
    <t>Grant Harper</t>
  </si>
  <si>
    <t>GSRR_00080</t>
  </si>
  <si>
    <t>W.C.S. Ditch</t>
  </si>
  <si>
    <t>GSRR_00081</t>
  </si>
  <si>
    <t>GSRR_00082</t>
  </si>
  <si>
    <t>GSRR_00083</t>
  </si>
  <si>
    <t>Robert Martin</t>
  </si>
  <si>
    <t>GSRR_00084</t>
  </si>
  <si>
    <t>GSRR_00085</t>
  </si>
  <si>
    <t>GSRR_00086</t>
  </si>
  <si>
    <t>GSRR_00087</t>
  </si>
  <si>
    <t>Grant Harper Ditch</t>
  </si>
  <si>
    <t>L.E. Harper</t>
  </si>
  <si>
    <t>GSRR_00088</t>
  </si>
  <si>
    <t>GSRR_00089</t>
  </si>
  <si>
    <t>GSRR_00090</t>
  </si>
  <si>
    <t>GSRR_00094</t>
  </si>
  <si>
    <t>GSRR_00095</t>
  </si>
  <si>
    <t>GSRR_00096</t>
  </si>
  <si>
    <t>GSRR_00097</t>
  </si>
  <si>
    <t>GSRR_00098</t>
  </si>
  <si>
    <t>GSRR_00099</t>
  </si>
  <si>
    <t>GSRR_00101</t>
  </si>
  <si>
    <t>GSRR_00103</t>
  </si>
  <si>
    <t>GSRR_00104</t>
  </si>
  <si>
    <t>GSRR_00105</t>
  </si>
  <si>
    <t>GSRR_00106</t>
  </si>
  <si>
    <t>GSRR_00107</t>
  </si>
  <si>
    <t>GSRR_00108</t>
  </si>
  <si>
    <t>GSRR_00109</t>
  </si>
  <si>
    <t>GSRR_00111</t>
  </si>
  <si>
    <t>GSRR_00113</t>
  </si>
  <si>
    <t>29</t>
  </si>
  <si>
    <t>GSRR_00114</t>
  </si>
  <si>
    <t>28</t>
  </si>
  <si>
    <t>GSRR_00115</t>
  </si>
  <si>
    <t>GSRR_00116</t>
  </si>
  <si>
    <t>Grandpa Harper Ditch</t>
  </si>
  <si>
    <t>Permit No. 0205-3, Part of 6 totaling 38.572</t>
  </si>
  <si>
    <t>205</t>
  </si>
  <si>
    <t>GSRR_00117</t>
  </si>
  <si>
    <t>Abandoned Reservoir</t>
  </si>
  <si>
    <t>GSRR_00119</t>
  </si>
  <si>
    <t>GSRR_00121</t>
  </si>
  <si>
    <t>GSRR_00122</t>
  </si>
  <si>
    <t>GSRR_00123</t>
  </si>
  <si>
    <t>GSRR_00124</t>
  </si>
  <si>
    <t>GSRR_00125</t>
  </si>
  <si>
    <t>GSRR_00126</t>
  </si>
  <si>
    <t>1572</t>
  </si>
  <si>
    <t>Mangas Cattle Company</t>
  </si>
  <si>
    <t>GSRR_00127</t>
  </si>
  <si>
    <t>Ellis Wright</t>
  </si>
  <si>
    <t>GSRR_00128</t>
  </si>
  <si>
    <t>PLG</t>
  </si>
  <si>
    <t>Plowed Ground</t>
  </si>
  <si>
    <t>GSRR_00129</t>
  </si>
  <si>
    <t>GSRR_00130</t>
  </si>
  <si>
    <t>GSRR_00131</t>
  </si>
  <si>
    <t>GSRR_00132</t>
  </si>
  <si>
    <t>Mae Montoya</t>
  </si>
  <si>
    <t>GSRR_00133</t>
  </si>
  <si>
    <t>GSRR_00134</t>
  </si>
  <si>
    <t>GSRR_00135</t>
  </si>
  <si>
    <t>Moved to Lake Roberts</t>
  </si>
  <si>
    <t>Dept of Game and Fish</t>
  </si>
  <si>
    <t>GSRR_00136</t>
  </si>
  <si>
    <t>0205</t>
  </si>
  <si>
    <t>GSRR_00137</t>
  </si>
  <si>
    <t>GSRR_00140</t>
  </si>
  <si>
    <t>22</t>
  </si>
  <si>
    <t>Louis Conner</t>
  </si>
  <si>
    <t>1957</t>
  </si>
  <si>
    <t>GSRR_00141</t>
  </si>
  <si>
    <t>PEW</t>
  </si>
  <si>
    <t>Pecans WUCB</t>
  </si>
  <si>
    <t>Pecans</t>
  </si>
  <si>
    <t>GSRR_00142</t>
  </si>
  <si>
    <t>GSRR_00143</t>
  </si>
  <si>
    <t>GSRR_00145</t>
  </si>
  <si>
    <t>STD</t>
  </si>
  <si>
    <t>GSRR_00147</t>
  </si>
  <si>
    <t>Rights moved off</t>
  </si>
  <si>
    <t>1567</t>
  </si>
  <si>
    <t>Tom McCauley</t>
  </si>
  <si>
    <t>1884</t>
  </si>
  <si>
    <t>GSRR_00148</t>
  </si>
  <si>
    <t>GSRR_00149</t>
  </si>
  <si>
    <t>Conner Knox Ditch</t>
  </si>
  <si>
    <t>622</t>
  </si>
  <si>
    <t>GSRR_00150</t>
  </si>
  <si>
    <t>Moved to Snow Lake</t>
  </si>
  <si>
    <t>GSRR_00151</t>
  </si>
  <si>
    <t>GSRR_00154</t>
  </si>
  <si>
    <t>GSRR_00155</t>
  </si>
  <si>
    <t>GSRR_00157</t>
  </si>
  <si>
    <t>GSRR_00159</t>
  </si>
  <si>
    <t>GSRR_00160</t>
  </si>
  <si>
    <t>GSRR_00162</t>
  </si>
  <si>
    <t>GSRR_00163</t>
  </si>
  <si>
    <t>GSRR_00164</t>
  </si>
  <si>
    <t>GSRR_00165</t>
  </si>
  <si>
    <t>GSRR_00166</t>
  </si>
  <si>
    <t>GSRR_00167</t>
  </si>
  <si>
    <t>RESERVIOR</t>
  </si>
  <si>
    <t>GSRR_00168</t>
  </si>
  <si>
    <t>GSRR_00169</t>
  </si>
  <si>
    <t>GSRR_00170</t>
  </si>
  <si>
    <t>GSRR_00171</t>
  </si>
  <si>
    <t>GSRR_00174</t>
  </si>
  <si>
    <t>GSRR_00176</t>
  </si>
  <si>
    <t>GSRR_00178</t>
  </si>
  <si>
    <t>GSRR_00179</t>
  </si>
  <si>
    <t>GSRR_00181</t>
  </si>
  <si>
    <t>GSRR_00183</t>
  </si>
  <si>
    <t>GSRR_00184</t>
  </si>
  <si>
    <t>27</t>
  </si>
  <si>
    <t>GSRR_00186</t>
  </si>
  <si>
    <t>GSRR_00187</t>
  </si>
  <si>
    <t>GSRR_00188</t>
  </si>
  <si>
    <t>GSRR_00189</t>
  </si>
  <si>
    <t>GSRR_00190</t>
  </si>
  <si>
    <t>GSRR_00192</t>
  </si>
  <si>
    <t>GSRR_00193</t>
  </si>
  <si>
    <t>GSRR_00194</t>
  </si>
  <si>
    <t>GSRR_00195</t>
  </si>
  <si>
    <t>GSRR_00197</t>
  </si>
  <si>
    <t>GSRR_00198</t>
  </si>
  <si>
    <t>GSRR_00199</t>
  </si>
  <si>
    <t>GSRR_00200</t>
  </si>
  <si>
    <t>GSRR_00201</t>
  </si>
  <si>
    <t>GSRR_00205</t>
  </si>
  <si>
    <t>GSRR_00206</t>
  </si>
  <si>
    <t>GSRR_00210</t>
  </si>
  <si>
    <t>GSRR_00211</t>
  </si>
  <si>
    <t>PART 1 OF 2</t>
  </si>
  <si>
    <t>EXXON MOBIL &amp; RALPH H. WRIGHT</t>
  </si>
  <si>
    <t>GSRR_00212</t>
  </si>
  <si>
    <t>PART 2 OF 2</t>
  </si>
  <si>
    <t>GSRR_00213</t>
  </si>
  <si>
    <t>ADJUDICATED AMOUNT NEVER MOVED</t>
  </si>
  <si>
    <t>WRIGHT</t>
  </si>
  <si>
    <t>PART OF 200.0 ACRE PERMIT</t>
  </si>
  <si>
    <t>1-17-1961</t>
  </si>
  <si>
    <t>GSRR_00000</t>
  </si>
  <si>
    <t>GSF-46 ENLARGED</t>
  </si>
  <si>
    <t>GL</t>
  </si>
  <si>
    <t>SEO File NO. 0622 and GSF 46</t>
  </si>
  <si>
    <t>Permit No. 0205-3 Part of 6 totaling 38.572</t>
  </si>
  <si>
    <t>OSE File No. GSF-2443, Part 1 of 2 totaling 29.06 acres by permit</t>
  </si>
  <si>
    <t>GSF-00046-ENLARGED</t>
  </si>
  <si>
    <t>LOUIS CONNER</t>
  </si>
  <si>
    <t>01-17-1961</t>
  </si>
  <si>
    <t>GSF-02263</t>
  </si>
  <si>
    <t>WILLIAM E. OR ANNA P. CLAUSSEN</t>
  </si>
  <si>
    <t>Permit GSF-20-X; GSF-20-X-S; 0205</t>
  </si>
  <si>
    <t>MAE C. MONTOYA</t>
  </si>
  <si>
    <t>GSF-02443</t>
  </si>
  <si>
    <t>ELIZABETH DOYLE &amp; GUY STILLMAN</t>
  </si>
  <si>
    <t>LEWIS A. CONNER &amp; LEWIS A. CONNER JR.</t>
  </si>
  <si>
    <t>GSRR_00053</t>
  </si>
  <si>
    <t>GSF-11-1A</t>
  </si>
  <si>
    <t>FRED &amp; KATHRYN LITTLE</t>
  </si>
  <si>
    <t>Pt. W1/2E1/2SW1/4</t>
  </si>
  <si>
    <t>157035</t>
  </si>
  <si>
    <t>GSF-11-1C</t>
  </si>
  <si>
    <t>12/31/1887</t>
  </si>
  <si>
    <t>Pt. NW1/4NE1/4SW1/4</t>
  </si>
  <si>
    <t>Little</t>
  </si>
  <si>
    <t>GSF-611-1</t>
  </si>
  <si>
    <t>157936</t>
  </si>
  <si>
    <t>PBU in July 2017</t>
  </si>
  <si>
    <t>SD-205-5</t>
  </si>
  <si>
    <t>Selby</t>
  </si>
  <si>
    <t>1882/1877</t>
  </si>
  <si>
    <t>GSRR_00138</t>
  </si>
  <si>
    <t>GSRR_00139</t>
  </si>
  <si>
    <t>Boyd Venable</t>
  </si>
  <si>
    <t>GSRR_00144</t>
  </si>
  <si>
    <t>GSRR_00146</t>
  </si>
  <si>
    <t>GSRR_00152</t>
  </si>
  <si>
    <t>GSRR_00153</t>
  </si>
  <si>
    <t>GSRR_00172</t>
  </si>
  <si>
    <t>GSRR_00173</t>
  </si>
  <si>
    <t>GSRR_00180</t>
  </si>
  <si>
    <t>Moved to Snow Lake Reservior</t>
  </si>
  <si>
    <t>GSRR_00182</t>
  </si>
  <si>
    <t>GSRR_00207</t>
  </si>
  <si>
    <t>GSRR_00208</t>
  </si>
  <si>
    <t>GSRR_00031</t>
  </si>
  <si>
    <t>No Right Cleared after July 1960 and Prior to June 1962</t>
  </si>
  <si>
    <t>GSRR_00047</t>
  </si>
  <si>
    <t>GSRR_00048</t>
  </si>
  <si>
    <t>GSRR_00051</t>
  </si>
  <si>
    <t>GSRR_00158</t>
  </si>
  <si>
    <t>95% full</t>
  </si>
  <si>
    <t>GSRE-00002</t>
  </si>
  <si>
    <t>GSRE</t>
  </si>
  <si>
    <t>San Francisco River</t>
  </si>
  <si>
    <t>SF</t>
  </si>
  <si>
    <t>Reserve</t>
  </si>
  <si>
    <t>RS</t>
  </si>
  <si>
    <t xml:space="preserve">OSE File No. 02374, Bill Lewis Ditch, </t>
  </si>
  <si>
    <t>11-A</t>
  </si>
  <si>
    <t>02374</t>
  </si>
  <si>
    <t>T6S</t>
  </si>
  <si>
    <t>01/15/1899</t>
  </si>
  <si>
    <t>11 a-1 (303)</t>
  </si>
  <si>
    <t>GSRE-00003</t>
  </si>
  <si>
    <t>GSRE-00004</t>
  </si>
  <si>
    <t>GSRE-00005</t>
  </si>
  <si>
    <t>GSRE-00006</t>
  </si>
  <si>
    <t>GSRE-00007</t>
  </si>
  <si>
    <t>GSRE-00008</t>
  </si>
  <si>
    <t>GSRE-00009</t>
  </si>
  <si>
    <t>Full</t>
  </si>
  <si>
    <t>GSRE-00010</t>
  </si>
  <si>
    <t>GSRE-00011</t>
  </si>
  <si>
    <t>GSRE-00012</t>
  </si>
  <si>
    <t>OCG</t>
  </si>
  <si>
    <t>OSE File No. 01174, Private Ditch 5 Trees</t>
  </si>
  <si>
    <t>01174</t>
  </si>
  <si>
    <t>1890</t>
  </si>
  <si>
    <t>238</t>
  </si>
  <si>
    <t>GSRE-00013</t>
  </si>
  <si>
    <t>Cienega Ditch</t>
  </si>
  <si>
    <t>OSE File No. 01174, Private Ditch, Reservoir, 90% Full</t>
  </si>
  <si>
    <t>GSRE-00014</t>
  </si>
  <si>
    <t>OSE File No. 01174, Private Ditch</t>
  </si>
  <si>
    <t>GSRE-00015</t>
  </si>
  <si>
    <t>OSE File No. 01174, Private Ditch, Reservoir, 80% Full</t>
  </si>
  <si>
    <t>237</t>
  </si>
  <si>
    <t>GSRE-00016</t>
  </si>
  <si>
    <t>GSRE-00017</t>
  </si>
  <si>
    <t>OSE File No. 01174, Private Ditch, Reservoir, 20% Full</t>
  </si>
  <si>
    <t>GSRE-00018</t>
  </si>
  <si>
    <t>GSRE-00019</t>
  </si>
  <si>
    <t>GSRE-00020</t>
  </si>
  <si>
    <t>GSRE-00021</t>
  </si>
  <si>
    <t>OSE File No. 0485, Higgins Ditch</t>
  </si>
  <si>
    <t>0485</t>
  </si>
  <si>
    <t>1881</t>
  </si>
  <si>
    <t>298</t>
  </si>
  <si>
    <t>GSRE-00022</t>
  </si>
  <si>
    <t>GSRE-00023</t>
  </si>
  <si>
    <t>OSE File No. 0485, Jones Ditch</t>
  </si>
  <si>
    <t>06S</t>
  </si>
  <si>
    <t>19W</t>
  </si>
  <si>
    <t>GSRE-00024</t>
  </si>
  <si>
    <t>T7S</t>
  </si>
  <si>
    <t>07</t>
  </si>
  <si>
    <t>GSRE-00025</t>
  </si>
  <si>
    <t xml:space="preserve">No Right, Spring fed </t>
  </si>
  <si>
    <t>0.2</t>
  </si>
  <si>
    <t>GSRE-00026</t>
  </si>
  <si>
    <t>STW</t>
  </si>
  <si>
    <t>Spring fed 1/2 full</t>
  </si>
  <si>
    <t>GSRE-00027</t>
  </si>
  <si>
    <t>No Right, Jones Ditch</t>
  </si>
  <si>
    <t>9.5</t>
  </si>
  <si>
    <t>GSRE-00028</t>
  </si>
  <si>
    <t>13.5</t>
  </si>
  <si>
    <t>GSRE-00029</t>
  </si>
  <si>
    <t xml:space="preserve">No Right, Spring Seep </t>
  </si>
  <si>
    <t>GSRE-00030</t>
  </si>
  <si>
    <t>No Right, Stock Sump Dry</t>
  </si>
  <si>
    <t>GSRE-00031</t>
  </si>
  <si>
    <t xml:space="preserve">OSE File No. 01525, Spring </t>
  </si>
  <si>
    <t>01525</t>
  </si>
  <si>
    <t>07S</t>
  </si>
  <si>
    <t>18W</t>
  </si>
  <si>
    <t>294</t>
  </si>
  <si>
    <t>GSRE-00032</t>
  </si>
  <si>
    <t>GSRE-00033</t>
  </si>
  <si>
    <t>296</t>
  </si>
  <si>
    <t>3.5</t>
  </si>
  <si>
    <t>GSRE-00034</t>
  </si>
  <si>
    <t>GSRE-00035</t>
  </si>
  <si>
    <t>OSE File No. 01525, Spring, Reservoir, 95% full</t>
  </si>
  <si>
    <t>GSRE-00036</t>
  </si>
  <si>
    <t>GSRE-00037</t>
  </si>
  <si>
    <t xml:space="preserve">OSE File No. 01437, Romero Ditch </t>
  </si>
  <si>
    <t>01437</t>
  </si>
  <si>
    <t>338</t>
  </si>
  <si>
    <t>GSRE-00038</t>
  </si>
  <si>
    <t>GSRE-00039</t>
  </si>
  <si>
    <t>GSRE-00040</t>
  </si>
  <si>
    <t>GSRE-00041</t>
  </si>
  <si>
    <t>GSRE-00042</t>
  </si>
  <si>
    <t>OSE File No. 01525, Spring, Reservoir, gone irrigated by overflow</t>
  </si>
  <si>
    <t>GSRE-00043</t>
  </si>
  <si>
    <t>GSRE-00044</t>
  </si>
  <si>
    <t xml:space="preserve">OSE File No. 01525, Spring, Reservoir, gone </t>
  </si>
  <si>
    <t>GSRE-00045</t>
  </si>
  <si>
    <t xml:space="preserve">No Right </t>
  </si>
  <si>
    <t>5.6</t>
  </si>
  <si>
    <t>GSRE-00046</t>
  </si>
  <si>
    <t>301</t>
  </si>
  <si>
    <t>0.9</t>
  </si>
  <si>
    <t>GSRE-00047</t>
  </si>
  <si>
    <t>GSF-</t>
  </si>
  <si>
    <t>GSRE-00048</t>
  </si>
  <si>
    <t>308</t>
  </si>
  <si>
    <t>19.9</t>
  </si>
  <si>
    <t>GSRE-00049</t>
  </si>
  <si>
    <t>261</t>
  </si>
  <si>
    <t>0.5</t>
  </si>
  <si>
    <t>GSRE-00050</t>
  </si>
  <si>
    <t>OSE File No. 01435, McCarty Ditch #2</t>
  </si>
  <si>
    <t>01435</t>
  </si>
  <si>
    <t>GSRE-00051</t>
  </si>
  <si>
    <t>0.1</t>
  </si>
  <si>
    <t>GSRE-00052</t>
  </si>
  <si>
    <t>Dollar General now</t>
  </si>
  <si>
    <t>GSRE-00053</t>
  </si>
  <si>
    <t>OSE File No. 01435, McCarty Ditch #1</t>
  </si>
  <si>
    <t>GSRE-00054</t>
  </si>
  <si>
    <t>227</t>
  </si>
  <si>
    <t>GSRE-00055</t>
  </si>
  <si>
    <t>290</t>
  </si>
  <si>
    <t>0.6</t>
  </si>
  <si>
    <t>GSRE-00057</t>
  </si>
  <si>
    <t>Kiehne Ditch</t>
  </si>
  <si>
    <t>OSE File No. 01451, Kiehne Ditch and GSF-526</t>
  </si>
  <si>
    <t>01451 &amp; GSF-526</t>
  </si>
  <si>
    <t>334</t>
  </si>
  <si>
    <t>GSRE-00058</t>
  </si>
  <si>
    <t>GSRE-00059</t>
  </si>
  <si>
    <t xml:space="preserve"> No Right, Romero Ditch Abandoned</t>
  </si>
  <si>
    <t>2.1</t>
  </si>
  <si>
    <t>GSRE-00060</t>
  </si>
  <si>
    <t>OSE File No. 01397, Kiehne Ditch and GSF-6</t>
  </si>
  <si>
    <t>01397 &amp; GSF-6</t>
  </si>
  <si>
    <t>273</t>
  </si>
  <si>
    <t>GSRE-00061</t>
  </si>
  <si>
    <t>OSE File No. 01397, Kiehne Ditch and GSF-6, Reservoir, Dry</t>
  </si>
  <si>
    <t>GSRE-00062</t>
  </si>
  <si>
    <t>13.4</t>
  </si>
  <si>
    <t>GSRE-00063</t>
  </si>
  <si>
    <t>GSRE-00064</t>
  </si>
  <si>
    <t>GSRE-00065</t>
  </si>
  <si>
    <t>GSRE-00066</t>
  </si>
  <si>
    <t>GSRE-00067</t>
  </si>
  <si>
    <t>GSRE-00068</t>
  </si>
  <si>
    <t>GSRE-00069</t>
  </si>
  <si>
    <t>Stock Tank, No Right 50% Full Runoff from storm</t>
  </si>
  <si>
    <t>Stock Tank</t>
  </si>
  <si>
    <t>GSRE-00070</t>
  </si>
  <si>
    <t>GSRE-00071</t>
  </si>
  <si>
    <t>GSRE-00072</t>
  </si>
  <si>
    <t>165</t>
  </si>
  <si>
    <t>2.4</t>
  </si>
  <si>
    <t>GSRE-00073</t>
  </si>
  <si>
    <t>1.1</t>
  </si>
  <si>
    <t>GSRE-00074</t>
  </si>
  <si>
    <t>1888</t>
  </si>
  <si>
    <t>2.3</t>
  </si>
  <si>
    <t>GSRE-00075</t>
  </si>
  <si>
    <t>GSRE-00076</t>
  </si>
  <si>
    <t>0.4</t>
  </si>
  <si>
    <t>GSRE-00077</t>
  </si>
  <si>
    <t>GSRE-00078</t>
  </si>
  <si>
    <t>3.7</t>
  </si>
  <si>
    <t>GSRE-00079</t>
  </si>
  <si>
    <t>GSRE-00080</t>
  </si>
  <si>
    <t>GSRE-00081</t>
  </si>
  <si>
    <t>Middle Frisco Ditch</t>
  </si>
  <si>
    <t>OSE File No. , Middle Frisco Ditch</t>
  </si>
  <si>
    <t>278</t>
  </si>
  <si>
    <t>GSRE-00082</t>
  </si>
  <si>
    <t>Parsons Ditch</t>
  </si>
  <si>
    <t>OSE File No. , Parsons Ditch No access/Rights moved off</t>
  </si>
  <si>
    <t>168</t>
  </si>
  <si>
    <t>GSRE-00083</t>
  </si>
  <si>
    <t>OSE File No. 01443, Parsons Ditch</t>
  </si>
  <si>
    <t>01443</t>
  </si>
  <si>
    <t>GSRE-00084</t>
  </si>
  <si>
    <t>OSE File No. 01537, Middle Frisco Ditch</t>
  </si>
  <si>
    <t>01537</t>
  </si>
  <si>
    <t>332</t>
  </si>
  <si>
    <t>GSRE-00085</t>
  </si>
  <si>
    <t>OSE File No. , Parsons Ditch</t>
  </si>
  <si>
    <t>309</t>
  </si>
  <si>
    <t>GSRE-00086</t>
  </si>
  <si>
    <t>GSRE-00087</t>
  </si>
  <si>
    <t>GSRE-00088</t>
  </si>
  <si>
    <t>GSRE-00089</t>
  </si>
  <si>
    <t>OSE File No. 01513, Middle Frisco Ditch</t>
  </si>
  <si>
    <t>01513</t>
  </si>
  <si>
    <t>1880</t>
  </si>
  <si>
    <t>199</t>
  </si>
  <si>
    <t>GSRE-00090</t>
  </si>
  <si>
    <t>GSRE-00091</t>
  </si>
  <si>
    <t>GSRE-00092</t>
  </si>
  <si>
    <t>GSRE-00093</t>
  </si>
  <si>
    <t>OSE File No. 01499, Middle Frisco Ditch</t>
  </si>
  <si>
    <t>01499</t>
  </si>
  <si>
    <t>1899</t>
  </si>
  <si>
    <t>206</t>
  </si>
  <si>
    <t>GSRE-00094</t>
  </si>
  <si>
    <t>GSRE-00095</t>
  </si>
  <si>
    <t>GSRE-00096</t>
  </si>
  <si>
    <t>OSE File No. 01494, Middle Frisco Ditch</t>
  </si>
  <si>
    <t>01494</t>
  </si>
  <si>
    <t>1889</t>
  </si>
  <si>
    <t>189</t>
  </si>
  <si>
    <t>GSRE-00097</t>
  </si>
  <si>
    <t>GSRE-00098</t>
  </si>
  <si>
    <t>GSRE-00100</t>
  </si>
  <si>
    <t>GSRE-00101</t>
  </si>
  <si>
    <t>GSRE-00102</t>
  </si>
  <si>
    <t>No Right, irrigating with no right</t>
  </si>
  <si>
    <t>GSRE-00103</t>
  </si>
  <si>
    <t>GSRE-00104</t>
  </si>
  <si>
    <t>Rights transferred OSE File No. 01512, Middle Frisco Ditch</t>
  </si>
  <si>
    <t>01512</t>
  </si>
  <si>
    <t>271</t>
  </si>
  <si>
    <t>GSRE-00105</t>
  </si>
  <si>
    <t xml:space="preserve">OSE File No. 01530, Private Ditch, Locked Gate, No Access </t>
  </si>
  <si>
    <t>01530</t>
  </si>
  <si>
    <t>180</t>
  </si>
  <si>
    <t>GSRE-00106</t>
  </si>
  <si>
    <t>Hightower Ditch</t>
  </si>
  <si>
    <t>OSE File No. 01877, San Francisco Ditch</t>
  </si>
  <si>
    <t>01487</t>
  </si>
  <si>
    <t>172</t>
  </si>
  <si>
    <t>GSRE-00107</t>
  </si>
  <si>
    <t>OSE File No. 01530, Private Ditch,</t>
  </si>
  <si>
    <t>GSRE-00109</t>
  </si>
  <si>
    <t>OSE File No. 01487, Hightower Ditch</t>
  </si>
  <si>
    <t>GSRE-00110</t>
  </si>
  <si>
    <t>San Francisco Ditch</t>
  </si>
  <si>
    <t>01877</t>
  </si>
  <si>
    <t>GSRE-00111</t>
  </si>
  <si>
    <t>GSRE-00112</t>
  </si>
  <si>
    <t>GSRE-00113</t>
  </si>
  <si>
    <t>GSRE-00114</t>
  </si>
  <si>
    <t>GSRE-00115</t>
  </si>
  <si>
    <t>281</t>
  </si>
  <si>
    <t>GSRE-00116</t>
  </si>
  <si>
    <t>GSRE-00117</t>
  </si>
  <si>
    <t>GSRE-00118</t>
  </si>
  <si>
    <t>280</t>
  </si>
  <si>
    <t>GSRE-00119</t>
  </si>
  <si>
    <t>GSRE-00120</t>
  </si>
  <si>
    <t>GSRE-00121</t>
  </si>
  <si>
    <t>GSRE-00122</t>
  </si>
  <si>
    <t>GSRE-00123</t>
  </si>
  <si>
    <t>GSRE-00124</t>
  </si>
  <si>
    <t>GSRE-00125</t>
  </si>
  <si>
    <t>186</t>
  </si>
  <si>
    <t>GSRE-00126</t>
  </si>
  <si>
    <t xml:space="preserve"> No Right</t>
  </si>
  <si>
    <t>1.2</t>
  </si>
  <si>
    <t>GSRE-00127</t>
  </si>
  <si>
    <t>GSRE-00128</t>
  </si>
  <si>
    <t>291</t>
  </si>
  <si>
    <t>GSRE-00129</t>
  </si>
  <si>
    <t>219</t>
  </si>
  <si>
    <t>GSRE-00130</t>
  </si>
  <si>
    <t>GSRE-00131</t>
  </si>
  <si>
    <t>GSRE-00132</t>
  </si>
  <si>
    <t>170</t>
  </si>
  <si>
    <t>GSRE-00133</t>
  </si>
  <si>
    <t>GSRE-00134</t>
  </si>
  <si>
    <t>GSRE-00135</t>
  </si>
  <si>
    <t>169</t>
  </si>
  <si>
    <t>GSRE-00138</t>
  </si>
  <si>
    <t>204</t>
  </si>
  <si>
    <t>GSRE-00139</t>
  </si>
  <si>
    <t>GSRE-00140</t>
  </si>
  <si>
    <t>GSRE-00141</t>
  </si>
  <si>
    <t>GSRE-00142</t>
  </si>
  <si>
    <t>OSE File No. 01488, San Francisco Ditch</t>
  </si>
  <si>
    <t>01488</t>
  </si>
  <si>
    <t>243</t>
  </si>
  <si>
    <t>GSRE-00143</t>
  </si>
  <si>
    <t>GSRE-00144</t>
  </si>
  <si>
    <t>246</t>
  </si>
  <si>
    <t>GSRE-00145</t>
  </si>
  <si>
    <t>GSRE-00146</t>
  </si>
  <si>
    <t>GSRE-00147</t>
  </si>
  <si>
    <t>OSE File No. 01489 &amp; 01497, San Francisco Ditch</t>
  </si>
  <si>
    <t>01489 &amp; 01497</t>
  </si>
  <si>
    <t>244</t>
  </si>
  <si>
    <t>GSRE-00148</t>
  </si>
  <si>
    <t>GSRE-00149</t>
  </si>
  <si>
    <t>OSE File No. 01509, Lower Frisco Ditch</t>
  </si>
  <si>
    <t>01496</t>
  </si>
  <si>
    <t>256</t>
  </si>
  <si>
    <t>GSRE-00150</t>
  </si>
  <si>
    <t>GSRE-00151</t>
  </si>
  <si>
    <t>GSRE-00152</t>
  </si>
  <si>
    <t>GSRE-00154</t>
  </si>
  <si>
    <t>GSRE-00156</t>
  </si>
  <si>
    <t>GSRE-00157</t>
  </si>
  <si>
    <t>GSRE-00158</t>
  </si>
  <si>
    <t>GSRE-00159</t>
  </si>
  <si>
    <t>GSRE-00160</t>
  </si>
  <si>
    <t>GSRE-00161</t>
  </si>
  <si>
    <t>01507</t>
  </si>
  <si>
    <t>1850</t>
  </si>
  <si>
    <t>251</t>
  </si>
  <si>
    <t>GSRE-00162</t>
  </si>
  <si>
    <t>GSRE-00163</t>
  </si>
  <si>
    <t>GSRE-00164</t>
  </si>
  <si>
    <t>GSRE-00165</t>
  </si>
  <si>
    <t>GSRE-00166</t>
  </si>
  <si>
    <t>01509</t>
  </si>
  <si>
    <t>GSRE-00167</t>
  </si>
  <si>
    <t>GSRE-00168</t>
  </si>
  <si>
    <t>GSRE-00169</t>
  </si>
  <si>
    <t>OSE File No. 01529, Romero - Cordovas Ditch</t>
  </si>
  <si>
    <t>SD-0152901529</t>
  </si>
  <si>
    <t>08S</t>
  </si>
  <si>
    <t>171</t>
  </si>
  <si>
    <t>GSRE-00170</t>
  </si>
  <si>
    <t>OSE File No. GSF-2802</t>
  </si>
  <si>
    <t>GSF-2802</t>
  </si>
  <si>
    <t>T8S</t>
  </si>
  <si>
    <t>GSRE-00171</t>
  </si>
  <si>
    <t>GSRE-00172</t>
  </si>
  <si>
    <t>GSRE-00173</t>
  </si>
  <si>
    <t>OSE File No. 01510, Saliz Ditch</t>
  </si>
  <si>
    <t>01510</t>
  </si>
  <si>
    <t>289</t>
  </si>
  <si>
    <t>GSRE-00174</t>
  </si>
  <si>
    <t>OSE File No. 01510, Saliz Ditch #1</t>
  </si>
  <si>
    <t>GSRE-00175</t>
  </si>
  <si>
    <t>GSRE-00176</t>
  </si>
  <si>
    <t>GSRE-00177</t>
  </si>
  <si>
    <t>OSE File No. 01510, Saliz Ditch #2</t>
  </si>
  <si>
    <t>GSRE-00178</t>
  </si>
  <si>
    <t>GSRE-00179</t>
  </si>
  <si>
    <t>GSRE-00180</t>
  </si>
  <si>
    <t>GSRE-00182</t>
  </si>
  <si>
    <t>GSRE-00183</t>
  </si>
  <si>
    <t xml:space="preserve"> OSE File No. 01510, Saliz Ditch #1</t>
  </si>
  <si>
    <t>GSRE-00184</t>
  </si>
  <si>
    <t xml:space="preserve"> OSE File No. 01510, Saliz Ditch #2</t>
  </si>
  <si>
    <t>GSRE-00185</t>
  </si>
  <si>
    <t>GSRE-00186</t>
  </si>
  <si>
    <t>GSRE-00187</t>
  </si>
  <si>
    <t>GSRE-00188</t>
  </si>
  <si>
    <t>GSRE-00189</t>
  </si>
  <si>
    <t>GSRE-00190</t>
  </si>
  <si>
    <t>GSRE-00191</t>
  </si>
  <si>
    <t>GSRE-00192</t>
  </si>
  <si>
    <t>1.4</t>
  </si>
  <si>
    <t>GSRE-00193</t>
  </si>
  <si>
    <t>Private Ditch, No Right</t>
  </si>
  <si>
    <t>GSRE-00194</t>
  </si>
  <si>
    <t>4.0</t>
  </si>
  <si>
    <t>GSRE-00195</t>
  </si>
  <si>
    <t>OSE File No. 01457, Higgins Ditch, No Access Road Out</t>
  </si>
  <si>
    <t>01457</t>
  </si>
  <si>
    <t>1875</t>
  </si>
  <si>
    <t>269</t>
  </si>
  <si>
    <t>GSRE-00196</t>
  </si>
  <si>
    <t>Private Ditch, No access, Road washed out</t>
  </si>
  <si>
    <t>NO #</t>
  </si>
  <si>
    <t>T9S</t>
  </si>
  <si>
    <t>266</t>
  </si>
  <si>
    <t>GSRE-00197</t>
  </si>
  <si>
    <t>GSRE-00198</t>
  </si>
  <si>
    <t>GSRE-00199</t>
  </si>
  <si>
    <t>GSRE-00200</t>
  </si>
  <si>
    <t xml:space="preserve">OSE File No. 01458, Kelly Ditch </t>
  </si>
  <si>
    <t>1A</t>
  </si>
  <si>
    <t>01458</t>
  </si>
  <si>
    <t>1870</t>
  </si>
  <si>
    <t>267</t>
  </si>
  <si>
    <t>GSRE-00201</t>
  </si>
  <si>
    <t>OSE File No. 01533, Balke Ditch, Reservoir, 70% Full</t>
  </si>
  <si>
    <t>01533</t>
  </si>
  <si>
    <t>02/09/1891</t>
  </si>
  <si>
    <t>175</t>
  </si>
  <si>
    <t>GSRE-00204</t>
  </si>
  <si>
    <t>OSE File No. 01533, Balke Ditch</t>
  </si>
  <si>
    <t>GSRE-00207</t>
  </si>
  <si>
    <t>OSE File No. 02374, Bill Lewis Ditch, Reservoir, 90% Full</t>
  </si>
  <si>
    <t>11 A-1 (303)</t>
  </si>
  <si>
    <t>GSRE-00213</t>
  </si>
  <si>
    <t>Permit No. SP-5043, Stock Tank, S-1.15 acres, capacity 6.9664 ac-ft 100% Full</t>
  </si>
  <si>
    <t>SP-5043</t>
  </si>
  <si>
    <t>21W</t>
  </si>
  <si>
    <t>Brett McFadden</t>
  </si>
  <si>
    <t>08/31/1885</t>
  </si>
  <si>
    <t>89</t>
  </si>
  <si>
    <t>GSRE-00214</t>
  </si>
  <si>
    <t>1.0</t>
  </si>
  <si>
    <t>GSRE-00215</t>
  </si>
  <si>
    <t>GSRE-00216</t>
  </si>
  <si>
    <t>GSRE-00217</t>
  </si>
  <si>
    <t>0.3</t>
  </si>
  <si>
    <t>GSRE-00218</t>
  </si>
  <si>
    <t>Currently Irrigating by Sprinkler</t>
  </si>
  <si>
    <t>1.3</t>
  </si>
  <si>
    <t>SD-2579-2</t>
  </si>
  <si>
    <t>OSE File No. 02579, Reservoir, 75% Full</t>
  </si>
  <si>
    <t>2579-2</t>
  </si>
  <si>
    <t>17W</t>
  </si>
  <si>
    <t>Canadian Cattle Co.</t>
  </si>
  <si>
    <t>78</t>
  </si>
  <si>
    <t>GSRE-00223</t>
  </si>
  <si>
    <t>OSE File No. GSF-1676</t>
  </si>
  <si>
    <t>GSF-1676</t>
  </si>
  <si>
    <t>GSRE-00224</t>
  </si>
  <si>
    <t>GSF-4030</t>
  </si>
  <si>
    <t>Lawrence R. Wilson</t>
  </si>
  <si>
    <t>GSRE-00225</t>
  </si>
  <si>
    <t>GSRE-00226</t>
  </si>
  <si>
    <t>OSE File No. 01533, Balke Ditch "Breached" Now a field</t>
  </si>
  <si>
    <t>GSRE-00227</t>
  </si>
  <si>
    <t>OSE File No. 01533, Balke Ditch, Permitted</t>
  </si>
  <si>
    <t>GSRE-00228</t>
  </si>
  <si>
    <t>GSRE-00229</t>
  </si>
  <si>
    <t>GSRE-00230</t>
  </si>
  <si>
    <t xml:space="preserve">OSE File No. 01533, Balke Ditch, Permitted </t>
  </si>
  <si>
    <t>GSRE-00231</t>
  </si>
  <si>
    <t>GSRE-00232</t>
  </si>
  <si>
    <t>GSRE-00234</t>
  </si>
  <si>
    <t>01529, Romero - Cordovas Ditch</t>
  </si>
  <si>
    <t>SD-01529-1</t>
  </si>
  <si>
    <t>Edward Atwood</t>
  </si>
  <si>
    <t>02579, Reservoir, 80% Full</t>
  </si>
  <si>
    <t>02579, Reservoir, 60% Full</t>
  </si>
  <si>
    <t>02579, Reservoir, "10% Full"</t>
  </si>
  <si>
    <t>02579</t>
  </si>
  <si>
    <t>2579</t>
  </si>
  <si>
    <t>185</t>
  </si>
  <si>
    <t>OSE File No. 01458, Kelly Ditch</t>
  </si>
  <si>
    <t>OSE File No. GSF-4338-1 Permitted Little outside use</t>
  </si>
  <si>
    <t>GSF-4338-1</t>
  </si>
  <si>
    <t>20W</t>
  </si>
  <si>
    <t>FRANK &amp; DEANNA MCCORMICK</t>
  </si>
  <si>
    <t xml:space="preserve">SP-4442-1A into GSF-4378 </t>
  </si>
  <si>
    <t>GSF-04378</t>
  </si>
  <si>
    <t>16W</t>
  </si>
  <si>
    <t>COLLINS PARK RANCH, LLC</t>
  </si>
  <si>
    <t>75</t>
  </si>
  <si>
    <t>SD-01520-1AAA &amp; GSF-2065 into GSF-04318 Not Inspected Locked Gate</t>
  </si>
  <si>
    <t>GSF-04318</t>
  </si>
  <si>
    <t>RANDON HERRIN</t>
  </si>
  <si>
    <t>16610:180</t>
  </si>
  <si>
    <t xml:space="preserve">Reservoir </t>
  </si>
  <si>
    <t>Village of Reserve water supply</t>
  </si>
  <si>
    <t>GSRE-00181</t>
  </si>
  <si>
    <t>SP-5043 100% Full</t>
  </si>
  <si>
    <t>50% Full</t>
  </si>
  <si>
    <t>30% Full</t>
  </si>
  <si>
    <t>No Right, Stock Tank, 1/3 full</t>
  </si>
  <si>
    <t>Awating BU for actual acreage</t>
  </si>
  <si>
    <t>OSE File No. 01509, Lower Frisco DitchRes 50% Full</t>
  </si>
  <si>
    <t>GSLU-00001</t>
  </si>
  <si>
    <t>GSLU</t>
  </si>
  <si>
    <t>Luna</t>
  </si>
  <si>
    <t>LU</t>
  </si>
  <si>
    <t>No Right, Dry Farm</t>
  </si>
  <si>
    <t>11, 10</t>
  </si>
  <si>
    <t>T5S</t>
  </si>
  <si>
    <t>Herbert Bastion</t>
  </si>
  <si>
    <t>GSLU-00002</t>
  </si>
  <si>
    <t>GSLU-00003</t>
  </si>
  <si>
    <t>OSE File No. 01098, William S Laney Ditch</t>
  </si>
  <si>
    <t>01098</t>
  </si>
  <si>
    <t>Randolph Jenks</t>
  </si>
  <si>
    <t>1894</t>
  </si>
  <si>
    <t>GSLU-00004</t>
  </si>
  <si>
    <t>GSLU-00005</t>
  </si>
  <si>
    <t>GSLU-00006</t>
  </si>
  <si>
    <t>GSLU-00007</t>
  </si>
  <si>
    <t>1892</t>
  </si>
  <si>
    <t>430</t>
  </si>
  <si>
    <t>GSLU-00008</t>
  </si>
  <si>
    <t xml:space="preserve">OSE File No. LWD-SF-0310, Stock Tank, </t>
  </si>
  <si>
    <t>LWD-SF-0310</t>
  </si>
  <si>
    <t>Clyde Hamblin</t>
  </si>
  <si>
    <t>428</t>
  </si>
  <si>
    <t>GSLU-00009</t>
  </si>
  <si>
    <t>Reynolds Bros.</t>
  </si>
  <si>
    <t>GSLU-00010</t>
  </si>
  <si>
    <t>GSLU-00013</t>
  </si>
  <si>
    <t>GSLU-00014</t>
  </si>
  <si>
    <t>425 &amp; 428</t>
  </si>
  <si>
    <t>GSLU-00015</t>
  </si>
  <si>
    <t>GSLU-00016</t>
  </si>
  <si>
    <t>GSLU-00017</t>
  </si>
  <si>
    <t>Out No Right</t>
  </si>
  <si>
    <t>11.4</t>
  </si>
  <si>
    <t>GSLU-00018</t>
  </si>
  <si>
    <t>GSLU-00019</t>
  </si>
  <si>
    <t>Reynolds</t>
  </si>
  <si>
    <t>GSLU-00020</t>
  </si>
  <si>
    <t>GSLU-00021</t>
  </si>
  <si>
    <t>OSE File No. 01098, William S Laney Ditch, Reservoir, Dry</t>
  </si>
  <si>
    <t>GSLU-00022</t>
  </si>
  <si>
    <t>H.L. Reynolds</t>
  </si>
  <si>
    <t>33.4</t>
  </si>
  <si>
    <t>GSLU-00023</t>
  </si>
  <si>
    <t>No Right, Reservoir, Dry</t>
  </si>
  <si>
    <t>GSLU-00024</t>
  </si>
  <si>
    <t>5.5</t>
  </si>
  <si>
    <t>GSLU-00025</t>
  </si>
  <si>
    <t>17.1</t>
  </si>
  <si>
    <t>GSLU-00026</t>
  </si>
  <si>
    <t>GSLU-00029</t>
  </si>
  <si>
    <t>OSE File No. 01058, William S. Laney Ditch</t>
  </si>
  <si>
    <t>01058</t>
  </si>
  <si>
    <t>Leon Reynolds</t>
  </si>
  <si>
    <t>GSLU-00030</t>
  </si>
  <si>
    <t>11.9</t>
  </si>
  <si>
    <t>GSLU-00032</t>
  </si>
  <si>
    <t>9.0</t>
  </si>
  <si>
    <t>GSLU-00033</t>
  </si>
  <si>
    <t>24.0</t>
  </si>
  <si>
    <t>GSLU-00034</t>
  </si>
  <si>
    <t>Shelby Laney</t>
  </si>
  <si>
    <t>1.8</t>
  </si>
  <si>
    <t>GSLU-00035</t>
  </si>
  <si>
    <t>Shelby Lane</t>
  </si>
  <si>
    <t>GSLU-00036</t>
  </si>
  <si>
    <t>A.W. Laney</t>
  </si>
  <si>
    <t>GSLU-00037</t>
  </si>
  <si>
    <t>A. Laney Ditch</t>
  </si>
  <si>
    <t xml:space="preserve">OSE File No. 01839, A. Laney Ditch </t>
  </si>
  <si>
    <t>1839</t>
  </si>
  <si>
    <t>404</t>
  </si>
  <si>
    <t>GSLU-00038</t>
  </si>
  <si>
    <t>OSE File No. 01839, A. Laney Ditch</t>
  </si>
  <si>
    <t>01839</t>
  </si>
  <si>
    <t>Alvin Laney</t>
  </si>
  <si>
    <t>GSLU-00039</t>
  </si>
  <si>
    <t>GSLU-00040</t>
  </si>
  <si>
    <t>1.7</t>
  </si>
  <si>
    <t>GSLU-00041</t>
  </si>
  <si>
    <t>GSLU-00043</t>
  </si>
  <si>
    <t>GSLU-00044</t>
  </si>
  <si>
    <t>3.6</t>
  </si>
  <si>
    <t>GSLU-00045</t>
  </si>
  <si>
    <t>GSLU-00046</t>
  </si>
  <si>
    <t xml:space="preserve">OSE File No. 01838, Spring </t>
  </si>
  <si>
    <t>01838</t>
  </si>
  <si>
    <t>1861</t>
  </si>
  <si>
    <t>GSLU-00047</t>
  </si>
  <si>
    <t>GSLU-00048</t>
  </si>
  <si>
    <t>4.2</t>
  </si>
  <si>
    <t>GSLU-00049</t>
  </si>
  <si>
    <t>OSE File No. 0459 &amp; 0459-a, Adair Ditch</t>
  </si>
  <si>
    <t>0459 &amp; 0459-A</t>
  </si>
  <si>
    <t>401</t>
  </si>
  <si>
    <t>GSLU-00051</t>
  </si>
  <si>
    <t xml:space="preserve">OSE File No. LWD-SF-098, Reservoir 2% Full </t>
  </si>
  <si>
    <t>LWD-SF-098</t>
  </si>
  <si>
    <t>GSLU-00052</t>
  </si>
  <si>
    <t>OSE File No. 02262, Minnie Reynolds Ditch, Move form this location</t>
  </si>
  <si>
    <t>02262</t>
  </si>
  <si>
    <t>Minnie Reynolds</t>
  </si>
  <si>
    <t>434</t>
  </si>
  <si>
    <t>GSLU-00053</t>
  </si>
  <si>
    <t>13.1</t>
  </si>
  <si>
    <t>GSLU-00054</t>
  </si>
  <si>
    <t>GSLU-00055</t>
  </si>
  <si>
    <t>GSLU-00056</t>
  </si>
  <si>
    <t>L. Laney Ditch</t>
  </si>
  <si>
    <t>Reservoir 0.3 5% full</t>
  </si>
  <si>
    <t>SD-01833-1</t>
  </si>
  <si>
    <t>Paul Randolph Sutton</t>
  </si>
  <si>
    <t>NW1/4NW1/4SW1/4</t>
  </si>
  <si>
    <t>125500</t>
  </si>
  <si>
    <t>GSLU-00057</t>
  </si>
  <si>
    <t>OSE File No. 01833 and 01833 A, Leslie Laney Ditch</t>
  </si>
  <si>
    <t>SW1/4</t>
  </si>
  <si>
    <t>GSLU-00058</t>
  </si>
  <si>
    <t>GSLU-00059</t>
  </si>
  <si>
    <t>Alex Patterson</t>
  </si>
  <si>
    <t>418</t>
  </si>
  <si>
    <t>GSLU-00060</t>
  </si>
  <si>
    <t>0.8</t>
  </si>
  <si>
    <t>GSLU-00061</t>
  </si>
  <si>
    <t>OSE File No. 02262, Minnie Reynolds Ditch, Reservoir, Dry, Rights moved by permit</t>
  </si>
  <si>
    <t>GSLU-00062</t>
  </si>
  <si>
    <t>Stock Tank _x000D_
Stock Tank</t>
  </si>
  <si>
    <t>GSLU-00063</t>
  </si>
  <si>
    <t>Dry Farm</t>
  </si>
  <si>
    <t>GSLU-00064</t>
  </si>
  <si>
    <t>North Luna Ditch</t>
  </si>
  <si>
    <t>OSE File No. 01502, North Side Luna Ditch</t>
  </si>
  <si>
    <t>01502</t>
  </si>
  <si>
    <t>GSLU-00065</t>
  </si>
  <si>
    <t>GSLU-00066</t>
  </si>
  <si>
    <t>Stock Tank  Stock Tank</t>
  </si>
  <si>
    <t>GSLU-00067</t>
  </si>
  <si>
    <t>GSLU-00068</t>
  </si>
  <si>
    <t>GSLU-00069</t>
  </si>
  <si>
    <t>GSLU-00070</t>
  </si>
  <si>
    <t>George Reynolds</t>
  </si>
  <si>
    <t>427</t>
  </si>
  <si>
    <t>GSLU-00071</t>
  </si>
  <si>
    <t>Walter Reynolds</t>
  </si>
  <si>
    <t>436</t>
  </si>
  <si>
    <t>GSLU-00072</t>
  </si>
  <si>
    <t>Waterd from domestic well</t>
  </si>
  <si>
    <t>GSLU-00073</t>
  </si>
  <si>
    <t>Tom Adair</t>
  </si>
  <si>
    <t>572</t>
  </si>
  <si>
    <t>GSLU-00074</t>
  </si>
  <si>
    <t>GSLU-00076</t>
  </si>
  <si>
    <t>372</t>
  </si>
  <si>
    <t>GSLU-00077</t>
  </si>
  <si>
    <t>OSE File No. , Frank Laney Ditch</t>
  </si>
  <si>
    <t>Frank Laney</t>
  </si>
  <si>
    <t>407</t>
  </si>
  <si>
    <t>GSLU-00078</t>
  </si>
  <si>
    <t>No Right?</t>
  </si>
  <si>
    <t>Jane Husley</t>
  </si>
  <si>
    <t>399</t>
  </si>
  <si>
    <t>GSLU-00079</t>
  </si>
  <si>
    <t>Stock Dry</t>
  </si>
  <si>
    <t>Stock</t>
  </si>
  <si>
    <t>GSLU-00080</t>
  </si>
  <si>
    <t>15.5</t>
  </si>
  <si>
    <t>GSLU-00081</t>
  </si>
  <si>
    <t>Buford Husley</t>
  </si>
  <si>
    <t>GSLU-00082</t>
  </si>
  <si>
    <t>Owen Reynolds</t>
  </si>
  <si>
    <t>435</t>
  </si>
  <si>
    <t>GSLU-00083</t>
  </si>
  <si>
    <t>GSLU-00084</t>
  </si>
  <si>
    <t xml:space="preserve">OSE File No. 01502, North Side Luna Ditch </t>
  </si>
  <si>
    <t>Cris Derick</t>
  </si>
  <si>
    <t>384</t>
  </si>
  <si>
    <t>GSLU-00086</t>
  </si>
  <si>
    <t>Ed Laney</t>
  </si>
  <si>
    <t>405</t>
  </si>
  <si>
    <t>GSLU-00087</t>
  </si>
  <si>
    <t>GSLU-00088</t>
  </si>
  <si>
    <t>396</t>
  </si>
  <si>
    <t>GSLU-00089</t>
  </si>
  <si>
    <t>GSLU-00090</t>
  </si>
  <si>
    <t>GSLU-00092</t>
  </si>
  <si>
    <t>Lamar Reynolds</t>
  </si>
  <si>
    <t>431</t>
  </si>
  <si>
    <t>GSLU-00093</t>
  </si>
  <si>
    <t>386</t>
  </si>
  <si>
    <t>GSLU-00094</t>
  </si>
  <si>
    <t>GSLU-00095</t>
  </si>
  <si>
    <t>Harry and David Reynolds</t>
  </si>
  <si>
    <t>GSLU-00096</t>
  </si>
  <si>
    <t>Andrew J. Derrick</t>
  </si>
  <si>
    <t>1.28</t>
  </si>
  <si>
    <t>GSLU-00098</t>
  </si>
  <si>
    <t>GSLU-00099</t>
  </si>
  <si>
    <t>GSLU-00100</t>
  </si>
  <si>
    <t>GSLU-00101</t>
  </si>
  <si>
    <t>GSLU-00104</t>
  </si>
  <si>
    <t>GSLU-00105</t>
  </si>
  <si>
    <t>Stock Tank NO Right Dry</t>
  </si>
  <si>
    <t>Ed Sewell</t>
  </si>
  <si>
    <t>GSLU-00106</t>
  </si>
  <si>
    <t>GSLU-00107</t>
  </si>
  <si>
    <t>GSLU-00108</t>
  </si>
  <si>
    <t>Frank Adair</t>
  </si>
  <si>
    <t>GSLU-00109</t>
  </si>
  <si>
    <t>4.1</t>
  </si>
  <si>
    <t>GSLU-00110</t>
  </si>
  <si>
    <t>David Reynolds</t>
  </si>
  <si>
    <t>410</t>
  </si>
  <si>
    <t>GSLU-00111</t>
  </si>
  <si>
    <t>426</t>
  </si>
  <si>
    <t>GSLU-00112</t>
  </si>
  <si>
    <t>Walter Butler</t>
  </si>
  <si>
    <t>380</t>
  </si>
  <si>
    <t>GSLU-00113</t>
  </si>
  <si>
    <t>No Right, Subfile 441, Sewell Ditch</t>
  </si>
  <si>
    <t>441</t>
  </si>
  <si>
    <t>GSLU-00114</t>
  </si>
  <si>
    <t>GSLU-00115</t>
  </si>
  <si>
    <t>OSE File No. 01502, Noeth Side Luna Ditch</t>
  </si>
  <si>
    <t>Joe Laney</t>
  </si>
  <si>
    <t>408</t>
  </si>
  <si>
    <t>GSLU-00116</t>
  </si>
  <si>
    <t>GSLU-00117</t>
  </si>
  <si>
    <t>GSLU-00118</t>
  </si>
  <si>
    <t>GSLU-00119</t>
  </si>
  <si>
    <t>Louis Laney</t>
  </si>
  <si>
    <t>GSLU-00120</t>
  </si>
  <si>
    <t>Tom Barrow</t>
  </si>
  <si>
    <t>GSLU-00121</t>
  </si>
  <si>
    <t>Vian Snyder</t>
  </si>
  <si>
    <t>444</t>
  </si>
  <si>
    <t>GSLU-00122</t>
  </si>
  <si>
    <t>GSLU-00123</t>
  </si>
  <si>
    <t>GSLU-00124</t>
  </si>
  <si>
    <t>OSE File No. 01503, J.H. Beaver Ditch, Reservoir, 10% Full</t>
  </si>
  <si>
    <t>01503</t>
  </si>
  <si>
    <t>Tom Lee Kiehne</t>
  </si>
  <si>
    <t>GSLU-00125</t>
  </si>
  <si>
    <t>GSLU-00126</t>
  </si>
  <si>
    <t>Harry Reynolds</t>
  </si>
  <si>
    <t>429</t>
  </si>
  <si>
    <t>GSLU-00127</t>
  </si>
  <si>
    <t>GSLU-00128</t>
  </si>
  <si>
    <t>Perry Pegues</t>
  </si>
  <si>
    <t>421</t>
  </si>
  <si>
    <t>GSLU-00129</t>
  </si>
  <si>
    <t>Loyal Reynolds</t>
  </si>
  <si>
    <t>433</t>
  </si>
  <si>
    <t>GSLU-00130</t>
  </si>
  <si>
    <t>OSE File No. GSF-</t>
  </si>
  <si>
    <t>GSLU-00131</t>
  </si>
  <si>
    <t>Clara Millett</t>
  </si>
  <si>
    <t>416</t>
  </si>
  <si>
    <t>GSLU-00132</t>
  </si>
  <si>
    <t>411</t>
  </si>
  <si>
    <t>GSLU-00133</t>
  </si>
  <si>
    <t>GSLU-00135</t>
  </si>
  <si>
    <t>GSLU-00136</t>
  </si>
  <si>
    <t>GSLU-00137</t>
  </si>
  <si>
    <t>GSLU-00138</t>
  </si>
  <si>
    <t>GSLU-00139</t>
  </si>
  <si>
    <t>GSLU-00140</t>
  </si>
  <si>
    <t>01502-19</t>
  </si>
  <si>
    <t>GSLU-00142</t>
  </si>
  <si>
    <t>OSE File No. 01503, J.H. Beaver Ditch, Reservoir,  35% Full</t>
  </si>
  <si>
    <t>GSLU-00143</t>
  </si>
  <si>
    <t>01502-7B</t>
  </si>
  <si>
    <t>John Derrick</t>
  </si>
  <si>
    <t>385</t>
  </si>
  <si>
    <t>GSLU-00144</t>
  </si>
  <si>
    <t>GSLU-00145</t>
  </si>
  <si>
    <t>Myrtle Laney</t>
  </si>
  <si>
    <t>GSLU-00146</t>
  </si>
  <si>
    <t>SD-01502-25A</t>
  </si>
  <si>
    <t>GSLU-00147</t>
  </si>
  <si>
    <t>The Church of Jesus Christ of the Lattter Day Saints</t>
  </si>
  <si>
    <t>382</t>
  </si>
  <si>
    <t>GSLU-00148</t>
  </si>
  <si>
    <t>Raymond Fuentes</t>
  </si>
  <si>
    <t>GSLU-00149</t>
  </si>
  <si>
    <t>394</t>
  </si>
  <si>
    <t>GSLU-00150</t>
  </si>
  <si>
    <t>Clyde Ballard</t>
  </si>
  <si>
    <t>374</t>
  </si>
  <si>
    <t>GSLU-00151</t>
  </si>
  <si>
    <t>GSLU-00152</t>
  </si>
  <si>
    <t>OSE File No. 01503, J.H. Beaver Ditch</t>
  </si>
  <si>
    <t>GSLU-00153</t>
  </si>
  <si>
    <t>J.S. McFate</t>
  </si>
  <si>
    <t>415</t>
  </si>
  <si>
    <t>GSLU-00154</t>
  </si>
  <si>
    <t>GSLU-00155</t>
  </si>
  <si>
    <t>GSLU-00156</t>
  </si>
  <si>
    <t>18.7</t>
  </si>
  <si>
    <t>GSLU-00157</t>
  </si>
  <si>
    <t>Edgar Laney</t>
  </si>
  <si>
    <t>406</t>
  </si>
  <si>
    <t>GSLU-00159</t>
  </si>
  <si>
    <t xml:space="preserve">Watered form domestic well </t>
  </si>
  <si>
    <t>GSLU-00160</t>
  </si>
  <si>
    <t>GSLU-00161</t>
  </si>
  <si>
    <t>GSLU-00162</t>
  </si>
  <si>
    <t>OSE File No. 01503, J.H. Beaver Ditch, 1/2 Duty</t>
  </si>
  <si>
    <t>GSLU-00163</t>
  </si>
  <si>
    <t>425</t>
  </si>
  <si>
    <t>GSLU-00164</t>
  </si>
  <si>
    <t>01502-7C</t>
  </si>
  <si>
    <t>GSLU-00165</t>
  </si>
  <si>
    <t>Bob Maxwell</t>
  </si>
  <si>
    <t>GSLU-00167</t>
  </si>
  <si>
    <t>GSLU-00168</t>
  </si>
  <si>
    <t>James M. Swapp</t>
  </si>
  <si>
    <t>447</t>
  </si>
  <si>
    <t>GSLU-00169</t>
  </si>
  <si>
    <t>414</t>
  </si>
  <si>
    <t>GSLU-00170</t>
  </si>
  <si>
    <t>9.2</t>
  </si>
  <si>
    <t>GSLU-00171</t>
  </si>
  <si>
    <t>Vain Snyder</t>
  </si>
  <si>
    <t>GSLU-00173</t>
  </si>
  <si>
    <t>GSLU-00176</t>
  </si>
  <si>
    <t xml:space="preserve"> Watered form domestic well</t>
  </si>
  <si>
    <t>GSLU-00177</t>
  </si>
  <si>
    <t>GSLU-00179</t>
  </si>
  <si>
    <t>GSLU-00180</t>
  </si>
  <si>
    <t>GSLU-00181</t>
  </si>
  <si>
    <t>OSE File No. 01502, North Side Luna Ditch, Reservoir, Dry</t>
  </si>
  <si>
    <t>Stanley Shumway</t>
  </si>
  <si>
    <t>442</t>
  </si>
  <si>
    <t>GSLU-00182</t>
  </si>
  <si>
    <t>4.5</t>
  </si>
  <si>
    <t>GSLU-00183</t>
  </si>
  <si>
    <t>Acel Reynolds</t>
  </si>
  <si>
    <t>424</t>
  </si>
  <si>
    <t>GSLU-00184</t>
  </si>
  <si>
    <t>OSE File No. 01502-7, Reservoir, Dry</t>
  </si>
  <si>
    <t>01502-7</t>
  </si>
  <si>
    <t>GSLU-00185</t>
  </si>
  <si>
    <t>Phillip Swapp</t>
  </si>
  <si>
    <t>448</t>
  </si>
  <si>
    <t>GSLU-00186</t>
  </si>
  <si>
    <t>GSLU-00187</t>
  </si>
  <si>
    <t>GSLU-00188</t>
  </si>
  <si>
    <t>GSLU-00189</t>
  </si>
  <si>
    <t>GSLU-00191</t>
  </si>
  <si>
    <t>GSLU-00193</t>
  </si>
  <si>
    <t>GSLU-00194</t>
  </si>
  <si>
    <t>GSLU-00195</t>
  </si>
  <si>
    <t>GSLU-00196</t>
  </si>
  <si>
    <t>GSLU-00197</t>
  </si>
  <si>
    <t>GSLU-00198</t>
  </si>
  <si>
    <t xml:space="preserve">OSE File No. 01502, South Side Luna Ditch </t>
  </si>
  <si>
    <t>George Fuentes</t>
  </si>
  <si>
    <t>391</t>
  </si>
  <si>
    <t>GSLU-00199</t>
  </si>
  <si>
    <t>6.31</t>
  </si>
  <si>
    <t>GSLU-00200</t>
  </si>
  <si>
    <t>8.7</t>
  </si>
  <si>
    <t>GSLU-00201</t>
  </si>
  <si>
    <t>Joe Giles</t>
  </si>
  <si>
    <t>395</t>
  </si>
  <si>
    <t>GSLU-00202</t>
  </si>
  <si>
    <t>Coralea Edwards</t>
  </si>
  <si>
    <t>388</t>
  </si>
  <si>
    <t>GSLU-00203</t>
  </si>
  <si>
    <t>8.8</t>
  </si>
  <si>
    <t>GSLU-00204</t>
  </si>
  <si>
    <t>GSLU-00205</t>
  </si>
  <si>
    <t>GSLU-00206</t>
  </si>
  <si>
    <t>OSE File No. 01502, North Side Luna Ditch, Reservoir</t>
  </si>
  <si>
    <t>GSLU-00207</t>
  </si>
  <si>
    <t>OSE File No. 01502, North Side Luna Ditch, Reservoir, "Full"</t>
  </si>
  <si>
    <t>GSLU-00208</t>
  </si>
  <si>
    <t>GSLU-00209</t>
  </si>
  <si>
    <t>GSLU-00210</t>
  </si>
  <si>
    <t>OSE File No. None, Phillip Swapp Ditch</t>
  </si>
  <si>
    <t>GSLU-00211</t>
  </si>
  <si>
    <t>10.</t>
  </si>
  <si>
    <t>GSLU-00212</t>
  </si>
  <si>
    <t>Stock Tank No Right Dry</t>
  </si>
  <si>
    <t>GSLU-00213</t>
  </si>
  <si>
    <t>GSLU-00214</t>
  </si>
  <si>
    <t>GSLU-00215</t>
  </si>
  <si>
    <t>5.7</t>
  </si>
  <si>
    <t>GSLU-00216</t>
  </si>
  <si>
    <t>GSLU-00217</t>
  </si>
  <si>
    <t>no Right</t>
  </si>
  <si>
    <t>11.8</t>
  </si>
  <si>
    <t>GSLU-00218</t>
  </si>
  <si>
    <t>GSLU-00219</t>
  </si>
  <si>
    <t xml:space="preserve">OSE File No. 01502 </t>
  </si>
  <si>
    <t>GSLU-00220</t>
  </si>
  <si>
    <t>3.1</t>
  </si>
  <si>
    <t>GSLU-00221</t>
  </si>
  <si>
    <t>GSLU-00222</t>
  </si>
  <si>
    <t>OSE File No. 01502-26, South Side Luna Ditch, Moved into GSF-1599</t>
  </si>
  <si>
    <t>01502-26</t>
  </si>
  <si>
    <t>GSLU-00223</t>
  </si>
  <si>
    <t>No Right, North Side Luna Ditch</t>
  </si>
  <si>
    <t>4.9</t>
  </si>
  <si>
    <t>GSLU-00226</t>
  </si>
  <si>
    <t>No Right, South Side Luna Ditch</t>
  </si>
  <si>
    <t>7.1</t>
  </si>
  <si>
    <t>GSLU-00228</t>
  </si>
  <si>
    <t>16.2</t>
  </si>
  <si>
    <t>GSLU-00229</t>
  </si>
  <si>
    <t>GSLU-00231</t>
  </si>
  <si>
    <t>5.9</t>
  </si>
  <si>
    <t>GSLU-00232</t>
  </si>
  <si>
    <t>OSE File No. 01502, South Side Luna Ditch</t>
  </si>
  <si>
    <t>GSLU-00234</t>
  </si>
  <si>
    <t>Gilbert G. Acosta</t>
  </si>
  <si>
    <t>GSLU-00235</t>
  </si>
  <si>
    <t xml:space="preserve">No Right, Reservoir, Dry "Breached, tank no longer in place" </t>
  </si>
  <si>
    <t>GSLU-00236</t>
  </si>
  <si>
    <t>GSLU-00237</t>
  </si>
  <si>
    <t xml:space="preserve">No Right, Subfile: 441, Sewell Ditch </t>
  </si>
  <si>
    <t>GSLU-00238</t>
  </si>
  <si>
    <t>GSLU-00239</t>
  </si>
  <si>
    <t>398</t>
  </si>
  <si>
    <t>GSLU-00240</t>
  </si>
  <si>
    <t>STOCK TANK CAP. 29.9 ACFT, 90% Full</t>
  </si>
  <si>
    <t>T4S</t>
  </si>
  <si>
    <t>F. WESTRIC</t>
  </si>
  <si>
    <t>GSLU-00241</t>
  </si>
  <si>
    <t>OSE File No. GSF-608</t>
  </si>
  <si>
    <t>GSF-608</t>
  </si>
  <si>
    <t>Ron Hutchinson</t>
  </si>
  <si>
    <t>GSLU-00242</t>
  </si>
  <si>
    <t>OSE File No. GSF-2480, 01502-C-B into GSF-2480</t>
  </si>
  <si>
    <t>GSF-2480</t>
  </si>
  <si>
    <t>ROBERT LANEY</t>
  </si>
  <si>
    <t>GSLU-00243</t>
  </si>
  <si>
    <t>OSE File No. GSF-3449-1</t>
  </si>
  <si>
    <t>GSF-3449-1</t>
  </si>
  <si>
    <t>GSLU-00244</t>
  </si>
  <si>
    <t>OSE File No. GSF-4350, AREA = 6,956.31 sqft</t>
  </si>
  <si>
    <t>GSF-4350</t>
  </si>
  <si>
    <t>WAYNE &amp; BONNIE BABER</t>
  </si>
  <si>
    <t>GSLU-00245</t>
  </si>
  <si>
    <t>OSE File No. GSF-4350, AREA = 3,933.69 sqft</t>
  </si>
  <si>
    <t>GSLU-00246</t>
  </si>
  <si>
    <t>OSE File No. GSF-1896-1, Grass Area</t>
  </si>
  <si>
    <t>GSF-1896-1</t>
  </si>
  <si>
    <t>SPUR RANCH &amp; CATTLE Co.</t>
  </si>
  <si>
    <t>GSLU-00247</t>
  </si>
  <si>
    <t>OSE File No. GSF-1896-1, Garden Area</t>
  </si>
  <si>
    <t>GSLU-00268</t>
  </si>
  <si>
    <t>OSE File No. 0459 &amp; 0459-A, Adir Ditch</t>
  </si>
  <si>
    <t>GSLU-00271</t>
  </si>
  <si>
    <t>OSE File No. 01502-19B, North Side Luna Ditch, 2nd Part Of 1.7 Acres into GSF-2480</t>
  </si>
  <si>
    <t>01502-19B</t>
  </si>
  <si>
    <t>VERNON F. LANEY</t>
  </si>
  <si>
    <t>GSLU-00272</t>
  </si>
  <si>
    <t>OSE File No. 01502-19B, North Side Luna Ditch, 1st Part Of 1.7 Acres into GSF-2480</t>
  </si>
  <si>
    <t>GSLU-00274</t>
  </si>
  <si>
    <t>OSE File No. 01502-7G, Moved into GSF-2596</t>
  </si>
  <si>
    <t>01502-7G</t>
  </si>
  <si>
    <t>MARGERT K ATCHISON, SEAN P. CLANCY, DEBRA ACKERMAN</t>
  </si>
  <si>
    <t>GSLU-00279</t>
  </si>
  <si>
    <t>OSE File No. 01502, Moved into GSF-2233</t>
  </si>
  <si>
    <t>CARL TROTTER</t>
  </si>
  <si>
    <t>GSLU-00280</t>
  </si>
  <si>
    <t>OSE File No. 01502, Moved into GSF-2981</t>
  </si>
  <si>
    <t>SUSAN &amp; RICHARD LEY</t>
  </si>
  <si>
    <t>GSLU-00281</t>
  </si>
  <si>
    <t>OSE File No. 01502, Moved into GSF-1727</t>
  </si>
  <si>
    <t>SD-01502-25B</t>
  </si>
  <si>
    <t>DAVID F. &amp; LINDA A. KEIRSTEAD</t>
  </si>
  <si>
    <t>GSLU-00282</t>
  </si>
  <si>
    <t>OSE File No. 01502, Moved into GSF-3597</t>
  </si>
  <si>
    <t>SD-01502-25C</t>
  </si>
  <si>
    <t>TWO MOONS &amp; THOMAS KUJAT</t>
  </si>
  <si>
    <t>GSLU-00283</t>
  </si>
  <si>
    <t>OSE File No. 01502, Moved to 6,T6S,R20W</t>
  </si>
  <si>
    <t>OLIVE FORTUNE</t>
  </si>
  <si>
    <t>390</t>
  </si>
  <si>
    <t>GSLU-00284</t>
  </si>
  <si>
    <t>GSLU-00300</t>
  </si>
  <si>
    <t>OSE File No. 01502-7A, Moved into GSF-1749</t>
  </si>
  <si>
    <t>01502-7A</t>
  </si>
  <si>
    <t>WILLIAM DARWIN JACKSON</t>
  </si>
  <si>
    <t>GSLU-00301</t>
  </si>
  <si>
    <t>OSE File No. 01502-7D, Moved into GSF-2596</t>
  </si>
  <si>
    <t>01502-7D</t>
  </si>
  <si>
    <t>MICHAEL &amp; SHARON DERRICK</t>
  </si>
  <si>
    <t>358</t>
  </si>
  <si>
    <t>GSLU-00302</t>
  </si>
  <si>
    <t>OSE File No. 01502-7H, Moved into GSF-2233</t>
  </si>
  <si>
    <t>01502-7H</t>
  </si>
  <si>
    <t>TRACY VANWORMER</t>
  </si>
  <si>
    <t>GSLU-00303</t>
  </si>
  <si>
    <t>OSE File No. 01502-7I, Moved into GSF-3810</t>
  </si>
  <si>
    <t>01502-7I</t>
  </si>
  <si>
    <t>BJC ENTERPRISES</t>
  </si>
  <si>
    <t>GSLU-00304</t>
  </si>
  <si>
    <t>OSE File No. 01502-7J, Moved into GSF-3810 &amp; LWD-SF-</t>
  </si>
  <si>
    <t>01502-7J</t>
  </si>
  <si>
    <t>GSLU-00305</t>
  </si>
  <si>
    <t>OSE File No. SP-3377-1A, Moved into GSF-1812-1</t>
  </si>
  <si>
    <t>SP-3377-1A</t>
  </si>
  <si>
    <t>GEROGE GIBBIONS</t>
  </si>
  <si>
    <t>GSLU-00306</t>
  </si>
  <si>
    <t>OSE File No. SP-3377-1B, Moved into SP-5011-1</t>
  </si>
  <si>
    <t>SP-3377-1B</t>
  </si>
  <si>
    <t>U.S.F.S. GILA FOREST</t>
  </si>
  <si>
    <t>GSLU-00307</t>
  </si>
  <si>
    <t>OSE File No. 01502, Moved into 01098 ( PART OF 5.5 ACRES)</t>
  </si>
  <si>
    <t>JOHN A. &amp; HELEN G. PATTERSON</t>
  </si>
  <si>
    <t>GSLU-00308</t>
  </si>
  <si>
    <t>GSLU-00309</t>
  </si>
  <si>
    <t>OSE File No. 01502, Moved into GSF-1664</t>
  </si>
  <si>
    <t>HAROLD L. &amp; RUBY J. SLAUGHTER</t>
  </si>
  <si>
    <t>GSLU-00310</t>
  </si>
  <si>
    <t>OSE File No. 01502, North Side Luna Ditch, Moved Off</t>
  </si>
  <si>
    <t>James Swapp</t>
  </si>
  <si>
    <t>GSLU-00326</t>
  </si>
  <si>
    <t>OSE File No. 01502-18, Moved into GSF-3247</t>
  </si>
  <si>
    <t>LAVOR &amp; MYRNA NIKOLAUS</t>
  </si>
  <si>
    <t>GSLU-00327</t>
  </si>
  <si>
    <t>OSE File No. 01502-19A into GSF-2317</t>
  </si>
  <si>
    <t>CHARLES E. &amp; ANDREW F. MARSHALL</t>
  </si>
  <si>
    <t>GSLU-00328</t>
  </si>
  <si>
    <t>CARL &amp; GENORA MOORE &amp; CORWIN &amp; SALLY HULSEY</t>
  </si>
  <si>
    <t>GSLU-00</t>
  </si>
  <si>
    <t>OSE File No. 01502-36D</t>
  </si>
  <si>
    <t>426 &amp; 447</t>
  </si>
  <si>
    <t>OSE File No. 02262, Minnie Reynolds Ditch</t>
  </si>
  <si>
    <t>02262-A</t>
  </si>
  <si>
    <t>OSE File No. 01502-7E</t>
  </si>
  <si>
    <t>01502-7E</t>
  </si>
  <si>
    <t>OSE File No. 01502-7BA</t>
  </si>
  <si>
    <t>01502-7BA</t>
  </si>
  <si>
    <t>0.25</t>
  </si>
  <si>
    <t>OSE File No. 01502-7F</t>
  </si>
  <si>
    <t>01502-7F</t>
  </si>
  <si>
    <t>OSE File No. 01502-7</t>
  </si>
  <si>
    <t>OSE File No. 01098-5, William S. Laney Ditch "100% FULL"</t>
  </si>
  <si>
    <t>01098-5</t>
  </si>
  <si>
    <t>10/31/1888</t>
  </si>
  <si>
    <t>OSE File No. SP-04912, Permitted  0.25 MOVED OFF</t>
  </si>
  <si>
    <t>SP-04912</t>
  </si>
  <si>
    <t>TOM BARROW</t>
  </si>
  <si>
    <t>Rights moved out</t>
  </si>
  <si>
    <t>SD-01833-3</t>
  </si>
  <si>
    <t>SW1/4SW1/4</t>
  </si>
  <si>
    <t>123380</t>
  </si>
  <si>
    <t>SD-01833-3 into GSF-4611-1</t>
  </si>
  <si>
    <t>GSF-4611-1</t>
  </si>
  <si>
    <t>Tommy and Karen Dodge</t>
  </si>
  <si>
    <t>12/31/1895</t>
  </si>
  <si>
    <t>GSLU-00158</t>
  </si>
  <si>
    <t>OSE File No. 01502-18, North Side Luna Ditch</t>
  </si>
  <si>
    <t>NO right watering out of bounds</t>
  </si>
  <si>
    <t>GCGW-00001</t>
  </si>
  <si>
    <t>GSGW</t>
  </si>
  <si>
    <t>Glenwood-Mule Creek</t>
  </si>
  <si>
    <t xml:space="preserve"> OSE File No. GSF-3579</t>
  </si>
  <si>
    <t>GSF-3579</t>
  </si>
  <si>
    <t>11S</t>
  </si>
  <si>
    <t>05/10/1898</t>
  </si>
  <si>
    <t>90</t>
  </si>
  <si>
    <t>GCGW-00002</t>
  </si>
  <si>
    <t>OSE File No. 01446, Spurgeon Ditch #1, Locked Gate, Not Observed</t>
  </si>
  <si>
    <t>01446</t>
  </si>
  <si>
    <t>10S</t>
  </si>
  <si>
    <t>45</t>
  </si>
  <si>
    <t>GCGW-00003</t>
  </si>
  <si>
    <t>GCGW-00004</t>
  </si>
  <si>
    <t>GCGW-00005</t>
  </si>
  <si>
    <t>GCGW-00006</t>
  </si>
  <si>
    <t>Spurgeon No. 2 Ditch</t>
  </si>
  <si>
    <t>OSE File No. 01446, Spurgeon Ditch #2</t>
  </si>
  <si>
    <t>GCGW-00007</t>
  </si>
  <si>
    <t>GCGW-00009</t>
  </si>
  <si>
    <t>Early Spring  Crop - OSE File No. 01454, Spurgeon Ditch #2</t>
  </si>
  <si>
    <t>01454</t>
  </si>
  <si>
    <t>132</t>
  </si>
  <si>
    <t>GCGW-00011</t>
  </si>
  <si>
    <t>OSE File No. 01454, Spurgeon Ditch #3</t>
  </si>
  <si>
    <t>GCGW-00012</t>
  </si>
  <si>
    <t>OSE File No. 01454, Spurgeon Ditch #2</t>
  </si>
  <si>
    <t>GCGW-00013</t>
  </si>
  <si>
    <t>GCGW-00014</t>
  </si>
  <si>
    <t>GCGW-00016</t>
  </si>
  <si>
    <t>133</t>
  </si>
  <si>
    <t>GCGW-00018</t>
  </si>
  <si>
    <t>GCGW-00019</t>
  </si>
  <si>
    <t xml:space="preserve"> OSE File No. 01454, Spurgeon Ditch #2</t>
  </si>
  <si>
    <t>GCGW-00020</t>
  </si>
  <si>
    <t>GCGW-00021</t>
  </si>
  <si>
    <t>GCGW-00022</t>
  </si>
  <si>
    <t>GCGW-00023</t>
  </si>
  <si>
    <t>GCGW-00024</t>
  </si>
  <si>
    <t>Thomason Flat Ditch</t>
  </si>
  <si>
    <t xml:space="preserve"> OSE File No. 01446, Thomason Flat Ditch</t>
  </si>
  <si>
    <t>GCGW-00025</t>
  </si>
  <si>
    <t xml:space="preserve"> OSE File No. 01446, Thomason Flat Ditch </t>
  </si>
  <si>
    <t>GCGW-00026</t>
  </si>
  <si>
    <t>GCGW-00027</t>
  </si>
  <si>
    <t>GCGW-00028</t>
  </si>
  <si>
    <t>GCGW-00029</t>
  </si>
  <si>
    <t>GCGW-00030</t>
  </si>
  <si>
    <t>GCGW-00031</t>
  </si>
  <si>
    <t>GCGW-00032</t>
  </si>
  <si>
    <t>GCGW-00033</t>
  </si>
  <si>
    <t>GCGW-00034</t>
  </si>
  <si>
    <t>GCGW-00035</t>
  </si>
  <si>
    <t>GCGW-00036</t>
  </si>
  <si>
    <t>GCGW-00039</t>
  </si>
  <si>
    <t xml:space="preserve"> OSE File No. 01906, Private Ditch</t>
  </si>
  <si>
    <t>01906</t>
  </si>
  <si>
    <t>46</t>
  </si>
  <si>
    <t>GCGW-00040</t>
  </si>
  <si>
    <t xml:space="preserve"> OSE File No. 01906, Private Ditch, Reservoir, Dry</t>
  </si>
  <si>
    <t>GCGW-00041</t>
  </si>
  <si>
    <t>GCGW-00044</t>
  </si>
  <si>
    <t>GCGW-00045</t>
  </si>
  <si>
    <t>GCGW-00046</t>
  </si>
  <si>
    <t>GCGW-00047</t>
  </si>
  <si>
    <t>GCGW-00049</t>
  </si>
  <si>
    <t xml:space="preserve"> OSE File No. 01560, Warden Ditch</t>
  </si>
  <si>
    <t>01560</t>
  </si>
  <si>
    <t>100</t>
  </si>
  <si>
    <t>GCGW-00058</t>
  </si>
  <si>
    <t>2.7</t>
  </si>
  <si>
    <t>GCGW-00059</t>
  </si>
  <si>
    <t>OSE File No. 01518, Oaks Ditch #1</t>
  </si>
  <si>
    <t>01518</t>
  </si>
  <si>
    <t>GCGW-00060</t>
  </si>
  <si>
    <t>35</t>
  </si>
  <si>
    <t>GCGW-00061</t>
  </si>
  <si>
    <t>GCGW-00062</t>
  </si>
  <si>
    <t>GCGW-00063</t>
  </si>
  <si>
    <t>OSE File No. 01449, Oaks Ditch #1</t>
  </si>
  <si>
    <t>01449</t>
  </si>
  <si>
    <t>GCGW-00065</t>
  </si>
  <si>
    <t>OSE File No. 01449, Oaks Ditch #1, Reservoir, 50% Full</t>
  </si>
  <si>
    <t>GCGW-00066</t>
  </si>
  <si>
    <t>GCGW-00068</t>
  </si>
  <si>
    <t>OSE File No. 01449, Oaks Ditch #1 (Appears to be dry farmed)</t>
  </si>
  <si>
    <t>31E</t>
  </si>
  <si>
    <t>GCGW-00069</t>
  </si>
  <si>
    <t>GCGW-00071</t>
  </si>
  <si>
    <t>OSE File No. 01449, Oaks Ditch #2, Stock Tank, Reservoir, Dry</t>
  </si>
  <si>
    <t>GCGW-00072</t>
  </si>
  <si>
    <t>Early spring crop while water was available - OSE File No. 01449, Oaks Ditch #2</t>
  </si>
  <si>
    <t>GCGW-00074</t>
  </si>
  <si>
    <t>OSE File No. 01449, Oaks Ditch #2</t>
  </si>
  <si>
    <t>GCGW-00076</t>
  </si>
  <si>
    <t>GCGW-00077</t>
  </si>
  <si>
    <t>GCGW-00078</t>
  </si>
  <si>
    <t>GCGW-00079</t>
  </si>
  <si>
    <t>GCGW-00081</t>
  </si>
  <si>
    <t>GCGW-00082</t>
  </si>
  <si>
    <t>GCGW-00083</t>
  </si>
  <si>
    <t>GCGW-00084</t>
  </si>
  <si>
    <t>GCGW-00085</t>
  </si>
  <si>
    <t>GCGW-00086</t>
  </si>
  <si>
    <t>GCGW-00087</t>
  </si>
  <si>
    <t>GCGW-00088</t>
  </si>
  <si>
    <t>OSE File No. 01442, Mineral Creek (Holliman) Ditch</t>
  </si>
  <si>
    <t>01442</t>
  </si>
  <si>
    <t>53</t>
  </si>
  <si>
    <t>GCGW-00089</t>
  </si>
  <si>
    <t>OSE File NO. 01714, Jackson Ditch</t>
  </si>
  <si>
    <t>01714</t>
  </si>
  <si>
    <t>82</t>
  </si>
  <si>
    <t>GCGW-00090</t>
  </si>
  <si>
    <t>GCGW-00091</t>
  </si>
  <si>
    <t>OSE File NO. 01450, Jackson Ditch and GSF 25, Reservoir, Dry</t>
  </si>
  <si>
    <t>01450 &amp; GSF-25</t>
  </si>
  <si>
    <t>GCGW-00092</t>
  </si>
  <si>
    <t>OSE File NO. 01450, Jackson Ditch and GSF 25</t>
  </si>
  <si>
    <t>GCGW-00093</t>
  </si>
  <si>
    <t>GCGW-00094</t>
  </si>
  <si>
    <t>GCGW-00095</t>
  </si>
  <si>
    <t>OSE File NO. 01450, Jackson Ditch and GSF 25, Stock Tank, Reservoir, Dry</t>
  </si>
  <si>
    <t>GCGW-00096</t>
  </si>
  <si>
    <t>GCGW-00100</t>
  </si>
  <si>
    <t>OSE File No. 01519,  Private Ditch</t>
  </si>
  <si>
    <t>01519</t>
  </si>
  <si>
    <t>121 &amp; 129</t>
  </si>
  <si>
    <t>GCGW-00101</t>
  </si>
  <si>
    <t>GCGW-00103</t>
  </si>
  <si>
    <t>GCGW-00104</t>
  </si>
  <si>
    <t>OSE File No. 01543, Tipton Ditch, Polly Tipton</t>
  </si>
  <si>
    <t>01543</t>
  </si>
  <si>
    <t>143</t>
  </si>
  <si>
    <t>GCGW-00105</t>
  </si>
  <si>
    <t>OSE File No. 01543, Tipton Ditch, moved by permit to GSF-3119-2</t>
  </si>
  <si>
    <t>GCGW-00106</t>
  </si>
  <si>
    <t>OSE File No. 01527, Tipton, Gage Community Ditch and GSF 223 Domestic uses around houses</t>
  </si>
  <si>
    <t>01527 &amp; GSF-223</t>
  </si>
  <si>
    <t>GCGW-00108</t>
  </si>
  <si>
    <t xml:space="preserve">OSE File No. GSF-1866 </t>
  </si>
  <si>
    <t>GSF-1866</t>
  </si>
  <si>
    <t>10/01/1960</t>
  </si>
  <si>
    <t>GCGW-00109</t>
  </si>
  <si>
    <t>Fish Pond Ditch</t>
  </si>
  <si>
    <t>OSE File No. 01363, Fish Pond Ditch</t>
  </si>
  <si>
    <t>01363</t>
  </si>
  <si>
    <t>GCGW-00110</t>
  </si>
  <si>
    <t>OSE File No. 01363, Fish Pond Ditch, Reservoir, 100% Full</t>
  </si>
  <si>
    <t>GCGW-00111</t>
  </si>
  <si>
    <t>GCGW-00112</t>
  </si>
  <si>
    <t>GCGW-00113</t>
  </si>
  <si>
    <t xml:space="preserve">OSE File No. 01558, Lower Ditch South, Snipe Ditch, Permit </t>
  </si>
  <si>
    <t>01558</t>
  </si>
  <si>
    <t>GCGW-00114</t>
  </si>
  <si>
    <t xml:space="preserve">OSE File No. 01514, Upper Ditch </t>
  </si>
  <si>
    <t>01514</t>
  </si>
  <si>
    <t>GCGW-00115</t>
  </si>
  <si>
    <t>GCGW-00116</t>
  </si>
  <si>
    <t xml:space="preserve">OSE File No. 01514, Lower Ditch North </t>
  </si>
  <si>
    <t>GCGW-00117</t>
  </si>
  <si>
    <t>OSE File No. 01514, Lower Ditch North Denied Access</t>
  </si>
  <si>
    <t>GCGW-00119</t>
  </si>
  <si>
    <t>OSE File No. 01514, Lower Ditch North 85% Full</t>
  </si>
  <si>
    <t>GCGW-00120</t>
  </si>
  <si>
    <t>OSE File No. 01514, Upper Ditch</t>
  </si>
  <si>
    <t>63</t>
  </si>
  <si>
    <t>GCGW-00121</t>
  </si>
  <si>
    <t>109</t>
  </si>
  <si>
    <t>GCGW-00122</t>
  </si>
  <si>
    <t>GCGW-00123</t>
  </si>
  <si>
    <t>GCGW-00124</t>
  </si>
  <si>
    <t>OSE File No. 01505, Upper Ditch</t>
  </si>
  <si>
    <t>01505</t>
  </si>
  <si>
    <t>70</t>
  </si>
  <si>
    <t>GCGW-00125</t>
  </si>
  <si>
    <t>GCGW-00126</t>
  </si>
  <si>
    <t>GCGW-00127</t>
  </si>
  <si>
    <t>GCGW-00128</t>
  </si>
  <si>
    <t>OSE File No. 01558, Lower Ditch South</t>
  </si>
  <si>
    <t>155</t>
  </si>
  <si>
    <t>GCGW-00130</t>
  </si>
  <si>
    <t>6.3</t>
  </si>
  <si>
    <t>GCGW-00132</t>
  </si>
  <si>
    <t>OSE File No. GSF-168, domestic well</t>
  </si>
  <si>
    <t>GSF-168</t>
  </si>
  <si>
    <t>GCGW-00134</t>
  </si>
  <si>
    <t>OSE File No. GSF-1059, domestic well</t>
  </si>
  <si>
    <t>GSF-1059</t>
  </si>
  <si>
    <t>12/31/1904</t>
  </si>
  <si>
    <t>61</t>
  </si>
  <si>
    <t>GCGW-00135</t>
  </si>
  <si>
    <t>12S</t>
  </si>
  <si>
    <t>1.6</t>
  </si>
  <si>
    <t>GCGW-00136</t>
  </si>
  <si>
    <t>GCGW-00137</t>
  </si>
  <si>
    <t>GCGW-00138</t>
  </si>
  <si>
    <t>0.76</t>
  </si>
  <si>
    <t>GCGW-00139</t>
  </si>
  <si>
    <t>GCGW-00140</t>
  </si>
  <si>
    <t>East Pleasanton Ditch</t>
  </si>
  <si>
    <t>OSE File No. 01452, East Pleasanton Ditch,</t>
  </si>
  <si>
    <t>01452</t>
  </si>
  <si>
    <t>131</t>
  </si>
  <si>
    <t>GCGW-00141</t>
  </si>
  <si>
    <t>0.96</t>
  </si>
  <si>
    <t>GCGW-00142</t>
  </si>
  <si>
    <t>0.93</t>
  </si>
  <si>
    <t>GCGW-00143</t>
  </si>
  <si>
    <t>1.04</t>
  </si>
  <si>
    <t>GCGW-00144</t>
  </si>
  <si>
    <t>1.594</t>
  </si>
  <si>
    <t>GCGW-00145</t>
  </si>
  <si>
    <t>2.2</t>
  </si>
  <si>
    <t>GCGW-00147</t>
  </si>
  <si>
    <t>GCGW-00149</t>
  </si>
  <si>
    <t>OSE File No. 01452, East Pleasanton Ditch</t>
  </si>
  <si>
    <t>54</t>
  </si>
  <si>
    <t>GCGW-00151</t>
  </si>
  <si>
    <t>OSE File No. 01445, West Pleasanton Ditch</t>
  </si>
  <si>
    <t>01445</t>
  </si>
  <si>
    <t>GCGW-00152</t>
  </si>
  <si>
    <t>GCGW-00153</t>
  </si>
  <si>
    <t>GCGW-00154</t>
  </si>
  <si>
    <t>GCGW-00155</t>
  </si>
  <si>
    <t>GCGW-00156</t>
  </si>
  <si>
    <t>GCGW-00157</t>
  </si>
  <si>
    <t>73</t>
  </si>
  <si>
    <t>GCGW-00158</t>
  </si>
  <si>
    <t>OSE File No. 01504, West Pleasanton Ditch</t>
  </si>
  <si>
    <t>01504</t>
  </si>
  <si>
    <t>GCGW-00159</t>
  </si>
  <si>
    <t>GCGW-00160</t>
  </si>
  <si>
    <t>GCGW-00161</t>
  </si>
  <si>
    <t>79</t>
  </si>
  <si>
    <t>GCGW-00162</t>
  </si>
  <si>
    <t>GCGW-00164</t>
  </si>
  <si>
    <t>141</t>
  </si>
  <si>
    <t>GCGW-00165</t>
  </si>
  <si>
    <t>GCGW-00166</t>
  </si>
  <si>
    <t>136</t>
  </si>
  <si>
    <t>GCGW-00167</t>
  </si>
  <si>
    <t>GCGW-00168</t>
  </si>
  <si>
    <t>OSE File No. 01452, West Pleasanton Ditch, Reservoir, Dry</t>
  </si>
  <si>
    <t>129</t>
  </si>
  <si>
    <t>GCGW-00169</t>
  </si>
  <si>
    <t>OSE File No. 01452, West Pleasanton Ditch</t>
  </si>
  <si>
    <t>GCGW-00170</t>
  </si>
  <si>
    <t>GCGW-00171</t>
  </si>
  <si>
    <t>GCGW-00172</t>
  </si>
  <si>
    <t>GCGW-00173</t>
  </si>
  <si>
    <t>GCGW-00174</t>
  </si>
  <si>
    <t xml:space="preserve">OSE File No. 01452, East Pleasanton Ditch </t>
  </si>
  <si>
    <t>GCGW-00175</t>
  </si>
  <si>
    <t>GCGW-00176</t>
  </si>
  <si>
    <t>OSE File No. GSF-43</t>
  </si>
  <si>
    <t>GSF-43</t>
  </si>
  <si>
    <t>126</t>
  </si>
  <si>
    <t>GCGW-00177</t>
  </si>
  <si>
    <t>128</t>
  </si>
  <si>
    <t>GCGW-00178</t>
  </si>
  <si>
    <t>Roger W. &amp; Katherine E. Skaggs</t>
  </si>
  <si>
    <t>GCGW-00179</t>
  </si>
  <si>
    <t>GCGW-00180</t>
  </si>
  <si>
    <t>GCGW-00181</t>
  </si>
  <si>
    <t>GCGW-00182</t>
  </si>
  <si>
    <t>72</t>
  </si>
  <si>
    <t>GCGW-00184</t>
  </si>
  <si>
    <t>GCGW-00185</t>
  </si>
  <si>
    <t>GCGW-00186</t>
  </si>
  <si>
    <t>GCGW-00187</t>
  </si>
  <si>
    <t>60</t>
  </si>
  <si>
    <t>GCGW-00188</t>
  </si>
  <si>
    <t>GCGW-00189</t>
  </si>
  <si>
    <t>GCGW-00190</t>
  </si>
  <si>
    <t>OSE File No. 01452, East Pleasanton Ditch, Reservoir, 100% Full</t>
  </si>
  <si>
    <t>GCGW-00191</t>
  </si>
  <si>
    <t>GCGW-00192</t>
  </si>
  <si>
    <t>GCGW-00194</t>
  </si>
  <si>
    <t>67</t>
  </si>
  <si>
    <t>GCGW-00195</t>
  </si>
  <si>
    <t xml:space="preserve">OSE File No. 01452, East Pleasanton Ditch, Reservoir, Full </t>
  </si>
  <si>
    <t>GCGW-00196</t>
  </si>
  <si>
    <t>OSE File No. 01452, East Pleasanton Ditch Locked Gate</t>
  </si>
  <si>
    <t>GCGW-00197</t>
  </si>
  <si>
    <t>GCGW-00198</t>
  </si>
  <si>
    <t>GCGW-00199</t>
  </si>
  <si>
    <t>OSE File No. 01452, East Pleasanton Ditch, Permitted Locked Gate</t>
  </si>
  <si>
    <t>GCGW-00200</t>
  </si>
  <si>
    <t>GCGW-00201</t>
  </si>
  <si>
    <t>OSE File No. 01452, East Pleasanton Ditch, Reservoir, 25% Full</t>
  </si>
  <si>
    <t>GCGW-00202</t>
  </si>
  <si>
    <t>GCGW-00203</t>
  </si>
  <si>
    <t>Area has building and road, Out Area</t>
  </si>
  <si>
    <t>1.5</t>
  </si>
  <si>
    <t>GCGW-00204</t>
  </si>
  <si>
    <t>GCGW-00206</t>
  </si>
  <si>
    <t>01452, East Pleasanton Ditch</t>
  </si>
  <si>
    <t>GCGW-00207</t>
  </si>
  <si>
    <t>GCGW-00208</t>
  </si>
  <si>
    <t>GCGW-00209</t>
  </si>
  <si>
    <t>01452, East Pleasanton Ditch, Domestic Only</t>
  </si>
  <si>
    <t>GCGW-00210</t>
  </si>
  <si>
    <t>GCGW-00211</t>
  </si>
  <si>
    <t>GCGW-00213</t>
  </si>
  <si>
    <t>Winter Crop -  OSE File No. 01454, Spurgeon Ditch #2</t>
  </si>
  <si>
    <t>GCGW-00214</t>
  </si>
  <si>
    <t xml:space="preserve"> OSE File No. 01454, Thomason Ditch</t>
  </si>
  <si>
    <t>GCGW-00219</t>
  </si>
  <si>
    <t>OSE File No. 01560, Warden Ditch</t>
  </si>
  <si>
    <t>GCGW-00226</t>
  </si>
  <si>
    <t>GCGW-00227</t>
  </si>
  <si>
    <t>GCGW-00228</t>
  </si>
  <si>
    <t>3.2</t>
  </si>
  <si>
    <t>GCGW-00229</t>
  </si>
  <si>
    <t xml:space="preserve">OSE File No. 01442, Mineral Creek (Holliman) Ditch </t>
  </si>
  <si>
    <t>GCGW-00230</t>
  </si>
  <si>
    <t>GCGW-00233</t>
  </si>
  <si>
    <t xml:space="preserve">OSE File No. 01740, </t>
  </si>
  <si>
    <t>01740</t>
  </si>
  <si>
    <t>03/10/1900</t>
  </si>
  <si>
    <t>116</t>
  </si>
  <si>
    <t>GCGW-00234</t>
  </si>
  <si>
    <t>GCGW-00236</t>
  </si>
  <si>
    <t>GCGW-00237</t>
  </si>
  <si>
    <t>OSE File No. GSF-28 Domestic uses around House</t>
  </si>
  <si>
    <t>GSF-28</t>
  </si>
  <si>
    <t>62</t>
  </si>
  <si>
    <t>GCGW-00238</t>
  </si>
  <si>
    <t>OSE File No. GSF-31 Outside use around households</t>
  </si>
  <si>
    <t>GSF-31</t>
  </si>
  <si>
    <t>1924</t>
  </si>
  <si>
    <t>106</t>
  </si>
  <si>
    <t>GCGW-00239</t>
  </si>
  <si>
    <t>GCGW-00240</t>
  </si>
  <si>
    <t>GCGW-00241</t>
  </si>
  <si>
    <t>GCGW-00242</t>
  </si>
  <si>
    <t>GCGW-00243</t>
  </si>
  <si>
    <t>GCGW-00244</t>
  </si>
  <si>
    <t xml:space="preserve">OSE File No. 01445, West Pleasanton Ditch </t>
  </si>
  <si>
    <t>GCGW-00245</t>
  </si>
  <si>
    <t>OSE File No. 01452, East Pleasanton Ditch  Locked Gate</t>
  </si>
  <si>
    <t>GCGW-00246</t>
  </si>
  <si>
    <t>GCGW-00247</t>
  </si>
  <si>
    <t>GCGW-00248</t>
  </si>
  <si>
    <t xml:space="preserve">OSE File No. 01452, West Pleasanton Ditch </t>
  </si>
  <si>
    <t>GCGW-00249</t>
  </si>
  <si>
    <t>GCGW-00250</t>
  </si>
  <si>
    <t>GCGW-00251</t>
  </si>
  <si>
    <t>GCGW-00252</t>
  </si>
  <si>
    <t>OSE File No. GSF-2492</t>
  </si>
  <si>
    <t>GSF-2490</t>
  </si>
  <si>
    <t>44</t>
  </si>
  <si>
    <t>GCGW-00253</t>
  </si>
  <si>
    <t>GCGW-00256</t>
  </si>
  <si>
    <t>OSE File No. 01452, East Pleasanton Ditch, Reservoir 25% Full</t>
  </si>
  <si>
    <t>GCGW-00257</t>
  </si>
  <si>
    <t>OSE File No. 01484, Big Dry Creek Ditch, Stock Tank,Dry</t>
  </si>
  <si>
    <t>32, 5</t>
  </si>
  <si>
    <t>GCGW-00258</t>
  </si>
  <si>
    <t>OSE File No. 01484, Big Dry Creek Ditch</t>
  </si>
  <si>
    <t>GCGW-00259</t>
  </si>
  <si>
    <t>01484</t>
  </si>
  <si>
    <t>GCGW-00260</t>
  </si>
  <si>
    <t>GCGW-00262</t>
  </si>
  <si>
    <t>GCGW-00265</t>
  </si>
  <si>
    <t xml:space="preserve">OSE File No. GSF-2773 </t>
  </si>
  <si>
    <t>GSF-2773</t>
  </si>
  <si>
    <t>GCGW-00266</t>
  </si>
  <si>
    <t>GCGW-00268</t>
  </si>
  <si>
    <t>OSE File NO. 01713, Jackson Ditch</t>
  </si>
  <si>
    <t>01713</t>
  </si>
  <si>
    <t>GCGW-00271</t>
  </si>
  <si>
    <t>GCGW-00274</t>
  </si>
  <si>
    <t>GCGW-00275</t>
  </si>
  <si>
    <t>GCGW-00278</t>
  </si>
  <si>
    <t xml:space="preserve"> OSE File No. 01446, Thomason Flat Ditch, Reservoir, 10% Full</t>
  </si>
  <si>
    <t>GCGW-00279</t>
  </si>
  <si>
    <t>GCGW-00280</t>
  </si>
  <si>
    <t>Spring 2183, Game &amp; Fish Fish Pond 100% Full</t>
  </si>
  <si>
    <t>2183</t>
  </si>
  <si>
    <t>07/30/1937</t>
  </si>
  <si>
    <t>102</t>
  </si>
  <si>
    <t>GCGW-00281</t>
  </si>
  <si>
    <t>OSE File No. 01514, Lower Ditch North, Reservoir, 100% Full</t>
  </si>
  <si>
    <t>GCGW-00282</t>
  </si>
  <si>
    <t>OSE File No. 01452, East Pleasanton Ditch, Reservoir  90% FULL</t>
  </si>
  <si>
    <t>GCGW-00283</t>
  </si>
  <si>
    <t>OSE File No. 01452, East Pleasanton Ditch, Reservoir 90% FULL</t>
  </si>
  <si>
    <t>GCGW-00284</t>
  </si>
  <si>
    <t>GCGW-00285</t>
  </si>
  <si>
    <t>GCGW-00286</t>
  </si>
  <si>
    <t>OSE File No. 01362, Upper Ditch &amp; GSF-1460</t>
  </si>
  <si>
    <t>01362</t>
  </si>
  <si>
    <t>GCGW-00288</t>
  </si>
  <si>
    <t>OSE File No. GSF-25-S-2, Permitted</t>
  </si>
  <si>
    <t>GSF-25-S-2</t>
  </si>
  <si>
    <t>GCGW-00289</t>
  </si>
  <si>
    <t>OSE File No. GSF-379 and GSF-379-S</t>
  </si>
  <si>
    <t>GSF-379 &amp; GSF-379-S</t>
  </si>
  <si>
    <t>14S</t>
  </si>
  <si>
    <t>203</t>
  </si>
  <si>
    <t>GCGW-00290</t>
  </si>
  <si>
    <t>OSE File No. 1777, Steyskal Ditch and GSF-210 and GSF-211</t>
  </si>
  <si>
    <t>01777 &amp; GSF-210, GSF-211</t>
  </si>
  <si>
    <t>12/27/1927</t>
  </si>
  <si>
    <t>148</t>
  </si>
  <si>
    <t>GCGW-00291</t>
  </si>
  <si>
    <t>GCGW-00292</t>
  </si>
  <si>
    <t>GCGW-00293</t>
  </si>
  <si>
    <t>GCGW-00294</t>
  </si>
  <si>
    <t>GCGW-00295</t>
  </si>
  <si>
    <t xml:space="preserve">OSE File No. GSF-2632 </t>
  </si>
  <si>
    <t>GSF-2632</t>
  </si>
  <si>
    <t>89, 34 &amp; 35</t>
  </si>
  <si>
    <t>GCGW-00296</t>
  </si>
  <si>
    <t>GCGW-00297</t>
  </si>
  <si>
    <t>GCGW-00298</t>
  </si>
  <si>
    <t>OSE File No. GSF-1030</t>
  </si>
  <si>
    <t>GSF-1030</t>
  </si>
  <si>
    <t>157-B</t>
  </si>
  <si>
    <t>GCGW-00299</t>
  </si>
  <si>
    <t>GCGW-00300</t>
  </si>
  <si>
    <t>OSE File No. GSF-49</t>
  </si>
  <si>
    <t>GSF-49</t>
  </si>
  <si>
    <t>02/19/1961</t>
  </si>
  <si>
    <t>GCGW-00301</t>
  </si>
  <si>
    <t>OSE File No. GSF-2604, Permitted</t>
  </si>
  <si>
    <t>GSF-2604</t>
  </si>
  <si>
    <t>GCGW-00302</t>
  </si>
  <si>
    <t>GCGW-00303</t>
  </si>
  <si>
    <t>OSE File No. GSF-3292, Permitted</t>
  </si>
  <si>
    <t>GSF-3292</t>
  </si>
  <si>
    <t>GCGW-00304</t>
  </si>
  <si>
    <t>GCGW-00305</t>
  </si>
  <si>
    <t>OSE File No. GSF-3378, Permitted</t>
  </si>
  <si>
    <t>GSF-3378</t>
  </si>
  <si>
    <t>GCGW-00306</t>
  </si>
  <si>
    <t>GCGW-00307</t>
  </si>
  <si>
    <t>GCGW-00308</t>
  </si>
  <si>
    <t>Permitted from domestic well</t>
  </si>
  <si>
    <t>GSF-2039</t>
  </si>
  <si>
    <t>GCGW-00309</t>
  </si>
  <si>
    <t>OSE File No. 01740, and GSF-2397, Permitted, Cunningham Ditch Sprinklers not moved only partly irrigated approximately 1/3</t>
  </si>
  <si>
    <t>01740-2</t>
  </si>
  <si>
    <t>GCGW-00310</t>
  </si>
  <si>
    <t>OSE File No. GSF-3186, Permitted</t>
  </si>
  <si>
    <t>GSF-3186</t>
  </si>
  <si>
    <t>GCGW-00311</t>
  </si>
  <si>
    <t>GCGW-00312</t>
  </si>
  <si>
    <t>GCGW-00313</t>
  </si>
  <si>
    <t>GCGW-00314</t>
  </si>
  <si>
    <t>GCGW-00315</t>
  </si>
  <si>
    <t>OSE File No. GSF-3500, Permitted</t>
  </si>
  <si>
    <t>GSF-3500</t>
  </si>
  <si>
    <t>GCGW-00316</t>
  </si>
  <si>
    <t>OSE File No. GSF-3236, Permitted</t>
  </si>
  <si>
    <t>GSF-3236</t>
  </si>
  <si>
    <t>54, 8</t>
  </si>
  <si>
    <t>GCGW-00317</t>
  </si>
  <si>
    <t>GCGW-00318</t>
  </si>
  <si>
    <t>GCGW-00319</t>
  </si>
  <si>
    <t>GCGW-00320</t>
  </si>
  <si>
    <t>GCGW-00321</t>
  </si>
  <si>
    <t>GCGW-00322</t>
  </si>
  <si>
    <t>OSE File No. GSF-178, Permitted</t>
  </si>
  <si>
    <t>GSF-178</t>
  </si>
  <si>
    <t>GCGW-00323</t>
  </si>
  <si>
    <t>OSE File No. 01450, Jackson Ditch &amp; GSF-25</t>
  </si>
  <si>
    <t>01480 &amp; GSF-25</t>
  </si>
  <si>
    <t>34 &amp; 35</t>
  </si>
  <si>
    <t>GCGW-00324</t>
  </si>
  <si>
    <t>OSE File No. GSF-3966 Filled in</t>
  </si>
  <si>
    <t>GSF-3966</t>
  </si>
  <si>
    <t>GCGW-00325</t>
  </si>
  <si>
    <t>OSE File No. GSF-3966</t>
  </si>
  <si>
    <t>GCGW-00326</t>
  </si>
  <si>
    <t>GCGW-00327</t>
  </si>
  <si>
    <t>OSE File No. GSF-2540, Permitted Fruit Trees</t>
  </si>
  <si>
    <t>GSF-2540</t>
  </si>
  <si>
    <t>10 S</t>
  </si>
  <si>
    <t>20 W</t>
  </si>
  <si>
    <t>GCGW-00328</t>
  </si>
  <si>
    <t>OSE File No. 01452, East Pleasanton Ditch, Permitted</t>
  </si>
  <si>
    <t>Swiming Pool filled from Well</t>
  </si>
  <si>
    <t>Swimming Pool</t>
  </si>
  <si>
    <t>OSE File No. 01484, Big Dry Creek Ditch, Permitted</t>
  </si>
  <si>
    <t>Water right move off by permit to 01450 &amp; GSF-25-S</t>
  </si>
  <si>
    <t>01450 &amp; GSF-25-S</t>
  </si>
  <si>
    <t>59</t>
  </si>
  <si>
    <t xml:space="preserve">Planted cool season grass thsi spring OSE File No. GSF-227, </t>
  </si>
  <si>
    <t>GSF-2932</t>
  </si>
  <si>
    <t>OSE File No. GSF-,Permitted</t>
  </si>
  <si>
    <t>10-A</t>
  </si>
  <si>
    <t>GCGW-00000</t>
  </si>
  <si>
    <t>Water right moved by permit to 01740 &amp; GSF-2397</t>
  </si>
  <si>
    <t>SHOP AREA</t>
  </si>
  <si>
    <t xml:space="preserve">OSE File No. 01449, Oaks Ditch </t>
  </si>
  <si>
    <t>OSE File No. 01449, Oaks Ditch, WR MOVED BY PERMIT</t>
  </si>
  <si>
    <t>GCGW-00235</t>
  </si>
  <si>
    <t>OSE File No. 01543, Tipton Ditch, moved by permit into GSF-3210</t>
  </si>
  <si>
    <t>OSE File No. 01543, Tipton Ditch, Nancy Thomas</t>
  </si>
  <si>
    <t>OSE File No. 01543, Tipton Ditch, moved by permit to GSF-1808</t>
  </si>
  <si>
    <t>OSE File No. 01543, Tipton Ditch, Moved by permit to GSF2059</t>
  </si>
  <si>
    <t>OSE File No. 01543, Tipton Ditch, moved by permit to GSF-3959</t>
  </si>
  <si>
    <t>SEO File NO. 01450 and GSF 25</t>
  </si>
  <si>
    <t>GSF-01450</t>
  </si>
  <si>
    <t xml:space="preserve"> 20W</t>
  </si>
  <si>
    <t>JOHN A. MCKEEN</t>
  </si>
  <si>
    <t xml:space="preserve"> 31</t>
  </si>
  <si>
    <t>GCGW-00131</t>
  </si>
  <si>
    <t>POD: GSF-2446-S2;</t>
  </si>
  <si>
    <t>GSF-002446-2BA</t>
  </si>
  <si>
    <t>Donald W. &amp; Courtney A. Baker</t>
  </si>
  <si>
    <t>112</t>
  </si>
  <si>
    <t>OSE File No. GSF-2446, domestic well</t>
  </si>
  <si>
    <t>GSF-002446-2B</t>
  </si>
  <si>
    <t>Russel W. Roberts</t>
  </si>
  <si>
    <t>GCGW-00129</t>
  </si>
  <si>
    <t>GSF-002446-2</t>
  </si>
  <si>
    <t>Grant W. Roberts</t>
  </si>
  <si>
    <t>Closed File</t>
  </si>
  <si>
    <t>GSF-002446-2A</t>
  </si>
  <si>
    <t>Joseph Keith Davis</t>
  </si>
  <si>
    <t>GCGW-00133</t>
  </si>
  <si>
    <t>PERMIT 01487 ET AL-B-D INTO GSF-2585</t>
  </si>
  <si>
    <t>GSF-2585-1</t>
  </si>
  <si>
    <t>15S</t>
  </si>
  <si>
    <t>MICHAEL W. CHINTIS &amp; JOANNE L. CHINTIS</t>
  </si>
  <si>
    <t>12/31/18990</t>
  </si>
  <si>
    <t>16610:172</t>
  </si>
  <si>
    <t>NE1/4NW1/4NE1/4</t>
  </si>
  <si>
    <t>127376</t>
  </si>
  <si>
    <t>GSF-4368</t>
  </si>
  <si>
    <t>DAVID B. HAWKINS</t>
  </si>
  <si>
    <t>Pt. SE1/4SW1/4</t>
  </si>
  <si>
    <t>Check WRs</t>
  </si>
  <si>
    <t>18-A</t>
  </si>
  <si>
    <t>85% Full</t>
  </si>
  <si>
    <t>OSE File No. 01452, East Pleasanton Ditch, onions</t>
  </si>
  <si>
    <t>SD-02579-2</t>
  </si>
  <si>
    <t>GCGW-00050</t>
  </si>
  <si>
    <t>88</t>
  </si>
  <si>
    <t>GCGW-00220</t>
  </si>
  <si>
    <t>T</t>
  </si>
  <si>
    <t>W.S. Ditch</t>
  </si>
  <si>
    <t>GCGW-00051</t>
  </si>
  <si>
    <t>OSE File 48, W. S Ditch and GSF-39, Reservoir, 50% Full</t>
  </si>
  <si>
    <t>01448</t>
  </si>
  <si>
    <t>GCGW-00054</t>
  </si>
  <si>
    <t xml:space="preserve">OSE File No. 01448, W. S Ditch and GSF-39 </t>
  </si>
  <si>
    <t>OSE File No. 01448, W. S. Ditch, Reservoir, Full</t>
  </si>
  <si>
    <t>OSE File No. 01448, W. S. Ditch</t>
  </si>
  <si>
    <t>OSE File No. 01448, W. S. Ditch, Reservoir, 50% Full</t>
  </si>
  <si>
    <t>OSE File No. 01448, W. S. Ditch, Golf Area, not permitted</t>
  </si>
  <si>
    <t>GCGW-00277</t>
  </si>
  <si>
    <t>OSE File NO. 01450, Mineral Creek (Holliman) Ditch and GSF 25</t>
  </si>
  <si>
    <t>01450 &amp; GSF-S-2</t>
  </si>
  <si>
    <t>07/20/1886</t>
  </si>
  <si>
    <t>Reservoir Full</t>
  </si>
  <si>
    <t>Moved in by permit</t>
  </si>
  <si>
    <t>#</t>
  </si>
  <si>
    <t>GSCG-00001</t>
  </si>
  <si>
    <t>GSCG</t>
  </si>
  <si>
    <t>Cliff Gila, Buckhorn-Duck Creek</t>
  </si>
  <si>
    <t>CG</t>
  </si>
  <si>
    <t>Permitted, GSF-1146-M into GSF-4380, 2,245.59 sqft</t>
  </si>
  <si>
    <t>GSF-4380</t>
  </si>
  <si>
    <t>C&amp;L: GSF-1146</t>
  </si>
  <si>
    <t>GSCG-00002</t>
  </si>
  <si>
    <t>Permitted, GSF-1146-M into GSF-4380, 171.15 sqft</t>
  </si>
  <si>
    <t>GSCG-00003</t>
  </si>
  <si>
    <t>Permitted, GSF-1146-M into GSF-4380, 51.5 sqft</t>
  </si>
  <si>
    <t>GSCG-00004</t>
  </si>
  <si>
    <t>Permitted, GSF-1146-M into GSF-4380, 94.70 sqft</t>
  </si>
  <si>
    <t>GSCG-00005</t>
  </si>
  <si>
    <t>Permitted, GSF-1146-M into GSF-4380, 1,305.73 sqft</t>
  </si>
  <si>
    <t>GSCG-00006</t>
  </si>
  <si>
    <t>Permitted, GSF-1146-M into GSF-4380. 155.23 sqft</t>
  </si>
  <si>
    <t>GSCG-00007</t>
  </si>
  <si>
    <t>Permitted</t>
  </si>
  <si>
    <t>GSF-3207</t>
  </si>
  <si>
    <t>R17W</t>
  </si>
  <si>
    <t>276</t>
  </si>
  <si>
    <t>GSCG-00008</t>
  </si>
  <si>
    <t>GSCG-00009</t>
  </si>
  <si>
    <t>GSCG-00012</t>
  </si>
  <si>
    <t>OSE File No. 0228, Watson-Howard Ditch "Walked in 6/23/2023"</t>
  </si>
  <si>
    <t>0228</t>
  </si>
  <si>
    <t>R16W</t>
  </si>
  <si>
    <t>300</t>
  </si>
  <si>
    <t>GSCG-00014</t>
  </si>
  <si>
    <t>GSCG-00015</t>
  </si>
  <si>
    <t>OSE File No. 0228, Howard Ditch  "Walked in 6/23/2023"</t>
  </si>
  <si>
    <t>GSCG-00016</t>
  </si>
  <si>
    <t>GSCG-00017</t>
  </si>
  <si>
    <t>GSCG-00018</t>
  </si>
  <si>
    <t>GSCG-00021</t>
  </si>
  <si>
    <t>OSE File No. 01523-A and 01523-B, Mogollon Creek Ditch "Walked in 6/23/2023"</t>
  </si>
  <si>
    <t>01523-A &amp; 01523-B</t>
  </si>
  <si>
    <t>338 - 339</t>
  </si>
  <si>
    <t>GSCG-00022</t>
  </si>
  <si>
    <t>GSCG-00024</t>
  </si>
  <si>
    <t>GSCG-00025</t>
  </si>
  <si>
    <t>GSCG-00026</t>
  </si>
  <si>
    <t>OSE File No. GSF-188</t>
  </si>
  <si>
    <t>GSF-188</t>
  </si>
  <si>
    <t>GSCG-00028</t>
  </si>
  <si>
    <t>OSE File No. GSF-47</t>
  </si>
  <si>
    <t>GSF-47</t>
  </si>
  <si>
    <t>1941</t>
  </si>
  <si>
    <t>GSCG-00031</t>
  </si>
  <si>
    <t>GSCG-00032</t>
  </si>
  <si>
    <t>OSE File No. GSF-59</t>
  </si>
  <si>
    <t>GSF-59</t>
  </si>
  <si>
    <t>1951</t>
  </si>
  <si>
    <t>99</t>
  </si>
  <si>
    <t>GSCG-00033</t>
  </si>
  <si>
    <t>GSCG-00037</t>
  </si>
  <si>
    <t>Reservoir</t>
  </si>
  <si>
    <t>GSCG-00043</t>
  </si>
  <si>
    <t>OSE File No. GSF-335</t>
  </si>
  <si>
    <t>GSF-335</t>
  </si>
  <si>
    <t>GSCG-00050</t>
  </si>
  <si>
    <t>OSE File No. 0229 and 0230, Powell Ditch, 1/2 Duty</t>
  </si>
  <si>
    <t>0229 &amp; 0230</t>
  </si>
  <si>
    <t>257</t>
  </si>
  <si>
    <t>GSCG-00053</t>
  </si>
  <si>
    <t>GSCG-00056</t>
  </si>
  <si>
    <t xml:space="preserve">OSE File No. GSF-214 </t>
  </si>
  <si>
    <t>GSF-214</t>
  </si>
  <si>
    <t>GSCG-00057</t>
  </si>
  <si>
    <t>GSCG-00059</t>
  </si>
  <si>
    <t>GSCG-00060</t>
  </si>
  <si>
    <t>GSCG-00061</t>
  </si>
  <si>
    <t>OSE File No. GSF-125</t>
  </si>
  <si>
    <t>GSF-125</t>
  </si>
  <si>
    <t>GSCG-00062</t>
  </si>
  <si>
    <t>GSCG-00068</t>
  </si>
  <si>
    <t>GSF-161</t>
  </si>
  <si>
    <t>94</t>
  </si>
  <si>
    <t>GSCG-00070</t>
  </si>
  <si>
    <t>OSE File No. GSF-161</t>
  </si>
  <si>
    <t>345</t>
  </si>
  <si>
    <t>GSCG-00071</t>
  </si>
  <si>
    <t>OSE File No. GSF-161-A</t>
  </si>
  <si>
    <t>GSF-161-A</t>
  </si>
  <si>
    <t>GSCG-00076</t>
  </si>
  <si>
    <t>GSF-51 &amp; GSF-52</t>
  </si>
  <si>
    <t>GSCG-00077</t>
  </si>
  <si>
    <t>Watered form domestic well</t>
  </si>
  <si>
    <t>GSF-1930</t>
  </si>
  <si>
    <t>GSCG-00078</t>
  </si>
  <si>
    <t>OSE File No. GSF-81</t>
  </si>
  <si>
    <t>GSF-81</t>
  </si>
  <si>
    <t>GSCG-00079</t>
  </si>
  <si>
    <t>GSCG-00080</t>
  </si>
  <si>
    <t>GSCG-00082</t>
  </si>
  <si>
    <t>GSCG-00084</t>
  </si>
  <si>
    <t>GSF-4392</t>
  </si>
  <si>
    <t>GSCG-00088</t>
  </si>
  <si>
    <t>Fort West Ditch</t>
  </si>
  <si>
    <t xml:space="preserve">0233, Maldonado Ditch 1/2 Duty </t>
  </si>
  <si>
    <t>0233</t>
  </si>
  <si>
    <t>GSCG-00089</t>
  </si>
  <si>
    <t>OSE File No. GSF-71</t>
  </si>
  <si>
    <t>GSF-71</t>
  </si>
  <si>
    <t>GSCG-00090</t>
  </si>
  <si>
    <t>OSE File No. GSF-70-B-B</t>
  </si>
  <si>
    <t>GSF-70-B-B</t>
  </si>
  <si>
    <t>GSCG-00091</t>
  </si>
  <si>
    <t>Upper Gila Ditch</t>
  </si>
  <si>
    <t>OSE File No. 0231, Upper Gila Ditch and GSF 5; lost to river</t>
  </si>
  <si>
    <t>0231 &amp; GSF-5</t>
  </si>
  <si>
    <t>GSCG-00092</t>
  </si>
  <si>
    <t>GSCG-00093</t>
  </si>
  <si>
    <t>GSCG-00094</t>
  </si>
  <si>
    <t>OSE File No. GSF-70-D</t>
  </si>
  <si>
    <t>GSF-70-D</t>
  </si>
  <si>
    <t>GSCG-00096</t>
  </si>
  <si>
    <t>GSCG-00097</t>
  </si>
  <si>
    <t>OSE File No. 0231, Upper Gila Ditch and GSF 5</t>
  </si>
  <si>
    <t>GSCG-00098</t>
  </si>
  <si>
    <t>OSE File No. GSF-60</t>
  </si>
  <si>
    <t>GSF-60</t>
  </si>
  <si>
    <t>226</t>
  </si>
  <si>
    <t>GSCG-00100</t>
  </si>
  <si>
    <t>GSCG-00101</t>
  </si>
  <si>
    <t>GSCG-00102</t>
  </si>
  <si>
    <t>GSCG-00103</t>
  </si>
  <si>
    <t>GSCG-00105</t>
  </si>
  <si>
    <t>No Right; lost to river</t>
  </si>
  <si>
    <t>2.6</t>
  </si>
  <si>
    <t>GSCG-00106</t>
  </si>
  <si>
    <t>GSCG-00107</t>
  </si>
  <si>
    <t>No Right ; lost to river</t>
  </si>
  <si>
    <t>0.7</t>
  </si>
  <si>
    <t>GSCG-00108</t>
  </si>
  <si>
    <t>GSCG-00109</t>
  </si>
  <si>
    <t>GSCG-00110</t>
  </si>
  <si>
    <t>GSCG-00111</t>
  </si>
  <si>
    <t>12.2</t>
  </si>
  <si>
    <t>GSCG-00112</t>
  </si>
  <si>
    <t>GSCG-00114</t>
  </si>
  <si>
    <t>Old Reservoir</t>
  </si>
  <si>
    <t>GSCG-00116</t>
  </si>
  <si>
    <t>Watered from domestic well</t>
  </si>
  <si>
    <t>GSCG-00117</t>
  </si>
  <si>
    <t>GSCG-00118</t>
  </si>
  <si>
    <t>GSCG-00119</t>
  </si>
  <si>
    <t>OSE File No. 0231, Upper Gila Ditch and GSF 5,</t>
  </si>
  <si>
    <t>GSCG-00120</t>
  </si>
  <si>
    <t>GSCG-00123</t>
  </si>
  <si>
    <t>GSCG-00124</t>
  </si>
  <si>
    <t>GSCG-00125</t>
  </si>
  <si>
    <t>OSE File No. 0233, Maldonado Ditch</t>
  </si>
  <si>
    <t>04/01/1899</t>
  </si>
  <si>
    <t>GSCG-00126</t>
  </si>
  <si>
    <t>GSCG-00130</t>
  </si>
  <si>
    <t>15.7</t>
  </si>
  <si>
    <t>GSCG-00134</t>
  </si>
  <si>
    <t>OSE File No. 0231, Upper Gila Ditch and GSF-5 and GSF-44 and GSF-45</t>
  </si>
  <si>
    <t>0231 &amp; GSF-5 &amp; GSF-44 &amp; GSF-45</t>
  </si>
  <si>
    <t>GSCG-00135</t>
  </si>
  <si>
    <t>GSCG-00136</t>
  </si>
  <si>
    <t>GSCG-00137</t>
  </si>
  <si>
    <t>GSCG-00140</t>
  </si>
  <si>
    <t>OSE File No. 0231, Upper Gila Ditch and GSF 5 and GSF-44 and GSF-45</t>
  </si>
  <si>
    <t>GSCG-00141</t>
  </si>
  <si>
    <t>GSCG-00142</t>
  </si>
  <si>
    <t>GSCG-00143</t>
  </si>
  <si>
    <t>GSCG-00144</t>
  </si>
  <si>
    <t>GSCG-00145</t>
  </si>
  <si>
    <t>GSCG-00146</t>
  </si>
  <si>
    <t>GSCG-00147</t>
  </si>
  <si>
    <t>GSCG-00148</t>
  </si>
  <si>
    <t>OSE File No. GSF-65 and GSF-66</t>
  </si>
  <si>
    <t>GSF-65 &amp; GSF-66</t>
  </si>
  <si>
    <t>GSCG-00149</t>
  </si>
  <si>
    <t>GSCG-00150</t>
  </si>
  <si>
    <t>OSE File No. GSF 58</t>
  </si>
  <si>
    <t>GSF-58</t>
  </si>
  <si>
    <t>1942</t>
  </si>
  <si>
    <t>GSCG-00151</t>
  </si>
  <si>
    <t>GSCG-00152</t>
  </si>
  <si>
    <t>GSCG-00153</t>
  </si>
  <si>
    <t>GSCG-00154</t>
  </si>
  <si>
    <t>GSCG-00155</t>
  </si>
  <si>
    <t>GSCG-00156</t>
  </si>
  <si>
    <t>OSE File No. GSF-8</t>
  </si>
  <si>
    <t>GSF-8</t>
  </si>
  <si>
    <t>140</t>
  </si>
  <si>
    <t>GSCG-00157</t>
  </si>
  <si>
    <t>GSCG-00158</t>
  </si>
  <si>
    <t>GSCG-00159</t>
  </si>
  <si>
    <t>GSCG-00160</t>
  </si>
  <si>
    <t>GSCG-00161</t>
  </si>
  <si>
    <t>OSE File No. GSSF-576</t>
  </si>
  <si>
    <t>GSF-576</t>
  </si>
  <si>
    <t>GSCG-00162</t>
  </si>
  <si>
    <t>OSE File No. 0233, Maldonado Ditch and GSF 5</t>
  </si>
  <si>
    <t>GSCG-00163</t>
  </si>
  <si>
    <t>GSCG-00164</t>
  </si>
  <si>
    <t>OSE File No. GSF-58</t>
  </si>
  <si>
    <t>GSCG-00165</t>
  </si>
  <si>
    <t>GSCG-00166</t>
  </si>
  <si>
    <t>GSCG-00167</t>
  </si>
  <si>
    <t>GSCG-00168</t>
  </si>
  <si>
    <t>GSCG-00169</t>
  </si>
  <si>
    <t>GSCG-00170</t>
  </si>
  <si>
    <t>GSCG-00171</t>
  </si>
  <si>
    <t>GSCG-00172</t>
  </si>
  <si>
    <t>GSCG-00173</t>
  </si>
  <si>
    <t>0233 &amp; GSF-5</t>
  </si>
  <si>
    <t>GSCG-00174</t>
  </si>
  <si>
    <t>GSCG-00175</t>
  </si>
  <si>
    <t>GSCG-00176</t>
  </si>
  <si>
    <t>GSCG-00178</t>
  </si>
  <si>
    <t>253</t>
  </si>
  <si>
    <t>GSCG-00179</t>
  </si>
  <si>
    <t>GSCG-00180</t>
  </si>
  <si>
    <t>`</t>
  </si>
  <si>
    <t>7.4</t>
  </si>
  <si>
    <t>GSCG-00181</t>
  </si>
  <si>
    <t>GSCG-00182</t>
  </si>
  <si>
    <t>GSCG-00183</t>
  </si>
  <si>
    <t>GSCG-00184</t>
  </si>
  <si>
    <t>221</t>
  </si>
  <si>
    <t>GSCG-00185</t>
  </si>
  <si>
    <t>GSCG-00186</t>
  </si>
  <si>
    <t>GSCG-00187</t>
  </si>
  <si>
    <t>04/01/1899294</t>
  </si>
  <si>
    <t>GSCG-00188</t>
  </si>
  <si>
    <t>GSCG-00189</t>
  </si>
  <si>
    <t>GSCG-00190</t>
  </si>
  <si>
    <t>GSCG-00191</t>
  </si>
  <si>
    <t>GSCG-00192</t>
  </si>
  <si>
    <t>Breached</t>
  </si>
  <si>
    <t>GSCG-00193</t>
  </si>
  <si>
    <t>GSCG-00194</t>
  </si>
  <si>
    <t>GSCG-00195</t>
  </si>
  <si>
    <t>GSCG-00196</t>
  </si>
  <si>
    <t>GSCG-00197</t>
  </si>
  <si>
    <t>GSCG-00198</t>
  </si>
  <si>
    <t>GSCG-00199</t>
  </si>
  <si>
    <t>OSE File No. 0231, Upper Gila Ditch and GSF-5</t>
  </si>
  <si>
    <t>GSCG-00200</t>
  </si>
  <si>
    <t>GSCG-00201</t>
  </si>
  <si>
    <t>OSE File No. 0233, Maldomado Ditch and GSF-5</t>
  </si>
  <si>
    <t>GSCG-00202</t>
  </si>
  <si>
    <t>GSCG-00203</t>
  </si>
  <si>
    <t>GSCG-00205</t>
  </si>
  <si>
    <t>GSCG-00206</t>
  </si>
  <si>
    <t>GSCG-00208</t>
  </si>
  <si>
    <t>150</t>
  </si>
  <si>
    <t>GSCG-00210</t>
  </si>
  <si>
    <t>OSE File No. 0231, Upper Gila Ditch and GSF 5 and GSF-636 and GSF-638</t>
  </si>
  <si>
    <t>0231 &amp; GSF-5 &amp; GSF-636 &amp; GSF-638</t>
  </si>
  <si>
    <t>GSCG-00211</t>
  </si>
  <si>
    <t>OSE File No. GSF-503</t>
  </si>
  <si>
    <t>GSF-503</t>
  </si>
  <si>
    <t>GSCG-00212</t>
  </si>
  <si>
    <t>GSCG-00213</t>
  </si>
  <si>
    <t>OSE File No. GSF 5 and GSF-636 and GSF-638</t>
  </si>
  <si>
    <t>GSF-5 &amp; GSF-636 &amp; GSF-638</t>
  </si>
  <si>
    <t>09/06/1947</t>
  </si>
  <si>
    <t>GSCG-00214</t>
  </si>
  <si>
    <t>GSCG-00215</t>
  </si>
  <si>
    <t>OSE File No. 0233, Maldonado Ditch, Ful</t>
  </si>
  <si>
    <t>01/01/1899</t>
  </si>
  <si>
    <t>GSCG-00216</t>
  </si>
  <si>
    <t>GSCG-00218</t>
  </si>
  <si>
    <t>GSCG-00220</t>
  </si>
  <si>
    <t>09/03/1947</t>
  </si>
  <si>
    <t>GSCG-00221</t>
  </si>
  <si>
    <t>OSE File No. 0231, Upper Gila Ditch and GSF 5 and GSF-638</t>
  </si>
  <si>
    <t>0231 &amp; GSF-5 &amp; GSF-638</t>
  </si>
  <si>
    <t>GSCG-00222</t>
  </si>
  <si>
    <t>OSE File No. 0247, Fort West Ditch, "Full"</t>
  </si>
  <si>
    <t>0247</t>
  </si>
  <si>
    <t>313</t>
  </si>
  <si>
    <t>GSCG-00223</t>
  </si>
  <si>
    <t>OSE File No. 0247, Fort West Ditch</t>
  </si>
  <si>
    <t>GSCG-00224</t>
  </si>
  <si>
    <t>OSE File No. GSF-909</t>
  </si>
  <si>
    <t>GSF-909</t>
  </si>
  <si>
    <t>GSCG-00225</t>
  </si>
  <si>
    <t>OSE File No. 0231, Upper Gila Ditch and GSF 5, Reservoir, Dry Breached</t>
  </si>
  <si>
    <t>GSCG-00226</t>
  </si>
  <si>
    <t>GSCG-00227</t>
  </si>
  <si>
    <t>GSCG-00228</t>
  </si>
  <si>
    <t xml:space="preserve">OSE File No. 0247, Fort West Ditch and GSF-637 </t>
  </si>
  <si>
    <t>0247 &amp; GSF-637</t>
  </si>
  <si>
    <t>GSCG-00229</t>
  </si>
  <si>
    <t xml:space="preserve">OSE File No. GSF-5 and GSF-639 </t>
  </si>
  <si>
    <t>GSF-5 &amp; GSF-639</t>
  </si>
  <si>
    <t>GSCG-00230</t>
  </si>
  <si>
    <t>OSE File No. 0231, Upper Gila Ditch and GSF 5 and GSF-639</t>
  </si>
  <si>
    <t>0231 &amp; GSF-5 &amp; GSF-639</t>
  </si>
  <si>
    <t>GSCG-00231</t>
  </si>
  <si>
    <t>GSCG-00232</t>
  </si>
  <si>
    <t>GSCG-00233</t>
  </si>
  <si>
    <t>GSCG-00234</t>
  </si>
  <si>
    <t>OSE File No. 0247, Fort West Ditch and GSF 637</t>
  </si>
  <si>
    <t>GSCG-00236</t>
  </si>
  <si>
    <t>191</t>
  </si>
  <si>
    <t>GSCG-00237</t>
  </si>
  <si>
    <t>GSCG-00238</t>
  </si>
  <si>
    <t>283 - 284</t>
  </si>
  <si>
    <t>GSCG-00240</t>
  </si>
  <si>
    <t>GSCG-00241</t>
  </si>
  <si>
    <t>GSCG-00242</t>
  </si>
  <si>
    <t>GSCG-00243</t>
  </si>
  <si>
    <t>GSCG-00244</t>
  </si>
  <si>
    <t>OSE File No. 0247, Fort West Ditch and GSF-637</t>
  </si>
  <si>
    <t>GSCG-00245</t>
  </si>
  <si>
    <t>GSCG-00246</t>
  </si>
  <si>
    <t>GSCG-00247</t>
  </si>
  <si>
    <t>GSCG-00248</t>
  </si>
  <si>
    <t>GSF-469</t>
  </si>
  <si>
    <t>GSCG-00249</t>
  </si>
  <si>
    <t>GSCG-00250</t>
  </si>
  <si>
    <t>OSE File No. 0247, Fort West Ditch and GSF-80</t>
  </si>
  <si>
    <t>0247 &amp; GSF-80</t>
  </si>
  <si>
    <t>192</t>
  </si>
  <si>
    <t>GSCG-00252</t>
  </si>
  <si>
    <t>GSCG-00253</t>
  </si>
  <si>
    <t>161</t>
  </si>
  <si>
    <t>GSCG-00256</t>
  </si>
  <si>
    <t>GSCG-00258</t>
  </si>
  <si>
    <t>GSCG-00259</t>
  </si>
  <si>
    <t>GSCG-00260</t>
  </si>
  <si>
    <t>GSCG-00261</t>
  </si>
  <si>
    <t>GSCG-00262</t>
  </si>
  <si>
    <t>GSCG-00263</t>
  </si>
  <si>
    <t>GSCG-00264</t>
  </si>
  <si>
    <t>GSCG-00265</t>
  </si>
  <si>
    <t>GSCG-00266</t>
  </si>
  <si>
    <t>GSCG-00267</t>
  </si>
  <si>
    <t>GSCG-00268</t>
  </si>
  <si>
    <t>GSCG-00270</t>
  </si>
  <si>
    <t>OSE File No. 0247, Fort West Ditch and GSF-16</t>
  </si>
  <si>
    <t>0247 &amp; GSF-16</t>
  </si>
  <si>
    <t>GSCG-00272</t>
  </si>
  <si>
    <t>GSCG-00273</t>
  </si>
  <si>
    <t>GSCG-00274</t>
  </si>
  <si>
    <t xml:space="preserve">OSE File No. GSF-13 </t>
  </si>
  <si>
    <t>GSF-13</t>
  </si>
  <si>
    <t>GSCG-00275</t>
  </si>
  <si>
    <t>GSCG-00276</t>
  </si>
  <si>
    <t>GSCG-00277</t>
  </si>
  <si>
    <t>GSCG-00278</t>
  </si>
  <si>
    <t>GSCG-00279</t>
  </si>
  <si>
    <t>GSCG-00280</t>
  </si>
  <si>
    <t>OSE File No. GSF-135</t>
  </si>
  <si>
    <t>GSF-135</t>
  </si>
  <si>
    <t>1914</t>
  </si>
  <si>
    <t>288</t>
  </si>
  <si>
    <t>GSCG-00281</t>
  </si>
  <si>
    <t>OSE File No. GSF-13</t>
  </si>
  <si>
    <t>GSCG-00282</t>
  </si>
  <si>
    <t>GSCG-00283</t>
  </si>
  <si>
    <t>GSCG-00284</t>
  </si>
  <si>
    <t>GSCG-00285</t>
  </si>
  <si>
    <t>GSCG-00286</t>
  </si>
  <si>
    <t>GSCG-00287</t>
  </si>
  <si>
    <t>GSCG-00288</t>
  </si>
  <si>
    <t>GSCG-00289</t>
  </si>
  <si>
    <t>GSCG-00290</t>
  </si>
  <si>
    <t>GSCG-00291</t>
  </si>
  <si>
    <t>GSCG-00292</t>
  </si>
  <si>
    <t>GSCG-00293</t>
  </si>
  <si>
    <t>GSCG-00294</t>
  </si>
  <si>
    <t>GSCG-00295</t>
  </si>
  <si>
    <t>GSCG-00296</t>
  </si>
  <si>
    <t>GSCG-00297</t>
  </si>
  <si>
    <t>GSCG-00298</t>
  </si>
  <si>
    <t>5.0</t>
  </si>
  <si>
    <t>138</t>
  </si>
  <si>
    <t>GSCG-00299</t>
  </si>
  <si>
    <t>GSCG-00300</t>
  </si>
  <si>
    <t>GSCG-00301</t>
  </si>
  <si>
    <t>GSCG-00302</t>
  </si>
  <si>
    <t>GSCG-00303</t>
  </si>
  <si>
    <t>GSCG-00304</t>
  </si>
  <si>
    <t>OSE File No. 0247, Fort West Ditch and GSF-26</t>
  </si>
  <si>
    <t>0247 &amp; GSF-26</t>
  </si>
  <si>
    <t>GSCG-00305</t>
  </si>
  <si>
    <t>GSCG-00306</t>
  </si>
  <si>
    <t>GSCG-00307</t>
  </si>
  <si>
    <t>GSCG-00308</t>
  </si>
  <si>
    <t>GSCG-00309</t>
  </si>
  <si>
    <t>OSE File No. 0247, Fort West ditch</t>
  </si>
  <si>
    <t>285</t>
  </si>
  <si>
    <t>GSCG-00310</t>
  </si>
  <si>
    <t>OSE File No. 0231, Upper Gila Ditch and GSF 5 and GSF-640</t>
  </si>
  <si>
    <t>0231 &amp; GSF-5 &amp; GSF-640</t>
  </si>
  <si>
    <t>GSCG-00311</t>
  </si>
  <si>
    <t>GSCG-00312</t>
  </si>
  <si>
    <t>OSE File No. 0227, Howard - Cienega Ditch</t>
  </si>
  <si>
    <t>0227</t>
  </si>
  <si>
    <t>GSCG-00313</t>
  </si>
  <si>
    <t>GSCG-00314</t>
  </si>
  <si>
    <t>GSCG-00315</t>
  </si>
  <si>
    <t>GSF 5 and GSF-640</t>
  </si>
  <si>
    <t>GSF-5 &amp; GSF-640</t>
  </si>
  <si>
    <t>GSCG-00316</t>
  </si>
  <si>
    <t>GSCG-00317</t>
  </si>
  <si>
    <t xml:space="preserve">GSF-158 </t>
  </si>
  <si>
    <t>GSF-158</t>
  </si>
  <si>
    <t>91</t>
  </si>
  <si>
    <t>GSCG-00318</t>
  </si>
  <si>
    <t>GSCG-00319</t>
  </si>
  <si>
    <t>OSE File No. 0247, Fort West ditch and GSF-26</t>
  </si>
  <si>
    <t>GSCG-00320</t>
  </si>
  <si>
    <t xml:space="preserve">OSE File No. GSF-310 </t>
  </si>
  <si>
    <t>GSF-310</t>
  </si>
  <si>
    <t>1936</t>
  </si>
  <si>
    <t>74</t>
  </si>
  <si>
    <t>GSCG-00321</t>
  </si>
  <si>
    <t>GSCG-00322</t>
  </si>
  <si>
    <t>GSCG-00323</t>
  </si>
  <si>
    <t>GSCG-00324</t>
  </si>
  <si>
    <t>GSCG-00325</t>
  </si>
  <si>
    <t>GSCG-00326</t>
  </si>
  <si>
    <t>GSCG-00327</t>
  </si>
  <si>
    <t>Gila Farms Ditch</t>
  </si>
  <si>
    <t>OSE File No. 0250, Gila Farm ditch</t>
  </si>
  <si>
    <t>0250</t>
  </si>
  <si>
    <t>GSCG-00328</t>
  </si>
  <si>
    <t>GSCG-00329</t>
  </si>
  <si>
    <t>GSCG-00330</t>
  </si>
  <si>
    <t>GSCG-00332</t>
  </si>
  <si>
    <t>OSE File No. 0247, Fort West Ditch and GSF 26</t>
  </si>
  <si>
    <t>GSCG-00333</t>
  </si>
  <si>
    <t>GSCG-00334</t>
  </si>
  <si>
    <t>GSCG-00335</t>
  </si>
  <si>
    <t>OSE File No. 0244, Slayback Ditch</t>
  </si>
  <si>
    <t>0244</t>
  </si>
  <si>
    <t>GSCG-00336</t>
  </si>
  <si>
    <t>GSCG-00337</t>
  </si>
  <si>
    <t>329</t>
  </si>
  <si>
    <t>GSCG-00338</t>
  </si>
  <si>
    <t>GSCG-00339</t>
  </si>
  <si>
    <t>144</t>
  </si>
  <si>
    <t>GSCG-00340</t>
  </si>
  <si>
    <t>80</t>
  </si>
  <si>
    <t>GSCG-00341</t>
  </si>
  <si>
    <t>OSE File No. 0231, Upper Gila Ditch and GSF-5 and GSF-641</t>
  </si>
  <si>
    <t>0231 &amp; GSF-5 &amp; GSF-641</t>
  </si>
  <si>
    <t>GSCG-00342</t>
  </si>
  <si>
    <t>GSCG-00343</t>
  </si>
  <si>
    <t>GSCG-00344</t>
  </si>
  <si>
    <t>GSCG-00345</t>
  </si>
  <si>
    <t>GSCG-00346</t>
  </si>
  <si>
    <t>GSCG-00347</t>
  </si>
  <si>
    <t>GSCG-00348</t>
  </si>
  <si>
    <t>GSCG-00350</t>
  </si>
  <si>
    <t>GSCG-00352</t>
  </si>
  <si>
    <t>GSCG-00353</t>
  </si>
  <si>
    <t>GSCG-00354</t>
  </si>
  <si>
    <t>GSCG-00355</t>
  </si>
  <si>
    <t>GSCG-00356</t>
  </si>
  <si>
    <t>GSCG-00357</t>
  </si>
  <si>
    <t>GSCG-00358</t>
  </si>
  <si>
    <t>GSCG-00359</t>
  </si>
  <si>
    <t>GSCG-00361</t>
  </si>
  <si>
    <t xml:space="preserve">OSE File No. 0250, Gila Farm Ditch and GSF-635 </t>
  </si>
  <si>
    <t>0250 &amp; GSF-635</t>
  </si>
  <si>
    <t>215</t>
  </si>
  <si>
    <t>GSCG-00362</t>
  </si>
  <si>
    <t>GSCG-00363</t>
  </si>
  <si>
    <t>GSCG-00364</t>
  </si>
  <si>
    <t>GSCG-00365</t>
  </si>
  <si>
    <t>167</t>
  </si>
  <si>
    <t>GSCG-00366</t>
  </si>
  <si>
    <t>GSCG-00367</t>
  </si>
  <si>
    <t>OSE File No. 0244, Slayback Ditch and GSF-23</t>
  </si>
  <si>
    <t>0244 &amp; GSF-23</t>
  </si>
  <si>
    <t>GSCG-00368</t>
  </si>
  <si>
    <t>GSCG-00369</t>
  </si>
  <si>
    <t>GSCG-00370</t>
  </si>
  <si>
    <t>GSCG-00371</t>
  </si>
  <si>
    <t>GSCG-00372</t>
  </si>
  <si>
    <t>GSCG-00373</t>
  </si>
  <si>
    <t xml:space="preserve"> 20% Full</t>
  </si>
  <si>
    <t>GSCG-00374</t>
  </si>
  <si>
    <t>GSCG-00375</t>
  </si>
  <si>
    <t>OSE File No. GSF-32</t>
  </si>
  <si>
    <t>GSF-32</t>
  </si>
  <si>
    <t>135</t>
  </si>
  <si>
    <t>GSCG-00376</t>
  </si>
  <si>
    <t>GSCG-00378</t>
  </si>
  <si>
    <t>OSE File No. GSF-33</t>
  </si>
  <si>
    <t>GSF-33</t>
  </si>
  <si>
    <t>GSCG-00380</t>
  </si>
  <si>
    <t>OSE File No. 0250, Gila Farm Ditch</t>
  </si>
  <si>
    <t>GSCG-00381</t>
  </si>
  <si>
    <t>GSCG-00383</t>
  </si>
  <si>
    <t>GSCG-00384</t>
  </si>
  <si>
    <t>GSCG-00385</t>
  </si>
  <si>
    <t xml:space="preserve">OSE File No. 0231, Upper Gila Ditch and GSF-5 </t>
  </si>
  <si>
    <t>GSCG-00387</t>
  </si>
  <si>
    <t>GSCG-00388</t>
  </si>
  <si>
    <t>GSCG-00389</t>
  </si>
  <si>
    <t>01825 Spring</t>
  </si>
  <si>
    <t>GSCG-00390</t>
  </si>
  <si>
    <t>GSCG-00391</t>
  </si>
  <si>
    <t>GSCG-00392</t>
  </si>
  <si>
    <t>GSCG-00393</t>
  </si>
  <si>
    <t xml:space="preserve">01825 Spring  "80% Full </t>
  </si>
  <si>
    <t>GSCG-00394</t>
  </si>
  <si>
    <t>OSE File No. 0250, Gila Farm Ditch and GSF-635</t>
  </si>
  <si>
    <t>GSCG-00395</t>
  </si>
  <si>
    <t>GSCG-00397</t>
  </si>
  <si>
    <t>GSCG-00398</t>
  </si>
  <si>
    <t>GSCG-00399</t>
  </si>
  <si>
    <t>GSCG-00401</t>
  </si>
  <si>
    <t>142</t>
  </si>
  <si>
    <t>GSCG-00402</t>
  </si>
  <si>
    <t>GSCG-00403</t>
  </si>
  <si>
    <t>GSCG-00404</t>
  </si>
  <si>
    <t>GSCG-00405</t>
  </si>
  <si>
    <t>GSCG-00406</t>
  </si>
  <si>
    <t>GSCG-00407</t>
  </si>
  <si>
    <t>GSCG-00408</t>
  </si>
  <si>
    <t>GSCG-00410</t>
  </si>
  <si>
    <t>GSCG-00411</t>
  </si>
  <si>
    <t>GSCG-00412</t>
  </si>
  <si>
    <t>locked gate</t>
  </si>
  <si>
    <t>GSF-2452</t>
  </si>
  <si>
    <t>631</t>
  </si>
  <si>
    <t>GSCG-00413</t>
  </si>
  <si>
    <t>GSCG-00414</t>
  </si>
  <si>
    <t xml:space="preserve">OSE File No. 0247, Fort West Ditch </t>
  </si>
  <si>
    <t>GSCG-00415</t>
  </si>
  <si>
    <t xml:space="preserve">OSE File No. SD-0247-56, Fort West Ditch, PERMIT: GSF-76-D into 0247-56, PART 1 OF 3 </t>
  </si>
  <si>
    <t>191 &amp; 192</t>
  </si>
  <si>
    <t>GSCG-00416</t>
  </si>
  <si>
    <t>GSCG-00417</t>
  </si>
  <si>
    <t>GSCG-00418</t>
  </si>
  <si>
    <t>GSCG-00419</t>
  </si>
  <si>
    <t>OSE File No. 01544, Hooker No. 1 Ditch</t>
  </si>
  <si>
    <t>SD-01544</t>
  </si>
  <si>
    <t>191-192</t>
  </si>
  <si>
    <t>GSCG-00420</t>
  </si>
  <si>
    <t>GSCG-00421</t>
  </si>
  <si>
    <t>GSCG-00423</t>
  </si>
  <si>
    <t>GSCG-00424</t>
  </si>
  <si>
    <t>GSCG-00425</t>
  </si>
  <si>
    <t>GSCG-00426</t>
  </si>
  <si>
    <t>GSCG-00427</t>
  </si>
  <si>
    <t>107</t>
  </si>
  <si>
    <t>GSCG-00428</t>
  </si>
  <si>
    <t>191-912</t>
  </si>
  <si>
    <t>GSCG-00429</t>
  </si>
  <si>
    <t>OSE File No. 0250, Gila Farm Ditch and GSF-12</t>
  </si>
  <si>
    <t>0250 &amp; GSF-12</t>
  </si>
  <si>
    <t>GSCG-00430</t>
  </si>
  <si>
    <t>GSCG-00431</t>
  </si>
  <si>
    <t>GSCG-00432</t>
  </si>
  <si>
    <t>GSCG-00433</t>
  </si>
  <si>
    <t>GSCG-00434</t>
  </si>
  <si>
    <t>GSCG-00435</t>
  </si>
  <si>
    <t>GSCG-00436</t>
  </si>
  <si>
    <t>OSE File No. 0244, Slayback Ditch and GSF-642</t>
  </si>
  <si>
    <t>SD-0244 &amp; GSF-642</t>
  </si>
  <si>
    <t>GSCG-00437</t>
  </si>
  <si>
    <t xml:space="preserve">GSF-34 </t>
  </si>
  <si>
    <t>GSF-34</t>
  </si>
  <si>
    <t>GSCG-00438</t>
  </si>
  <si>
    <t>GSCG-00439</t>
  </si>
  <si>
    <t>SD-0244</t>
  </si>
  <si>
    <t>123</t>
  </si>
  <si>
    <t>GSCG-00440</t>
  </si>
  <si>
    <t>GSCG-00441</t>
  </si>
  <si>
    <t>GSCG-00442</t>
  </si>
  <si>
    <t xml:space="preserve">OSE File No. GSF-208 </t>
  </si>
  <si>
    <t>GSF-208</t>
  </si>
  <si>
    <t>190</t>
  </si>
  <si>
    <t>GSCG-00443</t>
  </si>
  <si>
    <t>GSCG-00444</t>
  </si>
  <si>
    <t>GSCG-00445</t>
  </si>
  <si>
    <t>GSCG-00446</t>
  </si>
  <si>
    <t>GSCG-00447</t>
  </si>
  <si>
    <t>GSCG-00448</t>
  </si>
  <si>
    <t>GSCG-00451</t>
  </si>
  <si>
    <t xml:space="preserve">OSE File No. GSF-175 </t>
  </si>
  <si>
    <t>GSF-175</t>
  </si>
  <si>
    <t>GSCG-00452</t>
  </si>
  <si>
    <t>OSE File No. 0256, Mcmillen Ditch</t>
  </si>
  <si>
    <t>SD-0256</t>
  </si>
  <si>
    <t>GSCG-00453</t>
  </si>
  <si>
    <t>GSCG-00454</t>
  </si>
  <si>
    <t>GSCG-00457</t>
  </si>
  <si>
    <t>river; OSE File No. 0250, Gila Farm Ditch and GSF-12</t>
  </si>
  <si>
    <t>SD-0250 &amp; GSF-12</t>
  </si>
  <si>
    <t>GSCG-00458</t>
  </si>
  <si>
    <t>GSCG-00459</t>
  </si>
  <si>
    <t>GSCG-00460</t>
  </si>
  <si>
    <t>OSE File No. GSF-276</t>
  </si>
  <si>
    <t>GSF-276</t>
  </si>
  <si>
    <t>GSCG-00461</t>
  </si>
  <si>
    <t>OSE File No. 0244, Slayback Ditch and GSF 642</t>
  </si>
  <si>
    <t>GSCG-00462</t>
  </si>
  <si>
    <t>GSCG-00463</t>
  </si>
  <si>
    <t>GSCG-00464</t>
  </si>
  <si>
    <t>GSCG-00465</t>
  </si>
  <si>
    <t>GSCG-00466</t>
  </si>
  <si>
    <t>GSCG-00467</t>
  </si>
  <si>
    <t>OSE File No. 0256, McMillen Ditch</t>
  </si>
  <si>
    <t>GSCG-00468</t>
  </si>
  <si>
    <t xml:space="preserve">OSE File No. GSF-411 </t>
  </si>
  <si>
    <t>GSF-411</t>
  </si>
  <si>
    <t>GSCG-00469</t>
  </si>
  <si>
    <t>GSCG-00470</t>
  </si>
  <si>
    <t>GSCG-00471</t>
  </si>
  <si>
    <t xml:space="preserve">OSE File No. GSF-14 </t>
  </si>
  <si>
    <t>GSF-14</t>
  </si>
  <si>
    <t>GSCG-00472</t>
  </si>
  <si>
    <t>GSCG-00473</t>
  </si>
  <si>
    <t>GSCG-00474</t>
  </si>
  <si>
    <t>GSCG-00475</t>
  </si>
  <si>
    <t>GSCG-00477</t>
  </si>
  <si>
    <t>GSCG-00479</t>
  </si>
  <si>
    <t>SD-0247</t>
  </si>
  <si>
    <t>302</t>
  </si>
  <si>
    <t>GSCG-00480</t>
  </si>
  <si>
    <t>GSCG-00482</t>
  </si>
  <si>
    <t>GSF-93</t>
  </si>
  <si>
    <t>GSCG-00484</t>
  </si>
  <si>
    <t>250</t>
  </si>
  <si>
    <t>GSCG-00487</t>
  </si>
  <si>
    <t>GSCG-00488</t>
  </si>
  <si>
    <t>GSCG-00489</t>
  </si>
  <si>
    <t xml:space="preserve">28 </t>
  </si>
  <si>
    <t>GSCG-00490</t>
  </si>
  <si>
    <t>GSCG-00491</t>
  </si>
  <si>
    <t>OSE File No. 0250, Gila Farm Ditch &amp; GSF-12</t>
  </si>
  <si>
    <t>GSCG-00492</t>
  </si>
  <si>
    <t>OSE File No. GSF-73</t>
  </si>
  <si>
    <t>GSF-73</t>
  </si>
  <si>
    <t>119</t>
  </si>
  <si>
    <t>GSCG-00493</t>
  </si>
  <si>
    <t>GSCG-00494</t>
  </si>
  <si>
    <t>GSCG-00497</t>
  </si>
  <si>
    <t>GSCG-00498</t>
  </si>
  <si>
    <t>GSCG-00499</t>
  </si>
  <si>
    <t>GSCG-00500</t>
  </si>
  <si>
    <t>GSCG-00501</t>
  </si>
  <si>
    <t>GSCG-00502</t>
  </si>
  <si>
    <t xml:space="preserve">OSE File No. 0244, Slayback Ditch </t>
  </si>
  <si>
    <t>GSCG-00503</t>
  </si>
  <si>
    <t>OSE File No. GSF-307</t>
  </si>
  <si>
    <t>GSF-307</t>
  </si>
  <si>
    <t>GSCG-00505</t>
  </si>
  <si>
    <t>SD-0250</t>
  </si>
  <si>
    <t>GSCG-00507</t>
  </si>
  <si>
    <t>GSCG-00508</t>
  </si>
  <si>
    <t>GSCG-00509</t>
  </si>
  <si>
    <t>GSCG-00510</t>
  </si>
  <si>
    <t>GSCG-00511</t>
  </si>
  <si>
    <t>GSCG-00512</t>
  </si>
  <si>
    <t>GSCG-00516</t>
  </si>
  <si>
    <t>river; OSE File No. 0250, Gila Farm Ditch &amp; GSF-12</t>
  </si>
  <si>
    <t>GSCG-00517</t>
  </si>
  <si>
    <t>GSCG-00518</t>
  </si>
  <si>
    <t>MEREJILDO O. PLACENCIO</t>
  </si>
  <si>
    <t>GSCG-00519</t>
  </si>
  <si>
    <t>GSCG-00520</t>
  </si>
  <si>
    <t>GSCG-00521</t>
  </si>
  <si>
    <t>GSCG-00522</t>
  </si>
  <si>
    <t>GSCG-00523</t>
  </si>
  <si>
    <t>GSCG-00524</t>
  </si>
  <si>
    <t>GSCG-00525</t>
  </si>
  <si>
    <t>GSCG-00526</t>
  </si>
  <si>
    <t>GSCG-00527</t>
  </si>
  <si>
    <t>GSCG-00528</t>
  </si>
  <si>
    <t>GSCG-00529</t>
  </si>
  <si>
    <t>GSCG-00530</t>
  </si>
  <si>
    <t>GSCG-00532</t>
  </si>
  <si>
    <t>GSCG-00533</t>
  </si>
  <si>
    <t>GSCG-00534</t>
  </si>
  <si>
    <t>STEMLER</t>
  </si>
  <si>
    <t>268</t>
  </si>
  <si>
    <t>GSCG-00535</t>
  </si>
  <si>
    <t>OSE File No. 01783, C.V. Dominguez Ditch No. 1</t>
  </si>
  <si>
    <t>SD-01783</t>
  </si>
  <si>
    <t>GSCG-00536</t>
  </si>
  <si>
    <t>GSCG-00537</t>
  </si>
  <si>
    <t>GSCG-00538</t>
  </si>
  <si>
    <t>GSCG-00540</t>
  </si>
  <si>
    <t>GSCG-00541</t>
  </si>
  <si>
    <t>OSE File No. 01783, C.V. Dominguez No. 2</t>
  </si>
  <si>
    <t>GSCG-00542</t>
  </si>
  <si>
    <t>GSCG-00543</t>
  </si>
  <si>
    <t>GSCG-00544</t>
  </si>
  <si>
    <t>GSCG-00545</t>
  </si>
  <si>
    <t>GSCG-00546</t>
  </si>
  <si>
    <t>GSCG-00547</t>
  </si>
  <si>
    <t>GSCG-00548</t>
  </si>
  <si>
    <t>GSCG-00549</t>
  </si>
  <si>
    <t>GSCG-00551</t>
  </si>
  <si>
    <t>181</t>
  </si>
  <si>
    <t>GSCG-00554</t>
  </si>
  <si>
    <t>GSCG-00555</t>
  </si>
  <si>
    <t>OSE File NO. 0244, Slayback Ditch</t>
  </si>
  <si>
    <t>147</t>
  </si>
  <si>
    <t>GSCG-00556</t>
  </si>
  <si>
    <t>GSCG-00557</t>
  </si>
  <si>
    <t>OSE File No. 01783, C.V. Dominguez Ditch No. 3</t>
  </si>
  <si>
    <t>GSCG-00558</t>
  </si>
  <si>
    <t xml:space="preserve">OSE File No. GSF-278 </t>
  </si>
  <si>
    <t>GSF-278</t>
  </si>
  <si>
    <t>1939</t>
  </si>
  <si>
    <t>GSCG-00559</t>
  </si>
  <si>
    <t>0256</t>
  </si>
  <si>
    <t>GSCG-00560</t>
  </si>
  <si>
    <t>OSE File No. SD-02941, Sanchez Ditch</t>
  </si>
  <si>
    <t>SD-2941</t>
  </si>
  <si>
    <t>GSCG-00561</t>
  </si>
  <si>
    <t>GSCG-00562</t>
  </si>
  <si>
    <t>GSF-129</t>
  </si>
  <si>
    <t>GSCG-00563</t>
  </si>
  <si>
    <t>GSCG-00564</t>
  </si>
  <si>
    <t>GSCG-00565</t>
  </si>
  <si>
    <t>5.3</t>
  </si>
  <si>
    <t>GSCG-00566</t>
  </si>
  <si>
    <t>GSCG-00567</t>
  </si>
  <si>
    <t>GSCG-00568</t>
  </si>
  <si>
    <t>GSCG-00569</t>
  </si>
  <si>
    <t>OSE File No. GSF-278</t>
  </si>
  <si>
    <t>GSCG-00570</t>
  </si>
  <si>
    <t>OSE File No. GSF-739</t>
  </si>
  <si>
    <t>GSF-739</t>
  </si>
  <si>
    <t>GSCG-00571</t>
  </si>
  <si>
    <t>GSCG-00572</t>
  </si>
  <si>
    <t>GSCG-00573</t>
  </si>
  <si>
    <t>OSE File No. GSF-268</t>
  </si>
  <si>
    <t>GSF-268</t>
  </si>
  <si>
    <t>GSCG-00574</t>
  </si>
  <si>
    <t>GSCG-00577</t>
  </si>
  <si>
    <t>GSCG-00578</t>
  </si>
  <si>
    <t>GSCG-00579</t>
  </si>
  <si>
    <t>GSCG-00580</t>
  </si>
  <si>
    <t>7.2</t>
  </si>
  <si>
    <t>GSCG-00581</t>
  </si>
  <si>
    <t>10.7</t>
  </si>
  <si>
    <t>GSCG-00582</t>
  </si>
  <si>
    <t>GSCG-00583</t>
  </si>
  <si>
    <t>OSE File No. GSF-53  (Locked Gate)</t>
  </si>
  <si>
    <t>GSF-53</t>
  </si>
  <si>
    <t>GSCG-00585</t>
  </si>
  <si>
    <t>OSE File No. GSF-36</t>
  </si>
  <si>
    <t>GSF-36</t>
  </si>
  <si>
    <t>GSCG-00586</t>
  </si>
  <si>
    <t>OSE File No. GSF-53 (Locked Gate)</t>
  </si>
  <si>
    <t>GSCG-00587</t>
  </si>
  <si>
    <t>GSCG-00588</t>
  </si>
  <si>
    <t>GSCG-00589</t>
  </si>
  <si>
    <t>86</t>
  </si>
  <si>
    <t>GSCG-00590</t>
  </si>
  <si>
    <t>GSCG-00591</t>
  </si>
  <si>
    <t>OSE File No. 0250 and GSF-7, Gila Farm Ditch</t>
  </si>
  <si>
    <t>0250 &amp; GSF-7</t>
  </si>
  <si>
    <t>GSCG-00594</t>
  </si>
  <si>
    <t>GSCG-00595</t>
  </si>
  <si>
    <t>GSCG-00597</t>
  </si>
  <si>
    <t xml:space="preserve">OSE File No. 2940, Provencio Ditch &amp; GSF-738 </t>
  </si>
  <si>
    <t>SD-2940 &amp; GSF-738</t>
  </si>
  <si>
    <t>1904 &amp; 1948</t>
  </si>
  <si>
    <t>GSCG-00599</t>
  </si>
  <si>
    <t>GSCG-00600</t>
  </si>
  <si>
    <t>GSCG-00601</t>
  </si>
  <si>
    <t>GSCG-00602</t>
  </si>
  <si>
    <t>OSE File No. GSF-29</t>
  </si>
  <si>
    <t>GSF-29</t>
  </si>
  <si>
    <t>5/1956</t>
  </si>
  <si>
    <t>GSCG-00603</t>
  </si>
  <si>
    <t>OSE File No. 2940, Provencio Ditch</t>
  </si>
  <si>
    <t>SD-2940</t>
  </si>
  <si>
    <t>240</t>
  </si>
  <si>
    <t>GSCG-00604</t>
  </si>
  <si>
    <t>0250 &amp; GSF7</t>
  </si>
  <si>
    <t>GSCG-00605</t>
  </si>
  <si>
    <t>GSCG-00606</t>
  </si>
  <si>
    <t>GSCG-00608</t>
  </si>
  <si>
    <t>GSCG-00611</t>
  </si>
  <si>
    <t>216</t>
  </si>
  <si>
    <t>GSCG-00612</t>
  </si>
  <si>
    <t>GSCG-00613</t>
  </si>
  <si>
    <t>GSCG-00614</t>
  </si>
  <si>
    <t>GSCG-00615</t>
  </si>
  <si>
    <t>GSCG-00616</t>
  </si>
  <si>
    <t>GSCG-00617</t>
  </si>
  <si>
    <t>GSCG-00618</t>
  </si>
  <si>
    <t>GSCG-00619</t>
  </si>
  <si>
    <t>GSCG-00620</t>
  </si>
  <si>
    <t>GSCG-00621</t>
  </si>
  <si>
    <t>GSCG-00622</t>
  </si>
  <si>
    <t>201</t>
  </si>
  <si>
    <t>GSCG-00623</t>
  </si>
  <si>
    <t>GSCG-00624</t>
  </si>
  <si>
    <t>GSCG-00625</t>
  </si>
  <si>
    <t>OSE File No. 2940, Provencio Ditch 20-30 tress</t>
  </si>
  <si>
    <t>GSCG-00626</t>
  </si>
  <si>
    <t>GSCG-00627</t>
  </si>
  <si>
    <t>GSCG-00628</t>
  </si>
  <si>
    <t>GSCG-00629</t>
  </si>
  <si>
    <t>GSCG-00630</t>
  </si>
  <si>
    <t>GSCG-00631</t>
  </si>
  <si>
    <t>GSCG-00632</t>
  </si>
  <si>
    <t>GSCG-00634</t>
  </si>
  <si>
    <t>GSCG-00635</t>
  </si>
  <si>
    <t>GSCG-00637</t>
  </si>
  <si>
    <t>GSCG-00638</t>
  </si>
  <si>
    <t>GSCG-00639</t>
  </si>
  <si>
    <t>GSCG-00641</t>
  </si>
  <si>
    <t>Gila Cemetary</t>
  </si>
  <si>
    <t>GSF-654</t>
  </si>
  <si>
    <t>GSCG-00645</t>
  </si>
  <si>
    <t>GSCG-00647</t>
  </si>
  <si>
    <t>GSCG-00650</t>
  </si>
  <si>
    <t>Watered from domestic well, GSF-151</t>
  </si>
  <si>
    <t>GSF-151</t>
  </si>
  <si>
    <t>GSCG-00651</t>
  </si>
  <si>
    <t>OSE File No. 0266, Old Bell Ditch;</t>
  </si>
  <si>
    <t>0266</t>
  </si>
  <si>
    <t>10/01/1906</t>
  </si>
  <si>
    <t>314</t>
  </si>
  <si>
    <t>GSCG-00652</t>
  </si>
  <si>
    <t>GSCG-00654</t>
  </si>
  <si>
    <t>214</t>
  </si>
  <si>
    <t>GSCG-00657</t>
  </si>
  <si>
    <t>GSCG-00658</t>
  </si>
  <si>
    <t>GSCG-00659</t>
  </si>
  <si>
    <t>GSCG-00661</t>
  </si>
  <si>
    <t>GSCG-00662</t>
  </si>
  <si>
    <t xml:space="preserve">0266, Old Bell Ditch, </t>
  </si>
  <si>
    <t>GSCG-00664</t>
  </si>
  <si>
    <t>GSCG-00665</t>
  </si>
  <si>
    <t>3.0</t>
  </si>
  <si>
    <t>GSCG-00666</t>
  </si>
  <si>
    <t>306</t>
  </si>
  <si>
    <t>GSCG-00667</t>
  </si>
  <si>
    <t>213</t>
  </si>
  <si>
    <t>GSCG-00668</t>
  </si>
  <si>
    <t>GSCG-00671</t>
  </si>
  <si>
    <t>GSCG-00672</t>
  </si>
  <si>
    <t>OSE File No. 0256, McMillen Ditch, Supplemented by GSF462</t>
  </si>
  <si>
    <t>GSCG-00673</t>
  </si>
  <si>
    <t>OSE File No. 0260, Riverside Ditch</t>
  </si>
  <si>
    <t>0260</t>
  </si>
  <si>
    <t>GSCG-00675</t>
  </si>
  <si>
    <t>GSCG-00676</t>
  </si>
  <si>
    <t>OSE File No. 0260 and 0261, Riverside Ditch</t>
  </si>
  <si>
    <t>0260 &amp; 0261</t>
  </si>
  <si>
    <t>GSCG-00677</t>
  </si>
  <si>
    <t>101 &amp; 228</t>
  </si>
  <si>
    <t>GSCG-00678</t>
  </si>
  <si>
    <t>OSE File No. 0256 and GSF 782-X, McMillen Ditch</t>
  </si>
  <si>
    <t xml:space="preserve">9 </t>
  </si>
  <si>
    <t>0256 &amp; GSF-782-X</t>
  </si>
  <si>
    <t>GSCG-00679</t>
  </si>
  <si>
    <t>GSCG-00680</t>
  </si>
  <si>
    <t>GSCG-00681</t>
  </si>
  <si>
    <t>GSCG-00682</t>
  </si>
  <si>
    <t>GSCG-00683</t>
  </si>
  <si>
    <t>GSCG-00684</t>
  </si>
  <si>
    <t>GSCG-00685</t>
  </si>
  <si>
    <t>GSCG-00686</t>
  </si>
  <si>
    <t>GSCG-00687</t>
  </si>
  <si>
    <t>GSCG-00688</t>
  </si>
  <si>
    <t>GSCG-00689</t>
  </si>
  <si>
    <t>GSCG-00690</t>
  </si>
  <si>
    <t>GSCG-00692</t>
  </si>
  <si>
    <t xml:space="preserve">OSE File No. 0256 and GSF-3, McMillen Ditch </t>
  </si>
  <si>
    <t>0256 &amp; GSF-3</t>
  </si>
  <si>
    <t>GSCG-00693</t>
  </si>
  <si>
    <t>337</t>
  </si>
  <si>
    <t>GSCG-00694</t>
  </si>
  <si>
    <t>GSCG-00695</t>
  </si>
  <si>
    <t>GSCG-00696</t>
  </si>
  <si>
    <t>GSCG-00697</t>
  </si>
  <si>
    <t xml:space="preserve">OSE File No. GSF-3 </t>
  </si>
  <si>
    <t>GSF-3</t>
  </si>
  <si>
    <t>GSCG-00698</t>
  </si>
  <si>
    <t>GSCG-00699</t>
  </si>
  <si>
    <t>GSCG-00700</t>
  </si>
  <si>
    <t>GSCG-00701</t>
  </si>
  <si>
    <t>GSCG-00702</t>
  </si>
  <si>
    <t>GSCG-00703</t>
  </si>
  <si>
    <t>GSCG-00704</t>
  </si>
  <si>
    <t>GSCG-00705</t>
  </si>
  <si>
    <t>GSCG-00706</t>
  </si>
  <si>
    <t xml:space="preserve">8 </t>
  </si>
  <si>
    <t>120</t>
  </si>
  <si>
    <t>GSCG-00707</t>
  </si>
  <si>
    <t>GSCG-00708</t>
  </si>
  <si>
    <t>GSCG-00709</t>
  </si>
  <si>
    <t>GSCG-00710</t>
  </si>
  <si>
    <t>GSCG-00711</t>
  </si>
  <si>
    <t>GSCG-00712</t>
  </si>
  <si>
    <t>GSF-239</t>
  </si>
  <si>
    <t>GSCG-00713</t>
  </si>
  <si>
    <t>GSCG-00714</t>
  </si>
  <si>
    <t>163</t>
  </si>
  <si>
    <t>GSCG-00715</t>
  </si>
  <si>
    <t>GSCG-00716</t>
  </si>
  <si>
    <t>92</t>
  </si>
  <si>
    <t>GSCG-00717</t>
  </si>
  <si>
    <t>GSCG-00718</t>
  </si>
  <si>
    <t>345-D</t>
  </si>
  <si>
    <t>GSCG-00719</t>
  </si>
  <si>
    <t>GSCG-00720</t>
  </si>
  <si>
    <t>GSCG-00721</t>
  </si>
  <si>
    <t>GSCG-00722</t>
  </si>
  <si>
    <t>GSCG-00723</t>
  </si>
  <si>
    <t>GSCG-00724</t>
  </si>
  <si>
    <t>GSCG-00725</t>
  </si>
  <si>
    <t>GSCG-00726</t>
  </si>
  <si>
    <t>GSCG-00727</t>
  </si>
  <si>
    <t>GSCG-00728</t>
  </si>
  <si>
    <t>OSE File No. 0262, Carlson Ditch</t>
  </si>
  <si>
    <t>0262</t>
  </si>
  <si>
    <t>228 &amp; 101</t>
  </si>
  <si>
    <t>GSCG-00729</t>
  </si>
  <si>
    <t>GSCG-00730</t>
  </si>
  <si>
    <t>GSCG-00731</t>
  </si>
  <si>
    <t>GSCG-00732</t>
  </si>
  <si>
    <t>GSCG-00733</t>
  </si>
  <si>
    <t>GSCG-00735</t>
  </si>
  <si>
    <t>GSCG-00736</t>
  </si>
  <si>
    <t xml:space="preserve">Watered from domestic well GSF-2711 </t>
  </si>
  <si>
    <t>GSF-1264</t>
  </si>
  <si>
    <t>01/1950</t>
  </si>
  <si>
    <t>230</t>
  </si>
  <si>
    <t>GSCG-00737</t>
  </si>
  <si>
    <t>GSCG-00738</t>
  </si>
  <si>
    <t xml:space="preserve">7 </t>
  </si>
  <si>
    <t>GSCG-00739</t>
  </si>
  <si>
    <t>GSCG-00740</t>
  </si>
  <si>
    <t>GSCG-00741</t>
  </si>
  <si>
    <t>33% Full</t>
  </si>
  <si>
    <t>GSCG-00742</t>
  </si>
  <si>
    <t>GSF-2711</t>
  </si>
  <si>
    <t>GSCG-00743</t>
  </si>
  <si>
    <t>OSE File No. 0263 and 0264, Clark or Sycamore Ditch</t>
  </si>
  <si>
    <t>0263 and 0264</t>
  </si>
  <si>
    <t>231</t>
  </si>
  <si>
    <t>GSCG-00744</t>
  </si>
  <si>
    <t>GSCG-00745</t>
  </si>
  <si>
    <t>01549, Moss-Crawford de Foresta Ditch</t>
  </si>
  <si>
    <t>01546</t>
  </si>
  <si>
    <t>GSCG-00746</t>
  </si>
  <si>
    <t>GSCG-00747</t>
  </si>
  <si>
    <t>GSCG-00748</t>
  </si>
  <si>
    <t>GSCG-00749</t>
  </si>
  <si>
    <t xml:space="preserve">6 </t>
  </si>
  <si>
    <t>GSCG-00750</t>
  </si>
  <si>
    <t>Watered from Domestic well GSF-454</t>
  </si>
  <si>
    <t>GSF-454</t>
  </si>
  <si>
    <t>GSCG-00751</t>
  </si>
  <si>
    <t>GSCG-00753</t>
  </si>
  <si>
    <t>1.9</t>
  </si>
  <si>
    <t>GSCG-00754</t>
  </si>
  <si>
    <t>2.5</t>
  </si>
  <si>
    <t>GSCG-00755</t>
  </si>
  <si>
    <t>10.4</t>
  </si>
  <si>
    <t>GSCG-00756</t>
  </si>
  <si>
    <t>01549, Moss-Crawford de Foreata Ditch</t>
  </si>
  <si>
    <t>01549</t>
  </si>
  <si>
    <t>GSCG-00757</t>
  </si>
  <si>
    <t>GSCG-00758</t>
  </si>
  <si>
    <t>GSCG-00761</t>
  </si>
  <si>
    <t>GSCG-00762</t>
  </si>
  <si>
    <t>GSCG-00763</t>
  </si>
  <si>
    <t>20.2</t>
  </si>
  <si>
    <t>GSCG-00764</t>
  </si>
  <si>
    <t>GSCG-00766</t>
  </si>
  <si>
    <t>GSCG-00767</t>
  </si>
  <si>
    <t>OSE File No. 0263 and 0264, Reservoir Removed by Gila river</t>
  </si>
  <si>
    <t>GSCG-00768</t>
  </si>
  <si>
    <t>GSCG-00769</t>
  </si>
  <si>
    <t>GSCG-00770</t>
  </si>
  <si>
    <t>OSE File No. 0263 &amp; 0264, Clark or Sycamore Ditch</t>
  </si>
  <si>
    <t>0263 &amp; 0264</t>
  </si>
  <si>
    <t>GSCG-00771</t>
  </si>
  <si>
    <t>GSCG-00772</t>
  </si>
  <si>
    <t>GSCG-00774</t>
  </si>
  <si>
    <t>GSCG-00775</t>
  </si>
  <si>
    <t>OSE File No. 01549, Moss-Crawford de Foesta Ditch</t>
  </si>
  <si>
    <t>GSCG-00776</t>
  </si>
  <si>
    <t>GSCG-00777</t>
  </si>
  <si>
    <t>GSCG-00778</t>
  </si>
  <si>
    <t xml:space="preserve">5 </t>
  </si>
  <si>
    <t>GSCG-00780</t>
  </si>
  <si>
    <t>GSCG-00781</t>
  </si>
  <si>
    <t>GSCG-00782</t>
  </si>
  <si>
    <t>GSCG-00783</t>
  </si>
  <si>
    <t>GSCG-00784</t>
  </si>
  <si>
    <t>36.4</t>
  </si>
  <si>
    <t>GSCG-00785</t>
  </si>
  <si>
    <t>GSCG-00786</t>
  </si>
  <si>
    <t>23.9</t>
  </si>
  <si>
    <t>GSCG-00787</t>
  </si>
  <si>
    <t>GSCG-00788</t>
  </si>
  <si>
    <t>GSCG-00789</t>
  </si>
  <si>
    <t>OSE File No. 572 and 01549, Moss-Crawford de Foesta Ditch</t>
  </si>
  <si>
    <t>06/10/1911</t>
  </si>
  <si>
    <t>GSCG-00790</t>
  </si>
  <si>
    <t>572 &amp; 01549</t>
  </si>
  <si>
    <t>229</t>
  </si>
  <si>
    <t>GSCG-00791</t>
  </si>
  <si>
    <t>GSCG-00792</t>
  </si>
  <si>
    <t>GSCG-00796</t>
  </si>
  <si>
    <t>GSCG-00798</t>
  </si>
  <si>
    <t>572 &amp; 01549, Moss-Crawford de Foresta ditch</t>
  </si>
  <si>
    <t>GSCG-00799</t>
  </si>
  <si>
    <t>GSCG-00802</t>
  </si>
  <si>
    <t>GSCG-00803</t>
  </si>
  <si>
    <t>GSCG-00804</t>
  </si>
  <si>
    <t>GSCG-00805</t>
  </si>
  <si>
    <t>GSF-1280</t>
  </si>
  <si>
    <t xml:space="preserve">4 </t>
  </si>
  <si>
    <t>1946</t>
  </si>
  <si>
    <t>GSCG-00807</t>
  </si>
  <si>
    <t>Transferred Out SD-02260 - 890, McMillen Ditch No. 2</t>
  </si>
  <si>
    <t xml:space="preserve">26 </t>
  </si>
  <si>
    <t>890</t>
  </si>
  <si>
    <t>05/14/1914</t>
  </si>
  <si>
    <t>234</t>
  </si>
  <si>
    <t>GSCG-00808</t>
  </si>
  <si>
    <t xml:space="preserve">0461, Mangas Creek Ditch and GSF-1280 </t>
  </si>
  <si>
    <t>GSCG-00809</t>
  </si>
  <si>
    <t>GSCG-00810</t>
  </si>
  <si>
    <t>GSCG-00816</t>
  </si>
  <si>
    <t>Permit GSF-1280-1, -2 into GSF-3263-1</t>
  </si>
  <si>
    <t>GSCG-00817</t>
  </si>
  <si>
    <t>GSCG-00822</t>
  </si>
  <si>
    <t>GSCG-00827</t>
  </si>
  <si>
    <t>GSCG-00829</t>
  </si>
  <si>
    <t>GSCG-00830</t>
  </si>
  <si>
    <t xml:space="preserve">01885, Metcalfe Ditch </t>
  </si>
  <si>
    <t>01885</t>
  </si>
  <si>
    <t>162</t>
  </si>
  <si>
    <t>GSCG-00831</t>
  </si>
  <si>
    <t>GSCG-00832</t>
  </si>
  <si>
    <t>GSCG-00834</t>
  </si>
  <si>
    <t xml:space="preserve">3 </t>
  </si>
  <si>
    <t>2.9</t>
  </si>
  <si>
    <t>GSCG-00835</t>
  </si>
  <si>
    <t>Misc. trees and lawn non-comercial consider reclassing as DSL</t>
  </si>
  <si>
    <t>GSF-254</t>
  </si>
  <si>
    <t>GSCG-00836</t>
  </si>
  <si>
    <t>SSL</t>
  </si>
  <si>
    <t>Swamped/Seeped Land</t>
  </si>
  <si>
    <t>OSE File No. GSF 18 and 19</t>
  </si>
  <si>
    <t>GSF-18 &amp; GSF-19</t>
  </si>
  <si>
    <t>235</t>
  </si>
  <si>
    <t>GSCG-00837</t>
  </si>
  <si>
    <t>OSE File No. 0634-A and 01547, Lyons ditch</t>
  </si>
  <si>
    <t>0634-A &amp; 01547</t>
  </si>
  <si>
    <t>GSCG-00838</t>
  </si>
  <si>
    <t>GSCG-00839</t>
  </si>
  <si>
    <t>GSCG-00840</t>
  </si>
  <si>
    <t>OSE File No. 0634-A &amp; 01547, Lyons Ditch</t>
  </si>
  <si>
    <t>GSCG-00842</t>
  </si>
  <si>
    <t>GSCG-00843</t>
  </si>
  <si>
    <t>GSCG-00844</t>
  </si>
  <si>
    <t>GSCG-00845</t>
  </si>
  <si>
    <t>GSCG-00846</t>
  </si>
  <si>
    <t>GSCG-00847</t>
  </si>
  <si>
    <t>GSCG-00848</t>
  </si>
  <si>
    <t>GSCG-00849</t>
  </si>
  <si>
    <t>GSCG-00850</t>
  </si>
  <si>
    <t>GSCG-00853</t>
  </si>
  <si>
    <t>GSCG-00854</t>
  </si>
  <si>
    <t>GSCG-00855</t>
  </si>
  <si>
    <t>Lyons ditch</t>
  </si>
  <si>
    <t>GSCG-00856</t>
  </si>
  <si>
    <t>GSCG-00857</t>
  </si>
  <si>
    <t>GSCG-00858</t>
  </si>
  <si>
    <t>GSCG-00859</t>
  </si>
  <si>
    <t>GSCG-00861</t>
  </si>
  <si>
    <t>GSCG-00862</t>
  </si>
  <si>
    <t>GSCG-00863</t>
  </si>
  <si>
    <t>GSCG-00864</t>
  </si>
  <si>
    <t>GSCG-00869</t>
  </si>
  <si>
    <t xml:space="preserve">2 </t>
  </si>
  <si>
    <t>GSCG-00870</t>
  </si>
  <si>
    <t>GSCG-00871</t>
  </si>
  <si>
    <t>OSE File No. 01548 and GSF 629, Harper ditch</t>
  </si>
  <si>
    <t>01548 &amp; GSF-629</t>
  </si>
  <si>
    <t>GSCG-00872</t>
  </si>
  <si>
    <t>GSCG-00873</t>
  </si>
  <si>
    <t>GSCG-00874</t>
  </si>
  <si>
    <t>GSCG-00875</t>
  </si>
  <si>
    <t>GSCG-00876</t>
  </si>
  <si>
    <t>GSCG-00877</t>
  </si>
  <si>
    <t>GSCG-00878</t>
  </si>
  <si>
    <t>GSCG-00879</t>
  </si>
  <si>
    <t>GSCG-00880</t>
  </si>
  <si>
    <t xml:space="preserve">1 </t>
  </si>
  <si>
    <t>GSCG-00881</t>
  </si>
  <si>
    <t>GSCG-00884</t>
  </si>
  <si>
    <t>GSCG-00885</t>
  </si>
  <si>
    <t>GSCG-00886</t>
  </si>
  <si>
    <t>GSCG-00887</t>
  </si>
  <si>
    <t>GSCG-00889</t>
  </si>
  <si>
    <t>GSCG-00890</t>
  </si>
  <si>
    <t>GSCG-00891</t>
  </si>
  <si>
    <t>GSCG-00892</t>
  </si>
  <si>
    <t>GSCG-00893</t>
  </si>
  <si>
    <t>GSCG-00894</t>
  </si>
  <si>
    <t>No Right, Locked Gate</t>
  </si>
  <si>
    <t>GSCG-00895</t>
  </si>
  <si>
    <t>GSCG-00896</t>
  </si>
  <si>
    <t>GSCG-00897</t>
  </si>
  <si>
    <t>GSCG-00898</t>
  </si>
  <si>
    <t>GSCG-00899</t>
  </si>
  <si>
    <t>GSCG-00900</t>
  </si>
  <si>
    <t>GSCG-00901</t>
  </si>
  <si>
    <t>GSCG-00902</t>
  </si>
  <si>
    <t>OSE File No. GSF-331, WR moved by permit GSF-331 into 0231</t>
  </si>
  <si>
    <t>GSF-331</t>
  </si>
  <si>
    <t>1913</t>
  </si>
  <si>
    <t>18 &amp; 158</t>
  </si>
  <si>
    <t>GSCG-00903</t>
  </si>
  <si>
    <t>GSCG-00904</t>
  </si>
  <si>
    <t>GSCG-00905</t>
  </si>
  <si>
    <t>GSCG-00906</t>
  </si>
  <si>
    <t>GSCG-00907</t>
  </si>
  <si>
    <t>GSCG-00908</t>
  </si>
  <si>
    <t>GSCG-00909</t>
  </si>
  <si>
    <t>GSCG-00910</t>
  </si>
  <si>
    <t>GSCG-00911</t>
  </si>
  <si>
    <t>GSCG-00912</t>
  </si>
  <si>
    <t xml:space="preserve">01548, Harper ditch and GSF-629 </t>
  </si>
  <si>
    <t>GSCG-00913</t>
  </si>
  <si>
    <t>Stock tank</t>
  </si>
  <si>
    <t>LWD-G-065</t>
  </si>
  <si>
    <t>GSCG-00914</t>
  </si>
  <si>
    <t>GSCG-00915</t>
  </si>
  <si>
    <t>GSCG-00916</t>
  </si>
  <si>
    <t>GSCG-00917</t>
  </si>
  <si>
    <t>GSCG-00918</t>
  </si>
  <si>
    <t>GSCG-00919</t>
  </si>
  <si>
    <t>GSCG-00920</t>
  </si>
  <si>
    <t>GSCG-00921</t>
  </si>
  <si>
    <t>GSCG-00922</t>
  </si>
  <si>
    <t>GSCG-00923</t>
  </si>
  <si>
    <t>GSCG-00924</t>
  </si>
  <si>
    <t>GSCG-00926</t>
  </si>
  <si>
    <t>OSE File No. GSF-5 and GSF-636 and GSF-638</t>
  </si>
  <si>
    <t>GSF-5 &amp; GSF-636 &amp; GSF-</t>
  </si>
  <si>
    <t>GSCG-00928</t>
  </si>
  <si>
    <t>GSCG-00929</t>
  </si>
  <si>
    <t>OSE File No. 0231, Upper Gila Ditch and GSF-5 and GSF-639</t>
  </si>
  <si>
    <t>GSCG-00930</t>
  </si>
  <si>
    <t>GSCG-00931</t>
  </si>
  <si>
    <t>GSCG-00932</t>
  </si>
  <si>
    <t>GSCG-00934</t>
  </si>
  <si>
    <t>GSCG-00935</t>
  </si>
  <si>
    <t>GSCG-00936</t>
  </si>
  <si>
    <t>GSCG-00937</t>
  </si>
  <si>
    <t>GSCG-00938</t>
  </si>
  <si>
    <t>GSCG-00940</t>
  </si>
  <si>
    <t>GSCG-00941</t>
  </si>
  <si>
    <t>OSE File No. 0231, Upper Gila Ditch and GSF-5 and GSF-636</t>
  </si>
  <si>
    <t>0231 &amp; GSF-5 &amp; GSF-636</t>
  </si>
  <si>
    <t>GSCG-00942</t>
  </si>
  <si>
    <t>GSCG-00944</t>
  </si>
  <si>
    <t>GSCG-00946</t>
  </si>
  <si>
    <t>GSCG-00947</t>
  </si>
  <si>
    <t>GSCG-00948</t>
  </si>
  <si>
    <t>GSCG-00949</t>
  </si>
  <si>
    <t>GSCG-00950</t>
  </si>
  <si>
    <t>GSCG-00951</t>
  </si>
  <si>
    <t>GSCG-00952</t>
  </si>
  <si>
    <t>GSCG-00953</t>
  </si>
  <si>
    <t>GSCG-00954</t>
  </si>
  <si>
    <t>OSE File No. GSF-47, Dry Tank rights transfered</t>
  </si>
  <si>
    <t>GSCG-00955</t>
  </si>
  <si>
    <t>Permitted fish pond</t>
  </si>
  <si>
    <t>GSCG-00956</t>
  </si>
  <si>
    <t>GSCG-00957</t>
  </si>
  <si>
    <t>GSCG-00958</t>
  </si>
  <si>
    <t>OSE File No. 0231, Upper Gila Ditch and GSF-5 and GSF-44 and GSF-45, Reservoir; "Full"</t>
  </si>
  <si>
    <t>GSCG-00959</t>
  </si>
  <si>
    <t>Reservoir; 0247 and GSF-16,  1/2 Full</t>
  </si>
  <si>
    <t>GSCG-00960</t>
  </si>
  <si>
    <t>Reservoir, Bill Evans, 02260, 90% Full</t>
  </si>
  <si>
    <t>02260</t>
  </si>
  <si>
    <t>GSCG-00961</t>
  </si>
  <si>
    <t>GSCG-00013</t>
  </si>
  <si>
    <t>OSE File No. 0228, Watson-Howard Ditch "Walked in" 6/23/2023"</t>
  </si>
  <si>
    <t>0260, Riverside Ditch &amp; SP-</t>
  </si>
  <si>
    <t>0260 or GSF-1594, Riverside Ditch</t>
  </si>
  <si>
    <t>OSE File No. 0260 &amp; SP-, Riverside Ditch</t>
  </si>
  <si>
    <t>endangered species; protected; locked gate, Hooker No. 2 Ditch "Locked Gate 6/12/.2020"</t>
  </si>
  <si>
    <t>30-A</t>
  </si>
  <si>
    <t>01/01/1907</t>
  </si>
  <si>
    <t>OSE File No. 0250, Gila Farm Ditch; 1/2 full</t>
  </si>
  <si>
    <t>GSF-71-E into GSF-2452, Permitted</t>
  </si>
  <si>
    <t>01825 Spring  "90%  Full</t>
  </si>
  <si>
    <t>01825</t>
  </si>
  <si>
    <t xml:space="preserve">GSF-1146 </t>
  </si>
  <si>
    <t>GSF-1146</t>
  </si>
  <si>
    <t>25-A</t>
  </si>
  <si>
    <t>01885, Metcalfe Ditch</t>
  </si>
  <si>
    <t>GSF-971</t>
  </si>
  <si>
    <t>26-A</t>
  </si>
  <si>
    <t>1909</t>
  </si>
  <si>
    <t>331</t>
  </si>
  <si>
    <t>OSE File No. GSF-18 and GSF-19</t>
  </si>
  <si>
    <t xml:space="preserve">OSE File No. 0266, Old Bell Ditch; </t>
  </si>
  <si>
    <t xml:space="preserve">Reservoir silted in </t>
  </si>
  <si>
    <t>OSE File No. GSF-1014-S-2</t>
  </si>
  <si>
    <t>33-A</t>
  </si>
  <si>
    <t>GSF-1014-S-2</t>
  </si>
  <si>
    <t>OSE File No. GSF-1014-S-2 Natural Presicipation</t>
  </si>
  <si>
    <t>OSE File No. 0231, Upper Gila Ditch and GSF-5 and GSF-640</t>
  </si>
  <si>
    <t>OSE File No. 0244, Slayback Ditch and GSF-5 and GSF-640</t>
  </si>
  <si>
    <t>0244 &amp; GSF-5 &amp; GSF-640</t>
  </si>
  <si>
    <t>OSE File No. 0233, Maldonado Ditch and GSF 5; Full</t>
  </si>
  <si>
    <t>OSE File No. GSF-5 and GSF-639</t>
  </si>
  <si>
    <t>14A</t>
  </si>
  <si>
    <t>GSF-4305</t>
  </si>
  <si>
    <t>OSE File No. 0231, Upper Gila Ditch and GSF-5  Nature Conserv. Wet lands</t>
  </si>
  <si>
    <t>OSE File No. 0231, Upper Gila Ditch and GSF-5 Nature Conserv Wet lands</t>
  </si>
  <si>
    <t>OSE File No. 0231, Upper Gila Ditch and GSF-5; lost to river</t>
  </si>
  <si>
    <t>GSCG-0</t>
  </si>
  <si>
    <t>OSE File No. 0247-55, Fort West Ditch, Permited GSF-3629 into 0247-55</t>
  </si>
  <si>
    <t>0247-55</t>
  </si>
  <si>
    <t>GSCG-00207</t>
  </si>
  <si>
    <t>GB</t>
  </si>
  <si>
    <t>Garden Beans</t>
  </si>
  <si>
    <t>LIVERMAN</t>
  </si>
  <si>
    <t>C&amp;L: GSF-70-D</t>
  </si>
  <si>
    <t>Inspected from Locked gate - GSF-3225</t>
  </si>
  <si>
    <t>GSF-3225</t>
  </si>
  <si>
    <t>RANDY RHODES</t>
  </si>
  <si>
    <t>GSF-4107, Permitted GSF-33-T into GSF-4107</t>
  </si>
  <si>
    <t>GSF-4107</t>
  </si>
  <si>
    <t>DONALD V. PRYOR</t>
  </si>
  <si>
    <t>GSF-4549, Permitted GSF-51-4AB into GSF-4549-1</t>
  </si>
  <si>
    <t>GSF-4549-1</t>
  </si>
  <si>
    <t>MARIO MACCABRUNI-ANNA STEFANONI</t>
  </si>
  <si>
    <t>GSF-4473, Permitted GSF-3409 into GSF-4473</t>
  </si>
  <si>
    <t>GSF-4473</t>
  </si>
  <si>
    <t>MICHAEL J. NORRIS</t>
  </si>
  <si>
    <t>GSF-3074, Permitted 02940 &amp; GSF-29-A into GSF-3074 (2)</t>
  </si>
  <si>
    <t>GSF-3074</t>
  </si>
  <si>
    <t>V. LEE &amp; SHARON H. VESLEY</t>
  </si>
  <si>
    <t>11, 12</t>
  </si>
  <si>
    <t>GSF-3831, Permitted GSF-2140-2 into GSF-3831-1</t>
  </si>
  <si>
    <t>GSF-3831</t>
  </si>
  <si>
    <t>MARILYN ALCORN - MICKEY WOLFF</t>
  </si>
  <si>
    <t xml:space="preserve">Locked Gage - Not Inspected GSF-3839, Permitted 0247 et al &amp; GSF-80-H into GSF-3839, Part 1 of 2 for 0.6 acres </t>
  </si>
  <si>
    <t>GSF-3839</t>
  </si>
  <si>
    <t>GEORGE H. MCKINNON</t>
  </si>
  <si>
    <t xml:space="preserve">Locked Gate - Not Inspected  GSF-3839, Permitted 0247 et al &amp; GSF-80-H into GSF-3839, Part 2 of 2 for 0.6 acres </t>
  </si>
  <si>
    <t>GSF-4277, Permitted 0247 et al-J-D into GSF-4277, Part 1 of 3 totaling 0.25 acres</t>
  </si>
  <si>
    <t>GSF-4277</t>
  </si>
  <si>
    <t>BRYAN POTTRATZ &amp; REBECCA GLENN</t>
  </si>
  <si>
    <t>GSF-4277, Permitted 0247 et al-J-D into GSF-4277, Part 2 of 3 totaling 0.25 acres</t>
  </si>
  <si>
    <t>GSF-4277, Permitted 0247 et al-J-D into GSF-4277, Part 3 of 3 totaling 0.25 acres</t>
  </si>
  <si>
    <t>GSF-4397, Permitted GSF-3848 into GSF-4397 Part 1 of 2 Totaling 1.0 acres</t>
  </si>
  <si>
    <t>GSF-4397</t>
  </si>
  <si>
    <t>DONATELLI FAMILY REVOCABLE TRUST</t>
  </si>
  <si>
    <t>GSF-4397, Permitted GSF-3848 into GSF-4397 Part 2 of 2 Totaling 1.0 acres</t>
  </si>
  <si>
    <t>GSF-1531. Permitted 0205 &amp; GSF-20-E into GSF-1531</t>
  </si>
  <si>
    <t>GSF-1531</t>
  </si>
  <si>
    <t>ARLAN LAZERE</t>
  </si>
  <si>
    <t>GSF-4492, Permitted GSF-3425 into GSF-4492</t>
  </si>
  <si>
    <t>GSF-4492</t>
  </si>
  <si>
    <t>BEAU &amp; ANITA JACKSON</t>
  </si>
  <si>
    <t>GSF-1146, Permitted SD-0247-1, 1AA, 7BA, 18H, 24 into GSF-1146 &amp; GSF-187-POD2</t>
  </si>
  <si>
    <t>RYAN &amp; NICOLE JAMESON</t>
  </si>
  <si>
    <t>80, 144, 285, 329</t>
  </si>
  <si>
    <t>Drawn in new</t>
  </si>
  <si>
    <t>Not drawn in before</t>
  </si>
  <si>
    <t>SD-0250-9</t>
  </si>
  <si>
    <t>1/1/1897</t>
  </si>
  <si>
    <t>out</t>
  </si>
  <si>
    <t>OSE File No. 0231, Upper Gila Ditch and GSF-5 and GSF-641; lost to river</t>
  </si>
  <si>
    <t>100%</t>
  </si>
  <si>
    <t xml:space="preserve">OSE File No. GSF-331, WR moved by permit GSF-331 into 0231 </t>
  </si>
  <si>
    <t>Inspected from Locked Gate - GSF-3893-1A INTO GSF-3225-2</t>
  </si>
  <si>
    <t>GSF-3225-2</t>
  </si>
  <si>
    <t>R15E</t>
  </si>
  <si>
    <t>SD-0260-4B INTO GSF-3407-1</t>
  </si>
  <si>
    <t>GSF-3407-1</t>
  </si>
  <si>
    <t>R17E</t>
  </si>
  <si>
    <t>WILLIAMSON</t>
  </si>
  <si>
    <t>GSF-1146-K into GSF-4359</t>
  </si>
  <si>
    <t>GSF-4359</t>
  </si>
  <si>
    <t>JASON &amp; JAMIE GEREN</t>
  </si>
  <si>
    <t>CL: GSF-01146</t>
  </si>
  <si>
    <t>NO sign that this field exists 6/29/22</t>
  </si>
  <si>
    <t>GSF-1745 eral into 0250-16</t>
  </si>
  <si>
    <t>0250-16</t>
  </si>
  <si>
    <t>JOSEPH &amp; SHERRI RUNYAN &amp; EXXON</t>
  </si>
  <si>
    <t>GSF-10 &amp; 0184-A-P into GSF-4113</t>
  </si>
  <si>
    <t>GSF-4113</t>
  </si>
  <si>
    <t>FEATHER RUSSELL</t>
  </si>
  <si>
    <t>2940 &amp; GSF-29-E into GSF-3196 (2)</t>
  </si>
  <si>
    <t>33-B</t>
  </si>
  <si>
    <t>GSF-3196</t>
  </si>
  <si>
    <t>THOMAS T. FRAZIER</t>
  </si>
  <si>
    <t>OSE File No. 0250-10, Gila Farm Ditch</t>
  </si>
  <si>
    <t>LOT2 MV</t>
  </si>
  <si>
    <t>PART 1 of 7 TOTALING 0.125 ac</t>
  </si>
  <si>
    <t>GSF-3517</t>
  </si>
  <si>
    <t>6/9/1961</t>
  </si>
  <si>
    <t>NE1/4SE1/4NW1/4</t>
  </si>
  <si>
    <t>PART 3 of 7 TOTALING 0.125 ac</t>
  </si>
  <si>
    <t>PART 5 of 7 TOTALING 0.125 ac</t>
  </si>
  <si>
    <t>PART 6 of 7 TOTALING 0.125 ac</t>
  </si>
  <si>
    <t>PART 2 of 7 TOTALING 0.125 ac</t>
  </si>
  <si>
    <t>PART 4 of 7 TOTALING 0.125 ac</t>
  </si>
  <si>
    <t>LOT2 SR</t>
  </si>
  <si>
    <t>GSF-3910-1</t>
  </si>
  <si>
    <t>GSF-4132</t>
  </si>
  <si>
    <t>MIGUEL A. &amp; ISELA MARTINEZ</t>
  </si>
  <si>
    <t>GSF-4235-1</t>
  </si>
  <si>
    <t>2/21/1961</t>
  </si>
  <si>
    <t>SW1/4NE1/4SE1/4</t>
  </si>
  <si>
    <t>GSCG-00069</t>
  </si>
  <si>
    <t>Cliff School Field</t>
  </si>
  <si>
    <t>29-A</t>
  </si>
  <si>
    <t>GSF-4550</t>
  </si>
  <si>
    <t>Peter and Sandra Riva</t>
  </si>
  <si>
    <t>GSF4500</t>
  </si>
  <si>
    <t>John and Beverly Young</t>
  </si>
  <si>
    <t>SE1/4SE1/4</t>
  </si>
  <si>
    <t>GSF-4500</t>
  </si>
  <si>
    <t>GSF-4223</t>
  </si>
  <si>
    <t>Phil Waldman</t>
  </si>
  <si>
    <t>25-B</t>
  </si>
  <si>
    <t>GSF-4618-1</t>
  </si>
  <si>
    <t>Rice</t>
  </si>
  <si>
    <t>0.15163809643113  D,S,L,G,T</t>
  </si>
  <si>
    <t>GSF-4482</t>
  </si>
  <si>
    <t>Gilbert and Maria Garcia</t>
  </si>
  <si>
    <t>0.137121363838448  D,S,L,G,T</t>
  </si>
  <si>
    <t>0.101906398494638  D,S,L,G.T</t>
  </si>
  <si>
    <t>0.18762512681888  D,S,L,G,T</t>
  </si>
  <si>
    <t>37</t>
  </si>
  <si>
    <t>GSF-3172</t>
  </si>
  <si>
    <t>Duffy-Osborne Living Trus</t>
  </si>
  <si>
    <t>GSCG-00058</t>
  </si>
  <si>
    <t>OSE File No. GSF-77</t>
  </si>
  <si>
    <t>GSF-77</t>
  </si>
  <si>
    <t>GSCG-00349</t>
  </si>
  <si>
    <t>GSCG-00655</t>
  </si>
  <si>
    <t>OSE File No. 0250, Gila Farm Ditch, Supplemented by GSF-7</t>
  </si>
  <si>
    <t>01825 Spring    Dry</t>
  </si>
  <si>
    <t>100 Full</t>
  </si>
  <si>
    <t>GSCG-00066</t>
  </si>
  <si>
    <t>OSE File No. GSF-61 +trees</t>
  </si>
  <si>
    <t>OSE File No. GSF-61</t>
  </si>
  <si>
    <t xml:space="preserve">Winter Wheat </t>
  </si>
  <si>
    <t>GSCG-00812</t>
  </si>
  <si>
    <t>Inspection_date</t>
  </si>
  <si>
    <t>GSAR 00001</t>
  </si>
  <si>
    <t>GSAR</t>
  </si>
  <si>
    <t>Apache Creek, Aragon</t>
  </si>
  <si>
    <t>AA</t>
  </si>
  <si>
    <t>PART 2 OF 3, permitted Locked gate</t>
  </si>
  <si>
    <t>GSF-2922</t>
  </si>
  <si>
    <t>BROWN, BOGGS</t>
  </si>
  <si>
    <t>7/30/2025</t>
  </si>
  <si>
    <t>GSAR 00002</t>
  </si>
  <si>
    <t>PART 1 OF 3, permitted Locked Gate</t>
  </si>
  <si>
    <t>GSAR 00003</t>
  </si>
  <si>
    <t>PART 3 OF 3, permitted Locked Gate</t>
  </si>
  <si>
    <t>GSAR 00004</t>
  </si>
  <si>
    <t>permitted</t>
  </si>
  <si>
    <t>7/24/2025</t>
  </si>
  <si>
    <t>GSAR 00005</t>
  </si>
  <si>
    <t>GSAR 00006</t>
  </si>
  <si>
    <t>GSAR 00007</t>
  </si>
  <si>
    <t>GSAR 00008</t>
  </si>
  <si>
    <t>WR MOVED FROM RESERVE TO ARAGON AREA</t>
  </si>
  <si>
    <t>7/23/2025</t>
  </si>
  <si>
    <t>GSAR 00009</t>
  </si>
  <si>
    <t>GSAR 00010</t>
  </si>
  <si>
    <t>GSAR 00011</t>
  </si>
  <si>
    <t xml:space="preserve">permitted </t>
  </si>
  <si>
    <t>GSAR 00012</t>
  </si>
  <si>
    <t>7.3</t>
  </si>
  <si>
    <t>539</t>
  </si>
  <si>
    <t>GSAR 00013</t>
  </si>
  <si>
    <t>No Right, Reservoir</t>
  </si>
  <si>
    <t>GSAR 00014</t>
  </si>
  <si>
    <t xml:space="preserve"> rights in ponds?</t>
  </si>
  <si>
    <t>538</t>
  </si>
  <si>
    <t>GSAR 00015</t>
  </si>
  <si>
    <t xml:space="preserve"> rights in ponds? 85% Full</t>
  </si>
  <si>
    <t>GSAR 00016</t>
  </si>
  <si>
    <t>562</t>
  </si>
  <si>
    <t>GSAR 00017</t>
  </si>
  <si>
    <t>No Right (domestic well only)</t>
  </si>
  <si>
    <t>GSAR 00018</t>
  </si>
  <si>
    <t>GSF-27</t>
  </si>
  <si>
    <t>1937</t>
  </si>
  <si>
    <t>GSAR 00019</t>
  </si>
  <si>
    <t>Right move off</t>
  </si>
  <si>
    <t>GSAR 00026</t>
  </si>
  <si>
    <t>SD-7877-11</t>
  </si>
  <si>
    <t>MATA FAMILY</t>
  </si>
  <si>
    <t>1878</t>
  </si>
  <si>
    <t>518</t>
  </si>
  <si>
    <t>GSAR 00028</t>
  </si>
  <si>
    <t>SD-7877-12</t>
  </si>
  <si>
    <t>GSAR 00029</t>
  </si>
  <si>
    <t>Dying Orchard</t>
  </si>
  <si>
    <t>SD-7877-6</t>
  </si>
  <si>
    <t>470</t>
  </si>
  <si>
    <t>GSAR 00030</t>
  </si>
  <si>
    <t>12/31/1878</t>
  </si>
  <si>
    <t>GSAR 00031</t>
  </si>
  <si>
    <t>GSAR 00033</t>
  </si>
  <si>
    <t>GSAR 00034</t>
  </si>
  <si>
    <t>GSAR 00035</t>
  </si>
  <si>
    <t>GSAR 00036</t>
  </si>
  <si>
    <t>GSAR 00038</t>
  </si>
  <si>
    <t>GSAR 00039</t>
  </si>
  <si>
    <t>SD-7877-3</t>
  </si>
  <si>
    <t>GSAR 00040</t>
  </si>
  <si>
    <t>GSAR 00041</t>
  </si>
  <si>
    <t>GSAR 00042</t>
  </si>
  <si>
    <t>GSAR 00043</t>
  </si>
  <si>
    <t>GSAR 00044</t>
  </si>
  <si>
    <t>SD-7877-14</t>
  </si>
  <si>
    <t>541</t>
  </si>
  <si>
    <t>GSAR 00045</t>
  </si>
  <si>
    <t>GSAR 00046</t>
  </si>
  <si>
    <t>SD-7877-15</t>
  </si>
  <si>
    <t>GSAR 00047</t>
  </si>
  <si>
    <t>SD-7877-10</t>
  </si>
  <si>
    <t>511</t>
  </si>
  <si>
    <t>GSAR 00048</t>
  </si>
  <si>
    <t>SD-7877-2</t>
  </si>
  <si>
    <t>462</t>
  </si>
  <si>
    <t>GSAR 00049</t>
  </si>
  <si>
    <t>SD-7878-5</t>
  </si>
  <si>
    <t>GSAR 00051</t>
  </si>
  <si>
    <t>SD-7877-13</t>
  </si>
  <si>
    <t>537</t>
  </si>
  <si>
    <t>GSAR 00052</t>
  </si>
  <si>
    <t>GSAR 00053</t>
  </si>
  <si>
    <t>GSAR 00054</t>
  </si>
  <si>
    <t>GSAR 00055</t>
  </si>
  <si>
    <t>SD-7877-4</t>
  </si>
  <si>
    <t>466</t>
  </si>
  <si>
    <t>GSAR 00056</t>
  </si>
  <si>
    <t>GSAR 00057</t>
  </si>
  <si>
    <t>GSAR 00058</t>
  </si>
  <si>
    <t>GSAR 00059</t>
  </si>
  <si>
    <t>512</t>
  </si>
  <si>
    <t>GSAR 00062</t>
  </si>
  <si>
    <t>SD-7878-3</t>
  </si>
  <si>
    <t>GSAR 00063</t>
  </si>
  <si>
    <t>484</t>
  </si>
  <si>
    <t>GSAR 00064</t>
  </si>
  <si>
    <t>SD-7878-7</t>
  </si>
  <si>
    <t>GSAR 00065</t>
  </si>
  <si>
    <t>SD-7877-7</t>
  </si>
  <si>
    <t>472</t>
  </si>
  <si>
    <t>GSAR 00066</t>
  </si>
  <si>
    <t>SD-7877-5</t>
  </si>
  <si>
    <t>468</t>
  </si>
  <si>
    <t>GSAR 00067</t>
  </si>
  <si>
    <t>SD-7878-2</t>
  </si>
  <si>
    <t>GSAR 00068</t>
  </si>
  <si>
    <t>GSAR 00069</t>
  </si>
  <si>
    <t>GSAR 00070</t>
  </si>
  <si>
    <t>GSAR 00071</t>
  </si>
  <si>
    <t>SD-7878-4</t>
  </si>
  <si>
    <t>GSAR 00072</t>
  </si>
  <si>
    <t>GSAR 00073</t>
  </si>
  <si>
    <t>GSAR 00074</t>
  </si>
  <si>
    <t>Reservior?</t>
  </si>
  <si>
    <t>SD-7877-1</t>
  </si>
  <si>
    <t>461</t>
  </si>
  <si>
    <t>GSAR 00075</t>
  </si>
  <si>
    <t>GSAR 00076</t>
  </si>
  <si>
    <t>GSAR 00077</t>
  </si>
  <si>
    <t>SD-7877-9</t>
  </si>
  <si>
    <t>GABRIEL KLINE</t>
  </si>
  <si>
    <t>507</t>
  </si>
  <si>
    <t>GSAR 00078</t>
  </si>
  <si>
    <t>SD-7877-8</t>
  </si>
  <si>
    <t>493</t>
  </si>
  <si>
    <t>GSAR 00079</t>
  </si>
  <si>
    <t>GSAR 00080</t>
  </si>
  <si>
    <t>GSAR 00081</t>
  </si>
  <si>
    <t>SD-7878-6</t>
  </si>
  <si>
    <t>510</t>
  </si>
  <si>
    <t>GSAR 00082</t>
  </si>
  <si>
    <t>SD-7878-9</t>
  </si>
  <si>
    <t>542</t>
  </si>
  <si>
    <t>GSAR 00083</t>
  </si>
  <si>
    <t>SD-7878-1</t>
  </si>
  <si>
    <t>GSAR 00084</t>
  </si>
  <si>
    <t>GSF-183</t>
  </si>
  <si>
    <t>1944</t>
  </si>
  <si>
    <t>498</t>
  </si>
  <si>
    <t>6/24/2025</t>
  </si>
  <si>
    <t>GSAR 00085</t>
  </si>
  <si>
    <t>GSAR 00086</t>
  </si>
  <si>
    <t>SD-00827-2</t>
  </si>
  <si>
    <t>504</t>
  </si>
  <si>
    <t>GSAR 00087</t>
  </si>
  <si>
    <t>GSAR 00088</t>
  </si>
  <si>
    <t>GSAR 00089</t>
  </si>
  <si>
    <t>GSAR 00090</t>
  </si>
  <si>
    <t>GSAR 00091</t>
  </si>
  <si>
    <t>6.8</t>
  </si>
  <si>
    <t>GSAR 00092</t>
  </si>
  <si>
    <t>SD-00827-1</t>
  </si>
  <si>
    <t>486</t>
  </si>
  <si>
    <t>GSAR 00093</t>
  </si>
  <si>
    <t>GSAR 00095</t>
  </si>
  <si>
    <t xml:space="preserve">Reservoir, 35% Full </t>
  </si>
  <si>
    <t>GSAR 00096</t>
  </si>
  <si>
    <t>GSF-619</t>
  </si>
  <si>
    <t>540</t>
  </si>
  <si>
    <t>GSAR 00097</t>
  </si>
  <si>
    <t>Groundwater</t>
  </si>
  <si>
    <t>GSAR 00098</t>
  </si>
  <si>
    <t>GSAR 00099</t>
  </si>
  <si>
    <t>Groundwater Premitted</t>
  </si>
  <si>
    <t>ALAN &amp; NANCY ROBINSON</t>
  </si>
  <si>
    <t>GSAR 00100</t>
  </si>
  <si>
    <t>18.9</t>
  </si>
  <si>
    <t>531</t>
  </si>
  <si>
    <t>GSAR 00101</t>
  </si>
  <si>
    <t>GSAR 00102</t>
  </si>
  <si>
    <t>4.3</t>
  </si>
  <si>
    <t>GSAR 00103</t>
  </si>
  <si>
    <t>GSAR 00104</t>
  </si>
  <si>
    <t xml:space="preserve">Stock tank </t>
  </si>
  <si>
    <t>GSAR 00105</t>
  </si>
  <si>
    <t>Mill pond</t>
  </si>
  <si>
    <t>GSAR 00106</t>
  </si>
  <si>
    <t>0698</t>
  </si>
  <si>
    <t>GSAR 00107</t>
  </si>
  <si>
    <t>GSAR 00108</t>
  </si>
  <si>
    <t>0697</t>
  </si>
  <si>
    <t>528</t>
  </si>
  <si>
    <t>GSAR 00109</t>
  </si>
  <si>
    <t>GSAR 00110</t>
  </si>
  <si>
    <t>GSAR 00111</t>
  </si>
  <si>
    <t>GSAR 00112</t>
  </si>
  <si>
    <t>GSAR 00113</t>
  </si>
  <si>
    <t>532</t>
  </si>
  <si>
    <t>GSAR 00114</t>
  </si>
  <si>
    <t>GSAR 00115</t>
  </si>
  <si>
    <t>GSAR 00116</t>
  </si>
  <si>
    <t>5.1</t>
  </si>
  <si>
    <t>GSAR 00117</t>
  </si>
  <si>
    <t>SEO File No. 0697 and GSF 628</t>
  </si>
  <si>
    <t>0697 &amp; GSF-628</t>
  </si>
  <si>
    <t>GSAR 00118</t>
  </si>
  <si>
    <t>GSAR 00119</t>
  </si>
  <si>
    <t>GSAR 00120</t>
  </si>
  <si>
    <t>GSAR 00121</t>
  </si>
  <si>
    <t>GSAR 00122</t>
  </si>
  <si>
    <t>GSAR 00123</t>
  </si>
  <si>
    <t>GSAR 00124</t>
  </si>
  <si>
    <t>GSAR 00125</t>
  </si>
  <si>
    <t>GSAR 00126</t>
  </si>
  <si>
    <t>01534</t>
  </si>
  <si>
    <t>557</t>
  </si>
  <si>
    <t>GSAR 00127</t>
  </si>
  <si>
    <t>01538</t>
  </si>
  <si>
    <t>560</t>
  </si>
  <si>
    <t>GSAR 00129</t>
  </si>
  <si>
    <t>9.4</t>
  </si>
  <si>
    <t>GSAR 00132</t>
  </si>
  <si>
    <t>GSF-183-F into GSF-2649, GSF-2649-S, GSF-2649-S-2</t>
  </si>
  <si>
    <t>GSF-2649</t>
  </si>
  <si>
    <t>GSAR 00133</t>
  </si>
  <si>
    <t>GSAR 00134</t>
  </si>
  <si>
    <t>GSAR 00135</t>
  </si>
  <si>
    <t>01502-DZ-E into GSF-2244, permitted</t>
  </si>
  <si>
    <t>GSAR 00136</t>
  </si>
  <si>
    <t>GSAR 00137</t>
  </si>
  <si>
    <t>GSAR 00138</t>
  </si>
  <si>
    <t>GSAR 00139</t>
  </si>
  <si>
    <t>GSF-3380-A into GSF-4247PART OF 7, permitted</t>
  </si>
  <si>
    <t>GSAR 00140</t>
  </si>
  <si>
    <t>GSAR 00141</t>
  </si>
  <si>
    <t>GSAR 00142</t>
  </si>
  <si>
    <t>GSAR 00143</t>
  </si>
  <si>
    <t>GSAR 00144</t>
  </si>
  <si>
    <t>GSAR 00145</t>
  </si>
  <si>
    <t>GSAR 00146</t>
  </si>
  <si>
    <t>GSAR 00147</t>
  </si>
  <si>
    <t>GSAR 00148</t>
  </si>
  <si>
    <t>GSAR 00149</t>
  </si>
  <si>
    <t>GSAR 00150</t>
  </si>
  <si>
    <t>move 3.0 acres from the field above, permitted</t>
  </si>
  <si>
    <t>6, 5</t>
  </si>
  <si>
    <t>GSAR 00152</t>
  </si>
  <si>
    <t>permitted "Locked Gate"</t>
  </si>
  <si>
    <t>GSAR 00153</t>
  </si>
  <si>
    <t>GSAR 00155</t>
  </si>
  <si>
    <t>GSAR 00156</t>
  </si>
  <si>
    <t>GSAR 00157</t>
  </si>
  <si>
    <t>GSAR 00158</t>
  </si>
  <si>
    <t>GSAR 00159</t>
  </si>
  <si>
    <t>GSAR 002</t>
  </si>
  <si>
    <t>SD-07878-8</t>
  </si>
  <si>
    <t>MATA FAMILY TRUST</t>
  </si>
  <si>
    <t>GSF-619-2</t>
  </si>
  <si>
    <t xml:space="preserve">permitted stock tank 75% Full </t>
  </si>
  <si>
    <t>LWD-SF-0263</t>
  </si>
  <si>
    <t>1966</t>
  </si>
  <si>
    <t>permitted stock tank 20% Full</t>
  </si>
  <si>
    <t>LWD-SF-0264</t>
  </si>
  <si>
    <t>permitted stock tank  80% Full</t>
  </si>
  <si>
    <t>15, 14</t>
  </si>
  <si>
    <t>LWD-SF-0265</t>
  </si>
  <si>
    <t>permitted stock tank 5% Full</t>
  </si>
  <si>
    <t>LWS-SF-0264</t>
  </si>
  <si>
    <t>01539</t>
  </si>
  <si>
    <t>529</t>
  </si>
  <si>
    <t>1534</t>
  </si>
  <si>
    <t>OSE File No. GSF-3864, Part 3 of 3</t>
  </si>
  <si>
    <t>GSF-3864</t>
  </si>
  <si>
    <t>6S</t>
  </si>
  <si>
    <t>CATRON</t>
  </si>
  <si>
    <t>LOREN R. &amp; DEBRA J. CUSHMAN</t>
  </si>
  <si>
    <t>OSE File No. GSF-3864, Part 1 of 3</t>
  </si>
  <si>
    <t>OSE File No. GSF-3864, Part 2 of 3</t>
  </si>
  <si>
    <t>pond also located in this area</t>
  </si>
  <si>
    <t>GSAR 00020</t>
  </si>
  <si>
    <t>Illegal use of water, NO RIGHT</t>
  </si>
  <si>
    <t>SD-7877</t>
  </si>
  <si>
    <t>VICENTE GIRON</t>
  </si>
  <si>
    <t>GSAR 00050</t>
  </si>
  <si>
    <t xml:space="preserve"> rights in ponds? 90% Full</t>
  </si>
  <si>
    <t>permitted stock tank  15% Full</t>
  </si>
  <si>
    <t>LWD-02431-1</t>
  </si>
  <si>
    <t>Apache-Aragon</t>
  </si>
  <si>
    <t>Cliff-Gila</t>
  </si>
  <si>
    <t>Glenwood</t>
  </si>
  <si>
    <t>Redrock</t>
  </si>
  <si>
    <t>Virden - AZvCA</t>
  </si>
  <si>
    <t>Virden - GE</t>
  </si>
  <si>
    <t>CropCode</t>
  </si>
  <si>
    <t>Count</t>
  </si>
  <si>
    <t>Acres</t>
  </si>
  <si>
    <t>sum</t>
  </si>
  <si>
    <t>IrrigationCode</t>
  </si>
  <si>
    <t>Total</t>
  </si>
  <si>
    <t>AZvCA</t>
  </si>
  <si>
    <t>IrrigatedAcres</t>
  </si>
  <si>
    <t>CIR Program</t>
  </si>
  <si>
    <t>Percent of</t>
  </si>
  <si>
    <t>CC Input File</t>
  </si>
  <si>
    <t>Irrigated Acres</t>
  </si>
  <si>
    <t>alfalfa</t>
  </si>
  <si>
    <t>corn (grain)</t>
  </si>
  <si>
    <t>misc.vegetable</t>
  </si>
  <si>
    <t>orchard</t>
  </si>
  <si>
    <t>pasture (improved)</t>
  </si>
  <si>
    <t>spring small grains</t>
  </si>
  <si>
    <t>sod (cool season)</t>
  </si>
  <si>
    <t>winter small grains-w,s</t>
  </si>
  <si>
    <t>winter small grains-fall</t>
  </si>
  <si>
    <t>corn (silage)</t>
  </si>
  <si>
    <t>potatoes</t>
  </si>
  <si>
    <t>dry beans</t>
  </si>
  <si>
    <t>melons</t>
  </si>
  <si>
    <t>chile</t>
  </si>
  <si>
    <t>grapes (vineyards)</t>
  </si>
  <si>
    <t>sorghum (grain)</t>
  </si>
  <si>
    <t>sorghum (silage)</t>
  </si>
  <si>
    <t>alfalfa (new)</t>
  </si>
  <si>
    <t>pasture (native)</t>
  </si>
  <si>
    <t>hay (other)</t>
  </si>
  <si>
    <t>misc. nursery stock</t>
  </si>
  <si>
    <t>misc. field crops</t>
  </si>
  <si>
    <t>cotton</t>
  </si>
  <si>
    <t>Christmas trees</t>
  </si>
  <si>
    <t>turfgrass (warm season)</t>
  </si>
  <si>
    <t>misc. berries</t>
  </si>
  <si>
    <t>pecan orchards</t>
  </si>
  <si>
    <t>pre-watered July plant</t>
  </si>
  <si>
    <t>pasture (unimproved)</t>
  </si>
  <si>
    <t>short alfalfa</t>
  </si>
  <si>
    <t>Irrigation Methods</t>
  </si>
  <si>
    <t>flood</t>
  </si>
  <si>
    <t>sprinkle</t>
  </si>
  <si>
    <t>drip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</si>
</sst>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:mm:ss"/>
    <numFmt numFmtId="165" formatCode="0.0"/>
    <numFmt numFmtId="166" formatCode="0.000000000000"/>
    <numFmt numFmtId="167" formatCode="0.0%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23">
    <xf numFmtId="0" fontId="0" fillId="0" borderId="0" xfId="0"/>
    <xf numFmtId="0" fontId="1" fillId="2" borderId="1" xfId="1">
      <alignment horizontal="left"/>
    </xf>
    <xf numFmtId="164" fontId="0" fillId="0" borderId="0" xfId="0" applyNumberForma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0" fillId="0" borderId="4" xfId="0" applyBorder="1" applyAlignment="1">
      <alignment horizontal="right"/>
    </xf>
    <xf numFmtId="0" fontId="0" fillId="0" borderId="4" xfId="0" applyBorder="1"/>
    <xf numFmtId="165" fontId="0" fillId="0" borderId="4" xfId="0" applyNumberFormat="1" applyBorder="1"/>
    <xf numFmtId="0" fontId="0" fillId="3" borderId="0" xfId="0" applyFill="1" applyAlignment="1">
      <alignment horizontal="right"/>
    </xf>
    <xf numFmtId="0" fontId="0" fillId="3" borderId="0" xfId="0" applyFill="1"/>
    <xf numFmtId="1" fontId="0" fillId="0" borderId="4" xfId="0" applyNumberFormat="1" applyBorder="1"/>
    <xf numFmtId="2" fontId="0" fillId="0" borderId="0" xfId="0" applyNumberFormat="1"/>
    <xf numFmtId="167" fontId="0" fillId="0" borderId="0" xfId="0" applyNumberFormat="1"/>
    <xf numFmtId="167" fontId="0" fillId="0" borderId="3" xfId="0" applyNumberFormat="1" applyBorder="1"/>
    <xf numFmtId="0" fontId="2" fillId="0" borderId="0" xfId="0" applyFont="1"/>
    <xf numFmtId="164" fontId="2" fillId="0" borderId="0" xfId="0" applyNumberFormat="1" applyFont="1"/>
  </cellXfs>
  <cellStyles count="2">
    <cellStyle name="Normal" xfId="0" builtinId="0"/>
    <cellStyle name="STYLE0" xfId="1" xr:uid="{00000000-0005-0000-0000-000001000000}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mgov-my.sharepoint.com/personal/tao_liu_ose_nm_gov/Documents/Documents/Projects_local/GilaReport/2024%20GSF%20Consumptive%20Use%20Files/Spreadsheet/2024%20Gila%20Crop%20Statistics_FINAL.xlsx" TargetMode="External"/><Relationship Id="rId1" Type="http://schemas.openxmlformats.org/officeDocument/2006/relationships/externalLinkPath" Target="https://nmgov-my.sharepoint.com/personal/tao_liu_ose_nm_gov/Documents/Documents/Projects_local/GilaReport/2024%20GSF%20Consumptive%20Use%20Files/Spreadsheet/2024%20Gila%20Crop%20Statistics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-ditch-irr-crop"/>
      <sheetName val="stats"/>
      <sheetName val="key"/>
    </sheetNames>
    <sheetDataSet>
      <sheetData sheetId="0">
        <row r="2">
          <cell r="I2" t="str">
            <v>VV</v>
          </cell>
          <cell r="N2">
            <v>1</v>
          </cell>
        </row>
        <row r="3">
          <cell r="I3" t="str">
            <v>VV</v>
          </cell>
          <cell r="N3">
            <v>1</v>
          </cell>
        </row>
        <row r="4">
          <cell r="I4" t="str">
            <v>VV</v>
          </cell>
          <cell r="N4">
            <v>1</v>
          </cell>
        </row>
        <row r="5">
          <cell r="I5" t="str">
            <v>VV</v>
          </cell>
          <cell r="N5">
            <v>1</v>
          </cell>
        </row>
        <row r="6">
          <cell r="I6" t="str">
            <v>VV</v>
          </cell>
          <cell r="N6">
            <v>1</v>
          </cell>
        </row>
        <row r="7">
          <cell r="I7" t="str">
            <v>VV</v>
          </cell>
          <cell r="N7">
            <v>1</v>
          </cell>
        </row>
        <row r="8">
          <cell r="I8" t="str">
            <v>VV</v>
          </cell>
          <cell r="N8">
            <v>1</v>
          </cell>
        </row>
        <row r="9">
          <cell r="I9" t="str">
            <v>VV</v>
          </cell>
          <cell r="N9">
            <v>1</v>
          </cell>
        </row>
        <row r="10">
          <cell r="I10" t="str">
            <v>VV</v>
          </cell>
          <cell r="N10">
            <v>1</v>
          </cell>
        </row>
        <row r="11">
          <cell r="I11" t="str">
            <v>VV</v>
          </cell>
          <cell r="N11">
            <v>1</v>
          </cell>
        </row>
        <row r="12">
          <cell r="I12" t="str">
            <v>VV</v>
          </cell>
          <cell r="N12">
            <v>4</v>
          </cell>
        </row>
        <row r="13">
          <cell r="I13" t="str">
            <v>VV</v>
          </cell>
          <cell r="N13">
            <v>2</v>
          </cell>
        </row>
        <row r="14">
          <cell r="I14" t="str">
            <v>VV</v>
          </cell>
          <cell r="N14">
            <v>1</v>
          </cell>
        </row>
        <row r="15">
          <cell r="I15" t="str">
            <v>VV</v>
          </cell>
          <cell r="N15">
            <v>1</v>
          </cell>
        </row>
        <row r="16">
          <cell r="I16" t="str">
            <v>VV</v>
          </cell>
          <cell r="N16">
            <v>4</v>
          </cell>
        </row>
        <row r="17">
          <cell r="I17" t="str">
            <v>VV</v>
          </cell>
          <cell r="N17">
            <v>1</v>
          </cell>
        </row>
        <row r="18">
          <cell r="I18" t="str">
            <v>VV</v>
          </cell>
          <cell r="N18">
            <v>4</v>
          </cell>
        </row>
        <row r="19">
          <cell r="I19" t="str">
            <v>VV</v>
          </cell>
          <cell r="N19">
            <v>4</v>
          </cell>
        </row>
        <row r="20">
          <cell r="I20" t="str">
            <v>VV</v>
          </cell>
          <cell r="N20">
            <v>4</v>
          </cell>
        </row>
        <row r="21">
          <cell r="I21" t="str">
            <v>VV</v>
          </cell>
          <cell r="N21">
            <v>4</v>
          </cell>
        </row>
        <row r="22">
          <cell r="I22" t="str">
            <v>VV</v>
          </cell>
          <cell r="N22">
            <v>4</v>
          </cell>
        </row>
        <row r="23">
          <cell r="I23" t="str">
            <v>VV</v>
          </cell>
          <cell r="N23">
            <v>4</v>
          </cell>
        </row>
        <row r="24">
          <cell r="I24" t="str">
            <v>VV</v>
          </cell>
          <cell r="N24">
            <v>4</v>
          </cell>
        </row>
        <row r="25">
          <cell r="I25" t="str">
            <v>VV</v>
          </cell>
          <cell r="N25">
            <v>3</v>
          </cell>
        </row>
        <row r="26">
          <cell r="I26" t="str">
            <v>VV</v>
          </cell>
          <cell r="N26">
            <v>3</v>
          </cell>
        </row>
        <row r="27">
          <cell r="I27" t="str">
            <v>VV</v>
          </cell>
          <cell r="N27">
            <v>3</v>
          </cell>
        </row>
        <row r="28">
          <cell r="I28" t="str">
            <v>VV</v>
          </cell>
          <cell r="N28">
            <v>1</v>
          </cell>
        </row>
        <row r="29">
          <cell r="I29" t="str">
            <v>VV</v>
          </cell>
          <cell r="N29">
            <v>3</v>
          </cell>
        </row>
        <row r="30">
          <cell r="I30" t="str">
            <v>VV</v>
          </cell>
          <cell r="N30">
            <v>3</v>
          </cell>
        </row>
        <row r="31">
          <cell r="I31" t="str">
            <v>VV</v>
          </cell>
          <cell r="N31">
            <v>3</v>
          </cell>
        </row>
        <row r="32">
          <cell r="I32" t="str">
            <v>VV</v>
          </cell>
          <cell r="N32">
            <v>1</v>
          </cell>
        </row>
        <row r="33">
          <cell r="I33" t="str">
            <v>VV</v>
          </cell>
          <cell r="N33">
            <v>3</v>
          </cell>
        </row>
        <row r="34">
          <cell r="I34" t="str">
            <v>VV</v>
          </cell>
          <cell r="N34">
            <v>3</v>
          </cell>
        </row>
        <row r="35">
          <cell r="I35" t="str">
            <v>VV</v>
          </cell>
          <cell r="N35">
            <v>3</v>
          </cell>
        </row>
        <row r="36">
          <cell r="I36" t="str">
            <v>VV</v>
          </cell>
          <cell r="N36">
            <v>3</v>
          </cell>
        </row>
        <row r="37">
          <cell r="I37" t="str">
            <v>VV</v>
          </cell>
          <cell r="N37">
            <v>1</v>
          </cell>
        </row>
        <row r="38">
          <cell r="I38" t="str">
            <v>VV</v>
          </cell>
          <cell r="N38">
            <v>1</v>
          </cell>
        </row>
        <row r="39">
          <cell r="I39" t="str">
            <v>VV</v>
          </cell>
          <cell r="N39">
            <v>1</v>
          </cell>
        </row>
        <row r="40">
          <cell r="I40" t="str">
            <v>VV</v>
          </cell>
          <cell r="N40">
            <v>4</v>
          </cell>
        </row>
        <row r="41">
          <cell r="I41" t="str">
            <v>VV</v>
          </cell>
          <cell r="N41">
            <v>3</v>
          </cell>
        </row>
        <row r="42">
          <cell r="I42" t="str">
            <v>VV</v>
          </cell>
          <cell r="N42">
            <v>1</v>
          </cell>
        </row>
        <row r="43">
          <cell r="I43" t="str">
            <v>VV</v>
          </cell>
          <cell r="N43">
            <v>1</v>
          </cell>
        </row>
        <row r="44">
          <cell r="I44" t="str">
            <v>VV</v>
          </cell>
          <cell r="N44">
            <v>1</v>
          </cell>
        </row>
        <row r="45">
          <cell r="I45" t="str">
            <v>VV</v>
          </cell>
          <cell r="N45">
            <v>1</v>
          </cell>
        </row>
        <row r="46">
          <cell r="I46" t="str">
            <v>VV</v>
          </cell>
          <cell r="N46">
            <v>1</v>
          </cell>
        </row>
        <row r="47">
          <cell r="I47" t="str">
            <v>VV</v>
          </cell>
          <cell r="N47">
            <v>1</v>
          </cell>
        </row>
        <row r="48">
          <cell r="I48" t="str">
            <v>VV</v>
          </cell>
          <cell r="N48">
            <v>4</v>
          </cell>
        </row>
        <row r="49">
          <cell r="I49" t="str">
            <v>VV</v>
          </cell>
          <cell r="N49">
            <v>1</v>
          </cell>
        </row>
        <row r="50">
          <cell r="I50" t="str">
            <v>VV</v>
          </cell>
          <cell r="N50">
            <v>3</v>
          </cell>
        </row>
        <row r="51">
          <cell r="I51" t="str">
            <v>VV</v>
          </cell>
          <cell r="N51">
            <v>1</v>
          </cell>
        </row>
        <row r="52">
          <cell r="I52" t="str">
            <v>VV</v>
          </cell>
          <cell r="N52">
            <v>4</v>
          </cell>
        </row>
        <row r="53">
          <cell r="I53" t="str">
            <v>VV</v>
          </cell>
          <cell r="N53">
            <v>1</v>
          </cell>
        </row>
        <row r="54">
          <cell r="I54" t="str">
            <v>VV</v>
          </cell>
          <cell r="N54">
            <v>1</v>
          </cell>
        </row>
        <row r="55">
          <cell r="I55" t="str">
            <v>VV</v>
          </cell>
          <cell r="N55">
            <v>1</v>
          </cell>
        </row>
        <row r="56">
          <cell r="I56" t="str">
            <v>VV</v>
          </cell>
          <cell r="N56">
            <v>1</v>
          </cell>
        </row>
        <row r="57">
          <cell r="I57" t="str">
            <v>VV</v>
          </cell>
          <cell r="N57">
            <v>1</v>
          </cell>
        </row>
        <row r="58">
          <cell r="I58" t="str">
            <v>VV</v>
          </cell>
          <cell r="N58">
            <v>4</v>
          </cell>
        </row>
        <row r="59">
          <cell r="I59" t="str">
            <v>VV</v>
          </cell>
          <cell r="N59">
            <v>1</v>
          </cell>
        </row>
        <row r="60">
          <cell r="I60" t="str">
            <v>VV</v>
          </cell>
          <cell r="N60">
            <v>1</v>
          </cell>
        </row>
        <row r="61">
          <cell r="I61" t="str">
            <v>VV</v>
          </cell>
          <cell r="N61">
            <v>1</v>
          </cell>
        </row>
        <row r="62">
          <cell r="I62" t="str">
            <v>VV</v>
          </cell>
          <cell r="N62">
            <v>1</v>
          </cell>
        </row>
        <row r="63">
          <cell r="I63" t="str">
            <v>VV</v>
          </cell>
          <cell r="N63">
            <v>1</v>
          </cell>
        </row>
        <row r="64">
          <cell r="I64" t="str">
            <v>VV</v>
          </cell>
          <cell r="N64">
            <v>1</v>
          </cell>
        </row>
        <row r="65">
          <cell r="I65" t="str">
            <v>VV</v>
          </cell>
          <cell r="N65">
            <v>1</v>
          </cell>
        </row>
        <row r="66">
          <cell r="I66" t="str">
            <v>VV</v>
          </cell>
          <cell r="N66">
            <v>1</v>
          </cell>
        </row>
        <row r="67">
          <cell r="I67" t="str">
            <v>VV</v>
          </cell>
          <cell r="N67">
            <v>1</v>
          </cell>
        </row>
        <row r="68">
          <cell r="I68" t="str">
            <v>VV</v>
          </cell>
          <cell r="N68">
            <v>1</v>
          </cell>
        </row>
        <row r="69">
          <cell r="I69" t="str">
            <v>VV</v>
          </cell>
          <cell r="N69">
            <v>4</v>
          </cell>
        </row>
        <row r="70">
          <cell r="I70" t="str">
            <v>VV</v>
          </cell>
          <cell r="N70">
            <v>4</v>
          </cell>
        </row>
        <row r="71">
          <cell r="I71" t="str">
            <v>VV</v>
          </cell>
          <cell r="N71">
            <v>1</v>
          </cell>
        </row>
        <row r="72">
          <cell r="I72" t="str">
            <v>VV</v>
          </cell>
          <cell r="N72">
            <v>1</v>
          </cell>
        </row>
        <row r="73">
          <cell r="I73" t="str">
            <v>VV</v>
          </cell>
          <cell r="N73">
            <v>1</v>
          </cell>
        </row>
        <row r="74">
          <cell r="I74" t="str">
            <v>VV</v>
          </cell>
          <cell r="N74">
            <v>1</v>
          </cell>
        </row>
        <row r="75">
          <cell r="I75" t="str">
            <v>VV</v>
          </cell>
          <cell r="N75">
            <v>1</v>
          </cell>
        </row>
        <row r="76">
          <cell r="I76" t="str">
            <v>VV</v>
          </cell>
          <cell r="N76">
            <v>1</v>
          </cell>
        </row>
        <row r="77">
          <cell r="I77" t="str">
            <v>VV</v>
          </cell>
          <cell r="N77">
            <v>1</v>
          </cell>
        </row>
        <row r="78">
          <cell r="I78" t="str">
            <v>VV</v>
          </cell>
          <cell r="N78">
            <v>1</v>
          </cell>
        </row>
        <row r="79">
          <cell r="I79" t="str">
            <v>VV</v>
          </cell>
          <cell r="N79">
            <v>1</v>
          </cell>
        </row>
        <row r="80">
          <cell r="I80" t="str">
            <v>VV</v>
          </cell>
          <cell r="N80">
            <v>1</v>
          </cell>
        </row>
        <row r="81">
          <cell r="I81" t="str">
            <v>VV</v>
          </cell>
          <cell r="N81">
            <v>1</v>
          </cell>
        </row>
        <row r="82">
          <cell r="I82" t="str">
            <v>VV</v>
          </cell>
          <cell r="N82">
            <v>1</v>
          </cell>
        </row>
        <row r="83">
          <cell r="I83" t="str">
            <v>VV</v>
          </cell>
          <cell r="N83">
            <v>1</v>
          </cell>
        </row>
        <row r="84">
          <cell r="I84" t="str">
            <v>VV</v>
          </cell>
          <cell r="N84">
            <v>1</v>
          </cell>
        </row>
        <row r="85">
          <cell r="I85" t="str">
            <v>VV</v>
          </cell>
          <cell r="N85">
            <v>1</v>
          </cell>
        </row>
        <row r="86">
          <cell r="I86" t="str">
            <v>VV</v>
          </cell>
          <cell r="N86">
            <v>1</v>
          </cell>
        </row>
        <row r="87">
          <cell r="I87" t="str">
            <v>VV</v>
          </cell>
          <cell r="N87">
            <v>1</v>
          </cell>
        </row>
        <row r="88">
          <cell r="I88" t="str">
            <v>VV</v>
          </cell>
          <cell r="N88">
            <v>1</v>
          </cell>
        </row>
        <row r="89">
          <cell r="I89" t="str">
            <v>VV</v>
          </cell>
          <cell r="N89">
            <v>1</v>
          </cell>
        </row>
        <row r="90">
          <cell r="I90" t="str">
            <v>VV</v>
          </cell>
          <cell r="N90">
            <v>1</v>
          </cell>
        </row>
        <row r="91">
          <cell r="I91" t="str">
            <v>VV</v>
          </cell>
          <cell r="N91">
            <v>1</v>
          </cell>
        </row>
        <row r="92">
          <cell r="I92" t="str">
            <v>VV</v>
          </cell>
          <cell r="N92">
            <v>1</v>
          </cell>
        </row>
        <row r="93">
          <cell r="I93" t="str">
            <v>VV</v>
          </cell>
          <cell r="N93">
            <v>1</v>
          </cell>
        </row>
        <row r="94">
          <cell r="I94" t="str">
            <v>VV</v>
          </cell>
          <cell r="N94">
            <v>1</v>
          </cell>
        </row>
        <row r="95">
          <cell r="I95" t="str">
            <v>VV</v>
          </cell>
          <cell r="N95">
            <v>1</v>
          </cell>
        </row>
        <row r="96">
          <cell r="I96" t="str">
            <v>VV</v>
          </cell>
          <cell r="N96">
            <v>1</v>
          </cell>
        </row>
        <row r="97">
          <cell r="I97" t="str">
            <v>VV</v>
          </cell>
          <cell r="N97">
            <v>1</v>
          </cell>
        </row>
        <row r="98">
          <cell r="I98" t="str">
            <v>VV</v>
          </cell>
          <cell r="N98">
            <v>1</v>
          </cell>
        </row>
        <row r="99">
          <cell r="I99" t="str">
            <v>VV</v>
          </cell>
          <cell r="N99">
            <v>1</v>
          </cell>
        </row>
        <row r="100">
          <cell r="I100" t="str">
            <v>VV</v>
          </cell>
          <cell r="N100">
            <v>1</v>
          </cell>
        </row>
        <row r="101">
          <cell r="I101" t="str">
            <v>VV</v>
          </cell>
          <cell r="N101">
            <v>1</v>
          </cell>
        </row>
        <row r="102">
          <cell r="I102" t="str">
            <v>VV</v>
          </cell>
          <cell r="N102">
            <v>1</v>
          </cell>
        </row>
        <row r="103">
          <cell r="I103" t="str">
            <v>VV</v>
          </cell>
          <cell r="N103">
            <v>4</v>
          </cell>
        </row>
        <row r="104">
          <cell r="I104" t="str">
            <v>VV</v>
          </cell>
          <cell r="N104">
            <v>2</v>
          </cell>
        </row>
        <row r="105">
          <cell r="I105" t="str">
            <v>VV</v>
          </cell>
          <cell r="N105">
            <v>4</v>
          </cell>
        </row>
        <row r="106">
          <cell r="I106" t="str">
            <v>VV</v>
          </cell>
          <cell r="N106">
            <v>4</v>
          </cell>
        </row>
        <row r="107">
          <cell r="I107" t="str">
            <v>VV</v>
          </cell>
          <cell r="N107">
            <v>1</v>
          </cell>
        </row>
        <row r="108">
          <cell r="I108" t="str">
            <v>VV</v>
          </cell>
          <cell r="N108">
            <v>4</v>
          </cell>
        </row>
        <row r="109">
          <cell r="I109" t="str">
            <v>VV</v>
          </cell>
          <cell r="N109">
            <v>4</v>
          </cell>
        </row>
        <row r="110">
          <cell r="I110" t="str">
            <v>VV</v>
          </cell>
          <cell r="N110">
            <v>1</v>
          </cell>
        </row>
        <row r="111">
          <cell r="I111" t="str">
            <v>VV</v>
          </cell>
          <cell r="N111">
            <v>1</v>
          </cell>
        </row>
        <row r="112">
          <cell r="I112" t="str">
            <v>VV</v>
          </cell>
          <cell r="N112">
            <v>1</v>
          </cell>
        </row>
        <row r="113">
          <cell r="I113" t="str">
            <v>VV</v>
          </cell>
          <cell r="N113">
            <v>1</v>
          </cell>
        </row>
        <row r="114">
          <cell r="I114" t="str">
            <v>VV</v>
          </cell>
          <cell r="N114">
            <v>1</v>
          </cell>
        </row>
        <row r="115">
          <cell r="I115" t="str">
            <v>VV</v>
          </cell>
          <cell r="N115">
            <v>2</v>
          </cell>
        </row>
        <row r="116">
          <cell r="I116" t="str">
            <v>VV</v>
          </cell>
          <cell r="N116">
            <v>1</v>
          </cell>
        </row>
        <row r="117">
          <cell r="I117" t="str">
            <v>VV</v>
          </cell>
          <cell r="N117">
            <v>1</v>
          </cell>
        </row>
        <row r="118">
          <cell r="I118" t="str">
            <v>VV</v>
          </cell>
          <cell r="N118">
            <v>4</v>
          </cell>
        </row>
        <row r="119">
          <cell r="I119" t="str">
            <v>VV</v>
          </cell>
          <cell r="N119">
            <v>1</v>
          </cell>
        </row>
        <row r="120">
          <cell r="I120" t="str">
            <v>VV</v>
          </cell>
          <cell r="N120">
            <v>1</v>
          </cell>
        </row>
        <row r="121">
          <cell r="I121" t="str">
            <v>VV</v>
          </cell>
          <cell r="N121">
            <v>2</v>
          </cell>
        </row>
        <row r="122">
          <cell r="I122" t="str">
            <v>VV</v>
          </cell>
          <cell r="N122">
            <v>2</v>
          </cell>
        </row>
        <row r="123">
          <cell r="I123" t="str">
            <v>VV</v>
          </cell>
          <cell r="N123">
            <v>4</v>
          </cell>
        </row>
        <row r="124">
          <cell r="I124" t="str">
            <v>VV</v>
          </cell>
          <cell r="N124">
            <v>1</v>
          </cell>
        </row>
        <row r="125">
          <cell r="I125" t="str">
            <v>VV</v>
          </cell>
          <cell r="N125">
            <v>1</v>
          </cell>
        </row>
        <row r="126">
          <cell r="I126" t="str">
            <v>VV</v>
          </cell>
          <cell r="N126">
            <v>1</v>
          </cell>
        </row>
        <row r="127">
          <cell r="I127" t="str">
            <v>VV</v>
          </cell>
          <cell r="N127">
            <v>1</v>
          </cell>
        </row>
        <row r="128">
          <cell r="I128" t="str">
            <v>VV</v>
          </cell>
          <cell r="N128">
            <v>1</v>
          </cell>
        </row>
        <row r="129">
          <cell r="I129" t="str">
            <v>VV</v>
          </cell>
          <cell r="N129">
            <v>1</v>
          </cell>
        </row>
        <row r="130">
          <cell r="I130" t="str">
            <v>VV</v>
          </cell>
          <cell r="N130">
            <v>1</v>
          </cell>
        </row>
        <row r="131">
          <cell r="I131" t="str">
            <v>VV</v>
          </cell>
          <cell r="N131">
            <v>1</v>
          </cell>
        </row>
        <row r="132">
          <cell r="I132" t="str">
            <v>VV</v>
          </cell>
          <cell r="N132">
            <v>2</v>
          </cell>
        </row>
        <row r="133">
          <cell r="I133" t="str">
            <v>VV</v>
          </cell>
          <cell r="N133">
            <v>4</v>
          </cell>
        </row>
        <row r="134">
          <cell r="I134" t="str">
            <v>VV</v>
          </cell>
          <cell r="N134">
            <v>1</v>
          </cell>
        </row>
        <row r="135">
          <cell r="I135" t="str">
            <v>VV</v>
          </cell>
          <cell r="N135">
            <v>4</v>
          </cell>
        </row>
        <row r="136">
          <cell r="I136" t="str">
            <v>VV</v>
          </cell>
          <cell r="N136">
            <v>1</v>
          </cell>
        </row>
        <row r="137">
          <cell r="I137" t="str">
            <v>VV</v>
          </cell>
          <cell r="N137">
            <v>1</v>
          </cell>
        </row>
        <row r="138">
          <cell r="I138" t="str">
            <v>VV</v>
          </cell>
          <cell r="N138">
            <v>1</v>
          </cell>
        </row>
        <row r="139">
          <cell r="I139" t="str">
            <v>VV</v>
          </cell>
          <cell r="N139">
            <v>1</v>
          </cell>
        </row>
        <row r="140">
          <cell r="I140" t="str">
            <v>VV</v>
          </cell>
          <cell r="N140">
            <v>1</v>
          </cell>
        </row>
        <row r="141">
          <cell r="I141" t="str">
            <v>VV</v>
          </cell>
          <cell r="N141">
            <v>1</v>
          </cell>
        </row>
        <row r="142">
          <cell r="I142" t="str">
            <v>VV</v>
          </cell>
          <cell r="N142">
            <v>1</v>
          </cell>
        </row>
        <row r="143">
          <cell r="I143" t="str">
            <v>VV</v>
          </cell>
          <cell r="N143">
            <v>1</v>
          </cell>
        </row>
        <row r="144">
          <cell r="I144" t="str">
            <v>VV</v>
          </cell>
          <cell r="N144">
            <v>1</v>
          </cell>
        </row>
        <row r="145">
          <cell r="I145" t="str">
            <v>VV</v>
          </cell>
          <cell r="N145">
            <v>4</v>
          </cell>
        </row>
        <row r="146">
          <cell r="I146" t="str">
            <v>VV</v>
          </cell>
          <cell r="N146">
            <v>1</v>
          </cell>
        </row>
        <row r="147">
          <cell r="I147" t="str">
            <v>VV</v>
          </cell>
          <cell r="N147">
            <v>4</v>
          </cell>
        </row>
        <row r="148">
          <cell r="I148" t="str">
            <v>VV</v>
          </cell>
          <cell r="N148">
            <v>1</v>
          </cell>
        </row>
        <row r="149">
          <cell r="I149" t="str">
            <v>VV</v>
          </cell>
          <cell r="N149">
            <v>1</v>
          </cell>
        </row>
        <row r="150">
          <cell r="I150" t="str">
            <v>VV</v>
          </cell>
          <cell r="N150">
            <v>4</v>
          </cell>
        </row>
        <row r="151">
          <cell r="I151" t="str">
            <v>VV</v>
          </cell>
          <cell r="N151">
            <v>4</v>
          </cell>
        </row>
        <row r="152">
          <cell r="I152" t="str">
            <v>VV</v>
          </cell>
          <cell r="N152">
            <v>4</v>
          </cell>
        </row>
        <row r="153">
          <cell r="I153" t="str">
            <v>VV</v>
          </cell>
          <cell r="N153">
            <v>4</v>
          </cell>
        </row>
        <row r="154">
          <cell r="I154" t="str">
            <v>VV</v>
          </cell>
          <cell r="N154">
            <v>4</v>
          </cell>
        </row>
        <row r="155">
          <cell r="I155" t="str">
            <v>VV</v>
          </cell>
          <cell r="N155">
            <v>1</v>
          </cell>
        </row>
        <row r="156">
          <cell r="I156" t="str">
            <v>VV</v>
          </cell>
          <cell r="N156">
            <v>2</v>
          </cell>
        </row>
        <row r="157">
          <cell r="I157" t="str">
            <v>VV</v>
          </cell>
          <cell r="N157">
            <v>2</v>
          </cell>
        </row>
        <row r="158">
          <cell r="I158" t="str">
            <v>VV</v>
          </cell>
          <cell r="N158">
            <v>4</v>
          </cell>
        </row>
        <row r="159">
          <cell r="I159" t="str">
            <v>VV</v>
          </cell>
          <cell r="N159">
            <v>2</v>
          </cell>
        </row>
        <row r="160">
          <cell r="I160" t="str">
            <v>VV</v>
          </cell>
          <cell r="N160">
            <v>3</v>
          </cell>
        </row>
        <row r="161">
          <cell r="I161" t="str">
            <v>VV</v>
          </cell>
          <cell r="N161">
            <v>4</v>
          </cell>
        </row>
        <row r="162">
          <cell r="I162" t="str">
            <v>VV</v>
          </cell>
          <cell r="N162">
            <v>1</v>
          </cell>
        </row>
        <row r="163">
          <cell r="I163" t="str">
            <v>VV</v>
          </cell>
          <cell r="N163">
            <v>1</v>
          </cell>
        </row>
        <row r="164">
          <cell r="I164" t="str">
            <v>VV</v>
          </cell>
          <cell r="N164">
            <v>1</v>
          </cell>
        </row>
        <row r="165">
          <cell r="I165" t="str">
            <v>VV</v>
          </cell>
          <cell r="N165">
            <v>1</v>
          </cell>
        </row>
        <row r="166">
          <cell r="I166" t="str">
            <v>VV</v>
          </cell>
          <cell r="N166">
            <v>4</v>
          </cell>
        </row>
        <row r="167">
          <cell r="I167" t="str">
            <v>VV</v>
          </cell>
          <cell r="N167">
            <v>4</v>
          </cell>
        </row>
        <row r="168">
          <cell r="I168" t="str">
            <v>VV</v>
          </cell>
          <cell r="N168">
            <v>4</v>
          </cell>
        </row>
        <row r="169">
          <cell r="I169" t="str">
            <v>VV</v>
          </cell>
          <cell r="N169">
            <v>4</v>
          </cell>
        </row>
        <row r="170">
          <cell r="I170" t="str">
            <v>VV</v>
          </cell>
          <cell r="N170">
            <v>4</v>
          </cell>
        </row>
        <row r="171">
          <cell r="I171" t="str">
            <v>VV</v>
          </cell>
          <cell r="N171">
            <v>1</v>
          </cell>
        </row>
        <row r="172">
          <cell r="I172" t="str">
            <v>VV</v>
          </cell>
          <cell r="N172">
            <v>4</v>
          </cell>
        </row>
        <row r="173">
          <cell r="I173" t="str">
            <v>VV</v>
          </cell>
          <cell r="N173">
            <v>4</v>
          </cell>
        </row>
        <row r="174">
          <cell r="I174" t="str">
            <v>VV</v>
          </cell>
          <cell r="N174">
            <v>1</v>
          </cell>
        </row>
        <row r="175">
          <cell r="I175" t="str">
            <v>VV</v>
          </cell>
          <cell r="N175">
            <v>2</v>
          </cell>
        </row>
        <row r="176">
          <cell r="I176" t="str">
            <v>VV</v>
          </cell>
          <cell r="N176">
            <v>4</v>
          </cell>
        </row>
        <row r="177">
          <cell r="I177" t="str">
            <v>VV</v>
          </cell>
          <cell r="N177">
            <v>4</v>
          </cell>
        </row>
        <row r="178">
          <cell r="I178" t="str">
            <v>VV</v>
          </cell>
          <cell r="N178">
            <v>4</v>
          </cell>
        </row>
        <row r="179">
          <cell r="I179" t="str">
            <v>VV</v>
          </cell>
          <cell r="N179">
            <v>1</v>
          </cell>
        </row>
        <row r="180">
          <cell r="I180" t="str">
            <v>VV</v>
          </cell>
          <cell r="N180">
            <v>4</v>
          </cell>
        </row>
        <row r="181">
          <cell r="I181" t="str">
            <v>VV</v>
          </cell>
          <cell r="N181">
            <v>1</v>
          </cell>
        </row>
        <row r="182">
          <cell r="I182" t="str">
            <v>VV</v>
          </cell>
          <cell r="N182">
            <v>1</v>
          </cell>
        </row>
        <row r="183">
          <cell r="I183" t="str">
            <v>VV</v>
          </cell>
          <cell r="N183">
            <v>1</v>
          </cell>
        </row>
        <row r="184">
          <cell r="I184" t="str">
            <v>VV</v>
          </cell>
          <cell r="N184">
            <v>4</v>
          </cell>
        </row>
        <row r="185">
          <cell r="I185" t="str">
            <v>VV</v>
          </cell>
          <cell r="N185">
            <v>4</v>
          </cell>
        </row>
        <row r="186">
          <cell r="I186" t="str">
            <v>VV</v>
          </cell>
          <cell r="N186">
            <v>4</v>
          </cell>
        </row>
        <row r="187">
          <cell r="I187" t="str">
            <v>VV</v>
          </cell>
          <cell r="N187">
            <v>4</v>
          </cell>
        </row>
        <row r="188">
          <cell r="I188" t="str">
            <v>VV</v>
          </cell>
          <cell r="N188">
            <v>1</v>
          </cell>
        </row>
        <row r="189">
          <cell r="I189" t="str">
            <v>VV</v>
          </cell>
          <cell r="N189">
            <v>4</v>
          </cell>
        </row>
        <row r="190">
          <cell r="I190" t="str">
            <v>VV</v>
          </cell>
          <cell r="N190">
            <v>4</v>
          </cell>
        </row>
        <row r="191">
          <cell r="I191" t="str">
            <v>VV</v>
          </cell>
          <cell r="N191">
            <v>3</v>
          </cell>
        </row>
        <row r="192">
          <cell r="I192" t="str">
            <v>VV</v>
          </cell>
          <cell r="N192">
            <v>1</v>
          </cell>
        </row>
        <row r="193">
          <cell r="I193" t="str">
            <v>VV</v>
          </cell>
          <cell r="N193">
            <v>2</v>
          </cell>
        </row>
        <row r="194">
          <cell r="I194" t="str">
            <v>VV</v>
          </cell>
          <cell r="N194">
            <v>4</v>
          </cell>
        </row>
        <row r="195">
          <cell r="I195" t="str">
            <v>VV</v>
          </cell>
          <cell r="N195">
            <v>4</v>
          </cell>
        </row>
        <row r="196">
          <cell r="I196" t="str">
            <v>VV</v>
          </cell>
          <cell r="N196">
            <v>1</v>
          </cell>
        </row>
        <row r="197">
          <cell r="I197" t="str">
            <v>VV</v>
          </cell>
          <cell r="N197">
            <v>1</v>
          </cell>
        </row>
        <row r="198">
          <cell r="I198" t="str">
            <v>VV</v>
          </cell>
          <cell r="N198">
            <v>1</v>
          </cell>
        </row>
        <row r="199">
          <cell r="I199" t="str">
            <v>VV</v>
          </cell>
          <cell r="N199">
            <v>1</v>
          </cell>
        </row>
        <row r="200">
          <cell r="I200" t="str">
            <v>VV</v>
          </cell>
          <cell r="N200">
            <v>1</v>
          </cell>
        </row>
        <row r="201">
          <cell r="I201" t="str">
            <v>VV</v>
          </cell>
          <cell r="N201">
            <v>1</v>
          </cell>
        </row>
        <row r="202">
          <cell r="I202" t="str">
            <v>VV</v>
          </cell>
          <cell r="N202">
            <v>1</v>
          </cell>
        </row>
        <row r="203">
          <cell r="I203" t="str">
            <v>VV</v>
          </cell>
          <cell r="N203">
            <v>4</v>
          </cell>
        </row>
        <row r="204">
          <cell r="I204" t="str">
            <v>VV</v>
          </cell>
          <cell r="N204">
            <v>1</v>
          </cell>
        </row>
        <row r="205">
          <cell r="I205" t="str">
            <v>VV</v>
          </cell>
          <cell r="N205">
            <v>1</v>
          </cell>
        </row>
        <row r="206">
          <cell r="I206" t="str">
            <v>VV</v>
          </cell>
          <cell r="N206">
            <v>1</v>
          </cell>
        </row>
        <row r="207">
          <cell r="I207" t="str">
            <v>VV</v>
          </cell>
          <cell r="N207">
            <v>1</v>
          </cell>
        </row>
        <row r="208">
          <cell r="I208" t="str">
            <v>VV</v>
          </cell>
          <cell r="N208">
            <v>4</v>
          </cell>
        </row>
        <row r="209">
          <cell r="I209" t="str">
            <v>VV</v>
          </cell>
          <cell r="N209">
            <v>1</v>
          </cell>
        </row>
        <row r="210">
          <cell r="I210" t="str">
            <v>VV</v>
          </cell>
          <cell r="N210">
            <v>1</v>
          </cell>
        </row>
        <row r="211">
          <cell r="I211" t="str">
            <v>VV</v>
          </cell>
          <cell r="N211">
            <v>4</v>
          </cell>
        </row>
        <row r="212">
          <cell r="I212" t="str">
            <v>VV</v>
          </cell>
          <cell r="N212">
            <v>2</v>
          </cell>
        </row>
        <row r="213">
          <cell r="I213" t="str">
            <v>VV</v>
          </cell>
          <cell r="N213">
            <v>1</v>
          </cell>
        </row>
        <row r="214">
          <cell r="I214" t="str">
            <v>VV</v>
          </cell>
          <cell r="N214">
            <v>1</v>
          </cell>
        </row>
        <row r="215">
          <cell r="I215" t="str">
            <v>VV</v>
          </cell>
          <cell r="N215">
            <v>1</v>
          </cell>
        </row>
        <row r="216">
          <cell r="I216" t="str">
            <v>VV</v>
          </cell>
          <cell r="N216">
            <v>1</v>
          </cell>
        </row>
        <row r="217">
          <cell r="I217" t="str">
            <v>VV</v>
          </cell>
          <cell r="N217">
            <v>1</v>
          </cell>
        </row>
        <row r="218">
          <cell r="I218" t="str">
            <v>VV</v>
          </cell>
          <cell r="N218">
            <v>1</v>
          </cell>
        </row>
        <row r="219">
          <cell r="I219" t="str">
            <v>VV</v>
          </cell>
          <cell r="N219">
            <v>4</v>
          </cell>
        </row>
        <row r="220">
          <cell r="I220" t="str">
            <v>VV</v>
          </cell>
          <cell r="N220">
            <v>1</v>
          </cell>
        </row>
        <row r="221">
          <cell r="I221" t="str">
            <v>VV</v>
          </cell>
          <cell r="N221">
            <v>4</v>
          </cell>
        </row>
        <row r="222">
          <cell r="I222" t="str">
            <v>VV</v>
          </cell>
          <cell r="N222">
            <v>4</v>
          </cell>
        </row>
        <row r="223">
          <cell r="I223" t="str">
            <v>VV</v>
          </cell>
          <cell r="N223">
            <v>1</v>
          </cell>
        </row>
        <row r="224">
          <cell r="I224" t="str">
            <v>VV</v>
          </cell>
          <cell r="N224">
            <v>1</v>
          </cell>
        </row>
        <row r="225">
          <cell r="I225" t="str">
            <v>VV</v>
          </cell>
          <cell r="N225">
            <v>1</v>
          </cell>
        </row>
        <row r="226">
          <cell r="I226" t="str">
            <v>VV</v>
          </cell>
          <cell r="N226">
            <v>1</v>
          </cell>
        </row>
        <row r="227">
          <cell r="I227" t="str">
            <v>VV</v>
          </cell>
          <cell r="N227">
            <v>4</v>
          </cell>
        </row>
        <row r="228">
          <cell r="I228" t="str">
            <v>VV</v>
          </cell>
          <cell r="N228">
            <v>4</v>
          </cell>
        </row>
        <row r="229">
          <cell r="I229" t="str">
            <v>VV</v>
          </cell>
          <cell r="N229">
            <v>4</v>
          </cell>
        </row>
        <row r="230">
          <cell r="I230" t="str">
            <v>VV</v>
          </cell>
          <cell r="N230">
            <v>1</v>
          </cell>
        </row>
        <row r="231">
          <cell r="I231" t="str">
            <v>VV</v>
          </cell>
          <cell r="N231">
            <v>1</v>
          </cell>
        </row>
        <row r="232">
          <cell r="I232" t="str">
            <v>VV</v>
          </cell>
          <cell r="N232">
            <v>1</v>
          </cell>
        </row>
        <row r="233">
          <cell r="I233" t="str">
            <v>VV</v>
          </cell>
          <cell r="N233">
            <v>4</v>
          </cell>
        </row>
        <row r="234">
          <cell r="I234" t="str">
            <v>VV</v>
          </cell>
          <cell r="N234">
            <v>1</v>
          </cell>
        </row>
        <row r="235">
          <cell r="I235" t="str">
            <v>VV</v>
          </cell>
          <cell r="N235">
            <v>1</v>
          </cell>
        </row>
        <row r="236">
          <cell r="I236" t="str">
            <v>VV</v>
          </cell>
          <cell r="N236">
            <v>1</v>
          </cell>
        </row>
        <row r="237">
          <cell r="I237" t="str">
            <v>VV</v>
          </cell>
          <cell r="N237">
            <v>4</v>
          </cell>
        </row>
        <row r="238">
          <cell r="I238" t="str">
            <v>VV</v>
          </cell>
          <cell r="N238">
            <v>4</v>
          </cell>
        </row>
        <row r="239">
          <cell r="I239" t="str">
            <v>VV</v>
          </cell>
          <cell r="N239">
            <v>4</v>
          </cell>
        </row>
        <row r="240">
          <cell r="I240" t="str">
            <v>VV</v>
          </cell>
          <cell r="N240">
            <v>4</v>
          </cell>
        </row>
        <row r="241">
          <cell r="I241" t="str">
            <v>VV</v>
          </cell>
          <cell r="N241">
            <v>1</v>
          </cell>
        </row>
        <row r="242">
          <cell r="I242" t="str">
            <v>VV</v>
          </cell>
          <cell r="N242">
            <v>1</v>
          </cell>
        </row>
        <row r="243">
          <cell r="I243" t="str">
            <v>VV</v>
          </cell>
          <cell r="N243">
            <v>1</v>
          </cell>
        </row>
        <row r="244">
          <cell r="I244" t="str">
            <v>VV</v>
          </cell>
          <cell r="N244">
            <v>1</v>
          </cell>
        </row>
        <row r="245">
          <cell r="I245" t="str">
            <v>VV</v>
          </cell>
          <cell r="N245">
            <v>4</v>
          </cell>
        </row>
        <row r="246">
          <cell r="I246" t="str">
            <v>VV</v>
          </cell>
          <cell r="N246">
            <v>4</v>
          </cell>
        </row>
        <row r="247">
          <cell r="I247" t="str">
            <v>VV</v>
          </cell>
          <cell r="N247">
            <v>4</v>
          </cell>
        </row>
        <row r="248">
          <cell r="I248" t="str">
            <v>VV</v>
          </cell>
          <cell r="N248">
            <v>4</v>
          </cell>
        </row>
        <row r="249">
          <cell r="I249" t="str">
            <v>VV</v>
          </cell>
          <cell r="N249">
            <v>1</v>
          </cell>
        </row>
        <row r="250">
          <cell r="I250" t="str">
            <v>VV</v>
          </cell>
          <cell r="N250">
            <v>1</v>
          </cell>
        </row>
        <row r="251">
          <cell r="I251" t="str">
            <v>VV</v>
          </cell>
          <cell r="N251">
            <v>1</v>
          </cell>
        </row>
        <row r="252">
          <cell r="I252" t="str">
            <v>VV</v>
          </cell>
          <cell r="N252">
            <v>1</v>
          </cell>
        </row>
        <row r="253">
          <cell r="I253" t="str">
            <v>VV</v>
          </cell>
          <cell r="N253">
            <v>1</v>
          </cell>
        </row>
        <row r="254">
          <cell r="I254" t="str">
            <v>VV</v>
          </cell>
          <cell r="N254">
            <v>1</v>
          </cell>
        </row>
        <row r="255">
          <cell r="I255" t="str">
            <v>VV</v>
          </cell>
          <cell r="N255">
            <v>1</v>
          </cell>
        </row>
        <row r="256">
          <cell r="I256" t="str">
            <v>VV</v>
          </cell>
          <cell r="N256">
            <v>4</v>
          </cell>
        </row>
        <row r="257">
          <cell r="I257" t="str">
            <v>VV</v>
          </cell>
          <cell r="N257">
            <v>1</v>
          </cell>
        </row>
        <row r="258">
          <cell r="I258" t="str">
            <v>VV</v>
          </cell>
          <cell r="N258">
            <v>1</v>
          </cell>
        </row>
        <row r="259">
          <cell r="I259" t="str">
            <v>VV</v>
          </cell>
          <cell r="N259">
            <v>1</v>
          </cell>
        </row>
        <row r="260">
          <cell r="I260" t="str">
            <v>VV</v>
          </cell>
          <cell r="N260">
            <v>1</v>
          </cell>
        </row>
        <row r="261">
          <cell r="I261" t="str">
            <v>VV</v>
          </cell>
          <cell r="N261">
            <v>4</v>
          </cell>
        </row>
        <row r="262">
          <cell r="I262" t="str">
            <v>VV</v>
          </cell>
          <cell r="N262">
            <v>4</v>
          </cell>
        </row>
        <row r="263">
          <cell r="I263" t="str">
            <v>VV</v>
          </cell>
          <cell r="N263">
            <v>4</v>
          </cell>
        </row>
        <row r="264">
          <cell r="I264" t="str">
            <v>VV</v>
          </cell>
          <cell r="N264">
            <v>4</v>
          </cell>
        </row>
        <row r="265">
          <cell r="I265" t="str">
            <v>VV</v>
          </cell>
          <cell r="N265">
            <v>4</v>
          </cell>
        </row>
        <row r="266">
          <cell r="I266" t="str">
            <v>VV</v>
          </cell>
          <cell r="N266">
            <v>4</v>
          </cell>
        </row>
        <row r="267">
          <cell r="I267" t="str">
            <v>VV</v>
          </cell>
          <cell r="N267">
            <v>4</v>
          </cell>
        </row>
        <row r="268">
          <cell r="I268" t="str">
            <v>VV</v>
          </cell>
          <cell r="N268">
            <v>4</v>
          </cell>
        </row>
        <row r="269">
          <cell r="I269" t="str">
            <v>VV</v>
          </cell>
          <cell r="N269">
            <v>4</v>
          </cell>
        </row>
        <row r="270">
          <cell r="I270" t="str">
            <v>VV</v>
          </cell>
          <cell r="N270">
            <v>4</v>
          </cell>
        </row>
        <row r="271">
          <cell r="I271" t="str">
            <v>VV</v>
          </cell>
          <cell r="N271">
            <v>4</v>
          </cell>
        </row>
        <row r="272">
          <cell r="I272" t="str">
            <v>VV</v>
          </cell>
          <cell r="N272">
            <v>4</v>
          </cell>
        </row>
        <row r="273">
          <cell r="I273" t="str">
            <v>VV</v>
          </cell>
          <cell r="N273">
            <v>4</v>
          </cell>
        </row>
        <row r="274">
          <cell r="I274" t="str">
            <v>VV</v>
          </cell>
          <cell r="N274">
            <v>1</v>
          </cell>
        </row>
        <row r="275">
          <cell r="I275" t="str">
            <v>VV</v>
          </cell>
          <cell r="N275">
            <v>4</v>
          </cell>
        </row>
        <row r="276">
          <cell r="I276" t="str">
            <v>VV</v>
          </cell>
          <cell r="N276">
            <v>1</v>
          </cell>
        </row>
        <row r="277">
          <cell r="I277" t="str">
            <v>VV</v>
          </cell>
          <cell r="N277">
            <v>2</v>
          </cell>
        </row>
        <row r="278">
          <cell r="I278" t="str">
            <v>VV</v>
          </cell>
          <cell r="N278">
            <v>2</v>
          </cell>
        </row>
        <row r="279">
          <cell r="I279" t="str">
            <v>VV</v>
          </cell>
          <cell r="N279">
            <v>2</v>
          </cell>
        </row>
        <row r="280">
          <cell r="I280" t="str">
            <v>VV</v>
          </cell>
          <cell r="N280">
            <v>4</v>
          </cell>
        </row>
        <row r="281">
          <cell r="I281" t="str">
            <v>VV</v>
          </cell>
          <cell r="N281">
            <v>1</v>
          </cell>
        </row>
        <row r="282">
          <cell r="I282" t="str">
            <v>VV</v>
          </cell>
          <cell r="N282">
            <v>1</v>
          </cell>
        </row>
        <row r="283">
          <cell r="I283" t="str">
            <v>VV</v>
          </cell>
          <cell r="N283">
            <v>4</v>
          </cell>
        </row>
        <row r="284">
          <cell r="I284" t="str">
            <v>VV</v>
          </cell>
          <cell r="N284">
            <v>4</v>
          </cell>
        </row>
        <row r="285">
          <cell r="I285" t="str">
            <v>VV</v>
          </cell>
          <cell r="N285">
            <v>1</v>
          </cell>
        </row>
        <row r="286">
          <cell r="I286" t="str">
            <v>VV</v>
          </cell>
          <cell r="N286">
            <v>1</v>
          </cell>
        </row>
        <row r="287">
          <cell r="I287" t="str">
            <v>VV</v>
          </cell>
          <cell r="N287">
            <v>4</v>
          </cell>
        </row>
        <row r="288">
          <cell r="I288" t="str">
            <v>VV</v>
          </cell>
          <cell r="N288">
            <v>1</v>
          </cell>
        </row>
        <row r="289">
          <cell r="I289" t="str">
            <v>VV</v>
          </cell>
          <cell r="N289">
            <v>1</v>
          </cell>
        </row>
        <row r="290">
          <cell r="I290" t="str">
            <v>VV</v>
          </cell>
          <cell r="N290">
            <v>1</v>
          </cell>
        </row>
        <row r="291">
          <cell r="I291" t="str">
            <v>VV</v>
          </cell>
          <cell r="N291">
            <v>1</v>
          </cell>
        </row>
        <row r="292">
          <cell r="I292" t="str">
            <v>VV</v>
          </cell>
          <cell r="N292">
            <v>1</v>
          </cell>
        </row>
        <row r="293">
          <cell r="I293" t="str">
            <v>VV</v>
          </cell>
          <cell r="N293">
            <v>1</v>
          </cell>
        </row>
        <row r="294">
          <cell r="I294" t="str">
            <v>VV</v>
          </cell>
          <cell r="N294">
            <v>1</v>
          </cell>
        </row>
        <row r="295">
          <cell r="I295" t="str">
            <v>VV</v>
          </cell>
          <cell r="N295">
            <v>1</v>
          </cell>
        </row>
        <row r="296">
          <cell r="I296" t="str">
            <v>VV</v>
          </cell>
          <cell r="N296">
            <v>4</v>
          </cell>
        </row>
        <row r="297">
          <cell r="I297" t="str">
            <v>VV</v>
          </cell>
          <cell r="N297">
            <v>1</v>
          </cell>
        </row>
        <row r="298">
          <cell r="I298" t="str">
            <v>VV</v>
          </cell>
          <cell r="N298">
            <v>1</v>
          </cell>
        </row>
        <row r="299">
          <cell r="I299" t="str">
            <v>VV</v>
          </cell>
          <cell r="N299">
            <v>1</v>
          </cell>
        </row>
        <row r="300">
          <cell r="I300" t="str">
            <v>VV</v>
          </cell>
          <cell r="N300">
            <v>4</v>
          </cell>
        </row>
        <row r="301">
          <cell r="I301" t="str">
            <v>VV</v>
          </cell>
          <cell r="N301">
            <v>4</v>
          </cell>
        </row>
        <row r="302">
          <cell r="I302" t="str">
            <v>VV</v>
          </cell>
          <cell r="N302">
            <v>1</v>
          </cell>
        </row>
        <row r="303">
          <cell r="I303" t="str">
            <v>VV</v>
          </cell>
          <cell r="N303">
            <v>2</v>
          </cell>
        </row>
        <row r="304">
          <cell r="I304" t="str">
            <v>SS</v>
          </cell>
          <cell r="N304">
            <v>4</v>
          </cell>
        </row>
        <row r="305">
          <cell r="I305" t="str">
            <v>SS</v>
          </cell>
          <cell r="N305">
            <v>4</v>
          </cell>
        </row>
        <row r="306">
          <cell r="I306" t="str">
            <v>SS</v>
          </cell>
          <cell r="N306">
            <v>4</v>
          </cell>
        </row>
        <row r="307">
          <cell r="I307" t="str">
            <v>SS</v>
          </cell>
          <cell r="N307">
            <v>4</v>
          </cell>
        </row>
        <row r="308">
          <cell r="I308" t="str">
            <v>SS</v>
          </cell>
          <cell r="N308">
            <v>4</v>
          </cell>
        </row>
        <row r="309">
          <cell r="I309" t="str">
            <v>SS</v>
          </cell>
          <cell r="N309">
            <v>4</v>
          </cell>
        </row>
        <row r="310">
          <cell r="I310" t="str">
            <v>SS</v>
          </cell>
          <cell r="N310">
            <v>4</v>
          </cell>
        </row>
        <row r="311">
          <cell r="I311" t="str">
            <v>SS</v>
          </cell>
          <cell r="N311">
            <v>4</v>
          </cell>
        </row>
        <row r="312">
          <cell r="I312" t="str">
            <v>SS</v>
          </cell>
          <cell r="N312">
            <v>4</v>
          </cell>
        </row>
        <row r="313">
          <cell r="I313" t="str">
            <v>SS</v>
          </cell>
          <cell r="N313">
            <v>4</v>
          </cell>
        </row>
        <row r="314">
          <cell r="I314" t="str">
            <v>SS</v>
          </cell>
          <cell r="N314">
            <v>4</v>
          </cell>
        </row>
        <row r="315">
          <cell r="I315" t="str">
            <v>SS</v>
          </cell>
          <cell r="N315">
            <v>4</v>
          </cell>
        </row>
        <row r="316">
          <cell r="I316" t="str">
            <v>SS</v>
          </cell>
          <cell r="N316">
            <v>4</v>
          </cell>
        </row>
        <row r="317">
          <cell r="I317" t="str">
            <v>SS</v>
          </cell>
          <cell r="N317">
            <v>4</v>
          </cell>
        </row>
        <row r="318">
          <cell r="I318" t="str">
            <v>SS</v>
          </cell>
          <cell r="N318">
            <v>4</v>
          </cell>
        </row>
        <row r="319">
          <cell r="I319" t="str">
            <v>SS</v>
          </cell>
          <cell r="N319">
            <v>4</v>
          </cell>
        </row>
        <row r="320">
          <cell r="I320" t="str">
            <v>SS</v>
          </cell>
          <cell r="N320">
            <v>4</v>
          </cell>
        </row>
        <row r="321">
          <cell r="I321" t="str">
            <v>SS</v>
          </cell>
          <cell r="N321">
            <v>4</v>
          </cell>
        </row>
        <row r="322">
          <cell r="I322" t="str">
            <v>SS</v>
          </cell>
          <cell r="N322">
            <v>4</v>
          </cell>
        </row>
        <row r="323">
          <cell r="I323" t="str">
            <v>SS</v>
          </cell>
          <cell r="N323">
            <v>4</v>
          </cell>
        </row>
        <row r="324">
          <cell r="I324" t="str">
            <v>SS</v>
          </cell>
          <cell r="N324">
            <v>4</v>
          </cell>
        </row>
        <row r="325">
          <cell r="I325" t="str">
            <v>SS</v>
          </cell>
          <cell r="N325">
            <v>4</v>
          </cell>
        </row>
        <row r="326">
          <cell r="I326" t="str">
            <v>SS</v>
          </cell>
          <cell r="N326">
            <v>4</v>
          </cell>
        </row>
        <row r="327">
          <cell r="I327" t="str">
            <v>SS</v>
          </cell>
          <cell r="N327">
            <v>4</v>
          </cell>
        </row>
        <row r="328">
          <cell r="I328" t="str">
            <v>SS</v>
          </cell>
          <cell r="N328">
            <v>4</v>
          </cell>
        </row>
        <row r="329">
          <cell r="I329" t="str">
            <v>SS</v>
          </cell>
          <cell r="N329">
            <v>4</v>
          </cell>
        </row>
        <row r="330">
          <cell r="I330" t="str">
            <v>SS</v>
          </cell>
          <cell r="N330">
            <v>4</v>
          </cell>
        </row>
        <row r="331">
          <cell r="I331" t="str">
            <v>SS</v>
          </cell>
          <cell r="N331">
            <v>4</v>
          </cell>
        </row>
        <row r="332">
          <cell r="I332" t="str">
            <v>SS</v>
          </cell>
          <cell r="N332">
            <v>4</v>
          </cell>
        </row>
        <row r="333">
          <cell r="I333" t="str">
            <v>SS</v>
          </cell>
          <cell r="N333">
            <v>2</v>
          </cell>
        </row>
        <row r="334">
          <cell r="I334" t="str">
            <v>SS</v>
          </cell>
          <cell r="N334">
            <v>4</v>
          </cell>
        </row>
        <row r="335">
          <cell r="I335" t="str">
            <v>SS</v>
          </cell>
          <cell r="N335">
            <v>4</v>
          </cell>
        </row>
        <row r="336">
          <cell r="I336" t="str">
            <v>SS</v>
          </cell>
          <cell r="N336">
            <v>4</v>
          </cell>
        </row>
        <row r="337">
          <cell r="I337" t="str">
            <v>SS</v>
          </cell>
          <cell r="N337">
            <v>4</v>
          </cell>
        </row>
        <row r="338">
          <cell r="I338" t="str">
            <v>SS</v>
          </cell>
          <cell r="N338">
            <v>4</v>
          </cell>
        </row>
        <row r="339">
          <cell r="I339" t="str">
            <v>SS</v>
          </cell>
          <cell r="N339">
            <v>4</v>
          </cell>
        </row>
        <row r="340">
          <cell r="I340" t="str">
            <v>SS</v>
          </cell>
          <cell r="N340">
            <v>4</v>
          </cell>
        </row>
        <row r="341">
          <cell r="I341" t="str">
            <v>SS</v>
          </cell>
          <cell r="N341">
            <v>4</v>
          </cell>
        </row>
        <row r="342">
          <cell r="I342" t="str">
            <v>SS</v>
          </cell>
          <cell r="N342">
            <v>4</v>
          </cell>
        </row>
        <row r="343">
          <cell r="I343" t="str">
            <v>SS</v>
          </cell>
          <cell r="N343">
            <v>4</v>
          </cell>
        </row>
        <row r="344">
          <cell r="I344" t="str">
            <v>SS</v>
          </cell>
          <cell r="N344">
            <v>4</v>
          </cell>
        </row>
        <row r="345">
          <cell r="I345" t="str">
            <v>SS</v>
          </cell>
          <cell r="N345">
            <v>4</v>
          </cell>
        </row>
        <row r="346">
          <cell r="I346" t="str">
            <v>SS</v>
          </cell>
          <cell r="N346">
            <v>4</v>
          </cell>
        </row>
        <row r="347">
          <cell r="I347" t="str">
            <v>SS</v>
          </cell>
          <cell r="N347">
            <v>4</v>
          </cell>
        </row>
        <row r="348">
          <cell r="I348" t="str">
            <v>SS</v>
          </cell>
          <cell r="N348">
            <v>4</v>
          </cell>
        </row>
        <row r="349">
          <cell r="I349" t="str">
            <v>SS</v>
          </cell>
          <cell r="N349">
            <v>4</v>
          </cell>
        </row>
        <row r="350">
          <cell r="I350" t="str">
            <v>SS</v>
          </cell>
          <cell r="N350">
            <v>4</v>
          </cell>
        </row>
        <row r="351">
          <cell r="I351" t="str">
            <v>SS</v>
          </cell>
          <cell r="N351">
            <v>4</v>
          </cell>
        </row>
        <row r="352">
          <cell r="I352" t="str">
            <v>SS</v>
          </cell>
          <cell r="N352">
            <v>4</v>
          </cell>
        </row>
        <row r="353">
          <cell r="I353" t="str">
            <v>SS</v>
          </cell>
          <cell r="N353">
            <v>4</v>
          </cell>
        </row>
        <row r="354">
          <cell r="I354" t="str">
            <v>SS</v>
          </cell>
          <cell r="N354">
            <v>4</v>
          </cell>
        </row>
        <row r="355">
          <cell r="I355" t="str">
            <v>SS</v>
          </cell>
          <cell r="N355">
            <v>4</v>
          </cell>
        </row>
        <row r="356">
          <cell r="I356" t="str">
            <v>SS</v>
          </cell>
          <cell r="N356">
            <v>4</v>
          </cell>
        </row>
        <row r="357">
          <cell r="I357" t="str">
            <v>SS</v>
          </cell>
          <cell r="N357">
            <v>4</v>
          </cell>
        </row>
        <row r="358">
          <cell r="I358" t="str">
            <v>SS</v>
          </cell>
          <cell r="N358">
            <v>1</v>
          </cell>
        </row>
        <row r="359">
          <cell r="I359" t="str">
            <v>SS</v>
          </cell>
          <cell r="N359">
            <v>4</v>
          </cell>
        </row>
        <row r="360">
          <cell r="I360" t="str">
            <v>SS</v>
          </cell>
          <cell r="N360">
            <v>4</v>
          </cell>
        </row>
        <row r="361">
          <cell r="I361" t="str">
            <v>SS</v>
          </cell>
          <cell r="N361">
            <v>4</v>
          </cell>
        </row>
        <row r="362">
          <cell r="I362" t="str">
            <v>SS</v>
          </cell>
          <cell r="N362">
            <v>4</v>
          </cell>
        </row>
        <row r="363">
          <cell r="I363" t="str">
            <v>SS</v>
          </cell>
          <cell r="N363">
            <v>4</v>
          </cell>
        </row>
        <row r="364">
          <cell r="I364" t="str">
            <v>SS</v>
          </cell>
          <cell r="N364">
            <v>4</v>
          </cell>
        </row>
        <row r="365">
          <cell r="I365" t="str">
            <v>SS</v>
          </cell>
          <cell r="N365">
            <v>2</v>
          </cell>
        </row>
        <row r="366">
          <cell r="I366" t="str">
            <v>SS</v>
          </cell>
          <cell r="N366">
            <v>4</v>
          </cell>
        </row>
        <row r="367">
          <cell r="I367" t="str">
            <v>SS</v>
          </cell>
          <cell r="N367">
            <v>4</v>
          </cell>
        </row>
        <row r="368">
          <cell r="I368" t="str">
            <v>SS</v>
          </cell>
          <cell r="N368">
            <v>4</v>
          </cell>
        </row>
        <row r="369">
          <cell r="I369" t="str">
            <v>SS</v>
          </cell>
          <cell r="N369">
            <v>4</v>
          </cell>
        </row>
        <row r="370">
          <cell r="I370" t="str">
            <v>SS</v>
          </cell>
          <cell r="N370">
            <v>4</v>
          </cell>
        </row>
        <row r="371">
          <cell r="I371" t="str">
            <v>SS</v>
          </cell>
          <cell r="N371">
            <v>4</v>
          </cell>
        </row>
        <row r="372">
          <cell r="I372" t="str">
            <v>SS</v>
          </cell>
          <cell r="N372">
            <v>4</v>
          </cell>
        </row>
        <row r="373">
          <cell r="I373" t="str">
            <v>SS</v>
          </cell>
          <cell r="N373">
            <v>4</v>
          </cell>
        </row>
        <row r="374">
          <cell r="I374" t="str">
            <v>SS</v>
          </cell>
          <cell r="N374">
            <v>4</v>
          </cell>
        </row>
        <row r="375">
          <cell r="I375" t="str">
            <v>SS</v>
          </cell>
          <cell r="N375">
            <v>4</v>
          </cell>
        </row>
        <row r="376">
          <cell r="I376" t="str">
            <v>SS</v>
          </cell>
          <cell r="N376">
            <v>4</v>
          </cell>
        </row>
        <row r="377">
          <cell r="I377" t="str">
            <v>SS</v>
          </cell>
          <cell r="N377">
            <v>4</v>
          </cell>
        </row>
        <row r="378">
          <cell r="I378" t="str">
            <v>SS</v>
          </cell>
          <cell r="N378">
            <v>4</v>
          </cell>
        </row>
        <row r="379">
          <cell r="I379" t="str">
            <v>SS</v>
          </cell>
          <cell r="N379">
            <v>4</v>
          </cell>
        </row>
        <row r="380">
          <cell r="I380" t="str">
            <v>SS</v>
          </cell>
          <cell r="N380">
            <v>4</v>
          </cell>
        </row>
        <row r="381">
          <cell r="I381" t="str">
            <v>SS</v>
          </cell>
          <cell r="N381">
            <v>4</v>
          </cell>
        </row>
        <row r="382">
          <cell r="I382" t="str">
            <v>SS</v>
          </cell>
          <cell r="N382">
            <v>4</v>
          </cell>
        </row>
        <row r="383">
          <cell r="I383" t="str">
            <v>SS</v>
          </cell>
          <cell r="N383">
            <v>4</v>
          </cell>
        </row>
        <row r="384">
          <cell r="I384" t="str">
            <v>SS</v>
          </cell>
          <cell r="N384">
            <v>4</v>
          </cell>
        </row>
        <row r="385">
          <cell r="I385" t="str">
            <v>SS</v>
          </cell>
          <cell r="N385">
            <v>4</v>
          </cell>
        </row>
        <row r="386">
          <cell r="I386" t="str">
            <v>SS</v>
          </cell>
          <cell r="N386">
            <v>4</v>
          </cell>
        </row>
        <row r="387">
          <cell r="I387" t="str">
            <v>SS</v>
          </cell>
          <cell r="N387">
            <v>4</v>
          </cell>
        </row>
        <row r="388">
          <cell r="I388" t="str">
            <v>SS</v>
          </cell>
          <cell r="N388">
            <v>4</v>
          </cell>
        </row>
        <row r="389">
          <cell r="I389" t="str">
            <v>SS</v>
          </cell>
          <cell r="N389">
            <v>2</v>
          </cell>
        </row>
        <row r="390">
          <cell r="I390" t="str">
            <v>SS</v>
          </cell>
          <cell r="N390">
            <v>4</v>
          </cell>
        </row>
        <row r="391">
          <cell r="I391" t="str">
            <v>SS</v>
          </cell>
          <cell r="N391">
            <v>4</v>
          </cell>
        </row>
        <row r="392">
          <cell r="I392" t="str">
            <v>SS</v>
          </cell>
          <cell r="N392">
            <v>4</v>
          </cell>
        </row>
        <row r="393">
          <cell r="I393" t="str">
            <v>SS</v>
          </cell>
          <cell r="N393">
            <v>4</v>
          </cell>
        </row>
        <row r="394">
          <cell r="I394" t="str">
            <v>SS</v>
          </cell>
          <cell r="N394">
            <v>4</v>
          </cell>
        </row>
        <row r="395">
          <cell r="I395" t="str">
            <v>SS</v>
          </cell>
          <cell r="N395">
            <v>4</v>
          </cell>
        </row>
        <row r="396">
          <cell r="I396" t="str">
            <v>SS</v>
          </cell>
          <cell r="N396">
            <v>4</v>
          </cell>
        </row>
        <row r="397">
          <cell r="I397" t="str">
            <v>SS</v>
          </cell>
          <cell r="N397">
            <v>4</v>
          </cell>
        </row>
        <row r="398">
          <cell r="I398" t="str">
            <v>SS</v>
          </cell>
          <cell r="N398">
            <v>4</v>
          </cell>
        </row>
        <row r="399">
          <cell r="I399" t="str">
            <v>SS</v>
          </cell>
          <cell r="N399">
            <v>4</v>
          </cell>
        </row>
        <row r="400">
          <cell r="I400" t="str">
            <v>SS</v>
          </cell>
          <cell r="N400">
            <v>4</v>
          </cell>
        </row>
        <row r="401">
          <cell r="I401" t="str">
            <v>SS</v>
          </cell>
          <cell r="N401">
            <v>4</v>
          </cell>
        </row>
        <row r="402">
          <cell r="I402" t="str">
            <v>SS</v>
          </cell>
          <cell r="N402">
            <v>4</v>
          </cell>
        </row>
        <row r="403">
          <cell r="I403" t="str">
            <v>SS</v>
          </cell>
          <cell r="N403">
            <v>4</v>
          </cell>
        </row>
        <row r="404">
          <cell r="I404" t="str">
            <v>SS</v>
          </cell>
          <cell r="N404">
            <v>4</v>
          </cell>
        </row>
        <row r="405">
          <cell r="I405" t="str">
            <v>SS</v>
          </cell>
          <cell r="N405">
            <v>4</v>
          </cell>
        </row>
        <row r="406">
          <cell r="I406" t="str">
            <v>SS</v>
          </cell>
          <cell r="N406">
            <v>4</v>
          </cell>
        </row>
        <row r="407">
          <cell r="I407" t="str">
            <v>SS</v>
          </cell>
          <cell r="N407">
            <v>2</v>
          </cell>
        </row>
        <row r="408">
          <cell r="I408" t="str">
            <v>SS</v>
          </cell>
          <cell r="N408">
            <v>4</v>
          </cell>
        </row>
        <row r="409">
          <cell r="I409" t="str">
            <v>SS</v>
          </cell>
          <cell r="N409">
            <v>4</v>
          </cell>
        </row>
        <row r="410">
          <cell r="I410" t="str">
            <v>SS</v>
          </cell>
          <cell r="N410">
            <v>4</v>
          </cell>
        </row>
        <row r="411">
          <cell r="I411" t="str">
            <v>SS</v>
          </cell>
          <cell r="N411">
            <v>4</v>
          </cell>
        </row>
        <row r="412">
          <cell r="I412" t="str">
            <v>SS</v>
          </cell>
          <cell r="N412">
            <v>4</v>
          </cell>
        </row>
        <row r="413">
          <cell r="I413" t="str">
            <v>SS</v>
          </cell>
          <cell r="N413">
            <v>4</v>
          </cell>
        </row>
        <row r="414">
          <cell r="I414" t="str">
            <v>SS</v>
          </cell>
          <cell r="N414">
            <v>4</v>
          </cell>
        </row>
        <row r="415">
          <cell r="I415" t="str">
            <v>SS</v>
          </cell>
          <cell r="N415">
            <v>4</v>
          </cell>
        </row>
        <row r="416">
          <cell r="I416" t="str">
            <v>SS</v>
          </cell>
          <cell r="N416">
            <v>4</v>
          </cell>
        </row>
        <row r="417">
          <cell r="I417" t="str">
            <v>SS</v>
          </cell>
          <cell r="N417">
            <v>4</v>
          </cell>
        </row>
        <row r="418">
          <cell r="I418" t="str">
            <v>SS</v>
          </cell>
          <cell r="N418">
            <v>4</v>
          </cell>
        </row>
        <row r="419">
          <cell r="I419" t="str">
            <v>SS</v>
          </cell>
          <cell r="N419">
            <v>4</v>
          </cell>
        </row>
        <row r="420">
          <cell r="I420" t="str">
            <v>SS</v>
          </cell>
          <cell r="N420">
            <v>4</v>
          </cell>
        </row>
        <row r="421">
          <cell r="I421" t="str">
            <v>SS</v>
          </cell>
          <cell r="N421">
            <v>4</v>
          </cell>
        </row>
        <row r="422">
          <cell r="I422" t="str">
            <v>SS</v>
          </cell>
          <cell r="N422">
            <v>4</v>
          </cell>
        </row>
        <row r="423">
          <cell r="I423" t="str">
            <v>SS</v>
          </cell>
          <cell r="N423">
            <v>4</v>
          </cell>
        </row>
        <row r="424">
          <cell r="I424" t="str">
            <v>SS</v>
          </cell>
          <cell r="N424">
            <v>4</v>
          </cell>
        </row>
        <row r="425">
          <cell r="I425" t="str">
            <v>SS</v>
          </cell>
          <cell r="N425">
            <v>4</v>
          </cell>
        </row>
        <row r="426">
          <cell r="I426" t="str">
            <v>SS</v>
          </cell>
          <cell r="N426">
            <v>4</v>
          </cell>
        </row>
        <row r="427">
          <cell r="I427" t="str">
            <v>SS</v>
          </cell>
          <cell r="N427">
            <v>4</v>
          </cell>
        </row>
        <row r="428">
          <cell r="I428" t="str">
            <v>SS</v>
          </cell>
          <cell r="N428">
            <v>4</v>
          </cell>
        </row>
        <row r="429">
          <cell r="I429" t="str">
            <v>SS</v>
          </cell>
          <cell r="N429">
            <v>4</v>
          </cell>
        </row>
        <row r="430">
          <cell r="I430" t="str">
            <v>SS</v>
          </cell>
          <cell r="N430">
            <v>4</v>
          </cell>
        </row>
        <row r="431">
          <cell r="I431" t="str">
            <v>SS</v>
          </cell>
          <cell r="N431">
            <v>4</v>
          </cell>
        </row>
        <row r="432">
          <cell r="I432" t="str">
            <v>SS</v>
          </cell>
          <cell r="N432">
            <v>4</v>
          </cell>
        </row>
        <row r="433">
          <cell r="I433" t="str">
            <v>SS</v>
          </cell>
          <cell r="N433">
            <v>4</v>
          </cell>
        </row>
        <row r="434">
          <cell r="I434" t="str">
            <v>SS</v>
          </cell>
          <cell r="N434">
            <v>4</v>
          </cell>
        </row>
        <row r="435">
          <cell r="I435" t="str">
            <v>SS</v>
          </cell>
          <cell r="N435">
            <v>4</v>
          </cell>
        </row>
        <row r="436">
          <cell r="I436" t="str">
            <v>SS</v>
          </cell>
          <cell r="N436">
            <v>4</v>
          </cell>
        </row>
        <row r="437">
          <cell r="I437" t="str">
            <v>SS</v>
          </cell>
          <cell r="N437">
            <v>4</v>
          </cell>
        </row>
        <row r="438">
          <cell r="I438" t="str">
            <v>SS</v>
          </cell>
          <cell r="N438">
            <v>4</v>
          </cell>
        </row>
        <row r="439">
          <cell r="I439" t="str">
            <v>SS</v>
          </cell>
          <cell r="N439">
            <v>4</v>
          </cell>
        </row>
        <row r="440">
          <cell r="I440" t="str">
            <v>SS</v>
          </cell>
          <cell r="N440">
            <v>4</v>
          </cell>
        </row>
        <row r="441">
          <cell r="I441" t="str">
            <v>SS</v>
          </cell>
          <cell r="N441">
            <v>4</v>
          </cell>
        </row>
        <row r="442">
          <cell r="I442" t="str">
            <v>SS</v>
          </cell>
          <cell r="N442">
            <v>4</v>
          </cell>
        </row>
        <row r="443">
          <cell r="I443" t="str">
            <v>SS</v>
          </cell>
          <cell r="N443">
            <v>4</v>
          </cell>
        </row>
        <row r="444">
          <cell r="I444" t="str">
            <v>SS</v>
          </cell>
          <cell r="N444">
            <v>4</v>
          </cell>
        </row>
        <row r="445">
          <cell r="I445" t="str">
            <v>SS</v>
          </cell>
          <cell r="N445">
            <v>4</v>
          </cell>
        </row>
        <row r="446">
          <cell r="I446" t="str">
            <v>SS</v>
          </cell>
          <cell r="N446">
            <v>4</v>
          </cell>
        </row>
        <row r="447">
          <cell r="I447" t="str">
            <v>SS</v>
          </cell>
          <cell r="N447">
            <v>4</v>
          </cell>
        </row>
        <row r="448">
          <cell r="I448" t="str">
            <v>SS</v>
          </cell>
          <cell r="N448">
            <v>4</v>
          </cell>
        </row>
        <row r="449">
          <cell r="I449" t="str">
            <v>SS</v>
          </cell>
          <cell r="N449">
            <v>2</v>
          </cell>
        </row>
        <row r="450">
          <cell r="I450" t="str">
            <v>SS</v>
          </cell>
          <cell r="N450">
            <v>2</v>
          </cell>
        </row>
        <row r="451">
          <cell r="I451" t="str">
            <v>SS</v>
          </cell>
          <cell r="N451">
            <v>2</v>
          </cell>
        </row>
        <row r="452">
          <cell r="I452" t="str">
            <v>SS</v>
          </cell>
          <cell r="N452">
            <v>2</v>
          </cell>
        </row>
        <row r="453">
          <cell r="I453" t="str">
            <v>SS</v>
          </cell>
          <cell r="N453">
            <v>2</v>
          </cell>
        </row>
        <row r="454">
          <cell r="I454" t="str">
            <v>SS</v>
          </cell>
          <cell r="N454">
            <v>4</v>
          </cell>
        </row>
        <row r="455">
          <cell r="I455" t="str">
            <v>SS</v>
          </cell>
          <cell r="N455">
            <v>4</v>
          </cell>
        </row>
        <row r="456">
          <cell r="I456" t="str">
            <v>SS</v>
          </cell>
          <cell r="N456">
            <v>4</v>
          </cell>
        </row>
        <row r="457">
          <cell r="I457" t="str">
            <v>SS</v>
          </cell>
          <cell r="N457">
            <v>4</v>
          </cell>
        </row>
        <row r="458">
          <cell r="I458" t="str">
            <v>SS</v>
          </cell>
          <cell r="N458">
            <v>4</v>
          </cell>
        </row>
        <row r="459">
          <cell r="I459" t="str">
            <v>SS</v>
          </cell>
          <cell r="N459">
            <v>4</v>
          </cell>
        </row>
        <row r="460">
          <cell r="I460" t="str">
            <v>SS</v>
          </cell>
          <cell r="N460">
            <v>4</v>
          </cell>
        </row>
        <row r="461">
          <cell r="I461" t="str">
            <v>SS</v>
          </cell>
          <cell r="N461">
            <v>4</v>
          </cell>
        </row>
        <row r="462">
          <cell r="I462" t="str">
            <v>SS</v>
          </cell>
          <cell r="N462">
            <v>2</v>
          </cell>
        </row>
        <row r="463">
          <cell r="I463" t="str">
            <v>SS</v>
          </cell>
          <cell r="N463">
            <v>4</v>
          </cell>
        </row>
        <row r="464">
          <cell r="I464" t="str">
            <v>SS</v>
          </cell>
          <cell r="N464">
            <v>4</v>
          </cell>
        </row>
        <row r="465">
          <cell r="I465" t="str">
            <v>SS</v>
          </cell>
          <cell r="N465">
            <v>4</v>
          </cell>
        </row>
        <row r="466">
          <cell r="I466" t="str">
            <v>SS</v>
          </cell>
          <cell r="N466">
            <v>4</v>
          </cell>
        </row>
        <row r="467">
          <cell r="I467" t="str">
            <v>SS</v>
          </cell>
          <cell r="N467">
            <v>4</v>
          </cell>
        </row>
        <row r="468">
          <cell r="I468" t="str">
            <v>SS</v>
          </cell>
          <cell r="N468">
            <v>4</v>
          </cell>
        </row>
        <row r="469">
          <cell r="I469" t="str">
            <v>SS</v>
          </cell>
          <cell r="N469">
            <v>4</v>
          </cell>
        </row>
        <row r="470">
          <cell r="I470" t="str">
            <v>SS</v>
          </cell>
          <cell r="N470">
            <v>4</v>
          </cell>
        </row>
        <row r="471">
          <cell r="I471" t="str">
            <v>SS</v>
          </cell>
          <cell r="N471">
            <v>4</v>
          </cell>
        </row>
        <row r="472">
          <cell r="I472" t="str">
            <v>SS</v>
          </cell>
          <cell r="N472">
            <v>2</v>
          </cell>
        </row>
        <row r="473">
          <cell r="I473" t="str">
            <v>SS</v>
          </cell>
          <cell r="N473">
            <v>4</v>
          </cell>
        </row>
        <row r="474">
          <cell r="I474" t="str">
            <v>SS</v>
          </cell>
          <cell r="N474">
            <v>4</v>
          </cell>
        </row>
        <row r="475">
          <cell r="I475" t="str">
            <v>SS</v>
          </cell>
          <cell r="N475">
            <v>4</v>
          </cell>
        </row>
        <row r="476">
          <cell r="I476" t="str">
            <v>SS</v>
          </cell>
          <cell r="N476">
            <v>4</v>
          </cell>
        </row>
        <row r="477">
          <cell r="I477" t="str">
            <v>SS</v>
          </cell>
          <cell r="N477">
            <v>4</v>
          </cell>
        </row>
        <row r="478">
          <cell r="I478" t="str">
            <v>SS</v>
          </cell>
          <cell r="N478">
            <v>1</v>
          </cell>
        </row>
        <row r="479">
          <cell r="I479" t="str">
            <v>SS</v>
          </cell>
          <cell r="N479">
            <v>2</v>
          </cell>
        </row>
        <row r="480">
          <cell r="I480" t="str">
            <v>UG</v>
          </cell>
          <cell r="N480">
            <v>4</v>
          </cell>
        </row>
        <row r="481">
          <cell r="I481" t="str">
            <v>UG</v>
          </cell>
          <cell r="N481">
            <v>4</v>
          </cell>
        </row>
        <row r="482">
          <cell r="I482" t="str">
            <v>UG</v>
          </cell>
          <cell r="N482">
            <v>4</v>
          </cell>
        </row>
        <row r="483">
          <cell r="I483" t="str">
            <v>UG</v>
          </cell>
          <cell r="N483">
            <v>4</v>
          </cell>
        </row>
        <row r="484">
          <cell r="I484" t="str">
            <v>UG</v>
          </cell>
          <cell r="N484">
            <v>4</v>
          </cell>
        </row>
        <row r="485">
          <cell r="I485" t="str">
            <v>UG</v>
          </cell>
          <cell r="N485">
            <v>4</v>
          </cell>
        </row>
        <row r="486">
          <cell r="I486" t="str">
            <v>UG</v>
          </cell>
          <cell r="N486">
            <v>4</v>
          </cell>
        </row>
        <row r="487">
          <cell r="I487" t="str">
            <v>UG</v>
          </cell>
          <cell r="N487">
            <v>4</v>
          </cell>
        </row>
        <row r="488">
          <cell r="I488" t="str">
            <v>UG</v>
          </cell>
          <cell r="N488">
            <v>4</v>
          </cell>
        </row>
        <row r="489">
          <cell r="I489" t="str">
            <v>UG</v>
          </cell>
          <cell r="N489">
            <v>2</v>
          </cell>
        </row>
        <row r="490">
          <cell r="I490" t="str">
            <v>UG</v>
          </cell>
          <cell r="N490">
            <v>4</v>
          </cell>
        </row>
        <row r="491">
          <cell r="I491" t="str">
            <v>UG</v>
          </cell>
          <cell r="N491">
            <v>4</v>
          </cell>
        </row>
        <row r="492">
          <cell r="I492" t="str">
            <v>UG</v>
          </cell>
          <cell r="N492">
            <v>4</v>
          </cell>
        </row>
        <row r="493">
          <cell r="I493" t="str">
            <v>UG</v>
          </cell>
          <cell r="N493">
            <v>4</v>
          </cell>
        </row>
        <row r="494">
          <cell r="I494" t="str">
            <v>UG</v>
          </cell>
          <cell r="N494">
            <v>1</v>
          </cell>
        </row>
        <row r="495">
          <cell r="I495" t="str">
            <v>UG</v>
          </cell>
          <cell r="N495">
            <v>1</v>
          </cell>
        </row>
        <row r="496">
          <cell r="I496" t="str">
            <v>UG</v>
          </cell>
          <cell r="N496">
            <v>4</v>
          </cell>
        </row>
        <row r="497">
          <cell r="I497" t="str">
            <v>UG</v>
          </cell>
          <cell r="N497">
            <v>4</v>
          </cell>
        </row>
        <row r="498">
          <cell r="I498" t="str">
            <v>UG</v>
          </cell>
          <cell r="N498">
            <v>1</v>
          </cell>
        </row>
        <row r="499">
          <cell r="I499" t="str">
            <v>UG</v>
          </cell>
          <cell r="N499">
            <v>1</v>
          </cell>
        </row>
        <row r="500">
          <cell r="I500" t="str">
            <v>UG</v>
          </cell>
          <cell r="N500">
            <v>1</v>
          </cell>
        </row>
        <row r="501">
          <cell r="I501" t="str">
            <v>UG</v>
          </cell>
          <cell r="N501">
            <v>1</v>
          </cell>
        </row>
        <row r="502">
          <cell r="I502" t="str">
            <v>UG</v>
          </cell>
          <cell r="N502">
            <v>4</v>
          </cell>
        </row>
        <row r="503">
          <cell r="I503" t="str">
            <v>UG</v>
          </cell>
          <cell r="N503">
            <v>4</v>
          </cell>
        </row>
        <row r="504">
          <cell r="I504" t="str">
            <v>UG</v>
          </cell>
          <cell r="N504">
            <v>4</v>
          </cell>
        </row>
        <row r="505">
          <cell r="I505" t="str">
            <v>UG</v>
          </cell>
          <cell r="N505">
            <v>4</v>
          </cell>
        </row>
        <row r="506">
          <cell r="I506" t="str">
            <v>UG</v>
          </cell>
          <cell r="N506">
            <v>4</v>
          </cell>
        </row>
        <row r="507">
          <cell r="I507" t="str">
            <v>UG</v>
          </cell>
          <cell r="N507">
            <v>4</v>
          </cell>
        </row>
        <row r="508">
          <cell r="I508" t="str">
            <v>UG</v>
          </cell>
          <cell r="N508">
            <v>4</v>
          </cell>
        </row>
        <row r="509">
          <cell r="I509" t="str">
            <v>UG</v>
          </cell>
          <cell r="N509">
            <v>4</v>
          </cell>
        </row>
        <row r="510">
          <cell r="I510" t="str">
            <v>UG</v>
          </cell>
          <cell r="N510">
            <v>4</v>
          </cell>
        </row>
        <row r="511">
          <cell r="I511" t="str">
            <v>UG</v>
          </cell>
          <cell r="N511">
            <v>2</v>
          </cell>
        </row>
        <row r="512">
          <cell r="I512" t="str">
            <v>UG</v>
          </cell>
          <cell r="N512">
            <v>2</v>
          </cell>
        </row>
        <row r="513">
          <cell r="I513" t="str">
            <v>UG</v>
          </cell>
          <cell r="N513">
            <v>1</v>
          </cell>
        </row>
        <row r="514">
          <cell r="I514" t="str">
            <v>UG</v>
          </cell>
          <cell r="N514">
            <v>1</v>
          </cell>
        </row>
        <row r="515">
          <cell r="I515" t="str">
            <v>UG</v>
          </cell>
          <cell r="N515">
            <v>1</v>
          </cell>
        </row>
        <row r="516">
          <cell r="I516" t="str">
            <v>UG</v>
          </cell>
          <cell r="N516">
            <v>1</v>
          </cell>
        </row>
        <row r="517">
          <cell r="I517" t="str">
            <v>UG</v>
          </cell>
          <cell r="N517">
            <v>1</v>
          </cell>
        </row>
        <row r="518">
          <cell r="I518" t="str">
            <v>UG</v>
          </cell>
          <cell r="N518">
            <v>2</v>
          </cell>
        </row>
        <row r="519">
          <cell r="I519" t="str">
            <v>UG</v>
          </cell>
          <cell r="N519">
            <v>1</v>
          </cell>
        </row>
        <row r="520">
          <cell r="I520" t="str">
            <v>UG</v>
          </cell>
          <cell r="N520">
            <v>1</v>
          </cell>
        </row>
        <row r="521">
          <cell r="I521" t="str">
            <v>UG</v>
          </cell>
          <cell r="N521">
            <v>1</v>
          </cell>
        </row>
        <row r="522">
          <cell r="I522" t="str">
            <v>UG</v>
          </cell>
          <cell r="N522">
            <v>4</v>
          </cell>
        </row>
        <row r="523">
          <cell r="I523" t="str">
            <v>UG</v>
          </cell>
          <cell r="N523">
            <v>1</v>
          </cell>
        </row>
        <row r="524">
          <cell r="I524" t="str">
            <v>UG</v>
          </cell>
          <cell r="N524">
            <v>1</v>
          </cell>
        </row>
        <row r="525">
          <cell r="I525" t="str">
            <v>UG</v>
          </cell>
          <cell r="N525">
            <v>1</v>
          </cell>
        </row>
        <row r="526">
          <cell r="I526" t="str">
            <v>UG</v>
          </cell>
          <cell r="N526">
            <v>1</v>
          </cell>
        </row>
        <row r="527">
          <cell r="I527" t="str">
            <v>UG</v>
          </cell>
          <cell r="N527">
            <v>1</v>
          </cell>
        </row>
        <row r="528">
          <cell r="I528" t="str">
            <v>UG</v>
          </cell>
          <cell r="N528">
            <v>1</v>
          </cell>
        </row>
        <row r="529">
          <cell r="I529" t="str">
            <v>UG</v>
          </cell>
          <cell r="N529">
            <v>1</v>
          </cell>
        </row>
        <row r="530">
          <cell r="I530" t="str">
            <v>UG</v>
          </cell>
          <cell r="N530">
            <v>1</v>
          </cell>
        </row>
        <row r="531">
          <cell r="I531" t="str">
            <v>UG</v>
          </cell>
          <cell r="N531">
            <v>4</v>
          </cell>
        </row>
        <row r="532">
          <cell r="I532" t="str">
            <v>UG</v>
          </cell>
          <cell r="N532">
            <v>4</v>
          </cell>
        </row>
        <row r="533">
          <cell r="I533" t="str">
            <v>UG</v>
          </cell>
          <cell r="N533">
            <v>4</v>
          </cell>
        </row>
        <row r="534">
          <cell r="I534" t="str">
            <v>UG</v>
          </cell>
          <cell r="N534">
            <v>4</v>
          </cell>
        </row>
        <row r="535">
          <cell r="I535" t="str">
            <v>UG</v>
          </cell>
          <cell r="N535">
            <v>4</v>
          </cell>
        </row>
        <row r="536">
          <cell r="I536" t="str">
            <v>UG</v>
          </cell>
          <cell r="N536">
            <v>4</v>
          </cell>
        </row>
        <row r="537">
          <cell r="I537" t="str">
            <v>UG</v>
          </cell>
          <cell r="N537">
            <v>4</v>
          </cell>
        </row>
        <row r="538">
          <cell r="I538" t="str">
            <v>UG</v>
          </cell>
          <cell r="N538">
            <v>4</v>
          </cell>
        </row>
        <row r="539">
          <cell r="I539" t="str">
            <v>UG</v>
          </cell>
          <cell r="N539">
            <v>4</v>
          </cell>
        </row>
        <row r="540">
          <cell r="I540" t="str">
            <v>UG</v>
          </cell>
          <cell r="N540">
            <v>4</v>
          </cell>
        </row>
        <row r="541">
          <cell r="I541" t="str">
            <v>UG</v>
          </cell>
          <cell r="N541">
            <v>4</v>
          </cell>
        </row>
        <row r="542">
          <cell r="I542" t="str">
            <v>UG</v>
          </cell>
          <cell r="N542">
            <v>4</v>
          </cell>
        </row>
        <row r="543">
          <cell r="I543" t="str">
            <v>UG</v>
          </cell>
          <cell r="N543">
            <v>4</v>
          </cell>
        </row>
        <row r="544">
          <cell r="I544" t="str">
            <v>UG</v>
          </cell>
          <cell r="N544">
            <v>4</v>
          </cell>
        </row>
        <row r="545">
          <cell r="I545" t="str">
            <v>UG</v>
          </cell>
          <cell r="N545">
            <v>4</v>
          </cell>
        </row>
        <row r="546">
          <cell r="I546" t="str">
            <v>UG</v>
          </cell>
          <cell r="N546">
            <v>4</v>
          </cell>
        </row>
        <row r="547">
          <cell r="I547" t="str">
            <v>UG</v>
          </cell>
          <cell r="N547">
            <v>4</v>
          </cell>
        </row>
        <row r="548">
          <cell r="I548" t="str">
            <v>UG</v>
          </cell>
          <cell r="N548">
            <v>4</v>
          </cell>
        </row>
        <row r="549">
          <cell r="I549" t="str">
            <v>UG</v>
          </cell>
          <cell r="N549">
            <v>4</v>
          </cell>
        </row>
        <row r="550">
          <cell r="I550" t="str">
            <v>UG</v>
          </cell>
          <cell r="N550">
            <v>4</v>
          </cell>
        </row>
        <row r="551">
          <cell r="I551" t="str">
            <v>UG</v>
          </cell>
          <cell r="N551">
            <v>4</v>
          </cell>
        </row>
        <row r="552">
          <cell r="I552" t="str">
            <v>UG</v>
          </cell>
          <cell r="N552">
            <v>4</v>
          </cell>
        </row>
        <row r="553">
          <cell r="I553" t="str">
            <v>UG</v>
          </cell>
          <cell r="N553">
            <v>4</v>
          </cell>
        </row>
        <row r="554">
          <cell r="I554" t="str">
            <v>UG</v>
          </cell>
          <cell r="N554">
            <v>4</v>
          </cell>
        </row>
        <row r="555">
          <cell r="I555" t="str">
            <v>UG</v>
          </cell>
          <cell r="N555">
            <v>4</v>
          </cell>
        </row>
        <row r="556">
          <cell r="I556" t="str">
            <v>UG</v>
          </cell>
          <cell r="N556">
            <v>4</v>
          </cell>
        </row>
        <row r="557">
          <cell r="I557" t="str">
            <v>UG</v>
          </cell>
          <cell r="N557">
            <v>4</v>
          </cell>
        </row>
        <row r="558">
          <cell r="I558" t="str">
            <v>UG</v>
          </cell>
          <cell r="N558">
            <v>4</v>
          </cell>
        </row>
        <row r="559">
          <cell r="I559" t="str">
            <v>UG</v>
          </cell>
          <cell r="N559">
            <v>4</v>
          </cell>
        </row>
        <row r="560">
          <cell r="I560" t="str">
            <v>UG</v>
          </cell>
          <cell r="N560">
            <v>4</v>
          </cell>
        </row>
        <row r="561">
          <cell r="I561" t="str">
            <v>UG</v>
          </cell>
          <cell r="N561">
            <v>4</v>
          </cell>
        </row>
        <row r="562">
          <cell r="I562" t="str">
            <v>UG</v>
          </cell>
          <cell r="N562">
            <v>4</v>
          </cell>
        </row>
        <row r="563">
          <cell r="I563" t="str">
            <v>UG</v>
          </cell>
          <cell r="N563">
            <v>4</v>
          </cell>
        </row>
        <row r="564">
          <cell r="I564" t="str">
            <v>UG</v>
          </cell>
          <cell r="N564">
            <v>4</v>
          </cell>
        </row>
        <row r="565">
          <cell r="I565" t="str">
            <v>UG</v>
          </cell>
          <cell r="N565">
            <v>4</v>
          </cell>
        </row>
        <row r="566">
          <cell r="I566" t="str">
            <v>UG</v>
          </cell>
          <cell r="N566">
            <v>2</v>
          </cell>
        </row>
        <row r="567">
          <cell r="I567" t="str">
            <v>UG</v>
          </cell>
          <cell r="N567">
            <v>2</v>
          </cell>
        </row>
        <row r="568">
          <cell r="I568" t="str">
            <v>UG</v>
          </cell>
          <cell r="N568">
            <v>4</v>
          </cell>
        </row>
        <row r="569">
          <cell r="I569" t="str">
            <v>UG</v>
          </cell>
          <cell r="N569">
            <v>4</v>
          </cell>
        </row>
        <row r="570">
          <cell r="I570" t="str">
            <v>UG</v>
          </cell>
          <cell r="N570">
            <v>2</v>
          </cell>
        </row>
        <row r="571">
          <cell r="I571" t="str">
            <v>UG</v>
          </cell>
          <cell r="N571">
            <v>2</v>
          </cell>
        </row>
        <row r="572">
          <cell r="I572" t="str">
            <v>UG</v>
          </cell>
          <cell r="N572">
            <v>2</v>
          </cell>
        </row>
        <row r="573">
          <cell r="I573" t="str">
            <v>UG</v>
          </cell>
          <cell r="N573">
            <v>2</v>
          </cell>
        </row>
        <row r="574">
          <cell r="I574" t="str">
            <v>UG</v>
          </cell>
          <cell r="N574">
            <v>2</v>
          </cell>
        </row>
        <row r="575">
          <cell r="I575" t="str">
            <v>UG</v>
          </cell>
          <cell r="N575">
            <v>2</v>
          </cell>
        </row>
        <row r="576">
          <cell r="I576" t="str">
            <v>UG</v>
          </cell>
          <cell r="N576">
            <v>2</v>
          </cell>
        </row>
        <row r="577">
          <cell r="I577" t="str">
            <v>UG</v>
          </cell>
          <cell r="N577">
            <v>2</v>
          </cell>
        </row>
        <row r="578">
          <cell r="I578" t="str">
            <v>UG</v>
          </cell>
          <cell r="N578">
            <v>3</v>
          </cell>
        </row>
        <row r="579">
          <cell r="I579" t="str">
            <v>UG</v>
          </cell>
          <cell r="N579">
            <v>4</v>
          </cell>
        </row>
        <row r="580">
          <cell r="I580" t="str">
            <v>UG</v>
          </cell>
          <cell r="N580">
            <v>4</v>
          </cell>
        </row>
        <row r="581">
          <cell r="I581" t="str">
            <v>UG</v>
          </cell>
          <cell r="N581">
            <v>4</v>
          </cell>
        </row>
        <row r="582">
          <cell r="I582" t="str">
            <v>UG</v>
          </cell>
          <cell r="N582">
            <v>1</v>
          </cell>
        </row>
        <row r="583">
          <cell r="I583" t="str">
            <v>UG</v>
          </cell>
          <cell r="N583">
            <v>2</v>
          </cell>
        </row>
        <row r="584">
          <cell r="I584" t="str">
            <v>UG</v>
          </cell>
          <cell r="N584">
            <v>1</v>
          </cell>
        </row>
        <row r="585">
          <cell r="I585" t="str">
            <v>UG</v>
          </cell>
          <cell r="N585">
            <v>4</v>
          </cell>
        </row>
        <row r="586">
          <cell r="I586" t="str">
            <v>UG</v>
          </cell>
          <cell r="N586">
            <v>4</v>
          </cell>
        </row>
        <row r="587">
          <cell r="I587" t="str">
            <v>UG</v>
          </cell>
          <cell r="N587">
            <v>2</v>
          </cell>
        </row>
        <row r="588">
          <cell r="I588" t="str">
            <v>UG</v>
          </cell>
          <cell r="N588">
            <v>2</v>
          </cell>
        </row>
        <row r="589">
          <cell r="I589" t="str">
            <v>UG</v>
          </cell>
          <cell r="N589">
            <v>2</v>
          </cell>
        </row>
        <row r="590">
          <cell r="I590" t="str">
            <v>UG</v>
          </cell>
          <cell r="N590">
            <v>2</v>
          </cell>
        </row>
        <row r="591">
          <cell r="I591" t="str">
            <v>UG</v>
          </cell>
          <cell r="N591">
            <v>2</v>
          </cell>
        </row>
        <row r="592">
          <cell r="I592" t="str">
            <v>UG</v>
          </cell>
          <cell r="N592">
            <v>2</v>
          </cell>
        </row>
        <row r="593">
          <cell r="I593" t="str">
            <v>UG</v>
          </cell>
          <cell r="N593">
            <v>2</v>
          </cell>
        </row>
        <row r="594">
          <cell r="I594" t="str">
            <v>UG</v>
          </cell>
          <cell r="N594">
            <v>2</v>
          </cell>
        </row>
        <row r="595">
          <cell r="I595" t="str">
            <v>UG</v>
          </cell>
          <cell r="N595">
            <v>4</v>
          </cell>
        </row>
        <row r="596">
          <cell r="I596" t="str">
            <v>UG</v>
          </cell>
          <cell r="N596">
            <v>4</v>
          </cell>
        </row>
        <row r="597">
          <cell r="I597" t="str">
            <v>UG</v>
          </cell>
          <cell r="N597">
            <v>2</v>
          </cell>
        </row>
        <row r="598">
          <cell r="I598" t="str">
            <v>UG</v>
          </cell>
          <cell r="N598">
            <v>2</v>
          </cell>
        </row>
        <row r="599">
          <cell r="I599" t="str">
            <v>UG</v>
          </cell>
          <cell r="N599">
            <v>1</v>
          </cell>
        </row>
        <row r="600">
          <cell r="I600" t="str">
            <v>UG</v>
          </cell>
          <cell r="N600">
            <v>2</v>
          </cell>
        </row>
        <row r="601">
          <cell r="I601" t="str">
            <v>UG</v>
          </cell>
          <cell r="N601">
            <v>3</v>
          </cell>
        </row>
        <row r="602">
          <cell r="I602" t="str">
            <v>UG</v>
          </cell>
          <cell r="N602">
            <v>2</v>
          </cell>
        </row>
        <row r="603">
          <cell r="I603" t="str">
            <v>UG</v>
          </cell>
          <cell r="N603">
            <v>2</v>
          </cell>
        </row>
        <row r="604">
          <cell r="I604" t="str">
            <v>UG</v>
          </cell>
          <cell r="N604">
            <v>2</v>
          </cell>
        </row>
        <row r="605">
          <cell r="I605" t="str">
            <v>UG</v>
          </cell>
          <cell r="N605">
            <v>1</v>
          </cell>
        </row>
        <row r="606">
          <cell r="I606" t="str">
            <v>UG</v>
          </cell>
          <cell r="N606">
            <v>1</v>
          </cell>
        </row>
        <row r="607">
          <cell r="I607" t="str">
            <v>UG</v>
          </cell>
          <cell r="N607">
            <v>4</v>
          </cell>
        </row>
        <row r="608">
          <cell r="I608" t="str">
            <v>UG</v>
          </cell>
          <cell r="N608">
            <v>2</v>
          </cell>
        </row>
        <row r="609">
          <cell r="I609" t="str">
            <v>RR</v>
          </cell>
          <cell r="N609">
            <v>4</v>
          </cell>
        </row>
        <row r="610">
          <cell r="I610" t="str">
            <v>RR</v>
          </cell>
          <cell r="N610">
            <v>4</v>
          </cell>
        </row>
        <row r="611">
          <cell r="I611" t="str">
            <v>RR</v>
          </cell>
          <cell r="N611">
            <v>4</v>
          </cell>
        </row>
        <row r="612">
          <cell r="I612" t="str">
            <v>RR</v>
          </cell>
          <cell r="N612">
            <v>4</v>
          </cell>
        </row>
        <row r="613">
          <cell r="I613" t="str">
            <v>RR</v>
          </cell>
          <cell r="N613">
            <v>4</v>
          </cell>
        </row>
        <row r="614">
          <cell r="I614" t="str">
            <v>RR</v>
          </cell>
          <cell r="N614">
            <v>4</v>
          </cell>
        </row>
        <row r="615">
          <cell r="I615" t="str">
            <v>RR</v>
          </cell>
          <cell r="N615">
            <v>4</v>
          </cell>
        </row>
        <row r="616">
          <cell r="I616" t="str">
            <v>RR</v>
          </cell>
          <cell r="N616">
            <v>4</v>
          </cell>
        </row>
        <row r="617">
          <cell r="I617" t="str">
            <v>RR</v>
          </cell>
          <cell r="N617">
            <v>4</v>
          </cell>
        </row>
        <row r="618">
          <cell r="I618" t="str">
            <v>RR</v>
          </cell>
          <cell r="N618">
            <v>4</v>
          </cell>
        </row>
        <row r="619">
          <cell r="I619" t="str">
            <v>RR</v>
          </cell>
          <cell r="N619">
            <v>4</v>
          </cell>
        </row>
        <row r="620">
          <cell r="I620" t="str">
            <v>RR</v>
          </cell>
          <cell r="N620">
            <v>4</v>
          </cell>
        </row>
        <row r="621">
          <cell r="I621" t="str">
            <v>RR</v>
          </cell>
          <cell r="N621">
            <v>4</v>
          </cell>
        </row>
        <row r="622">
          <cell r="I622" t="str">
            <v>RR</v>
          </cell>
          <cell r="N622">
            <v>1</v>
          </cell>
        </row>
        <row r="623">
          <cell r="I623" t="str">
            <v>RR</v>
          </cell>
          <cell r="N623">
            <v>4</v>
          </cell>
        </row>
        <row r="624">
          <cell r="I624" t="str">
            <v>RR</v>
          </cell>
          <cell r="N624">
            <v>4</v>
          </cell>
        </row>
        <row r="625">
          <cell r="I625" t="str">
            <v>RR</v>
          </cell>
          <cell r="N625">
            <v>4</v>
          </cell>
        </row>
        <row r="626">
          <cell r="I626" t="str">
            <v>RR</v>
          </cell>
          <cell r="N626">
            <v>4</v>
          </cell>
        </row>
        <row r="627">
          <cell r="I627" t="str">
            <v>RR</v>
          </cell>
          <cell r="N627">
            <v>4</v>
          </cell>
        </row>
        <row r="628">
          <cell r="I628" t="str">
            <v>RR</v>
          </cell>
          <cell r="N628">
            <v>4</v>
          </cell>
        </row>
        <row r="629">
          <cell r="I629" t="str">
            <v>RR</v>
          </cell>
          <cell r="N629">
            <v>4</v>
          </cell>
        </row>
        <row r="630">
          <cell r="I630" t="str">
            <v>RR</v>
          </cell>
          <cell r="N630">
            <v>4</v>
          </cell>
        </row>
        <row r="631">
          <cell r="I631" t="str">
            <v>RR</v>
          </cell>
          <cell r="N631">
            <v>4</v>
          </cell>
        </row>
        <row r="632">
          <cell r="I632" t="str">
            <v>RR</v>
          </cell>
          <cell r="N632">
            <v>4</v>
          </cell>
        </row>
        <row r="633">
          <cell r="I633" t="str">
            <v>RR</v>
          </cell>
          <cell r="N633">
            <v>4</v>
          </cell>
        </row>
        <row r="634">
          <cell r="I634" t="str">
            <v>RR</v>
          </cell>
          <cell r="N634">
            <v>4</v>
          </cell>
        </row>
        <row r="635">
          <cell r="I635" t="str">
            <v>RR</v>
          </cell>
          <cell r="N635">
            <v>4</v>
          </cell>
        </row>
        <row r="636">
          <cell r="I636" t="str">
            <v>RR</v>
          </cell>
          <cell r="N636">
            <v>4</v>
          </cell>
        </row>
        <row r="637">
          <cell r="I637" t="str">
            <v>RR</v>
          </cell>
          <cell r="N637">
            <v>4</v>
          </cell>
        </row>
        <row r="638">
          <cell r="I638" t="str">
            <v>RR</v>
          </cell>
          <cell r="N638">
            <v>4</v>
          </cell>
        </row>
        <row r="639">
          <cell r="I639" t="str">
            <v>RR</v>
          </cell>
          <cell r="N639">
            <v>4</v>
          </cell>
        </row>
        <row r="640">
          <cell r="I640" t="str">
            <v>RR</v>
          </cell>
          <cell r="N640">
            <v>4</v>
          </cell>
        </row>
        <row r="641">
          <cell r="I641" t="str">
            <v>RR</v>
          </cell>
          <cell r="N641">
            <v>4</v>
          </cell>
        </row>
        <row r="642">
          <cell r="I642" t="str">
            <v>RR</v>
          </cell>
          <cell r="N642">
            <v>4</v>
          </cell>
        </row>
        <row r="643">
          <cell r="I643" t="str">
            <v>RR</v>
          </cell>
          <cell r="N643">
            <v>4</v>
          </cell>
        </row>
        <row r="644">
          <cell r="I644" t="str">
            <v>RR</v>
          </cell>
          <cell r="N644">
            <v>4</v>
          </cell>
        </row>
        <row r="645">
          <cell r="I645" t="str">
            <v>RR</v>
          </cell>
          <cell r="N645">
            <v>4</v>
          </cell>
        </row>
        <row r="646">
          <cell r="I646" t="str">
            <v>RR</v>
          </cell>
          <cell r="N646">
            <v>4</v>
          </cell>
        </row>
        <row r="647">
          <cell r="I647" t="str">
            <v>RR</v>
          </cell>
          <cell r="N647">
            <v>4</v>
          </cell>
        </row>
        <row r="648">
          <cell r="I648" t="str">
            <v>RR</v>
          </cell>
          <cell r="N648">
            <v>4</v>
          </cell>
        </row>
        <row r="649">
          <cell r="I649" t="str">
            <v>RR</v>
          </cell>
          <cell r="N649">
            <v>4</v>
          </cell>
        </row>
        <row r="650">
          <cell r="I650" t="str">
            <v>RR</v>
          </cell>
          <cell r="N650">
            <v>4</v>
          </cell>
        </row>
        <row r="651">
          <cell r="I651" t="str">
            <v>RR</v>
          </cell>
          <cell r="N651">
            <v>4</v>
          </cell>
        </row>
        <row r="652">
          <cell r="I652" t="str">
            <v>RR</v>
          </cell>
          <cell r="N652">
            <v>4</v>
          </cell>
        </row>
        <row r="653">
          <cell r="I653" t="str">
            <v>RR</v>
          </cell>
          <cell r="N653">
            <v>4</v>
          </cell>
        </row>
        <row r="654">
          <cell r="I654" t="str">
            <v>RR</v>
          </cell>
          <cell r="N654">
            <v>4</v>
          </cell>
        </row>
        <row r="655">
          <cell r="I655" t="str">
            <v>RR</v>
          </cell>
          <cell r="N655">
            <v>4</v>
          </cell>
        </row>
        <row r="656">
          <cell r="I656" t="str">
            <v>RR</v>
          </cell>
          <cell r="N656">
            <v>4</v>
          </cell>
        </row>
        <row r="657">
          <cell r="I657" t="str">
            <v>RR</v>
          </cell>
          <cell r="N657">
            <v>4</v>
          </cell>
        </row>
        <row r="658">
          <cell r="I658" t="str">
            <v>RR</v>
          </cell>
          <cell r="N658">
            <v>4</v>
          </cell>
        </row>
        <row r="659">
          <cell r="I659" t="str">
            <v>RR</v>
          </cell>
          <cell r="N659">
            <v>4</v>
          </cell>
        </row>
        <row r="660">
          <cell r="I660" t="str">
            <v>RR</v>
          </cell>
          <cell r="N660">
            <v>4</v>
          </cell>
        </row>
        <row r="661">
          <cell r="I661" t="str">
            <v>RR</v>
          </cell>
          <cell r="N661">
            <v>4</v>
          </cell>
        </row>
        <row r="662">
          <cell r="I662" t="str">
            <v>RR</v>
          </cell>
          <cell r="N662">
            <v>4</v>
          </cell>
        </row>
        <row r="663">
          <cell r="I663" t="str">
            <v>RR</v>
          </cell>
          <cell r="N663">
            <v>4</v>
          </cell>
        </row>
        <row r="664">
          <cell r="I664" t="str">
            <v>RR</v>
          </cell>
          <cell r="N664">
            <v>4</v>
          </cell>
        </row>
        <row r="665">
          <cell r="I665" t="str">
            <v>RR</v>
          </cell>
          <cell r="N665">
            <v>4</v>
          </cell>
        </row>
        <row r="666">
          <cell r="I666" t="str">
            <v>RR</v>
          </cell>
          <cell r="N666">
            <v>4</v>
          </cell>
        </row>
        <row r="667">
          <cell r="I667" t="str">
            <v>RR</v>
          </cell>
          <cell r="N667">
            <v>4</v>
          </cell>
        </row>
        <row r="668">
          <cell r="I668" t="str">
            <v>RR</v>
          </cell>
          <cell r="N668">
            <v>4</v>
          </cell>
        </row>
        <row r="669">
          <cell r="I669" t="str">
            <v>RR</v>
          </cell>
          <cell r="N669">
            <v>4</v>
          </cell>
        </row>
        <row r="670">
          <cell r="I670" t="str">
            <v>RR</v>
          </cell>
          <cell r="N670">
            <v>4</v>
          </cell>
        </row>
        <row r="671">
          <cell r="I671" t="str">
            <v>RR</v>
          </cell>
          <cell r="N671">
            <v>4</v>
          </cell>
        </row>
        <row r="672">
          <cell r="I672" t="str">
            <v>RR</v>
          </cell>
          <cell r="N672">
            <v>4</v>
          </cell>
        </row>
        <row r="673">
          <cell r="I673" t="str">
            <v>RR</v>
          </cell>
          <cell r="N673">
            <v>4</v>
          </cell>
        </row>
        <row r="674">
          <cell r="I674" t="str">
            <v>RR</v>
          </cell>
          <cell r="N674">
            <v>4</v>
          </cell>
        </row>
        <row r="675">
          <cell r="I675" t="str">
            <v>RR</v>
          </cell>
          <cell r="N675">
            <v>4</v>
          </cell>
        </row>
        <row r="676">
          <cell r="I676" t="str">
            <v>RR</v>
          </cell>
          <cell r="N676">
            <v>4</v>
          </cell>
        </row>
        <row r="677">
          <cell r="I677" t="str">
            <v>RR</v>
          </cell>
          <cell r="N677">
            <v>4</v>
          </cell>
        </row>
        <row r="678">
          <cell r="I678" t="str">
            <v>RR</v>
          </cell>
          <cell r="N678">
            <v>4</v>
          </cell>
        </row>
        <row r="679">
          <cell r="I679" t="str">
            <v>RR</v>
          </cell>
          <cell r="N679">
            <v>4</v>
          </cell>
        </row>
        <row r="680">
          <cell r="I680" t="str">
            <v>RR</v>
          </cell>
          <cell r="N680">
            <v>4</v>
          </cell>
        </row>
        <row r="681">
          <cell r="I681" t="str">
            <v>RR</v>
          </cell>
          <cell r="N681">
            <v>4</v>
          </cell>
        </row>
        <row r="682">
          <cell r="I682" t="str">
            <v>RR</v>
          </cell>
          <cell r="N682">
            <v>4</v>
          </cell>
        </row>
        <row r="683">
          <cell r="I683" t="str">
            <v>RR</v>
          </cell>
          <cell r="N683">
            <v>4</v>
          </cell>
        </row>
        <row r="684">
          <cell r="I684" t="str">
            <v>RR</v>
          </cell>
          <cell r="N684">
            <v>4</v>
          </cell>
        </row>
        <row r="685">
          <cell r="I685" t="str">
            <v>RR</v>
          </cell>
          <cell r="N685">
            <v>4</v>
          </cell>
        </row>
        <row r="686">
          <cell r="I686" t="str">
            <v>RR</v>
          </cell>
          <cell r="N686">
            <v>4</v>
          </cell>
        </row>
        <row r="687">
          <cell r="I687" t="str">
            <v>RR</v>
          </cell>
          <cell r="N687">
            <v>4</v>
          </cell>
        </row>
        <row r="688">
          <cell r="I688" t="str">
            <v>RR</v>
          </cell>
          <cell r="N688">
            <v>4</v>
          </cell>
        </row>
        <row r="689">
          <cell r="I689" t="str">
            <v>RR</v>
          </cell>
          <cell r="N689">
            <v>4</v>
          </cell>
        </row>
        <row r="690">
          <cell r="I690" t="str">
            <v>RR</v>
          </cell>
          <cell r="N690">
            <v>4</v>
          </cell>
        </row>
        <row r="691">
          <cell r="I691" t="str">
            <v>RR</v>
          </cell>
          <cell r="N691">
            <v>4</v>
          </cell>
        </row>
        <row r="692">
          <cell r="I692" t="str">
            <v>RR</v>
          </cell>
          <cell r="N692">
            <v>4</v>
          </cell>
        </row>
        <row r="693">
          <cell r="I693" t="str">
            <v>RR</v>
          </cell>
          <cell r="N693">
            <v>4</v>
          </cell>
        </row>
        <row r="694">
          <cell r="I694" t="str">
            <v>RR</v>
          </cell>
          <cell r="N694">
            <v>4</v>
          </cell>
        </row>
        <row r="695">
          <cell r="I695" t="str">
            <v>RR</v>
          </cell>
          <cell r="N695">
            <v>4</v>
          </cell>
        </row>
        <row r="696">
          <cell r="I696" t="str">
            <v>RR</v>
          </cell>
          <cell r="N696">
            <v>4</v>
          </cell>
        </row>
        <row r="697">
          <cell r="I697" t="str">
            <v>RR</v>
          </cell>
          <cell r="N697">
            <v>4</v>
          </cell>
        </row>
        <row r="698">
          <cell r="I698" t="str">
            <v>RR</v>
          </cell>
          <cell r="N698">
            <v>1</v>
          </cell>
        </row>
        <row r="699">
          <cell r="I699" t="str">
            <v>RR</v>
          </cell>
          <cell r="N699">
            <v>4</v>
          </cell>
        </row>
        <row r="700">
          <cell r="I700" t="str">
            <v>RR</v>
          </cell>
          <cell r="N700">
            <v>4</v>
          </cell>
        </row>
        <row r="701">
          <cell r="I701" t="str">
            <v>RR</v>
          </cell>
          <cell r="N701">
            <v>4</v>
          </cell>
        </row>
        <row r="702">
          <cell r="I702" t="str">
            <v>RR</v>
          </cell>
          <cell r="N702">
            <v>4</v>
          </cell>
        </row>
        <row r="703">
          <cell r="I703" t="str">
            <v>RR</v>
          </cell>
          <cell r="N703">
            <v>4</v>
          </cell>
        </row>
        <row r="704">
          <cell r="I704" t="str">
            <v>RR</v>
          </cell>
          <cell r="N704">
            <v>4</v>
          </cell>
        </row>
        <row r="705">
          <cell r="I705" t="str">
            <v>RR</v>
          </cell>
          <cell r="N705">
            <v>4</v>
          </cell>
        </row>
        <row r="706">
          <cell r="I706" t="str">
            <v>RR</v>
          </cell>
          <cell r="N706">
            <v>4</v>
          </cell>
        </row>
        <row r="707">
          <cell r="I707" t="str">
            <v>RR</v>
          </cell>
          <cell r="N707">
            <v>4</v>
          </cell>
        </row>
        <row r="708">
          <cell r="I708" t="str">
            <v>RR</v>
          </cell>
          <cell r="N708">
            <v>4</v>
          </cell>
        </row>
        <row r="709">
          <cell r="I709" t="str">
            <v>RR</v>
          </cell>
          <cell r="N709">
            <v>4</v>
          </cell>
        </row>
        <row r="710">
          <cell r="I710" t="str">
            <v>RR</v>
          </cell>
          <cell r="N710">
            <v>4</v>
          </cell>
        </row>
        <row r="711">
          <cell r="I711" t="str">
            <v>RR</v>
          </cell>
          <cell r="N711">
            <v>4</v>
          </cell>
        </row>
        <row r="712">
          <cell r="I712" t="str">
            <v>RR</v>
          </cell>
          <cell r="N712">
            <v>4</v>
          </cell>
        </row>
        <row r="713">
          <cell r="I713" t="str">
            <v>RR</v>
          </cell>
          <cell r="N713">
            <v>4</v>
          </cell>
        </row>
        <row r="714">
          <cell r="I714" t="str">
            <v>RR</v>
          </cell>
          <cell r="N714">
            <v>4</v>
          </cell>
        </row>
        <row r="715">
          <cell r="I715" t="str">
            <v>RR</v>
          </cell>
          <cell r="N715">
            <v>4</v>
          </cell>
        </row>
        <row r="716">
          <cell r="I716" t="str">
            <v>RR</v>
          </cell>
          <cell r="N716">
            <v>4</v>
          </cell>
        </row>
        <row r="717">
          <cell r="I717" t="str">
            <v>RR</v>
          </cell>
          <cell r="N717">
            <v>1</v>
          </cell>
        </row>
        <row r="718">
          <cell r="I718" t="str">
            <v>RR</v>
          </cell>
          <cell r="N718">
            <v>4</v>
          </cell>
        </row>
        <row r="719">
          <cell r="I719" t="str">
            <v>RR</v>
          </cell>
          <cell r="N719">
            <v>4</v>
          </cell>
        </row>
        <row r="720">
          <cell r="I720" t="str">
            <v>RR</v>
          </cell>
          <cell r="N720">
            <v>4</v>
          </cell>
        </row>
        <row r="721">
          <cell r="I721" t="str">
            <v>RR</v>
          </cell>
          <cell r="N721">
            <v>4</v>
          </cell>
        </row>
        <row r="722">
          <cell r="I722" t="str">
            <v>RR</v>
          </cell>
          <cell r="N722">
            <v>4</v>
          </cell>
        </row>
        <row r="723">
          <cell r="I723" t="str">
            <v>RR</v>
          </cell>
          <cell r="N723">
            <v>1</v>
          </cell>
        </row>
        <row r="724">
          <cell r="I724" t="str">
            <v>RR</v>
          </cell>
          <cell r="N724">
            <v>4</v>
          </cell>
        </row>
        <row r="725">
          <cell r="I725" t="str">
            <v>RR</v>
          </cell>
          <cell r="N725">
            <v>1</v>
          </cell>
        </row>
        <row r="726">
          <cell r="I726" t="str">
            <v>RR</v>
          </cell>
          <cell r="N726">
            <v>4</v>
          </cell>
        </row>
        <row r="727">
          <cell r="I727" t="str">
            <v>RR</v>
          </cell>
          <cell r="N727">
            <v>4</v>
          </cell>
        </row>
        <row r="728">
          <cell r="I728" t="str">
            <v>RR</v>
          </cell>
          <cell r="N728">
            <v>1</v>
          </cell>
        </row>
        <row r="729">
          <cell r="I729" t="str">
            <v>RR</v>
          </cell>
          <cell r="N729">
            <v>4</v>
          </cell>
        </row>
        <row r="730">
          <cell r="I730" t="str">
            <v>RR</v>
          </cell>
          <cell r="N730">
            <v>4</v>
          </cell>
        </row>
        <row r="731">
          <cell r="I731" t="str">
            <v>RR</v>
          </cell>
          <cell r="N731">
            <v>4</v>
          </cell>
        </row>
        <row r="732">
          <cell r="I732" t="str">
            <v>RR</v>
          </cell>
          <cell r="N732">
            <v>4</v>
          </cell>
        </row>
        <row r="733">
          <cell r="I733" t="str">
            <v>RR</v>
          </cell>
          <cell r="N733">
            <v>4</v>
          </cell>
        </row>
        <row r="734">
          <cell r="I734" t="str">
            <v>RR</v>
          </cell>
          <cell r="N734">
            <v>4</v>
          </cell>
        </row>
        <row r="735">
          <cell r="I735" t="str">
            <v>RR</v>
          </cell>
          <cell r="N735">
            <v>4</v>
          </cell>
        </row>
        <row r="736">
          <cell r="I736" t="str">
            <v>RR</v>
          </cell>
          <cell r="N736">
            <v>4</v>
          </cell>
        </row>
        <row r="737">
          <cell r="I737" t="str">
            <v>RR</v>
          </cell>
          <cell r="N737">
            <v>4</v>
          </cell>
        </row>
        <row r="738">
          <cell r="I738" t="str">
            <v>RR</v>
          </cell>
          <cell r="N738">
            <v>4</v>
          </cell>
        </row>
        <row r="739">
          <cell r="I739" t="str">
            <v>RR</v>
          </cell>
          <cell r="N739">
            <v>4</v>
          </cell>
        </row>
        <row r="740">
          <cell r="I740" t="str">
            <v>RR</v>
          </cell>
          <cell r="N740">
            <v>4</v>
          </cell>
        </row>
        <row r="741">
          <cell r="I741" t="str">
            <v>RR</v>
          </cell>
          <cell r="N741">
            <v>4</v>
          </cell>
        </row>
        <row r="742">
          <cell r="I742" t="str">
            <v>RR</v>
          </cell>
          <cell r="N742">
            <v>4</v>
          </cell>
        </row>
        <row r="743">
          <cell r="I743" t="str">
            <v>RR</v>
          </cell>
          <cell r="N743">
            <v>4</v>
          </cell>
        </row>
        <row r="744">
          <cell r="I744" t="str">
            <v>RR</v>
          </cell>
          <cell r="N744">
            <v>4</v>
          </cell>
        </row>
        <row r="745">
          <cell r="I745" t="str">
            <v>RR</v>
          </cell>
          <cell r="N745">
            <v>4</v>
          </cell>
        </row>
        <row r="746">
          <cell r="I746" t="str">
            <v>RR</v>
          </cell>
          <cell r="N746">
            <v>4</v>
          </cell>
        </row>
        <row r="747">
          <cell r="I747" t="str">
            <v>RR</v>
          </cell>
          <cell r="N747">
            <v>4</v>
          </cell>
        </row>
        <row r="748">
          <cell r="I748" t="str">
            <v>RR</v>
          </cell>
          <cell r="N748">
            <v>4</v>
          </cell>
        </row>
        <row r="749">
          <cell r="I749" t="str">
            <v>RR</v>
          </cell>
          <cell r="N749">
            <v>4</v>
          </cell>
        </row>
        <row r="750">
          <cell r="I750" t="str">
            <v>RR</v>
          </cell>
          <cell r="N750">
            <v>4</v>
          </cell>
        </row>
        <row r="751">
          <cell r="I751" t="str">
            <v>RR</v>
          </cell>
          <cell r="N751">
            <v>4</v>
          </cell>
        </row>
        <row r="752">
          <cell r="I752" t="str">
            <v>RR</v>
          </cell>
          <cell r="N752">
            <v>4</v>
          </cell>
        </row>
        <row r="753">
          <cell r="I753" t="str">
            <v>RR</v>
          </cell>
          <cell r="N753">
            <v>4</v>
          </cell>
        </row>
        <row r="754">
          <cell r="I754" t="str">
            <v>RR</v>
          </cell>
          <cell r="N754">
            <v>4</v>
          </cell>
        </row>
        <row r="755">
          <cell r="I755" t="str">
            <v>RR</v>
          </cell>
          <cell r="N755">
            <v>4</v>
          </cell>
        </row>
        <row r="756">
          <cell r="I756" t="str">
            <v>RR</v>
          </cell>
          <cell r="N756">
            <v>4</v>
          </cell>
        </row>
        <row r="757">
          <cell r="I757" t="str">
            <v>RR</v>
          </cell>
          <cell r="N757">
            <v>4</v>
          </cell>
        </row>
        <row r="758">
          <cell r="I758" t="str">
            <v>RR</v>
          </cell>
          <cell r="N758">
            <v>4</v>
          </cell>
        </row>
        <row r="759">
          <cell r="I759" t="str">
            <v>RR</v>
          </cell>
          <cell r="N759">
            <v>4</v>
          </cell>
        </row>
        <row r="760">
          <cell r="I760" t="str">
            <v>RR</v>
          </cell>
          <cell r="N760">
            <v>4</v>
          </cell>
        </row>
        <row r="761">
          <cell r="I761" t="str">
            <v>RR</v>
          </cell>
          <cell r="N761">
            <v>4</v>
          </cell>
        </row>
        <row r="762">
          <cell r="I762" t="str">
            <v>RR</v>
          </cell>
          <cell r="N762">
            <v>4</v>
          </cell>
        </row>
        <row r="763">
          <cell r="I763" t="str">
            <v>RR</v>
          </cell>
          <cell r="N763">
            <v>4</v>
          </cell>
        </row>
        <row r="764">
          <cell r="I764" t="str">
            <v>RR</v>
          </cell>
          <cell r="N764">
            <v>4</v>
          </cell>
        </row>
        <row r="765">
          <cell r="I765" t="str">
            <v>RR</v>
          </cell>
          <cell r="N765">
            <v>4</v>
          </cell>
        </row>
        <row r="766">
          <cell r="I766" t="str">
            <v>RR</v>
          </cell>
          <cell r="N766">
            <v>4</v>
          </cell>
        </row>
        <row r="767">
          <cell r="I767" t="str">
            <v>RR</v>
          </cell>
          <cell r="N767">
            <v>4</v>
          </cell>
        </row>
        <row r="768">
          <cell r="I768" t="str">
            <v>RR</v>
          </cell>
          <cell r="N768">
            <v>4</v>
          </cell>
        </row>
        <row r="769">
          <cell r="I769" t="str">
            <v>RR</v>
          </cell>
          <cell r="N769">
            <v>4</v>
          </cell>
        </row>
        <row r="770">
          <cell r="I770" t="str">
            <v>RR</v>
          </cell>
          <cell r="N770">
            <v>4</v>
          </cell>
        </row>
        <row r="771">
          <cell r="I771" t="str">
            <v>RR</v>
          </cell>
          <cell r="N771">
            <v>4</v>
          </cell>
        </row>
        <row r="772">
          <cell r="I772" t="str">
            <v>RR</v>
          </cell>
          <cell r="N772">
            <v>4</v>
          </cell>
        </row>
        <row r="773">
          <cell r="I773" t="str">
            <v>RR</v>
          </cell>
          <cell r="N773">
            <v>4</v>
          </cell>
        </row>
        <row r="774">
          <cell r="I774" t="str">
            <v>RR</v>
          </cell>
          <cell r="N774">
            <v>4</v>
          </cell>
        </row>
        <row r="775">
          <cell r="I775" t="str">
            <v>RR</v>
          </cell>
          <cell r="N775">
            <v>4</v>
          </cell>
        </row>
        <row r="776">
          <cell r="I776" t="str">
            <v>RR</v>
          </cell>
          <cell r="N776">
            <v>4</v>
          </cell>
        </row>
        <row r="777">
          <cell r="I777" t="str">
            <v>RR</v>
          </cell>
          <cell r="N777">
            <v>1</v>
          </cell>
        </row>
        <row r="778">
          <cell r="I778" t="str">
            <v>RR</v>
          </cell>
          <cell r="N778">
            <v>1</v>
          </cell>
        </row>
        <row r="779">
          <cell r="I779" t="str">
            <v>RR</v>
          </cell>
          <cell r="N779">
            <v>1</v>
          </cell>
        </row>
        <row r="780">
          <cell r="I780" t="str">
            <v>RR</v>
          </cell>
          <cell r="N780">
            <v>4</v>
          </cell>
        </row>
        <row r="781">
          <cell r="I781" t="str">
            <v>RR</v>
          </cell>
          <cell r="N781">
            <v>4</v>
          </cell>
        </row>
        <row r="782">
          <cell r="I782" t="str">
            <v>RR</v>
          </cell>
          <cell r="N782">
            <v>4</v>
          </cell>
        </row>
        <row r="783">
          <cell r="I783" t="str">
            <v>RR</v>
          </cell>
          <cell r="N783">
            <v>4</v>
          </cell>
        </row>
        <row r="784">
          <cell r="I784" t="str">
            <v>RR</v>
          </cell>
          <cell r="N784">
            <v>4</v>
          </cell>
        </row>
        <row r="785">
          <cell r="I785" t="str">
            <v>RR</v>
          </cell>
          <cell r="N785">
            <v>4</v>
          </cell>
        </row>
        <row r="786">
          <cell r="I786" t="str">
            <v>RR</v>
          </cell>
          <cell r="N786">
            <v>4</v>
          </cell>
        </row>
        <row r="787">
          <cell r="I787" t="str">
            <v>RR</v>
          </cell>
          <cell r="N787">
            <v>4</v>
          </cell>
        </row>
        <row r="788">
          <cell r="I788" t="str">
            <v>RR</v>
          </cell>
          <cell r="N788">
            <v>4</v>
          </cell>
        </row>
        <row r="789">
          <cell r="I789" t="str">
            <v>RR</v>
          </cell>
          <cell r="N789">
            <v>4</v>
          </cell>
        </row>
        <row r="790">
          <cell r="I790" t="str">
            <v>RR</v>
          </cell>
          <cell r="N790">
            <v>4</v>
          </cell>
        </row>
        <row r="791">
          <cell r="I791" t="str">
            <v>GW</v>
          </cell>
          <cell r="N791">
            <v>2</v>
          </cell>
        </row>
        <row r="792">
          <cell r="I792" t="str">
            <v>RR</v>
          </cell>
          <cell r="N792">
            <v>4</v>
          </cell>
        </row>
        <row r="793">
          <cell r="I793" t="str">
            <v>RR</v>
          </cell>
          <cell r="N793">
            <v>1</v>
          </cell>
        </row>
        <row r="794">
          <cell r="I794" t="str">
            <v>RR</v>
          </cell>
          <cell r="N794">
            <v>4</v>
          </cell>
        </row>
        <row r="795">
          <cell r="I795" t="str">
            <v>RR</v>
          </cell>
          <cell r="N795">
            <v>1</v>
          </cell>
        </row>
        <row r="796">
          <cell r="I796" t="str">
            <v>RR</v>
          </cell>
          <cell r="N796">
            <v>1</v>
          </cell>
        </row>
        <row r="797">
          <cell r="I797" t="str">
            <v>RR</v>
          </cell>
          <cell r="N797">
            <v>4</v>
          </cell>
        </row>
        <row r="798">
          <cell r="I798" t="str">
            <v>RR</v>
          </cell>
          <cell r="N798">
            <v>4</v>
          </cell>
        </row>
        <row r="799">
          <cell r="I799" t="str">
            <v>RR</v>
          </cell>
          <cell r="N799">
            <v>2</v>
          </cell>
        </row>
        <row r="800">
          <cell r="I800" t="str">
            <v>RR</v>
          </cell>
          <cell r="N800">
            <v>4</v>
          </cell>
        </row>
        <row r="801">
          <cell r="I801" t="str">
            <v>RR</v>
          </cell>
          <cell r="N801">
            <v>4</v>
          </cell>
        </row>
        <row r="802">
          <cell r="I802" t="str">
            <v>RR</v>
          </cell>
          <cell r="N802">
            <v>4</v>
          </cell>
        </row>
        <row r="803">
          <cell r="I803" t="str">
            <v>RR</v>
          </cell>
          <cell r="N803">
            <v>4</v>
          </cell>
        </row>
        <row r="804">
          <cell r="I804" t="str">
            <v>RR</v>
          </cell>
          <cell r="N804">
            <v>4</v>
          </cell>
        </row>
        <row r="805">
          <cell r="I805" t="str">
            <v>RR</v>
          </cell>
          <cell r="N805">
            <v>4</v>
          </cell>
        </row>
        <row r="806">
          <cell r="I806" t="str">
            <v>RR</v>
          </cell>
          <cell r="N806">
            <v>4</v>
          </cell>
        </row>
        <row r="807">
          <cell r="I807" t="str">
            <v>RR</v>
          </cell>
          <cell r="N807">
            <v>4</v>
          </cell>
        </row>
        <row r="808">
          <cell r="I808" t="str">
            <v>RR</v>
          </cell>
          <cell r="N808">
            <v>4</v>
          </cell>
        </row>
        <row r="809">
          <cell r="I809" t="str">
            <v>RR</v>
          </cell>
          <cell r="N809">
            <v>4</v>
          </cell>
        </row>
        <row r="810">
          <cell r="I810" t="str">
            <v>RR</v>
          </cell>
          <cell r="N810">
            <v>4</v>
          </cell>
        </row>
        <row r="811">
          <cell r="I811" t="str">
            <v>RR</v>
          </cell>
          <cell r="N811">
            <v>4</v>
          </cell>
        </row>
        <row r="812">
          <cell r="I812" t="str">
            <v>RR</v>
          </cell>
          <cell r="N812">
            <v>4</v>
          </cell>
        </row>
        <row r="813">
          <cell r="I813" t="str">
            <v>RR</v>
          </cell>
          <cell r="N813">
            <v>1</v>
          </cell>
        </row>
        <row r="814">
          <cell r="I814" t="str">
            <v>RR</v>
          </cell>
          <cell r="N814">
            <v>4</v>
          </cell>
        </row>
        <row r="815">
          <cell r="I815" t="str">
            <v>RR</v>
          </cell>
          <cell r="N815">
            <v>4</v>
          </cell>
        </row>
        <row r="816">
          <cell r="I816" t="str">
            <v>RR</v>
          </cell>
          <cell r="N816">
            <v>4</v>
          </cell>
        </row>
        <row r="817">
          <cell r="I817" t="str">
            <v>RR</v>
          </cell>
          <cell r="N817">
            <v>4</v>
          </cell>
        </row>
        <row r="818">
          <cell r="I818" t="str">
            <v>RR</v>
          </cell>
          <cell r="N818">
            <v>4</v>
          </cell>
        </row>
        <row r="819">
          <cell r="I819" t="str">
            <v>RR</v>
          </cell>
          <cell r="N819">
            <v>4</v>
          </cell>
        </row>
        <row r="820">
          <cell r="I820" t="str">
            <v>RR</v>
          </cell>
          <cell r="N820">
            <v>4</v>
          </cell>
        </row>
        <row r="821">
          <cell r="I821" t="str">
            <v>RR</v>
          </cell>
          <cell r="N821">
            <v>4</v>
          </cell>
        </row>
        <row r="822">
          <cell r="I822" t="str">
            <v>RR</v>
          </cell>
          <cell r="N822">
            <v>4</v>
          </cell>
        </row>
        <row r="823">
          <cell r="I823" t="str">
            <v>RR</v>
          </cell>
          <cell r="N823">
            <v>4</v>
          </cell>
        </row>
        <row r="824">
          <cell r="I824" t="str">
            <v>RR</v>
          </cell>
          <cell r="N824">
            <v>4</v>
          </cell>
        </row>
        <row r="825">
          <cell r="I825" t="str">
            <v>RR</v>
          </cell>
          <cell r="N825">
            <v>4</v>
          </cell>
        </row>
        <row r="826">
          <cell r="I826" t="str">
            <v>RR</v>
          </cell>
          <cell r="N826">
            <v>4</v>
          </cell>
        </row>
        <row r="827">
          <cell r="I827" t="str">
            <v>RR</v>
          </cell>
          <cell r="N827">
            <v>4</v>
          </cell>
        </row>
        <row r="828">
          <cell r="I828" t="str">
            <v>RR</v>
          </cell>
          <cell r="N828">
            <v>4</v>
          </cell>
        </row>
        <row r="829">
          <cell r="I829" t="str">
            <v>RR</v>
          </cell>
          <cell r="N829">
            <v>4</v>
          </cell>
        </row>
        <row r="830">
          <cell r="I830" t="str">
            <v>RR</v>
          </cell>
          <cell r="N830">
            <v>4</v>
          </cell>
        </row>
        <row r="831">
          <cell r="I831" t="str">
            <v>RR</v>
          </cell>
          <cell r="N831">
            <v>4</v>
          </cell>
        </row>
        <row r="832">
          <cell r="I832" t="str">
            <v>RS</v>
          </cell>
          <cell r="N832">
            <v>4</v>
          </cell>
        </row>
        <row r="833">
          <cell r="I833" t="str">
            <v>RS</v>
          </cell>
          <cell r="N833">
            <v>4</v>
          </cell>
        </row>
        <row r="834">
          <cell r="I834" t="str">
            <v>RS</v>
          </cell>
          <cell r="N834">
            <v>4</v>
          </cell>
        </row>
        <row r="835">
          <cell r="I835" t="str">
            <v>RS</v>
          </cell>
          <cell r="N835">
            <v>4</v>
          </cell>
        </row>
        <row r="836">
          <cell r="I836" t="str">
            <v>RS</v>
          </cell>
          <cell r="N836">
            <v>4</v>
          </cell>
        </row>
        <row r="837">
          <cell r="I837" t="str">
            <v>RS</v>
          </cell>
          <cell r="N837">
            <v>4</v>
          </cell>
        </row>
        <row r="838">
          <cell r="I838" t="str">
            <v>RS</v>
          </cell>
          <cell r="N838">
            <v>4</v>
          </cell>
        </row>
        <row r="839">
          <cell r="I839" t="str">
            <v>RS</v>
          </cell>
          <cell r="N839">
            <v>4</v>
          </cell>
        </row>
        <row r="840">
          <cell r="I840" t="str">
            <v>RS</v>
          </cell>
          <cell r="N840">
            <v>4</v>
          </cell>
        </row>
        <row r="841">
          <cell r="I841" t="str">
            <v>RS</v>
          </cell>
          <cell r="N841">
            <v>4</v>
          </cell>
        </row>
        <row r="842">
          <cell r="I842" t="str">
            <v>RS</v>
          </cell>
          <cell r="N842">
            <v>1</v>
          </cell>
        </row>
        <row r="843">
          <cell r="I843" t="str">
            <v>RS</v>
          </cell>
          <cell r="N843">
            <v>4</v>
          </cell>
        </row>
        <row r="844">
          <cell r="I844" t="str">
            <v>RS</v>
          </cell>
          <cell r="N844">
            <v>4</v>
          </cell>
        </row>
        <row r="845">
          <cell r="I845" t="str">
            <v>RS</v>
          </cell>
          <cell r="N845">
            <v>4</v>
          </cell>
        </row>
        <row r="846">
          <cell r="I846" t="str">
            <v>RS</v>
          </cell>
          <cell r="N846">
            <v>4</v>
          </cell>
        </row>
        <row r="847">
          <cell r="I847" t="str">
            <v>RS</v>
          </cell>
          <cell r="N847">
            <v>4</v>
          </cell>
        </row>
        <row r="848">
          <cell r="I848" t="str">
            <v>RS</v>
          </cell>
          <cell r="N848">
            <v>4</v>
          </cell>
        </row>
        <row r="849">
          <cell r="I849" t="str">
            <v>RS</v>
          </cell>
          <cell r="N849">
            <v>1</v>
          </cell>
        </row>
        <row r="850">
          <cell r="I850" t="str">
            <v>RS</v>
          </cell>
          <cell r="N850">
            <v>2</v>
          </cell>
        </row>
        <row r="851">
          <cell r="I851" t="str">
            <v>RS</v>
          </cell>
          <cell r="N851">
            <v>1</v>
          </cell>
        </row>
        <row r="852">
          <cell r="I852" t="str">
            <v>RS</v>
          </cell>
          <cell r="N852">
            <v>1</v>
          </cell>
        </row>
        <row r="853">
          <cell r="I853" t="str">
            <v>RS</v>
          </cell>
          <cell r="N853">
            <v>1</v>
          </cell>
        </row>
        <row r="854">
          <cell r="I854" t="str">
            <v>RS</v>
          </cell>
          <cell r="N854">
            <v>1</v>
          </cell>
        </row>
        <row r="855">
          <cell r="I855" t="str">
            <v>RS</v>
          </cell>
          <cell r="N855">
            <v>4</v>
          </cell>
        </row>
        <row r="856">
          <cell r="I856" t="str">
            <v>RS</v>
          </cell>
          <cell r="N856">
            <v>4</v>
          </cell>
        </row>
        <row r="857">
          <cell r="I857" t="str">
            <v>RS</v>
          </cell>
          <cell r="N857">
            <v>4</v>
          </cell>
        </row>
        <row r="858">
          <cell r="I858" t="str">
            <v>RS</v>
          </cell>
          <cell r="N858">
            <v>4</v>
          </cell>
        </row>
        <row r="859">
          <cell r="I859" t="str">
            <v>RS</v>
          </cell>
          <cell r="N859">
            <v>5</v>
          </cell>
        </row>
        <row r="860">
          <cell r="I860" t="str">
            <v>RS</v>
          </cell>
          <cell r="N860">
            <v>4</v>
          </cell>
        </row>
        <row r="861">
          <cell r="I861" t="str">
            <v>RS</v>
          </cell>
          <cell r="N861">
            <v>1</v>
          </cell>
        </row>
        <row r="862">
          <cell r="I862" t="str">
            <v>RS</v>
          </cell>
          <cell r="N862">
            <v>1</v>
          </cell>
        </row>
        <row r="863">
          <cell r="I863" t="str">
            <v>RS</v>
          </cell>
          <cell r="N863">
            <v>4</v>
          </cell>
        </row>
        <row r="864">
          <cell r="I864" t="str">
            <v>RS</v>
          </cell>
          <cell r="N864">
            <v>4</v>
          </cell>
        </row>
        <row r="865">
          <cell r="I865" t="str">
            <v>RS</v>
          </cell>
          <cell r="N865">
            <v>4</v>
          </cell>
        </row>
        <row r="866">
          <cell r="I866" t="str">
            <v>RS</v>
          </cell>
          <cell r="N866">
            <v>1</v>
          </cell>
        </row>
        <row r="867">
          <cell r="I867" t="str">
            <v>RS</v>
          </cell>
          <cell r="N867">
            <v>4</v>
          </cell>
        </row>
        <row r="868">
          <cell r="I868" t="str">
            <v>RS</v>
          </cell>
          <cell r="N868">
            <v>4</v>
          </cell>
        </row>
        <row r="869">
          <cell r="I869" t="str">
            <v>RS</v>
          </cell>
          <cell r="N869">
            <v>1</v>
          </cell>
        </row>
        <row r="870">
          <cell r="I870" t="str">
            <v>RS</v>
          </cell>
          <cell r="N870">
            <v>1</v>
          </cell>
        </row>
        <row r="871">
          <cell r="I871" t="str">
            <v>RS</v>
          </cell>
          <cell r="N871">
            <v>4</v>
          </cell>
        </row>
        <row r="872">
          <cell r="I872" t="str">
            <v>RS</v>
          </cell>
          <cell r="N872">
            <v>1</v>
          </cell>
        </row>
        <row r="873">
          <cell r="I873" t="str">
            <v>RS</v>
          </cell>
          <cell r="N873">
            <v>1</v>
          </cell>
        </row>
        <row r="874">
          <cell r="I874" t="str">
            <v>RS</v>
          </cell>
          <cell r="N874">
            <v>4</v>
          </cell>
        </row>
        <row r="875">
          <cell r="I875" t="str">
            <v>RS</v>
          </cell>
          <cell r="N875">
            <v>4</v>
          </cell>
        </row>
        <row r="876">
          <cell r="I876" t="str">
            <v>RS</v>
          </cell>
          <cell r="N876">
            <v>4</v>
          </cell>
        </row>
        <row r="877">
          <cell r="I877" t="str">
            <v>RS</v>
          </cell>
          <cell r="N877">
            <v>4</v>
          </cell>
        </row>
        <row r="878">
          <cell r="I878" t="str">
            <v>RS</v>
          </cell>
          <cell r="N878">
            <v>4</v>
          </cell>
        </row>
        <row r="879">
          <cell r="I879" t="str">
            <v>RS</v>
          </cell>
          <cell r="N879">
            <v>4</v>
          </cell>
        </row>
        <row r="880">
          <cell r="I880" t="str">
            <v>RS</v>
          </cell>
          <cell r="N880">
            <v>1</v>
          </cell>
        </row>
        <row r="881">
          <cell r="I881" t="str">
            <v>RS</v>
          </cell>
          <cell r="N881">
            <v>4</v>
          </cell>
        </row>
        <row r="882">
          <cell r="I882" t="str">
            <v>RS</v>
          </cell>
          <cell r="N882">
            <v>4</v>
          </cell>
        </row>
        <row r="883">
          <cell r="I883" t="str">
            <v>RS</v>
          </cell>
          <cell r="N883">
            <v>1</v>
          </cell>
        </row>
        <row r="884">
          <cell r="I884" t="str">
            <v>RS</v>
          </cell>
          <cell r="N884">
            <v>4</v>
          </cell>
        </row>
        <row r="885">
          <cell r="I885" t="str">
            <v>RS</v>
          </cell>
          <cell r="N885">
            <v>4</v>
          </cell>
        </row>
        <row r="886">
          <cell r="I886" t="str">
            <v>RS</v>
          </cell>
          <cell r="N886">
            <v>4</v>
          </cell>
        </row>
        <row r="887">
          <cell r="I887" t="str">
            <v>RS</v>
          </cell>
          <cell r="N887">
            <v>4</v>
          </cell>
        </row>
        <row r="888">
          <cell r="I888" t="str">
            <v>RS</v>
          </cell>
          <cell r="N888">
            <v>4</v>
          </cell>
        </row>
        <row r="889">
          <cell r="I889" t="str">
            <v>RS</v>
          </cell>
          <cell r="N889">
            <v>1</v>
          </cell>
        </row>
        <row r="890">
          <cell r="I890" t="str">
            <v>RS</v>
          </cell>
          <cell r="N890">
            <v>4</v>
          </cell>
        </row>
        <row r="891">
          <cell r="I891" t="str">
            <v>RS</v>
          </cell>
          <cell r="N891">
            <v>4</v>
          </cell>
        </row>
        <row r="892">
          <cell r="I892" t="str">
            <v>RS</v>
          </cell>
          <cell r="N892">
            <v>1</v>
          </cell>
        </row>
        <row r="893">
          <cell r="I893" t="str">
            <v>RS</v>
          </cell>
          <cell r="N893">
            <v>1</v>
          </cell>
        </row>
        <row r="894">
          <cell r="I894" t="str">
            <v>RS</v>
          </cell>
          <cell r="N894">
            <v>1</v>
          </cell>
        </row>
        <row r="895">
          <cell r="I895" t="str">
            <v>RS</v>
          </cell>
          <cell r="N895">
            <v>1</v>
          </cell>
        </row>
        <row r="896">
          <cell r="I896" t="str">
            <v>RS</v>
          </cell>
          <cell r="N896">
            <v>1</v>
          </cell>
        </row>
        <row r="897">
          <cell r="I897" t="str">
            <v>RS</v>
          </cell>
          <cell r="N897">
            <v>1</v>
          </cell>
        </row>
        <row r="898">
          <cell r="I898" t="str">
            <v>RS</v>
          </cell>
          <cell r="N898">
            <v>4</v>
          </cell>
        </row>
        <row r="899">
          <cell r="I899" t="str">
            <v>RS</v>
          </cell>
          <cell r="N899">
            <v>1</v>
          </cell>
        </row>
        <row r="900">
          <cell r="I900" t="str">
            <v>RS</v>
          </cell>
          <cell r="N900">
            <v>1</v>
          </cell>
        </row>
        <row r="901">
          <cell r="I901" t="str">
            <v>RS</v>
          </cell>
          <cell r="N901">
            <v>4</v>
          </cell>
        </row>
        <row r="902">
          <cell r="I902" t="str">
            <v>RS</v>
          </cell>
          <cell r="N902">
            <v>4</v>
          </cell>
        </row>
        <row r="903">
          <cell r="I903" t="str">
            <v>RS</v>
          </cell>
          <cell r="N903">
            <v>4</v>
          </cell>
        </row>
        <row r="904">
          <cell r="I904" t="str">
            <v>RS</v>
          </cell>
          <cell r="N904">
            <v>4</v>
          </cell>
        </row>
        <row r="905">
          <cell r="I905" t="str">
            <v>RS</v>
          </cell>
          <cell r="N905">
            <v>4</v>
          </cell>
        </row>
        <row r="906">
          <cell r="I906" t="str">
            <v>RS</v>
          </cell>
          <cell r="N906">
            <v>4</v>
          </cell>
        </row>
        <row r="907">
          <cell r="I907" t="str">
            <v>RS</v>
          </cell>
          <cell r="N907">
            <v>4</v>
          </cell>
        </row>
        <row r="908">
          <cell r="I908" t="str">
            <v>RS</v>
          </cell>
          <cell r="N908">
            <v>4</v>
          </cell>
        </row>
        <row r="909">
          <cell r="I909" t="str">
            <v>RS</v>
          </cell>
          <cell r="N909">
            <v>4</v>
          </cell>
        </row>
        <row r="910">
          <cell r="I910" t="str">
            <v>RS</v>
          </cell>
          <cell r="N910">
            <v>1</v>
          </cell>
        </row>
        <row r="911">
          <cell r="I911" t="str">
            <v>RS</v>
          </cell>
          <cell r="N911">
            <v>1</v>
          </cell>
        </row>
        <row r="912">
          <cell r="I912" t="str">
            <v>RS</v>
          </cell>
          <cell r="N912">
            <v>1</v>
          </cell>
        </row>
        <row r="913">
          <cell r="I913" t="str">
            <v>RS</v>
          </cell>
          <cell r="N913">
            <v>1</v>
          </cell>
        </row>
        <row r="914">
          <cell r="I914" t="str">
            <v>RS</v>
          </cell>
          <cell r="N914">
            <v>1</v>
          </cell>
        </row>
        <row r="915">
          <cell r="I915" t="str">
            <v>RS</v>
          </cell>
          <cell r="N915">
            <v>1</v>
          </cell>
        </row>
        <row r="916">
          <cell r="I916" t="str">
            <v>RS</v>
          </cell>
          <cell r="N916">
            <v>1</v>
          </cell>
        </row>
        <row r="917">
          <cell r="I917" t="str">
            <v>RS</v>
          </cell>
          <cell r="N917">
            <v>1</v>
          </cell>
        </row>
        <row r="918">
          <cell r="I918" t="str">
            <v>RS</v>
          </cell>
          <cell r="N918">
            <v>1</v>
          </cell>
        </row>
        <row r="919">
          <cell r="I919" t="str">
            <v>RS</v>
          </cell>
          <cell r="N919">
            <v>1</v>
          </cell>
        </row>
        <row r="920">
          <cell r="I920" t="str">
            <v>RS</v>
          </cell>
          <cell r="N920">
            <v>1</v>
          </cell>
        </row>
        <row r="921">
          <cell r="I921" t="str">
            <v>RS</v>
          </cell>
          <cell r="N921">
            <v>1</v>
          </cell>
        </row>
        <row r="922">
          <cell r="I922" t="str">
            <v>RS</v>
          </cell>
          <cell r="N922">
            <v>1</v>
          </cell>
        </row>
        <row r="923">
          <cell r="I923" t="str">
            <v>RS</v>
          </cell>
          <cell r="N923">
            <v>1</v>
          </cell>
        </row>
        <row r="924">
          <cell r="I924" t="str">
            <v>RS</v>
          </cell>
          <cell r="N924">
            <v>1</v>
          </cell>
        </row>
        <row r="925">
          <cell r="I925" t="str">
            <v>RS</v>
          </cell>
          <cell r="N925">
            <v>1</v>
          </cell>
        </row>
        <row r="926">
          <cell r="I926" t="str">
            <v>RS</v>
          </cell>
          <cell r="N926">
            <v>1</v>
          </cell>
        </row>
        <row r="927">
          <cell r="I927" t="str">
            <v>RS</v>
          </cell>
          <cell r="N927">
            <v>1</v>
          </cell>
        </row>
        <row r="928">
          <cell r="I928" t="str">
            <v>RS</v>
          </cell>
          <cell r="N928">
            <v>1</v>
          </cell>
        </row>
        <row r="929">
          <cell r="I929" t="str">
            <v>RS</v>
          </cell>
          <cell r="N929">
            <v>1</v>
          </cell>
        </row>
        <row r="930">
          <cell r="I930" t="str">
            <v>RS</v>
          </cell>
          <cell r="N930">
            <v>1</v>
          </cell>
        </row>
        <row r="931">
          <cell r="I931" t="str">
            <v>RS</v>
          </cell>
          <cell r="N931">
            <v>1</v>
          </cell>
        </row>
        <row r="932">
          <cell r="I932" t="str">
            <v>RS</v>
          </cell>
          <cell r="N932">
            <v>4</v>
          </cell>
        </row>
        <row r="933">
          <cell r="I933" t="str">
            <v>RS</v>
          </cell>
          <cell r="N933">
            <v>4</v>
          </cell>
        </row>
        <row r="934">
          <cell r="I934" t="str">
            <v>RS</v>
          </cell>
          <cell r="N934">
            <v>1</v>
          </cell>
        </row>
        <row r="935">
          <cell r="I935" t="str">
            <v>RS</v>
          </cell>
          <cell r="N935">
            <v>2</v>
          </cell>
        </row>
        <row r="936">
          <cell r="I936" t="str">
            <v>RS</v>
          </cell>
          <cell r="N936">
            <v>4</v>
          </cell>
        </row>
        <row r="937">
          <cell r="I937" t="str">
            <v>RS</v>
          </cell>
          <cell r="N937">
            <v>4</v>
          </cell>
        </row>
        <row r="938">
          <cell r="I938" t="str">
            <v>RS</v>
          </cell>
          <cell r="N938">
            <v>1</v>
          </cell>
        </row>
        <row r="939">
          <cell r="I939" t="str">
            <v>RS</v>
          </cell>
          <cell r="N939">
            <v>4</v>
          </cell>
        </row>
        <row r="940">
          <cell r="I940" t="str">
            <v>RS</v>
          </cell>
          <cell r="N940">
            <v>1</v>
          </cell>
        </row>
        <row r="941">
          <cell r="I941" t="str">
            <v>RS</v>
          </cell>
          <cell r="N941">
            <v>1</v>
          </cell>
        </row>
        <row r="942">
          <cell r="I942" t="str">
            <v>RS</v>
          </cell>
          <cell r="N942">
            <v>1</v>
          </cell>
        </row>
        <row r="943">
          <cell r="I943" t="str">
            <v>RS</v>
          </cell>
          <cell r="N943">
            <v>1</v>
          </cell>
        </row>
        <row r="944">
          <cell r="I944" t="str">
            <v>RS</v>
          </cell>
          <cell r="N944">
            <v>4</v>
          </cell>
        </row>
        <row r="945">
          <cell r="I945" t="str">
            <v>RS</v>
          </cell>
          <cell r="N945">
            <v>4</v>
          </cell>
        </row>
        <row r="946">
          <cell r="I946" t="str">
            <v>RS</v>
          </cell>
          <cell r="N946">
            <v>4</v>
          </cell>
        </row>
        <row r="947">
          <cell r="I947" t="str">
            <v>RS</v>
          </cell>
          <cell r="N947">
            <v>1</v>
          </cell>
        </row>
        <row r="948">
          <cell r="I948" t="str">
            <v>RS</v>
          </cell>
          <cell r="N948">
            <v>4</v>
          </cell>
        </row>
        <row r="949">
          <cell r="I949" t="str">
            <v>RS</v>
          </cell>
          <cell r="N949">
            <v>1</v>
          </cell>
        </row>
        <row r="950">
          <cell r="I950" t="str">
            <v>RS</v>
          </cell>
          <cell r="N950">
            <v>4</v>
          </cell>
        </row>
        <row r="951">
          <cell r="I951" t="str">
            <v>RS</v>
          </cell>
          <cell r="N951">
            <v>4</v>
          </cell>
        </row>
        <row r="952">
          <cell r="I952" t="str">
            <v>RS</v>
          </cell>
          <cell r="N952">
            <v>4</v>
          </cell>
        </row>
        <row r="953">
          <cell r="I953" t="str">
            <v>RS</v>
          </cell>
          <cell r="N953">
            <v>4</v>
          </cell>
        </row>
        <row r="954">
          <cell r="I954" t="str">
            <v>RS</v>
          </cell>
          <cell r="N954">
            <v>4</v>
          </cell>
        </row>
        <row r="955">
          <cell r="I955" t="str">
            <v>RS</v>
          </cell>
          <cell r="N955">
            <v>4</v>
          </cell>
        </row>
        <row r="956">
          <cell r="I956" t="str">
            <v>RS</v>
          </cell>
          <cell r="N956">
            <v>4</v>
          </cell>
        </row>
        <row r="957">
          <cell r="I957" t="str">
            <v>RS</v>
          </cell>
          <cell r="N957">
            <v>4</v>
          </cell>
        </row>
        <row r="958">
          <cell r="I958" t="str">
            <v>RS</v>
          </cell>
          <cell r="N958">
            <v>4</v>
          </cell>
        </row>
        <row r="959">
          <cell r="I959" t="str">
            <v>RS</v>
          </cell>
          <cell r="N959">
            <v>1</v>
          </cell>
        </row>
        <row r="960">
          <cell r="I960" t="str">
            <v>RS</v>
          </cell>
          <cell r="N960">
            <v>1</v>
          </cell>
        </row>
        <row r="961">
          <cell r="I961" t="str">
            <v>RS</v>
          </cell>
          <cell r="N961">
            <v>1</v>
          </cell>
        </row>
        <row r="962">
          <cell r="I962" t="str">
            <v>RS</v>
          </cell>
          <cell r="N962">
            <v>1</v>
          </cell>
        </row>
        <row r="963">
          <cell r="I963" t="str">
            <v>RS</v>
          </cell>
          <cell r="N963">
            <v>4</v>
          </cell>
        </row>
        <row r="964">
          <cell r="I964" t="str">
            <v>RS</v>
          </cell>
          <cell r="N964">
            <v>4</v>
          </cell>
        </row>
        <row r="965">
          <cell r="I965" t="str">
            <v>RS</v>
          </cell>
          <cell r="N965">
            <v>4</v>
          </cell>
        </row>
        <row r="966">
          <cell r="I966" t="str">
            <v>RS</v>
          </cell>
          <cell r="N966">
            <v>4</v>
          </cell>
        </row>
        <row r="967">
          <cell r="I967" t="str">
            <v>RS</v>
          </cell>
          <cell r="N967">
            <v>4</v>
          </cell>
        </row>
        <row r="968">
          <cell r="I968" t="str">
            <v>RS</v>
          </cell>
          <cell r="N968">
            <v>4</v>
          </cell>
        </row>
        <row r="969">
          <cell r="I969" t="str">
            <v>RS</v>
          </cell>
          <cell r="N969">
            <v>4</v>
          </cell>
        </row>
        <row r="970">
          <cell r="I970" t="str">
            <v>RS</v>
          </cell>
          <cell r="N970">
            <v>1</v>
          </cell>
        </row>
        <row r="971">
          <cell r="I971" t="str">
            <v>RS</v>
          </cell>
          <cell r="N971">
            <v>4</v>
          </cell>
        </row>
        <row r="972">
          <cell r="I972" t="str">
            <v>RS</v>
          </cell>
          <cell r="N972">
            <v>4</v>
          </cell>
        </row>
        <row r="973">
          <cell r="I973" t="str">
            <v>RS</v>
          </cell>
          <cell r="N973">
            <v>4</v>
          </cell>
        </row>
        <row r="974">
          <cell r="I974" t="str">
            <v>RS</v>
          </cell>
          <cell r="N974">
            <v>4</v>
          </cell>
        </row>
        <row r="975">
          <cell r="I975" t="str">
            <v>RS</v>
          </cell>
          <cell r="N975">
            <v>4</v>
          </cell>
        </row>
        <row r="976">
          <cell r="I976" t="str">
            <v>RS</v>
          </cell>
          <cell r="N976">
            <v>4</v>
          </cell>
        </row>
        <row r="977">
          <cell r="I977" t="str">
            <v>RS</v>
          </cell>
          <cell r="N977">
            <v>4</v>
          </cell>
        </row>
        <row r="978">
          <cell r="I978" t="str">
            <v>RS</v>
          </cell>
          <cell r="N978">
            <v>2</v>
          </cell>
        </row>
        <row r="979">
          <cell r="I979" t="str">
            <v>RS</v>
          </cell>
          <cell r="N979">
            <v>4</v>
          </cell>
        </row>
        <row r="980">
          <cell r="I980" t="str">
            <v>RS</v>
          </cell>
          <cell r="N980">
            <v>4</v>
          </cell>
        </row>
        <row r="981">
          <cell r="I981" t="str">
            <v>RS</v>
          </cell>
          <cell r="N981">
            <v>4</v>
          </cell>
        </row>
        <row r="982">
          <cell r="I982" t="str">
            <v>RS</v>
          </cell>
          <cell r="N982">
            <v>4</v>
          </cell>
        </row>
        <row r="983">
          <cell r="I983" t="str">
            <v>RS</v>
          </cell>
          <cell r="N983">
            <v>4</v>
          </cell>
        </row>
        <row r="984">
          <cell r="I984" t="str">
            <v>RS</v>
          </cell>
          <cell r="N984">
            <v>2</v>
          </cell>
        </row>
        <row r="985">
          <cell r="I985" t="str">
            <v>RS</v>
          </cell>
          <cell r="N985">
            <v>4</v>
          </cell>
        </row>
        <row r="986">
          <cell r="I986" t="str">
            <v>RS</v>
          </cell>
          <cell r="N986">
            <v>4</v>
          </cell>
        </row>
        <row r="987">
          <cell r="I987" t="str">
            <v>RS</v>
          </cell>
          <cell r="N987">
            <v>4</v>
          </cell>
        </row>
        <row r="988">
          <cell r="I988" t="str">
            <v>RS</v>
          </cell>
          <cell r="N988">
            <v>4</v>
          </cell>
        </row>
        <row r="989">
          <cell r="I989" t="str">
            <v>RS</v>
          </cell>
          <cell r="N989">
            <v>4</v>
          </cell>
        </row>
        <row r="990">
          <cell r="I990" t="str">
            <v>RS</v>
          </cell>
          <cell r="N990">
            <v>4</v>
          </cell>
        </row>
        <row r="991">
          <cell r="I991" t="str">
            <v>RS</v>
          </cell>
          <cell r="N991">
            <v>4</v>
          </cell>
        </row>
        <row r="992">
          <cell r="I992" t="str">
            <v>RS</v>
          </cell>
          <cell r="N992">
            <v>4</v>
          </cell>
        </row>
        <row r="993">
          <cell r="I993" t="str">
            <v>RS</v>
          </cell>
          <cell r="N993">
            <v>4</v>
          </cell>
        </row>
        <row r="994">
          <cell r="I994" t="str">
            <v>RS</v>
          </cell>
          <cell r="N994">
            <v>3</v>
          </cell>
        </row>
        <row r="995">
          <cell r="I995" t="str">
            <v>RS</v>
          </cell>
          <cell r="N995">
            <v>4</v>
          </cell>
        </row>
        <row r="996">
          <cell r="I996" t="str">
            <v>RS</v>
          </cell>
          <cell r="N996">
            <v>1</v>
          </cell>
        </row>
        <row r="997">
          <cell r="I997" t="str">
            <v>RS</v>
          </cell>
          <cell r="N997">
            <v>2</v>
          </cell>
        </row>
        <row r="998">
          <cell r="I998" t="str">
            <v>RS</v>
          </cell>
          <cell r="N998">
            <v>3</v>
          </cell>
        </row>
        <row r="999">
          <cell r="I999" t="str">
            <v>RS</v>
          </cell>
          <cell r="N999">
            <v>3</v>
          </cell>
        </row>
        <row r="1000">
          <cell r="I1000" t="str">
            <v>RS</v>
          </cell>
          <cell r="N1000">
            <v>4</v>
          </cell>
        </row>
        <row r="1001">
          <cell r="I1001" t="str">
            <v>RS</v>
          </cell>
          <cell r="N1001">
            <v>2</v>
          </cell>
        </row>
        <row r="1002">
          <cell r="I1002" t="str">
            <v>RS</v>
          </cell>
          <cell r="N1002">
            <v>4</v>
          </cell>
        </row>
        <row r="1003">
          <cell r="I1003" t="str">
            <v>RS</v>
          </cell>
          <cell r="N1003">
            <v>4</v>
          </cell>
        </row>
        <row r="1004">
          <cell r="I1004" t="str">
            <v>RS</v>
          </cell>
          <cell r="N1004">
            <v>4</v>
          </cell>
        </row>
        <row r="1005">
          <cell r="I1005" t="str">
            <v>RS</v>
          </cell>
          <cell r="N1005">
            <v>4</v>
          </cell>
        </row>
        <row r="1006">
          <cell r="I1006" t="str">
            <v>RS</v>
          </cell>
          <cell r="N1006">
            <v>4</v>
          </cell>
        </row>
        <row r="1007">
          <cell r="I1007" t="str">
            <v>RS</v>
          </cell>
          <cell r="N1007">
            <v>1</v>
          </cell>
        </row>
        <row r="1008">
          <cell r="I1008" t="str">
            <v>RS</v>
          </cell>
          <cell r="N1008">
            <v>4</v>
          </cell>
        </row>
        <row r="1009">
          <cell r="I1009" t="str">
            <v>RS</v>
          </cell>
          <cell r="N1009">
            <v>4</v>
          </cell>
        </row>
        <row r="1010">
          <cell r="I1010" t="str">
            <v>RS</v>
          </cell>
          <cell r="N1010">
            <v>4</v>
          </cell>
        </row>
        <row r="1011">
          <cell r="I1011" t="str">
            <v>RS</v>
          </cell>
          <cell r="N1011">
            <v>4</v>
          </cell>
        </row>
        <row r="1012">
          <cell r="I1012" t="str">
            <v>RS</v>
          </cell>
          <cell r="N1012">
            <v>4</v>
          </cell>
        </row>
        <row r="1013">
          <cell r="I1013" t="str">
            <v>RS</v>
          </cell>
          <cell r="N1013">
            <v>4</v>
          </cell>
        </row>
        <row r="1014">
          <cell r="I1014" t="str">
            <v>RS</v>
          </cell>
          <cell r="N1014">
            <v>4</v>
          </cell>
        </row>
        <row r="1015">
          <cell r="I1015" t="str">
            <v>RS</v>
          </cell>
          <cell r="N1015">
            <v>4</v>
          </cell>
        </row>
        <row r="1016">
          <cell r="I1016" t="str">
            <v>RS</v>
          </cell>
          <cell r="N1016">
            <v>4</v>
          </cell>
        </row>
        <row r="1017">
          <cell r="I1017" t="str">
            <v>RS</v>
          </cell>
          <cell r="N1017">
            <v>4</v>
          </cell>
        </row>
        <row r="1018">
          <cell r="I1018" t="str">
            <v>RS</v>
          </cell>
          <cell r="N1018">
            <v>4</v>
          </cell>
        </row>
        <row r="1019">
          <cell r="I1019" t="str">
            <v>RS</v>
          </cell>
          <cell r="N1019">
            <v>4</v>
          </cell>
        </row>
        <row r="1020">
          <cell r="I1020" t="str">
            <v>RS</v>
          </cell>
          <cell r="N1020">
            <v>4</v>
          </cell>
        </row>
        <row r="1021">
          <cell r="I1021" t="str">
            <v>RS</v>
          </cell>
          <cell r="N1021">
            <v>4</v>
          </cell>
        </row>
        <row r="1022">
          <cell r="I1022" t="str">
            <v>RS</v>
          </cell>
          <cell r="N1022">
            <v>1</v>
          </cell>
        </row>
        <row r="1023">
          <cell r="I1023" t="str">
            <v>RS</v>
          </cell>
          <cell r="N1023">
            <v>4</v>
          </cell>
        </row>
        <row r="1024">
          <cell r="I1024" t="str">
            <v>RS</v>
          </cell>
          <cell r="N1024">
            <v>2</v>
          </cell>
        </row>
        <row r="1025">
          <cell r="I1025" t="str">
            <v>RS</v>
          </cell>
          <cell r="N1025">
            <v>4</v>
          </cell>
        </row>
        <row r="1026">
          <cell r="I1026" t="str">
            <v>RS</v>
          </cell>
          <cell r="N1026">
            <v>4</v>
          </cell>
        </row>
        <row r="1027">
          <cell r="I1027" t="str">
            <v>RS</v>
          </cell>
          <cell r="N1027">
            <v>4</v>
          </cell>
        </row>
        <row r="1028">
          <cell r="I1028" t="str">
            <v>RS</v>
          </cell>
          <cell r="N1028">
            <v>4</v>
          </cell>
        </row>
        <row r="1029">
          <cell r="I1029" t="str">
            <v>RS</v>
          </cell>
          <cell r="N1029">
            <v>4</v>
          </cell>
        </row>
        <row r="1030">
          <cell r="I1030" t="str">
            <v>RS</v>
          </cell>
          <cell r="N1030">
            <v>4</v>
          </cell>
        </row>
        <row r="1031">
          <cell r="I1031" t="str">
            <v>RS</v>
          </cell>
          <cell r="N1031">
            <v>4</v>
          </cell>
        </row>
        <row r="1032">
          <cell r="I1032" t="str">
            <v>RS</v>
          </cell>
          <cell r="N1032">
            <v>4</v>
          </cell>
        </row>
        <row r="1033">
          <cell r="I1033" t="str">
            <v>RS</v>
          </cell>
          <cell r="N1033">
            <v>2</v>
          </cell>
        </row>
        <row r="1034">
          <cell r="I1034" t="str">
            <v>RS</v>
          </cell>
          <cell r="N1034">
            <v>4</v>
          </cell>
        </row>
        <row r="1035">
          <cell r="I1035" t="str">
            <v>RS</v>
          </cell>
          <cell r="N1035">
            <v>2</v>
          </cell>
        </row>
        <row r="1036">
          <cell r="I1036" t="str">
            <v>RS</v>
          </cell>
          <cell r="N1036">
            <v>1</v>
          </cell>
        </row>
        <row r="1037">
          <cell r="I1037" t="str">
            <v>RS</v>
          </cell>
          <cell r="N1037">
            <v>4</v>
          </cell>
        </row>
        <row r="1038">
          <cell r="I1038" t="str">
            <v>RS</v>
          </cell>
          <cell r="N1038">
            <v>4</v>
          </cell>
        </row>
        <row r="1039">
          <cell r="I1039" t="str">
            <v>RS</v>
          </cell>
          <cell r="N1039">
            <v>1</v>
          </cell>
        </row>
        <row r="1040">
          <cell r="I1040" t="str">
            <v>RS</v>
          </cell>
          <cell r="N1040">
            <v>1</v>
          </cell>
        </row>
        <row r="1041">
          <cell r="I1041" t="str">
            <v>RS</v>
          </cell>
          <cell r="N1041">
            <v>4</v>
          </cell>
        </row>
        <row r="1042">
          <cell r="I1042" t="str">
            <v>RS</v>
          </cell>
          <cell r="N1042">
            <v>4</v>
          </cell>
        </row>
        <row r="1043">
          <cell r="I1043" t="str">
            <v>RS</v>
          </cell>
          <cell r="N1043">
            <v>2</v>
          </cell>
        </row>
        <row r="1044">
          <cell r="I1044" t="str">
            <v>RS</v>
          </cell>
          <cell r="N1044">
            <v>4</v>
          </cell>
        </row>
        <row r="1045">
          <cell r="I1045" t="str">
            <v>RS</v>
          </cell>
          <cell r="N1045">
            <v>4</v>
          </cell>
        </row>
        <row r="1046">
          <cell r="I1046" t="str">
            <v>RS</v>
          </cell>
          <cell r="N1046">
            <v>4</v>
          </cell>
        </row>
        <row r="1047">
          <cell r="I1047" t="str">
            <v>RS</v>
          </cell>
          <cell r="N1047">
            <v>1</v>
          </cell>
        </row>
        <row r="1048">
          <cell r="I1048" t="str">
            <v>RS</v>
          </cell>
          <cell r="N1048">
            <v>4</v>
          </cell>
        </row>
        <row r="1049">
          <cell r="I1049" t="str">
            <v>RS</v>
          </cell>
          <cell r="N1049">
            <v>4</v>
          </cell>
        </row>
        <row r="1050">
          <cell r="I1050" t="str">
            <v>RS</v>
          </cell>
          <cell r="N1050">
            <v>4</v>
          </cell>
        </row>
        <row r="1051">
          <cell r="I1051" t="str">
            <v>RS</v>
          </cell>
          <cell r="N1051">
            <v>1</v>
          </cell>
        </row>
        <row r="1052">
          <cell r="I1052" t="str">
            <v>RS</v>
          </cell>
          <cell r="N1052">
            <v>1</v>
          </cell>
        </row>
        <row r="1053">
          <cell r="I1053" t="str">
            <v>RS</v>
          </cell>
          <cell r="N1053">
            <v>1</v>
          </cell>
        </row>
        <row r="1054">
          <cell r="I1054" t="str">
            <v>RS</v>
          </cell>
          <cell r="N1054">
            <v>1</v>
          </cell>
        </row>
        <row r="1055">
          <cell r="I1055" t="str">
            <v>RS</v>
          </cell>
          <cell r="N1055">
            <v>1</v>
          </cell>
        </row>
        <row r="1056">
          <cell r="I1056" t="str">
            <v>RS</v>
          </cell>
          <cell r="N1056">
            <v>4</v>
          </cell>
        </row>
        <row r="1057">
          <cell r="I1057" t="str">
            <v>RS</v>
          </cell>
          <cell r="N1057">
            <v>4</v>
          </cell>
        </row>
        <row r="1058">
          <cell r="I1058" t="str">
            <v>RS</v>
          </cell>
          <cell r="N1058">
            <v>4</v>
          </cell>
        </row>
        <row r="1059">
          <cell r="I1059" t="str">
            <v>RS</v>
          </cell>
          <cell r="N1059">
            <v>1</v>
          </cell>
        </row>
        <row r="1060">
          <cell r="I1060" t="str">
            <v>RS</v>
          </cell>
          <cell r="N1060">
            <v>4</v>
          </cell>
        </row>
        <row r="1061">
          <cell r="I1061" t="str">
            <v>RS</v>
          </cell>
          <cell r="N1061">
            <v>1</v>
          </cell>
        </row>
        <row r="1062">
          <cell r="I1062" t="str">
            <v>RS</v>
          </cell>
          <cell r="N1062">
            <v>1</v>
          </cell>
        </row>
        <row r="1063">
          <cell r="I1063" t="str">
            <v>RS</v>
          </cell>
          <cell r="N1063">
            <v>1</v>
          </cell>
        </row>
        <row r="1064">
          <cell r="I1064" t="str">
            <v>RS</v>
          </cell>
          <cell r="N1064">
            <v>1</v>
          </cell>
        </row>
        <row r="1065">
          <cell r="I1065" t="str">
            <v>RS</v>
          </cell>
          <cell r="N1065">
            <v>1</v>
          </cell>
        </row>
        <row r="1066">
          <cell r="I1066" t="str">
            <v>RS</v>
          </cell>
          <cell r="N1066">
            <v>1</v>
          </cell>
        </row>
        <row r="1067">
          <cell r="I1067" t="str">
            <v>RS</v>
          </cell>
          <cell r="N1067">
            <v>4</v>
          </cell>
        </row>
        <row r="1068">
          <cell r="I1068" t="str">
            <v>RS</v>
          </cell>
          <cell r="N1068">
            <v>1</v>
          </cell>
        </row>
        <row r="1069">
          <cell r="I1069" t="str">
            <v>RS</v>
          </cell>
          <cell r="N1069">
            <v>1</v>
          </cell>
        </row>
        <row r="1070">
          <cell r="I1070" t="str">
            <v>RS</v>
          </cell>
          <cell r="N1070">
            <v>1</v>
          </cell>
        </row>
        <row r="1071">
          <cell r="I1071" t="str">
            <v>RS</v>
          </cell>
          <cell r="N1071">
            <v>1</v>
          </cell>
        </row>
        <row r="1072">
          <cell r="I1072" t="str">
            <v>RS</v>
          </cell>
          <cell r="N1072">
            <v>3</v>
          </cell>
        </row>
        <row r="1073">
          <cell r="I1073" t="str">
            <v>RS</v>
          </cell>
          <cell r="N1073">
            <v>3</v>
          </cell>
        </row>
        <row r="1074">
          <cell r="I1074" t="str">
            <v>RS</v>
          </cell>
          <cell r="N1074">
            <v>4</v>
          </cell>
        </row>
        <row r="1075">
          <cell r="I1075" t="str">
            <v>RS</v>
          </cell>
          <cell r="N1075">
            <v>4</v>
          </cell>
        </row>
        <row r="1076">
          <cell r="I1076" t="str">
            <v>RS</v>
          </cell>
          <cell r="N1076">
            <v>3</v>
          </cell>
        </row>
        <row r="1077">
          <cell r="I1077" t="str">
            <v>RS</v>
          </cell>
          <cell r="N1077">
            <v>4</v>
          </cell>
        </row>
        <row r="1078">
          <cell r="I1078" t="str">
            <v>RS</v>
          </cell>
          <cell r="N1078">
            <v>4</v>
          </cell>
        </row>
        <row r="1079">
          <cell r="I1079" t="str">
            <v>RS</v>
          </cell>
          <cell r="N1079">
            <v>2</v>
          </cell>
        </row>
        <row r="1080">
          <cell r="I1080" t="str">
            <v>RS</v>
          </cell>
          <cell r="N1080">
            <v>2</v>
          </cell>
        </row>
        <row r="1081">
          <cell r="I1081" t="str">
            <v>RS</v>
          </cell>
          <cell r="N1081">
            <v>4</v>
          </cell>
        </row>
        <row r="1082">
          <cell r="I1082" t="str">
            <v>RS</v>
          </cell>
          <cell r="N1082">
            <v>2</v>
          </cell>
        </row>
        <row r="1083">
          <cell r="I1083" t="str">
            <v>RS</v>
          </cell>
          <cell r="N1083">
            <v>4</v>
          </cell>
        </row>
        <row r="1084">
          <cell r="I1084" t="str">
            <v>RS</v>
          </cell>
          <cell r="N1084">
            <v>4</v>
          </cell>
        </row>
        <row r="1085">
          <cell r="I1085" t="str">
            <v>RS</v>
          </cell>
          <cell r="N1085">
            <v>4</v>
          </cell>
        </row>
        <row r="1086">
          <cell r="I1086" t="str">
            <v>RS</v>
          </cell>
          <cell r="N1086">
            <v>4</v>
          </cell>
        </row>
        <row r="1087">
          <cell r="I1087" t="str">
            <v>RS</v>
          </cell>
          <cell r="N1087">
            <v>2</v>
          </cell>
        </row>
        <row r="1088">
          <cell r="I1088" t="str">
            <v>RS</v>
          </cell>
          <cell r="N1088">
            <v>3</v>
          </cell>
        </row>
        <row r="1089">
          <cell r="I1089" t="str">
            <v>RS</v>
          </cell>
          <cell r="N1089">
            <v>4</v>
          </cell>
        </row>
        <row r="1090">
          <cell r="I1090" t="str">
            <v>RS</v>
          </cell>
          <cell r="N1090">
            <v>4</v>
          </cell>
        </row>
        <row r="1091">
          <cell r="I1091" t="str">
            <v>RS</v>
          </cell>
          <cell r="N1091">
            <v>3</v>
          </cell>
        </row>
        <row r="1092">
          <cell r="I1092" t="str">
            <v>RS</v>
          </cell>
          <cell r="N1092">
            <v>4</v>
          </cell>
        </row>
        <row r="1093">
          <cell r="I1093" t="str">
            <v>RS</v>
          </cell>
          <cell r="N1093">
            <v>4</v>
          </cell>
        </row>
        <row r="1094">
          <cell r="I1094" t="str">
            <v>RS</v>
          </cell>
          <cell r="N1094">
            <v>4</v>
          </cell>
        </row>
        <row r="1095">
          <cell r="I1095" t="str">
            <v>RS</v>
          </cell>
          <cell r="N1095">
            <v>4</v>
          </cell>
        </row>
        <row r="1096">
          <cell r="I1096" t="str">
            <v>RS</v>
          </cell>
          <cell r="N1096">
            <v>4</v>
          </cell>
        </row>
        <row r="1097">
          <cell r="I1097" t="str">
            <v>RS</v>
          </cell>
          <cell r="N1097">
            <v>3</v>
          </cell>
        </row>
        <row r="1098">
          <cell r="I1098" t="str">
            <v>RS</v>
          </cell>
          <cell r="N1098">
            <v>4</v>
          </cell>
        </row>
        <row r="1099">
          <cell r="I1099" t="str">
            <v>RS</v>
          </cell>
          <cell r="N1099">
            <v>1</v>
          </cell>
        </row>
        <row r="1100">
          <cell r="I1100" t="str">
            <v>RS</v>
          </cell>
          <cell r="N1100">
            <v>4</v>
          </cell>
        </row>
        <row r="1101">
          <cell r="I1101" t="str">
            <v>RS</v>
          </cell>
          <cell r="N1101">
            <v>4</v>
          </cell>
        </row>
        <row r="1102">
          <cell r="I1102" t="str">
            <v>RS</v>
          </cell>
          <cell r="N1102">
            <v>4</v>
          </cell>
        </row>
        <row r="1103">
          <cell r="I1103" t="str">
            <v>RS</v>
          </cell>
          <cell r="N1103">
            <v>4</v>
          </cell>
        </row>
        <row r="1104">
          <cell r="I1104" t="str">
            <v>RS</v>
          </cell>
          <cell r="N1104">
            <v>1</v>
          </cell>
        </row>
        <row r="1105">
          <cell r="I1105" t="str">
            <v>RS</v>
          </cell>
          <cell r="N1105">
            <v>4</v>
          </cell>
        </row>
        <row r="1106">
          <cell r="I1106" t="str">
            <v>LU</v>
          </cell>
          <cell r="N1106">
            <v>4</v>
          </cell>
        </row>
        <row r="1107">
          <cell r="I1107" t="str">
            <v>LU</v>
          </cell>
          <cell r="N1107">
            <v>4</v>
          </cell>
        </row>
        <row r="1108">
          <cell r="I1108" t="str">
            <v>LU</v>
          </cell>
          <cell r="N1108">
            <v>1</v>
          </cell>
        </row>
        <row r="1109">
          <cell r="I1109" t="str">
            <v>LU</v>
          </cell>
          <cell r="N1109">
            <v>1</v>
          </cell>
        </row>
        <row r="1110">
          <cell r="I1110" t="str">
            <v>LU</v>
          </cell>
          <cell r="N1110">
            <v>1</v>
          </cell>
        </row>
        <row r="1111">
          <cell r="I1111" t="str">
            <v>LU</v>
          </cell>
          <cell r="N1111">
            <v>1</v>
          </cell>
        </row>
        <row r="1112">
          <cell r="I1112" t="str">
            <v>LU</v>
          </cell>
          <cell r="N1112">
            <v>1</v>
          </cell>
        </row>
        <row r="1113">
          <cell r="I1113" t="str">
            <v>LU</v>
          </cell>
          <cell r="N1113">
            <v>4</v>
          </cell>
        </row>
        <row r="1114">
          <cell r="I1114" t="str">
            <v>LU</v>
          </cell>
          <cell r="N1114">
            <v>4</v>
          </cell>
        </row>
        <row r="1115">
          <cell r="I1115" t="str">
            <v>LU</v>
          </cell>
          <cell r="N1115">
            <v>1</v>
          </cell>
        </row>
        <row r="1116">
          <cell r="I1116" t="str">
            <v>LU</v>
          </cell>
          <cell r="N1116">
            <v>1</v>
          </cell>
        </row>
        <row r="1117">
          <cell r="I1117" t="str">
            <v>LU</v>
          </cell>
          <cell r="N1117">
            <v>1</v>
          </cell>
        </row>
        <row r="1118">
          <cell r="I1118" t="str">
            <v>LU</v>
          </cell>
          <cell r="N1118">
            <v>1</v>
          </cell>
        </row>
        <row r="1119">
          <cell r="I1119" t="str">
            <v>LU</v>
          </cell>
          <cell r="N1119">
            <v>1</v>
          </cell>
        </row>
        <row r="1120">
          <cell r="I1120" t="str">
            <v>LU</v>
          </cell>
          <cell r="N1120">
            <v>4</v>
          </cell>
        </row>
        <row r="1121">
          <cell r="I1121" t="str">
            <v>LU</v>
          </cell>
          <cell r="N1121">
            <v>4</v>
          </cell>
        </row>
        <row r="1122">
          <cell r="I1122" t="str">
            <v>LU</v>
          </cell>
          <cell r="N1122">
            <v>4</v>
          </cell>
        </row>
        <row r="1123">
          <cell r="I1123" t="str">
            <v>LU</v>
          </cell>
          <cell r="N1123">
            <v>4</v>
          </cell>
        </row>
        <row r="1124">
          <cell r="I1124" t="str">
            <v>LU</v>
          </cell>
          <cell r="N1124">
            <v>4</v>
          </cell>
        </row>
        <row r="1125">
          <cell r="I1125" t="str">
            <v>LU</v>
          </cell>
          <cell r="N1125">
            <v>4</v>
          </cell>
        </row>
        <row r="1126">
          <cell r="I1126" t="str">
            <v>LU</v>
          </cell>
          <cell r="N1126">
            <v>4</v>
          </cell>
        </row>
        <row r="1127">
          <cell r="I1127" t="str">
            <v>LU</v>
          </cell>
          <cell r="N1127">
            <v>4</v>
          </cell>
        </row>
        <row r="1128">
          <cell r="I1128" t="str">
            <v>LU</v>
          </cell>
          <cell r="N1128">
            <v>4</v>
          </cell>
        </row>
        <row r="1129">
          <cell r="I1129" t="str">
            <v>LU</v>
          </cell>
          <cell r="N1129">
            <v>4</v>
          </cell>
        </row>
        <row r="1130">
          <cell r="I1130" t="str">
            <v>LU</v>
          </cell>
          <cell r="N1130">
            <v>4</v>
          </cell>
        </row>
        <row r="1131">
          <cell r="I1131" t="str">
            <v>LU</v>
          </cell>
          <cell r="N1131">
            <v>4</v>
          </cell>
        </row>
        <row r="1132">
          <cell r="I1132" t="str">
            <v>LU</v>
          </cell>
          <cell r="N1132">
            <v>4</v>
          </cell>
        </row>
        <row r="1133">
          <cell r="I1133" t="str">
            <v>LU</v>
          </cell>
          <cell r="N1133">
            <v>4</v>
          </cell>
        </row>
        <row r="1134">
          <cell r="I1134" t="str">
            <v>LU</v>
          </cell>
          <cell r="N1134">
            <v>4</v>
          </cell>
        </row>
        <row r="1135">
          <cell r="I1135" t="str">
            <v>LU</v>
          </cell>
          <cell r="N1135">
            <v>4</v>
          </cell>
        </row>
        <row r="1136">
          <cell r="I1136" t="str">
            <v>LU</v>
          </cell>
          <cell r="N1136">
            <v>4</v>
          </cell>
        </row>
        <row r="1137">
          <cell r="I1137" t="str">
            <v>LU</v>
          </cell>
          <cell r="N1137">
            <v>4</v>
          </cell>
        </row>
        <row r="1138">
          <cell r="I1138" t="str">
            <v>LU</v>
          </cell>
          <cell r="N1138">
            <v>1</v>
          </cell>
        </row>
        <row r="1139">
          <cell r="I1139" t="str">
            <v>LU</v>
          </cell>
          <cell r="N1139">
            <v>4</v>
          </cell>
        </row>
        <row r="1140">
          <cell r="I1140" t="str">
            <v>LU</v>
          </cell>
          <cell r="N1140">
            <v>4</v>
          </cell>
        </row>
        <row r="1141">
          <cell r="I1141" t="str">
            <v>LU</v>
          </cell>
          <cell r="N1141">
            <v>1</v>
          </cell>
        </row>
        <row r="1142">
          <cell r="I1142" t="str">
            <v>LU</v>
          </cell>
          <cell r="N1142">
            <v>4</v>
          </cell>
        </row>
        <row r="1143">
          <cell r="I1143" t="str">
            <v>LU</v>
          </cell>
          <cell r="N1143">
            <v>4</v>
          </cell>
        </row>
        <row r="1144">
          <cell r="I1144" t="str">
            <v>LU</v>
          </cell>
          <cell r="N1144">
            <v>4</v>
          </cell>
        </row>
        <row r="1145">
          <cell r="I1145" t="str">
            <v>LU</v>
          </cell>
          <cell r="N1145">
            <v>1</v>
          </cell>
        </row>
        <row r="1146">
          <cell r="I1146" t="str">
            <v>LU</v>
          </cell>
          <cell r="N1146">
            <v>1</v>
          </cell>
        </row>
        <row r="1147">
          <cell r="I1147" t="str">
            <v>LU</v>
          </cell>
          <cell r="N1147">
            <v>4</v>
          </cell>
        </row>
        <row r="1148">
          <cell r="I1148" t="str">
            <v>LU</v>
          </cell>
          <cell r="N1148">
            <v>2</v>
          </cell>
        </row>
        <row r="1149">
          <cell r="I1149" t="str">
            <v>LU</v>
          </cell>
          <cell r="N1149">
            <v>4</v>
          </cell>
        </row>
        <row r="1150">
          <cell r="I1150" t="str">
            <v>LU</v>
          </cell>
          <cell r="N1150">
            <v>4</v>
          </cell>
        </row>
        <row r="1151">
          <cell r="I1151" t="str">
            <v>LU</v>
          </cell>
          <cell r="N1151">
            <v>4</v>
          </cell>
        </row>
        <row r="1152">
          <cell r="I1152" t="str">
            <v>LU</v>
          </cell>
          <cell r="N1152">
            <v>4</v>
          </cell>
        </row>
        <row r="1153">
          <cell r="I1153" t="str">
            <v>LU</v>
          </cell>
          <cell r="N1153">
            <v>4</v>
          </cell>
        </row>
        <row r="1154">
          <cell r="I1154" t="str">
            <v>LU</v>
          </cell>
          <cell r="N1154">
            <v>4</v>
          </cell>
        </row>
        <row r="1155">
          <cell r="I1155" t="str">
            <v>LU</v>
          </cell>
          <cell r="N1155">
            <v>4</v>
          </cell>
        </row>
        <row r="1156">
          <cell r="I1156" t="str">
            <v>LU</v>
          </cell>
          <cell r="N1156">
            <v>4</v>
          </cell>
        </row>
        <row r="1157">
          <cell r="I1157" t="str">
            <v>LU</v>
          </cell>
          <cell r="N1157">
            <v>4</v>
          </cell>
        </row>
        <row r="1158">
          <cell r="I1158" t="str">
            <v>LU</v>
          </cell>
          <cell r="N1158">
            <v>4</v>
          </cell>
        </row>
        <row r="1159">
          <cell r="I1159" t="str">
            <v>LU</v>
          </cell>
          <cell r="N1159">
            <v>4</v>
          </cell>
        </row>
        <row r="1160">
          <cell r="I1160" t="str">
            <v>LU</v>
          </cell>
          <cell r="N1160">
            <v>4</v>
          </cell>
        </row>
        <row r="1161">
          <cell r="I1161" t="str">
            <v>LU</v>
          </cell>
          <cell r="N1161">
            <v>4</v>
          </cell>
        </row>
        <row r="1162">
          <cell r="I1162" t="str">
            <v>LU</v>
          </cell>
          <cell r="N1162">
            <v>4</v>
          </cell>
        </row>
        <row r="1163">
          <cell r="I1163" t="str">
            <v>LU</v>
          </cell>
          <cell r="N1163">
            <v>4</v>
          </cell>
        </row>
        <row r="1164">
          <cell r="I1164" t="str">
            <v>LU</v>
          </cell>
          <cell r="N1164">
            <v>4</v>
          </cell>
        </row>
        <row r="1165">
          <cell r="I1165" t="str">
            <v>LU</v>
          </cell>
          <cell r="N1165">
            <v>4</v>
          </cell>
        </row>
        <row r="1166">
          <cell r="I1166" t="str">
            <v>LU</v>
          </cell>
          <cell r="N1166">
            <v>4</v>
          </cell>
        </row>
        <row r="1167">
          <cell r="I1167" t="str">
            <v>LU</v>
          </cell>
          <cell r="N1167">
            <v>4</v>
          </cell>
        </row>
        <row r="1168">
          <cell r="I1168" t="str">
            <v>LU</v>
          </cell>
          <cell r="N1168">
            <v>4</v>
          </cell>
        </row>
        <row r="1169">
          <cell r="I1169" t="str">
            <v>LU</v>
          </cell>
          <cell r="N1169">
            <v>4</v>
          </cell>
        </row>
        <row r="1170">
          <cell r="I1170" t="str">
            <v>LU</v>
          </cell>
          <cell r="N1170">
            <v>4</v>
          </cell>
        </row>
        <row r="1171">
          <cell r="I1171" t="str">
            <v>LU</v>
          </cell>
          <cell r="N1171">
            <v>4</v>
          </cell>
        </row>
        <row r="1172">
          <cell r="I1172" t="str">
            <v>LU</v>
          </cell>
          <cell r="N1172">
            <v>4</v>
          </cell>
        </row>
        <row r="1173">
          <cell r="I1173" t="str">
            <v>LU</v>
          </cell>
          <cell r="N1173">
            <v>4</v>
          </cell>
        </row>
        <row r="1174">
          <cell r="I1174" t="str">
            <v>LU</v>
          </cell>
          <cell r="N1174">
            <v>4</v>
          </cell>
        </row>
        <row r="1175">
          <cell r="I1175" t="str">
            <v>LU</v>
          </cell>
          <cell r="N1175">
            <v>2</v>
          </cell>
        </row>
        <row r="1176">
          <cell r="I1176" t="str">
            <v>LU</v>
          </cell>
          <cell r="N1176">
            <v>4</v>
          </cell>
        </row>
        <row r="1177">
          <cell r="I1177" t="str">
            <v>LU</v>
          </cell>
          <cell r="N1177">
            <v>4</v>
          </cell>
        </row>
        <row r="1178">
          <cell r="I1178" t="str">
            <v>LU</v>
          </cell>
          <cell r="N1178">
            <v>2</v>
          </cell>
        </row>
        <row r="1179">
          <cell r="I1179" t="str">
            <v>LU</v>
          </cell>
          <cell r="N1179">
            <v>4</v>
          </cell>
        </row>
        <row r="1180">
          <cell r="I1180" t="str">
            <v>LU</v>
          </cell>
          <cell r="N1180">
            <v>4</v>
          </cell>
        </row>
        <row r="1181">
          <cell r="I1181" t="str">
            <v>LU</v>
          </cell>
          <cell r="N1181">
            <v>4</v>
          </cell>
        </row>
        <row r="1182">
          <cell r="I1182" t="str">
            <v>LU</v>
          </cell>
          <cell r="N1182">
            <v>4</v>
          </cell>
        </row>
        <row r="1183">
          <cell r="I1183" t="str">
            <v>LU</v>
          </cell>
          <cell r="N1183">
            <v>4</v>
          </cell>
        </row>
        <row r="1184">
          <cell r="I1184" t="str">
            <v>LU</v>
          </cell>
          <cell r="N1184">
            <v>4</v>
          </cell>
        </row>
        <row r="1185">
          <cell r="I1185" t="str">
            <v>LU</v>
          </cell>
          <cell r="N1185">
            <v>4</v>
          </cell>
        </row>
        <row r="1186">
          <cell r="I1186" t="str">
            <v>LU</v>
          </cell>
          <cell r="N1186">
            <v>4</v>
          </cell>
        </row>
        <row r="1187">
          <cell r="I1187" t="str">
            <v>LU</v>
          </cell>
          <cell r="N1187">
            <v>4</v>
          </cell>
        </row>
        <row r="1188">
          <cell r="I1188" t="str">
            <v>LU</v>
          </cell>
          <cell r="N1188">
            <v>4</v>
          </cell>
        </row>
        <row r="1189">
          <cell r="I1189" t="str">
            <v>LU</v>
          </cell>
          <cell r="N1189">
            <v>1</v>
          </cell>
        </row>
        <row r="1190">
          <cell r="I1190" t="str">
            <v>LU</v>
          </cell>
          <cell r="N1190">
            <v>4</v>
          </cell>
        </row>
        <row r="1191">
          <cell r="I1191" t="str">
            <v>LU</v>
          </cell>
          <cell r="N1191">
            <v>4</v>
          </cell>
        </row>
        <row r="1192">
          <cell r="I1192" t="str">
            <v>LU</v>
          </cell>
          <cell r="N1192">
            <v>4</v>
          </cell>
        </row>
        <row r="1193">
          <cell r="I1193" t="str">
            <v>LU</v>
          </cell>
          <cell r="N1193">
            <v>1</v>
          </cell>
        </row>
        <row r="1194">
          <cell r="I1194" t="str">
            <v>LU</v>
          </cell>
          <cell r="N1194">
            <v>4</v>
          </cell>
        </row>
        <row r="1195">
          <cell r="I1195" t="str">
            <v>LU</v>
          </cell>
          <cell r="N1195">
            <v>4</v>
          </cell>
        </row>
        <row r="1196">
          <cell r="I1196" t="str">
            <v>LU</v>
          </cell>
          <cell r="N1196">
            <v>4</v>
          </cell>
        </row>
        <row r="1197">
          <cell r="I1197" t="str">
            <v>LU</v>
          </cell>
          <cell r="N1197">
            <v>4</v>
          </cell>
        </row>
        <row r="1198">
          <cell r="I1198" t="str">
            <v>LU</v>
          </cell>
          <cell r="N1198">
            <v>4</v>
          </cell>
        </row>
        <row r="1199">
          <cell r="I1199" t="str">
            <v>LU</v>
          </cell>
          <cell r="N1199">
            <v>4</v>
          </cell>
        </row>
        <row r="1200">
          <cell r="I1200" t="str">
            <v>LU</v>
          </cell>
          <cell r="N1200">
            <v>4</v>
          </cell>
        </row>
        <row r="1201">
          <cell r="I1201" t="str">
            <v>LU</v>
          </cell>
          <cell r="N1201">
            <v>4</v>
          </cell>
        </row>
        <row r="1202">
          <cell r="I1202" t="str">
            <v>LU</v>
          </cell>
          <cell r="N1202">
            <v>4</v>
          </cell>
        </row>
        <row r="1203">
          <cell r="I1203" t="str">
            <v>LU</v>
          </cell>
          <cell r="N1203">
            <v>4</v>
          </cell>
        </row>
        <row r="1204">
          <cell r="I1204" t="str">
            <v>LU</v>
          </cell>
          <cell r="N1204">
            <v>1</v>
          </cell>
        </row>
        <row r="1205">
          <cell r="I1205" t="str">
            <v>LU</v>
          </cell>
          <cell r="N1205">
            <v>4</v>
          </cell>
        </row>
        <row r="1206">
          <cell r="I1206" t="str">
            <v>LU</v>
          </cell>
          <cell r="N1206">
            <v>4</v>
          </cell>
        </row>
        <row r="1207">
          <cell r="I1207" t="str">
            <v>LU</v>
          </cell>
          <cell r="N1207">
            <v>4</v>
          </cell>
        </row>
        <row r="1208">
          <cell r="I1208" t="str">
            <v>LU</v>
          </cell>
          <cell r="N1208">
            <v>4</v>
          </cell>
        </row>
        <row r="1209">
          <cell r="I1209" t="str">
            <v>LU</v>
          </cell>
          <cell r="N1209">
            <v>4</v>
          </cell>
        </row>
        <row r="1210">
          <cell r="I1210" t="str">
            <v>LU</v>
          </cell>
          <cell r="N1210">
            <v>4</v>
          </cell>
        </row>
        <row r="1211">
          <cell r="I1211" t="str">
            <v>LU</v>
          </cell>
          <cell r="N1211">
            <v>4</v>
          </cell>
        </row>
        <row r="1212">
          <cell r="I1212" t="str">
            <v>LU</v>
          </cell>
          <cell r="N1212">
            <v>4</v>
          </cell>
        </row>
        <row r="1213">
          <cell r="I1213" t="str">
            <v>LU</v>
          </cell>
          <cell r="N1213">
            <v>4</v>
          </cell>
        </row>
        <row r="1214">
          <cell r="I1214" t="str">
            <v>LU</v>
          </cell>
          <cell r="N1214">
            <v>4</v>
          </cell>
        </row>
        <row r="1215">
          <cell r="I1215" t="str">
            <v>LU</v>
          </cell>
          <cell r="N1215">
            <v>4</v>
          </cell>
        </row>
        <row r="1216">
          <cell r="I1216" t="str">
            <v>LU</v>
          </cell>
          <cell r="N1216">
            <v>4</v>
          </cell>
        </row>
        <row r="1217">
          <cell r="I1217" t="str">
            <v>LU</v>
          </cell>
          <cell r="N1217">
            <v>4</v>
          </cell>
        </row>
        <row r="1218">
          <cell r="I1218" t="str">
            <v>LU</v>
          </cell>
          <cell r="N1218">
            <v>4</v>
          </cell>
        </row>
        <row r="1219">
          <cell r="I1219" t="str">
            <v>LU</v>
          </cell>
          <cell r="N1219">
            <v>4</v>
          </cell>
        </row>
        <row r="1220">
          <cell r="I1220" t="str">
            <v>LU</v>
          </cell>
          <cell r="N1220">
            <v>2</v>
          </cell>
        </row>
        <row r="1221">
          <cell r="I1221" t="str">
            <v>LU</v>
          </cell>
          <cell r="N1221">
            <v>4</v>
          </cell>
        </row>
        <row r="1222">
          <cell r="I1222" t="str">
            <v>LU</v>
          </cell>
          <cell r="N1222">
            <v>4</v>
          </cell>
        </row>
        <row r="1223">
          <cell r="I1223" t="str">
            <v>LU</v>
          </cell>
          <cell r="N1223">
            <v>4</v>
          </cell>
        </row>
        <row r="1224">
          <cell r="I1224" t="str">
            <v>LU</v>
          </cell>
          <cell r="N1224">
            <v>4</v>
          </cell>
        </row>
        <row r="1225">
          <cell r="I1225" t="str">
            <v>LU</v>
          </cell>
          <cell r="N1225">
            <v>4</v>
          </cell>
        </row>
        <row r="1226">
          <cell r="I1226" t="str">
            <v>LU</v>
          </cell>
          <cell r="N1226">
            <v>4</v>
          </cell>
        </row>
        <row r="1227">
          <cell r="I1227" t="str">
            <v>LU</v>
          </cell>
          <cell r="N1227">
            <v>4</v>
          </cell>
        </row>
        <row r="1228">
          <cell r="I1228" t="str">
            <v>LU</v>
          </cell>
          <cell r="N1228">
            <v>4</v>
          </cell>
        </row>
        <row r="1229">
          <cell r="I1229" t="str">
            <v>LU</v>
          </cell>
          <cell r="N1229">
            <v>4</v>
          </cell>
        </row>
        <row r="1230">
          <cell r="I1230" t="str">
            <v>LU</v>
          </cell>
          <cell r="N1230">
            <v>4</v>
          </cell>
        </row>
        <row r="1231">
          <cell r="I1231" t="str">
            <v>LU</v>
          </cell>
          <cell r="N1231">
            <v>4</v>
          </cell>
        </row>
        <row r="1232">
          <cell r="I1232" t="str">
            <v>LU</v>
          </cell>
          <cell r="N1232">
            <v>4</v>
          </cell>
        </row>
        <row r="1233">
          <cell r="I1233" t="str">
            <v>LU</v>
          </cell>
          <cell r="N1233">
            <v>4</v>
          </cell>
        </row>
        <row r="1234">
          <cell r="I1234" t="str">
            <v>LU</v>
          </cell>
          <cell r="N1234">
            <v>4</v>
          </cell>
        </row>
        <row r="1235">
          <cell r="I1235" t="str">
            <v>LU</v>
          </cell>
          <cell r="N1235">
            <v>2</v>
          </cell>
        </row>
        <row r="1236">
          <cell r="I1236" t="str">
            <v>LU</v>
          </cell>
          <cell r="N1236">
            <v>2</v>
          </cell>
        </row>
        <row r="1237">
          <cell r="I1237" t="str">
            <v>LU</v>
          </cell>
          <cell r="N1237">
            <v>2</v>
          </cell>
        </row>
        <row r="1238">
          <cell r="I1238" t="str">
            <v>LU</v>
          </cell>
          <cell r="N1238">
            <v>4</v>
          </cell>
        </row>
        <row r="1239">
          <cell r="I1239" t="str">
            <v>LU</v>
          </cell>
          <cell r="N1239">
            <v>4</v>
          </cell>
        </row>
        <row r="1240">
          <cell r="I1240" t="str">
            <v>LU</v>
          </cell>
          <cell r="N1240">
            <v>4</v>
          </cell>
        </row>
        <row r="1241">
          <cell r="I1241" t="str">
            <v>LU</v>
          </cell>
          <cell r="N1241">
            <v>4</v>
          </cell>
        </row>
        <row r="1242">
          <cell r="I1242" t="str">
            <v>LU</v>
          </cell>
          <cell r="N1242">
            <v>5</v>
          </cell>
        </row>
        <row r="1243">
          <cell r="I1243" t="str">
            <v>LU</v>
          </cell>
          <cell r="N1243">
            <v>1</v>
          </cell>
        </row>
        <row r="1244">
          <cell r="I1244" t="str">
            <v>LU</v>
          </cell>
          <cell r="N1244">
            <v>5</v>
          </cell>
        </row>
        <row r="1245">
          <cell r="I1245" t="str">
            <v>LU</v>
          </cell>
          <cell r="N1245">
            <v>4</v>
          </cell>
        </row>
        <row r="1246">
          <cell r="I1246" t="str">
            <v>LU</v>
          </cell>
          <cell r="N1246">
            <v>4</v>
          </cell>
        </row>
        <row r="1247">
          <cell r="I1247" t="str">
            <v>LU</v>
          </cell>
          <cell r="N1247">
            <v>4</v>
          </cell>
        </row>
        <row r="1248">
          <cell r="I1248" t="str">
            <v>LU</v>
          </cell>
          <cell r="N1248">
            <v>2</v>
          </cell>
        </row>
        <row r="1249">
          <cell r="I1249" t="str">
            <v>LU</v>
          </cell>
          <cell r="N1249">
            <v>4</v>
          </cell>
        </row>
        <row r="1250">
          <cell r="I1250" t="str">
            <v>LU</v>
          </cell>
          <cell r="N1250">
            <v>4</v>
          </cell>
        </row>
        <row r="1251">
          <cell r="I1251" t="str">
            <v>LU</v>
          </cell>
          <cell r="N1251">
            <v>5</v>
          </cell>
        </row>
        <row r="1252">
          <cell r="I1252" t="str">
            <v>LU</v>
          </cell>
          <cell r="N1252">
            <v>4</v>
          </cell>
        </row>
        <row r="1253">
          <cell r="I1253" t="str">
            <v>LU</v>
          </cell>
          <cell r="N1253">
            <v>4</v>
          </cell>
        </row>
        <row r="1254">
          <cell r="I1254" t="str">
            <v>LU</v>
          </cell>
          <cell r="N1254">
            <v>4</v>
          </cell>
        </row>
        <row r="1255">
          <cell r="I1255" t="str">
            <v>LU</v>
          </cell>
          <cell r="N1255">
            <v>4</v>
          </cell>
        </row>
        <row r="1256">
          <cell r="I1256" t="str">
            <v>LU</v>
          </cell>
          <cell r="N1256">
            <v>1</v>
          </cell>
        </row>
        <row r="1257">
          <cell r="I1257" t="str">
            <v>LU</v>
          </cell>
          <cell r="N1257">
            <v>4</v>
          </cell>
        </row>
        <row r="1258">
          <cell r="I1258" t="str">
            <v>LU</v>
          </cell>
          <cell r="N1258">
            <v>1</v>
          </cell>
        </row>
        <row r="1259">
          <cell r="I1259" t="str">
            <v>LU</v>
          </cell>
          <cell r="N1259">
            <v>4</v>
          </cell>
        </row>
        <row r="1260">
          <cell r="I1260" t="str">
            <v>LU</v>
          </cell>
          <cell r="N1260">
            <v>4</v>
          </cell>
        </row>
        <row r="1261">
          <cell r="I1261" t="str">
            <v>LU</v>
          </cell>
          <cell r="N1261">
            <v>4</v>
          </cell>
        </row>
        <row r="1262">
          <cell r="I1262" t="str">
            <v>LU</v>
          </cell>
          <cell r="N1262">
            <v>1</v>
          </cell>
        </row>
        <row r="1263">
          <cell r="I1263" t="str">
            <v>LU</v>
          </cell>
          <cell r="N1263">
            <v>4</v>
          </cell>
        </row>
        <row r="1264">
          <cell r="I1264" t="str">
            <v>LU</v>
          </cell>
          <cell r="N1264">
            <v>4</v>
          </cell>
        </row>
        <row r="1265">
          <cell r="I1265" t="str">
            <v>LU</v>
          </cell>
          <cell r="N1265">
            <v>4</v>
          </cell>
        </row>
        <row r="1266">
          <cell r="I1266" t="str">
            <v>LU</v>
          </cell>
          <cell r="N1266">
            <v>4</v>
          </cell>
        </row>
        <row r="1267">
          <cell r="I1267" t="str">
            <v>LU</v>
          </cell>
          <cell r="N1267">
            <v>4</v>
          </cell>
        </row>
        <row r="1268">
          <cell r="I1268" t="str">
            <v>LU</v>
          </cell>
          <cell r="N1268">
            <v>4</v>
          </cell>
        </row>
        <row r="1269">
          <cell r="I1269" t="str">
            <v>LU</v>
          </cell>
          <cell r="N1269">
            <v>1</v>
          </cell>
        </row>
        <row r="1270">
          <cell r="I1270" t="str">
            <v>LU</v>
          </cell>
          <cell r="N1270">
            <v>4</v>
          </cell>
        </row>
        <row r="1271">
          <cell r="I1271" t="str">
            <v>LU</v>
          </cell>
          <cell r="N1271">
            <v>4</v>
          </cell>
        </row>
        <row r="1272">
          <cell r="I1272" t="str">
            <v>LU</v>
          </cell>
          <cell r="N1272">
            <v>2</v>
          </cell>
        </row>
        <row r="1273">
          <cell r="I1273" t="str">
            <v>LU</v>
          </cell>
          <cell r="N1273">
            <v>5</v>
          </cell>
        </row>
        <row r="1274">
          <cell r="I1274" t="str">
            <v>LU</v>
          </cell>
          <cell r="N1274">
            <v>4</v>
          </cell>
        </row>
        <row r="1275">
          <cell r="I1275" t="str">
            <v>LU</v>
          </cell>
          <cell r="N1275">
            <v>1</v>
          </cell>
        </row>
        <row r="1276">
          <cell r="I1276" t="str">
            <v>LU</v>
          </cell>
          <cell r="N1276">
            <v>4</v>
          </cell>
        </row>
        <row r="1277">
          <cell r="I1277" t="str">
            <v>LU</v>
          </cell>
          <cell r="N1277">
            <v>4</v>
          </cell>
        </row>
        <row r="1278">
          <cell r="I1278" t="str">
            <v>LU</v>
          </cell>
          <cell r="N1278">
            <v>1</v>
          </cell>
        </row>
        <row r="1279">
          <cell r="I1279" t="str">
            <v>LU</v>
          </cell>
          <cell r="N1279">
            <v>4</v>
          </cell>
        </row>
        <row r="1280">
          <cell r="I1280" t="str">
            <v>LU</v>
          </cell>
          <cell r="N1280">
            <v>4</v>
          </cell>
        </row>
        <row r="1281">
          <cell r="I1281" t="str">
            <v>LU</v>
          </cell>
          <cell r="N1281">
            <v>4</v>
          </cell>
        </row>
        <row r="1282">
          <cell r="I1282" t="str">
            <v>LU</v>
          </cell>
          <cell r="N1282">
            <v>4</v>
          </cell>
        </row>
        <row r="1283">
          <cell r="I1283" t="str">
            <v>LU</v>
          </cell>
          <cell r="N1283">
            <v>4</v>
          </cell>
        </row>
        <row r="1284">
          <cell r="I1284" t="str">
            <v>LU</v>
          </cell>
          <cell r="N1284">
            <v>4</v>
          </cell>
        </row>
        <row r="1285">
          <cell r="I1285" t="str">
            <v>LU</v>
          </cell>
          <cell r="N1285">
            <v>4</v>
          </cell>
        </row>
        <row r="1286">
          <cell r="I1286" t="str">
            <v>LU</v>
          </cell>
          <cell r="N1286">
            <v>4</v>
          </cell>
        </row>
        <row r="1287">
          <cell r="I1287" t="str">
            <v>LU</v>
          </cell>
          <cell r="N1287">
            <v>1</v>
          </cell>
        </row>
        <row r="1288">
          <cell r="I1288" t="str">
            <v>LU</v>
          </cell>
          <cell r="N1288">
            <v>4</v>
          </cell>
        </row>
        <row r="1289">
          <cell r="I1289" t="str">
            <v>LU</v>
          </cell>
          <cell r="N1289">
            <v>4</v>
          </cell>
        </row>
        <row r="1290">
          <cell r="I1290" t="str">
            <v>LU</v>
          </cell>
          <cell r="N1290">
            <v>4</v>
          </cell>
        </row>
        <row r="1291">
          <cell r="I1291" t="str">
            <v>LU</v>
          </cell>
          <cell r="N1291">
            <v>4</v>
          </cell>
        </row>
        <row r="1292">
          <cell r="I1292" t="str">
            <v>LU</v>
          </cell>
          <cell r="N1292">
            <v>4</v>
          </cell>
        </row>
        <row r="1293">
          <cell r="I1293" t="str">
            <v>LU</v>
          </cell>
          <cell r="N1293">
            <v>4</v>
          </cell>
        </row>
        <row r="1294">
          <cell r="I1294" t="str">
            <v>LU</v>
          </cell>
          <cell r="N1294">
            <v>4</v>
          </cell>
        </row>
        <row r="1295">
          <cell r="I1295" t="str">
            <v>LU</v>
          </cell>
          <cell r="N1295">
            <v>4</v>
          </cell>
        </row>
        <row r="1296">
          <cell r="I1296" t="str">
            <v>LU</v>
          </cell>
          <cell r="N1296">
            <v>4</v>
          </cell>
        </row>
        <row r="1297">
          <cell r="I1297" t="str">
            <v>LU</v>
          </cell>
          <cell r="N1297">
            <v>4</v>
          </cell>
        </row>
        <row r="1298">
          <cell r="I1298" t="str">
            <v>LU</v>
          </cell>
          <cell r="N1298">
            <v>4</v>
          </cell>
        </row>
        <row r="1299">
          <cell r="I1299" t="str">
            <v>LU</v>
          </cell>
          <cell r="N1299">
            <v>4</v>
          </cell>
        </row>
        <row r="1300">
          <cell r="I1300" t="str">
            <v>LU</v>
          </cell>
          <cell r="N1300">
            <v>4</v>
          </cell>
        </row>
        <row r="1301">
          <cell r="I1301" t="str">
            <v>LU</v>
          </cell>
          <cell r="N1301">
            <v>1</v>
          </cell>
        </row>
        <row r="1302">
          <cell r="I1302" t="str">
            <v>LU</v>
          </cell>
          <cell r="N1302">
            <v>1</v>
          </cell>
        </row>
        <row r="1303">
          <cell r="I1303" t="str">
            <v>LU</v>
          </cell>
          <cell r="N1303">
            <v>4</v>
          </cell>
        </row>
        <row r="1304">
          <cell r="I1304" t="str">
            <v>LU</v>
          </cell>
          <cell r="N1304">
            <v>4</v>
          </cell>
        </row>
        <row r="1305">
          <cell r="I1305" t="str">
            <v>LU</v>
          </cell>
          <cell r="N1305">
            <v>4</v>
          </cell>
        </row>
        <row r="1306">
          <cell r="I1306" t="str">
            <v>LU</v>
          </cell>
          <cell r="N1306">
            <v>4</v>
          </cell>
        </row>
        <row r="1307">
          <cell r="I1307" t="str">
            <v>LU</v>
          </cell>
          <cell r="N1307">
            <v>4</v>
          </cell>
        </row>
        <row r="1308">
          <cell r="I1308" t="str">
            <v>LU</v>
          </cell>
          <cell r="N1308">
            <v>4</v>
          </cell>
        </row>
        <row r="1309">
          <cell r="I1309" t="str">
            <v>LU</v>
          </cell>
          <cell r="N1309">
            <v>4</v>
          </cell>
        </row>
        <row r="1310">
          <cell r="I1310" t="str">
            <v>LU</v>
          </cell>
          <cell r="N1310">
            <v>4</v>
          </cell>
        </row>
        <row r="1311">
          <cell r="I1311" t="str">
            <v>LU</v>
          </cell>
          <cell r="N1311">
            <v>4</v>
          </cell>
        </row>
        <row r="1312">
          <cell r="I1312" t="str">
            <v>LU</v>
          </cell>
          <cell r="N1312">
            <v>4</v>
          </cell>
        </row>
        <row r="1313">
          <cell r="I1313" t="str">
            <v>LU</v>
          </cell>
          <cell r="N1313">
            <v>4</v>
          </cell>
        </row>
        <row r="1314">
          <cell r="I1314" t="str">
            <v>LU</v>
          </cell>
          <cell r="N1314">
            <v>4</v>
          </cell>
        </row>
        <row r="1315">
          <cell r="I1315" t="str">
            <v>LU</v>
          </cell>
          <cell r="N1315">
            <v>2</v>
          </cell>
        </row>
        <row r="1316">
          <cell r="I1316" t="str">
            <v>LU</v>
          </cell>
          <cell r="N1316">
            <v>4</v>
          </cell>
        </row>
        <row r="1317">
          <cell r="I1317" t="str">
            <v>LU</v>
          </cell>
          <cell r="N1317">
            <v>4</v>
          </cell>
        </row>
        <row r="1318">
          <cell r="I1318" t="str">
            <v>LU</v>
          </cell>
          <cell r="N1318">
            <v>4</v>
          </cell>
        </row>
        <row r="1319">
          <cell r="I1319" t="str">
            <v>LU</v>
          </cell>
          <cell r="N1319">
            <v>4</v>
          </cell>
        </row>
        <row r="1320">
          <cell r="I1320" t="str">
            <v>LU</v>
          </cell>
          <cell r="N1320">
            <v>4</v>
          </cell>
        </row>
        <row r="1321">
          <cell r="I1321" t="str">
            <v>LU</v>
          </cell>
          <cell r="N1321">
            <v>2</v>
          </cell>
        </row>
        <row r="1322">
          <cell r="I1322" t="str">
            <v>LU</v>
          </cell>
          <cell r="N1322">
            <v>2</v>
          </cell>
        </row>
        <row r="1323">
          <cell r="I1323" t="str">
            <v>LU</v>
          </cell>
          <cell r="N1323">
            <v>2</v>
          </cell>
        </row>
        <row r="1324">
          <cell r="I1324" t="str">
            <v>LU</v>
          </cell>
          <cell r="N1324">
            <v>2</v>
          </cell>
        </row>
        <row r="1325">
          <cell r="I1325" t="str">
            <v>LU</v>
          </cell>
          <cell r="N1325">
            <v>2</v>
          </cell>
        </row>
        <row r="1326">
          <cell r="I1326" t="str">
            <v>LU</v>
          </cell>
          <cell r="N1326">
            <v>4</v>
          </cell>
        </row>
        <row r="1327">
          <cell r="I1327" t="str">
            <v>LU</v>
          </cell>
          <cell r="N1327">
            <v>4</v>
          </cell>
        </row>
        <row r="1328">
          <cell r="I1328" t="str">
            <v>LU</v>
          </cell>
          <cell r="N1328">
            <v>4</v>
          </cell>
        </row>
        <row r="1329">
          <cell r="I1329" t="str">
            <v>LU</v>
          </cell>
          <cell r="N1329">
            <v>4</v>
          </cell>
        </row>
        <row r="1330">
          <cell r="I1330" t="str">
            <v>LU</v>
          </cell>
          <cell r="N1330">
            <v>4</v>
          </cell>
        </row>
        <row r="1331">
          <cell r="I1331" t="str">
            <v>LU</v>
          </cell>
          <cell r="N1331">
            <v>4</v>
          </cell>
        </row>
        <row r="1332">
          <cell r="I1332" t="str">
            <v>LU</v>
          </cell>
          <cell r="N1332">
            <v>4</v>
          </cell>
        </row>
        <row r="1333">
          <cell r="I1333" t="str">
            <v>LU</v>
          </cell>
          <cell r="N1333">
            <v>4</v>
          </cell>
        </row>
        <row r="1334">
          <cell r="I1334" t="str">
            <v>LU</v>
          </cell>
          <cell r="N1334">
            <v>4</v>
          </cell>
        </row>
        <row r="1335">
          <cell r="I1335" t="str">
            <v>LU</v>
          </cell>
          <cell r="N1335">
            <v>4</v>
          </cell>
        </row>
        <row r="1336">
          <cell r="I1336" t="str">
            <v>LU</v>
          </cell>
          <cell r="N1336">
            <v>4</v>
          </cell>
        </row>
        <row r="1337">
          <cell r="I1337" t="str">
            <v>LU</v>
          </cell>
          <cell r="N1337">
            <v>4</v>
          </cell>
        </row>
        <row r="1338">
          <cell r="I1338" t="str">
            <v>LU</v>
          </cell>
          <cell r="N1338">
            <v>4</v>
          </cell>
        </row>
        <row r="1339">
          <cell r="I1339" t="str">
            <v>LU</v>
          </cell>
          <cell r="N1339">
            <v>4</v>
          </cell>
        </row>
        <row r="1340">
          <cell r="I1340" t="str">
            <v>LU</v>
          </cell>
          <cell r="N1340">
            <v>4</v>
          </cell>
        </row>
        <row r="1341">
          <cell r="I1341" t="str">
            <v>LU</v>
          </cell>
          <cell r="N1341">
            <v>4</v>
          </cell>
        </row>
        <row r="1342">
          <cell r="I1342" t="str">
            <v>LU</v>
          </cell>
          <cell r="N1342">
            <v>4</v>
          </cell>
        </row>
        <row r="1343">
          <cell r="I1343" t="str">
            <v>LU</v>
          </cell>
          <cell r="N1343">
            <v>4</v>
          </cell>
        </row>
        <row r="1344">
          <cell r="I1344" t="str">
            <v>LU</v>
          </cell>
          <cell r="N1344">
            <v>4</v>
          </cell>
        </row>
        <row r="1345">
          <cell r="I1345" t="str">
            <v>LU</v>
          </cell>
          <cell r="N1345">
            <v>4</v>
          </cell>
        </row>
        <row r="1346">
          <cell r="I1346" t="str">
            <v>LU</v>
          </cell>
          <cell r="N1346">
            <v>2</v>
          </cell>
        </row>
        <row r="1347">
          <cell r="I1347" t="str">
            <v>LU</v>
          </cell>
          <cell r="N1347">
            <v>4</v>
          </cell>
        </row>
        <row r="1348">
          <cell r="I1348" t="str">
            <v>LU</v>
          </cell>
          <cell r="N1348">
            <v>4</v>
          </cell>
        </row>
        <row r="1349">
          <cell r="I1349" t="str">
            <v>LU</v>
          </cell>
          <cell r="N1349">
            <v>1</v>
          </cell>
        </row>
        <row r="1350">
          <cell r="I1350" t="str">
            <v>LU</v>
          </cell>
          <cell r="N1350">
            <v>4</v>
          </cell>
        </row>
        <row r="1351">
          <cell r="I1351" t="str">
            <v>LU</v>
          </cell>
          <cell r="N1351">
            <v>1</v>
          </cell>
        </row>
        <row r="1352">
          <cell r="I1352" t="str">
            <v>LU</v>
          </cell>
          <cell r="N1352">
            <v>4</v>
          </cell>
        </row>
        <row r="1353">
          <cell r="I1353" t="str">
            <v>LU</v>
          </cell>
          <cell r="N1353">
            <v>4</v>
          </cell>
        </row>
        <row r="1354">
          <cell r="I1354" t="str">
            <v>LU</v>
          </cell>
          <cell r="N1354">
            <v>4</v>
          </cell>
        </row>
        <row r="1355">
          <cell r="I1355" t="str">
            <v>LU</v>
          </cell>
          <cell r="N1355">
            <v>4</v>
          </cell>
        </row>
        <row r="1356">
          <cell r="I1356" t="str">
            <v>LU</v>
          </cell>
          <cell r="N1356">
            <v>4</v>
          </cell>
        </row>
        <row r="1357">
          <cell r="I1357" t="str">
            <v>LU</v>
          </cell>
          <cell r="N1357">
            <v>4</v>
          </cell>
        </row>
        <row r="1358">
          <cell r="I1358" t="str">
            <v>LU</v>
          </cell>
          <cell r="N1358">
            <v>4</v>
          </cell>
        </row>
        <row r="1359">
          <cell r="I1359" t="str">
            <v>LU</v>
          </cell>
          <cell r="N1359">
            <v>4</v>
          </cell>
        </row>
        <row r="1360">
          <cell r="I1360" t="str">
            <v>LU</v>
          </cell>
          <cell r="N1360">
            <v>4</v>
          </cell>
        </row>
        <row r="1361">
          <cell r="I1361" t="str">
            <v>LU</v>
          </cell>
          <cell r="N1361">
            <v>4</v>
          </cell>
        </row>
        <row r="1362">
          <cell r="I1362" t="str">
            <v>LU</v>
          </cell>
          <cell r="N1362">
            <v>4</v>
          </cell>
        </row>
        <row r="1363">
          <cell r="I1363" t="str">
            <v>LU</v>
          </cell>
          <cell r="N1363">
            <v>4</v>
          </cell>
        </row>
        <row r="1364">
          <cell r="I1364" t="str">
            <v>LU</v>
          </cell>
          <cell r="N1364">
            <v>4</v>
          </cell>
        </row>
        <row r="1365">
          <cell r="I1365" t="str">
            <v>LU</v>
          </cell>
          <cell r="N1365">
            <v>4</v>
          </cell>
        </row>
        <row r="1366">
          <cell r="I1366" t="str">
            <v>LU</v>
          </cell>
          <cell r="N1366">
            <v>4</v>
          </cell>
        </row>
        <row r="1367">
          <cell r="I1367" t="str">
            <v>LU</v>
          </cell>
          <cell r="N1367">
            <v>2</v>
          </cell>
        </row>
        <row r="1368">
          <cell r="I1368" t="str">
            <v>LU</v>
          </cell>
          <cell r="N1368">
            <v>2</v>
          </cell>
        </row>
        <row r="1369">
          <cell r="I1369" t="str">
            <v>LU</v>
          </cell>
          <cell r="N1369">
            <v>2</v>
          </cell>
        </row>
        <row r="1370">
          <cell r="I1370" t="str">
            <v>LU</v>
          </cell>
          <cell r="N1370">
            <v>2</v>
          </cell>
        </row>
        <row r="1371">
          <cell r="I1371" t="str">
            <v>LU</v>
          </cell>
          <cell r="N1371">
            <v>2</v>
          </cell>
        </row>
        <row r="1372">
          <cell r="I1372" t="str">
            <v>LU</v>
          </cell>
          <cell r="N1372">
            <v>4</v>
          </cell>
        </row>
        <row r="1373">
          <cell r="I1373" t="str">
            <v>LU</v>
          </cell>
          <cell r="N1373">
            <v>1</v>
          </cell>
        </row>
        <row r="1374">
          <cell r="I1374" t="str">
            <v>LU</v>
          </cell>
          <cell r="N1374">
            <v>4</v>
          </cell>
        </row>
        <row r="1375">
          <cell r="I1375" t="str">
            <v>LU</v>
          </cell>
          <cell r="N1375">
            <v>4</v>
          </cell>
        </row>
        <row r="1376">
          <cell r="I1376" t="str">
            <v>GW</v>
          </cell>
          <cell r="N1376">
            <v>2</v>
          </cell>
        </row>
        <row r="1377">
          <cell r="I1377" t="str">
            <v>GW</v>
          </cell>
          <cell r="N1377">
            <v>2</v>
          </cell>
        </row>
        <row r="1378">
          <cell r="I1378" t="str">
            <v>GW</v>
          </cell>
          <cell r="N1378">
            <v>2</v>
          </cell>
        </row>
        <row r="1379">
          <cell r="I1379" t="str">
            <v>GW</v>
          </cell>
          <cell r="N1379">
            <v>2</v>
          </cell>
        </row>
        <row r="1380">
          <cell r="I1380" t="str">
            <v>GW</v>
          </cell>
          <cell r="N1380">
            <v>2</v>
          </cell>
        </row>
        <row r="1381">
          <cell r="I1381" t="str">
            <v>GW</v>
          </cell>
          <cell r="N1381">
            <v>2</v>
          </cell>
        </row>
        <row r="1382">
          <cell r="I1382" t="str">
            <v>GW</v>
          </cell>
          <cell r="N1382">
            <v>2</v>
          </cell>
        </row>
        <row r="1383">
          <cell r="I1383" t="str">
            <v>GW</v>
          </cell>
          <cell r="N1383">
            <v>2</v>
          </cell>
        </row>
        <row r="1384">
          <cell r="I1384" t="str">
            <v>GW</v>
          </cell>
          <cell r="N1384">
            <v>2</v>
          </cell>
        </row>
        <row r="1385">
          <cell r="I1385" t="str">
            <v>GW</v>
          </cell>
          <cell r="N1385">
            <v>2</v>
          </cell>
        </row>
        <row r="1386">
          <cell r="I1386" t="str">
            <v>GW</v>
          </cell>
          <cell r="N1386">
            <v>2</v>
          </cell>
        </row>
        <row r="1387">
          <cell r="I1387" t="str">
            <v>GW</v>
          </cell>
          <cell r="N1387">
            <v>1</v>
          </cell>
        </row>
        <row r="1388">
          <cell r="I1388" t="str">
            <v>GW</v>
          </cell>
          <cell r="N1388">
            <v>2</v>
          </cell>
        </row>
        <row r="1389">
          <cell r="I1389" t="str">
            <v>GW</v>
          </cell>
          <cell r="N1389">
            <v>2</v>
          </cell>
        </row>
        <row r="1390">
          <cell r="I1390" t="str">
            <v>GW</v>
          </cell>
          <cell r="N1390">
            <v>2</v>
          </cell>
        </row>
        <row r="1391">
          <cell r="I1391" t="str">
            <v>GW</v>
          </cell>
          <cell r="N1391">
            <v>2</v>
          </cell>
        </row>
        <row r="1392">
          <cell r="I1392" t="str">
            <v>GW</v>
          </cell>
          <cell r="N1392">
            <v>2</v>
          </cell>
        </row>
        <row r="1393">
          <cell r="I1393" t="str">
            <v>GW</v>
          </cell>
          <cell r="N1393">
            <v>2</v>
          </cell>
        </row>
        <row r="1394">
          <cell r="I1394" t="str">
            <v>GW</v>
          </cell>
          <cell r="N1394">
            <v>2</v>
          </cell>
        </row>
        <row r="1395">
          <cell r="I1395" t="str">
            <v>GW</v>
          </cell>
          <cell r="N1395">
            <v>2</v>
          </cell>
        </row>
        <row r="1396">
          <cell r="I1396" t="str">
            <v>GW</v>
          </cell>
          <cell r="N1396">
            <v>1</v>
          </cell>
        </row>
        <row r="1397">
          <cell r="I1397" t="str">
            <v>GW</v>
          </cell>
          <cell r="N1397">
            <v>2</v>
          </cell>
        </row>
        <row r="1398">
          <cell r="I1398" t="str">
            <v>GW</v>
          </cell>
          <cell r="N1398">
            <v>2</v>
          </cell>
        </row>
        <row r="1399">
          <cell r="I1399" t="str">
            <v>GW</v>
          </cell>
          <cell r="N1399">
            <v>2</v>
          </cell>
        </row>
        <row r="1400">
          <cell r="I1400" t="str">
            <v>GW</v>
          </cell>
          <cell r="N1400">
            <v>2</v>
          </cell>
        </row>
        <row r="1401">
          <cell r="I1401" t="str">
            <v>GW</v>
          </cell>
          <cell r="N1401">
            <v>2</v>
          </cell>
        </row>
        <row r="1402">
          <cell r="I1402" t="str">
            <v>GW</v>
          </cell>
          <cell r="N1402">
            <v>2</v>
          </cell>
        </row>
        <row r="1403">
          <cell r="I1403" t="str">
            <v>GW</v>
          </cell>
          <cell r="N1403">
            <v>2</v>
          </cell>
        </row>
        <row r="1404">
          <cell r="I1404" t="str">
            <v>GW</v>
          </cell>
          <cell r="N1404">
            <v>1</v>
          </cell>
        </row>
        <row r="1405">
          <cell r="I1405" t="str">
            <v>GW</v>
          </cell>
          <cell r="N1405">
            <v>3</v>
          </cell>
        </row>
        <row r="1406">
          <cell r="I1406" t="str">
            <v>GW</v>
          </cell>
          <cell r="N1406">
            <v>1</v>
          </cell>
        </row>
        <row r="1407">
          <cell r="I1407" t="str">
            <v>GW</v>
          </cell>
          <cell r="N1407">
            <v>2</v>
          </cell>
        </row>
        <row r="1408">
          <cell r="I1408" t="str">
            <v>GW</v>
          </cell>
          <cell r="N1408">
            <v>2</v>
          </cell>
        </row>
        <row r="1409">
          <cell r="I1409" t="str">
            <v>GW</v>
          </cell>
          <cell r="N1409">
            <v>1</v>
          </cell>
        </row>
        <row r="1410">
          <cell r="I1410" t="str">
            <v>GW</v>
          </cell>
          <cell r="N1410">
            <v>1</v>
          </cell>
        </row>
        <row r="1411">
          <cell r="I1411" t="str">
            <v>GW</v>
          </cell>
          <cell r="N1411">
            <v>2</v>
          </cell>
        </row>
        <row r="1412">
          <cell r="I1412" t="str">
            <v>GW</v>
          </cell>
          <cell r="N1412">
            <v>1</v>
          </cell>
        </row>
        <row r="1413">
          <cell r="I1413" t="str">
            <v>GW</v>
          </cell>
          <cell r="N1413">
            <v>2</v>
          </cell>
        </row>
        <row r="1414">
          <cell r="I1414" t="str">
            <v>GW</v>
          </cell>
          <cell r="N1414">
            <v>3</v>
          </cell>
        </row>
        <row r="1415">
          <cell r="I1415" t="str">
            <v>GW</v>
          </cell>
          <cell r="N1415">
            <v>2</v>
          </cell>
        </row>
        <row r="1416">
          <cell r="I1416" t="str">
            <v>GW</v>
          </cell>
          <cell r="N1416">
            <v>1</v>
          </cell>
        </row>
        <row r="1417">
          <cell r="I1417" t="str">
            <v>GW</v>
          </cell>
          <cell r="N1417">
            <v>3</v>
          </cell>
        </row>
        <row r="1418">
          <cell r="I1418" t="str">
            <v>GW</v>
          </cell>
          <cell r="N1418">
            <v>2</v>
          </cell>
        </row>
        <row r="1419">
          <cell r="I1419" t="str">
            <v>GW</v>
          </cell>
          <cell r="N1419">
            <v>4</v>
          </cell>
        </row>
        <row r="1420">
          <cell r="I1420" t="str">
            <v>GW</v>
          </cell>
          <cell r="N1420">
            <v>2</v>
          </cell>
        </row>
        <row r="1421">
          <cell r="I1421" t="str">
            <v>GW</v>
          </cell>
          <cell r="N1421">
            <v>4</v>
          </cell>
        </row>
        <row r="1422">
          <cell r="I1422" t="str">
            <v>GW</v>
          </cell>
          <cell r="N1422">
            <v>1</v>
          </cell>
        </row>
        <row r="1423">
          <cell r="I1423" t="str">
            <v>GW</v>
          </cell>
          <cell r="N1423">
            <v>4</v>
          </cell>
        </row>
        <row r="1424">
          <cell r="I1424" t="str">
            <v>GW</v>
          </cell>
          <cell r="N1424">
            <v>4</v>
          </cell>
        </row>
        <row r="1425">
          <cell r="I1425" t="str">
            <v>GW</v>
          </cell>
          <cell r="N1425">
            <v>1</v>
          </cell>
        </row>
        <row r="1426">
          <cell r="I1426" t="str">
            <v>GW</v>
          </cell>
          <cell r="N1426">
            <v>1</v>
          </cell>
        </row>
        <row r="1427">
          <cell r="I1427" t="str">
            <v>GW</v>
          </cell>
          <cell r="N1427">
            <v>4</v>
          </cell>
        </row>
        <row r="1428">
          <cell r="I1428" t="str">
            <v>GW</v>
          </cell>
          <cell r="N1428">
            <v>4</v>
          </cell>
        </row>
        <row r="1429">
          <cell r="I1429" t="str">
            <v>GW</v>
          </cell>
          <cell r="N1429">
            <v>1</v>
          </cell>
        </row>
        <row r="1430">
          <cell r="I1430" t="str">
            <v>GW</v>
          </cell>
          <cell r="N1430">
            <v>3</v>
          </cell>
        </row>
        <row r="1431">
          <cell r="I1431" t="str">
            <v>GW</v>
          </cell>
          <cell r="N1431">
            <v>4</v>
          </cell>
        </row>
        <row r="1432">
          <cell r="I1432" t="str">
            <v>GW</v>
          </cell>
          <cell r="N1432">
            <v>2</v>
          </cell>
        </row>
        <row r="1433">
          <cell r="I1433" t="str">
            <v>GW</v>
          </cell>
          <cell r="N1433">
            <v>1</v>
          </cell>
        </row>
        <row r="1434">
          <cell r="I1434" t="str">
            <v>GW</v>
          </cell>
          <cell r="N1434">
            <v>1</v>
          </cell>
        </row>
        <row r="1435">
          <cell r="I1435" t="str">
            <v>GW</v>
          </cell>
          <cell r="N1435">
            <v>4</v>
          </cell>
        </row>
        <row r="1436">
          <cell r="I1436" t="str">
            <v>GW</v>
          </cell>
          <cell r="N1436">
            <v>2</v>
          </cell>
        </row>
        <row r="1437">
          <cell r="I1437" t="str">
            <v>GW</v>
          </cell>
          <cell r="N1437">
            <v>3</v>
          </cell>
        </row>
        <row r="1438">
          <cell r="I1438" t="str">
            <v>GW</v>
          </cell>
          <cell r="N1438">
            <v>1</v>
          </cell>
        </row>
        <row r="1439">
          <cell r="I1439" t="str">
            <v>GW</v>
          </cell>
          <cell r="N1439">
            <v>1</v>
          </cell>
        </row>
        <row r="1440">
          <cell r="I1440" t="str">
            <v>GW</v>
          </cell>
          <cell r="N1440">
            <v>4</v>
          </cell>
        </row>
        <row r="1441">
          <cell r="I1441" t="str">
            <v>GW</v>
          </cell>
          <cell r="N1441">
            <v>4</v>
          </cell>
        </row>
        <row r="1442">
          <cell r="I1442" t="str">
            <v>GW</v>
          </cell>
          <cell r="N1442">
            <v>4</v>
          </cell>
        </row>
        <row r="1443">
          <cell r="I1443" t="str">
            <v>GW</v>
          </cell>
          <cell r="N1443">
            <v>1</v>
          </cell>
        </row>
        <row r="1444">
          <cell r="I1444" t="str">
            <v>GW</v>
          </cell>
          <cell r="N1444">
            <v>4</v>
          </cell>
        </row>
        <row r="1445">
          <cell r="I1445" t="str">
            <v>GW</v>
          </cell>
          <cell r="N1445">
            <v>1</v>
          </cell>
        </row>
        <row r="1446">
          <cell r="I1446" t="str">
            <v>GW</v>
          </cell>
          <cell r="N1446">
            <v>2</v>
          </cell>
        </row>
        <row r="1447">
          <cell r="I1447" t="str">
            <v>GW</v>
          </cell>
          <cell r="N1447">
            <v>4</v>
          </cell>
        </row>
        <row r="1448">
          <cell r="I1448" t="str">
            <v>GW</v>
          </cell>
          <cell r="N1448">
            <v>2</v>
          </cell>
        </row>
        <row r="1449">
          <cell r="I1449" t="str">
            <v>GW</v>
          </cell>
          <cell r="N1449">
            <v>4</v>
          </cell>
        </row>
        <row r="1450">
          <cell r="I1450" t="str">
            <v>GW</v>
          </cell>
          <cell r="N1450">
            <v>4</v>
          </cell>
        </row>
        <row r="1451">
          <cell r="I1451" t="str">
            <v>GW</v>
          </cell>
          <cell r="N1451">
            <v>4</v>
          </cell>
        </row>
        <row r="1452">
          <cell r="I1452" t="str">
            <v>GW</v>
          </cell>
          <cell r="N1452">
            <v>4</v>
          </cell>
        </row>
        <row r="1453">
          <cell r="I1453" t="str">
            <v>GW</v>
          </cell>
          <cell r="N1453">
            <v>2</v>
          </cell>
        </row>
        <row r="1454">
          <cell r="I1454" t="str">
            <v>GW</v>
          </cell>
          <cell r="N1454">
            <v>1</v>
          </cell>
        </row>
        <row r="1455">
          <cell r="I1455" t="str">
            <v>GW</v>
          </cell>
          <cell r="N1455">
            <v>4</v>
          </cell>
        </row>
        <row r="1456">
          <cell r="I1456" t="str">
            <v>GW</v>
          </cell>
          <cell r="N1456">
            <v>1</v>
          </cell>
        </row>
        <row r="1457">
          <cell r="I1457" t="str">
            <v>GW</v>
          </cell>
          <cell r="N1457">
            <v>4</v>
          </cell>
        </row>
        <row r="1458">
          <cell r="I1458" t="str">
            <v>GW</v>
          </cell>
          <cell r="N1458">
            <v>1</v>
          </cell>
        </row>
        <row r="1459">
          <cell r="I1459" t="str">
            <v>GW</v>
          </cell>
          <cell r="N1459">
            <v>4</v>
          </cell>
        </row>
        <row r="1460">
          <cell r="I1460" t="str">
            <v>GW</v>
          </cell>
          <cell r="N1460">
            <v>2</v>
          </cell>
        </row>
        <row r="1461">
          <cell r="I1461" t="str">
            <v>GW</v>
          </cell>
          <cell r="N1461">
            <v>4</v>
          </cell>
        </row>
        <row r="1462">
          <cell r="I1462" t="str">
            <v>GW</v>
          </cell>
          <cell r="N1462">
            <v>4</v>
          </cell>
        </row>
        <row r="1463">
          <cell r="I1463" t="str">
            <v>GW</v>
          </cell>
          <cell r="N1463">
            <v>4</v>
          </cell>
        </row>
        <row r="1464">
          <cell r="I1464" t="str">
            <v>GW</v>
          </cell>
          <cell r="N1464">
            <v>4</v>
          </cell>
        </row>
        <row r="1465">
          <cell r="I1465" t="str">
            <v>GW</v>
          </cell>
          <cell r="N1465">
            <v>4</v>
          </cell>
        </row>
        <row r="1466">
          <cell r="I1466" t="str">
            <v>GW</v>
          </cell>
          <cell r="N1466">
            <v>2</v>
          </cell>
        </row>
        <row r="1467">
          <cell r="I1467" t="str">
            <v>GW</v>
          </cell>
          <cell r="N1467">
            <v>1</v>
          </cell>
        </row>
        <row r="1468">
          <cell r="I1468" t="str">
            <v>GW</v>
          </cell>
          <cell r="N1468">
            <v>4</v>
          </cell>
        </row>
        <row r="1469">
          <cell r="I1469" t="str">
            <v>GW</v>
          </cell>
          <cell r="N1469">
            <v>2</v>
          </cell>
        </row>
        <row r="1470">
          <cell r="I1470" t="str">
            <v>GW</v>
          </cell>
          <cell r="N1470">
            <v>1</v>
          </cell>
        </row>
        <row r="1471">
          <cell r="I1471" t="str">
            <v>GW</v>
          </cell>
          <cell r="N1471">
            <v>4</v>
          </cell>
        </row>
        <row r="1472">
          <cell r="I1472" t="str">
            <v>GW</v>
          </cell>
          <cell r="N1472">
            <v>4</v>
          </cell>
        </row>
        <row r="1473">
          <cell r="I1473" t="str">
            <v>GW</v>
          </cell>
          <cell r="N1473">
            <v>4</v>
          </cell>
        </row>
        <row r="1474">
          <cell r="I1474" t="str">
            <v>GW</v>
          </cell>
          <cell r="N1474">
            <v>4</v>
          </cell>
        </row>
        <row r="1475">
          <cell r="I1475" t="str">
            <v>GW</v>
          </cell>
          <cell r="N1475">
            <v>4</v>
          </cell>
        </row>
        <row r="1476">
          <cell r="I1476" t="str">
            <v>GW</v>
          </cell>
          <cell r="N1476">
            <v>1</v>
          </cell>
        </row>
        <row r="1477">
          <cell r="I1477" t="str">
            <v>GW</v>
          </cell>
          <cell r="N1477">
            <v>1</v>
          </cell>
        </row>
        <row r="1478">
          <cell r="I1478" t="str">
            <v>GW</v>
          </cell>
          <cell r="N1478">
            <v>4</v>
          </cell>
        </row>
        <row r="1479">
          <cell r="I1479" t="str">
            <v>GW</v>
          </cell>
          <cell r="N1479">
            <v>4</v>
          </cell>
        </row>
        <row r="1480">
          <cell r="I1480" t="str">
            <v>GW</v>
          </cell>
          <cell r="N1480">
            <v>1</v>
          </cell>
        </row>
        <row r="1481">
          <cell r="I1481" t="str">
            <v>GW</v>
          </cell>
          <cell r="N1481">
            <v>1</v>
          </cell>
        </row>
        <row r="1482">
          <cell r="I1482" t="str">
            <v>GW</v>
          </cell>
          <cell r="N1482">
            <v>4</v>
          </cell>
        </row>
        <row r="1483">
          <cell r="I1483" t="str">
            <v>GW</v>
          </cell>
          <cell r="N1483">
            <v>1</v>
          </cell>
        </row>
        <row r="1484">
          <cell r="I1484" t="str">
            <v>GW</v>
          </cell>
          <cell r="N1484">
            <v>1</v>
          </cell>
        </row>
        <row r="1485">
          <cell r="I1485" t="str">
            <v>GW</v>
          </cell>
          <cell r="N1485">
            <v>2</v>
          </cell>
        </row>
        <row r="1486">
          <cell r="I1486" t="str">
            <v>GW</v>
          </cell>
          <cell r="N1486">
            <v>1</v>
          </cell>
        </row>
        <row r="1487">
          <cell r="I1487" t="str">
            <v>GW</v>
          </cell>
          <cell r="N1487">
            <v>1</v>
          </cell>
        </row>
        <row r="1488">
          <cell r="I1488" t="str">
            <v>GW</v>
          </cell>
          <cell r="N1488">
            <v>1</v>
          </cell>
        </row>
        <row r="1489">
          <cell r="I1489" t="str">
            <v>GW</v>
          </cell>
          <cell r="N1489">
            <v>4</v>
          </cell>
        </row>
        <row r="1490">
          <cell r="I1490" t="str">
            <v>GW</v>
          </cell>
          <cell r="N1490">
            <v>4</v>
          </cell>
        </row>
        <row r="1491">
          <cell r="I1491" t="str">
            <v>GW</v>
          </cell>
          <cell r="N1491">
            <v>4</v>
          </cell>
        </row>
        <row r="1492">
          <cell r="I1492" t="str">
            <v>GW</v>
          </cell>
          <cell r="N1492">
            <v>1</v>
          </cell>
        </row>
        <row r="1493">
          <cell r="I1493" t="str">
            <v>GW</v>
          </cell>
          <cell r="N1493">
            <v>4</v>
          </cell>
        </row>
        <row r="1494">
          <cell r="I1494" t="str">
            <v>GW</v>
          </cell>
          <cell r="N1494">
            <v>4</v>
          </cell>
        </row>
        <row r="1495">
          <cell r="I1495" t="str">
            <v>GW</v>
          </cell>
          <cell r="N1495">
            <v>4</v>
          </cell>
        </row>
        <row r="1496">
          <cell r="I1496" t="str">
            <v>GW</v>
          </cell>
          <cell r="N1496">
            <v>4</v>
          </cell>
        </row>
        <row r="1497">
          <cell r="I1497" t="str">
            <v>GW</v>
          </cell>
          <cell r="N1497">
            <v>4</v>
          </cell>
        </row>
        <row r="1498">
          <cell r="I1498" t="str">
            <v>GW</v>
          </cell>
          <cell r="N1498">
            <v>4</v>
          </cell>
        </row>
        <row r="1499">
          <cell r="I1499" t="str">
            <v>GW</v>
          </cell>
          <cell r="N1499">
            <v>4</v>
          </cell>
        </row>
        <row r="1500">
          <cell r="I1500" t="str">
            <v>GW</v>
          </cell>
          <cell r="N1500">
            <v>4</v>
          </cell>
        </row>
        <row r="1501">
          <cell r="I1501" t="str">
            <v>GW</v>
          </cell>
          <cell r="N1501">
            <v>3</v>
          </cell>
        </row>
        <row r="1502">
          <cell r="I1502" t="str">
            <v>GW</v>
          </cell>
          <cell r="N1502">
            <v>1</v>
          </cell>
        </row>
        <row r="1503">
          <cell r="I1503" t="str">
            <v>GW</v>
          </cell>
          <cell r="N1503">
            <v>1</v>
          </cell>
        </row>
        <row r="1504">
          <cell r="I1504" t="str">
            <v>GW</v>
          </cell>
          <cell r="N1504">
            <v>4</v>
          </cell>
        </row>
        <row r="1505">
          <cell r="I1505" t="str">
            <v>GW</v>
          </cell>
          <cell r="N1505">
            <v>4</v>
          </cell>
        </row>
        <row r="1506">
          <cell r="I1506" t="str">
            <v>GW</v>
          </cell>
          <cell r="N1506">
            <v>4</v>
          </cell>
        </row>
        <row r="1507">
          <cell r="I1507" t="str">
            <v>GW</v>
          </cell>
          <cell r="N1507">
            <v>4</v>
          </cell>
        </row>
        <row r="1508">
          <cell r="I1508" t="str">
            <v>GW</v>
          </cell>
          <cell r="N1508">
            <v>4</v>
          </cell>
        </row>
        <row r="1509">
          <cell r="I1509" t="str">
            <v>GW</v>
          </cell>
          <cell r="N1509">
            <v>1</v>
          </cell>
        </row>
        <row r="1510">
          <cell r="I1510" t="str">
            <v>GW</v>
          </cell>
          <cell r="N1510">
            <v>4</v>
          </cell>
        </row>
        <row r="1511">
          <cell r="I1511" t="str">
            <v>GW</v>
          </cell>
          <cell r="N1511">
            <v>1</v>
          </cell>
        </row>
        <row r="1512">
          <cell r="I1512" t="str">
            <v>GW</v>
          </cell>
          <cell r="N1512">
            <v>4</v>
          </cell>
        </row>
        <row r="1513">
          <cell r="I1513" t="str">
            <v>GW</v>
          </cell>
          <cell r="N1513">
            <v>1</v>
          </cell>
        </row>
        <row r="1514">
          <cell r="I1514" t="str">
            <v>GW</v>
          </cell>
          <cell r="N1514">
            <v>2</v>
          </cell>
        </row>
        <row r="1515">
          <cell r="I1515" t="str">
            <v>GW</v>
          </cell>
          <cell r="N1515">
            <v>4</v>
          </cell>
        </row>
        <row r="1516">
          <cell r="I1516" t="str">
            <v>GW</v>
          </cell>
          <cell r="N1516">
            <v>1</v>
          </cell>
        </row>
        <row r="1517">
          <cell r="I1517" t="str">
            <v>GW</v>
          </cell>
          <cell r="N1517">
            <v>4</v>
          </cell>
        </row>
        <row r="1518">
          <cell r="I1518" t="str">
            <v>GW</v>
          </cell>
          <cell r="N1518">
            <v>1</v>
          </cell>
        </row>
        <row r="1519">
          <cell r="I1519" t="str">
            <v>GW</v>
          </cell>
          <cell r="N1519">
            <v>1</v>
          </cell>
        </row>
        <row r="1520">
          <cell r="I1520" t="str">
            <v>GW</v>
          </cell>
          <cell r="N1520">
            <v>4</v>
          </cell>
        </row>
        <row r="1521">
          <cell r="I1521" t="str">
            <v>GW</v>
          </cell>
          <cell r="N1521">
            <v>2</v>
          </cell>
        </row>
        <row r="1522">
          <cell r="I1522" t="str">
            <v>GW</v>
          </cell>
          <cell r="N1522">
            <v>1</v>
          </cell>
        </row>
        <row r="1523">
          <cell r="I1523" t="str">
            <v>GW</v>
          </cell>
          <cell r="N1523">
            <v>2</v>
          </cell>
        </row>
        <row r="1524">
          <cell r="I1524" t="str">
            <v>GW</v>
          </cell>
          <cell r="N1524">
            <v>1</v>
          </cell>
        </row>
        <row r="1525">
          <cell r="I1525" t="str">
            <v>GW</v>
          </cell>
          <cell r="N1525">
            <v>4</v>
          </cell>
        </row>
        <row r="1526">
          <cell r="I1526" t="str">
            <v>GW</v>
          </cell>
          <cell r="N1526">
            <v>1</v>
          </cell>
        </row>
        <row r="1527">
          <cell r="I1527" t="str">
            <v>GW</v>
          </cell>
          <cell r="N1527">
            <v>1</v>
          </cell>
        </row>
        <row r="1528">
          <cell r="I1528" t="str">
            <v>GW</v>
          </cell>
          <cell r="N1528">
            <v>4</v>
          </cell>
        </row>
        <row r="1529">
          <cell r="I1529" t="str">
            <v>GW</v>
          </cell>
          <cell r="N1529">
            <v>1</v>
          </cell>
        </row>
        <row r="1530">
          <cell r="I1530" t="str">
            <v>GW</v>
          </cell>
          <cell r="N1530">
            <v>4</v>
          </cell>
        </row>
        <row r="1531">
          <cell r="I1531" t="str">
            <v>GW</v>
          </cell>
          <cell r="N1531">
            <v>2</v>
          </cell>
        </row>
        <row r="1532">
          <cell r="I1532" t="str">
            <v>GW</v>
          </cell>
          <cell r="N1532">
            <v>4</v>
          </cell>
        </row>
        <row r="1533">
          <cell r="I1533" t="str">
            <v>GW</v>
          </cell>
          <cell r="N1533">
            <v>1</v>
          </cell>
        </row>
        <row r="1534">
          <cell r="I1534" t="str">
            <v>GW</v>
          </cell>
          <cell r="N1534">
            <v>1</v>
          </cell>
        </row>
        <row r="1535">
          <cell r="I1535" t="str">
            <v>GW</v>
          </cell>
          <cell r="N1535">
            <v>1</v>
          </cell>
        </row>
        <row r="1536">
          <cell r="I1536" t="str">
            <v>GW</v>
          </cell>
          <cell r="N1536">
            <v>1</v>
          </cell>
        </row>
        <row r="1537">
          <cell r="I1537" t="str">
            <v>GW</v>
          </cell>
          <cell r="N1537">
            <v>1</v>
          </cell>
        </row>
        <row r="1538">
          <cell r="I1538" t="str">
            <v>GW</v>
          </cell>
          <cell r="N1538">
            <v>4</v>
          </cell>
        </row>
        <row r="1539">
          <cell r="I1539" t="str">
            <v>GW</v>
          </cell>
          <cell r="N1539">
            <v>2</v>
          </cell>
        </row>
        <row r="1540">
          <cell r="I1540" t="str">
            <v>GW</v>
          </cell>
          <cell r="N1540">
            <v>4</v>
          </cell>
        </row>
        <row r="1541">
          <cell r="I1541" t="str">
            <v>GW</v>
          </cell>
          <cell r="N1541">
            <v>2</v>
          </cell>
        </row>
        <row r="1542">
          <cell r="I1542" t="str">
            <v>GW</v>
          </cell>
          <cell r="N1542">
            <v>1</v>
          </cell>
        </row>
        <row r="1543">
          <cell r="I1543" t="str">
            <v>GW</v>
          </cell>
          <cell r="N1543">
            <v>1</v>
          </cell>
        </row>
        <row r="1544">
          <cell r="I1544" t="str">
            <v>GW</v>
          </cell>
          <cell r="N1544">
            <v>1</v>
          </cell>
        </row>
        <row r="1545">
          <cell r="I1545" t="str">
            <v>GW</v>
          </cell>
          <cell r="N1545">
            <v>4</v>
          </cell>
        </row>
        <row r="1546">
          <cell r="I1546" t="str">
            <v>GW</v>
          </cell>
          <cell r="N1546">
            <v>4</v>
          </cell>
        </row>
        <row r="1547">
          <cell r="I1547" t="str">
            <v>GW</v>
          </cell>
          <cell r="N1547">
            <v>1</v>
          </cell>
        </row>
        <row r="1548">
          <cell r="I1548" t="str">
            <v>GW</v>
          </cell>
          <cell r="N1548">
            <v>1</v>
          </cell>
        </row>
        <row r="1549">
          <cell r="I1549" t="str">
            <v>GW</v>
          </cell>
          <cell r="N1549">
            <v>4</v>
          </cell>
        </row>
        <row r="1550">
          <cell r="I1550" t="str">
            <v>GW</v>
          </cell>
          <cell r="N1550">
            <v>4</v>
          </cell>
        </row>
        <row r="1551">
          <cell r="I1551" t="str">
            <v>GW</v>
          </cell>
          <cell r="N1551">
            <v>2</v>
          </cell>
        </row>
        <row r="1552">
          <cell r="I1552" t="str">
            <v>GW</v>
          </cell>
          <cell r="N1552">
            <v>4</v>
          </cell>
        </row>
        <row r="1553">
          <cell r="I1553" t="str">
            <v>GW</v>
          </cell>
          <cell r="N1553">
            <v>4</v>
          </cell>
        </row>
        <row r="1554">
          <cell r="I1554" t="str">
            <v>GW</v>
          </cell>
          <cell r="N1554">
            <v>1</v>
          </cell>
        </row>
        <row r="1555">
          <cell r="I1555" t="str">
            <v>GW</v>
          </cell>
          <cell r="N1555">
            <v>1</v>
          </cell>
        </row>
        <row r="1556">
          <cell r="I1556" t="str">
            <v>GW</v>
          </cell>
          <cell r="N1556">
            <v>1</v>
          </cell>
        </row>
        <row r="1557">
          <cell r="I1557" t="str">
            <v>GW</v>
          </cell>
          <cell r="N1557">
            <v>4</v>
          </cell>
        </row>
        <row r="1558">
          <cell r="I1558" t="str">
            <v>GW</v>
          </cell>
          <cell r="N1558">
            <v>4</v>
          </cell>
        </row>
        <row r="1559">
          <cell r="I1559" t="str">
            <v>GW</v>
          </cell>
          <cell r="N1559">
            <v>2</v>
          </cell>
        </row>
        <row r="1560">
          <cell r="I1560" t="str">
            <v>GW</v>
          </cell>
          <cell r="N1560">
            <v>4</v>
          </cell>
        </row>
        <row r="1561">
          <cell r="I1561" t="str">
            <v>GW</v>
          </cell>
          <cell r="N1561">
            <v>4</v>
          </cell>
        </row>
        <row r="1562">
          <cell r="I1562" t="str">
            <v>GW</v>
          </cell>
          <cell r="N1562">
            <v>4</v>
          </cell>
        </row>
        <row r="1563">
          <cell r="I1563" t="str">
            <v>GW</v>
          </cell>
          <cell r="N1563">
            <v>4</v>
          </cell>
        </row>
        <row r="1564">
          <cell r="I1564" t="str">
            <v>GW</v>
          </cell>
          <cell r="N1564">
            <v>4</v>
          </cell>
        </row>
        <row r="1565">
          <cell r="I1565" t="str">
            <v>GW</v>
          </cell>
          <cell r="N1565">
            <v>4</v>
          </cell>
        </row>
        <row r="1566">
          <cell r="I1566" t="str">
            <v>GW</v>
          </cell>
          <cell r="N1566">
            <v>4</v>
          </cell>
        </row>
        <row r="1567">
          <cell r="I1567" t="str">
            <v>GW</v>
          </cell>
          <cell r="N1567">
            <v>4</v>
          </cell>
        </row>
        <row r="1568">
          <cell r="I1568" t="str">
            <v>GW</v>
          </cell>
          <cell r="N1568">
            <v>4</v>
          </cell>
        </row>
        <row r="1569">
          <cell r="I1569" t="str">
            <v>GW</v>
          </cell>
          <cell r="N1569">
            <v>4</v>
          </cell>
        </row>
        <row r="1570">
          <cell r="I1570" t="str">
            <v>GW</v>
          </cell>
          <cell r="N1570">
            <v>4</v>
          </cell>
        </row>
        <row r="1571">
          <cell r="I1571" t="str">
            <v>GW</v>
          </cell>
          <cell r="N1571">
            <v>1</v>
          </cell>
        </row>
        <row r="1572">
          <cell r="I1572" t="str">
            <v>GW</v>
          </cell>
          <cell r="N1572">
            <v>3</v>
          </cell>
        </row>
        <row r="1573">
          <cell r="I1573" t="str">
            <v>GW</v>
          </cell>
          <cell r="N1573">
            <v>2</v>
          </cell>
        </row>
        <row r="1574">
          <cell r="I1574" t="str">
            <v>GW</v>
          </cell>
          <cell r="N1574">
            <v>4</v>
          </cell>
        </row>
        <row r="1575">
          <cell r="I1575" t="str">
            <v>GW</v>
          </cell>
          <cell r="N1575">
            <v>1</v>
          </cell>
        </row>
        <row r="1576">
          <cell r="I1576" t="str">
            <v>GW</v>
          </cell>
          <cell r="N1576">
            <v>4</v>
          </cell>
        </row>
        <row r="1577">
          <cell r="I1577" t="str">
            <v>GW</v>
          </cell>
          <cell r="N1577">
            <v>1</v>
          </cell>
        </row>
        <row r="1578">
          <cell r="I1578" t="str">
            <v>GW</v>
          </cell>
          <cell r="N1578">
            <v>4</v>
          </cell>
        </row>
        <row r="1579">
          <cell r="I1579" t="str">
            <v>GW</v>
          </cell>
          <cell r="N1579">
            <v>4</v>
          </cell>
        </row>
        <row r="1580">
          <cell r="I1580" t="str">
            <v>GW</v>
          </cell>
          <cell r="N1580">
            <v>1</v>
          </cell>
        </row>
        <row r="1581">
          <cell r="I1581" t="str">
            <v>GW</v>
          </cell>
          <cell r="N1581">
            <v>4</v>
          </cell>
        </row>
        <row r="1582">
          <cell r="I1582" t="str">
            <v>GW</v>
          </cell>
          <cell r="N1582">
            <v>4</v>
          </cell>
        </row>
        <row r="1583">
          <cell r="I1583" t="str">
            <v>GW</v>
          </cell>
          <cell r="N1583">
            <v>4</v>
          </cell>
        </row>
        <row r="1584">
          <cell r="I1584" t="str">
            <v>GW</v>
          </cell>
          <cell r="N1584">
            <v>4</v>
          </cell>
        </row>
        <row r="1585">
          <cell r="I1585" t="str">
            <v>GW</v>
          </cell>
          <cell r="N1585">
            <v>4</v>
          </cell>
        </row>
        <row r="1586">
          <cell r="I1586" t="str">
            <v>GW</v>
          </cell>
          <cell r="N1586">
            <v>4</v>
          </cell>
        </row>
        <row r="1587">
          <cell r="I1587" t="str">
            <v>GW</v>
          </cell>
          <cell r="N1587">
            <v>4</v>
          </cell>
        </row>
        <row r="1588">
          <cell r="I1588" t="str">
            <v>GW</v>
          </cell>
          <cell r="N1588">
            <v>4</v>
          </cell>
        </row>
        <row r="1589">
          <cell r="I1589" t="str">
            <v>GW</v>
          </cell>
          <cell r="N1589">
            <v>4</v>
          </cell>
        </row>
        <row r="1590">
          <cell r="I1590" t="str">
            <v>GW</v>
          </cell>
          <cell r="N1590">
            <v>4</v>
          </cell>
        </row>
        <row r="1591">
          <cell r="I1591" t="str">
            <v>GW</v>
          </cell>
          <cell r="N1591">
            <v>4</v>
          </cell>
        </row>
        <row r="1592">
          <cell r="I1592" t="str">
            <v>GW</v>
          </cell>
          <cell r="N1592">
            <v>4</v>
          </cell>
        </row>
        <row r="1593">
          <cell r="I1593" t="str">
            <v>GW</v>
          </cell>
          <cell r="N1593">
            <v>4</v>
          </cell>
        </row>
        <row r="1594">
          <cell r="I1594" t="str">
            <v>GW</v>
          </cell>
          <cell r="N1594">
            <v>4</v>
          </cell>
        </row>
        <row r="1595">
          <cell r="I1595" t="str">
            <v>GW</v>
          </cell>
          <cell r="N1595">
            <v>4</v>
          </cell>
        </row>
        <row r="1596">
          <cell r="I1596" t="str">
            <v>GW</v>
          </cell>
          <cell r="N1596">
            <v>4</v>
          </cell>
        </row>
        <row r="1597">
          <cell r="I1597" t="str">
            <v>GW</v>
          </cell>
          <cell r="N1597">
            <v>4</v>
          </cell>
        </row>
        <row r="1598">
          <cell r="I1598" t="str">
            <v>GW</v>
          </cell>
          <cell r="N1598">
            <v>4</v>
          </cell>
        </row>
        <row r="1599">
          <cell r="I1599" t="str">
            <v>GW</v>
          </cell>
          <cell r="N1599">
            <v>4</v>
          </cell>
        </row>
        <row r="1600">
          <cell r="I1600" t="str">
            <v>GW</v>
          </cell>
          <cell r="N1600">
            <v>4</v>
          </cell>
        </row>
        <row r="1601">
          <cell r="I1601" t="str">
            <v>GW</v>
          </cell>
          <cell r="N1601">
            <v>4</v>
          </cell>
        </row>
        <row r="1602">
          <cell r="I1602" t="str">
            <v>GW</v>
          </cell>
          <cell r="N1602">
            <v>4</v>
          </cell>
        </row>
        <row r="1603">
          <cell r="I1603" t="str">
            <v>GW</v>
          </cell>
          <cell r="N1603">
            <v>4</v>
          </cell>
        </row>
        <row r="1604">
          <cell r="I1604" t="str">
            <v>GW</v>
          </cell>
          <cell r="N1604">
            <v>4</v>
          </cell>
        </row>
        <row r="1605">
          <cell r="I1605" t="str">
            <v>GW</v>
          </cell>
          <cell r="N1605">
            <v>4</v>
          </cell>
        </row>
        <row r="1606">
          <cell r="I1606" t="str">
            <v>GW</v>
          </cell>
          <cell r="N1606">
            <v>4</v>
          </cell>
        </row>
        <row r="1607">
          <cell r="I1607" t="str">
            <v>GW</v>
          </cell>
          <cell r="N1607">
            <v>4</v>
          </cell>
        </row>
        <row r="1608">
          <cell r="I1608" t="str">
            <v>GW</v>
          </cell>
          <cell r="N1608">
            <v>1</v>
          </cell>
        </row>
        <row r="1609">
          <cell r="I1609" t="str">
            <v>GW</v>
          </cell>
          <cell r="N1609">
            <v>1</v>
          </cell>
        </row>
        <row r="1610">
          <cell r="I1610" t="str">
            <v>GW</v>
          </cell>
          <cell r="N1610">
            <v>4</v>
          </cell>
        </row>
        <row r="1611">
          <cell r="I1611" t="str">
            <v>GW</v>
          </cell>
          <cell r="N1611">
            <v>1</v>
          </cell>
        </row>
        <row r="1612">
          <cell r="I1612" t="str">
            <v>GW</v>
          </cell>
          <cell r="N1612">
            <v>4</v>
          </cell>
        </row>
        <row r="1613">
          <cell r="I1613" t="str">
            <v>GW</v>
          </cell>
          <cell r="N1613">
            <v>1</v>
          </cell>
        </row>
        <row r="1614">
          <cell r="I1614" t="str">
            <v>GW</v>
          </cell>
          <cell r="N1614">
            <v>4</v>
          </cell>
        </row>
        <row r="1615">
          <cell r="I1615" t="str">
            <v>GW</v>
          </cell>
          <cell r="N1615">
            <v>4</v>
          </cell>
        </row>
        <row r="1616">
          <cell r="I1616" t="str">
            <v>GW</v>
          </cell>
          <cell r="N1616">
            <v>4</v>
          </cell>
        </row>
        <row r="1617">
          <cell r="I1617" t="str">
            <v>GW</v>
          </cell>
          <cell r="N1617">
            <v>4</v>
          </cell>
        </row>
        <row r="1618">
          <cell r="I1618" t="str">
            <v>GW</v>
          </cell>
          <cell r="N1618">
            <v>4</v>
          </cell>
        </row>
        <row r="1619">
          <cell r="I1619" t="str">
            <v>GW</v>
          </cell>
          <cell r="N1619">
            <v>1</v>
          </cell>
        </row>
        <row r="1620">
          <cell r="I1620" t="str">
            <v>GW</v>
          </cell>
          <cell r="N1620">
            <v>4</v>
          </cell>
        </row>
        <row r="1621">
          <cell r="I1621" t="str">
            <v>GW</v>
          </cell>
          <cell r="N1621">
            <v>1</v>
          </cell>
        </row>
        <row r="1622">
          <cell r="I1622" t="str">
            <v>GW</v>
          </cell>
          <cell r="N1622">
            <v>2</v>
          </cell>
        </row>
        <row r="1623">
          <cell r="I1623" t="str">
            <v>GW</v>
          </cell>
          <cell r="N1623">
            <v>4</v>
          </cell>
        </row>
        <row r="1624">
          <cell r="I1624" t="str">
            <v>GW</v>
          </cell>
          <cell r="N1624">
            <v>4</v>
          </cell>
        </row>
        <row r="1625">
          <cell r="I1625" t="str">
            <v>GW</v>
          </cell>
          <cell r="N1625">
            <v>4</v>
          </cell>
        </row>
        <row r="1626">
          <cell r="I1626" t="str">
            <v>GW</v>
          </cell>
          <cell r="N1626">
            <v>4</v>
          </cell>
        </row>
        <row r="1627">
          <cell r="I1627" t="str">
            <v>GW</v>
          </cell>
          <cell r="N1627">
            <v>4</v>
          </cell>
        </row>
        <row r="1628">
          <cell r="I1628" t="str">
            <v>GW</v>
          </cell>
          <cell r="N1628">
            <v>2</v>
          </cell>
        </row>
        <row r="1629">
          <cell r="I1629" t="str">
            <v>GW</v>
          </cell>
          <cell r="N1629">
            <v>4</v>
          </cell>
        </row>
        <row r="1630">
          <cell r="I1630" t="str">
            <v>GW</v>
          </cell>
          <cell r="N1630">
            <v>4</v>
          </cell>
        </row>
        <row r="1631">
          <cell r="I1631" t="str">
            <v>GW</v>
          </cell>
          <cell r="N1631">
            <v>4</v>
          </cell>
        </row>
        <row r="1632">
          <cell r="I1632" t="str">
            <v>GW</v>
          </cell>
          <cell r="N1632">
            <v>4</v>
          </cell>
        </row>
        <row r="1633">
          <cell r="I1633" t="str">
            <v>GW</v>
          </cell>
          <cell r="N1633">
            <v>1</v>
          </cell>
        </row>
        <row r="1634">
          <cell r="I1634" t="str">
            <v>GW</v>
          </cell>
          <cell r="N1634">
            <v>4</v>
          </cell>
        </row>
        <row r="1635">
          <cell r="I1635" t="str">
            <v>GW</v>
          </cell>
          <cell r="N1635">
            <v>4</v>
          </cell>
        </row>
        <row r="1636">
          <cell r="I1636" t="str">
            <v>GW</v>
          </cell>
          <cell r="N1636">
            <v>4</v>
          </cell>
        </row>
        <row r="1637">
          <cell r="I1637" t="str">
            <v>GW</v>
          </cell>
          <cell r="N1637">
            <v>2</v>
          </cell>
        </row>
        <row r="1638">
          <cell r="I1638" t="str">
            <v>GW</v>
          </cell>
          <cell r="N1638">
            <v>1</v>
          </cell>
        </row>
        <row r="1639">
          <cell r="I1639" t="str">
            <v>GW</v>
          </cell>
          <cell r="N1639">
            <v>1</v>
          </cell>
        </row>
        <row r="1640">
          <cell r="I1640" t="str">
            <v>GW</v>
          </cell>
          <cell r="N1640">
            <v>1</v>
          </cell>
        </row>
        <row r="1641">
          <cell r="I1641" t="str">
            <v>GW</v>
          </cell>
          <cell r="N1641">
            <v>4</v>
          </cell>
        </row>
        <row r="1642">
          <cell r="I1642" t="str">
            <v>GW</v>
          </cell>
          <cell r="N1642">
            <v>1</v>
          </cell>
        </row>
        <row r="1643">
          <cell r="I1643" t="str">
            <v>GW</v>
          </cell>
          <cell r="N1643">
            <v>4</v>
          </cell>
        </row>
        <row r="1644">
          <cell r="I1644" t="str">
            <v>GW</v>
          </cell>
          <cell r="N1644">
            <v>4</v>
          </cell>
        </row>
        <row r="1645">
          <cell r="I1645" t="str">
            <v>GW</v>
          </cell>
          <cell r="N1645">
            <v>1</v>
          </cell>
        </row>
        <row r="1646">
          <cell r="I1646" t="str">
            <v>GW</v>
          </cell>
          <cell r="N1646">
            <v>4</v>
          </cell>
        </row>
        <row r="1647">
          <cell r="I1647" t="str">
            <v>GW</v>
          </cell>
          <cell r="N1647">
            <v>4</v>
          </cell>
        </row>
        <row r="1648">
          <cell r="I1648" t="str">
            <v>GW</v>
          </cell>
          <cell r="N1648">
            <v>1</v>
          </cell>
        </row>
        <row r="1649">
          <cell r="I1649" t="str">
            <v>GW</v>
          </cell>
          <cell r="N1649">
            <v>4</v>
          </cell>
        </row>
        <row r="1650">
          <cell r="I1650" t="str">
            <v>GW</v>
          </cell>
          <cell r="N1650">
            <v>4</v>
          </cell>
        </row>
        <row r="1651">
          <cell r="I1651" t="str">
            <v>GW</v>
          </cell>
          <cell r="N1651">
            <v>1</v>
          </cell>
        </row>
        <row r="1652">
          <cell r="I1652" t="str">
            <v>GW</v>
          </cell>
          <cell r="N1652">
            <v>4</v>
          </cell>
        </row>
        <row r="1653">
          <cell r="I1653" t="str">
            <v>GW</v>
          </cell>
          <cell r="N1653">
            <v>4</v>
          </cell>
        </row>
        <row r="1654">
          <cell r="I1654" t="str">
            <v>GW</v>
          </cell>
          <cell r="N1654">
            <v>4</v>
          </cell>
        </row>
        <row r="1655">
          <cell r="I1655" t="str">
            <v>GW</v>
          </cell>
          <cell r="N1655">
            <v>4</v>
          </cell>
        </row>
        <row r="1656">
          <cell r="I1656" t="str">
            <v>GW</v>
          </cell>
          <cell r="N1656">
            <v>1</v>
          </cell>
        </row>
        <row r="1657">
          <cell r="I1657" t="str">
            <v>GW</v>
          </cell>
          <cell r="N1657">
            <v>4</v>
          </cell>
        </row>
        <row r="1658">
          <cell r="I1658" t="str">
            <v>GW</v>
          </cell>
          <cell r="N1658">
            <v>1</v>
          </cell>
        </row>
        <row r="1659">
          <cell r="I1659" t="str">
            <v>GW</v>
          </cell>
          <cell r="N1659">
            <v>4</v>
          </cell>
        </row>
        <row r="1660">
          <cell r="I1660" t="str">
            <v>GW</v>
          </cell>
          <cell r="N1660">
            <v>1</v>
          </cell>
        </row>
        <row r="1661">
          <cell r="I1661" t="str">
            <v>GW</v>
          </cell>
          <cell r="N1661">
            <v>4</v>
          </cell>
        </row>
        <row r="1662">
          <cell r="I1662" t="str">
            <v>GW</v>
          </cell>
          <cell r="N1662">
            <v>4</v>
          </cell>
        </row>
        <row r="1663">
          <cell r="I1663" t="str">
            <v>GW</v>
          </cell>
          <cell r="N1663">
            <v>4</v>
          </cell>
        </row>
        <row r="1664">
          <cell r="I1664" t="str">
            <v>GW</v>
          </cell>
          <cell r="N1664">
            <v>4</v>
          </cell>
        </row>
        <row r="1665">
          <cell r="I1665" t="str">
            <v>GW</v>
          </cell>
          <cell r="N1665">
            <v>4</v>
          </cell>
        </row>
        <row r="1666">
          <cell r="I1666" t="str">
            <v>GW</v>
          </cell>
          <cell r="N1666">
            <v>4</v>
          </cell>
        </row>
        <row r="1667">
          <cell r="I1667" t="str">
            <v>GW</v>
          </cell>
          <cell r="N1667">
            <v>1</v>
          </cell>
        </row>
        <row r="1668">
          <cell r="I1668" t="str">
            <v>GW</v>
          </cell>
          <cell r="N1668">
            <v>4</v>
          </cell>
        </row>
        <row r="1669">
          <cell r="I1669" t="str">
            <v>GW</v>
          </cell>
          <cell r="N1669">
            <v>2</v>
          </cell>
        </row>
        <row r="1670">
          <cell r="I1670" t="str">
            <v>GW</v>
          </cell>
          <cell r="N1670">
            <v>4</v>
          </cell>
        </row>
        <row r="1671">
          <cell r="I1671" t="str">
            <v>GW</v>
          </cell>
          <cell r="N1671">
            <v>2</v>
          </cell>
        </row>
        <row r="1672">
          <cell r="I1672" t="str">
            <v>GW</v>
          </cell>
          <cell r="N1672">
            <v>1</v>
          </cell>
        </row>
        <row r="1673">
          <cell r="I1673" t="str">
            <v>GW</v>
          </cell>
          <cell r="N1673">
            <v>4</v>
          </cell>
        </row>
        <row r="1674">
          <cell r="I1674" t="str">
            <v>GW</v>
          </cell>
          <cell r="N1674">
            <v>4</v>
          </cell>
        </row>
        <row r="1675">
          <cell r="I1675" t="str">
            <v>GW</v>
          </cell>
          <cell r="N1675">
            <v>1</v>
          </cell>
        </row>
        <row r="1676">
          <cell r="I1676" t="str">
            <v>GW</v>
          </cell>
          <cell r="N1676">
            <v>4</v>
          </cell>
        </row>
        <row r="1677">
          <cell r="I1677" t="str">
            <v>GW</v>
          </cell>
          <cell r="N1677">
            <v>4</v>
          </cell>
        </row>
        <row r="1678">
          <cell r="I1678" t="str">
            <v>GW</v>
          </cell>
          <cell r="N1678">
            <v>4</v>
          </cell>
        </row>
        <row r="1679">
          <cell r="I1679" t="str">
            <v>GW</v>
          </cell>
          <cell r="N1679">
            <v>1</v>
          </cell>
        </row>
        <row r="1680">
          <cell r="I1680" t="str">
            <v>GW</v>
          </cell>
          <cell r="N1680">
            <v>4</v>
          </cell>
        </row>
        <row r="1681">
          <cell r="I1681" t="str">
            <v>GW</v>
          </cell>
          <cell r="N1681">
            <v>4</v>
          </cell>
        </row>
        <row r="1682">
          <cell r="I1682" t="str">
            <v>GW</v>
          </cell>
          <cell r="N1682">
            <v>2</v>
          </cell>
        </row>
        <row r="1683">
          <cell r="I1683" t="str">
            <v>GW</v>
          </cell>
          <cell r="N1683">
            <v>1</v>
          </cell>
        </row>
        <row r="1684">
          <cell r="I1684" t="str">
            <v>GW</v>
          </cell>
          <cell r="N1684">
            <v>4</v>
          </cell>
        </row>
        <row r="1685">
          <cell r="I1685" t="str">
            <v>GW</v>
          </cell>
          <cell r="N1685">
            <v>2</v>
          </cell>
        </row>
        <row r="1686">
          <cell r="I1686" t="str">
            <v>GW</v>
          </cell>
          <cell r="N1686">
            <v>4</v>
          </cell>
        </row>
        <row r="1687">
          <cell r="I1687" t="str">
            <v>GW</v>
          </cell>
          <cell r="N1687">
            <v>2</v>
          </cell>
        </row>
        <row r="1688">
          <cell r="I1688" t="str">
            <v>GW</v>
          </cell>
          <cell r="N1688">
            <v>4</v>
          </cell>
        </row>
        <row r="1689">
          <cell r="I1689" t="str">
            <v>GW</v>
          </cell>
          <cell r="N1689">
            <v>2</v>
          </cell>
        </row>
        <row r="1690">
          <cell r="I1690" t="str">
            <v>GW</v>
          </cell>
          <cell r="N1690">
            <v>2</v>
          </cell>
        </row>
        <row r="1691">
          <cell r="I1691" t="str">
            <v>GW</v>
          </cell>
          <cell r="N1691">
            <v>2</v>
          </cell>
        </row>
        <row r="1692">
          <cell r="I1692" t="str">
            <v>GW</v>
          </cell>
          <cell r="N1692">
            <v>1</v>
          </cell>
        </row>
        <row r="1693">
          <cell r="I1693" t="str">
            <v>GW</v>
          </cell>
          <cell r="N1693">
            <v>1</v>
          </cell>
        </row>
        <row r="1694">
          <cell r="I1694" t="str">
            <v>GW</v>
          </cell>
          <cell r="N1694">
            <v>4</v>
          </cell>
        </row>
        <row r="1695">
          <cell r="I1695" t="str">
            <v>GW</v>
          </cell>
          <cell r="N1695">
            <v>1</v>
          </cell>
        </row>
        <row r="1696">
          <cell r="I1696" t="str">
            <v>GW</v>
          </cell>
          <cell r="N1696">
            <v>1</v>
          </cell>
        </row>
        <row r="1697">
          <cell r="I1697" t="str">
            <v>GW</v>
          </cell>
          <cell r="N1697">
            <v>2</v>
          </cell>
        </row>
        <row r="1698">
          <cell r="I1698" t="str">
            <v>GW</v>
          </cell>
          <cell r="N1698">
            <v>4</v>
          </cell>
        </row>
        <row r="1699">
          <cell r="I1699" t="str">
            <v>GW</v>
          </cell>
          <cell r="N1699">
            <v>1</v>
          </cell>
        </row>
        <row r="1700">
          <cell r="I1700" t="str">
            <v>GW</v>
          </cell>
          <cell r="N1700">
            <v>4</v>
          </cell>
        </row>
        <row r="1701">
          <cell r="I1701" t="str">
            <v>GW</v>
          </cell>
          <cell r="N1701">
            <v>2</v>
          </cell>
        </row>
        <row r="1702">
          <cell r="I1702" t="str">
            <v>GW</v>
          </cell>
          <cell r="N1702">
            <v>1</v>
          </cell>
        </row>
        <row r="1703">
          <cell r="I1703" t="str">
            <v>GW</v>
          </cell>
          <cell r="N1703">
            <v>2</v>
          </cell>
        </row>
        <row r="1704">
          <cell r="I1704" t="str">
            <v>GW</v>
          </cell>
          <cell r="N1704">
            <v>4</v>
          </cell>
        </row>
        <row r="1705">
          <cell r="I1705" t="str">
            <v>GW</v>
          </cell>
          <cell r="N1705">
            <v>1</v>
          </cell>
        </row>
        <row r="1706">
          <cell r="I1706" t="str">
            <v>GW</v>
          </cell>
          <cell r="N1706">
            <v>1</v>
          </cell>
        </row>
        <row r="1707">
          <cell r="I1707" t="str">
            <v>GW</v>
          </cell>
          <cell r="N1707">
            <v>1</v>
          </cell>
        </row>
        <row r="1708">
          <cell r="I1708" t="str">
            <v>GW</v>
          </cell>
          <cell r="N1708">
            <v>1</v>
          </cell>
        </row>
        <row r="1709">
          <cell r="I1709" t="str">
            <v>GW</v>
          </cell>
          <cell r="N1709">
            <v>4</v>
          </cell>
        </row>
        <row r="1710">
          <cell r="I1710" t="str">
            <v>GW</v>
          </cell>
          <cell r="N1710">
            <v>2</v>
          </cell>
        </row>
        <row r="1711">
          <cell r="I1711" t="str">
            <v>GW</v>
          </cell>
          <cell r="N1711">
            <v>4</v>
          </cell>
        </row>
        <row r="1712">
          <cell r="I1712" t="str">
            <v>GW</v>
          </cell>
          <cell r="N1712">
            <v>1</v>
          </cell>
        </row>
        <row r="1713">
          <cell r="I1713" t="str">
            <v>GW</v>
          </cell>
          <cell r="N1713">
            <v>1</v>
          </cell>
        </row>
        <row r="1714">
          <cell r="I1714" t="str">
            <v>GW</v>
          </cell>
          <cell r="N1714">
            <v>1</v>
          </cell>
        </row>
        <row r="1715">
          <cell r="I1715" t="str">
            <v>GW</v>
          </cell>
          <cell r="N1715">
            <v>1</v>
          </cell>
        </row>
        <row r="1716">
          <cell r="I1716" t="str">
            <v>GW</v>
          </cell>
          <cell r="N1716">
            <v>4</v>
          </cell>
        </row>
        <row r="1717">
          <cell r="I1717" t="str">
            <v>GW</v>
          </cell>
          <cell r="N1717">
            <v>4</v>
          </cell>
        </row>
        <row r="1718">
          <cell r="I1718" t="str">
            <v>GW</v>
          </cell>
          <cell r="N1718">
            <v>4</v>
          </cell>
        </row>
        <row r="1719">
          <cell r="I1719" t="str">
            <v>GW</v>
          </cell>
          <cell r="N1719">
            <v>1</v>
          </cell>
        </row>
        <row r="1720">
          <cell r="I1720" t="str">
            <v>GW</v>
          </cell>
          <cell r="N1720">
            <v>1</v>
          </cell>
        </row>
        <row r="1721">
          <cell r="I1721" t="str">
            <v>GW</v>
          </cell>
          <cell r="N1721">
            <v>1</v>
          </cell>
        </row>
        <row r="1722">
          <cell r="I1722" t="str">
            <v>GW</v>
          </cell>
          <cell r="N1722">
            <v>4</v>
          </cell>
        </row>
        <row r="1723">
          <cell r="I1723" t="str">
            <v>GW</v>
          </cell>
          <cell r="N1723">
            <v>2</v>
          </cell>
        </row>
        <row r="1724">
          <cell r="I1724" t="str">
            <v>GW</v>
          </cell>
          <cell r="N1724">
            <v>1</v>
          </cell>
        </row>
        <row r="1725">
          <cell r="I1725" t="str">
            <v>GW</v>
          </cell>
          <cell r="N1725">
            <v>1</v>
          </cell>
        </row>
        <row r="1726">
          <cell r="I1726" t="str">
            <v>GW</v>
          </cell>
          <cell r="N1726">
            <v>1</v>
          </cell>
        </row>
        <row r="1727">
          <cell r="I1727" t="str">
            <v>GW</v>
          </cell>
          <cell r="N1727">
            <v>4</v>
          </cell>
        </row>
        <row r="1728">
          <cell r="I1728" t="str">
            <v>GW</v>
          </cell>
          <cell r="N1728">
            <v>1</v>
          </cell>
        </row>
        <row r="1729">
          <cell r="I1729" t="str">
            <v>GW</v>
          </cell>
          <cell r="N1729">
            <v>1</v>
          </cell>
        </row>
        <row r="1730">
          <cell r="I1730" t="str">
            <v>GW</v>
          </cell>
          <cell r="N1730">
            <v>4</v>
          </cell>
        </row>
        <row r="1731">
          <cell r="I1731" t="str">
            <v>GW</v>
          </cell>
          <cell r="N1731">
            <v>1</v>
          </cell>
        </row>
        <row r="1732">
          <cell r="I1732" t="str">
            <v>GW</v>
          </cell>
          <cell r="N1732">
            <v>4</v>
          </cell>
        </row>
        <row r="1733">
          <cell r="I1733" t="str">
            <v>GW</v>
          </cell>
          <cell r="N1733">
            <v>1</v>
          </cell>
        </row>
        <row r="1734">
          <cell r="I1734" t="str">
            <v>GW</v>
          </cell>
          <cell r="N1734">
            <v>1</v>
          </cell>
        </row>
        <row r="1735">
          <cell r="I1735" t="str">
            <v>GW</v>
          </cell>
          <cell r="N1735">
            <v>1</v>
          </cell>
        </row>
        <row r="1736">
          <cell r="I1736" t="str">
            <v>GW</v>
          </cell>
          <cell r="N1736">
            <v>4</v>
          </cell>
        </row>
        <row r="1737">
          <cell r="I1737" t="str">
            <v>GW</v>
          </cell>
          <cell r="N1737">
            <v>4</v>
          </cell>
        </row>
        <row r="1738">
          <cell r="I1738" t="str">
            <v>GW</v>
          </cell>
          <cell r="N1738">
            <v>1</v>
          </cell>
        </row>
        <row r="1739">
          <cell r="I1739" t="str">
            <v>GW</v>
          </cell>
          <cell r="N1739">
            <v>1</v>
          </cell>
        </row>
        <row r="1740">
          <cell r="I1740" t="str">
            <v>GW</v>
          </cell>
          <cell r="N1740">
            <v>1</v>
          </cell>
        </row>
        <row r="1741">
          <cell r="I1741" t="str">
            <v>GW</v>
          </cell>
          <cell r="N1741">
            <v>1</v>
          </cell>
        </row>
        <row r="1742">
          <cell r="I1742" t="str">
            <v>GW</v>
          </cell>
          <cell r="N1742">
            <v>1</v>
          </cell>
        </row>
        <row r="1743">
          <cell r="I1743" t="str">
            <v>GW</v>
          </cell>
          <cell r="N1743">
            <v>4</v>
          </cell>
        </row>
        <row r="1744">
          <cell r="I1744" t="str">
            <v>GW</v>
          </cell>
          <cell r="N1744">
            <v>1</v>
          </cell>
        </row>
        <row r="1745">
          <cell r="I1745" t="str">
            <v>GW</v>
          </cell>
          <cell r="N1745">
            <v>1</v>
          </cell>
        </row>
        <row r="1746">
          <cell r="I1746" t="str">
            <v>GW</v>
          </cell>
          <cell r="N1746">
            <v>4</v>
          </cell>
        </row>
        <row r="1747">
          <cell r="I1747" t="str">
            <v>GW</v>
          </cell>
          <cell r="N1747">
            <v>1</v>
          </cell>
        </row>
        <row r="1748">
          <cell r="I1748" t="str">
            <v>GW</v>
          </cell>
          <cell r="N1748">
            <v>4</v>
          </cell>
        </row>
        <row r="1749">
          <cell r="I1749" t="str">
            <v>CG</v>
          </cell>
          <cell r="N1749">
            <v>2</v>
          </cell>
        </row>
        <row r="1750">
          <cell r="I1750" t="str">
            <v>CG</v>
          </cell>
          <cell r="N1750">
            <v>2</v>
          </cell>
        </row>
        <row r="1751">
          <cell r="I1751" t="str">
            <v>CG</v>
          </cell>
          <cell r="N1751">
            <v>2</v>
          </cell>
        </row>
        <row r="1752">
          <cell r="I1752" t="str">
            <v>CG</v>
          </cell>
          <cell r="N1752">
            <v>2</v>
          </cell>
        </row>
        <row r="1753">
          <cell r="I1753" t="str">
            <v>CG</v>
          </cell>
          <cell r="N1753">
            <v>2</v>
          </cell>
        </row>
        <row r="1754">
          <cell r="I1754" t="str">
            <v>CG</v>
          </cell>
          <cell r="N1754">
            <v>2</v>
          </cell>
        </row>
        <row r="1755">
          <cell r="I1755" t="str">
            <v>CG</v>
          </cell>
          <cell r="N1755">
            <v>2</v>
          </cell>
        </row>
        <row r="1756">
          <cell r="I1756" t="str">
            <v>CG</v>
          </cell>
          <cell r="N1756">
            <v>2</v>
          </cell>
        </row>
        <row r="1757">
          <cell r="I1757" t="str">
            <v>CG</v>
          </cell>
          <cell r="N1757">
            <v>4</v>
          </cell>
        </row>
        <row r="1758">
          <cell r="I1758" t="str">
            <v>CG</v>
          </cell>
          <cell r="N1758">
            <v>4</v>
          </cell>
        </row>
        <row r="1759">
          <cell r="I1759" t="str">
            <v>CG</v>
          </cell>
          <cell r="N1759">
            <v>4</v>
          </cell>
        </row>
        <row r="1760">
          <cell r="I1760" t="str">
            <v>CG</v>
          </cell>
          <cell r="N1760">
            <v>4</v>
          </cell>
        </row>
        <row r="1761">
          <cell r="I1761" t="str">
            <v>CG</v>
          </cell>
          <cell r="N1761">
            <v>4</v>
          </cell>
        </row>
        <row r="1762">
          <cell r="I1762" t="str">
            <v>CG</v>
          </cell>
          <cell r="N1762">
            <v>4</v>
          </cell>
        </row>
        <row r="1763">
          <cell r="I1763" t="str">
            <v>CG</v>
          </cell>
          <cell r="N1763">
            <v>4</v>
          </cell>
        </row>
        <row r="1764">
          <cell r="I1764" t="str">
            <v>CG</v>
          </cell>
          <cell r="N1764">
            <v>4</v>
          </cell>
        </row>
        <row r="1765">
          <cell r="I1765" t="str">
            <v>CG</v>
          </cell>
          <cell r="N1765">
            <v>4</v>
          </cell>
        </row>
        <row r="1766">
          <cell r="I1766" t="str">
            <v>CG</v>
          </cell>
          <cell r="N1766">
            <v>4</v>
          </cell>
        </row>
        <row r="1767">
          <cell r="I1767" t="str">
            <v>CG</v>
          </cell>
          <cell r="N1767">
            <v>4</v>
          </cell>
        </row>
        <row r="1768">
          <cell r="I1768" t="str">
            <v>CG</v>
          </cell>
          <cell r="N1768">
            <v>4</v>
          </cell>
        </row>
        <row r="1769">
          <cell r="I1769" t="str">
            <v>CG</v>
          </cell>
          <cell r="N1769">
            <v>4</v>
          </cell>
        </row>
        <row r="1770">
          <cell r="I1770" t="str">
            <v>CG</v>
          </cell>
          <cell r="N1770">
            <v>4</v>
          </cell>
        </row>
        <row r="1771">
          <cell r="I1771" t="str">
            <v>CG</v>
          </cell>
          <cell r="N1771">
            <v>1</v>
          </cell>
        </row>
        <row r="1772">
          <cell r="I1772" t="str">
            <v>CG</v>
          </cell>
          <cell r="N1772">
            <v>4</v>
          </cell>
        </row>
        <row r="1773">
          <cell r="I1773" t="str">
            <v>CG</v>
          </cell>
          <cell r="N1773">
            <v>4</v>
          </cell>
        </row>
        <row r="1774">
          <cell r="I1774" t="str">
            <v>CG</v>
          </cell>
          <cell r="N1774">
            <v>2</v>
          </cell>
        </row>
        <row r="1775">
          <cell r="I1775" t="str">
            <v>CG</v>
          </cell>
          <cell r="N1775">
            <v>4</v>
          </cell>
        </row>
        <row r="1776">
          <cell r="I1776" t="str">
            <v>CG</v>
          </cell>
          <cell r="N1776">
            <v>4</v>
          </cell>
        </row>
        <row r="1777">
          <cell r="I1777" t="str">
            <v>CG</v>
          </cell>
          <cell r="N1777">
            <v>4</v>
          </cell>
        </row>
        <row r="1778">
          <cell r="I1778" t="str">
            <v>CG</v>
          </cell>
          <cell r="N1778">
            <v>4</v>
          </cell>
        </row>
        <row r="1779">
          <cell r="I1779" t="str">
            <v>CG</v>
          </cell>
          <cell r="N1779">
            <v>2</v>
          </cell>
        </row>
        <row r="1780">
          <cell r="I1780" t="str">
            <v>CG</v>
          </cell>
          <cell r="N1780">
            <v>4</v>
          </cell>
        </row>
        <row r="1781">
          <cell r="I1781" t="str">
            <v>CG</v>
          </cell>
          <cell r="N1781">
            <v>2</v>
          </cell>
        </row>
        <row r="1782">
          <cell r="I1782" t="str">
            <v>CG</v>
          </cell>
          <cell r="N1782">
            <v>4</v>
          </cell>
        </row>
        <row r="1783">
          <cell r="I1783" t="str">
            <v>CG</v>
          </cell>
          <cell r="N1783">
            <v>2</v>
          </cell>
        </row>
        <row r="1784">
          <cell r="I1784" t="str">
            <v>CG</v>
          </cell>
          <cell r="N1784">
            <v>3</v>
          </cell>
        </row>
        <row r="1785">
          <cell r="I1785" t="str">
            <v>CG</v>
          </cell>
          <cell r="N1785">
            <v>4</v>
          </cell>
        </row>
        <row r="1786">
          <cell r="I1786" t="str">
            <v>CG</v>
          </cell>
          <cell r="N1786">
            <v>4</v>
          </cell>
        </row>
        <row r="1787">
          <cell r="I1787" t="str">
            <v>CG</v>
          </cell>
          <cell r="N1787">
            <v>3</v>
          </cell>
        </row>
        <row r="1788">
          <cell r="I1788" t="str">
            <v>CG</v>
          </cell>
          <cell r="N1788">
            <v>2</v>
          </cell>
        </row>
        <row r="1789">
          <cell r="I1789" t="str">
            <v>CG</v>
          </cell>
          <cell r="N1789">
            <v>2</v>
          </cell>
        </row>
        <row r="1790">
          <cell r="I1790" t="str">
            <v>CG</v>
          </cell>
          <cell r="N1790">
            <v>2</v>
          </cell>
        </row>
        <row r="1791">
          <cell r="I1791" t="str">
            <v>CG</v>
          </cell>
          <cell r="N1791">
            <v>3</v>
          </cell>
        </row>
        <row r="1792">
          <cell r="I1792" t="str">
            <v>CG</v>
          </cell>
          <cell r="N1792">
            <v>3</v>
          </cell>
        </row>
        <row r="1793">
          <cell r="I1793" t="str">
            <v>CG</v>
          </cell>
          <cell r="N1793">
            <v>4</v>
          </cell>
        </row>
        <row r="1794">
          <cell r="I1794" t="str">
            <v>CG</v>
          </cell>
          <cell r="N1794">
            <v>2</v>
          </cell>
        </row>
        <row r="1795">
          <cell r="I1795" t="str">
            <v>CG</v>
          </cell>
          <cell r="N1795">
            <v>4</v>
          </cell>
        </row>
        <row r="1796">
          <cell r="I1796" t="str">
            <v>CG</v>
          </cell>
          <cell r="N1796">
            <v>4</v>
          </cell>
        </row>
        <row r="1797">
          <cell r="I1797" t="str">
            <v>CG</v>
          </cell>
          <cell r="N1797">
            <v>4</v>
          </cell>
        </row>
        <row r="1798">
          <cell r="I1798" t="str">
            <v>CG</v>
          </cell>
          <cell r="N1798">
            <v>4</v>
          </cell>
        </row>
        <row r="1799">
          <cell r="I1799" t="str">
            <v>CG</v>
          </cell>
          <cell r="N1799">
            <v>4</v>
          </cell>
        </row>
        <row r="1800">
          <cell r="I1800" t="str">
            <v>CG</v>
          </cell>
          <cell r="N1800">
            <v>1</v>
          </cell>
        </row>
        <row r="1801">
          <cell r="I1801" t="str">
            <v>CG</v>
          </cell>
          <cell r="N1801">
            <v>1</v>
          </cell>
        </row>
        <row r="1802">
          <cell r="I1802" t="str">
            <v>CG</v>
          </cell>
          <cell r="N1802">
            <v>2</v>
          </cell>
        </row>
        <row r="1803">
          <cell r="I1803" t="str">
            <v>CG</v>
          </cell>
          <cell r="N1803">
            <v>1</v>
          </cell>
        </row>
        <row r="1804">
          <cell r="I1804" t="str">
            <v>CG</v>
          </cell>
          <cell r="N1804">
            <v>4</v>
          </cell>
        </row>
        <row r="1805">
          <cell r="I1805" t="str">
            <v>CG</v>
          </cell>
          <cell r="N1805">
            <v>1</v>
          </cell>
        </row>
        <row r="1806">
          <cell r="I1806" t="str">
            <v>CG</v>
          </cell>
          <cell r="N1806">
            <v>1</v>
          </cell>
        </row>
        <row r="1807">
          <cell r="I1807" t="str">
            <v>CG</v>
          </cell>
          <cell r="N1807">
            <v>4</v>
          </cell>
        </row>
        <row r="1808">
          <cell r="I1808" t="str">
            <v>CG</v>
          </cell>
          <cell r="N1808">
            <v>2</v>
          </cell>
        </row>
        <row r="1809">
          <cell r="I1809" t="str">
            <v>CG</v>
          </cell>
          <cell r="N1809">
            <v>4</v>
          </cell>
        </row>
        <row r="1810">
          <cell r="I1810" t="str">
            <v>CG</v>
          </cell>
          <cell r="N1810">
            <v>2</v>
          </cell>
        </row>
        <row r="1811">
          <cell r="I1811" t="str">
            <v>CG</v>
          </cell>
          <cell r="N1811">
            <v>1</v>
          </cell>
        </row>
        <row r="1812">
          <cell r="I1812" t="str">
            <v>CG</v>
          </cell>
          <cell r="N1812">
            <v>1</v>
          </cell>
        </row>
        <row r="1813">
          <cell r="I1813" t="str">
            <v>CG</v>
          </cell>
          <cell r="N1813">
            <v>4</v>
          </cell>
        </row>
        <row r="1814">
          <cell r="I1814" t="str">
            <v>CG</v>
          </cell>
          <cell r="N1814">
            <v>4</v>
          </cell>
        </row>
        <row r="1815">
          <cell r="I1815" t="str">
            <v>CG</v>
          </cell>
          <cell r="N1815">
            <v>4</v>
          </cell>
        </row>
        <row r="1816">
          <cell r="I1816" t="str">
            <v>CG</v>
          </cell>
          <cell r="N1816">
            <v>2</v>
          </cell>
        </row>
        <row r="1817">
          <cell r="I1817" t="str">
            <v>CG</v>
          </cell>
          <cell r="N1817">
            <v>2</v>
          </cell>
        </row>
        <row r="1818">
          <cell r="I1818" t="str">
            <v>CG</v>
          </cell>
          <cell r="N1818">
            <v>4</v>
          </cell>
        </row>
        <row r="1819">
          <cell r="I1819" t="str">
            <v>CG</v>
          </cell>
          <cell r="N1819">
            <v>4</v>
          </cell>
        </row>
        <row r="1820">
          <cell r="I1820" t="str">
            <v>CG</v>
          </cell>
          <cell r="N1820">
            <v>4</v>
          </cell>
        </row>
        <row r="1821">
          <cell r="I1821" t="str">
            <v>CG</v>
          </cell>
          <cell r="N1821">
            <v>4</v>
          </cell>
        </row>
        <row r="1822">
          <cell r="I1822" t="str">
            <v>CG</v>
          </cell>
          <cell r="N1822">
            <v>4</v>
          </cell>
        </row>
        <row r="1823">
          <cell r="I1823" t="str">
            <v>CG</v>
          </cell>
          <cell r="N1823">
            <v>4</v>
          </cell>
        </row>
        <row r="1824">
          <cell r="I1824" t="str">
            <v>CG</v>
          </cell>
          <cell r="N1824">
            <v>4</v>
          </cell>
        </row>
        <row r="1825">
          <cell r="I1825" t="str">
            <v>CG</v>
          </cell>
          <cell r="N1825">
            <v>4</v>
          </cell>
        </row>
        <row r="1826">
          <cell r="I1826" t="str">
            <v>CG</v>
          </cell>
          <cell r="N1826">
            <v>4</v>
          </cell>
        </row>
        <row r="1827">
          <cell r="I1827" t="str">
            <v>CG</v>
          </cell>
          <cell r="N1827">
            <v>1</v>
          </cell>
        </row>
        <row r="1828">
          <cell r="I1828" t="str">
            <v>CG</v>
          </cell>
          <cell r="N1828">
            <v>4</v>
          </cell>
        </row>
        <row r="1829">
          <cell r="I1829" t="str">
            <v>CG</v>
          </cell>
          <cell r="N1829">
            <v>1</v>
          </cell>
        </row>
        <row r="1830">
          <cell r="I1830" t="str">
            <v>CG</v>
          </cell>
          <cell r="N1830">
            <v>1</v>
          </cell>
        </row>
        <row r="1831">
          <cell r="I1831" t="str">
            <v>CG</v>
          </cell>
          <cell r="N1831">
            <v>1</v>
          </cell>
        </row>
        <row r="1832">
          <cell r="I1832" t="str">
            <v>CG</v>
          </cell>
          <cell r="N1832">
            <v>1</v>
          </cell>
        </row>
        <row r="1833">
          <cell r="I1833" t="str">
            <v>CG</v>
          </cell>
          <cell r="N1833">
            <v>1</v>
          </cell>
        </row>
        <row r="1834">
          <cell r="I1834" t="str">
            <v>CG</v>
          </cell>
          <cell r="N1834">
            <v>1</v>
          </cell>
        </row>
        <row r="1835">
          <cell r="I1835" t="str">
            <v>CG</v>
          </cell>
          <cell r="N1835">
            <v>1</v>
          </cell>
        </row>
        <row r="1836">
          <cell r="I1836" t="str">
            <v>CG</v>
          </cell>
          <cell r="N1836">
            <v>4</v>
          </cell>
        </row>
        <row r="1837">
          <cell r="I1837" t="str">
            <v>CG</v>
          </cell>
          <cell r="N1837">
            <v>4</v>
          </cell>
        </row>
        <row r="1838">
          <cell r="I1838" t="str">
            <v>CG</v>
          </cell>
          <cell r="N1838">
            <v>4</v>
          </cell>
        </row>
        <row r="1839">
          <cell r="I1839" t="str">
            <v>CG</v>
          </cell>
          <cell r="N1839">
            <v>1</v>
          </cell>
        </row>
        <row r="1840">
          <cell r="I1840" t="str">
            <v>CG</v>
          </cell>
          <cell r="N1840">
            <v>4</v>
          </cell>
        </row>
        <row r="1841">
          <cell r="I1841" t="str">
            <v>CG</v>
          </cell>
          <cell r="N1841">
            <v>4</v>
          </cell>
        </row>
        <row r="1842">
          <cell r="I1842" t="str">
            <v>CG</v>
          </cell>
          <cell r="N1842">
            <v>4</v>
          </cell>
        </row>
        <row r="1843">
          <cell r="I1843" t="str">
            <v>CG</v>
          </cell>
          <cell r="N1843">
            <v>4</v>
          </cell>
        </row>
        <row r="1844">
          <cell r="I1844" t="str">
            <v>CG</v>
          </cell>
          <cell r="N1844">
            <v>4</v>
          </cell>
        </row>
        <row r="1845">
          <cell r="I1845" t="str">
            <v>CG</v>
          </cell>
          <cell r="N1845">
            <v>4</v>
          </cell>
        </row>
        <row r="1846">
          <cell r="I1846" t="str">
            <v>CG</v>
          </cell>
          <cell r="N1846">
            <v>4</v>
          </cell>
        </row>
        <row r="1847">
          <cell r="I1847" t="str">
            <v>CG</v>
          </cell>
          <cell r="N1847">
            <v>4</v>
          </cell>
        </row>
        <row r="1848">
          <cell r="I1848" t="str">
            <v>CG</v>
          </cell>
          <cell r="N1848">
            <v>4</v>
          </cell>
        </row>
        <row r="1849">
          <cell r="I1849" t="str">
            <v>CG</v>
          </cell>
          <cell r="N1849">
            <v>4</v>
          </cell>
        </row>
        <row r="1850">
          <cell r="I1850" t="str">
            <v>CG</v>
          </cell>
          <cell r="N1850">
            <v>1</v>
          </cell>
        </row>
        <row r="1851">
          <cell r="I1851" t="str">
            <v>CG</v>
          </cell>
          <cell r="N1851">
            <v>2</v>
          </cell>
        </row>
        <row r="1852">
          <cell r="I1852" t="str">
            <v>CG</v>
          </cell>
          <cell r="N1852">
            <v>4</v>
          </cell>
        </row>
        <row r="1853">
          <cell r="I1853" t="str">
            <v>CG</v>
          </cell>
          <cell r="N1853">
            <v>1</v>
          </cell>
        </row>
        <row r="1854">
          <cell r="I1854" t="str">
            <v>CG</v>
          </cell>
          <cell r="N1854">
            <v>4</v>
          </cell>
        </row>
        <row r="1855">
          <cell r="I1855" t="str">
            <v>CG</v>
          </cell>
          <cell r="N1855">
            <v>4</v>
          </cell>
        </row>
        <row r="1856">
          <cell r="I1856" t="str">
            <v>CG</v>
          </cell>
          <cell r="N1856">
            <v>4</v>
          </cell>
        </row>
        <row r="1857">
          <cell r="I1857" t="str">
            <v>CG</v>
          </cell>
          <cell r="N1857">
            <v>4</v>
          </cell>
        </row>
        <row r="1858">
          <cell r="I1858" t="str">
            <v>CG</v>
          </cell>
          <cell r="N1858">
            <v>1</v>
          </cell>
        </row>
        <row r="1859">
          <cell r="I1859" t="str">
            <v>CG</v>
          </cell>
          <cell r="N1859">
            <v>1</v>
          </cell>
        </row>
        <row r="1860">
          <cell r="I1860" t="str">
            <v>CG</v>
          </cell>
          <cell r="N1860">
            <v>1</v>
          </cell>
        </row>
        <row r="1861">
          <cell r="I1861" t="str">
            <v>CG</v>
          </cell>
          <cell r="N1861">
            <v>4</v>
          </cell>
        </row>
        <row r="1862">
          <cell r="I1862" t="str">
            <v>CG</v>
          </cell>
          <cell r="N1862">
            <v>4</v>
          </cell>
        </row>
        <row r="1863">
          <cell r="I1863" t="str">
            <v>CG</v>
          </cell>
          <cell r="N1863">
            <v>4</v>
          </cell>
        </row>
        <row r="1864">
          <cell r="I1864" t="str">
            <v>CG</v>
          </cell>
          <cell r="N1864">
            <v>1</v>
          </cell>
        </row>
        <row r="1865">
          <cell r="I1865" t="str">
            <v>CG</v>
          </cell>
          <cell r="N1865">
            <v>1</v>
          </cell>
        </row>
        <row r="1866">
          <cell r="I1866" t="str">
            <v>CG</v>
          </cell>
          <cell r="N1866">
            <v>1</v>
          </cell>
        </row>
        <row r="1867">
          <cell r="I1867" t="str">
            <v>CG</v>
          </cell>
          <cell r="N1867">
            <v>4</v>
          </cell>
        </row>
        <row r="1868">
          <cell r="I1868" t="str">
            <v>CG</v>
          </cell>
          <cell r="N1868">
            <v>4</v>
          </cell>
        </row>
        <row r="1869">
          <cell r="I1869" t="str">
            <v>CG</v>
          </cell>
          <cell r="N1869">
            <v>4</v>
          </cell>
        </row>
        <row r="1870">
          <cell r="I1870" t="str">
            <v>CG</v>
          </cell>
          <cell r="N1870">
            <v>1</v>
          </cell>
        </row>
        <row r="1871">
          <cell r="I1871" t="str">
            <v>CG</v>
          </cell>
          <cell r="N1871">
            <v>4</v>
          </cell>
        </row>
        <row r="1872">
          <cell r="I1872" t="str">
            <v>CG</v>
          </cell>
          <cell r="N1872">
            <v>4</v>
          </cell>
        </row>
        <row r="1873">
          <cell r="I1873" t="str">
            <v>CG</v>
          </cell>
          <cell r="N1873">
            <v>1</v>
          </cell>
        </row>
        <row r="1874">
          <cell r="I1874" t="str">
            <v>CG</v>
          </cell>
          <cell r="N1874">
            <v>4</v>
          </cell>
        </row>
        <row r="1875">
          <cell r="I1875" t="str">
            <v>CG</v>
          </cell>
          <cell r="N1875">
            <v>4</v>
          </cell>
        </row>
        <row r="1876">
          <cell r="I1876" t="str">
            <v>CG</v>
          </cell>
          <cell r="N1876">
            <v>1</v>
          </cell>
        </row>
        <row r="1877">
          <cell r="I1877" t="str">
            <v>CG</v>
          </cell>
          <cell r="N1877">
            <v>4</v>
          </cell>
        </row>
        <row r="1878">
          <cell r="I1878" t="str">
            <v>CG</v>
          </cell>
          <cell r="N1878">
            <v>4</v>
          </cell>
        </row>
        <row r="1879">
          <cell r="I1879" t="str">
            <v>CG</v>
          </cell>
          <cell r="N1879">
            <v>4</v>
          </cell>
        </row>
        <row r="1880">
          <cell r="I1880" t="str">
            <v>CG</v>
          </cell>
          <cell r="N1880">
            <v>4</v>
          </cell>
        </row>
        <row r="1881">
          <cell r="I1881" t="str">
            <v>CG</v>
          </cell>
          <cell r="N1881">
            <v>4</v>
          </cell>
        </row>
        <row r="1882">
          <cell r="I1882" t="str">
            <v>CG</v>
          </cell>
          <cell r="N1882">
            <v>4</v>
          </cell>
        </row>
        <row r="1883">
          <cell r="I1883" t="str">
            <v>CG</v>
          </cell>
          <cell r="N1883">
            <v>4</v>
          </cell>
        </row>
        <row r="1884">
          <cell r="I1884" t="str">
            <v>CG</v>
          </cell>
          <cell r="N1884">
            <v>4</v>
          </cell>
        </row>
        <row r="1885">
          <cell r="I1885" t="str">
            <v>CG</v>
          </cell>
          <cell r="N1885">
            <v>4</v>
          </cell>
        </row>
        <row r="1886">
          <cell r="I1886" t="str">
            <v>CG</v>
          </cell>
          <cell r="N1886">
            <v>4</v>
          </cell>
        </row>
        <row r="1887">
          <cell r="I1887" t="str">
            <v>CG</v>
          </cell>
          <cell r="N1887">
            <v>4</v>
          </cell>
        </row>
        <row r="1888">
          <cell r="I1888" t="str">
            <v>CG</v>
          </cell>
          <cell r="N1888">
            <v>4</v>
          </cell>
        </row>
        <row r="1889">
          <cell r="I1889" t="str">
            <v>CG</v>
          </cell>
          <cell r="N1889">
            <v>2</v>
          </cell>
        </row>
        <row r="1890">
          <cell r="I1890" t="str">
            <v>CG</v>
          </cell>
          <cell r="N1890">
            <v>1</v>
          </cell>
        </row>
        <row r="1891">
          <cell r="I1891" t="str">
            <v>CG</v>
          </cell>
          <cell r="N1891">
            <v>4</v>
          </cell>
        </row>
        <row r="1892">
          <cell r="I1892" t="str">
            <v>CG</v>
          </cell>
          <cell r="N1892">
            <v>4</v>
          </cell>
        </row>
        <row r="1893">
          <cell r="I1893" t="str">
            <v>CG</v>
          </cell>
          <cell r="N1893">
            <v>2</v>
          </cell>
        </row>
        <row r="1894">
          <cell r="I1894" t="str">
            <v>CG</v>
          </cell>
          <cell r="N1894">
            <v>2</v>
          </cell>
        </row>
        <row r="1895">
          <cell r="I1895" t="str">
            <v>CG</v>
          </cell>
          <cell r="N1895">
            <v>4</v>
          </cell>
        </row>
        <row r="1896">
          <cell r="I1896" t="str">
            <v>CG</v>
          </cell>
          <cell r="N1896">
            <v>1</v>
          </cell>
        </row>
        <row r="1897">
          <cell r="I1897" t="str">
            <v>CG</v>
          </cell>
          <cell r="N1897">
            <v>2</v>
          </cell>
        </row>
        <row r="1898">
          <cell r="I1898" t="str">
            <v>CG</v>
          </cell>
          <cell r="N1898">
            <v>1</v>
          </cell>
        </row>
        <row r="1899">
          <cell r="I1899" t="str">
            <v>CG</v>
          </cell>
          <cell r="N1899">
            <v>4</v>
          </cell>
        </row>
        <row r="1900">
          <cell r="I1900" t="str">
            <v>CG</v>
          </cell>
          <cell r="N1900">
            <v>1</v>
          </cell>
        </row>
        <row r="1901">
          <cell r="I1901" t="str">
            <v>CG</v>
          </cell>
          <cell r="N1901">
            <v>4</v>
          </cell>
        </row>
        <row r="1902">
          <cell r="I1902" t="str">
            <v>CG</v>
          </cell>
          <cell r="N1902">
            <v>1</v>
          </cell>
        </row>
        <row r="1903">
          <cell r="I1903" t="str">
            <v>CG</v>
          </cell>
          <cell r="N1903">
            <v>1</v>
          </cell>
        </row>
        <row r="1904">
          <cell r="I1904" t="str">
            <v>CG</v>
          </cell>
          <cell r="N1904">
            <v>4</v>
          </cell>
        </row>
        <row r="1905">
          <cell r="I1905" t="str">
            <v>CG</v>
          </cell>
          <cell r="N1905">
            <v>1</v>
          </cell>
        </row>
        <row r="1906">
          <cell r="I1906" t="str">
            <v>CG</v>
          </cell>
          <cell r="N1906">
            <v>4</v>
          </cell>
        </row>
        <row r="1907">
          <cell r="I1907" t="str">
            <v>CG</v>
          </cell>
          <cell r="N1907">
            <v>1</v>
          </cell>
        </row>
        <row r="1908">
          <cell r="I1908" t="str">
            <v>CG</v>
          </cell>
          <cell r="N1908">
            <v>4</v>
          </cell>
        </row>
        <row r="1909">
          <cell r="I1909" t="str">
            <v>CG</v>
          </cell>
          <cell r="N1909">
            <v>4</v>
          </cell>
        </row>
        <row r="1910">
          <cell r="I1910" t="str">
            <v>CG</v>
          </cell>
          <cell r="N1910">
            <v>1</v>
          </cell>
        </row>
        <row r="1911">
          <cell r="I1911" t="str">
            <v>CG</v>
          </cell>
          <cell r="N1911">
            <v>4</v>
          </cell>
        </row>
        <row r="1912">
          <cell r="I1912" t="str">
            <v>CG</v>
          </cell>
          <cell r="N1912">
            <v>4</v>
          </cell>
        </row>
        <row r="1913">
          <cell r="I1913" t="str">
            <v>CG</v>
          </cell>
          <cell r="N1913">
            <v>4</v>
          </cell>
        </row>
        <row r="1914">
          <cell r="I1914" t="str">
            <v>CG</v>
          </cell>
          <cell r="N1914">
            <v>4</v>
          </cell>
        </row>
        <row r="1915">
          <cell r="I1915" t="str">
            <v>CG</v>
          </cell>
          <cell r="N1915">
            <v>4</v>
          </cell>
        </row>
        <row r="1916">
          <cell r="I1916" t="str">
            <v>CG</v>
          </cell>
          <cell r="N1916">
            <v>1</v>
          </cell>
        </row>
        <row r="1917">
          <cell r="I1917" t="str">
            <v>CG</v>
          </cell>
          <cell r="N1917">
            <v>4</v>
          </cell>
        </row>
        <row r="1918">
          <cell r="I1918" t="str">
            <v>CG</v>
          </cell>
          <cell r="N1918">
            <v>4</v>
          </cell>
        </row>
        <row r="1919">
          <cell r="I1919" t="str">
            <v>CG</v>
          </cell>
          <cell r="N1919">
            <v>1</v>
          </cell>
        </row>
        <row r="1920">
          <cell r="I1920" t="str">
            <v>CG</v>
          </cell>
          <cell r="N1920">
            <v>1</v>
          </cell>
        </row>
        <row r="1921">
          <cell r="I1921" t="str">
            <v>CG</v>
          </cell>
          <cell r="N1921">
            <v>1</v>
          </cell>
        </row>
        <row r="1922">
          <cell r="I1922" t="str">
            <v>CG</v>
          </cell>
          <cell r="N1922">
            <v>4</v>
          </cell>
        </row>
        <row r="1923">
          <cell r="I1923" t="str">
            <v>CG</v>
          </cell>
          <cell r="N1923">
            <v>4</v>
          </cell>
        </row>
        <row r="1924">
          <cell r="I1924" t="str">
            <v>CG</v>
          </cell>
          <cell r="N1924">
            <v>4</v>
          </cell>
        </row>
        <row r="1925">
          <cell r="I1925" t="str">
            <v>CG</v>
          </cell>
          <cell r="N1925">
            <v>1</v>
          </cell>
        </row>
        <row r="1926">
          <cell r="I1926" t="str">
            <v>CG</v>
          </cell>
          <cell r="N1926">
            <v>1</v>
          </cell>
        </row>
        <row r="1927">
          <cell r="I1927" t="str">
            <v>CG</v>
          </cell>
          <cell r="N1927">
            <v>4</v>
          </cell>
        </row>
        <row r="1928">
          <cell r="I1928" t="str">
            <v>CG</v>
          </cell>
          <cell r="N1928">
            <v>1</v>
          </cell>
        </row>
        <row r="1929">
          <cell r="I1929" t="str">
            <v>CG</v>
          </cell>
          <cell r="N1929">
            <v>1</v>
          </cell>
        </row>
        <row r="1930">
          <cell r="I1930" t="str">
            <v>CG</v>
          </cell>
          <cell r="N1930">
            <v>2</v>
          </cell>
        </row>
        <row r="1931">
          <cell r="I1931" t="str">
            <v>CG</v>
          </cell>
          <cell r="N1931">
            <v>2</v>
          </cell>
        </row>
        <row r="1932">
          <cell r="I1932" t="str">
            <v>CG</v>
          </cell>
          <cell r="N1932">
            <v>1</v>
          </cell>
        </row>
        <row r="1933">
          <cell r="I1933" t="str">
            <v>CG</v>
          </cell>
          <cell r="N1933">
            <v>1</v>
          </cell>
        </row>
        <row r="1934">
          <cell r="I1934" t="str">
            <v>CG</v>
          </cell>
          <cell r="N1934">
            <v>1</v>
          </cell>
        </row>
        <row r="1935">
          <cell r="I1935" t="str">
            <v>CG</v>
          </cell>
          <cell r="N1935">
            <v>1</v>
          </cell>
        </row>
        <row r="1936">
          <cell r="I1936" t="str">
            <v>CG</v>
          </cell>
          <cell r="N1936">
            <v>1</v>
          </cell>
        </row>
        <row r="1937">
          <cell r="I1937" t="str">
            <v>CG</v>
          </cell>
          <cell r="N1937">
            <v>1</v>
          </cell>
        </row>
        <row r="1938">
          <cell r="I1938" t="str">
            <v>CG</v>
          </cell>
          <cell r="N1938">
            <v>1</v>
          </cell>
        </row>
        <row r="1939">
          <cell r="I1939" t="str">
            <v>CG</v>
          </cell>
          <cell r="N1939">
            <v>4</v>
          </cell>
        </row>
        <row r="1940">
          <cell r="I1940" t="str">
            <v>CG</v>
          </cell>
          <cell r="N1940">
            <v>1</v>
          </cell>
        </row>
        <row r="1941">
          <cell r="I1941" t="str">
            <v>CG</v>
          </cell>
          <cell r="N1941">
            <v>1</v>
          </cell>
        </row>
        <row r="1942">
          <cell r="I1942" t="str">
            <v>CG</v>
          </cell>
          <cell r="N1942">
            <v>1</v>
          </cell>
        </row>
        <row r="1943">
          <cell r="I1943" t="str">
            <v>CG</v>
          </cell>
          <cell r="N1943">
            <v>1</v>
          </cell>
        </row>
        <row r="1944">
          <cell r="I1944" t="str">
            <v>CG</v>
          </cell>
          <cell r="N1944">
            <v>1</v>
          </cell>
        </row>
        <row r="1945">
          <cell r="I1945" t="str">
            <v>CG</v>
          </cell>
          <cell r="N1945">
            <v>1</v>
          </cell>
        </row>
        <row r="1946">
          <cell r="I1946" t="str">
            <v>CG</v>
          </cell>
          <cell r="N1946">
            <v>1</v>
          </cell>
        </row>
        <row r="1947">
          <cell r="I1947" t="str">
            <v>CG</v>
          </cell>
          <cell r="N1947">
            <v>1</v>
          </cell>
        </row>
        <row r="1948">
          <cell r="I1948" t="str">
            <v>CG</v>
          </cell>
          <cell r="N1948">
            <v>1</v>
          </cell>
        </row>
        <row r="1949">
          <cell r="I1949" t="str">
            <v>CG</v>
          </cell>
          <cell r="N1949">
            <v>1</v>
          </cell>
        </row>
        <row r="1950">
          <cell r="I1950" t="str">
            <v>CG</v>
          </cell>
          <cell r="N1950">
            <v>4</v>
          </cell>
        </row>
        <row r="1951">
          <cell r="I1951" t="str">
            <v>CG</v>
          </cell>
          <cell r="N1951">
            <v>4</v>
          </cell>
        </row>
        <row r="1952">
          <cell r="I1952" t="str">
            <v>CG</v>
          </cell>
          <cell r="N1952">
            <v>1</v>
          </cell>
        </row>
        <row r="1953">
          <cell r="I1953" t="str">
            <v>CG</v>
          </cell>
          <cell r="N1953">
            <v>1</v>
          </cell>
        </row>
        <row r="1954">
          <cell r="I1954" t="str">
            <v>CG</v>
          </cell>
          <cell r="N1954">
            <v>4</v>
          </cell>
        </row>
        <row r="1955">
          <cell r="I1955" t="str">
            <v>CG</v>
          </cell>
          <cell r="N1955">
            <v>4</v>
          </cell>
        </row>
        <row r="1956">
          <cell r="I1956" t="str">
            <v>CG</v>
          </cell>
          <cell r="N1956">
            <v>4</v>
          </cell>
        </row>
        <row r="1957">
          <cell r="I1957" t="str">
            <v>CG</v>
          </cell>
          <cell r="N1957">
            <v>4</v>
          </cell>
        </row>
        <row r="1958">
          <cell r="I1958" t="str">
            <v>CG</v>
          </cell>
          <cell r="N1958">
            <v>1</v>
          </cell>
        </row>
        <row r="1959">
          <cell r="I1959" t="str">
            <v>CG</v>
          </cell>
          <cell r="N1959">
            <v>4</v>
          </cell>
        </row>
        <row r="1960">
          <cell r="I1960" t="str">
            <v>CG</v>
          </cell>
          <cell r="N1960">
            <v>5</v>
          </cell>
        </row>
        <row r="1961">
          <cell r="I1961" t="str">
            <v>CG</v>
          </cell>
          <cell r="N1961">
            <v>2</v>
          </cell>
        </row>
        <row r="1962">
          <cell r="I1962" t="str">
            <v>CG</v>
          </cell>
          <cell r="N1962">
            <v>1</v>
          </cell>
        </row>
        <row r="1963">
          <cell r="I1963" t="str">
            <v>CG</v>
          </cell>
          <cell r="N1963">
            <v>1</v>
          </cell>
        </row>
        <row r="1964">
          <cell r="I1964" t="str">
            <v>CG</v>
          </cell>
          <cell r="N1964">
            <v>2</v>
          </cell>
        </row>
        <row r="1965">
          <cell r="I1965" t="str">
            <v>CG</v>
          </cell>
          <cell r="N1965">
            <v>2</v>
          </cell>
        </row>
        <row r="1966">
          <cell r="I1966" t="str">
            <v>CG</v>
          </cell>
          <cell r="N1966">
            <v>2</v>
          </cell>
        </row>
        <row r="1967">
          <cell r="I1967" t="str">
            <v>CG</v>
          </cell>
          <cell r="N1967">
            <v>1</v>
          </cell>
        </row>
        <row r="1968">
          <cell r="I1968" t="str">
            <v>CG</v>
          </cell>
          <cell r="N1968">
            <v>1</v>
          </cell>
        </row>
        <row r="1969">
          <cell r="I1969" t="str">
            <v>CG</v>
          </cell>
          <cell r="N1969">
            <v>1</v>
          </cell>
        </row>
        <row r="1970">
          <cell r="I1970" t="str">
            <v>CG</v>
          </cell>
          <cell r="N1970">
            <v>2</v>
          </cell>
        </row>
        <row r="1971">
          <cell r="I1971" t="str">
            <v>CG</v>
          </cell>
          <cell r="N1971">
            <v>2</v>
          </cell>
        </row>
        <row r="1972">
          <cell r="I1972" t="str">
            <v>CG</v>
          </cell>
          <cell r="N1972">
            <v>2</v>
          </cell>
        </row>
        <row r="1973">
          <cell r="I1973" t="str">
            <v>CG</v>
          </cell>
          <cell r="N1973">
            <v>4</v>
          </cell>
        </row>
        <row r="1974">
          <cell r="I1974" t="str">
            <v>CG</v>
          </cell>
          <cell r="N1974">
            <v>4</v>
          </cell>
        </row>
        <row r="1975">
          <cell r="I1975" t="str">
            <v>CG</v>
          </cell>
          <cell r="N1975">
            <v>2</v>
          </cell>
        </row>
        <row r="1976">
          <cell r="I1976" t="str">
            <v>CG</v>
          </cell>
          <cell r="N1976">
            <v>2</v>
          </cell>
        </row>
        <row r="1977">
          <cell r="I1977" t="str">
            <v>CG</v>
          </cell>
          <cell r="N1977">
            <v>4</v>
          </cell>
        </row>
        <row r="1978">
          <cell r="I1978" t="str">
            <v>CG</v>
          </cell>
          <cell r="N1978">
            <v>2</v>
          </cell>
        </row>
        <row r="1979">
          <cell r="I1979" t="str">
            <v>CG</v>
          </cell>
          <cell r="N1979">
            <v>1</v>
          </cell>
        </row>
        <row r="1980">
          <cell r="I1980" t="str">
            <v>CG</v>
          </cell>
          <cell r="N1980">
            <v>1</v>
          </cell>
        </row>
        <row r="1981">
          <cell r="I1981" t="str">
            <v>CG</v>
          </cell>
          <cell r="N1981">
            <v>1</v>
          </cell>
        </row>
        <row r="1982">
          <cell r="I1982" t="str">
            <v>CG</v>
          </cell>
          <cell r="N1982">
            <v>1</v>
          </cell>
        </row>
        <row r="1983">
          <cell r="I1983" t="str">
            <v>CG</v>
          </cell>
          <cell r="N1983">
            <v>1</v>
          </cell>
        </row>
        <row r="1984">
          <cell r="I1984" t="str">
            <v>CG</v>
          </cell>
          <cell r="N1984">
            <v>1</v>
          </cell>
        </row>
        <row r="1985">
          <cell r="I1985" t="str">
            <v>CG</v>
          </cell>
          <cell r="N1985">
            <v>4</v>
          </cell>
        </row>
        <row r="1986">
          <cell r="I1986" t="str">
            <v>CG</v>
          </cell>
          <cell r="N1986">
            <v>1</v>
          </cell>
        </row>
        <row r="1987">
          <cell r="I1987" t="str">
            <v>CG</v>
          </cell>
          <cell r="N1987">
            <v>1</v>
          </cell>
        </row>
        <row r="1988">
          <cell r="I1988" t="str">
            <v>CG</v>
          </cell>
          <cell r="N1988">
            <v>4</v>
          </cell>
        </row>
        <row r="1989">
          <cell r="I1989" t="str">
            <v>CG</v>
          </cell>
          <cell r="N1989">
            <v>1</v>
          </cell>
        </row>
        <row r="1990">
          <cell r="I1990" t="str">
            <v>CG</v>
          </cell>
          <cell r="N1990">
            <v>1</v>
          </cell>
        </row>
        <row r="1991">
          <cell r="I1991" t="str">
            <v>CG</v>
          </cell>
          <cell r="N1991">
            <v>4</v>
          </cell>
        </row>
        <row r="1992">
          <cell r="I1992" t="str">
            <v>CG</v>
          </cell>
          <cell r="N1992">
            <v>4</v>
          </cell>
        </row>
        <row r="1993">
          <cell r="I1993" t="str">
            <v>CG</v>
          </cell>
          <cell r="N1993">
            <v>4</v>
          </cell>
        </row>
        <row r="1994">
          <cell r="I1994" t="str">
            <v>CG</v>
          </cell>
          <cell r="N1994">
            <v>4</v>
          </cell>
        </row>
        <row r="1995">
          <cell r="I1995" t="str">
            <v>CG</v>
          </cell>
          <cell r="N1995">
            <v>1</v>
          </cell>
        </row>
        <row r="1996">
          <cell r="I1996" t="str">
            <v>CG</v>
          </cell>
          <cell r="N1996">
            <v>2</v>
          </cell>
        </row>
        <row r="1997">
          <cell r="I1997" t="str">
            <v>CG</v>
          </cell>
          <cell r="N1997">
            <v>2</v>
          </cell>
        </row>
        <row r="1998">
          <cell r="I1998" t="str">
            <v>CG</v>
          </cell>
          <cell r="N1998">
            <v>4</v>
          </cell>
        </row>
        <row r="1999">
          <cell r="I1999" t="str">
            <v>CG</v>
          </cell>
          <cell r="N1999">
            <v>1</v>
          </cell>
        </row>
        <row r="2000">
          <cell r="I2000" t="str">
            <v>CG</v>
          </cell>
          <cell r="N2000">
            <v>2</v>
          </cell>
        </row>
        <row r="2001">
          <cell r="I2001" t="str">
            <v>CG</v>
          </cell>
          <cell r="N2001">
            <v>4</v>
          </cell>
        </row>
        <row r="2002">
          <cell r="I2002" t="str">
            <v>CG</v>
          </cell>
          <cell r="N2002">
            <v>4</v>
          </cell>
        </row>
        <row r="2003">
          <cell r="I2003" t="str">
            <v>CG</v>
          </cell>
          <cell r="N2003">
            <v>4</v>
          </cell>
        </row>
        <row r="2004">
          <cell r="I2004" t="str">
            <v>CG</v>
          </cell>
          <cell r="N2004">
            <v>2</v>
          </cell>
        </row>
        <row r="2005">
          <cell r="I2005" t="str">
            <v>CG</v>
          </cell>
          <cell r="N2005">
            <v>4</v>
          </cell>
        </row>
        <row r="2006">
          <cell r="I2006" t="str">
            <v>CG</v>
          </cell>
          <cell r="N2006">
            <v>1</v>
          </cell>
        </row>
        <row r="2007">
          <cell r="I2007" t="str">
            <v>CG</v>
          </cell>
          <cell r="N2007">
            <v>4</v>
          </cell>
        </row>
        <row r="2008">
          <cell r="I2008" t="str">
            <v>CG</v>
          </cell>
          <cell r="N2008">
            <v>4</v>
          </cell>
        </row>
        <row r="2009">
          <cell r="I2009" t="str">
            <v>CG</v>
          </cell>
          <cell r="N2009">
            <v>4</v>
          </cell>
        </row>
        <row r="2010">
          <cell r="I2010" t="str">
            <v>CG</v>
          </cell>
          <cell r="N2010">
            <v>4</v>
          </cell>
        </row>
        <row r="2011">
          <cell r="I2011" t="str">
            <v>CG</v>
          </cell>
          <cell r="N2011">
            <v>4</v>
          </cell>
        </row>
        <row r="2012">
          <cell r="I2012" t="str">
            <v>CG</v>
          </cell>
          <cell r="N2012">
            <v>1</v>
          </cell>
        </row>
        <row r="2013">
          <cell r="I2013" t="str">
            <v>CG</v>
          </cell>
          <cell r="N2013">
            <v>1</v>
          </cell>
        </row>
        <row r="2014">
          <cell r="I2014" t="str">
            <v>CG</v>
          </cell>
          <cell r="N2014">
            <v>1</v>
          </cell>
        </row>
        <row r="2015">
          <cell r="I2015" t="str">
            <v>CG</v>
          </cell>
          <cell r="N2015">
            <v>1</v>
          </cell>
        </row>
        <row r="2016">
          <cell r="I2016" t="str">
            <v>CG</v>
          </cell>
          <cell r="N2016">
            <v>4</v>
          </cell>
        </row>
        <row r="2017">
          <cell r="I2017" t="str">
            <v>CG</v>
          </cell>
          <cell r="N2017">
            <v>4</v>
          </cell>
        </row>
        <row r="2018">
          <cell r="I2018" t="str">
            <v>CG</v>
          </cell>
          <cell r="N2018">
            <v>1</v>
          </cell>
        </row>
        <row r="2019">
          <cell r="I2019" t="str">
            <v>CG</v>
          </cell>
          <cell r="N2019">
            <v>1</v>
          </cell>
        </row>
        <row r="2020">
          <cell r="I2020" t="str">
            <v>CG</v>
          </cell>
          <cell r="N2020">
            <v>4</v>
          </cell>
        </row>
        <row r="2021">
          <cell r="I2021" t="str">
            <v>CG</v>
          </cell>
          <cell r="N2021">
            <v>4</v>
          </cell>
        </row>
        <row r="2022">
          <cell r="I2022" t="str">
            <v>CG</v>
          </cell>
          <cell r="N2022">
            <v>4</v>
          </cell>
        </row>
        <row r="2023">
          <cell r="I2023" t="str">
            <v>CG</v>
          </cell>
          <cell r="N2023">
            <v>4</v>
          </cell>
        </row>
        <row r="2024">
          <cell r="I2024" t="str">
            <v>CG</v>
          </cell>
          <cell r="N2024">
            <v>4</v>
          </cell>
        </row>
        <row r="2025">
          <cell r="I2025" t="str">
            <v>CG</v>
          </cell>
          <cell r="N2025">
            <v>4</v>
          </cell>
        </row>
        <row r="2026">
          <cell r="I2026" t="str">
            <v>CG</v>
          </cell>
          <cell r="N2026">
            <v>4</v>
          </cell>
        </row>
        <row r="2027">
          <cell r="I2027" t="str">
            <v>CG</v>
          </cell>
          <cell r="N2027">
            <v>4</v>
          </cell>
        </row>
        <row r="2028">
          <cell r="I2028" t="str">
            <v>CG</v>
          </cell>
          <cell r="N2028">
            <v>1</v>
          </cell>
        </row>
        <row r="2029">
          <cell r="I2029" t="str">
            <v>CG</v>
          </cell>
          <cell r="N2029">
            <v>1</v>
          </cell>
        </row>
        <row r="2030">
          <cell r="I2030" t="str">
            <v>CG</v>
          </cell>
          <cell r="N2030">
            <v>4</v>
          </cell>
        </row>
        <row r="2031">
          <cell r="I2031" t="str">
            <v>CG</v>
          </cell>
          <cell r="N2031">
            <v>1</v>
          </cell>
        </row>
        <row r="2032">
          <cell r="I2032" t="str">
            <v>CG</v>
          </cell>
          <cell r="N2032">
            <v>1</v>
          </cell>
        </row>
        <row r="2033">
          <cell r="I2033" t="str">
            <v>CG</v>
          </cell>
          <cell r="N2033">
            <v>1</v>
          </cell>
        </row>
        <row r="2034">
          <cell r="I2034" t="str">
            <v>CG</v>
          </cell>
          <cell r="N2034">
            <v>1</v>
          </cell>
        </row>
        <row r="2035">
          <cell r="I2035" t="str">
            <v>CG</v>
          </cell>
          <cell r="N2035">
            <v>4</v>
          </cell>
        </row>
        <row r="2036">
          <cell r="I2036" t="str">
            <v>CG</v>
          </cell>
          <cell r="N2036">
            <v>4</v>
          </cell>
        </row>
        <row r="2037">
          <cell r="I2037" t="str">
            <v>CG</v>
          </cell>
          <cell r="N2037">
            <v>4</v>
          </cell>
        </row>
        <row r="2038">
          <cell r="I2038" t="str">
            <v>CG</v>
          </cell>
          <cell r="N2038">
            <v>1</v>
          </cell>
        </row>
        <row r="2039">
          <cell r="I2039" t="str">
            <v>CG</v>
          </cell>
          <cell r="N2039">
            <v>4</v>
          </cell>
        </row>
        <row r="2040">
          <cell r="I2040" t="str">
            <v>CG</v>
          </cell>
          <cell r="N2040">
            <v>1</v>
          </cell>
        </row>
        <row r="2041">
          <cell r="I2041" t="str">
            <v>CG</v>
          </cell>
          <cell r="N2041">
            <v>4</v>
          </cell>
        </row>
        <row r="2042">
          <cell r="I2042" t="str">
            <v>CG</v>
          </cell>
          <cell r="N2042">
            <v>4</v>
          </cell>
        </row>
        <row r="2043">
          <cell r="I2043" t="str">
            <v>CG</v>
          </cell>
          <cell r="N2043">
            <v>1</v>
          </cell>
        </row>
        <row r="2044">
          <cell r="I2044" t="str">
            <v>CG</v>
          </cell>
          <cell r="N2044">
            <v>1</v>
          </cell>
        </row>
        <row r="2045">
          <cell r="I2045" t="str">
            <v>CG</v>
          </cell>
          <cell r="N2045">
            <v>4</v>
          </cell>
        </row>
        <row r="2046">
          <cell r="I2046" t="str">
            <v>CG</v>
          </cell>
          <cell r="N2046">
            <v>4</v>
          </cell>
        </row>
        <row r="2047">
          <cell r="I2047" t="str">
            <v>CG</v>
          </cell>
          <cell r="N2047">
            <v>2</v>
          </cell>
        </row>
        <row r="2048">
          <cell r="I2048" t="str">
            <v>CG</v>
          </cell>
          <cell r="N2048">
            <v>4</v>
          </cell>
        </row>
        <row r="2049">
          <cell r="I2049" t="str">
            <v>CG</v>
          </cell>
          <cell r="N2049">
            <v>4</v>
          </cell>
        </row>
        <row r="2050">
          <cell r="I2050" t="str">
            <v>CG</v>
          </cell>
          <cell r="N2050">
            <v>4</v>
          </cell>
        </row>
        <row r="2051">
          <cell r="I2051" t="str">
            <v>CG</v>
          </cell>
          <cell r="N2051">
            <v>4</v>
          </cell>
        </row>
        <row r="2052">
          <cell r="I2052" t="str">
            <v>CG</v>
          </cell>
          <cell r="N2052">
            <v>1</v>
          </cell>
        </row>
        <row r="2053">
          <cell r="I2053" t="str">
            <v>CG</v>
          </cell>
          <cell r="N2053">
            <v>4</v>
          </cell>
        </row>
        <row r="2054">
          <cell r="I2054" t="str">
            <v>CG</v>
          </cell>
          <cell r="N2054">
            <v>1</v>
          </cell>
        </row>
        <row r="2055">
          <cell r="I2055" t="str">
            <v>CG</v>
          </cell>
          <cell r="N2055">
            <v>4</v>
          </cell>
        </row>
        <row r="2056">
          <cell r="I2056" t="str">
            <v>CG</v>
          </cell>
          <cell r="N2056">
            <v>4</v>
          </cell>
        </row>
        <row r="2057">
          <cell r="I2057" t="str">
            <v>CG</v>
          </cell>
          <cell r="N2057">
            <v>2</v>
          </cell>
        </row>
        <row r="2058">
          <cell r="I2058" t="str">
            <v>CG</v>
          </cell>
          <cell r="N2058">
            <v>2</v>
          </cell>
        </row>
        <row r="2059">
          <cell r="I2059" t="str">
            <v>CG</v>
          </cell>
          <cell r="N2059">
            <v>4</v>
          </cell>
        </row>
        <row r="2060">
          <cell r="I2060" t="str">
            <v>CG</v>
          </cell>
          <cell r="N2060">
            <v>4</v>
          </cell>
        </row>
        <row r="2061">
          <cell r="I2061" t="str">
            <v>CG</v>
          </cell>
          <cell r="N2061">
            <v>4</v>
          </cell>
        </row>
        <row r="2062">
          <cell r="I2062" t="str">
            <v>CG</v>
          </cell>
          <cell r="N2062">
            <v>1</v>
          </cell>
        </row>
        <row r="2063">
          <cell r="I2063" t="str">
            <v>CG</v>
          </cell>
          <cell r="N2063">
            <v>1</v>
          </cell>
        </row>
        <row r="2064">
          <cell r="I2064" t="str">
            <v>CG</v>
          </cell>
          <cell r="N2064">
            <v>4</v>
          </cell>
        </row>
        <row r="2065">
          <cell r="I2065" t="str">
            <v>CG</v>
          </cell>
          <cell r="N2065">
            <v>1</v>
          </cell>
        </row>
        <row r="2066">
          <cell r="I2066" t="str">
            <v>CG</v>
          </cell>
          <cell r="N2066">
            <v>4</v>
          </cell>
        </row>
        <row r="2067">
          <cell r="I2067" t="str">
            <v>CG</v>
          </cell>
          <cell r="N2067">
            <v>1</v>
          </cell>
        </row>
        <row r="2068">
          <cell r="I2068" t="str">
            <v>CG</v>
          </cell>
          <cell r="N2068">
            <v>1</v>
          </cell>
        </row>
        <row r="2069">
          <cell r="I2069" t="str">
            <v>CG</v>
          </cell>
          <cell r="N2069">
            <v>4</v>
          </cell>
        </row>
        <row r="2070">
          <cell r="I2070" t="str">
            <v>CG</v>
          </cell>
          <cell r="N2070">
            <v>1</v>
          </cell>
        </row>
        <row r="2071">
          <cell r="I2071" t="str">
            <v>CG</v>
          </cell>
          <cell r="N2071">
            <v>4</v>
          </cell>
        </row>
        <row r="2072">
          <cell r="I2072" t="str">
            <v>CG</v>
          </cell>
          <cell r="N2072">
            <v>4</v>
          </cell>
        </row>
        <row r="2073">
          <cell r="I2073" t="str">
            <v>CG</v>
          </cell>
          <cell r="N2073">
            <v>1</v>
          </cell>
        </row>
        <row r="2074">
          <cell r="I2074" t="str">
            <v>CG</v>
          </cell>
          <cell r="N2074">
            <v>4</v>
          </cell>
        </row>
        <row r="2075">
          <cell r="I2075" t="str">
            <v>CG</v>
          </cell>
          <cell r="N2075">
            <v>1</v>
          </cell>
        </row>
        <row r="2076">
          <cell r="I2076" t="str">
            <v>CG</v>
          </cell>
          <cell r="N2076">
            <v>1</v>
          </cell>
        </row>
        <row r="2077">
          <cell r="I2077" t="str">
            <v>CG</v>
          </cell>
          <cell r="N2077">
            <v>2</v>
          </cell>
        </row>
        <row r="2078">
          <cell r="I2078" t="str">
            <v>CG</v>
          </cell>
          <cell r="N2078">
            <v>4</v>
          </cell>
        </row>
        <row r="2079">
          <cell r="I2079" t="str">
            <v>CG</v>
          </cell>
          <cell r="N2079">
            <v>1</v>
          </cell>
        </row>
        <row r="2080">
          <cell r="I2080" t="str">
            <v>CG</v>
          </cell>
          <cell r="N2080">
            <v>1</v>
          </cell>
        </row>
        <row r="2081">
          <cell r="I2081" t="str">
            <v>CG</v>
          </cell>
          <cell r="N2081">
            <v>4</v>
          </cell>
        </row>
        <row r="2082">
          <cell r="I2082" t="str">
            <v>CG</v>
          </cell>
          <cell r="N2082">
            <v>4</v>
          </cell>
        </row>
        <row r="2083">
          <cell r="I2083" t="str">
            <v>CG</v>
          </cell>
          <cell r="N2083">
            <v>1</v>
          </cell>
        </row>
        <row r="2084">
          <cell r="I2084" t="str">
            <v>CG</v>
          </cell>
          <cell r="N2084">
            <v>4</v>
          </cell>
        </row>
        <row r="2085">
          <cell r="I2085" t="str">
            <v>CG</v>
          </cell>
          <cell r="N2085">
            <v>4</v>
          </cell>
        </row>
        <row r="2086">
          <cell r="I2086" t="str">
            <v>CG</v>
          </cell>
          <cell r="N2086">
            <v>2</v>
          </cell>
        </row>
        <row r="2087">
          <cell r="I2087" t="str">
            <v>CG</v>
          </cell>
          <cell r="N2087">
            <v>4</v>
          </cell>
        </row>
        <row r="2088">
          <cell r="I2088" t="str">
            <v>CG</v>
          </cell>
          <cell r="N2088">
            <v>4</v>
          </cell>
        </row>
        <row r="2089">
          <cell r="I2089" t="str">
            <v>CG</v>
          </cell>
          <cell r="N2089">
            <v>4</v>
          </cell>
        </row>
        <row r="2090">
          <cell r="I2090" t="str">
            <v>CG</v>
          </cell>
          <cell r="N2090">
            <v>1</v>
          </cell>
        </row>
        <row r="2091">
          <cell r="I2091" t="str">
            <v>CG</v>
          </cell>
          <cell r="N2091">
            <v>2</v>
          </cell>
        </row>
        <row r="2092">
          <cell r="I2092" t="str">
            <v>CG</v>
          </cell>
          <cell r="N2092">
            <v>4</v>
          </cell>
        </row>
        <row r="2093">
          <cell r="I2093" t="str">
            <v>CG</v>
          </cell>
          <cell r="N2093">
            <v>1</v>
          </cell>
        </row>
        <row r="2094">
          <cell r="I2094" t="str">
            <v>CG</v>
          </cell>
          <cell r="N2094">
            <v>4</v>
          </cell>
        </row>
        <row r="2095">
          <cell r="I2095" t="str">
            <v>CG</v>
          </cell>
          <cell r="N2095">
            <v>2</v>
          </cell>
        </row>
        <row r="2096">
          <cell r="I2096" t="str">
            <v>CG</v>
          </cell>
          <cell r="N2096">
            <v>1</v>
          </cell>
        </row>
        <row r="2097">
          <cell r="I2097" t="str">
            <v>CG</v>
          </cell>
          <cell r="N2097">
            <v>4</v>
          </cell>
        </row>
        <row r="2098">
          <cell r="I2098" t="str">
            <v>CG</v>
          </cell>
          <cell r="N2098">
            <v>4</v>
          </cell>
        </row>
        <row r="2099">
          <cell r="I2099" t="str">
            <v>CG</v>
          </cell>
          <cell r="N2099">
            <v>4</v>
          </cell>
        </row>
        <row r="2100">
          <cell r="I2100" t="str">
            <v>CG</v>
          </cell>
          <cell r="N2100">
            <v>4</v>
          </cell>
        </row>
        <row r="2101">
          <cell r="I2101" t="str">
            <v>CG</v>
          </cell>
          <cell r="N2101">
            <v>4</v>
          </cell>
        </row>
        <row r="2102">
          <cell r="I2102" t="str">
            <v>CG</v>
          </cell>
          <cell r="N2102">
            <v>4</v>
          </cell>
        </row>
        <row r="2103">
          <cell r="I2103" t="str">
            <v>CG</v>
          </cell>
          <cell r="N2103">
            <v>4</v>
          </cell>
        </row>
        <row r="2104">
          <cell r="I2104" t="str">
            <v>CG</v>
          </cell>
          <cell r="N2104">
            <v>4</v>
          </cell>
        </row>
        <row r="2105">
          <cell r="I2105" t="str">
            <v>CG</v>
          </cell>
          <cell r="N2105">
            <v>1</v>
          </cell>
        </row>
        <row r="2106">
          <cell r="I2106" t="str">
            <v>CG</v>
          </cell>
          <cell r="N2106">
            <v>4</v>
          </cell>
        </row>
        <row r="2107">
          <cell r="I2107" t="str">
            <v>CG</v>
          </cell>
          <cell r="N2107">
            <v>4</v>
          </cell>
        </row>
        <row r="2108">
          <cell r="I2108" t="str">
            <v>CG</v>
          </cell>
          <cell r="N2108">
            <v>4</v>
          </cell>
        </row>
        <row r="2109">
          <cell r="I2109" t="str">
            <v>CG</v>
          </cell>
          <cell r="N2109">
            <v>4</v>
          </cell>
        </row>
        <row r="2110">
          <cell r="I2110" t="str">
            <v>CG</v>
          </cell>
          <cell r="N2110">
            <v>4</v>
          </cell>
        </row>
        <row r="2111">
          <cell r="I2111" t="str">
            <v>CG</v>
          </cell>
          <cell r="N2111">
            <v>4</v>
          </cell>
        </row>
        <row r="2112">
          <cell r="I2112" t="str">
            <v>CG</v>
          </cell>
          <cell r="N2112">
            <v>4</v>
          </cell>
        </row>
        <row r="2113">
          <cell r="I2113" t="str">
            <v>CG</v>
          </cell>
          <cell r="N2113">
            <v>4</v>
          </cell>
        </row>
        <row r="2114">
          <cell r="I2114" t="str">
            <v>CG</v>
          </cell>
          <cell r="N2114">
            <v>4</v>
          </cell>
        </row>
        <row r="2115">
          <cell r="I2115" t="str">
            <v>CG</v>
          </cell>
          <cell r="N2115">
            <v>4</v>
          </cell>
        </row>
        <row r="2116">
          <cell r="I2116" t="str">
            <v>CG</v>
          </cell>
          <cell r="N2116">
            <v>4</v>
          </cell>
        </row>
        <row r="2117">
          <cell r="I2117" t="str">
            <v>CG</v>
          </cell>
          <cell r="N2117">
            <v>1</v>
          </cell>
        </row>
        <row r="2118">
          <cell r="I2118" t="str">
            <v>CG</v>
          </cell>
          <cell r="N2118">
            <v>4</v>
          </cell>
        </row>
        <row r="2119">
          <cell r="I2119" t="str">
            <v>CG</v>
          </cell>
          <cell r="N2119">
            <v>4</v>
          </cell>
        </row>
        <row r="2120">
          <cell r="I2120" t="str">
            <v>CG</v>
          </cell>
          <cell r="N2120">
            <v>4</v>
          </cell>
        </row>
        <row r="2121">
          <cell r="I2121" t="str">
            <v>CG</v>
          </cell>
          <cell r="N2121">
            <v>4</v>
          </cell>
        </row>
        <row r="2122">
          <cell r="I2122" t="str">
            <v>CG</v>
          </cell>
          <cell r="N2122">
            <v>4</v>
          </cell>
        </row>
        <row r="2123">
          <cell r="I2123" t="str">
            <v>CG</v>
          </cell>
          <cell r="N2123">
            <v>4</v>
          </cell>
        </row>
        <row r="2124">
          <cell r="I2124" t="str">
            <v>CG</v>
          </cell>
          <cell r="N2124">
            <v>2</v>
          </cell>
        </row>
        <row r="2125">
          <cell r="I2125" t="str">
            <v>CG</v>
          </cell>
          <cell r="N2125">
            <v>4</v>
          </cell>
        </row>
        <row r="2126">
          <cell r="I2126" t="str">
            <v>CG</v>
          </cell>
          <cell r="N2126">
            <v>4</v>
          </cell>
        </row>
        <row r="2127">
          <cell r="I2127" t="str">
            <v>CG</v>
          </cell>
          <cell r="N2127">
            <v>4</v>
          </cell>
        </row>
        <row r="2128">
          <cell r="I2128" t="str">
            <v>CG</v>
          </cell>
          <cell r="N2128">
            <v>2</v>
          </cell>
        </row>
        <row r="2129">
          <cell r="I2129" t="str">
            <v>CG</v>
          </cell>
          <cell r="N2129">
            <v>1</v>
          </cell>
        </row>
        <row r="2130">
          <cell r="I2130" t="str">
            <v>CG</v>
          </cell>
          <cell r="N2130">
            <v>1</v>
          </cell>
        </row>
        <row r="2131">
          <cell r="I2131" t="str">
            <v>CG</v>
          </cell>
          <cell r="N2131">
            <v>4</v>
          </cell>
        </row>
        <row r="2132">
          <cell r="I2132" t="str">
            <v>CG</v>
          </cell>
          <cell r="N2132">
            <v>1</v>
          </cell>
        </row>
        <row r="2133">
          <cell r="I2133" t="str">
            <v>CG</v>
          </cell>
          <cell r="N2133">
            <v>2</v>
          </cell>
        </row>
        <row r="2134">
          <cell r="I2134" t="str">
            <v>CG</v>
          </cell>
          <cell r="N2134">
            <v>4</v>
          </cell>
        </row>
        <row r="2135">
          <cell r="I2135" t="str">
            <v>CG</v>
          </cell>
          <cell r="N2135">
            <v>1</v>
          </cell>
        </row>
        <row r="2136">
          <cell r="I2136" t="str">
            <v>CG</v>
          </cell>
          <cell r="N2136">
            <v>4</v>
          </cell>
        </row>
        <row r="2137">
          <cell r="I2137" t="str">
            <v>CG</v>
          </cell>
          <cell r="N2137">
            <v>1</v>
          </cell>
        </row>
        <row r="2138">
          <cell r="I2138" t="str">
            <v>CG</v>
          </cell>
          <cell r="N2138">
            <v>1</v>
          </cell>
        </row>
        <row r="2139">
          <cell r="I2139" t="str">
            <v>CG</v>
          </cell>
          <cell r="N2139">
            <v>1</v>
          </cell>
        </row>
        <row r="2140">
          <cell r="I2140" t="str">
            <v>CG</v>
          </cell>
          <cell r="N2140">
            <v>4</v>
          </cell>
        </row>
        <row r="2141">
          <cell r="I2141" t="str">
            <v>CG</v>
          </cell>
          <cell r="N2141">
            <v>2</v>
          </cell>
        </row>
        <row r="2142">
          <cell r="I2142" t="str">
            <v>CG</v>
          </cell>
          <cell r="N2142">
            <v>2</v>
          </cell>
        </row>
        <row r="2143">
          <cell r="I2143" t="str">
            <v>CG</v>
          </cell>
          <cell r="N2143">
            <v>4</v>
          </cell>
        </row>
        <row r="2144">
          <cell r="I2144" t="str">
            <v>CG</v>
          </cell>
          <cell r="N2144">
            <v>2</v>
          </cell>
        </row>
        <row r="2145">
          <cell r="I2145" t="str">
            <v>CG</v>
          </cell>
          <cell r="N2145">
            <v>5</v>
          </cell>
        </row>
        <row r="2146">
          <cell r="I2146" t="str">
            <v>CG</v>
          </cell>
          <cell r="N2146">
            <v>4</v>
          </cell>
        </row>
        <row r="2147">
          <cell r="I2147" t="str">
            <v>CG</v>
          </cell>
          <cell r="N2147">
            <v>4</v>
          </cell>
        </row>
        <row r="2148">
          <cell r="I2148" t="str">
            <v>CG</v>
          </cell>
          <cell r="N2148">
            <v>4</v>
          </cell>
        </row>
        <row r="2149">
          <cell r="I2149" t="str">
            <v>CG</v>
          </cell>
          <cell r="N2149">
            <v>4</v>
          </cell>
        </row>
        <row r="2150">
          <cell r="I2150" t="str">
            <v>CG</v>
          </cell>
          <cell r="N2150">
            <v>4</v>
          </cell>
        </row>
        <row r="2151">
          <cell r="I2151" t="str">
            <v>CG</v>
          </cell>
          <cell r="N2151">
            <v>4</v>
          </cell>
        </row>
        <row r="2152">
          <cell r="I2152" t="str">
            <v>CG</v>
          </cell>
          <cell r="N2152">
            <v>4</v>
          </cell>
        </row>
        <row r="2153">
          <cell r="I2153" t="str">
            <v>CG</v>
          </cell>
          <cell r="N2153">
            <v>4</v>
          </cell>
        </row>
        <row r="2154">
          <cell r="I2154" t="str">
            <v>CG</v>
          </cell>
          <cell r="N2154">
            <v>4</v>
          </cell>
        </row>
        <row r="2155">
          <cell r="I2155" t="str">
            <v>CG</v>
          </cell>
          <cell r="N2155">
            <v>4</v>
          </cell>
        </row>
        <row r="2156">
          <cell r="I2156" t="str">
            <v>CG</v>
          </cell>
          <cell r="N2156">
            <v>4</v>
          </cell>
        </row>
        <row r="2157">
          <cell r="I2157" t="str">
            <v>CG</v>
          </cell>
          <cell r="N2157">
            <v>4</v>
          </cell>
        </row>
        <row r="2158">
          <cell r="I2158" t="str">
            <v>CG</v>
          </cell>
          <cell r="N2158">
            <v>4</v>
          </cell>
        </row>
        <row r="2159">
          <cell r="I2159" t="str">
            <v>CG</v>
          </cell>
          <cell r="N2159">
            <v>4</v>
          </cell>
        </row>
        <row r="2160">
          <cell r="I2160" t="str">
            <v>CG</v>
          </cell>
          <cell r="N2160">
            <v>4</v>
          </cell>
        </row>
        <row r="2161">
          <cell r="I2161" t="str">
            <v>CG</v>
          </cell>
          <cell r="N2161">
            <v>4</v>
          </cell>
        </row>
        <row r="2162">
          <cell r="I2162" t="str">
            <v>CG</v>
          </cell>
          <cell r="N2162">
            <v>2</v>
          </cell>
        </row>
        <row r="2163">
          <cell r="I2163" t="str">
            <v>CG</v>
          </cell>
          <cell r="N2163">
            <v>4</v>
          </cell>
        </row>
        <row r="2164">
          <cell r="I2164" t="str">
            <v>CG</v>
          </cell>
          <cell r="N2164">
            <v>4</v>
          </cell>
        </row>
        <row r="2165">
          <cell r="I2165" t="str">
            <v>CG</v>
          </cell>
          <cell r="N2165">
            <v>1</v>
          </cell>
        </row>
        <row r="2166">
          <cell r="I2166" t="str">
            <v>CG</v>
          </cell>
          <cell r="N2166">
            <v>1</v>
          </cell>
        </row>
        <row r="2167">
          <cell r="I2167" t="str">
            <v>CG</v>
          </cell>
          <cell r="N2167">
            <v>1</v>
          </cell>
        </row>
        <row r="2168">
          <cell r="I2168" t="str">
            <v>CG</v>
          </cell>
          <cell r="N2168">
            <v>1</v>
          </cell>
        </row>
        <row r="2169">
          <cell r="I2169" t="str">
            <v>CG</v>
          </cell>
          <cell r="N2169">
            <v>4</v>
          </cell>
        </row>
        <row r="2170">
          <cell r="I2170" t="str">
            <v>CG</v>
          </cell>
          <cell r="N2170">
            <v>4</v>
          </cell>
        </row>
        <row r="2171">
          <cell r="I2171" t="str">
            <v>CG</v>
          </cell>
          <cell r="N2171">
            <v>4</v>
          </cell>
        </row>
        <row r="2172">
          <cell r="I2172" t="str">
            <v>CG</v>
          </cell>
          <cell r="N2172">
            <v>4</v>
          </cell>
        </row>
        <row r="2173">
          <cell r="I2173" t="str">
            <v>CG</v>
          </cell>
          <cell r="N2173">
            <v>4</v>
          </cell>
        </row>
        <row r="2174">
          <cell r="I2174" t="str">
            <v>CG</v>
          </cell>
          <cell r="N2174">
            <v>4</v>
          </cell>
        </row>
        <row r="2175">
          <cell r="I2175" t="str">
            <v>CG</v>
          </cell>
          <cell r="N2175">
            <v>4</v>
          </cell>
        </row>
        <row r="2176">
          <cell r="I2176" t="str">
            <v>CG</v>
          </cell>
          <cell r="N2176">
            <v>4</v>
          </cell>
        </row>
        <row r="2177">
          <cell r="I2177" t="str">
            <v>CG</v>
          </cell>
          <cell r="N2177">
            <v>4</v>
          </cell>
        </row>
        <row r="2178">
          <cell r="I2178" t="str">
            <v>CG</v>
          </cell>
          <cell r="N2178">
            <v>4</v>
          </cell>
        </row>
        <row r="2179">
          <cell r="I2179" t="str">
            <v>CG</v>
          </cell>
          <cell r="N2179">
            <v>4</v>
          </cell>
        </row>
        <row r="2180">
          <cell r="I2180" t="str">
            <v>CG</v>
          </cell>
          <cell r="N2180">
            <v>2</v>
          </cell>
        </row>
        <row r="2181">
          <cell r="I2181" t="str">
            <v>CG</v>
          </cell>
          <cell r="N2181">
            <v>4</v>
          </cell>
        </row>
        <row r="2182">
          <cell r="I2182" t="str">
            <v>CG</v>
          </cell>
          <cell r="N2182">
            <v>4</v>
          </cell>
        </row>
        <row r="2183">
          <cell r="I2183" t="str">
            <v>CG</v>
          </cell>
          <cell r="N2183">
            <v>4</v>
          </cell>
        </row>
        <row r="2184">
          <cell r="I2184" t="str">
            <v>CG</v>
          </cell>
          <cell r="N2184">
            <v>5</v>
          </cell>
        </row>
        <row r="2185">
          <cell r="I2185" t="str">
            <v>CG</v>
          </cell>
          <cell r="N2185">
            <v>1</v>
          </cell>
        </row>
        <row r="2186">
          <cell r="I2186" t="str">
            <v>CG</v>
          </cell>
          <cell r="N2186">
            <v>4</v>
          </cell>
        </row>
        <row r="2187">
          <cell r="I2187" t="str">
            <v>CG</v>
          </cell>
          <cell r="N2187">
            <v>1</v>
          </cell>
        </row>
        <row r="2188">
          <cell r="I2188" t="str">
            <v>CG</v>
          </cell>
          <cell r="N2188">
            <v>4</v>
          </cell>
        </row>
        <row r="2189">
          <cell r="I2189" t="str">
            <v>CG</v>
          </cell>
          <cell r="N2189">
            <v>4</v>
          </cell>
        </row>
        <row r="2190">
          <cell r="I2190" t="str">
            <v>CG</v>
          </cell>
          <cell r="N2190">
            <v>4</v>
          </cell>
        </row>
        <row r="2191">
          <cell r="I2191" t="str">
            <v>CG</v>
          </cell>
          <cell r="N2191">
            <v>4</v>
          </cell>
        </row>
        <row r="2192">
          <cell r="I2192" t="str">
            <v>CG</v>
          </cell>
          <cell r="N2192">
            <v>4</v>
          </cell>
        </row>
        <row r="2193">
          <cell r="I2193" t="str">
            <v>CG</v>
          </cell>
          <cell r="N2193">
            <v>4</v>
          </cell>
        </row>
        <row r="2194">
          <cell r="I2194" t="str">
            <v>CG</v>
          </cell>
          <cell r="N2194">
            <v>4</v>
          </cell>
        </row>
        <row r="2195">
          <cell r="I2195" t="str">
            <v>CG</v>
          </cell>
          <cell r="N2195">
            <v>1</v>
          </cell>
        </row>
        <row r="2196">
          <cell r="I2196" t="str">
            <v>CG</v>
          </cell>
          <cell r="N2196">
            <v>1</v>
          </cell>
        </row>
        <row r="2197">
          <cell r="I2197" t="str">
            <v>CG</v>
          </cell>
          <cell r="N2197">
            <v>4</v>
          </cell>
        </row>
        <row r="2198">
          <cell r="I2198" t="str">
            <v>CG</v>
          </cell>
          <cell r="N2198">
            <v>1</v>
          </cell>
        </row>
        <row r="2199">
          <cell r="I2199" t="str">
            <v>CG</v>
          </cell>
          <cell r="N2199">
            <v>4</v>
          </cell>
        </row>
        <row r="2200">
          <cell r="I2200" t="str">
            <v>CG</v>
          </cell>
          <cell r="N2200">
            <v>4</v>
          </cell>
        </row>
        <row r="2201">
          <cell r="I2201" t="str">
            <v>CG</v>
          </cell>
          <cell r="N2201">
            <v>4</v>
          </cell>
        </row>
        <row r="2202">
          <cell r="I2202" t="str">
            <v>CG</v>
          </cell>
          <cell r="N2202">
            <v>2</v>
          </cell>
        </row>
        <row r="2203">
          <cell r="I2203" t="str">
            <v>CG</v>
          </cell>
          <cell r="N2203">
            <v>4</v>
          </cell>
        </row>
        <row r="2204">
          <cell r="I2204" t="str">
            <v>CG</v>
          </cell>
          <cell r="N2204">
            <v>4</v>
          </cell>
        </row>
        <row r="2205">
          <cell r="I2205" t="str">
            <v>CG</v>
          </cell>
          <cell r="N2205">
            <v>1</v>
          </cell>
        </row>
        <row r="2206">
          <cell r="I2206" t="str">
            <v>CG</v>
          </cell>
          <cell r="N2206">
            <v>4</v>
          </cell>
        </row>
        <row r="2207">
          <cell r="I2207" t="str">
            <v>CG</v>
          </cell>
          <cell r="N2207">
            <v>4</v>
          </cell>
        </row>
        <row r="2208">
          <cell r="I2208" t="str">
            <v>CG</v>
          </cell>
          <cell r="N2208">
            <v>4</v>
          </cell>
        </row>
        <row r="2209">
          <cell r="I2209" t="str">
            <v>CG</v>
          </cell>
          <cell r="N2209">
            <v>1</v>
          </cell>
        </row>
        <row r="2210">
          <cell r="I2210" t="str">
            <v>CG</v>
          </cell>
          <cell r="N2210">
            <v>1</v>
          </cell>
        </row>
        <row r="2211">
          <cell r="I2211" t="str">
            <v>CG</v>
          </cell>
          <cell r="N2211">
            <v>4</v>
          </cell>
        </row>
        <row r="2212">
          <cell r="I2212" t="str">
            <v>CG</v>
          </cell>
          <cell r="N2212">
            <v>2</v>
          </cell>
        </row>
        <row r="2213">
          <cell r="I2213" t="str">
            <v>CG</v>
          </cell>
          <cell r="N2213">
            <v>4</v>
          </cell>
        </row>
        <row r="2214">
          <cell r="I2214" t="str">
            <v>CG</v>
          </cell>
          <cell r="N2214">
            <v>4</v>
          </cell>
        </row>
        <row r="2215">
          <cell r="I2215" t="str">
            <v>CG</v>
          </cell>
          <cell r="N2215">
            <v>4</v>
          </cell>
        </row>
        <row r="2216">
          <cell r="I2216" t="str">
            <v>CG</v>
          </cell>
          <cell r="N2216">
            <v>1</v>
          </cell>
        </row>
        <row r="2217">
          <cell r="I2217" t="str">
            <v>CG</v>
          </cell>
          <cell r="N2217">
            <v>4</v>
          </cell>
        </row>
        <row r="2218">
          <cell r="I2218" t="str">
            <v>CG</v>
          </cell>
          <cell r="N2218">
            <v>4</v>
          </cell>
        </row>
        <row r="2219">
          <cell r="I2219" t="str">
            <v>CG</v>
          </cell>
          <cell r="N2219">
            <v>4</v>
          </cell>
        </row>
        <row r="2220">
          <cell r="I2220" t="str">
            <v>CG</v>
          </cell>
          <cell r="N2220">
            <v>4</v>
          </cell>
        </row>
        <row r="2221">
          <cell r="I2221" t="str">
            <v>CG</v>
          </cell>
          <cell r="N2221">
            <v>4</v>
          </cell>
        </row>
        <row r="2222">
          <cell r="I2222" t="str">
            <v>CG</v>
          </cell>
          <cell r="N2222">
            <v>4</v>
          </cell>
        </row>
        <row r="2223">
          <cell r="I2223" t="str">
            <v>CG</v>
          </cell>
          <cell r="N2223">
            <v>4</v>
          </cell>
        </row>
        <row r="2224">
          <cell r="I2224" t="str">
            <v>CG</v>
          </cell>
          <cell r="N2224">
            <v>4</v>
          </cell>
        </row>
        <row r="2225">
          <cell r="I2225" t="str">
            <v>CG</v>
          </cell>
          <cell r="N2225">
            <v>4</v>
          </cell>
        </row>
        <row r="2226">
          <cell r="I2226" t="str">
            <v>CG</v>
          </cell>
          <cell r="N2226">
            <v>4</v>
          </cell>
        </row>
        <row r="2227">
          <cell r="I2227" t="str">
            <v>CG</v>
          </cell>
          <cell r="N2227">
            <v>4</v>
          </cell>
        </row>
        <row r="2228">
          <cell r="I2228" t="str">
            <v>CG</v>
          </cell>
          <cell r="N2228">
            <v>1</v>
          </cell>
        </row>
        <row r="2229">
          <cell r="I2229" t="str">
            <v>CG</v>
          </cell>
          <cell r="N2229">
            <v>4</v>
          </cell>
        </row>
        <row r="2230">
          <cell r="I2230" t="str">
            <v>CG</v>
          </cell>
          <cell r="N2230">
            <v>1</v>
          </cell>
        </row>
        <row r="2231">
          <cell r="I2231" t="str">
            <v>CG</v>
          </cell>
          <cell r="N2231">
            <v>4</v>
          </cell>
        </row>
        <row r="2232">
          <cell r="I2232" t="str">
            <v>CG</v>
          </cell>
          <cell r="N2232">
            <v>4</v>
          </cell>
        </row>
        <row r="2233">
          <cell r="I2233" t="str">
            <v>CG</v>
          </cell>
          <cell r="N2233">
            <v>4</v>
          </cell>
        </row>
        <row r="2234">
          <cell r="I2234" t="str">
            <v>CG</v>
          </cell>
          <cell r="N2234">
            <v>4</v>
          </cell>
        </row>
        <row r="2235">
          <cell r="I2235" t="str">
            <v>CG</v>
          </cell>
          <cell r="N2235">
            <v>1</v>
          </cell>
        </row>
        <row r="2236">
          <cell r="I2236" t="str">
            <v>CG</v>
          </cell>
          <cell r="N2236">
            <v>4</v>
          </cell>
        </row>
        <row r="2237">
          <cell r="I2237" t="str">
            <v>CG</v>
          </cell>
          <cell r="N2237">
            <v>4</v>
          </cell>
        </row>
        <row r="2238">
          <cell r="I2238" t="str">
            <v>CG</v>
          </cell>
          <cell r="N2238">
            <v>4</v>
          </cell>
        </row>
        <row r="2239">
          <cell r="I2239" t="str">
            <v>CG</v>
          </cell>
          <cell r="N2239">
            <v>1</v>
          </cell>
        </row>
        <row r="2240">
          <cell r="I2240" t="str">
            <v>CG</v>
          </cell>
          <cell r="N2240">
            <v>4</v>
          </cell>
        </row>
        <row r="2241">
          <cell r="I2241" t="str">
            <v>CG</v>
          </cell>
          <cell r="N2241">
            <v>4</v>
          </cell>
        </row>
        <row r="2242">
          <cell r="I2242" t="str">
            <v>CG</v>
          </cell>
          <cell r="N2242">
            <v>4</v>
          </cell>
        </row>
        <row r="2243">
          <cell r="I2243" t="str">
            <v>CG</v>
          </cell>
          <cell r="N2243">
            <v>1</v>
          </cell>
        </row>
        <row r="2244">
          <cell r="I2244" t="str">
            <v>CG</v>
          </cell>
          <cell r="N2244">
            <v>4</v>
          </cell>
        </row>
        <row r="2245">
          <cell r="I2245" t="str">
            <v>CG</v>
          </cell>
          <cell r="N2245">
            <v>4</v>
          </cell>
        </row>
        <row r="2246">
          <cell r="I2246" t="str">
            <v>CG</v>
          </cell>
          <cell r="N2246">
            <v>4</v>
          </cell>
        </row>
        <row r="2247">
          <cell r="I2247" t="str">
            <v>CG</v>
          </cell>
          <cell r="N2247">
            <v>1</v>
          </cell>
        </row>
        <row r="2248">
          <cell r="I2248" t="str">
            <v>CG</v>
          </cell>
          <cell r="N2248">
            <v>4</v>
          </cell>
        </row>
        <row r="2249">
          <cell r="I2249" t="str">
            <v>CG</v>
          </cell>
          <cell r="N2249">
            <v>4</v>
          </cell>
        </row>
        <row r="2250">
          <cell r="I2250" t="str">
            <v>CG</v>
          </cell>
          <cell r="N2250">
            <v>1</v>
          </cell>
        </row>
        <row r="2251">
          <cell r="I2251" t="str">
            <v>CG</v>
          </cell>
          <cell r="N2251">
            <v>2</v>
          </cell>
        </row>
        <row r="2252">
          <cell r="I2252" t="str">
            <v>CG</v>
          </cell>
          <cell r="N2252">
            <v>4</v>
          </cell>
        </row>
        <row r="2253">
          <cell r="I2253" t="str">
            <v>CG</v>
          </cell>
          <cell r="N2253">
            <v>2</v>
          </cell>
        </row>
        <row r="2254">
          <cell r="I2254" t="str">
            <v>CG</v>
          </cell>
          <cell r="N2254">
            <v>4</v>
          </cell>
        </row>
        <row r="2255">
          <cell r="I2255" t="str">
            <v>CG</v>
          </cell>
          <cell r="N2255">
            <v>4</v>
          </cell>
        </row>
        <row r="2256">
          <cell r="I2256" t="str">
            <v>CG</v>
          </cell>
          <cell r="N2256">
            <v>1</v>
          </cell>
        </row>
        <row r="2257">
          <cell r="I2257" t="str">
            <v>CG</v>
          </cell>
          <cell r="N2257">
            <v>4</v>
          </cell>
        </row>
        <row r="2258">
          <cell r="I2258" t="str">
            <v>CG</v>
          </cell>
          <cell r="N2258">
            <v>4</v>
          </cell>
        </row>
        <row r="2259">
          <cell r="I2259" t="str">
            <v>CG</v>
          </cell>
          <cell r="N2259">
            <v>4</v>
          </cell>
        </row>
        <row r="2260">
          <cell r="I2260" t="str">
            <v>CG</v>
          </cell>
          <cell r="N2260">
            <v>4</v>
          </cell>
        </row>
        <row r="2261">
          <cell r="I2261" t="str">
            <v>CG</v>
          </cell>
          <cell r="N2261">
            <v>4</v>
          </cell>
        </row>
        <row r="2262">
          <cell r="I2262" t="str">
            <v>CG</v>
          </cell>
          <cell r="N2262">
            <v>1</v>
          </cell>
        </row>
        <row r="2263">
          <cell r="I2263" t="str">
            <v>CG</v>
          </cell>
          <cell r="N2263">
            <v>1</v>
          </cell>
        </row>
        <row r="2264">
          <cell r="I2264" t="str">
            <v>CG</v>
          </cell>
          <cell r="N2264">
            <v>1</v>
          </cell>
        </row>
        <row r="2265">
          <cell r="I2265" t="str">
            <v>CG</v>
          </cell>
          <cell r="N2265">
            <v>4</v>
          </cell>
        </row>
        <row r="2266">
          <cell r="I2266" t="str">
            <v>CG</v>
          </cell>
          <cell r="N2266">
            <v>4</v>
          </cell>
        </row>
        <row r="2267">
          <cell r="I2267" t="str">
            <v>CG</v>
          </cell>
          <cell r="N2267">
            <v>1</v>
          </cell>
        </row>
        <row r="2268">
          <cell r="I2268" t="str">
            <v>CG</v>
          </cell>
          <cell r="N2268">
            <v>1</v>
          </cell>
        </row>
        <row r="2269">
          <cell r="I2269" t="str">
            <v>CG</v>
          </cell>
          <cell r="N2269">
            <v>1</v>
          </cell>
        </row>
        <row r="2270">
          <cell r="I2270" t="str">
            <v>CG</v>
          </cell>
          <cell r="N2270">
            <v>4</v>
          </cell>
        </row>
        <row r="2271">
          <cell r="I2271" t="str">
            <v>CG</v>
          </cell>
          <cell r="N2271">
            <v>1</v>
          </cell>
        </row>
        <row r="2272">
          <cell r="I2272" t="str">
            <v>CG</v>
          </cell>
          <cell r="N2272">
            <v>1</v>
          </cell>
        </row>
        <row r="2273">
          <cell r="I2273" t="str">
            <v>CG</v>
          </cell>
          <cell r="N2273">
            <v>4</v>
          </cell>
        </row>
        <row r="2274">
          <cell r="I2274" t="str">
            <v>CG</v>
          </cell>
          <cell r="N2274">
            <v>4</v>
          </cell>
        </row>
        <row r="2275">
          <cell r="I2275" t="str">
            <v>CG</v>
          </cell>
          <cell r="N2275">
            <v>4</v>
          </cell>
        </row>
        <row r="2276">
          <cell r="I2276" t="str">
            <v>CG</v>
          </cell>
          <cell r="N2276">
            <v>1</v>
          </cell>
        </row>
        <row r="2277">
          <cell r="I2277" t="str">
            <v>CG</v>
          </cell>
          <cell r="N2277">
            <v>4</v>
          </cell>
        </row>
        <row r="2278">
          <cell r="I2278" t="str">
            <v>CG</v>
          </cell>
          <cell r="N2278">
            <v>4</v>
          </cell>
        </row>
        <row r="2279">
          <cell r="I2279" t="str">
            <v>CG</v>
          </cell>
          <cell r="N2279">
            <v>4</v>
          </cell>
        </row>
        <row r="2280">
          <cell r="I2280" t="str">
            <v>CG</v>
          </cell>
          <cell r="N2280">
            <v>4</v>
          </cell>
        </row>
        <row r="2281">
          <cell r="I2281" t="str">
            <v>CG</v>
          </cell>
          <cell r="N2281">
            <v>4</v>
          </cell>
        </row>
        <row r="2282">
          <cell r="I2282" t="str">
            <v>CG</v>
          </cell>
          <cell r="N2282">
            <v>1</v>
          </cell>
        </row>
        <row r="2283">
          <cell r="I2283" t="str">
            <v>CG</v>
          </cell>
          <cell r="N2283">
            <v>4</v>
          </cell>
        </row>
        <row r="2284">
          <cell r="I2284" t="str">
            <v>CG</v>
          </cell>
          <cell r="N2284">
            <v>1</v>
          </cell>
        </row>
        <row r="2285">
          <cell r="I2285" t="str">
            <v>CG</v>
          </cell>
          <cell r="N2285">
            <v>1</v>
          </cell>
        </row>
        <row r="2286">
          <cell r="I2286" t="str">
            <v>CG</v>
          </cell>
          <cell r="N2286">
            <v>1</v>
          </cell>
        </row>
        <row r="2287">
          <cell r="I2287" t="str">
            <v>CG</v>
          </cell>
          <cell r="N2287">
            <v>4</v>
          </cell>
        </row>
        <row r="2288">
          <cell r="I2288" t="str">
            <v>CG</v>
          </cell>
          <cell r="N2288">
            <v>4</v>
          </cell>
        </row>
        <row r="2289">
          <cell r="I2289" t="str">
            <v>CG</v>
          </cell>
          <cell r="N2289">
            <v>4</v>
          </cell>
        </row>
        <row r="2290">
          <cell r="I2290" t="str">
            <v>CG</v>
          </cell>
          <cell r="N2290">
            <v>4</v>
          </cell>
        </row>
        <row r="2291">
          <cell r="I2291" t="str">
            <v>CG</v>
          </cell>
          <cell r="N2291">
            <v>4</v>
          </cell>
        </row>
        <row r="2292">
          <cell r="I2292" t="str">
            <v>CG</v>
          </cell>
          <cell r="N2292">
            <v>4</v>
          </cell>
        </row>
        <row r="2293">
          <cell r="I2293" t="str">
            <v>CG</v>
          </cell>
          <cell r="N2293">
            <v>4</v>
          </cell>
        </row>
        <row r="2294">
          <cell r="I2294" t="str">
            <v>CG</v>
          </cell>
          <cell r="N2294">
            <v>4</v>
          </cell>
        </row>
        <row r="2295">
          <cell r="I2295" t="str">
            <v>CG</v>
          </cell>
          <cell r="N2295">
            <v>4</v>
          </cell>
        </row>
        <row r="2296">
          <cell r="I2296" t="str">
            <v>CG</v>
          </cell>
          <cell r="N2296">
            <v>4</v>
          </cell>
        </row>
        <row r="2297">
          <cell r="I2297" t="str">
            <v>CG</v>
          </cell>
          <cell r="N2297">
            <v>4</v>
          </cell>
        </row>
        <row r="2298">
          <cell r="I2298" t="str">
            <v>CG</v>
          </cell>
          <cell r="N2298">
            <v>4</v>
          </cell>
        </row>
        <row r="2299">
          <cell r="I2299" t="str">
            <v>CG</v>
          </cell>
          <cell r="N2299">
            <v>4</v>
          </cell>
        </row>
        <row r="2300">
          <cell r="I2300" t="str">
            <v>CG</v>
          </cell>
          <cell r="N2300">
            <v>4</v>
          </cell>
        </row>
        <row r="2301">
          <cell r="I2301" t="str">
            <v>CG</v>
          </cell>
          <cell r="N2301">
            <v>4</v>
          </cell>
        </row>
        <row r="2302">
          <cell r="I2302" t="str">
            <v>CG</v>
          </cell>
          <cell r="N2302">
            <v>4</v>
          </cell>
        </row>
        <row r="2303">
          <cell r="I2303" t="str">
            <v>CG</v>
          </cell>
          <cell r="N2303">
            <v>4</v>
          </cell>
        </row>
        <row r="2304">
          <cell r="I2304" t="str">
            <v>CG</v>
          </cell>
          <cell r="N2304">
            <v>4</v>
          </cell>
        </row>
        <row r="2305">
          <cell r="I2305" t="str">
            <v>CG</v>
          </cell>
          <cell r="N2305">
            <v>4</v>
          </cell>
        </row>
        <row r="2306">
          <cell r="I2306" t="str">
            <v>CG</v>
          </cell>
          <cell r="N2306">
            <v>4</v>
          </cell>
        </row>
        <row r="2307">
          <cell r="I2307" t="str">
            <v>CG</v>
          </cell>
          <cell r="N2307">
            <v>4</v>
          </cell>
        </row>
        <row r="2308">
          <cell r="I2308" t="str">
            <v>CG</v>
          </cell>
          <cell r="N2308">
            <v>4</v>
          </cell>
        </row>
        <row r="2309">
          <cell r="I2309" t="str">
            <v>CG</v>
          </cell>
          <cell r="N2309">
            <v>4</v>
          </cell>
        </row>
        <row r="2310">
          <cell r="I2310" t="str">
            <v>CG</v>
          </cell>
          <cell r="N2310">
            <v>2</v>
          </cell>
        </row>
        <row r="2311">
          <cell r="I2311" t="str">
            <v>CG</v>
          </cell>
          <cell r="N2311">
            <v>4</v>
          </cell>
        </row>
        <row r="2312">
          <cell r="I2312" t="str">
            <v>CG</v>
          </cell>
          <cell r="N2312">
            <v>2</v>
          </cell>
        </row>
        <row r="2313">
          <cell r="I2313" t="str">
            <v>CG</v>
          </cell>
          <cell r="N2313">
            <v>4</v>
          </cell>
        </row>
        <row r="2314">
          <cell r="I2314" t="str">
            <v>CG</v>
          </cell>
          <cell r="N2314">
            <v>4</v>
          </cell>
        </row>
        <row r="2315">
          <cell r="I2315" t="str">
            <v>CG</v>
          </cell>
          <cell r="N2315">
            <v>4</v>
          </cell>
        </row>
        <row r="2316">
          <cell r="I2316" t="str">
            <v>CG</v>
          </cell>
          <cell r="N2316">
            <v>4</v>
          </cell>
        </row>
        <row r="2317">
          <cell r="I2317" t="str">
            <v>CG</v>
          </cell>
          <cell r="N2317">
            <v>2</v>
          </cell>
        </row>
        <row r="2318">
          <cell r="I2318" t="str">
            <v>CG</v>
          </cell>
          <cell r="N2318">
            <v>4</v>
          </cell>
        </row>
        <row r="2319">
          <cell r="I2319" t="str">
            <v>CG</v>
          </cell>
          <cell r="N2319">
            <v>2</v>
          </cell>
        </row>
        <row r="2320">
          <cell r="I2320" t="str">
            <v>CG</v>
          </cell>
          <cell r="N2320">
            <v>4</v>
          </cell>
        </row>
        <row r="2321">
          <cell r="I2321" t="str">
            <v>CG</v>
          </cell>
          <cell r="N2321">
            <v>4</v>
          </cell>
        </row>
        <row r="2322">
          <cell r="I2322" t="str">
            <v>CG</v>
          </cell>
          <cell r="N2322">
            <v>4</v>
          </cell>
        </row>
        <row r="2323">
          <cell r="I2323" t="str">
            <v>CG</v>
          </cell>
          <cell r="N2323">
            <v>4</v>
          </cell>
        </row>
        <row r="2324">
          <cell r="I2324" t="str">
            <v>CG</v>
          </cell>
          <cell r="N2324">
            <v>4</v>
          </cell>
        </row>
        <row r="2325">
          <cell r="I2325" t="str">
            <v>CG</v>
          </cell>
          <cell r="N2325">
            <v>4</v>
          </cell>
        </row>
        <row r="2326">
          <cell r="I2326" t="str">
            <v>CG</v>
          </cell>
          <cell r="N2326">
            <v>4</v>
          </cell>
        </row>
        <row r="2327">
          <cell r="I2327" t="str">
            <v>CG</v>
          </cell>
          <cell r="N2327">
            <v>2</v>
          </cell>
        </row>
        <row r="2328">
          <cell r="I2328" t="str">
            <v>CG</v>
          </cell>
          <cell r="N2328">
            <v>4</v>
          </cell>
        </row>
        <row r="2329">
          <cell r="I2329" t="str">
            <v>CG</v>
          </cell>
          <cell r="N2329">
            <v>2</v>
          </cell>
        </row>
        <row r="2330">
          <cell r="I2330" t="str">
            <v>CG</v>
          </cell>
          <cell r="N2330">
            <v>4</v>
          </cell>
        </row>
        <row r="2331">
          <cell r="I2331" t="str">
            <v>CG</v>
          </cell>
          <cell r="N2331">
            <v>4</v>
          </cell>
        </row>
        <row r="2332">
          <cell r="I2332" t="str">
            <v>CG</v>
          </cell>
          <cell r="N2332">
            <v>4</v>
          </cell>
        </row>
        <row r="2333">
          <cell r="I2333" t="str">
            <v>CG</v>
          </cell>
          <cell r="N2333">
            <v>4</v>
          </cell>
        </row>
        <row r="2334">
          <cell r="I2334" t="str">
            <v>CG</v>
          </cell>
          <cell r="N2334">
            <v>4</v>
          </cell>
        </row>
        <row r="2335">
          <cell r="I2335" t="str">
            <v>CG</v>
          </cell>
          <cell r="N2335">
            <v>4</v>
          </cell>
        </row>
        <row r="2336">
          <cell r="I2336" t="str">
            <v>CG</v>
          </cell>
          <cell r="N2336">
            <v>4</v>
          </cell>
        </row>
        <row r="2337">
          <cell r="I2337" t="str">
            <v>CG</v>
          </cell>
          <cell r="N2337">
            <v>4</v>
          </cell>
        </row>
        <row r="2338">
          <cell r="I2338" t="str">
            <v>CG</v>
          </cell>
          <cell r="N2338">
            <v>4</v>
          </cell>
        </row>
        <row r="2339">
          <cell r="I2339" t="str">
            <v>CG</v>
          </cell>
          <cell r="N2339">
            <v>4</v>
          </cell>
        </row>
        <row r="2340">
          <cell r="I2340" t="str">
            <v>CG</v>
          </cell>
          <cell r="N2340">
            <v>4</v>
          </cell>
        </row>
        <row r="2341">
          <cell r="I2341" t="str">
            <v>CG</v>
          </cell>
          <cell r="N2341">
            <v>4</v>
          </cell>
        </row>
        <row r="2342">
          <cell r="I2342" t="str">
            <v>CG</v>
          </cell>
          <cell r="N2342">
            <v>1</v>
          </cell>
        </row>
        <row r="2343">
          <cell r="I2343" t="str">
            <v>CG</v>
          </cell>
          <cell r="N2343">
            <v>4</v>
          </cell>
        </row>
        <row r="2344">
          <cell r="I2344" t="str">
            <v>CG</v>
          </cell>
          <cell r="N2344">
            <v>4</v>
          </cell>
        </row>
        <row r="2345">
          <cell r="I2345" t="str">
            <v>CG</v>
          </cell>
          <cell r="N2345">
            <v>4</v>
          </cell>
        </row>
        <row r="2346">
          <cell r="I2346" t="str">
            <v>CG</v>
          </cell>
          <cell r="N2346">
            <v>4</v>
          </cell>
        </row>
        <row r="2347">
          <cell r="I2347" t="str">
            <v>CG</v>
          </cell>
          <cell r="N2347">
            <v>4</v>
          </cell>
        </row>
        <row r="2348">
          <cell r="I2348" t="str">
            <v>CG</v>
          </cell>
          <cell r="N2348">
            <v>1</v>
          </cell>
        </row>
        <row r="2349">
          <cell r="I2349" t="str">
            <v>CG</v>
          </cell>
          <cell r="N2349">
            <v>4</v>
          </cell>
        </row>
        <row r="2350">
          <cell r="I2350" t="str">
            <v>CG</v>
          </cell>
          <cell r="N2350">
            <v>4</v>
          </cell>
        </row>
        <row r="2351">
          <cell r="I2351" t="str">
            <v>CG</v>
          </cell>
          <cell r="N2351">
            <v>4</v>
          </cell>
        </row>
        <row r="2352">
          <cell r="I2352" t="str">
            <v>CG</v>
          </cell>
          <cell r="N2352">
            <v>4</v>
          </cell>
        </row>
        <row r="2353">
          <cell r="I2353" t="str">
            <v>CG</v>
          </cell>
          <cell r="N2353">
            <v>4</v>
          </cell>
        </row>
        <row r="2354">
          <cell r="I2354" t="str">
            <v>CG</v>
          </cell>
          <cell r="N2354">
            <v>4</v>
          </cell>
        </row>
        <row r="2355">
          <cell r="I2355" t="str">
            <v>CG</v>
          </cell>
          <cell r="N2355">
            <v>1</v>
          </cell>
        </row>
        <row r="2356">
          <cell r="I2356" t="str">
            <v>CG</v>
          </cell>
          <cell r="N2356">
            <v>1</v>
          </cell>
        </row>
        <row r="2357">
          <cell r="I2357" t="str">
            <v>CG</v>
          </cell>
          <cell r="N2357">
            <v>4</v>
          </cell>
        </row>
        <row r="2358">
          <cell r="I2358" t="str">
            <v>CG</v>
          </cell>
          <cell r="N2358">
            <v>4</v>
          </cell>
        </row>
        <row r="2359">
          <cell r="I2359" t="str">
            <v>CG</v>
          </cell>
          <cell r="N2359">
            <v>4</v>
          </cell>
        </row>
        <row r="2360">
          <cell r="I2360" t="str">
            <v>CG</v>
          </cell>
          <cell r="N2360">
            <v>1</v>
          </cell>
        </row>
        <row r="2361">
          <cell r="I2361" t="str">
            <v>CG</v>
          </cell>
          <cell r="N2361">
            <v>1</v>
          </cell>
        </row>
        <row r="2362">
          <cell r="I2362" t="str">
            <v>CG</v>
          </cell>
          <cell r="N2362">
            <v>1</v>
          </cell>
        </row>
        <row r="2363">
          <cell r="I2363" t="str">
            <v>CG</v>
          </cell>
          <cell r="N2363">
            <v>4</v>
          </cell>
        </row>
        <row r="2364">
          <cell r="I2364" t="str">
            <v>CG</v>
          </cell>
          <cell r="N2364">
            <v>1</v>
          </cell>
        </row>
        <row r="2365">
          <cell r="I2365" t="str">
            <v>CG</v>
          </cell>
          <cell r="N2365">
            <v>4</v>
          </cell>
        </row>
        <row r="2366">
          <cell r="I2366" t="str">
            <v>CG</v>
          </cell>
          <cell r="N2366">
            <v>2</v>
          </cell>
        </row>
        <row r="2367">
          <cell r="I2367" t="str">
            <v>CG</v>
          </cell>
          <cell r="N2367">
            <v>4</v>
          </cell>
        </row>
        <row r="2368">
          <cell r="I2368" t="str">
            <v>CG</v>
          </cell>
          <cell r="N2368">
            <v>1</v>
          </cell>
        </row>
        <row r="2369">
          <cell r="I2369" t="str">
            <v>CG</v>
          </cell>
          <cell r="N2369">
            <v>4</v>
          </cell>
        </row>
        <row r="2370">
          <cell r="I2370" t="str">
            <v>CG</v>
          </cell>
          <cell r="N2370">
            <v>3</v>
          </cell>
        </row>
        <row r="2371">
          <cell r="I2371" t="str">
            <v>CG</v>
          </cell>
          <cell r="N2371">
            <v>4</v>
          </cell>
        </row>
        <row r="2372">
          <cell r="I2372" t="str">
            <v>CG</v>
          </cell>
          <cell r="N2372">
            <v>4</v>
          </cell>
        </row>
        <row r="2373">
          <cell r="I2373" t="str">
            <v>CG</v>
          </cell>
          <cell r="N2373">
            <v>4</v>
          </cell>
        </row>
        <row r="2374">
          <cell r="I2374" t="str">
            <v>CG</v>
          </cell>
          <cell r="N2374">
            <v>4</v>
          </cell>
        </row>
        <row r="2375">
          <cell r="I2375" t="str">
            <v>CG</v>
          </cell>
          <cell r="N2375">
            <v>4</v>
          </cell>
        </row>
        <row r="2376">
          <cell r="I2376" t="str">
            <v>CG</v>
          </cell>
          <cell r="N2376">
            <v>4</v>
          </cell>
        </row>
        <row r="2377">
          <cell r="I2377" t="str">
            <v>CG</v>
          </cell>
          <cell r="N2377">
            <v>4</v>
          </cell>
        </row>
        <row r="2378">
          <cell r="I2378" t="str">
            <v>CG</v>
          </cell>
          <cell r="N2378">
            <v>4</v>
          </cell>
        </row>
        <row r="2379">
          <cell r="I2379" t="str">
            <v>CG</v>
          </cell>
          <cell r="N2379">
            <v>4</v>
          </cell>
        </row>
        <row r="2380">
          <cell r="I2380" t="str">
            <v>CG</v>
          </cell>
          <cell r="N2380">
            <v>4</v>
          </cell>
        </row>
        <row r="2381">
          <cell r="I2381" t="str">
            <v>CG</v>
          </cell>
          <cell r="N2381">
            <v>4</v>
          </cell>
        </row>
        <row r="2382">
          <cell r="I2382" t="str">
            <v>CG</v>
          </cell>
          <cell r="N2382">
            <v>4</v>
          </cell>
        </row>
        <row r="2383">
          <cell r="I2383" t="str">
            <v>CG</v>
          </cell>
          <cell r="N2383">
            <v>2</v>
          </cell>
        </row>
        <row r="2384">
          <cell r="I2384" t="str">
            <v>CG</v>
          </cell>
          <cell r="N2384">
            <v>4</v>
          </cell>
        </row>
        <row r="2385">
          <cell r="I2385" t="str">
            <v>CG</v>
          </cell>
          <cell r="N2385">
            <v>4</v>
          </cell>
        </row>
        <row r="2386">
          <cell r="I2386" t="str">
            <v>CG</v>
          </cell>
          <cell r="N2386">
            <v>1</v>
          </cell>
        </row>
        <row r="2387">
          <cell r="I2387" t="str">
            <v>CG</v>
          </cell>
          <cell r="N2387">
            <v>4</v>
          </cell>
        </row>
        <row r="2388">
          <cell r="I2388" t="str">
            <v>CG</v>
          </cell>
          <cell r="N2388">
            <v>4</v>
          </cell>
        </row>
        <row r="2389">
          <cell r="I2389" t="str">
            <v>CG</v>
          </cell>
          <cell r="N2389">
            <v>4</v>
          </cell>
        </row>
        <row r="2390">
          <cell r="I2390" t="str">
            <v>CG</v>
          </cell>
          <cell r="N2390">
            <v>4</v>
          </cell>
        </row>
        <row r="2391">
          <cell r="I2391" t="str">
            <v>CG</v>
          </cell>
          <cell r="N2391">
            <v>4</v>
          </cell>
        </row>
        <row r="2392">
          <cell r="I2392" t="str">
            <v>CG</v>
          </cell>
          <cell r="N2392">
            <v>4</v>
          </cell>
        </row>
        <row r="2393">
          <cell r="I2393" t="str">
            <v>CG</v>
          </cell>
          <cell r="N2393">
            <v>4</v>
          </cell>
        </row>
        <row r="2394">
          <cell r="I2394" t="str">
            <v>CG</v>
          </cell>
          <cell r="N2394">
            <v>4</v>
          </cell>
        </row>
        <row r="2395">
          <cell r="I2395" t="str">
            <v>CG</v>
          </cell>
          <cell r="N2395">
            <v>4</v>
          </cell>
        </row>
        <row r="2396">
          <cell r="I2396" t="str">
            <v>CG</v>
          </cell>
          <cell r="N2396">
            <v>4</v>
          </cell>
        </row>
        <row r="2397">
          <cell r="I2397" t="str">
            <v>CG</v>
          </cell>
          <cell r="N2397">
            <v>4</v>
          </cell>
        </row>
        <row r="2398">
          <cell r="I2398" t="str">
            <v>CG</v>
          </cell>
          <cell r="N2398">
            <v>4</v>
          </cell>
        </row>
        <row r="2399">
          <cell r="I2399" t="str">
            <v>CG</v>
          </cell>
          <cell r="N2399">
            <v>1</v>
          </cell>
        </row>
        <row r="2400">
          <cell r="I2400" t="str">
            <v>CG</v>
          </cell>
          <cell r="N2400">
            <v>4</v>
          </cell>
        </row>
        <row r="2401">
          <cell r="I2401" t="str">
            <v>CG</v>
          </cell>
          <cell r="N2401">
            <v>4</v>
          </cell>
        </row>
        <row r="2402">
          <cell r="I2402" t="str">
            <v>CG</v>
          </cell>
          <cell r="N2402">
            <v>1</v>
          </cell>
        </row>
        <row r="2403">
          <cell r="I2403" t="str">
            <v>CG</v>
          </cell>
          <cell r="N2403">
            <v>4</v>
          </cell>
        </row>
        <row r="2404">
          <cell r="I2404" t="str">
            <v>CG</v>
          </cell>
          <cell r="N2404">
            <v>4</v>
          </cell>
        </row>
        <row r="2405">
          <cell r="I2405" t="str">
            <v>CG</v>
          </cell>
          <cell r="N2405">
            <v>4</v>
          </cell>
        </row>
        <row r="2406">
          <cell r="I2406" t="str">
            <v>CG</v>
          </cell>
          <cell r="N2406">
            <v>4</v>
          </cell>
        </row>
        <row r="2407">
          <cell r="I2407" t="str">
            <v>CG</v>
          </cell>
          <cell r="N2407">
            <v>4</v>
          </cell>
        </row>
        <row r="2408">
          <cell r="I2408" t="str">
            <v>CG</v>
          </cell>
          <cell r="N2408">
            <v>4</v>
          </cell>
        </row>
        <row r="2409">
          <cell r="I2409" t="str">
            <v>CG</v>
          </cell>
          <cell r="N2409">
            <v>4</v>
          </cell>
        </row>
        <row r="2410">
          <cell r="I2410" t="str">
            <v>CG</v>
          </cell>
          <cell r="N2410">
            <v>4</v>
          </cell>
        </row>
        <row r="2411">
          <cell r="I2411" t="str">
            <v>CG</v>
          </cell>
          <cell r="N2411">
            <v>4</v>
          </cell>
        </row>
        <row r="2412">
          <cell r="I2412" t="str">
            <v>CG</v>
          </cell>
          <cell r="N2412">
            <v>4</v>
          </cell>
        </row>
        <row r="2413">
          <cell r="I2413" t="str">
            <v>CG</v>
          </cell>
          <cell r="N2413">
            <v>4</v>
          </cell>
        </row>
        <row r="2414">
          <cell r="I2414" t="str">
            <v>CG</v>
          </cell>
          <cell r="N2414">
            <v>4</v>
          </cell>
        </row>
        <row r="2415">
          <cell r="I2415" t="str">
            <v>CG</v>
          </cell>
          <cell r="N2415">
            <v>4</v>
          </cell>
        </row>
        <row r="2416">
          <cell r="I2416" t="str">
            <v>CG</v>
          </cell>
          <cell r="N2416">
            <v>4</v>
          </cell>
        </row>
        <row r="2417">
          <cell r="I2417" t="str">
            <v>CG</v>
          </cell>
          <cell r="N2417">
            <v>4</v>
          </cell>
        </row>
        <row r="2418">
          <cell r="I2418" t="str">
            <v>CG</v>
          </cell>
          <cell r="N2418">
            <v>4</v>
          </cell>
        </row>
        <row r="2419">
          <cell r="I2419" t="str">
            <v>CG</v>
          </cell>
          <cell r="N2419">
            <v>4</v>
          </cell>
        </row>
        <row r="2420">
          <cell r="I2420" t="str">
            <v>CG</v>
          </cell>
          <cell r="N2420">
            <v>4</v>
          </cell>
        </row>
        <row r="2421">
          <cell r="I2421" t="str">
            <v>CG</v>
          </cell>
          <cell r="N2421">
            <v>1</v>
          </cell>
        </row>
        <row r="2422">
          <cell r="I2422" t="str">
            <v>CG</v>
          </cell>
          <cell r="N2422">
            <v>5</v>
          </cell>
        </row>
        <row r="2423">
          <cell r="I2423" t="str">
            <v>CG</v>
          </cell>
          <cell r="N2423">
            <v>4</v>
          </cell>
        </row>
        <row r="2424">
          <cell r="I2424" t="str">
            <v>CG</v>
          </cell>
          <cell r="N2424">
            <v>4</v>
          </cell>
        </row>
        <row r="2425">
          <cell r="I2425" t="str">
            <v>CG</v>
          </cell>
          <cell r="N2425">
            <v>5</v>
          </cell>
        </row>
        <row r="2426">
          <cell r="I2426" t="str">
            <v>CG</v>
          </cell>
          <cell r="N2426">
            <v>4</v>
          </cell>
        </row>
        <row r="2427">
          <cell r="I2427" t="str">
            <v>CG</v>
          </cell>
          <cell r="N2427">
            <v>4</v>
          </cell>
        </row>
        <row r="2428">
          <cell r="I2428" t="str">
            <v>CG</v>
          </cell>
          <cell r="N2428">
            <v>4</v>
          </cell>
        </row>
        <row r="2429">
          <cell r="I2429" t="str">
            <v>CG</v>
          </cell>
          <cell r="N2429">
            <v>5</v>
          </cell>
        </row>
        <row r="2430">
          <cell r="I2430" t="str">
            <v>CG</v>
          </cell>
          <cell r="N2430">
            <v>4</v>
          </cell>
        </row>
        <row r="2431">
          <cell r="I2431" t="str">
            <v>CG</v>
          </cell>
          <cell r="N2431">
            <v>4</v>
          </cell>
        </row>
        <row r="2432">
          <cell r="I2432" t="str">
            <v>CG</v>
          </cell>
          <cell r="N2432">
            <v>5</v>
          </cell>
        </row>
        <row r="2433">
          <cell r="I2433" t="str">
            <v>CG</v>
          </cell>
          <cell r="N2433">
            <v>5</v>
          </cell>
        </row>
        <row r="2434">
          <cell r="I2434" t="str">
            <v>CG</v>
          </cell>
          <cell r="N2434">
            <v>4</v>
          </cell>
        </row>
        <row r="2435">
          <cell r="I2435" t="str">
            <v>CG</v>
          </cell>
          <cell r="N2435">
            <v>5</v>
          </cell>
        </row>
        <row r="2436">
          <cell r="I2436" t="str">
            <v>CG</v>
          </cell>
          <cell r="N2436">
            <v>1</v>
          </cell>
        </row>
        <row r="2437">
          <cell r="I2437" t="str">
            <v>CG</v>
          </cell>
          <cell r="N2437">
            <v>1</v>
          </cell>
        </row>
        <row r="2438">
          <cell r="I2438" t="str">
            <v>CG</v>
          </cell>
          <cell r="N2438">
            <v>4</v>
          </cell>
        </row>
        <row r="2439">
          <cell r="I2439" t="str">
            <v>CG</v>
          </cell>
          <cell r="N2439">
            <v>1</v>
          </cell>
        </row>
        <row r="2440">
          <cell r="I2440" t="str">
            <v>CG</v>
          </cell>
          <cell r="N2440">
            <v>1</v>
          </cell>
        </row>
        <row r="2441">
          <cell r="I2441" t="str">
            <v>CG</v>
          </cell>
          <cell r="N2441">
            <v>1</v>
          </cell>
        </row>
        <row r="2442">
          <cell r="I2442" t="str">
            <v>CG</v>
          </cell>
          <cell r="N2442">
            <v>4</v>
          </cell>
        </row>
        <row r="2443">
          <cell r="I2443" t="str">
            <v>CG</v>
          </cell>
          <cell r="N2443">
            <v>4</v>
          </cell>
        </row>
        <row r="2444">
          <cell r="I2444" t="str">
            <v>CG</v>
          </cell>
          <cell r="N2444">
            <v>4</v>
          </cell>
        </row>
        <row r="2445">
          <cell r="I2445" t="str">
            <v>CG</v>
          </cell>
          <cell r="N2445">
            <v>4</v>
          </cell>
        </row>
        <row r="2446">
          <cell r="I2446" t="str">
            <v>CG</v>
          </cell>
          <cell r="N2446">
            <v>4</v>
          </cell>
        </row>
        <row r="2447">
          <cell r="I2447" t="str">
            <v>CG</v>
          </cell>
          <cell r="N2447">
            <v>4</v>
          </cell>
        </row>
        <row r="2448">
          <cell r="I2448" t="str">
            <v>CG</v>
          </cell>
          <cell r="N2448">
            <v>4</v>
          </cell>
        </row>
        <row r="2449">
          <cell r="I2449" t="str">
            <v>CG</v>
          </cell>
          <cell r="N2449">
            <v>4</v>
          </cell>
        </row>
        <row r="2450">
          <cell r="I2450" t="str">
            <v>CG</v>
          </cell>
          <cell r="N2450">
            <v>4</v>
          </cell>
        </row>
        <row r="2451">
          <cell r="I2451" t="str">
            <v>CG</v>
          </cell>
          <cell r="N2451">
            <v>4</v>
          </cell>
        </row>
        <row r="2452">
          <cell r="I2452" t="str">
            <v>CG</v>
          </cell>
          <cell r="N2452">
            <v>4</v>
          </cell>
        </row>
        <row r="2453">
          <cell r="I2453" t="str">
            <v>CG</v>
          </cell>
          <cell r="N2453">
            <v>4</v>
          </cell>
        </row>
        <row r="2454">
          <cell r="I2454" t="str">
            <v>CG</v>
          </cell>
          <cell r="N2454">
            <v>4</v>
          </cell>
        </row>
        <row r="2455">
          <cell r="I2455" t="str">
            <v>CG</v>
          </cell>
          <cell r="N2455">
            <v>4</v>
          </cell>
        </row>
        <row r="2456">
          <cell r="I2456" t="str">
            <v>CG</v>
          </cell>
          <cell r="N2456">
            <v>4</v>
          </cell>
        </row>
        <row r="2457">
          <cell r="I2457" t="str">
            <v>CG</v>
          </cell>
          <cell r="N2457">
            <v>4</v>
          </cell>
        </row>
        <row r="2458">
          <cell r="I2458" t="str">
            <v>CG</v>
          </cell>
          <cell r="N2458">
            <v>4</v>
          </cell>
        </row>
        <row r="2459">
          <cell r="I2459" t="str">
            <v>CG</v>
          </cell>
          <cell r="N2459">
            <v>4</v>
          </cell>
        </row>
        <row r="2460">
          <cell r="I2460" t="str">
            <v>CG</v>
          </cell>
          <cell r="N2460">
            <v>4</v>
          </cell>
        </row>
        <row r="2461">
          <cell r="I2461" t="str">
            <v>CG</v>
          </cell>
          <cell r="N2461">
            <v>4</v>
          </cell>
        </row>
        <row r="2462">
          <cell r="I2462" t="str">
            <v>CG</v>
          </cell>
          <cell r="N2462">
            <v>4</v>
          </cell>
        </row>
        <row r="2463">
          <cell r="I2463" t="str">
            <v>CG</v>
          </cell>
          <cell r="N2463">
            <v>4</v>
          </cell>
        </row>
        <row r="2464">
          <cell r="I2464" t="str">
            <v>CG</v>
          </cell>
          <cell r="N2464">
            <v>4</v>
          </cell>
        </row>
        <row r="2465">
          <cell r="I2465" t="str">
            <v>CG</v>
          </cell>
          <cell r="N2465">
            <v>4</v>
          </cell>
        </row>
        <row r="2466">
          <cell r="I2466" t="str">
            <v>CG</v>
          </cell>
          <cell r="N2466">
            <v>4</v>
          </cell>
        </row>
        <row r="2467">
          <cell r="I2467" t="str">
            <v>CG</v>
          </cell>
          <cell r="N2467">
            <v>4</v>
          </cell>
        </row>
        <row r="2468">
          <cell r="I2468" t="str">
            <v>CG</v>
          </cell>
          <cell r="N2468">
            <v>4</v>
          </cell>
        </row>
        <row r="2469">
          <cell r="I2469" t="str">
            <v>CG</v>
          </cell>
          <cell r="N2469">
            <v>4</v>
          </cell>
        </row>
        <row r="2470">
          <cell r="I2470" t="str">
            <v>CG</v>
          </cell>
          <cell r="N2470">
            <v>4</v>
          </cell>
        </row>
        <row r="2471">
          <cell r="I2471" t="str">
            <v>CG</v>
          </cell>
          <cell r="N2471">
            <v>4</v>
          </cell>
        </row>
        <row r="2472">
          <cell r="I2472" t="str">
            <v>CG</v>
          </cell>
          <cell r="N2472">
            <v>4</v>
          </cell>
        </row>
        <row r="2473">
          <cell r="I2473" t="str">
            <v>CG</v>
          </cell>
          <cell r="N2473">
            <v>4</v>
          </cell>
        </row>
        <row r="2474">
          <cell r="I2474" t="str">
            <v>CG</v>
          </cell>
          <cell r="N2474">
            <v>4</v>
          </cell>
        </row>
        <row r="2475">
          <cell r="I2475" t="str">
            <v>CG</v>
          </cell>
          <cell r="N2475">
            <v>4</v>
          </cell>
        </row>
        <row r="2476">
          <cell r="I2476" t="str">
            <v>CG</v>
          </cell>
          <cell r="N2476">
            <v>4</v>
          </cell>
        </row>
        <row r="2477">
          <cell r="I2477" t="str">
            <v>CG</v>
          </cell>
          <cell r="N2477">
            <v>4</v>
          </cell>
        </row>
        <row r="2478">
          <cell r="I2478" t="str">
            <v>CG</v>
          </cell>
          <cell r="N2478">
            <v>4</v>
          </cell>
        </row>
        <row r="2479">
          <cell r="I2479" t="str">
            <v>CG</v>
          </cell>
          <cell r="N2479">
            <v>4</v>
          </cell>
        </row>
        <row r="2480">
          <cell r="I2480" t="str">
            <v>CG</v>
          </cell>
          <cell r="N2480">
            <v>4</v>
          </cell>
        </row>
        <row r="2481">
          <cell r="I2481" t="str">
            <v>CG</v>
          </cell>
          <cell r="N2481">
            <v>4</v>
          </cell>
        </row>
        <row r="2482">
          <cell r="I2482" t="str">
            <v>CG</v>
          </cell>
          <cell r="N2482">
            <v>4</v>
          </cell>
        </row>
        <row r="2483">
          <cell r="I2483" t="str">
            <v>CG</v>
          </cell>
          <cell r="N2483">
            <v>4</v>
          </cell>
        </row>
        <row r="2484">
          <cell r="I2484" t="str">
            <v>CG</v>
          </cell>
          <cell r="N2484">
            <v>4</v>
          </cell>
        </row>
        <row r="2485">
          <cell r="I2485" t="str">
            <v>CG</v>
          </cell>
          <cell r="N2485">
            <v>4</v>
          </cell>
        </row>
        <row r="2486">
          <cell r="I2486" t="str">
            <v>CG</v>
          </cell>
          <cell r="N2486">
            <v>4</v>
          </cell>
        </row>
        <row r="2487">
          <cell r="I2487" t="str">
            <v>CG</v>
          </cell>
          <cell r="N2487">
            <v>4</v>
          </cell>
        </row>
        <row r="2488">
          <cell r="I2488" t="str">
            <v>CG</v>
          </cell>
          <cell r="N2488">
            <v>4</v>
          </cell>
        </row>
        <row r="2489">
          <cell r="I2489" t="str">
            <v>CG</v>
          </cell>
          <cell r="N2489">
            <v>2</v>
          </cell>
        </row>
        <row r="2490">
          <cell r="I2490" t="str">
            <v>CG</v>
          </cell>
          <cell r="N2490">
            <v>1</v>
          </cell>
        </row>
        <row r="2491">
          <cell r="I2491" t="str">
            <v>CG</v>
          </cell>
          <cell r="N2491">
            <v>1</v>
          </cell>
        </row>
        <row r="2492">
          <cell r="I2492" t="str">
            <v>CG</v>
          </cell>
          <cell r="N2492">
            <v>1</v>
          </cell>
        </row>
        <row r="2493">
          <cell r="I2493" t="str">
            <v>CG</v>
          </cell>
          <cell r="N2493">
            <v>1</v>
          </cell>
        </row>
        <row r="2494">
          <cell r="I2494" t="str">
            <v>CG</v>
          </cell>
          <cell r="N2494">
            <v>1</v>
          </cell>
        </row>
        <row r="2495">
          <cell r="I2495" t="str">
            <v>CG</v>
          </cell>
          <cell r="N2495">
            <v>1</v>
          </cell>
        </row>
        <row r="2496">
          <cell r="I2496" t="str">
            <v>CG</v>
          </cell>
          <cell r="N2496">
            <v>1</v>
          </cell>
        </row>
        <row r="2497">
          <cell r="I2497" t="str">
            <v>CG</v>
          </cell>
          <cell r="N2497">
            <v>1</v>
          </cell>
        </row>
        <row r="2498">
          <cell r="I2498" t="str">
            <v>CG</v>
          </cell>
          <cell r="N2498">
            <v>1</v>
          </cell>
        </row>
        <row r="2499">
          <cell r="I2499" t="str">
            <v>CG</v>
          </cell>
          <cell r="N2499">
            <v>1</v>
          </cell>
        </row>
        <row r="2500">
          <cell r="I2500" t="str">
            <v>CG</v>
          </cell>
          <cell r="N2500">
            <v>1</v>
          </cell>
        </row>
        <row r="2501">
          <cell r="I2501" t="str">
            <v>CG</v>
          </cell>
          <cell r="N2501">
            <v>1</v>
          </cell>
        </row>
        <row r="2502">
          <cell r="I2502" t="str">
            <v>CG</v>
          </cell>
          <cell r="N2502">
            <v>1</v>
          </cell>
        </row>
        <row r="2503">
          <cell r="I2503" t="str">
            <v>CG</v>
          </cell>
          <cell r="N2503">
            <v>1</v>
          </cell>
        </row>
        <row r="2504">
          <cell r="I2504" t="str">
            <v>CG</v>
          </cell>
          <cell r="N2504">
            <v>1</v>
          </cell>
        </row>
        <row r="2505">
          <cell r="I2505" t="str">
            <v>CG</v>
          </cell>
          <cell r="N2505">
            <v>1</v>
          </cell>
        </row>
        <row r="2506">
          <cell r="I2506" t="str">
            <v>CG</v>
          </cell>
          <cell r="N2506">
            <v>1</v>
          </cell>
        </row>
        <row r="2507">
          <cell r="I2507" t="str">
            <v>CG</v>
          </cell>
          <cell r="N2507">
            <v>1</v>
          </cell>
        </row>
        <row r="2508">
          <cell r="I2508" t="str">
            <v>CG</v>
          </cell>
          <cell r="N2508">
            <v>1</v>
          </cell>
        </row>
        <row r="2509">
          <cell r="I2509" t="str">
            <v>CG</v>
          </cell>
          <cell r="N2509">
            <v>1</v>
          </cell>
        </row>
        <row r="2510">
          <cell r="I2510" t="str">
            <v>CG</v>
          </cell>
          <cell r="N2510">
            <v>1</v>
          </cell>
        </row>
        <row r="2511">
          <cell r="I2511" t="str">
            <v>CG</v>
          </cell>
          <cell r="N2511">
            <v>1</v>
          </cell>
        </row>
        <row r="2512">
          <cell r="I2512" t="str">
            <v>CG</v>
          </cell>
          <cell r="N2512">
            <v>1</v>
          </cell>
        </row>
        <row r="2513">
          <cell r="I2513" t="str">
            <v>CG</v>
          </cell>
          <cell r="N2513">
            <v>1</v>
          </cell>
        </row>
        <row r="2514">
          <cell r="I2514" t="str">
            <v>CG</v>
          </cell>
          <cell r="N2514">
            <v>1</v>
          </cell>
        </row>
        <row r="2515">
          <cell r="I2515" t="str">
            <v>CG</v>
          </cell>
          <cell r="N2515">
            <v>1</v>
          </cell>
        </row>
        <row r="2516">
          <cell r="I2516" t="str">
            <v>CG</v>
          </cell>
          <cell r="N2516">
            <v>1</v>
          </cell>
        </row>
        <row r="2517">
          <cell r="I2517" t="str">
            <v>CG</v>
          </cell>
          <cell r="N2517">
            <v>1</v>
          </cell>
        </row>
        <row r="2518">
          <cell r="I2518" t="str">
            <v>CG</v>
          </cell>
          <cell r="N2518">
            <v>1</v>
          </cell>
        </row>
        <row r="2519">
          <cell r="I2519" t="str">
            <v>CG</v>
          </cell>
          <cell r="N2519">
            <v>1</v>
          </cell>
        </row>
        <row r="2520">
          <cell r="I2520" t="str">
            <v>CG</v>
          </cell>
          <cell r="N2520">
            <v>1</v>
          </cell>
        </row>
        <row r="2521">
          <cell r="I2521" t="str">
            <v>CG</v>
          </cell>
          <cell r="N2521">
            <v>4</v>
          </cell>
        </row>
        <row r="2522">
          <cell r="I2522" t="str">
            <v>CG</v>
          </cell>
          <cell r="N2522">
            <v>4</v>
          </cell>
        </row>
        <row r="2523">
          <cell r="I2523" t="str">
            <v>CG</v>
          </cell>
          <cell r="N2523">
            <v>4</v>
          </cell>
        </row>
        <row r="2524">
          <cell r="I2524" t="str">
            <v>CG</v>
          </cell>
          <cell r="N2524">
            <v>4</v>
          </cell>
        </row>
        <row r="2525">
          <cell r="I2525" t="str">
            <v>CG</v>
          </cell>
          <cell r="N2525">
            <v>4</v>
          </cell>
        </row>
        <row r="2526">
          <cell r="I2526" t="str">
            <v>CG</v>
          </cell>
          <cell r="N2526">
            <v>4</v>
          </cell>
        </row>
        <row r="2527">
          <cell r="I2527" t="str">
            <v>CG</v>
          </cell>
          <cell r="N2527">
            <v>4</v>
          </cell>
        </row>
        <row r="2528">
          <cell r="I2528" t="str">
            <v>CG</v>
          </cell>
          <cell r="N2528">
            <v>4</v>
          </cell>
        </row>
        <row r="2529">
          <cell r="I2529" t="str">
            <v>CG</v>
          </cell>
          <cell r="N2529">
            <v>4</v>
          </cell>
        </row>
        <row r="2530">
          <cell r="I2530" t="str">
            <v>CG</v>
          </cell>
          <cell r="N2530">
            <v>4</v>
          </cell>
        </row>
        <row r="2531">
          <cell r="I2531" t="str">
            <v>CG</v>
          </cell>
          <cell r="N2531">
            <v>4</v>
          </cell>
        </row>
        <row r="2532">
          <cell r="I2532" t="str">
            <v>CG</v>
          </cell>
          <cell r="N2532">
            <v>4</v>
          </cell>
        </row>
        <row r="2533">
          <cell r="I2533" t="str">
            <v>CG</v>
          </cell>
          <cell r="N2533">
            <v>4</v>
          </cell>
        </row>
        <row r="2534">
          <cell r="I2534" t="str">
            <v>CG</v>
          </cell>
          <cell r="N2534">
            <v>4</v>
          </cell>
        </row>
        <row r="2535">
          <cell r="I2535" t="str">
            <v>CG</v>
          </cell>
          <cell r="N2535">
            <v>4</v>
          </cell>
        </row>
        <row r="2536">
          <cell r="I2536" t="str">
            <v>CG</v>
          </cell>
          <cell r="N2536">
            <v>1</v>
          </cell>
        </row>
        <row r="2537">
          <cell r="I2537" t="str">
            <v>CG</v>
          </cell>
          <cell r="N2537">
            <v>4</v>
          </cell>
        </row>
        <row r="2538">
          <cell r="I2538" t="str">
            <v>CG</v>
          </cell>
          <cell r="N2538">
            <v>4</v>
          </cell>
        </row>
        <row r="2539">
          <cell r="I2539" t="str">
            <v>CG</v>
          </cell>
          <cell r="N2539">
            <v>1</v>
          </cell>
        </row>
        <row r="2540">
          <cell r="I2540" t="str">
            <v>CG</v>
          </cell>
          <cell r="N2540">
            <v>1</v>
          </cell>
        </row>
        <row r="2541">
          <cell r="I2541" t="str">
            <v>CG</v>
          </cell>
          <cell r="N2541">
            <v>2</v>
          </cell>
        </row>
        <row r="2542">
          <cell r="I2542" t="str">
            <v>CG</v>
          </cell>
          <cell r="N2542">
            <v>4</v>
          </cell>
        </row>
        <row r="2543">
          <cell r="I2543" t="str">
            <v>CG</v>
          </cell>
          <cell r="N2543">
            <v>4</v>
          </cell>
        </row>
        <row r="2544">
          <cell r="I2544" t="str">
            <v>CG</v>
          </cell>
          <cell r="N2544">
            <v>4</v>
          </cell>
        </row>
        <row r="2545">
          <cell r="I2545" t="str">
            <v>CG</v>
          </cell>
          <cell r="N2545">
            <v>4</v>
          </cell>
        </row>
        <row r="2546">
          <cell r="I2546" t="str">
            <v>CG</v>
          </cell>
          <cell r="N2546">
            <v>1</v>
          </cell>
        </row>
        <row r="2547">
          <cell r="I2547" t="str">
            <v>CG</v>
          </cell>
          <cell r="N2547">
            <v>4</v>
          </cell>
        </row>
        <row r="2548">
          <cell r="I2548" t="str">
            <v>CG</v>
          </cell>
          <cell r="N2548">
            <v>2</v>
          </cell>
        </row>
        <row r="2549">
          <cell r="I2549" t="str">
            <v>CG</v>
          </cell>
          <cell r="N2549">
            <v>2</v>
          </cell>
        </row>
        <row r="2550">
          <cell r="I2550" t="str">
            <v>CG</v>
          </cell>
          <cell r="N2550">
            <v>4</v>
          </cell>
        </row>
        <row r="2551">
          <cell r="I2551" t="str">
            <v>CG</v>
          </cell>
          <cell r="N2551">
            <v>4</v>
          </cell>
        </row>
        <row r="2552">
          <cell r="I2552" t="str">
            <v>CG</v>
          </cell>
          <cell r="N2552">
            <v>4</v>
          </cell>
        </row>
        <row r="2553">
          <cell r="I2553" t="str">
            <v>CG</v>
          </cell>
          <cell r="N2553">
            <v>1</v>
          </cell>
        </row>
        <row r="2554">
          <cell r="I2554" t="str">
            <v>CG</v>
          </cell>
          <cell r="N2554">
            <v>1</v>
          </cell>
        </row>
        <row r="2555">
          <cell r="I2555" t="str">
            <v>CG</v>
          </cell>
          <cell r="N2555">
            <v>1</v>
          </cell>
        </row>
        <row r="2556">
          <cell r="I2556" t="str">
            <v>CG</v>
          </cell>
          <cell r="N2556">
            <v>4</v>
          </cell>
        </row>
        <row r="2557">
          <cell r="I2557" t="str">
            <v>CG</v>
          </cell>
          <cell r="N2557">
            <v>4</v>
          </cell>
        </row>
        <row r="2558">
          <cell r="I2558" t="str">
            <v>CG</v>
          </cell>
          <cell r="N2558">
            <v>4</v>
          </cell>
        </row>
        <row r="2559">
          <cell r="I2559" t="str">
            <v>CG</v>
          </cell>
          <cell r="N2559">
            <v>4</v>
          </cell>
        </row>
        <row r="2560">
          <cell r="I2560" t="str">
            <v>CG</v>
          </cell>
          <cell r="N2560">
            <v>4</v>
          </cell>
        </row>
        <row r="2561">
          <cell r="I2561" t="str">
            <v>CG</v>
          </cell>
          <cell r="N2561">
            <v>4</v>
          </cell>
        </row>
        <row r="2562">
          <cell r="I2562" t="str">
            <v>CG</v>
          </cell>
          <cell r="N2562">
            <v>4</v>
          </cell>
        </row>
        <row r="2563">
          <cell r="I2563" t="str">
            <v>CG</v>
          </cell>
          <cell r="N2563">
            <v>1</v>
          </cell>
        </row>
        <row r="2564">
          <cell r="I2564" t="str">
            <v>CG</v>
          </cell>
          <cell r="N2564">
            <v>4</v>
          </cell>
        </row>
        <row r="2565">
          <cell r="I2565" t="str">
            <v>CG</v>
          </cell>
          <cell r="N2565">
            <v>5</v>
          </cell>
        </row>
        <row r="2566">
          <cell r="I2566" t="str">
            <v>CG</v>
          </cell>
          <cell r="N2566">
            <v>4</v>
          </cell>
        </row>
        <row r="2567">
          <cell r="I2567" t="str">
            <v>CG</v>
          </cell>
          <cell r="N2567">
            <v>5</v>
          </cell>
        </row>
        <row r="2568">
          <cell r="I2568" t="str">
            <v>CG</v>
          </cell>
          <cell r="N2568">
            <v>1</v>
          </cell>
        </row>
        <row r="2569">
          <cell r="I2569" t="str">
            <v>CG</v>
          </cell>
          <cell r="N2569">
            <v>1</v>
          </cell>
        </row>
        <row r="2570">
          <cell r="I2570" t="str">
            <v>CG</v>
          </cell>
          <cell r="N2570">
            <v>1</v>
          </cell>
        </row>
        <row r="2571">
          <cell r="I2571" t="str">
            <v>CG</v>
          </cell>
          <cell r="N2571">
            <v>1</v>
          </cell>
        </row>
        <row r="2572">
          <cell r="I2572" t="str">
            <v>CG</v>
          </cell>
          <cell r="N2572">
            <v>1</v>
          </cell>
        </row>
        <row r="2573">
          <cell r="I2573" t="str">
            <v>CG</v>
          </cell>
          <cell r="N2573">
            <v>1</v>
          </cell>
        </row>
        <row r="2574">
          <cell r="I2574" t="str">
            <v>CG</v>
          </cell>
          <cell r="N2574">
            <v>1</v>
          </cell>
        </row>
        <row r="2575">
          <cell r="I2575" t="str">
            <v>CG</v>
          </cell>
          <cell r="N2575">
            <v>1</v>
          </cell>
        </row>
        <row r="2576">
          <cell r="I2576" t="str">
            <v>CG</v>
          </cell>
          <cell r="N2576">
            <v>1</v>
          </cell>
        </row>
        <row r="2577">
          <cell r="I2577" t="str">
            <v>CG</v>
          </cell>
          <cell r="N2577">
            <v>1</v>
          </cell>
        </row>
        <row r="2578">
          <cell r="I2578" t="str">
            <v>CG</v>
          </cell>
          <cell r="N2578">
            <v>1</v>
          </cell>
        </row>
        <row r="2579">
          <cell r="I2579" t="str">
            <v>CG</v>
          </cell>
          <cell r="N2579">
            <v>1</v>
          </cell>
        </row>
        <row r="2580">
          <cell r="I2580" t="str">
            <v>CG</v>
          </cell>
          <cell r="N2580">
            <v>1</v>
          </cell>
        </row>
        <row r="2581">
          <cell r="I2581" t="str">
            <v>CG</v>
          </cell>
          <cell r="N2581">
            <v>4</v>
          </cell>
        </row>
        <row r="2582">
          <cell r="I2582" t="str">
            <v>CG</v>
          </cell>
          <cell r="N2582">
            <v>4</v>
          </cell>
        </row>
        <row r="2583">
          <cell r="I2583" t="str">
            <v>CG</v>
          </cell>
          <cell r="N2583">
            <v>4</v>
          </cell>
        </row>
        <row r="2584">
          <cell r="I2584" t="str">
            <v>CG</v>
          </cell>
          <cell r="N2584">
            <v>2</v>
          </cell>
        </row>
        <row r="2585">
          <cell r="I2585" t="str">
            <v>CG</v>
          </cell>
          <cell r="N2585">
            <v>4</v>
          </cell>
        </row>
        <row r="2586">
          <cell r="I2586" t="str">
            <v>CG</v>
          </cell>
          <cell r="N2586">
            <v>4</v>
          </cell>
        </row>
        <row r="2587">
          <cell r="I2587" t="str">
            <v>CG</v>
          </cell>
          <cell r="N2587">
            <v>1</v>
          </cell>
        </row>
        <row r="2588">
          <cell r="I2588" t="str">
            <v>CG</v>
          </cell>
          <cell r="N2588">
            <v>1</v>
          </cell>
        </row>
        <row r="2589">
          <cell r="I2589" t="str">
            <v>CG</v>
          </cell>
          <cell r="N2589">
            <v>1</v>
          </cell>
        </row>
        <row r="2590">
          <cell r="I2590" t="str">
            <v>CG</v>
          </cell>
          <cell r="N2590">
            <v>4</v>
          </cell>
        </row>
        <row r="2591">
          <cell r="I2591" t="str">
            <v>CG</v>
          </cell>
          <cell r="N2591">
            <v>4</v>
          </cell>
        </row>
        <row r="2592">
          <cell r="I2592" t="str">
            <v>CG</v>
          </cell>
          <cell r="N2592">
            <v>4</v>
          </cell>
        </row>
        <row r="2593">
          <cell r="I2593" t="str">
            <v>CG</v>
          </cell>
          <cell r="N2593">
            <v>1</v>
          </cell>
        </row>
        <row r="2594">
          <cell r="I2594" t="str">
            <v>CG</v>
          </cell>
          <cell r="N2594">
            <v>1</v>
          </cell>
        </row>
        <row r="2595">
          <cell r="I2595" t="str">
            <v>CG</v>
          </cell>
          <cell r="N2595">
            <v>1</v>
          </cell>
        </row>
        <row r="2596">
          <cell r="I2596" t="str">
            <v>CG</v>
          </cell>
          <cell r="N2596">
            <v>1</v>
          </cell>
        </row>
        <row r="2597">
          <cell r="I2597" t="str">
            <v>CG</v>
          </cell>
          <cell r="N2597">
            <v>1</v>
          </cell>
        </row>
        <row r="2598">
          <cell r="I2598" t="str">
            <v>CG</v>
          </cell>
          <cell r="N2598">
            <v>4</v>
          </cell>
        </row>
        <row r="2599">
          <cell r="I2599" t="str">
            <v>CG</v>
          </cell>
          <cell r="N2599">
            <v>4</v>
          </cell>
        </row>
        <row r="2600">
          <cell r="I2600" t="str">
            <v>CG</v>
          </cell>
          <cell r="N2600">
            <v>1</v>
          </cell>
        </row>
        <row r="2601">
          <cell r="I2601" t="str">
            <v>CG</v>
          </cell>
          <cell r="N2601">
            <v>1</v>
          </cell>
        </row>
        <row r="2602">
          <cell r="I2602" t="str">
            <v>CG</v>
          </cell>
          <cell r="N2602">
            <v>1</v>
          </cell>
        </row>
        <row r="2603">
          <cell r="I2603" t="str">
            <v>CG</v>
          </cell>
          <cell r="N2603">
            <v>4</v>
          </cell>
        </row>
        <row r="2604">
          <cell r="I2604" t="str">
            <v>CG</v>
          </cell>
          <cell r="N2604">
            <v>4</v>
          </cell>
        </row>
        <row r="2605">
          <cell r="I2605" t="str">
            <v>CG</v>
          </cell>
          <cell r="N2605">
            <v>4</v>
          </cell>
        </row>
        <row r="2606">
          <cell r="I2606" t="str">
            <v>CG</v>
          </cell>
          <cell r="N2606">
            <v>4</v>
          </cell>
        </row>
        <row r="2607">
          <cell r="I2607" t="str">
            <v>CG</v>
          </cell>
          <cell r="N2607">
            <v>3</v>
          </cell>
        </row>
        <row r="2608">
          <cell r="I2608" t="str">
            <v>CG</v>
          </cell>
          <cell r="N2608">
            <v>3</v>
          </cell>
        </row>
        <row r="2609">
          <cell r="I2609" t="str">
            <v>CG</v>
          </cell>
          <cell r="N2609">
            <v>3</v>
          </cell>
        </row>
        <row r="2610">
          <cell r="I2610" t="str">
            <v>CG</v>
          </cell>
          <cell r="N2610">
            <v>3</v>
          </cell>
        </row>
        <row r="2611">
          <cell r="I2611" t="str">
            <v>CG</v>
          </cell>
          <cell r="N2611">
            <v>3</v>
          </cell>
        </row>
        <row r="2612">
          <cell r="I2612" t="str">
            <v>CG</v>
          </cell>
          <cell r="N2612">
            <v>3</v>
          </cell>
        </row>
        <row r="2613">
          <cell r="I2613" t="str">
            <v>CG</v>
          </cell>
          <cell r="N2613">
            <v>2</v>
          </cell>
        </row>
        <row r="2614">
          <cell r="I2614" t="str">
            <v>CG</v>
          </cell>
          <cell r="N2614">
            <v>2</v>
          </cell>
        </row>
        <row r="2615">
          <cell r="I2615" t="str">
            <v>CG</v>
          </cell>
          <cell r="N2615">
            <v>2</v>
          </cell>
        </row>
        <row r="2616">
          <cell r="I2616" t="str">
            <v>CG</v>
          </cell>
          <cell r="N2616">
            <v>2</v>
          </cell>
        </row>
        <row r="2617">
          <cell r="I2617" t="str">
            <v>CG</v>
          </cell>
          <cell r="N2617">
            <v>2</v>
          </cell>
        </row>
        <row r="2618">
          <cell r="I2618" t="str">
            <v>CG</v>
          </cell>
          <cell r="N2618">
            <v>2</v>
          </cell>
        </row>
        <row r="2619">
          <cell r="I2619" t="str">
            <v>CG</v>
          </cell>
          <cell r="N2619">
            <v>2</v>
          </cell>
        </row>
        <row r="2620">
          <cell r="I2620" t="str">
            <v>CG</v>
          </cell>
          <cell r="N2620">
            <v>2</v>
          </cell>
        </row>
        <row r="2621">
          <cell r="I2621" t="str">
            <v>CG</v>
          </cell>
          <cell r="N2621">
            <v>3</v>
          </cell>
        </row>
        <row r="2622">
          <cell r="I2622" t="str">
            <v>CG</v>
          </cell>
          <cell r="N2622">
            <v>3</v>
          </cell>
        </row>
        <row r="2623">
          <cell r="I2623" t="str">
            <v>CG</v>
          </cell>
          <cell r="N2623">
            <v>3</v>
          </cell>
        </row>
        <row r="2624">
          <cell r="I2624" t="str">
            <v>CG</v>
          </cell>
          <cell r="N2624">
            <v>3</v>
          </cell>
        </row>
        <row r="2625">
          <cell r="I2625" t="str">
            <v>CG</v>
          </cell>
          <cell r="N2625">
            <v>3</v>
          </cell>
        </row>
        <row r="2626">
          <cell r="I2626" t="str">
            <v>CG</v>
          </cell>
          <cell r="N2626">
            <v>3</v>
          </cell>
        </row>
        <row r="2627">
          <cell r="I2627" t="str">
            <v>CG</v>
          </cell>
          <cell r="N2627">
            <v>3</v>
          </cell>
        </row>
        <row r="2628">
          <cell r="I2628" t="str">
            <v>CG</v>
          </cell>
          <cell r="N2628">
            <v>3</v>
          </cell>
        </row>
        <row r="2629">
          <cell r="I2629" t="str">
            <v>CG</v>
          </cell>
          <cell r="N2629">
            <v>3</v>
          </cell>
        </row>
        <row r="2630">
          <cell r="I2630" t="str">
            <v>CG</v>
          </cell>
          <cell r="N2630">
            <v>4</v>
          </cell>
        </row>
        <row r="2631">
          <cell r="I2631" t="str">
            <v>CG</v>
          </cell>
          <cell r="N2631">
            <v>4</v>
          </cell>
        </row>
        <row r="2632">
          <cell r="I2632" t="str">
            <v>CG</v>
          </cell>
          <cell r="N2632">
            <v>2</v>
          </cell>
        </row>
        <row r="2633">
          <cell r="I2633" t="str">
            <v>CG</v>
          </cell>
          <cell r="N2633">
            <v>2</v>
          </cell>
        </row>
        <row r="2634">
          <cell r="I2634" t="str">
            <v>CG</v>
          </cell>
          <cell r="N2634">
            <v>2</v>
          </cell>
        </row>
        <row r="2635">
          <cell r="I2635" t="str">
            <v>CG</v>
          </cell>
          <cell r="N2635">
            <v>1</v>
          </cell>
        </row>
        <row r="2636">
          <cell r="I2636" t="str">
            <v>CG</v>
          </cell>
          <cell r="N2636">
            <v>1</v>
          </cell>
        </row>
        <row r="2637">
          <cell r="I2637" t="str">
            <v>CG</v>
          </cell>
          <cell r="N2637">
            <v>2</v>
          </cell>
        </row>
        <row r="2638">
          <cell r="I2638" t="str">
            <v>CG</v>
          </cell>
          <cell r="N2638">
            <v>2</v>
          </cell>
        </row>
        <row r="2639">
          <cell r="I2639" t="str">
            <v>CG</v>
          </cell>
          <cell r="N2639">
            <v>2</v>
          </cell>
        </row>
        <row r="2640">
          <cell r="I2640" t="str">
            <v>CG</v>
          </cell>
          <cell r="N2640">
            <v>2</v>
          </cell>
        </row>
        <row r="2641">
          <cell r="I2641" t="str">
            <v>CG</v>
          </cell>
          <cell r="N2641">
            <v>2</v>
          </cell>
        </row>
        <row r="2642">
          <cell r="I2642" t="str">
            <v>CG</v>
          </cell>
          <cell r="N2642">
            <v>4</v>
          </cell>
        </row>
        <row r="2643">
          <cell r="I2643" t="str">
            <v>CG</v>
          </cell>
          <cell r="N2643">
            <v>1</v>
          </cell>
        </row>
        <row r="2644">
          <cell r="I2644" t="str">
            <v>CG</v>
          </cell>
          <cell r="N2644">
            <v>4</v>
          </cell>
        </row>
        <row r="2645">
          <cell r="I2645" t="str">
            <v>CG</v>
          </cell>
          <cell r="N2645">
            <v>2</v>
          </cell>
        </row>
        <row r="2646">
          <cell r="I2646" t="str">
            <v>CG</v>
          </cell>
          <cell r="N2646">
            <v>1</v>
          </cell>
        </row>
        <row r="2647">
          <cell r="I2647" t="str">
            <v>CG</v>
          </cell>
          <cell r="N2647">
            <v>1</v>
          </cell>
        </row>
        <row r="2648">
          <cell r="I2648" t="str">
            <v>CG</v>
          </cell>
          <cell r="N2648">
            <v>2</v>
          </cell>
        </row>
        <row r="2649">
          <cell r="I2649" t="str">
            <v>CG</v>
          </cell>
          <cell r="N2649">
            <v>1</v>
          </cell>
        </row>
        <row r="2650">
          <cell r="I2650" t="str">
            <v>CG</v>
          </cell>
          <cell r="N2650">
            <v>2</v>
          </cell>
        </row>
        <row r="2651">
          <cell r="I2651" t="str">
            <v>CG</v>
          </cell>
          <cell r="N2651">
            <v>2</v>
          </cell>
        </row>
        <row r="2652">
          <cell r="I2652" t="str">
            <v>CG</v>
          </cell>
          <cell r="N2652">
            <v>3</v>
          </cell>
        </row>
        <row r="2653">
          <cell r="I2653" t="str">
            <v>CG</v>
          </cell>
          <cell r="N2653">
            <v>4</v>
          </cell>
        </row>
        <row r="2654">
          <cell r="I2654" t="str">
            <v>CG</v>
          </cell>
          <cell r="N2654">
            <v>2</v>
          </cell>
        </row>
        <row r="2655">
          <cell r="I2655" t="str">
            <v>CG</v>
          </cell>
          <cell r="N2655">
            <v>4</v>
          </cell>
        </row>
        <row r="2656">
          <cell r="I2656" t="str">
            <v>CG</v>
          </cell>
          <cell r="N2656">
            <v>4</v>
          </cell>
        </row>
        <row r="2657">
          <cell r="I2657" t="str">
            <v>CG</v>
          </cell>
          <cell r="N2657">
            <v>2</v>
          </cell>
        </row>
        <row r="2658">
          <cell r="I2658" t="str">
            <v>CG</v>
          </cell>
          <cell r="N2658">
            <v>1</v>
          </cell>
        </row>
        <row r="2659">
          <cell r="I2659" t="str">
            <v>CG</v>
          </cell>
          <cell r="N2659">
            <v>4</v>
          </cell>
        </row>
        <row r="2660">
          <cell r="I2660" t="str">
            <v>CG</v>
          </cell>
          <cell r="N2660">
            <v>4</v>
          </cell>
        </row>
        <row r="2661">
          <cell r="I2661" t="str">
            <v>CG</v>
          </cell>
          <cell r="N2661">
            <v>4</v>
          </cell>
        </row>
        <row r="2662">
          <cell r="I2662" t="str">
            <v>CG</v>
          </cell>
          <cell r="N2662">
            <v>4</v>
          </cell>
        </row>
        <row r="2663">
          <cell r="I2663" t="str">
            <v>CG</v>
          </cell>
          <cell r="N2663">
            <v>4</v>
          </cell>
        </row>
        <row r="2664">
          <cell r="I2664" t="str">
            <v>CG</v>
          </cell>
          <cell r="N2664">
            <v>4</v>
          </cell>
        </row>
        <row r="2665">
          <cell r="I2665" t="str">
            <v>CG</v>
          </cell>
          <cell r="N2665">
            <v>2</v>
          </cell>
        </row>
        <row r="2666">
          <cell r="I2666" t="str">
            <v>CG</v>
          </cell>
          <cell r="N2666">
            <v>2</v>
          </cell>
        </row>
        <row r="2667">
          <cell r="I2667" t="str">
            <v>CG</v>
          </cell>
          <cell r="N2667">
            <v>4</v>
          </cell>
        </row>
        <row r="2668">
          <cell r="I2668" t="str">
            <v>CG</v>
          </cell>
          <cell r="N2668">
            <v>2</v>
          </cell>
        </row>
        <row r="2669">
          <cell r="I2669" t="str">
            <v>CG</v>
          </cell>
          <cell r="N2669">
            <v>1</v>
          </cell>
        </row>
        <row r="2670">
          <cell r="I2670" t="str">
            <v>CG</v>
          </cell>
          <cell r="N2670">
            <v>2</v>
          </cell>
        </row>
        <row r="2671">
          <cell r="I2671" t="str">
            <v>CG</v>
          </cell>
          <cell r="N2671">
            <v>2</v>
          </cell>
        </row>
        <row r="2672">
          <cell r="I2672" t="str">
            <v>CG</v>
          </cell>
          <cell r="N2672">
            <v>2</v>
          </cell>
        </row>
        <row r="2673">
          <cell r="I2673" t="str">
            <v>CG</v>
          </cell>
          <cell r="N2673">
            <v>3</v>
          </cell>
        </row>
        <row r="2674">
          <cell r="I2674" t="str">
            <v>CG</v>
          </cell>
          <cell r="N2674">
            <v>3</v>
          </cell>
        </row>
        <row r="2675">
          <cell r="I2675" t="str">
            <v>CG</v>
          </cell>
          <cell r="N2675">
            <v>3</v>
          </cell>
        </row>
        <row r="2676">
          <cell r="I2676" t="str">
            <v>CG</v>
          </cell>
          <cell r="N2676">
            <v>3</v>
          </cell>
        </row>
        <row r="2677">
          <cell r="I2677" t="str">
            <v>CG</v>
          </cell>
          <cell r="N2677">
            <v>3</v>
          </cell>
        </row>
        <row r="2678">
          <cell r="I2678" t="str">
            <v>CG</v>
          </cell>
          <cell r="N2678">
            <v>3</v>
          </cell>
        </row>
        <row r="2679">
          <cell r="I2679" t="str">
            <v>CG</v>
          </cell>
          <cell r="N2679">
            <v>3</v>
          </cell>
        </row>
        <row r="2680">
          <cell r="I2680" t="str">
            <v>CG</v>
          </cell>
          <cell r="N2680">
            <v>1</v>
          </cell>
        </row>
        <row r="2681">
          <cell r="I2681" t="str">
            <v>CG</v>
          </cell>
          <cell r="N2681">
            <v>2</v>
          </cell>
        </row>
        <row r="2682">
          <cell r="I2682" t="str">
            <v>CG</v>
          </cell>
          <cell r="N2682">
            <v>2</v>
          </cell>
        </row>
        <row r="2683">
          <cell r="I2683" t="str">
            <v>CG</v>
          </cell>
          <cell r="N2683">
            <v>2</v>
          </cell>
        </row>
        <row r="2684">
          <cell r="I2684" t="str">
            <v>CG</v>
          </cell>
          <cell r="N2684">
            <v>2</v>
          </cell>
        </row>
        <row r="2685">
          <cell r="I2685" t="str">
            <v>CG</v>
          </cell>
          <cell r="N2685">
            <v>2</v>
          </cell>
        </row>
        <row r="2686">
          <cell r="I2686" t="str">
            <v>CG</v>
          </cell>
          <cell r="N2686">
            <v>2</v>
          </cell>
        </row>
        <row r="2687">
          <cell r="I2687" t="str">
            <v>CG</v>
          </cell>
          <cell r="N2687">
            <v>4</v>
          </cell>
        </row>
        <row r="2688">
          <cell r="I2688" t="str">
            <v>CG</v>
          </cell>
          <cell r="N2688">
            <v>2</v>
          </cell>
        </row>
        <row r="2689">
          <cell r="I2689" t="str">
            <v>CG</v>
          </cell>
          <cell r="N2689">
            <v>2</v>
          </cell>
        </row>
        <row r="2690">
          <cell r="I2690" t="str">
            <v>CG</v>
          </cell>
          <cell r="N2690">
            <v>2</v>
          </cell>
        </row>
        <row r="2691">
          <cell r="I2691" t="str">
            <v>CG</v>
          </cell>
          <cell r="N2691">
            <v>2</v>
          </cell>
        </row>
        <row r="2692">
          <cell r="I2692" t="str">
            <v>CG</v>
          </cell>
          <cell r="N2692">
            <v>2</v>
          </cell>
        </row>
        <row r="2693">
          <cell r="I2693" t="str">
            <v>CG</v>
          </cell>
          <cell r="N2693">
            <v>2</v>
          </cell>
        </row>
        <row r="2694">
          <cell r="I2694" t="str">
            <v>CG</v>
          </cell>
          <cell r="N2694">
            <v>2</v>
          </cell>
        </row>
        <row r="2695">
          <cell r="I2695" t="str">
            <v>CG</v>
          </cell>
          <cell r="N2695">
            <v>2</v>
          </cell>
        </row>
        <row r="2696">
          <cell r="I2696" t="str">
            <v>CG</v>
          </cell>
          <cell r="N2696">
            <v>4</v>
          </cell>
        </row>
        <row r="2697">
          <cell r="I2697" t="str">
            <v>CG</v>
          </cell>
          <cell r="N2697">
            <v>4</v>
          </cell>
        </row>
        <row r="2698">
          <cell r="I2698" t="str">
            <v>CG</v>
          </cell>
          <cell r="N2698">
            <v>2</v>
          </cell>
        </row>
        <row r="2699">
          <cell r="I2699" t="str">
            <v>CG</v>
          </cell>
          <cell r="N2699">
            <v>3</v>
          </cell>
        </row>
        <row r="2700">
          <cell r="I2700" t="str">
            <v>CG</v>
          </cell>
          <cell r="N2700">
            <v>3</v>
          </cell>
        </row>
        <row r="2701">
          <cell r="I2701" t="str">
            <v>CG</v>
          </cell>
          <cell r="N2701">
            <v>3</v>
          </cell>
        </row>
        <row r="2702">
          <cell r="I2702" t="str">
            <v>CG</v>
          </cell>
          <cell r="N2702">
            <v>3</v>
          </cell>
        </row>
        <row r="2703">
          <cell r="I2703" t="str">
            <v>CG</v>
          </cell>
          <cell r="N2703">
            <v>2</v>
          </cell>
        </row>
        <row r="2704">
          <cell r="I2704" t="str">
            <v>CG</v>
          </cell>
          <cell r="N2704">
            <v>2</v>
          </cell>
        </row>
        <row r="2705">
          <cell r="I2705" t="str">
            <v>CG</v>
          </cell>
          <cell r="N2705">
            <v>2</v>
          </cell>
        </row>
        <row r="2706">
          <cell r="I2706" t="str">
            <v>CG</v>
          </cell>
          <cell r="N2706">
            <v>2</v>
          </cell>
        </row>
        <row r="2707">
          <cell r="I2707" t="str">
            <v>CG</v>
          </cell>
          <cell r="N2707">
            <v>4</v>
          </cell>
        </row>
        <row r="2708">
          <cell r="I2708" t="str">
            <v>CG</v>
          </cell>
          <cell r="N2708">
            <v>2</v>
          </cell>
        </row>
        <row r="2709">
          <cell r="I2709" t="str">
            <v>CG</v>
          </cell>
          <cell r="N2709">
            <v>2</v>
          </cell>
        </row>
        <row r="2710">
          <cell r="I2710" t="str">
            <v>CG</v>
          </cell>
          <cell r="N2710">
            <v>2</v>
          </cell>
        </row>
        <row r="2711">
          <cell r="I2711" t="str">
            <v>CG</v>
          </cell>
          <cell r="N2711">
            <v>4</v>
          </cell>
        </row>
        <row r="2712">
          <cell r="I2712" t="str">
            <v>CG</v>
          </cell>
          <cell r="N2712">
            <v>3</v>
          </cell>
        </row>
        <row r="2713">
          <cell r="I2713" t="str">
            <v>CG</v>
          </cell>
          <cell r="N2713">
            <v>2</v>
          </cell>
        </row>
        <row r="2714">
          <cell r="I2714" t="str">
            <v>CG</v>
          </cell>
          <cell r="N2714">
            <v>2</v>
          </cell>
        </row>
        <row r="2715">
          <cell r="I2715" t="str">
            <v>CG</v>
          </cell>
          <cell r="N2715">
            <v>2</v>
          </cell>
        </row>
        <row r="2716">
          <cell r="I2716" t="str">
            <v>CG</v>
          </cell>
          <cell r="N2716">
            <v>4</v>
          </cell>
        </row>
        <row r="2717">
          <cell r="I2717" t="str">
            <v>CG</v>
          </cell>
          <cell r="N2717">
            <v>4</v>
          </cell>
        </row>
        <row r="2718">
          <cell r="I2718" t="str">
            <v>CG</v>
          </cell>
          <cell r="N2718">
            <v>4</v>
          </cell>
        </row>
        <row r="2719">
          <cell r="I2719" t="str">
            <v>CG</v>
          </cell>
          <cell r="N2719">
            <v>2</v>
          </cell>
        </row>
        <row r="2720">
          <cell r="I2720" t="str">
            <v>CG</v>
          </cell>
          <cell r="N2720">
            <v>4</v>
          </cell>
        </row>
        <row r="2721">
          <cell r="I2721" t="str">
            <v>CG</v>
          </cell>
          <cell r="N2721">
            <v>2</v>
          </cell>
        </row>
        <row r="2722">
          <cell r="I2722" t="str">
            <v>CG</v>
          </cell>
          <cell r="N2722">
            <v>2</v>
          </cell>
        </row>
        <row r="2723">
          <cell r="I2723" t="str">
            <v>CG</v>
          </cell>
          <cell r="N2723">
            <v>2</v>
          </cell>
        </row>
        <row r="2724">
          <cell r="I2724" t="str">
            <v>CG</v>
          </cell>
          <cell r="N2724">
            <v>2</v>
          </cell>
        </row>
        <row r="2725">
          <cell r="I2725" t="str">
            <v>CG</v>
          </cell>
          <cell r="N2725">
            <v>4</v>
          </cell>
        </row>
        <row r="2726">
          <cell r="I2726" t="str">
            <v>CG</v>
          </cell>
          <cell r="N2726">
            <v>1</v>
          </cell>
        </row>
        <row r="2727">
          <cell r="I2727" t="str">
            <v>CG</v>
          </cell>
          <cell r="N2727">
            <v>4</v>
          </cell>
        </row>
        <row r="2728">
          <cell r="I2728" t="str">
            <v>CG</v>
          </cell>
          <cell r="N2728">
            <v>4</v>
          </cell>
        </row>
        <row r="2729">
          <cell r="I2729" t="str">
            <v>CG</v>
          </cell>
          <cell r="N2729">
            <v>1</v>
          </cell>
        </row>
        <row r="2730">
          <cell r="I2730" t="str">
            <v>CG</v>
          </cell>
          <cell r="N2730">
            <v>1</v>
          </cell>
        </row>
        <row r="2731">
          <cell r="I2731" t="str">
            <v>CG</v>
          </cell>
          <cell r="N2731">
            <v>1</v>
          </cell>
        </row>
        <row r="2732">
          <cell r="I2732" t="str">
            <v>CG</v>
          </cell>
          <cell r="N2732">
            <v>4</v>
          </cell>
        </row>
        <row r="2733">
          <cell r="I2733" t="str">
            <v>CG</v>
          </cell>
          <cell r="N2733">
            <v>4</v>
          </cell>
        </row>
        <row r="2734">
          <cell r="I2734" t="str">
            <v>CG</v>
          </cell>
          <cell r="N2734">
            <v>4</v>
          </cell>
        </row>
        <row r="2735">
          <cell r="I2735" t="str">
            <v>CG</v>
          </cell>
          <cell r="N2735">
            <v>2</v>
          </cell>
        </row>
        <row r="2736">
          <cell r="I2736" t="str">
            <v>CG</v>
          </cell>
          <cell r="N2736">
            <v>1</v>
          </cell>
        </row>
        <row r="2737">
          <cell r="I2737" t="str">
            <v>CG</v>
          </cell>
          <cell r="N2737">
            <v>1</v>
          </cell>
        </row>
        <row r="2738">
          <cell r="I2738" t="str">
            <v>CG</v>
          </cell>
          <cell r="N2738">
            <v>4</v>
          </cell>
        </row>
        <row r="2739">
          <cell r="I2739" t="str">
            <v>CG</v>
          </cell>
          <cell r="N2739">
            <v>2</v>
          </cell>
        </row>
        <row r="2740">
          <cell r="I2740" t="str">
            <v>CG</v>
          </cell>
          <cell r="N2740">
            <v>4</v>
          </cell>
        </row>
        <row r="2741">
          <cell r="I2741" t="str">
            <v>CG</v>
          </cell>
          <cell r="N2741">
            <v>4</v>
          </cell>
        </row>
        <row r="2742">
          <cell r="I2742" t="str">
            <v>CG</v>
          </cell>
          <cell r="N2742">
            <v>1</v>
          </cell>
        </row>
        <row r="2743">
          <cell r="I2743" t="str">
            <v>CG</v>
          </cell>
          <cell r="N2743">
            <v>4</v>
          </cell>
        </row>
        <row r="2744">
          <cell r="I2744" t="str">
            <v>CG</v>
          </cell>
          <cell r="N2744">
            <v>2</v>
          </cell>
        </row>
        <row r="2745">
          <cell r="I2745" t="str">
            <v>CG</v>
          </cell>
          <cell r="N2745">
            <v>1</v>
          </cell>
        </row>
        <row r="2746">
          <cell r="I2746" t="str">
            <v>CG</v>
          </cell>
          <cell r="N2746">
            <v>1</v>
          </cell>
        </row>
        <row r="2747">
          <cell r="I2747" t="str">
            <v>CG</v>
          </cell>
          <cell r="N2747">
            <v>1</v>
          </cell>
        </row>
        <row r="2748">
          <cell r="I2748" t="str">
            <v>CG</v>
          </cell>
          <cell r="N2748">
            <v>1</v>
          </cell>
        </row>
        <row r="2749">
          <cell r="I2749" t="str">
            <v>CG</v>
          </cell>
          <cell r="N2749">
            <v>1</v>
          </cell>
        </row>
        <row r="2750">
          <cell r="I2750" t="str">
            <v>CG</v>
          </cell>
          <cell r="N2750">
            <v>1</v>
          </cell>
        </row>
        <row r="2751">
          <cell r="I2751" t="str">
            <v>CG</v>
          </cell>
          <cell r="N2751">
            <v>4</v>
          </cell>
        </row>
        <row r="2752">
          <cell r="I2752" t="str">
            <v>CG</v>
          </cell>
          <cell r="N2752">
            <v>2</v>
          </cell>
        </row>
        <row r="2753">
          <cell r="I2753" t="str">
            <v>CG</v>
          </cell>
          <cell r="N2753">
            <v>1</v>
          </cell>
        </row>
        <row r="2754">
          <cell r="I2754" t="str">
            <v>CG</v>
          </cell>
          <cell r="N2754">
            <v>1</v>
          </cell>
        </row>
        <row r="2755">
          <cell r="I2755" t="str">
            <v>CG</v>
          </cell>
          <cell r="N2755">
            <v>1</v>
          </cell>
        </row>
        <row r="2756">
          <cell r="I2756" t="str">
            <v>CG</v>
          </cell>
          <cell r="N2756">
            <v>1</v>
          </cell>
        </row>
        <row r="2757">
          <cell r="I2757" t="str">
            <v>CG</v>
          </cell>
          <cell r="N2757">
            <v>1</v>
          </cell>
        </row>
        <row r="2758">
          <cell r="I2758" t="str">
            <v>CG</v>
          </cell>
          <cell r="N2758">
            <v>1</v>
          </cell>
        </row>
        <row r="2759">
          <cell r="I2759" t="str">
            <v>CG</v>
          </cell>
          <cell r="N2759">
            <v>1</v>
          </cell>
        </row>
        <row r="2760">
          <cell r="I2760" t="str">
            <v>CG</v>
          </cell>
          <cell r="N2760">
            <v>1</v>
          </cell>
        </row>
        <row r="2761">
          <cell r="I2761" t="str">
            <v>CG</v>
          </cell>
          <cell r="N2761">
            <v>1</v>
          </cell>
        </row>
        <row r="2762">
          <cell r="I2762" t="str">
            <v>CG</v>
          </cell>
          <cell r="N2762">
            <v>1</v>
          </cell>
        </row>
        <row r="2763">
          <cell r="I2763" t="str">
            <v>CG</v>
          </cell>
          <cell r="N2763">
            <v>1</v>
          </cell>
        </row>
        <row r="2764">
          <cell r="I2764" t="str">
            <v>CG</v>
          </cell>
          <cell r="N2764">
            <v>4</v>
          </cell>
        </row>
        <row r="2765">
          <cell r="I2765" t="str">
            <v>CG</v>
          </cell>
          <cell r="N2765">
            <v>4</v>
          </cell>
        </row>
        <row r="2766">
          <cell r="I2766" t="str">
            <v>CG</v>
          </cell>
          <cell r="N2766">
            <v>1</v>
          </cell>
        </row>
        <row r="2767">
          <cell r="I2767" t="str">
            <v>CG</v>
          </cell>
          <cell r="N2767">
            <v>1</v>
          </cell>
        </row>
        <row r="2768">
          <cell r="I2768" t="str">
            <v>CG</v>
          </cell>
          <cell r="N2768">
            <v>1</v>
          </cell>
        </row>
        <row r="2769">
          <cell r="I2769" t="str">
            <v>CG</v>
          </cell>
          <cell r="N2769">
            <v>1</v>
          </cell>
        </row>
        <row r="2770">
          <cell r="I2770" t="str">
            <v>CG</v>
          </cell>
          <cell r="N2770">
            <v>1</v>
          </cell>
        </row>
        <row r="2771">
          <cell r="I2771" t="str">
            <v>CG</v>
          </cell>
          <cell r="N2771">
            <v>1</v>
          </cell>
        </row>
        <row r="2772">
          <cell r="I2772" t="str">
            <v>CG</v>
          </cell>
          <cell r="N2772">
            <v>2</v>
          </cell>
        </row>
        <row r="2773">
          <cell r="I2773" t="str">
            <v>CG</v>
          </cell>
          <cell r="N2773">
            <v>2</v>
          </cell>
        </row>
        <row r="2774">
          <cell r="I2774" t="str">
            <v>CG</v>
          </cell>
          <cell r="N2774">
            <v>4</v>
          </cell>
        </row>
        <row r="2775">
          <cell r="I2775" t="str">
            <v>CG</v>
          </cell>
          <cell r="N2775">
            <v>4</v>
          </cell>
        </row>
        <row r="2776">
          <cell r="I2776" t="str">
            <v>CG</v>
          </cell>
          <cell r="N2776">
            <v>4</v>
          </cell>
        </row>
        <row r="2777">
          <cell r="I2777" t="str">
            <v>CG</v>
          </cell>
          <cell r="N2777">
            <v>2</v>
          </cell>
        </row>
        <row r="2778">
          <cell r="I2778" t="str">
            <v>CG</v>
          </cell>
          <cell r="N2778">
            <v>2</v>
          </cell>
        </row>
        <row r="2779">
          <cell r="I2779" t="str">
            <v>CG</v>
          </cell>
          <cell r="N2779">
            <v>2</v>
          </cell>
        </row>
        <row r="2780">
          <cell r="I2780" t="str">
            <v>CG</v>
          </cell>
          <cell r="N2780">
            <v>4</v>
          </cell>
        </row>
        <row r="2781">
          <cell r="I2781" t="str">
            <v>CG</v>
          </cell>
          <cell r="N2781">
            <v>2</v>
          </cell>
        </row>
        <row r="2782">
          <cell r="I2782" t="str">
            <v>CG</v>
          </cell>
          <cell r="N2782">
            <v>4</v>
          </cell>
        </row>
        <row r="2783">
          <cell r="I2783" t="str">
            <v>CG</v>
          </cell>
          <cell r="N2783">
            <v>2</v>
          </cell>
        </row>
        <row r="2784">
          <cell r="I2784" t="str">
            <v>CG</v>
          </cell>
          <cell r="N2784">
            <v>2</v>
          </cell>
        </row>
        <row r="2785">
          <cell r="I2785" t="str">
            <v>CG</v>
          </cell>
          <cell r="N2785">
            <v>2</v>
          </cell>
        </row>
        <row r="2786">
          <cell r="I2786" t="str">
            <v>CG</v>
          </cell>
          <cell r="N2786">
            <v>2</v>
          </cell>
        </row>
        <row r="2787">
          <cell r="I2787" t="str">
            <v>CG</v>
          </cell>
          <cell r="N2787">
            <v>2</v>
          </cell>
        </row>
        <row r="2788">
          <cell r="I2788" t="str">
            <v>CG</v>
          </cell>
          <cell r="N2788">
            <v>3</v>
          </cell>
        </row>
        <row r="2789">
          <cell r="I2789" t="str">
            <v>CG</v>
          </cell>
          <cell r="N2789">
            <v>2</v>
          </cell>
        </row>
        <row r="2790">
          <cell r="I2790" t="str">
            <v>CG</v>
          </cell>
          <cell r="N2790">
            <v>2</v>
          </cell>
        </row>
        <row r="2791">
          <cell r="I2791" t="str">
            <v>CG</v>
          </cell>
          <cell r="N2791">
            <v>3</v>
          </cell>
        </row>
        <row r="2792">
          <cell r="I2792" t="str">
            <v>CG</v>
          </cell>
          <cell r="N2792">
            <v>3</v>
          </cell>
        </row>
        <row r="2793">
          <cell r="I2793" t="str">
            <v>CG</v>
          </cell>
          <cell r="N2793">
            <v>3</v>
          </cell>
        </row>
        <row r="2794">
          <cell r="I2794" t="str">
            <v>CG</v>
          </cell>
          <cell r="N2794">
            <v>1</v>
          </cell>
        </row>
        <row r="2795">
          <cell r="I2795" t="str">
            <v>CG</v>
          </cell>
          <cell r="N2795">
            <v>1</v>
          </cell>
        </row>
        <row r="2796">
          <cell r="I2796" t="str">
            <v>CG</v>
          </cell>
          <cell r="N2796">
            <v>1</v>
          </cell>
        </row>
        <row r="2797">
          <cell r="I2797" t="str">
            <v>CG</v>
          </cell>
          <cell r="N2797">
            <v>4</v>
          </cell>
        </row>
        <row r="2798">
          <cell r="I2798" t="str">
            <v>CG</v>
          </cell>
          <cell r="N2798">
            <v>1</v>
          </cell>
        </row>
        <row r="2799">
          <cell r="I2799" t="str">
            <v>CG</v>
          </cell>
          <cell r="N2799">
            <v>4</v>
          </cell>
        </row>
        <row r="2800">
          <cell r="I2800" t="str">
            <v>CG</v>
          </cell>
          <cell r="N2800">
            <v>1</v>
          </cell>
        </row>
        <row r="2801">
          <cell r="I2801" t="str">
            <v>CG</v>
          </cell>
          <cell r="N2801">
            <v>4</v>
          </cell>
        </row>
        <row r="2802">
          <cell r="I2802" t="str">
            <v>CG</v>
          </cell>
          <cell r="N2802">
            <v>1</v>
          </cell>
        </row>
        <row r="2803">
          <cell r="I2803" t="str">
            <v>CG</v>
          </cell>
          <cell r="N2803">
            <v>1</v>
          </cell>
        </row>
        <row r="2804">
          <cell r="I2804" t="str">
            <v>CG</v>
          </cell>
          <cell r="N2804">
            <v>2</v>
          </cell>
        </row>
        <row r="2805">
          <cell r="I2805" t="str">
            <v>CG</v>
          </cell>
          <cell r="N2805">
            <v>3</v>
          </cell>
        </row>
        <row r="2806">
          <cell r="I2806" t="str">
            <v>CG</v>
          </cell>
          <cell r="N2806">
            <v>4</v>
          </cell>
        </row>
        <row r="2807">
          <cell r="I2807" t="str">
            <v>CG</v>
          </cell>
          <cell r="N2807">
            <v>4</v>
          </cell>
        </row>
        <row r="2808">
          <cell r="I2808" t="str">
            <v>CG</v>
          </cell>
          <cell r="N2808">
            <v>2</v>
          </cell>
        </row>
        <row r="2809">
          <cell r="I2809" t="str">
            <v>CG</v>
          </cell>
          <cell r="N2809">
            <v>1</v>
          </cell>
        </row>
        <row r="2810">
          <cell r="I2810" t="str">
            <v>CG</v>
          </cell>
          <cell r="N2810">
            <v>1</v>
          </cell>
        </row>
        <row r="2811">
          <cell r="I2811" t="str">
            <v>CG</v>
          </cell>
          <cell r="N2811">
            <v>1</v>
          </cell>
        </row>
        <row r="2812">
          <cell r="I2812" t="str">
            <v>CG</v>
          </cell>
          <cell r="N2812">
            <v>1</v>
          </cell>
        </row>
        <row r="2813">
          <cell r="I2813" t="str">
            <v>CG</v>
          </cell>
          <cell r="N2813">
            <v>1</v>
          </cell>
        </row>
        <row r="2814">
          <cell r="I2814" t="str">
            <v>AA</v>
          </cell>
          <cell r="N2814">
            <v>2</v>
          </cell>
        </row>
        <row r="2815">
          <cell r="I2815" t="str">
            <v>AA</v>
          </cell>
          <cell r="N2815">
            <v>2</v>
          </cell>
        </row>
        <row r="2816">
          <cell r="I2816" t="str">
            <v>AA</v>
          </cell>
          <cell r="N2816">
            <v>2</v>
          </cell>
        </row>
        <row r="2817">
          <cell r="I2817" t="str">
            <v>AA</v>
          </cell>
          <cell r="N2817">
            <v>2</v>
          </cell>
        </row>
        <row r="2818">
          <cell r="I2818" t="str">
            <v>AA</v>
          </cell>
          <cell r="N2818">
            <v>2</v>
          </cell>
        </row>
        <row r="2819">
          <cell r="I2819" t="str">
            <v>AA</v>
          </cell>
          <cell r="N2819">
            <v>2</v>
          </cell>
        </row>
        <row r="2820">
          <cell r="I2820" t="str">
            <v>AA</v>
          </cell>
          <cell r="N2820">
            <v>2</v>
          </cell>
        </row>
        <row r="2821">
          <cell r="I2821" t="str">
            <v>AA</v>
          </cell>
          <cell r="N2821">
            <v>2</v>
          </cell>
        </row>
        <row r="2822">
          <cell r="I2822" t="str">
            <v>AA</v>
          </cell>
          <cell r="N2822">
            <v>2</v>
          </cell>
        </row>
        <row r="2823">
          <cell r="I2823" t="str">
            <v>AA</v>
          </cell>
          <cell r="N2823">
            <v>2</v>
          </cell>
        </row>
        <row r="2824">
          <cell r="I2824" t="str">
            <v>AA</v>
          </cell>
          <cell r="N2824">
            <v>2</v>
          </cell>
        </row>
        <row r="2825">
          <cell r="I2825" t="str">
            <v>AA</v>
          </cell>
          <cell r="N2825">
            <v>2</v>
          </cell>
        </row>
        <row r="2826">
          <cell r="I2826" t="str">
            <v>AA</v>
          </cell>
          <cell r="N2826">
            <v>2</v>
          </cell>
        </row>
        <row r="2827">
          <cell r="I2827" t="str">
            <v>AA</v>
          </cell>
          <cell r="N2827">
            <v>2</v>
          </cell>
        </row>
        <row r="2828">
          <cell r="I2828" t="str">
            <v>AA</v>
          </cell>
          <cell r="N2828">
            <v>2</v>
          </cell>
        </row>
        <row r="2829">
          <cell r="I2829" t="str">
            <v>AA</v>
          </cell>
          <cell r="N2829">
            <v>2</v>
          </cell>
        </row>
        <row r="2830">
          <cell r="I2830" t="str">
            <v>AA</v>
          </cell>
          <cell r="N2830">
            <v>4</v>
          </cell>
        </row>
        <row r="2831">
          <cell r="I2831" t="str">
            <v>AA</v>
          </cell>
          <cell r="N2831">
            <v>4</v>
          </cell>
        </row>
        <row r="2832">
          <cell r="I2832" t="str">
            <v>AA</v>
          </cell>
          <cell r="N2832">
            <v>4</v>
          </cell>
        </row>
        <row r="2833">
          <cell r="I2833" t="str">
            <v>AA</v>
          </cell>
          <cell r="N2833">
            <v>2</v>
          </cell>
        </row>
        <row r="2834">
          <cell r="I2834" t="str">
            <v>AA</v>
          </cell>
          <cell r="N2834">
            <v>2</v>
          </cell>
        </row>
        <row r="2835">
          <cell r="I2835" t="str">
            <v>AA</v>
          </cell>
          <cell r="N2835">
            <v>2</v>
          </cell>
        </row>
        <row r="2836">
          <cell r="I2836" t="str">
            <v>AA</v>
          </cell>
          <cell r="N2836">
            <v>1</v>
          </cell>
        </row>
        <row r="2837">
          <cell r="I2837" t="str">
            <v>AA</v>
          </cell>
          <cell r="N2837">
            <v>2</v>
          </cell>
        </row>
        <row r="2838">
          <cell r="I2838" t="str">
            <v>AA</v>
          </cell>
          <cell r="N2838">
            <v>2</v>
          </cell>
        </row>
        <row r="2839">
          <cell r="I2839" t="str">
            <v>AA</v>
          </cell>
          <cell r="N2839">
            <v>4</v>
          </cell>
        </row>
        <row r="2840">
          <cell r="I2840" t="str">
            <v>AA</v>
          </cell>
          <cell r="N2840">
            <v>2</v>
          </cell>
        </row>
        <row r="2841">
          <cell r="I2841" t="str">
            <v>AA</v>
          </cell>
          <cell r="N2841">
            <v>4</v>
          </cell>
        </row>
        <row r="2842">
          <cell r="I2842" t="str">
            <v>AA</v>
          </cell>
          <cell r="N2842">
            <v>1</v>
          </cell>
        </row>
        <row r="2843">
          <cell r="I2843" t="str">
            <v>AA</v>
          </cell>
          <cell r="N2843">
            <v>4</v>
          </cell>
        </row>
        <row r="2844">
          <cell r="I2844" t="str">
            <v>AA</v>
          </cell>
          <cell r="N2844">
            <v>4</v>
          </cell>
        </row>
        <row r="2845">
          <cell r="I2845" t="str">
            <v>AA</v>
          </cell>
          <cell r="N2845">
            <v>3</v>
          </cell>
        </row>
        <row r="2846">
          <cell r="I2846" t="str">
            <v>AA</v>
          </cell>
          <cell r="N2846">
            <v>2</v>
          </cell>
        </row>
        <row r="2847">
          <cell r="I2847" t="str">
            <v>AA</v>
          </cell>
          <cell r="N2847">
            <v>2</v>
          </cell>
        </row>
        <row r="2848">
          <cell r="I2848" t="str">
            <v>AA</v>
          </cell>
          <cell r="N2848">
            <v>4</v>
          </cell>
        </row>
        <row r="2849">
          <cell r="I2849" t="str">
            <v>AA</v>
          </cell>
          <cell r="N2849">
            <v>4</v>
          </cell>
        </row>
        <row r="2850">
          <cell r="I2850" t="str">
            <v>AA</v>
          </cell>
          <cell r="N2850">
            <v>4</v>
          </cell>
        </row>
        <row r="2851">
          <cell r="I2851" t="str">
            <v>AA</v>
          </cell>
          <cell r="N2851">
            <v>4</v>
          </cell>
        </row>
        <row r="2852">
          <cell r="I2852" t="str">
            <v>AA</v>
          </cell>
          <cell r="N2852">
            <v>2</v>
          </cell>
        </row>
        <row r="2853">
          <cell r="I2853" t="str">
            <v>AA</v>
          </cell>
          <cell r="N2853">
            <v>2</v>
          </cell>
        </row>
        <row r="2854">
          <cell r="I2854" t="str">
            <v>AA</v>
          </cell>
          <cell r="N2854">
            <v>1</v>
          </cell>
        </row>
        <row r="2855">
          <cell r="I2855" t="str">
            <v>AA</v>
          </cell>
          <cell r="N2855">
            <v>2</v>
          </cell>
        </row>
        <row r="2856">
          <cell r="I2856" t="str">
            <v>AA</v>
          </cell>
          <cell r="N2856">
            <v>2</v>
          </cell>
        </row>
        <row r="2857">
          <cell r="I2857" t="str">
            <v>AA</v>
          </cell>
          <cell r="N2857">
            <v>1</v>
          </cell>
        </row>
        <row r="2858">
          <cell r="I2858" t="str">
            <v>AA</v>
          </cell>
          <cell r="N2858">
            <v>2</v>
          </cell>
        </row>
        <row r="2859">
          <cell r="I2859" t="str">
            <v>AA</v>
          </cell>
          <cell r="N2859">
            <v>4</v>
          </cell>
        </row>
        <row r="2860">
          <cell r="I2860" t="str">
            <v>AA</v>
          </cell>
          <cell r="N2860">
            <v>2</v>
          </cell>
        </row>
        <row r="2861">
          <cell r="I2861" t="str">
            <v>AA</v>
          </cell>
          <cell r="N2861">
            <v>4</v>
          </cell>
        </row>
        <row r="2862">
          <cell r="I2862" t="str">
            <v>AA</v>
          </cell>
          <cell r="N2862">
            <v>1</v>
          </cell>
        </row>
        <row r="2863">
          <cell r="I2863" t="str">
            <v>AA</v>
          </cell>
          <cell r="N2863">
            <v>4</v>
          </cell>
        </row>
        <row r="2864">
          <cell r="I2864" t="str">
            <v>AA</v>
          </cell>
          <cell r="N2864">
            <v>4</v>
          </cell>
        </row>
        <row r="2865">
          <cell r="I2865" t="str">
            <v>AA</v>
          </cell>
          <cell r="N2865">
            <v>2</v>
          </cell>
        </row>
        <row r="2866">
          <cell r="I2866" t="str">
            <v>AA</v>
          </cell>
          <cell r="N2866">
            <v>1</v>
          </cell>
        </row>
        <row r="2867">
          <cell r="I2867" t="str">
            <v>AA</v>
          </cell>
          <cell r="N2867">
            <v>4</v>
          </cell>
        </row>
        <row r="2868">
          <cell r="I2868" t="str">
            <v>AA</v>
          </cell>
          <cell r="N2868">
            <v>4</v>
          </cell>
        </row>
        <row r="2869">
          <cell r="I2869" t="str">
            <v>AA</v>
          </cell>
          <cell r="N2869">
            <v>2</v>
          </cell>
        </row>
        <row r="2870">
          <cell r="I2870" t="str">
            <v>AA</v>
          </cell>
          <cell r="N2870">
            <v>2</v>
          </cell>
        </row>
        <row r="2871">
          <cell r="I2871" t="str">
            <v>AA</v>
          </cell>
          <cell r="N2871">
            <v>4</v>
          </cell>
        </row>
        <row r="2872">
          <cell r="I2872" t="str">
            <v>AA</v>
          </cell>
          <cell r="N2872">
            <v>4</v>
          </cell>
        </row>
        <row r="2873">
          <cell r="I2873" t="str">
            <v>AA</v>
          </cell>
          <cell r="N2873">
            <v>4</v>
          </cell>
        </row>
        <row r="2874">
          <cell r="I2874" t="str">
            <v>AA</v>
          </cell>
          <cell r="N2874">
            <v>1</v>
          </cell>
        </row>
        <row r="2875">
          <cell r="I2875" t="str">
            <v>AA</v>
          </cell>
          <cell r="N2875">
            <v>1</v>
          </cell>
        </row>
        <row r="2876">
          <cell r="I2876" t="str">
            <v>AA</v>
          </cell>
          <cell r="N2876">
            <v>4</v>
          </cell>
        </row>
        <row r="2877">
          <cell r="I2877" t="str">
            <v>AA</v>
          </cell>
          <cell r="N2877">
            <v>4</v>
          </cell>
        </row>
        <row r="2878">
          <cell r="I2878" t="str">
            <v>AA</v>
          </cell>
          <cell r="N2878">
            <v>4</v>
          </cell>
        </row>
        <row r="2879">
          <cell r="I2879" t="str">
            <v>AA</v>
          </cell>
          <cell r="N2879">
            <v>2</v>
          </cell>
        </row>
        <row r="2880">
          <cell r="I2880" t="str">
            <v>AA</v>
          </cell>
          <cell r="N2880">
            <v>1</v>
          </cell>
        </row>
        <row r="2881">
          <cell r="I2881" t="str">
            <v>AA</v>
          </cell>
          <cell r="N2881">
            <v>1</v>
          </cell>
        </row>
        <row r="2882">
          <cell r="I2882" t="str">
            <v>AA</v>
          </cell>
          <cell r="N2882">
            <v>1</v>
          </cell>
        </row>
        <row r="2883">
          <cell r="I2883" t="str">
            <v>AA</v>
          </cell>
          <cell r="N2883">
            <v>1</v>
          </cell>
        </row>
        <row r="2884">
          <cell r="I2884" t="str">
            <v>AA</v>
          </cell>
          <cell r="N2884">
            <v>4</v>
          </cell>
        </row>
        <row r="2885">
          <cell r="I2885" t="str">
            <v>AA</v>
          </cell>
          <cell r="N2885">
            <v>4</v>
          </cell>
        </row>
        <row r="2886">
          <cell r="I2886" t="str">
            <v>AA</v>
          </cell>
          <cell r="N2886">
            <v>1</v>
          </cell>
        </row>
        <row r="2887">
          <cell r="I2887" t="str">
            <v>AA</v>
          </cell>
          <cell r="N2887">
            <v>2</v>
          </cell>
        </row>
        <row r="2888">
          <cell r="I2888" t="str">
            <v>AA</v>
          </cell>
          <cell r="N2888">
            <v>4</v>
          </cell>
        </row>
        <row r="2889">
          <cell r="I2889" t="str">
            <v>AA</v>
          </cell>
          <cell r="N2889">
            <v>4</v>
          </cell>
        </row>
        <row r="2890">
          <cell r="I2890" t="str">
            <v>AA</v>
          </cell>
          <cell r="N2890">
            <v>4</v>
          </cell>
        </row>
        <row r="2891">
          <cell r="I2891" t="str">
            <v>AA</v>
          </cell>
          <cell r="N2891">
            <v>1</v>
          </cell>
        </row>
        <row r="2892">
          <cell r="I2892" t="str">
            <v>AA</v>
          </cell>
          <cell r="N2892">
            <v>4</v>
          </cell>
        </row>
        <row r="2893">
          <cell r="I2893" t="str">
            <v>AA</v>
          </cell>
          <cell r="N2893">
            <v>4</v>
          </cell>
        </row>
        <row r="2894">
          <cell r="I2894" t="str">
            <v>AA</v>
          </cell>
          <cell r="N2894">
            <v>4</v>
          </cell>
        </row>
        <row r="2895">
          <cell r="I2895" t="str">
            <v>AA</v>
          </cell>
          <cell r="N2895">
            <v>2</v>
          </cell>
        </row>
        <row r="2896">
          <cell r="I2896" t="str">
            <v>AA</v>
          </cell>
          <cell r="N2896">
            <v>4</v>
          </cell>
        </row>
        <row r="2897">
          <cell r="I2897" t="str">
            <v>AA</v>
          </cell>
          <cell r="N2897">
            <v>1</v>
          </cell>
        </row>
        <row r="2898">
          <cell r="I2898" t="str">
            <v>AA</v>
          </cell>
          <cell r="N2898">
            <v>1</v>
          </cell>
        </row>
        <row r="2899">
          <cell r="I2899" t="str">
            <v>AA</v>
          </cell>
          <cell r="N2899">
            <v>4</v>
          </cell>
        </row>
        <row r="2900">
          <cell r="I2900" t="str">
            <v>AA</v>
          </cell>
          <cell r="N2900">
            <v>2</v>
          </cell>
        </row>
        <row r="2901">
          <cell r="I2901" t="str">
            <v>AA</v>
          </cell>
          <cell r="N2901">
            <v>4</v>
          </cell>
        </row>
        <row r="2902">
          <cell r="I2902" t="str">
            <v>AA</v>
          </cell>
          <cell r="N2902">
            <v>1</v>
          </cell>
        </row>
        <row r="2903">
          <cell r="I2903" t="str">
            <v>AA</v>
          </cell>
          <cell r="N2903">
            <v>4</v>
          </cell>
        </row>
        <row r="2904">
          <cell r="I2904" t="str">
            <v>AA</v>
          </cell>
          <cell r="N2904">
            <v>4</v>
          </cell>
        </row>
        <row r="2905">
          <cell r="I2905" t="str">
            <v>AA</v>
          </cell>
          <cell r="N2905">
            <v>4</v>
          </cell>
        </row>
        <row r="2906">
          <cell r="I2906" t="str">
            <v>AA</v>
          </cell>
          <cell r="N2906">
            <v>4</v>
          </cell>
        </row>
        <row r="2907">
          <cell r="I2907" t="str">
            <v>AA</v>
          </cell>
          <cell r="N2907">
            <v>1</v>
          </cell>
        </row>
        <row r="2908">
          <cell r="I2908" t="str">
            <v>AA</v>
          </cell>
          <cell r="N2908">
            <v>4</v>
          </cell>
        </row>
        <row r="2909">
          <cell r="I2909" t="str">
            <v>AA</v>
          </cell>
          <cell r="N2909">
            <v>1</v>
          </cell>
        </row>
        <row r="2910">
          <cell r="I2910" t="str">
            <v>AA</v>
          </cell>
          <cell r="N2910">
            <v>4</v>
          </cell>
        </row>
        <row r="2911">
          <cell r="I2911" t="str">
            <v>AA</v>
          </cell>
          <cell r="N2911">
            <v>1</v>
          </cell>
        </row>
        <row r="2912">
          <cell r="I2912" t="str">
            <v>AA</v>
          </cell>
          <cell r="N2912">
            <v>1</v>
          </cell>
        </row>
        <row r="2913">
          <cell r="I2913" t="str">
            <v>AA</v>
          </cell>
          <cell r="N2913">
            <v>4</v>
          </cell>
        </row>
        <row r="2914">
          <cell r="I2914" t="str">
            <v>AA</v>
          </cell>
          <cell r="N2914">
            <v>4</v>
          </cell>
        </row>
        <row r="2915">
          <cell r="I2915" t="str">
            <v>AA</v>
          </cell>
          <cell r="N2915">
            <v>4</v>
          </cell>
        </row>
        <row r="2916">
          <cell r="I2916" t="str">
            <v>AA</v>
          </cell>
          <cell r="N2916">
            <v>1</v>
          </cell>
        </row>
        <row r="2917">
          <cell r="I2917" t="str">
            <v>AA</v>
          </cell>
          <cell r="N2917">
            <v>1</v>
          </cell>
        </row>
        <row r="2918">
          <cell r="I2918" t="str">
            <v>AA</v>
          </cell>
          <cell r="N2918">
            <v>1</v>
          </cell>
        </row>
        <row r="2919">
          <cell r="I2919" t="str">
            <v>AA</v>
          </cell>
          <cell r="N2919">
            <v>4</v>
          </cell>
        </row>
        <row r="2920">
          <cell r="I2920" t="str">
            <v>AA</v>
          </cell>
          <cell r="N2920">
            <v>4</v>
          </cell>
        </row>
        <row r="2921">
          <cell r="I2921" t="str">
            <v>AA</v>
          </cell>
          <cell r="N2921">
            <v>5</v>
          </cell>
        </row>
        <row r="2922">
          <cell r="I2922" t="str">
            <v>AA</v>
          </cell>
          <cell r="N2922">
            <v>4</v>
          </cell>
        </row>
        <row r="2923">
          <cell r="I2923" t="str">
            <v>AA</v>
          </cell>
          <cell r="N2923">
            <v>4</v>
          </cell>
        </row>
        <row r="2924">
          <cell r="I2924" t="str">
            <v>AA</v>
          </cell>
          <cell r="N2924">
            <v>4</v>
          </cell>
        </row>
        <row r="2925">
          <cell r="I2925" t="str">
            <v>AA</v>
          </cell>
          <cell r="N2925">
            <v>1</v>
          </cell>
        </row>
        <row r="2926">
          <cell r="I2926" t="str">
            <v>AA</v>
          </cell>
          <cell r="N2926">
            <v>4</v>
          </cell>
        </row>
        <row r="2927">
          <cell r="I2927" t="str">
            <v>AA</v>
          </cell>
          <cell r="N2927">
            <v>1</v>
          </cell>
        </row>
        <row r="2928">
          <cell r="I2928" t="str">
            <v>AA</v>
          </cell>
          <cell r="N2928">
            <v>1</v>
          </cell>
        </row>
        <row r="2929">
          <cell r="I2929" t="str">
            <v>AA</v>
          </cell>
          <cell r="N2929">
            <v>1</v>
          </cell>
        </row>
        <row r="2930">
          <cell r="I2930" t="str">
            <v>AA</v>
          </cell>
          <cell r="N2930">
            <v>1</v>
          </cell>
        </row>
        <row r="2931">
          <cell r="I2931" t="str">
            <v>AA</v>
          </cell>
          <cell r="N2931">
            <v>4</v>
          </cell>
        </row>
        <row r="2932">
          <cell r="I2932" t="str">
            <v>AA</v>
          </cell>
          <cell r="N2932">
            <v>1</v>
          </cell>
        </row>
        <row r="2933">
          <cell r="I2933" t="str">
            <v>AA</v>
          </cell>
          <cell r="N2933">
            <v>2</v>
          </cell>
        </row>
        <row r="2934">
          <cell r="I2934" t="str">
            <v>AA</v>
          </cell>
          <cell r="N2934">
            <v>1</v>
          </cell>
        </row>
        <row r="2935">
          <cell r="I2935" t="str">
            <v>AA</v>
          </cell>
          <cell r="N2935">
            <v>4</v>
          </cell>
        </row>
        <row r="2936">
          <cell r="I2936" t="str">
            <v>AA</v>
          </cell>
          <cell r="N2936">
            <v>4</v>
          </cell>
        </row>
        <row r="2937">
          <cell r="I2937" t="str">
            <v>AA</v>
          </cell>
          <cell r="N2937">
            <v>4</v>
          </cell>
        </row>
        <row r="2938">
          <cell r="I2938" t="str">
            <v>AA</v>
          </cell>
          <cell r="N2938">
            <v>4</v>
          </cell>
        </row>
        <row r="2939">
          <cell r="I2939" t="str">
            <v>AA</v>
          </cell>
          <cell r="N2939">
            <v>4</v>
          </cell>
        </row>
        <row r="2940">
          <cell r="I2940" t="str">
            <v>AA</v>
          </cell>
          <cell r="N2940">
            <v>4</v>
          </cell>
        </row>
        <row r="2941">
          <cell r="I2941" t="str">
            <v>AA</v>
          </cell>
          <cell r="N2941">
            <v>1</v>
          </cell>
        </row>
        <row r="2942">
          <cell r="I2942" t="str">
            <v>AA</v>
          </cell>
          <cell r="N2942">
            <v>4</v>
          </cell>
        </row>
        <row r="2943">
          <cell r="I2943" t="str">
            <v>AA</v>
          </cell>
          <cell r="N2943">
            <v>1</v>
          </cell>
        </row>
        <row r="2944">
          <cell r="I2944" t="str">
            <v>AA</v>
          </cell>
          <cell r="N2944">
            <v>5</v>
          </cell>
        </row>
        <row r="2945">
          <cell r="I2945" t="str">
            <v>AA</v>
          </cell>
          <cell r="N2945">
            <v>4</v>
          </cell>
        </row>
        <row r="2946">
          <cell r="I2946" t="str">
            <v>AA</v>
          </cell>
          <cell r="N2946">
            <v>4</v>
          </cell>
        </row>
        <row r="2947">
          <cell r="I2947" t="str">
            <v>AA</v>
          </cell>
          <cell r="N2947">
            <v>1</v>
          </cell>
        </row>
        <row r="2948">
          <cell r="I2948" t="str">
            <v>AA</v>
          </cell>
          <cell r="N2948">
            <v>4</v>
          </cell>
        </row>
        <row r="2949">
          <cell r="I2949" t="str">
            <v>AA</v>
          </cell>
          <cell r="N2949">
            <v>4</v>
          </cell>
        </row>
        <row r="2950">
          <cell r="I2950" t="str">
            <v>AA</v>
          </cell>
          <cell r="N2950">
            <v>5</v>
          </cell>
        </row>
        <row r="2951">
          <cell r="I2951" t="str">
            <v>AA</v>
          </cell>
          <cell r="N2951">
            <v>5</v>
          </cell>
        </row>
        <row r="2952">
          <cell r="I2952" t="str">
            <v>AA</v>
          </cell>
          <cell r="N2952">
            <v>1</v>
          </cell>
        </row>
        <row r="2953">
          <cell r="I2953" t="str">
            <v>AA</v>
          </cell>
          <cell r="N2953">
            <v>1</v>
          </cell>
        </row>
        <row r="2954">
          <cell r="I2954" t="str">
            <v>AA</v>
          </cell>
          <cell r="N2954">
            <v>4</v>
          </cell>
        </row>
        <row r="2955">
          <cell r="I2955" t="str">
            <v>AA</v>
          </cell>
          <cell r="N2955">
            <v>1</v>
          </cell>
        </row>
        <row r="2956">
          <cell r="I2956" t="str">
            <v>AA</v>
          </cell>
          <cell r="N2956">
            <v>1</v>
          </cell>
        </row>
        <row r="2957">
          <cell r="I2957" t="str">
            <v>AA</v>
          </cell>
          <cell r="N2957">
            <v>1</v>
          </cell>
        </row>
        <row r="2958">
          <cell r="I2958" t="str">
            <v>AA</v>
          </cell>
          <cell r="N2958">
            <v>2</v>
          </cell>
        </row>
        <row r="2959">
          <cell r="I2959" t="str">
            <v>AA</v>
          </cell>
          <cell r="N2959">
            <v>4</v>
          </cell>
        </row>
        <row r="2960">
          <cell r="I2960" t="str">
            <v>AA</v>
          </cell>
          <cell r="N2960">
            <v>4</v>
          </cell>
        </row>
        <row r="2961">
          <cell r="I2961" t="str">
            <v>AA</v>
          </cell>
          <cell r="N2961">
            <v>1</v>
          </cell>
        </row>
        <row r="2962">
          <cell r="I2962" t="str">
            <v>AA</v>
          </cell>
          <cell r="N2962">
            <v>4</v>
          </cell>
        </row>
        <row r="2963">
          <cell r="I2963" t="str">
            <v>AA</v>
          </cell>
          <cell r="N2963">
            <v>1</v>
          </cell>
        </row>
        <row r="2964">
          <cell r="I2964" t="str">
            <v>AA</v>
          </cell>
          <cell r="N2964">
            <v>5</v>
          </cell>
        </row>
        <row r="2965">
          <cell r="I2965" t="str">
            <v>AA</v>
          </cell>
          <cell r="N2965">
            <v>1</v>
          </cell>
        </row>
        <row r="2966">
          <cell r="I2966" t="str">
            <v>AA</v>
          </cell>
          <cell r="N2966">
            <v>1</v>
          </cell>
        </row>
        <row r="2967">
          <cell r="I2967" t="str">
            <v>AA</v>
          </cell>
          <cell r="N2967">
            <v>1</v>
          </cell>
        </row>
        <row r="2968">
          <cell r="I2968" t="str">
            <v>AA</v>
          </cell>
          <cell r="N2968">
            <v>4</v>
          </cell>
        </row>
        <row r="2969">
          <cell r="I2969" t="str">
            <v>AA</v>
          </cell>
          <cell r="N2969">
            <v>5</v>
          </cell>
        </row>
        <row r="2970">
          <cell r="I2970" t="str">
            <v>AA</v>
          </cell>
          <cell r="N2970">
            <v>4</v>
          </cell>
        </row>
        <row r="2971">
          <cell r="I2971" t="str">
            <v>AA</v>
          </cell>
          <cell r="N2971">
            <v>4</v>
          </cell>
        </row>
        <row r="2972">
          <cell r="I2972" t="str">
            <v>AA</v>
          </cell>
          <cell r="N2972">
            <v>5</v>
          </cell>
        </row>
        <row r="2973">
          <cell r="I2973" t="str">
            <v>AA</v>
          </cell>
          <cell r="N2973">
            <v>4</v>
          </cell>
        </row>
        <row r="2974">
          <cell r="I2974" t="str">
            <v>AA</v>
          </cell>
          <cell r="N2974">
            <v>4</v>
          </cell>
        </row>
        <row r="2975">
          <cell r="I2975" t="str">
            <v>AA</v>
          </cell>
          <cell r="N2975">
            <v>5</v>
          </cell>
        </row>
        <row r="2976">
          <cell r="I2976" t="str">
            <v>AA</v>
          </cell>
          <cell r="N2976">
            <v>4</v>
          </cell>
        </row>
        <row r="2977">
          <cell r="I2977" t="str">
            <v>AA</v>
          </cell>
          <cell r="N2977">
            <v>1</v>
          </cell>
        </row>
        <row r="2978">
          <cell r="I2978" t="str">
            <v>AA</v>
          </cell>
          <cell r="N2978">
            <v>1</v>
          </cell>
        </row>
        <row r="2979">
          <cell r="I2979" t="str">
            <v>AA</v>
          </cell>
          <cell r="N2979">
            <v>1</v>
          </cell>
        </row>
        <row r="2980">
          <cell r="I2980" t="str">
            <v>AA</v>
          </cell>
          <cell r="N2980">
            <v>4</v>
          </cell>
        </row>
        <row r="2981">
          <cell r="I2981" t="str">
            <v>AA</v>
          </cell>
          <cell r="N2981">
            <v>4</v>
          </cell>
        </row>
        <row r="2982">
          <cell r="I2982" t="str">
            <v>AA</v>
          </cell>
          <cell r="N2982">
            <v>4</v>
          </cell>
        </row>
        <row r="2983">
          <cell r="I2983" t="str">
            <v>AA</v>
          </cell>
          <cell r="N2983">
            <v>5</v>
          </cell>
        </row>
        <row r="2984">
          <cell r="I2984" t="str">
            <v>AA</v>
          </cell>
          <cell r="N2984">
            <v>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H179"/>
  <sheetViews>
    <sheetView workbookViewId="0">
      <pane ySplit="1" topLeftCell="A9" activePane="bottomLeft" state="frozen"/>
      <selection pane="bottomLeft"/>
    </sheetView>
  </sheetViews>
  <sheetFormatPr defaultRowHeight="15" x14ac:dyDescent="0.25"/>
  <sheetData>
    <row r="1" spans="1:3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3966</v>
      </c>
      <c r="AG1" s="1" t="s">
        <v>34</v>
      </c>
      <c r="AH1" s="1" t="s">
        <v>35</v>
      </c>
    </row>
    <row r="2" spans="1:34" hidden="1" x14ac:dyDescent="0.25">
      <c r="A2">
        <v>1</v>
      </c>
      <c r="B2" t="s">
        <v>3967</v>
      </c>
      <c r="C2" t="s">
        <v>376</v>
      </c>
      <c r="D2" t="s">
        <v>3968</v>
      </c>
      <c r="E2" t="s">
        <v>37</v>
      </c>
      <c r="G2">
        <v>0.21</v>
      </c>
      <c r="H2" t="s">
        <v>72</v>
      </c>
      <c r="I2" t="s">
        <v>1024</v>
      </c>
      <c r="J2" t="s">
        <v>1025</v>
      </c>
      <c r="K2" t="s">
        <v>3969</v>
      </c>
      <c r="L2" t="s">
        <v>3970</v>
      </c>
      <c r="M2" t="s">
        <v>57</v>
      </c>
      <c r="N2" t="s">
        <v>624</v>
      </c>
      <c r="O2" t="s">
        <v>625</v>
      </c>
      <c r="P2">
        <v>0.21833546062277401</v>
      </c>
      <c r="Q2" t="s">
        <v>57</v>
      </c>
      <c r="R2" t="s">
        <v>38</v>
      </c>
      <c r="S2" t="s">
        <v>3971</v>
      </c>
      <c r="U2" t="s">
        <v>70</v>
      </c>
      <c r="W2" t="s">
        <v>3972</v>
      </c>
      <c r="X2" t="s">
        <v>1486</v>
      </c>
      <c r="Y2" t="s">
        <v>2623</v>
      </c>
      <c r="Z2" t="s">
        <v>50</v>
      </c>
      <c r="AA2" t="s">
        <v>453</v>
      </c>
      <c r="AB2" t="s">
        <v>3973</v>
      </c>
      <c r="AF2" t="s">
        <v>3974</v>
      </c>
      <c r="AG2">
        <v>177.95315858833331</v>
      </c>
      <c r="AH2">
        <v>883.57579535858235</v>
      </c>
    </row>
    <row r="3" spans="1:34" hidden="1" x14ac:dyDescent="0.25">
      <c r="A3">
        <v>2</v>
      </c>
      <c r="B3" t="s">
        <v>3975</v>
      </c>
      <c r="C3" t="s">
        <v>376</v>
      </c>
      <c r="D3" t="s">
        <v>3968</v>
      </c>
      <c r="E3" t="s">
        <v>37</v>
      </c>
      <c r="G3">
        <v>0.79</v>
      </c>
      <c r="H3" t="s">
        <v>72</v>
      </c>
      <c r="I3" t="s">
        <v>1024</v>
      </c>
      <c r="J3" t="s">
        <v>1025</v>
      </c>
      <c r="K3" t="s">
        <v>3969</v>
      </c>
      <c r="L3" t="s">
        <v>3970</v>
      </c>
      <c r="M3" t="s">
        <v>57</v>
      </c>
      <c r="N3" t="s">
        <v>624</v>
      </c>
      <c r="O3" t="s">
        <v>625</v>
      </c>
      <c r="P3">
        <v>0.79592205246077041</v>
      </c>
      <c r="Q3" t="s">
        <v>57</v>
      </c>
      <c r="R3" t="s">
        <v>38</v>
      </c>
      <c r="S3" t="s">
        <v>3976</v>
      </c>
      <c r="U3" t="s">
        <v>70</v>
      </c>
      <c r="W3" t="s">
        <v>3972</v>
      </c>
      <c r="X3" t="s">
        <v>1486</v>
      </c>
      <c r="Y3" t="s">
        <v>2623</v>
      </c>
      <c r="Z3" t="s">
        <v>50</v>
      </c>
      <c r="AA3" t="s">
        <v>453</v>
      </c>
      <c r="AB3" t="s">
        <v>3973</v>
      </c>
      <c r="AF3" t="s">
        <v>3974</v>
      </c>
      <c r="AG3">
        <v>381.03451817902499</v>
      </c>
      <c r="AH3">
        <v>3220.995153698389</v>
      </c>
    </row>
    <row r="4" spans="1:34" hidden="1" x14ac:dyDescent="0.25">
      <c r="A4">
        <v>3</v>
      </c>
      <c r="B4" t="s">
        <v>3977</v>
      </c>
      <c r="C4" t="s">
        <v>376</v>
      </c>
      <c r="D4" t="s">
        <v>3968</v>
      </c>
      <c r="E4" t="s">
        <v>37</v>
      </c>
      <c r="G4">
        <v>1</v>
      </c>
      <c r="H4" t="s">
        <v>72</v>
      </c>
      <c r="I4" t="s">
        <v>1024</v>
      </c>
      <c r="J4" t="s">
        <v>1025</v>
      </c>
      <c r="K4" t="s">
        <v>3969</v>
      </c>
      <c r="L4" t="s">
        <v>3970</v>
      </c>
      <c r="M4" t="s">
        <v>57</v>
      </c>
      <c r="N4" t="s">
        <v>624</v>
      </c>
      <c r="O4" t="s">
        <v>625</v>
      </c>
      <c r="P4">
        <v>0.9912735833912536</v>
      </c>
      <c r="Q4" t="s">
        <v>57</v>
      </c>
      <c r="R4" t="s">
        <v>38</v>
      </c>
      <c r="S4" t="s">
        <v>3978</v>
      </c>
      <c r="U4" t="s">
        <v>70</v>
      </c>
      <c r="W4" t="s">
        <v>3972</v>
      </c>
      <c r="X4" t="s">
        <v>1486</v>
      </c>
      <c r="Y4" t="s">
        <v>2623</v>
      </c>
      <c r="Z4" t="s">
        <v>50</v>
      </c>
      <c r="AA4" t="s">
        <v>453</v>
      </c>
      <c r="AB4" t="s">
        <v>3973</v>
      </c>
      <c r="AF4" t="s">
        <v>3974</v>
      </c>
      <c r="AG4">
        <v>352.60067308104772</v>
      </c>
      <c r="AH4">
        <v>4011.5579135179642</v>
      </c>
    </row>
    <row r="5" spans="1:34" hidden="1" x14ac:dyDescent="0.25">
      <c r="A5">
        <v>4</v>
      </c>
      <c r="B5" t="s">
        <v>3979</v>
      </c>
      <c r="C5" t="s">
        <v>376</v>
      </c>
      <c r="D5" t="s">
        <v>3968</v>
      </c>
      <c r="E5" t="s">
        <v>37</v>
      </c>
      <c r="G5">
        <v>0</v>
      </c>
      <c r="H5" t="s">
        <v>72</v>
      </c>
      <c r="I5" t="s">
        <v>1024</v>
      </c>
      <c r="J5" t="s">
        <v>1025</v>
      </c>
      <c r="K5" t="s">
        <v>3969</v>
      </c>
      <c r="L5" t="s">
        <v>3970</v>
      </c>
      <c r="M5" t="s">
        <v>57</v>
      </c>
      <c r="N5" t="s">
        <v>99</v>
      </c>
      <c r="O5" t="s">
        <v>100</v>
      </c>
      <c r="P5">
        <v>2.330689827413911E-2</v>
      </c>
      <c r="Q5" t="s">
        <v>60</v>
      </c>
      <c r="R5" t="s">
        <v>66</v>
      </c>
      <c r="S5" t="s">
        <v>3980</v>
      </c>
      <c r="U5" t="s">
        <v>60</v>
      </c>
      <c r="X5" t="s">
        <v>1486</v>
      </c>
      <c r="Y5" t="s">
        <v>2623</v>
      </c>
      <c r="Z5" t="s">
        <v>139</v>
      </c>
      <c r="AA5" t="s">
        <v>453</v>
      </c>
      <c r="AF5" t="s">
        <v>3981</v>
      </c>
      <c r="AG5">
        <v>60.301844747889049</v>
      </c>
      <c r="AH5">
        <v>94.320048246739034</v>
      </c>
    </row>
    <row r="6" spans="1:34" hidden="1" x14ac:dyDescent="0.25">
      <c r="A6">
        <v>5</v>
      </c>
      <c r="B6" t="s">
        <v>3982</v>
      </c>
      <c r="C6" t="s">
        <v>376</v>
      </c>
      <c r="D6" t="s">
        <v>3968</v>
      </c>
      <c r="E6" t="s">
        <v>37</v>
      </c>
      <c r="G6">
        <v>0</v>
      </c>
      <c r="H6" t="s">
        <v>72</v>
      </c>
      <c r="I6" t="s">
        <v>1024</v>
      </c>
      <c r="J6" t="s">
        <v>1025</v>
      </c>
      <c r="K6" t="s">
        <v>3969</v>
      </c>
      <c r="L6" t="s">
        <v>3970</v>
      </c>
      <c r="M6" t="s">
        <v>57</v>
      </c>
      <c r="N6" t="s">
        <v>99</v>
      </c>
      <c r="O6" t="s">
        <v>100</v>
      </c>
      <c r="P6">
        <v>1.708504057058138E-2</v>
      </c>
      <c r="Q6" t="s">
        <v>60</v>
      </c>
      <c r="R6" t="s">
        <v>66</v>
      </c>
      <c r="S6" t="s">
        <v>3980</v>
      </c>
      <c r="U6" t="s">
        <v>60</v>
      </c>
      <c r="X6" t="s">
        <v>1486</v>
      </c>
      <c r="Y6" t="s">
        <v>2623</v>
      </c>
      <c r="Z6" t="s">
        <v>139</v>
      </c>
      <c r="AA6" t="s">
        <v>453</v>
      </c>
      <c r="AF6" t="s">
        <v>3981</v>
      </c>
      <c r="AG6">
        <v>54.559829092043458</v>
      </c>
      <c r="AH6">
        <v>69.140982723676132</v>
      </c>
    </row>
    <row r="7" spans="1:34" hidden="1" x14ac:dyDescent="0.25">
      <c r="A7">
        <v>6</v>
      </c>
      <c r="B7" t="s">
        <v>3983</v>
      </c>
      <c r="C7" t="s">
        <v>376</v>
      </c>
      <c r="D7" t="s">
        <v>3968</v>
      </c>
      <c r="E7" t="s">
        <v>37</v>
      </c>
      <c r="G7">
        <v>0</v>
      </c>
      <c r="H7" t="s">
        <v>72</v>
      </c>
      <c r="I7" t="s">
        <v>1024</v>
      </c>
      <c r="J7" t="s">
        <v>1025</v>
      </c>
      <c r="K7" t="s">
        <v>3969</v>
      </c>
      <c r="L7" t="s">
        <v>3970</v>
      </c>
      <c r="M7" t="s">
        <v>57</v>
      </c>
      <c r="N7" t="s">
        <v>99</v>
      </c>
      <c r="O7" t="s">
        <v>100</v>
      </c>
      <c r="P7">
        <v>4.0959163995972533E-2</v>
      </c>
      <c r="Q7" t="s">
        <v>60</v>
      </c>
      <c r="R7" t="s">
        <v>66</v>
      </c>
      <c r="S7" t="s">
        <v>3980</v>
      </c>
      <c r="U7" t="s">
        <v>60</v>
      </c>
      <c r="X7" t="s">
        <v>1486</v>
      </c>
      <c r="Y7" t="s">
        <v>2623</v>
      </c>
      <c r="Z7" t="s">
        <v>139</v>
      </c>
      <c r="AA7" t="s">
        <v>453</v>
      </c>
      <c r="AF7" t="s">
        <v>3981</v>
      </c>
      <c r="AG7">
        <v>51.790404311789743</v>
      </c>
      <c r="AH7">
        <v>165.75651889864881</v>
      </c>
    </row>
    <row r="8" spans="1:34" hidden="1" x14ac:dyDescent="0.25">
      <c r="A8">
        <v>7</v>
      </c>
      <c r="B8" t="s">
        <v>3984</v>
      </c>
      <c r="C8" t="s">
        <v>376</v>
      </c>
      <c r="D8" t="s">
        <v>3968</v>
      </c>
      <c r="E8" t="s">
        <v>37</v>
      </c>
      <c r="G8">
        <v>0</v>
      </c>
      <c r="H8" t="s">
        <v>72</v>
      </c>
      <c r="I8" t="s">
        <v>1024</v>
      </c>
      <c r="J8" t="s">
        <v>1025</v>
      </c>
      <c r="K8" t="s">
        <v>3969</v>
      </c>
      <c r="L8" t="s">
        <v>3970</v>
      </c>
      <c r="M8" t="s">
        <v>57</v>
      </c>
      <c r="N8" t="s">
        <v>99</v>
      </c>
      <c r="O8" t="s">
        <v>100</v>
      </c>
      <c r="P8">
        <v>1.1027034082226109E-2</v>
      </c>
      <c r="Q8" t="s">
        <v>60</v>
      </c>
      <c r="R8" t="s">
        <v>66</v>
      </c>
      <c r="S8" t="s">
        <v>3980</v>
      </c>
      <c r="U8" t="s">
        <v>60</v>
      </c>
      <c r="X8" t="s">
        <v>1486</v>
      </c>
      <c r="Y8" t="s">
        <v>2623</v>
      </c>
      <c r="Z8" t="s">
        <v>139</v>
      </c>
      <c r="AA8" t="s">
        <v>453</v>
      </c>
      <c r="AF8" t="s">
        <v>3981</v>
      </c>
      <c r="AG8">
        <v>33.608518923886677</v>
      </c>
      <c r="AH8">
        <v>44.625002195510689</v>
      </c>
    </row>
    <row r="9" spans="1:34" x14ac:dyDescent="0.25">
      <c r="A9">
        <v>8</v>
      </c>
      <c r="B9" t="s">
        <v>3985</v>
      </c>
      <c r="C9" t="s">
        <v>376</v>
      </c>
      <c r="D9" t="s">
        <v>3968</v>
      </c>
      <c r="E9" t="s">
        <v>37</v>
      </c>
      <c r="G9">
        <v>0</v>
      </c>
      <c r="H9" t="s">
        <v>72</v>
      </c>
      <c r="I9" t="s">
        <v>1024</v>
      </c>
      <c r="J9" t="s">
        <v>1025</v>
      </c>
      <c r="K9" t="s">
        <v>3969</v>
      </c>
      <c r="L9" t="s">
        <v>3970</v>
      </c>
      <c r="M9" t="s">
        <v>57</v>
      </c>
      <c r="N9" t="s">
        <v>62</v>
      </c>
      <c r="O9" t="s">
        <v>63</v>
      </c>
      <c r="P9">
        <v>0.144474880116501</v>
      </c>
      <c r="Q9" t="s">
        <v>64</v>
      </c>
      <c r="R9" t="s">
        <v>65</v>
      </c>
      <c r="S9" t="s">
        <v>3986</v>
      </c>
      <c r="U9" t="s">
        <v>73</v>
      </c>
      <c r="X9" t="s">
        <v>1486</v>
      </c>
      <c r="Y9" t="s">
        <v>2623</v>
      </c>
      <c r="Z9" t="s">
        <v>139</v>
      </c>
      <c r="AA9" t="s">
        <v>453</v>
      </c>
      <c r="AF9" t="s">
        <v>3987</v>
      </c>
      <c r="AG9">
        <v>109.47847108686921</v>
      </c>
      <c r="AH9">
        <v>584.67143515833413</v>
      </c>
    </row>
    <row r="10" spans="1:34" x14ac:dyDescent="0.25">
      <c r="A10">
        <v>9</v>
      </c>
      <c r="B10" t="s">
        <v>3988</v>
      </c>
      <c r="C10" t="s">
        <v>376</v>
      </c>
      <c r="D10" t="s">
        <v>3968</v>
      </c>
      <c r="E10" t="s">
        <v>37</v>
      </c>
      <c r="G10">
        <v>0</v>
      </c>
      <c r="H10" t="s">
        <v>72</v>
      </c>
      <c r="I10" t="s">
        <v>1024</v>
      </c>
      <c r="J10" t="s">
        <v>1025</v>
      </c>
      <c r="K10" t="s">
        <v>3969</v>
      </c>
      <c r="L10" t="s">
        <v>3970</v>
      </c>
      <c r="M10" t="s">
        <v>57</v>
      </c>
      <c r="N10" t="s">
        <v>62</v>
      </c>
      <c r="O10" t="s">
        <v>63</v>
      </c>
      <c r="P10">
        <v>3.3734159821583197E-2</v>
      </c>
      <c r="Q10" t="s">
        <v>64</v>
      </c>
      <c r="R10" t="s">
        <v>65</v>
      </c>
      <c r="S10" t="s">
        <v>3980</v>
      </c>
      <c r="U10" t="s">
        <v>73</v>
      </c>
      <c r="X10" t="s">
        <v>1486</v>
      </c>
      <c r="Y10" t="s">
        <v>2623</v>
      </c>
      <c r="Z10" t="s">
        <v>139</v>
      </c>
      <c r="AA10" t="s">
        <v>453</v>
      </c>
      <c r="AF10" t="s">
        <v>3987</v>
      </c>
      <c r="AG10">
        <v>47.617705826628232</v>
      </c>
      <c r="AH10">
        <v>136.5178473990855</v>
      </c>
    </row>
    <row r="11" spans="1:34" hidden="1" x14ac:dyDescent="0.25">
      <c r="A11">
        <v>10</v>
      </c>
      <c r="B11" t="s">
        <v>3989</v>
      </c>
      <c r="C11" t="s">
        <v>376</v>
      </c>
      <c r="D11" t="s">
        <v>3968</v>
      </c>
      <c r="E11" t="s">
        <v>37</v>
      </c>
      <c r="G11">
        <v>0</v>
      </c>
      <c r="H11" t="s">
        <v>72</v>
      </c>
      <c r="I11" t="s">
        <v>1024</v>
      </c>
      <c r="J11" t="s">
        <v>1025</v>
      </c>
      <c r="K11" t="s">
        <v>3969</v>
      </c>
      <c r="L11" t="s">
        <v>3970</v>
      </c>
      <c r="M11" t="s">
        <v>57</v>
      </c>
      <c r="N11" t="s">
        <v>99</v>
      </c>
      <c r="O11" t="s">
        <v>100</v>
      </c>
      <c r="P11">
        <v>0.35424386462177537</v>
      </c>
      <c r="Q11" t="s">
        <v>60</v>
      </c>
      <c r="R11" t="s">
        <v>66</v>
      </c>
      <c r="S11" t="s">
        <v>3980</v>
      </c>
      <c r="U11" t="s">
        <v>46</v>
      </c>
      <c r="X11" t="s">
        <v>1031</v>
      </c>
      <c r="Y11" t="s">
        <v>765</v>
      </c>
      <c r="Z11" t="s">
        <v>119</v>
      </c>
      <c r="AA11" t="s">
        <v>453</v>
      </c>
      <c r="AF11" t="s">
        <v>3981</v>
      </c>
      <c r="AG11">
        <v>269.03804422457972</v>
      </c>
      <c r="AH11">
        <v>1433.5797929538651</v>
      </c>
    </row>
    <row r="12" spans="1:34" x14ac:dyDescent="0.25">
      <c r="A12">
        <v>11</v>
      </c>
      <c r="B12" t="s">
        <v>3990</v>
      </c>
      <c r="C12" t="s">
        <v>376</v>
      </c>
      <c r="D12" t="s">
        <v>3968</v>
      </c>
      <c r="E12" t="s">
        <v>37</v>
      </c>
      <c r="G12">
        <v>0</v>
      </c>
      <c r="H12" t="s">
        <v>72</v>
      </c>
      <c r="I12" t="s">
        <v>1024</v>
      </c>
      <c r="J12" t="s">
        <v>1025</v>
      </c>
      <c r="K12" t="s">
        <v>3969</v>
      </c>
      <c r="L12" t="s">
        <v>3970</v>
      </c>
      <c r="M12" t="s">
        <v>57</v>
      </c>
      <c r="N12" t="s">
        <v>62</v>
      </c>
      <c r="O12" t="s">
        <v>63</v>
      </c>
      <c r="P12">
        <v>0.23828318704742019</v>
      </c>
      <c r="Q12" t="s">
        <v>64</v>
      </c>
      <c r="R12" t="s">
        <v>65</v>
      </c>
      <c r="S12" t="s">
        <v>3991</v>
      </c>
      <c r="U12" t="s">
        <v>46</v>
      </c>
      <c r="X12" t="s">
        <v>1031</v>
      </c>
      <c r="Y12" t="s">
        <v>765</v>
      </c>
      <c r="Z12" t="s">
        <v>119</v>
      </c>
      <c r="AA12" t="s">
        <v>453</v>
      </c>
      <c r="AF12" t="s">
        <v>3981</v>
      </c>
      <c r="AG12">
        <v>145.32403383801011</v>
      </c>
      <c r="AH12">
        <v>964.30170305574779</v>
      </c>
    </row>
    <row r="13" spans="1:34" hidden="1" x14ac:dyDescent="0.25">
      <c r="A13">
        <v>12</v>
      </c>
      <c r="B13" t="s">
        <v>3992</v>
      </c>
      <c r="C13" t="s">
        <v>376</v>
      </c>
      <c r="D13" t="s">
        <v>3968</v>
      </c>
      <c r="E13" t="s">
        <v>37</v>
      </c>
      <c r="G13">
        <v>0</v>
      </c>
      <c r="H13" t="s">
        <v>72</v>
      </c>
      <c r="I13" t="s">
        <v>1024</v>
      </c>
      <c r="J13" t="s">
        <v>1025</v>
      </c>
      <c r="K13" t="s">
        <v>3969</v>
      </c>
      <c r="L13" t="s">
        <v>3970</v>
      </c>
      <c r="M13" t="s">
        <v>57</v>
      </c>
      <c r="N13" t="s">
        <v>402</v>
      </c>
      <c r="O13" t="s">
        <v>403</v>
      </c>
      <c r="P13">
        <v>5.5242750573769372</v>
      </c>
      <c r="R13" t="s">
        <v>38</v>
      </c>
      <c r="S13" t="s">
        <v>673</v>
      </c>
      <c r="U13" t="s">
        <v>50</v>
      </c>
      <c r="X13" t="s">
        <v>1908</v>
      </c>
      <c r="Y13" t="s">
        <v>765</v>
      </c>
      <c r="Z13" t="s">
        <v>460</v>
      </c>
      <c r="AA13" t="s">
        <v>453</v>
      </c>
      <c r="AD13" t="s">
        <v>3993</v>
      </c>
      <c r="AE13" t="s">
        <v>3994</v>
      </c>
      <c r="AF13" t="s">
        <v>3974</v>
      </c>
      <c r="AG13">
        <v>847.83473704518883</v>
      </c>
      <c r="AH13">
        <v>22356.037419110238</v>
      </c>
    </row>
    <row r="14" spans="1:34" hidden="1" x14ac:dyDescent="0.25">
      <c r="A14">
        <v>13</v>
      </c>
      <c r="B14" t="s">
        <v>3995</v>
      </c>
      <c r="C14" t="s">
        <v>376</v>
      </c>
      <c r="D14" t="s">
        <v>3968</v>
      </c>
      <c r="E14" t="s">
        <v>37</v>
      </c>
      <c r="G14">
        <v>0</v>
      </c>
      <c r="H14" t="s">
        <v>72</v>
      </c>
      <c r="I14" t="s">
        <v>1024</v>
      </c>
      <c r="J14" t="s">
        <v>1025</v>
      </c>
      <c r="K14" t="s">
        <v>3969</v>
      </c>
      <c r="L14" t="s">
        <v>3970</v>
      </c>
      <c r="M14" t="s">
        <v>57</v>
      </c>
      <c r="N14" t="s">
        <v>402</v>
      </c>
      <c r="O14" t="s">
        <v>403</v>
      </c>
      <c r="P14">
        <v>0.27886331627004252</v>
      </c>
      <c r="R14" t="s">
        <v>38</v>
      </c>
      <c r="S14" t="s">
        <v>3996</v>
      </c>
      <c r="U14" t="s">
        <v>50</v>
      </c>
      <c r="X14" t="s">
        <v>1908</v>
      </c>
      <c r="Y14" t="s">
        <v>765</v>
      </c>
      <c r="Z14" t="s">
        <v>460</v>
      </c>
      <c r="AA14" t="s">
        <v>453</v>
      </c>
      <c r="AD14" t="s">
        <v>1132</v>
      </c>
      <c r="AE14" t="s">
        <v>3994</v>
      </c>
      <c r="AF14" t="s">
        <v>3974</v>
      </c>
      <c r="AG14">
        <v>127.958945902499</v>
      </c>
      <c r="AH14">
        <v>1128.5243165119359</v>
      </c>
    </row>
    <row r="15" spans="1:34" x14ac:dyDescent="0.25">
      <c r="A15">
        <v>14</v>
      </c>
      <c r="B15" t="s">
        <v>3997</v>
      </c>
      <c r="C15" t="s">
        <v>376</v>
      </c>
      <c r="D15" t="s">
        <v>3968</v>
      </c>
      <c r="E15" t="s">
        <v>37</v>
      </c>
      <c r="G15">
        <v>0.8</v>
      </c>
      <c r="H15" t="s">
        <v>72</v>
      </c>
      <c r="I15" t="s">
        <v>1024</v>
      </c>
      <c r="J15" t="s">
        <v>1025</v>
      </c>
      <c r="K15" t="s">
        <v>3969</v>
      </c>
      <c r="L15" t="s">
        <v>3970</v>
      </c>
      <c r="M15" t="s">
        <v>57</v>
      </c>
      <c r="N15" t="s">
        <v>62</v>
      </c>
      <c r="O15" t="s">
        <v>63</v>
      </c>
      <c r="P15">
        <v>0.58761801450650997</v>
      </c>
      <c r="Q15" t="s">
        <v>64</v>
      </c>
      <c r="R15" t="s">
        <v>65</v>
      </c>
      <c r="S15" t="s">
        <v>3998</v>
      </c>
      <c r="U15" t="s">
        <v>50</v>
      </c>
      <c r="X15" t="s">
        <v>1908</v>
      </c>
      <c r="Y15" t="s">
        <v>765</v>
      </c>
      <c r="Z15" t="s">
        <v>460</v>
      </c>
      <c r="AA15" t="s">
        <v>453</v>
      </c>
      <c r="AC15" t="s">
        <v>399</v>
      </c>
      <c r="AE15" t="s">
        <v>3999</v>
      </c>
      <c r="AF15" t="s">
        <v>3974</v>
      </c>
      <c r="AG15">
        <v>250.19931112245911</v>
      </c>
      <c r="AH15">
        <v>2378.0152479750859</v>
      </c>
    </row>
    <row r="16" spans="1:34" hidden="1" x14ac:dyDescent="0.25">
      <c r="A16">
        <v>15</v>
      </c>
      <c r="B16" t="s">
        <v>4000</v>
      </c>
      <c r="C16" t="s">
        <v>376</v>
      </c>
      <c r="D16" t="s">
        <v>3968</v>
      </c>
      <c r="E16" t="s">
        <v>37</v>
      </c>
      <c r="G16">
        <v>2.6</v>
      </c>
      <c r="H16" t="s">
        <v>72</v>
      </c>
      <c r="I16" t="s">
        <v>1024</v>
      </c>
      <c r="J16" t="s">
        <v>1025</v>
      </c>
      <c r="K16" t="s">
        <v>3969</v>
      </c>
      <c r="L16" t="s">
        <v>3970</v>
      </c>
      <c r="O16" t="s">
        <v>137</v>
      </c>
      <c r="P16">
        <v>2.0488135394422979</v>
      </c>
      <c r="S16" t="s">
        <v>4001</v>
      </c>
      <c r="U16" t="s">
        <v>50</v>
      </c>
      <c r="AC16" t="s">
        <v>399</v>
      </c>
      <c r="AE16" t="s">
        <v>3999</v>
      </c>
      <c r="AF16" t="s">
        <v>3974</v>
      </c>
      <c r="AG16">
        <v>186.8792168987128</v>
      </c>
      <c r="AH16">
        <v>2104.2652911815858</v>
      </c>
    </row>
    <row r="17" spans="1:34" hidden="1" x14ac:dyDescent="0.25">
      <c r="A17">
        <v>16</v>
      </c>
      <c r="B17" t="s">
        <v>4002</v>
      </c>
      <c r="C17" t="s">
        <v>376</v>
      </c>
      <c r="D17" t="s">
        <v>3968</v>
      </c>
      <c r="E17" t="s">
        <v>37</v>
      </c>
      <c r="H17" t="s">
        <v>72</v>
      </c>
      <c r="I17" t="s">
        <v>1024</v>
      </c>
      <c r="J17" t="s">
        <v>1025</v>
      </c>
      <c r="K17" t="s">
        <v>3969</v>
      </c>
      <c r="L17" t="s">
        <v>3970</v>
      </c>
      <c r="M17" t="s">
        <v>57</v>
      </c>
      <c r="N17" t="s">
        <v>402</v>
      </c>
      <c r="O17" t="s">
        <v>403</v>
      </c>
      <c r="P17">
        <v>3.222241073926472</v>
      </c>
      <c r="R17" t="s">
        <v>38</v>
      </c>
      <c r="S17" t="s">
        <v>673</v>
      </c>
      <c r="U17" t="s">
        <v>681</v>
      </c>
      <c r="X17" t="s">
        <v>1908</v>
      </c>
      <c r="Y17" t="s">
        <v>2623</v>
      </c>
      <c r="Z17" t="s">
        <v>139</v>
      </c>
      <c r="AA17" t="s">
        <v>453</v>
      </c>
      <c r="AD17" t="s">
        <v>3442</v>
      </c>
      <c r="AE17" t="s">
        <v>4003</v>
      </c>
      <c r="AF17" t="s">
        <v>3974</v>
      </c>
      <c r="AG17">
        <v>606.7274384496219</v>
      </c>
      <c r="AH17">
        <v>13039.999144484829</v>
      </c>
    </row>
    <row r="18" spans="1:34" hidden="1" x14ac:dyDescent="0.25">
      <c r="A18">
        <v>17</v>
      </c>
      <c r="B18" t="s">
        <v>4004</v>
      </c>
      <c r="C18" t="s">
        <v>376</v>
      </c>
      <c r="D18" t="s">
        <v>3968</v>
      </c>
      <c r="E18" t="s">
        <v>37</v>
      </c>
      <c r="G18">
        <v>3</v>
      </c>
      <c r="H18" t="s">
        <v>72</v>
      </c>
      <c r="I18" t="s">
        <v>1024</v>
      </c>
      <c r="J18" t="s">
        <v>1025</v>
      </c>
      <c r="K18" t="s">
        <v>3969</v>
      </c>
      <c r="L18" t="s">
        <v>3970</v>
      </c>
      <c r="M18" t="s">
        <v>57</v>
      </c>
      <c r="N18" t="s">
        <v>402</v>
      </c>
      <c r="O18" t="s">
        <v>403</v>
      </c>
      <c r="P18">
        <v>3.2136736283887708</v>
      </c>
      <c r="R18" t="s">
        <v>38</v>
      </c>
      <c r="S18" t="s">
        <v>4005</v>
      </c>
      <c r="U18" t="s">
        <v>681</v>
      </c>
      <c r="X18" t="s">
        <v>1908</v>
      </c>
      <c r="Y18" t="s">
        <v>2623</v>
      </c>
      <c r="Z18" t="s">
        <v>139</v>
      </c>
      <c r="AA18" t="s">
        <v>453</v>
      </c>
      <c r="AE18" t="s">
        <v>4003</v>
      </c>
      <c r="AF18" t="s">
        <v>3974</v>
      </c>
      <c r="AG18">
        <v>678.97331854334072</v>
      </c>
      <c r="AH18">
        <v>12592.968545825721</v>
      </c>
    </row>
    <row r="19" spans="1:34" x14ac:dyDescent="0.25">
      <c r="A19">
        <v>18</v>
      </c>
      <c r="B19" t="s">
        <v>4006</v>
      </c>
      <c r="C19" t="s">
        <v>376</v>
      </c>
      <c r="D19" t="s">
        <v>3968</v>
      </c>
      <c r="E19" t="s">
        <v>37</v>
      </c>
      <c r="G19">
        <v>5.7</v>
      </c>
      <c r="H19" t="s">
        <v>72</v>
      </c>
      <c r="I19" t="s">
        <v>1024</v>
      </c>
      <c r="J19" t="s">
        <v>1025</v>
      </c>
      <c r="K19" t="s">
        <v>3969</v>
      </c>
      <c r="L19" t="s">
        <v>3970</v>
      </c>
      <c r="M19" t="s">
        <v>57</v>
      </c>
      <c r="N19" t="s">
        <v>62</v>
      </c>
      <c r="O19" t="s">
        <v>63</v>
      </c>
      <c r="P19">
        <v>3.1141258864940382</v>
      </c>
      <c r="Q19" t="s">
        <v>64</v>
      </c>
      <c r="R19" t="s">
        <v>65</v>
      </c>
      <c r="S19" t="s">
        <v>57</v>
      </c>
      <c r="U19" t="s">
        <v>618</v>
      </c>
      <c r="W19" t="s">
        <v>4007</v>
      </c>
      <c r="X19" t="s">
        <v>1486</v>
      </c>
      <c r="Y19" t="s">
        <v>2623</v>
      </c>
      <c r="Z19" t="s">
        <v>76</v>
      </c>
      <c r="AA19" t="s">
        <v>453</v>
      </c>
      <c r="AC19" t="s">
        <v>4008</v>
      </c>
      <c r="AE19" t="s">
        <v>423</v>
      </c>
      <c r="AF19" t="s">
        <v>3974</v>
      </c>
      <c r="AG19">
        <v>507.99636975892992</v>
      </c>
      <c r="AH19">
        <v>12602.470753753099</v>
      </c>
    </row>
    <row r="20" spans="1:34" hidden="1" x14ac:dyDescent="0.25">
      <c r="A20">
        <v>19</v>
      </c>
      <c r="B20" t="s">
        <v>4009</v>
      </c>
      <c r="C20" t="s">
        <v>376</v>
      </c>
      <c r="D20" t="s">
        <v>3968</v>
      </c>
      <c r="E20" t="s">
        <v>37</v>
      </c>
      <c r="G20">
        <v>3</v>
      </c>
      <c r="H20" t="s">
        <v>72</v>
      </c>
      <c r="I20" t="s">
        <v>1024</v>
      </c>
      <c r="J20" t="s">
        <v>1025</v>
      </c>
      <c r="K20" t="s">
        <v>3969</v>
      </c>
      <c r="L20" t="s">
        <v>3970</v>
      </c>
      <c r="M20" t="s">
        <v>57</v>
      </c>
      <c r="N20" t="s">
        <v>402</v>
      </c>
      <c r="O20" t="s">
        <v>403</v>
      </c>
      <c r="P20">
        <v>3.190598673533898</v>
      </c>
      <c r="R20" t="s">
        <v>38</v>
      </c>
      <c r="S20" t="s">
        <v>4010</v>
      </c>
      <c r="U20" t="s">
        <v>618</v>
      </c>
      <c r="W20" t="s">
        <v>4007</v>
      </c>
      <c r="X20" t="s">
        <v>1486</v>
      </c>
      <c r="Y20" t="s">
        <v>2623</v>
      </c>
      <c r="Z20" t="s">
        <v>76</v>
      </c>
      <c r="AA20" t="s">
        <v>453</v>
      </c>
      <c r="AC20" t="s">
        <v>4008</v>
      </c>
      <c r="AE20" t="s">
        <v>423</v>
      </c>
      <c r="AF20" t="s">
        <v>3974</v>
      </c>
      <c r="AG20">
        <v>450.80509895065671</v>
      </c>
      <c r="AH20">
        <v>12911.946381025449</v>
      </c>
    </row>
    <row r="21" spans="1:34" hidden="1" x14ac:dyDescent="0.25">
      <c r="A21">
        <v>20</v>
      </c>
      <c r="B21" t="s">
        <v>4011</v>
      </c>
      <c r="C21" t="s">
        <v>376</v>
      </c>
      <c r="D21" t="s">
        <v>3968</v>
      </c>
      <c r="E21" t="s">
        <v>37</v>
      </c>
      <c r="G21">
        <v>0.5</v>
      </c>
      <c r="H21" t="s">
        <v>72</v>
      </c>
      <c r="I21" t="s">
        <v>1024</v>
      </c>
      <c r="J21" t="s">
        <v>1025</v>
      </c>
      <c r="K21" t="s">
        <v>3969</v>
      </c>
      <c r="L21" t="s">
        <v>3970</v>
      </c>
      <c r="M21" t="s">
        <v>57</v>
      </c>
      <c r="N21" t="s">
        <v>402</v>
      </c>
      <c r="O21" t="s">
        <v>403</v>
      </c>
      <c r="P21">
        <v>0.48953486553075742</v>
      </c>
      <c r="R21" t="s">
        <v>38</v>
      </c>
      <c r="S21" t="s">
        <v>4010</v>
      </c>
      <c r="U21" t="s">
        <v>118</v>
      </c>
      <c r="W21" t="s">
        <v>4012</v>
      </c>
      <c r="X21" t="s">
        <v>1486</v>
      </c>
      <c r="Y21" t="s">
        <v>2630</v>
      </c>
      <c r="Z21" t="s">
        <v>86</v>
      </c>
      <c r="AA21" t="s">
        <v>453</v>
      </c>
      <c r="AB21" t="s">
        <v>4013</v>
      </c>
      <c r="AC21" t="s">
        <v>4014</v>
      </c>
      <c r="AE21" t="s">
        <v>4015</v>
      </c>
      <c r="AF21" t="s">
        <v>3974</v>
      </c>
      <c r="AG21">
        <v>200.05117738145501</v>
      </c>
      <c r="AH21">
        <v>1981.085238894897</v>
      </c>
    </row>
    <row r="22" spans="1:34" hidden="1" x14ac:dyDescent="0.25">
      <c r="A22">
        <v>21</v>
      </c>
      <c r="B22" t="s">
        <v>4016</v>
      </c>
      <c r="C22" t="s">
        <v>376</v>
      </c>
      <c r="D22" t="s">
        <v>3968</v>
      </c>
      <c r="E22" t="s">
        <v>37</v>
      </c>
      <c r="G22">
        <v>0.5</v>
      </c>
      <c r="H22" t="s">
        <v>72</v>
      </c>
      <c r="I22" t="s">
        <v>1024</v>
      </c>
      <c r="J22" t="s">
        <v>1025</v>
      </c>
      <c r="K22" t="s">
        <v>3969</v>
      </c>
      <c r="L22" t="s">
        <v>3970</v>
      </c>
      <c r="M22" t="s">
        <v>57</v>
      </c>
      <c r="N22" t="s">
        <v>79</v>
      </c>
      <c r="O22" t="s">
        <v>80</v>
      </c>
      <c r="P22">
        <v>0.5139565842157735</v>
      </c>
      <c r="Q22" t="s">
        <v>46</v>
      </c>
      <c r="R22" t="s">
        <v>47</v>
      </c>
      <c r="S22" t="s">
        <v>57</v>
      </c>
      <c r="U22" t="s">
        <v>118</v>
      </c>
      <c r="W22" t="s">
        <v>4017</v>
      </c>
      <c r="X22" t="s">
        <v>1486</v>
      </c>
      <c r="Y22" t="s">
        <v>2630</v>
      </c>
      <c r="Z22" t="s">
        <v>86</v>
      </c>
      <c r="AA22" t="s">
        <v>453</v>
      </c>
      <c r="AB22" t="s">
        <v>4013</v>
      </c>
      <c r="AC22" t="s">
        <v>4014</v>
      </c>
      <c r="AE22" t="s">
        <v>4015</v>
      </c>
      <c r="AF22" t="s">
        <v>3974</v>
      </c>
      <c r="AG22">
        <v>206.91175710706119</v>
      </c>
      <c r="AH22">
        <v>2079.9168233273431</v>
      </c>
    </row>
    <row r="23" spans="1:34" x14ac:dyDescent="0.25">
      <c r="A23">
        <v>22</v>
      </c>
      <c r="B23" t="s">
        <v>4018</v>
      </c>
      <c r="C23" t="s">
        <v>376</v>
      </c>
      <c r="D23" t="s">
        <v>3968</v>
      </c>
      <c r="E23" t="s">
        <v>37</v>
      </c>
      <c r="G23">
        <v>0.7</v>
      </c>
      <c r="H23" t="s">
        <v>72</v>
      </c>
      <c r="I23" t="s">
        <v>1024</v>
      </c>
      <c r="J23" t="s">
        <v>1025</v>
      </c>
      <c r="K23" t="s">
        <v>3969</v>
      </c>
      <c r="L23" t="s">
        <v>3970</v>
      </c>
      <c r="M23" t="s">
        <v>57</v>
      </c>
      <c r="N23" t="s">
        <v>62</v>
      </c>
      <c r="O23" t="s">
        <v>63</v>
      </c>
      <c r="P23">
        <v>0.71693312315969604</v>
      </c>
      <c r="Q23" t="s">
        <v>64</v>
      </c>
      <c r="R23" t="s">
        <v>65</v>
      </c>
      <c r="S23" t="s">
        <v>4019</v>
      </c>
      <c r="U23" t="s">
        <v>118</v>
      </c>
      <c r="W23" t="s">
        <v>4020</v>
      </c>
      <c r="X23" t="s">
        <v>1486</v>
      </c>
      <c r="Y23" t="s">
        <v>2630</v>
      </c>
      <c r="Z23" t="s">
        <v>86</v>
      </c>
      <c r="AA23" t="s">
        <v>453</v>
      </c>
      <c r="AE23" t="s">
        <v>4021</v>
      </c>
      <c r="AF23" t="s">
        <v>3974</v>
      </c>
      <c r="AG23">
        <v>231.78758700679251</v>
      </c>
      <c r="AH23">
        <v>2901.337019226577</v>
      </c>
    </row>
    <row r="24" spans="1:34" hidden="1" x14ac:dyDescent="0.25">
      <c r="A24">
        <v>23</v>
      </c>
      <c r="B24" t="s">
        <v>4022</v>
      </c>
      <c r="C24" t="s">
        <v>376</v>
      </c>
      <c r="D24" t="s">
        <v>3968</v>
      </c>
      <c r="E24" t="s">
        <v>37</v>
      </c>
      <c r="G24">
        <v>0.4</v>
      </c>
      <c r="H24" t="s">
        <v>72</v>
      </c>
      <c r="I24" t="s">
        <v>1024</v>
      </c>
      <c r="J24" t="s">
        <v>1025</v>
      </c>
      <c r="K24" t="s">
        <v>3969</v>
      </c>
      <c r="L24" t="s">
        <v>3970</v>
      </c>
      <c r="M24" t="s">
        <v>57</v>
      </c>
      <c r="N24" t="s">
        <v>79</v>
      </c>
      <c r="O24" t="s">
        <v>80</v>
      </c>
      <c r="P24">
        <v>0.45289778875871362</v>
      </c>
      <c r="Q24" t="s">
        <v>46</v>
      </c>
      <c r="R24" t="s">
        <v>47</v>
      </c>
      <c r="S24" t="s">
        <v>57</v>
      </c>
      <c r="U24" t="s">
        <v>118</v>
      </c>
      <c r="W24" t="s">
        <v>4020</v>
      </c>
      <c r="X24" t="s">
        <v>1486</v>
      </c>
      <c r="Y24" t="s">
        <v>2630</v>
      </c>
      <c r="Z24" t="s">
        <v>86</v>
      </c>
      <c r="AA24" t="s">
        <v>453</v>
      </c>
      <c r="AC24" t="s">
        <v>4023</v>
      </c>
      <c r="AE24" t="s">
        <v>4021</v>
      </c>
      <c r="AF24" t="s">
        <v>3974</v>
      </c>
      <c r="AG24">
        <v>204.7590207653559</v>
      </c>
      <c r="AH24">
        <v>1832.8196564002531</v>
      </c>
    </row>
    <row r="25" spans="1:34" x14ac:dyDescent="0.25">
      <c r="A25">
        <v>24</v>
      </c>
      <c r="B25" t="s">
        <v>4024</v>
      </c>
      <c r="C25" t="s">
        <v>376</v>
      </c>
      <c r="D25" t="s">
        <v>3968</v>
      </c>
      <c r="E25" t="s">
        <v>37</v>
      </c>
      <c r="G25">
        <v>0.7</v>
      </c>
      <c r="H25" t="s">
        <v>72</v>
      </c>
      <c r="I25" t="s">
        <v>1024</v>
      </c>
      <c r="J25" t="s">
        <v>1025</v>
      </c>
      <c r="K25" t="s">
        <v>3969</v>
      </c>
      <c r="L25" t="s">
        <v>3970</v>
      </c>
      <c r="N25" t="s">
        <v>62</v>
      </c>
      <c r="O25" t="s">
        <v>63</v>
      </c>
      <c r="P25">
        <v>0.66300724828052493</v>
      </c>
      <c r="Q25" t="s">
        <v>64</v>
      </c>
      <c r="R25" t="s">
        <v>65</v>
      </c>
      <c r="S25" t="s">
        <v>57</v>
      </c>
      <c r="U25" t="s">
        <v>118</v>
      </c>
      <c r="W25" t="s">
        <v>4020</v>
      </c>
      <c r="X25" t="s">
        <v>1486</v>
      </c>
      <c r="Y25" t="s">
        <v>2630</v>
      </c>
      <c r="Z25" t="s">
        <v>86</v>
      </c>
      <c r="AA25" t="s">
        <v>453</v>
      </c>
      <c r="AC25" t="s">
        <v>4023</v>
      </c>
      <c r="AE25" t="s">
        <v>4021</v>
      </c>
      <c r="AF25" t="s">
        <v>3974</v>
      </c>
      <c r="AG25">
        <v>228.14343529377919</v>
      </c>
      <c r="AH25">
        <v>2683.1058732145539</v>
      </c>
    </row>
    <row r="26" spans="1:34" hidden="1" x14ac:dyDescent="0.25">
      <c r="A26">
        <v>25</v>
      </c>
      <c r="B26" t="s">
        <v>4025</v>
      </c>
      <c r="C26" t="s">
        <v>376</v>
      </c>
      <c r="D26" t="s">
        <v>3968</v>
      </c>
      <c r="E26" t="s">
        <v>37</v>
      </c>
      <c r="G26">
        <v>1.3</v>
      </c>
      <c r="H26" t="s">
        <v>72</v>
      </c>
      <c r="I26" t="s">
        <v>1024</v>
      </c>
      <c r="J26" t="s">
        <v>1025</v>
      </c>
      <c r="K26" t="s">
        <v>3969</v>
      </c>
      <c r="L26" t="s">
        <v>3970</v>
      </c>
      <c r="M26" t="s">
        <v>57</v>
      </c>
      <c r="N26" t="s">
        <v>79</v>
      </c>
      <c r="O26" t="s">
        <v>80</v>
      </c>
      <c r="P26">
        <v>1.302078290422948</v>
      </c>
      <c r="Q26" t="s">
        <v>46</v>
      </c>
      <c r="R26" t="s">
        <v>47</v>
      </c>
      <c r="S26" t="s">
        <v>57</v>
      </c>
      <c r="U26" t="s">
        <v>118</v>
      </c>
      <c r="W26" t="s">
        <v>4020</v>
      </c>
      <c r="X26" t="s">
        <v>1486</v>
      </c>
      <c r="Y26" t="s">
        <v>2630</v>
      </c>
      <c r="Z26" t="s">
        <v>86</v>
      </c>
      <c r="AA26" t="s">
        <v>453</v>
      </c>
      <c r="AC26" t="s">
        <v>4023</v>
      </c>
      <c r="AE26" t="s">
        <v>4021</v>
      </c>
      <c r="AF26" t="s">
        <v>3974</v>
      </c>
      <c r="AG26">
        <v>338.8626884757166</v>
      </c>
      <c r="AH26">
        <v>5269.3449694245201</v>
      </c>
    </row>
    <row r="27" spans="1:34" hidden="1" x14ac:dyDescent="0.25">
      <c r="A27">
        <v>26</v>
      </c>
      <c r="B27" t="s">
        <v>4026</v>
      </c>
      <c r="C27" t="s">
        <v>376</v>
      </c>
      <c r="D27" t="s">
        <v>3968</v>
      </c>
      <c r="E27" t="s">
        <v>37</v>
      </c>
      <c r="G27">
        <v>0.3</v>
      </c>
      <c r="H27" t="s">
        <v>72</v>
      </c>
      <c r="I27" t="s">
        <v>1024</v>
      </c>
      <c r="J27" t="s">
        <v>1025</v>
      </c>
      <c r="K27" t="s">
        <v>3969</v>
      </c>
      <c r="L27" t="s">
        <v>3970</v>
      </c>
      <c r="M27" t="s">
        <v>57</v>
      </c>
      <c r="N27" t="s">
        <v>79</v>
      </c>
      <c r="O27" t="s">
        <v>80</v>
      </c>
      <c r="P27">
        <v>0.31838101301533422</v>
      </c>
      <c r="Q27" t="s">
        <v>46</v>
      </c>
      <c r="R27" t="s">
        <v>47</v>
      </c>
      <c r="S27" t="s">
        <v>57</v>
      </c>
      <c r="U27" t="s">
        <v>118</v>
      </c>
      <c r="W27" t="s">
        <v>4020</v>
      </c>
      <c r="X27" t="s">
        <v>1486</v>
      </c>
      <c r="Y27" t="s">
        <v>2630</v>
      </c>
      <c r="Z27" t="s">
        <v>86</v>
      </c>
      <c r="AA27" t="s">
        <v>453</v>
      </c>
      <c r="AC27" t="s">
        <v>4023</v>
      </c>
      <c r="AE27" t="s">
        <v>4021</v>
      </c>
      <c r="AF27" t="s">
        <v>3974</v>
      </c>
      <c r="AG27">
        <v>178.23152962963661</v>
      </c>
      <c r="AH27">
        <v>1288.447401075774</v>
      </c>
    </row>
    <row r="28" spans="1:34" hidden="1" x14ac:dyDescent="0.25">
      <c r="A28">
        <v>27</v>
      </c>
      <c r="B28" t="s">
        <v>4027</v>
      </c>
      <c r="C28" t="s">
        <v>376</v>
      </c>
      <c r="D28" t="s">
        <v>3968</v>
      </c>
      <c r="E28" t="s">
        <v>37</v>
      </c>
      <c r="G28">
        <v>1.5</v>
      </c>
      <c r="H28" t="s">
        <v>72</v>
      </c>
      <c r="I28" t="s">
        <v>1024</v>
      </c>
      <c r="J28" t="s">
        <v>1025</v>
      </c>
      <c r="K28" t="s">
        <v>3969</v>
      </c>
      <c r="L28" t="s">
        <v>3970</v>
      </c>
      <c r="M28" t="s">
        <v>57</v>
      </c>
      <c r="N28" t="s">
        <v>79</v>
      </c>
      <c r="O28" t="s">
        <v>80</v>
      </c>
      <c r="P28">
        <v>1.5686710720582819</v>
      </c>
      <c r="Q28" t="s">
        <v>46</v>
      </c>
      <c r="R28" t="s">
        <v>47</v>
      </c>
      <c r="S28" t="s">
        <v>57</v>
      </c>
      <c r="U28" t="s">
        <v>118</v>
      </c>
      <c r="W28" t="s">
        <v>4020</v>
      </c>
      <c r="X28" t="s">
        <v>1486</v>
      </c>
      <c r="Y28" t="s">
        <v>2630</v>
      </c>
      <c r="Z28" t="s">
        <v>86</v>
      </c>
      <c r="AA28" t="s">
        <v>453</v>
      </c>
      <c r="AC28" t="s">
        <v>4023</v>
      </c>
      <c r="AE28" t="s">
        <v>4021</v>
      </c>
      <c r="AF28" t="s">
        <v>3974</v>
      </c>
      <c r="AG28">
        <v>353.18665899760771</v>
      </c>
      <c r="AH28">
        <v>6348.211995414742</v>
      </c>
    </row>
    <row r="29" spans="1:34" hidden="1" x14ac:dyDescent="0.25">
      <c r="A29">
        <v>28</v>
      </c>
      <c r="B29" t="s">
        <v>4028</v>
      </c>
      <c r="C29" t="s">
        <v>376</v>
      </c>
      <c r="D29" t="s">
        <v>3968</v>
      </c>
      <c r="E29" t="s">
        <v>37</v>
      </c>
      <c r="G29">
        <v>3.2</v>
      </c>
      <c r="H29" t="s">
        <v>72</v>
      </c>
      <c r="I29" t="s">
        <v>1024</v>
      </c>
      <c r="J29" t="s">
        <v>1025</v>
      </c>
      <c r="K29" t="s">
        <v>3969</v>
      </c>
      <c r="L29" t="s">
        <v>3970</v>
      </c>
      <c r="M29" t="s">
        <v>57</v>
      </c>
      <c r="N29" t="s">
        <v>79</v>
      </c>
      <c r="O29" t="s">
        <v>80</v>
      </c>
      <c r="P29">
        <v>3.3557467920067161</v>
      </c>
      <c r="Q29" t="s">
        <v>46</v>
      </c>
      <c r="R29" t="s">
        <v>47</v>
      </c>
      <c r="S29" t="s">
        <v>57</v>
      </c>
      <c r="U29" t="s">
        <v>118</v>
      </c>
      <c r="W29" t="s">
        <v>4020</v>
      </c>
      <c r="X29" t="s">
        <v>1486</v>
      </c>
      <c r="Y29" t="s">
        <v>2630</v>
      </c>
      <c r="Z29" t="s">
        <v>86</v>
      </c>
      <c r="AA29" t="s">
        <v>453</v>
      </c>
      <c r="AC29" t="s">
        <v>4023</v>
      </c>
      <c r="AE29" t="s">
        <v>4021</v>
      </c>
      <c r="AF29" t="s">
        <v>3974</v>
      </c>
      <c r="AG29">
        <v>469.26399582076738</v>
      </c>
      <c r="AH29">
        <v>13580.279778245371</v>
      </c>
    </row>
    <row r="30" spans="1:34" hidden="1" x14ac:dyDescent="0.25">
      <c r="A30">
        <v>29</v>
      </c>
      <c r="B30" t="s">
        <v>4029</v>
      </c>
      <c r="C30" t="s">
        <v>376</v>
      </c>
      <c r="D30" t="s">
        <v>3968</v>
      </c>
      <c r="E30" t="s">
        <v>37</v>
      </c>
      <c r="G30">
        <v>1.7</v>
      </c>
      <c r="H30" t="s">
        <v>72</v>
      </c>
      <c r="I30" t="s">
        <v>1024</v>
      </c>
      <c r="J30" t="s">
        <v>1025</v>
      </c>
      <c r="K30" t="s">
        <v>3969</v>
      </c>
      <c r="L30" t="s">
        <v>3970</v>
      </c>
      <c r="M30" t="s">
        <v>57</v>
      </c>
      <c r="N30" t="s">
        <v>79</v>
      </c>
      <c r="O30" t="s">
        <v>80</v>
      </c>
      <c r="P30">
        <v>1.858294164741074</v>
      </c>
      <c r="Q30" t="s">
        <v>46</v>
      </c>
      <c r="R30" t="s">
        <v>47</v>
      </c>
      <c r="S30" t="s">
        <v>57</v>
      </c>
      <c r="U30" t="s">
        <v>118</v>
      </c>
      <c r="W30" t="s">
        <v>4020</v>
      </c>
      <c r="X30" t="s">
        <v>1486</v>
      </c>
      <c r="Y30" t="s">
        <v>2630</v>
      </c>
      <c r="Z30" t="s">
        <v>86</v>
      </c>
      <c r="AA30" t="s">
        <v>453</v>
      </c>
      <c r="AC30" t="s">
        <v>4023</v>
      </c>
      <c r="AE30" t="s">
        <v>4021</v>
      </c>
      <c r="AF30" t="s">
        <v>3974</v>
      </c>
      <c r="AG30">
        <v>340.50119330471313</v>
      </c>
      <c r="AH30">
        <v>7520.2797563798013</v>
      </c>
    </row>
    <row r="31" spans="1:34" hidden="1" x14ac:dyDescent="0.25">
      <c r="A31">
        <v>30</v>
      </c>
      <c r="B31" t="s">
        <v>4030</v>
      </c>
      <c r="C31" t="s">
        <v>376</v>
      </c>
      <c r="D31" t="s">
        <v>3968</v>
      </c>
      <c r="E31" t="s">
        <v>37</v>
      </c>
      <c r="G31">
        <v>10.8</v>
      </c>
      <c r="H31" t="s">
        <v>72</v>
      </c>
      <c r="I31" t="s">
        <v>1024</v>
      </c>
      <c r="J31" t="s">
        <v>1025</v>
      </c>
      <c r="K31" t="s">
        <v>3969</v>
      </c>
      <c r="L31" t="s">
        <v>3970</v>
      </c>
      <c r="M31" t="s">
        <v>57</v>
      </c>
      <c r="N31" t="s">
        <v>79</v>
      </c>
      <c r="O31" t="s">
        <v>80</v>
      </c>
      <c r="P31">
        <v>11.43200846210544</v>
      </c>
      <c r="Q31" t="s">
        <v>46</v>
      </c>
      <c r="R31" t="s">
        <v>47</v>
      </c>
      <c r="S31" t="s">
        <v>57</v>
      </c>
      <c r="U31" t="s">
        <v>118</v>
      </c>
      <c r="W31" t="s">
        <v>4031</v>
      </c>
      <c r="X31" t="s">
        <v>1486</v>
      </c>
      <c r="Y31" t="s">
        <v>2630</v>
      </c>
      <c r="Z31" t="s">
        <v>86</v>
      </c>
      <c r="AA31" t="s">
        <v>453</v>
      </c>
      <c r="AC31" t="s">
        <v>4023</v>
      </c>
      <c r="AE31" t="s">
        <v>443</v>
      </c>
      <c r="AF31" t="s">
        <v>3974</v>
      </c>
      <c r="AG31">
        <v>954.01221334850356</v>
      </c>
      <c r="AH31">
        <v>46263.881921145163</v>
      </c>
    </row>
    <row r="32" spans="1:34" x14ac:dyDescent="0.25">
      <c r="A32">
        <v>31</v>
      </c>
      <c r="B32" t="s">
        <v>4032</v>
      </c>
      <c r="C32" t="s">
        <v>376</v>
      </c>
      <c r="D32" t="s">
        <v>3968</v>
      </c>
      <c r="E32" t="s">
        <v>37</v>
      </c>
      <c r="G32">
        <v>0.9</v>
      </c>
      <c r="H32" t="s">
        <v>72</v>
      </c>
      <c r="I32" t="s">
        <v>1024</v>
      </c>
      <c r="J32" t="s">
        <v>1025</v>
      </c>
      <c r="K32" t="s">
        <v>3969</v>
      </c>
      <c r="L32" t="s">
        <v>3970</v>
      </c>
      <c r="M32" t="s">
        <v>57</v>
      </c>
      <c r="N32" t="s">
        <v>62</v>
      </c>
      <c r="O32" t="s">
        <v>63</v>
      </c>
      <c r="P32">
        <v>0.97906797933772916</v>
      </c>
      <c r="Q32" t="s">
        <v>64</v>
      </c>
      <c r="R32" t="s">
        <v>65</v>
      </c>
      <c r="S32" t="s">
        <v>57</v>
      </c>
      <c r="U32" t="s">
        <v>118</v>
      </c>
      <c r="W32" t="s">
        <v>4020</v>
      </c>
      <c r="X32" t="s">
        <v>1486</v>
      </c>
      <c r="Y32" t="s">
        <v>2630</v>
      </c>
      <c r="Z32" t="s">
        <v>86</v>
      </c>
      <c r="AA32" t="s">
        <v>453</v>
      </c>
      <c r="AC32" t="s">
        <v>4023</v>
      </c>
      <c r="AE32" t="s">
        <v>4021</v>
      </c>
      <c r="AF32" t="s">
        <v>3974</v>
      </c>
      <c r="AG32">
        <v>252.19109090661681</v>
      </c>
      <c r="AH32">
        <v>3962.1633887867861</v>
      </c>
    </row>
    <row r="33" spans="1:34" hidden="1" x14ac:dyDescent="0.25">
      <c r="A33">
        <v>32</v>
      </c>
      <c r="B33" t="s">
        <v>4033</v>
      </c>
      <c r="C33" t="s">
        <v>376</v>
      </c>
      <c r="D33" t="s">
        <v>3968</v>
      </c>
      <c r="E33" t="s">
        <v>37</v>
      </c>
      <c r="G33">
        <v>5.3</v>
      </c>
      <c r="H33" t="s">
        <v>72</v>
      </c>
      <c r="I33" t="s">
        <v>1024</v>
      </c>
      <c r="J33" t="s">
        <v>1025</v>
      </c>
      <c r="K33" t="s">
        <v>3969</v>
      </c>
      <c r="L33" t="s">
        <v>3970</v>
      </c>
      <c r="M33" t="s">
        <v>57</v>
      </c>
      <c r="N33" t="s">
        <v>79</v>
      </c>
      <c r="O33" t="s">
        <v>80</v>
      </c>
      <c r="P33">
        <v>5.6182381975351117</v>
      </c>
      <c r="Q33" t="s">
        <v>46</v>
      </c>
      <c r="R33" t="s">
        <v>47</v>
      </c>
      <c r="S33" t="s">
        <v>57</v>
      </c>
      <c r="U33" t="s">
        <v>118</v>
      </c>
      <c r="W33" t="s">
        <v>4020</v>
      </c>
      <c r="X33" t="s">
        <v>1486</v>
      </c>
      <c r="Y33" t="s">
        <v>2630</v>
      </c>
      <c r="Z33" t="s">
        <v>86</v>
      </c>
      <c r="AA33" t="s">
        <v>453</v>
      </c>
      <c r="AC33" t="s">
        <v>4023</v>
      </c>
      <c r="AE33" t="s">
        <v>4021</v>
      </c>
      <c r="AF33" t="s">
        <v>3974</v>
      </c>
      <c r="AG33">
        <v>666.83355857093477</v>
      </c>
      <c r="AH33">
        <v>22736.294277354129</v>
      </c>
    </row>
    <row r="34" spans="1:34" hidden="1" x14ac:dyDescent="0.25">
      <c r="A34">
        <v>33</v>
      </c>
      <c r="B34" t="s">
        <v>4034</v>
      </c>
      <c r="C34" t="s">
        <v>376</v>
      </c>
      <c r="D34" t="s">
        <v>3968</v>
      </c>
      <c r="E34" t="s">
        <v>37</v>
      </c>
      <c r="G34">
        <v>1.9</v>
      </c>
      <c r="H34" t="s">
        <v>72</v>
      </c>
      <c r="I34" t="s">
        <v>1024</v>
      </c>
      <c r="J34" t="s">
        <v>1025</v>
      </c>
      <c r="K34" t="s">
        <v>3969</v>
      </c>
      <c r="L34" t="s">
        <v>3970</v>
      </c>
      <c r="M34" t="s">
        <v>57</v>
      </c>
      <c r="N34" t="s">
        <v>79</v>
      </c>
      <c r="O34" t="s">
        <v>80</v>
      </c>
      <c r="P34">
        <v>1.918746054947559</v>
      </c>
      <c r="Q34" t="s">
        <v>46</v>
      </c>
      <c r="R34" t="s">
        <v>47</v>
      </c>
      <c r="S34" t="s">
        <v>57</v>
      </c>
      <c r="U34" t="s">
        <v>118</v>
      </c>
      <c r="W34" t="s">
        <v>4020</v>
      </c>
      <c r="X34" t="s">
        <v>1486</v>
      </c>
      <c r="Y34" t="s">
        <v>2630</v>
      </c>
      <c r="Z34" t="s">
        <v>86</v>
      </c>
      <c r="AA34" t="s">
        <v>453</v>
      </c>
      <c r="AC34" t="s">
        <v>4023</v>
      </c>
      <c r="AE34" t="s">
        <v>4021</v>
      </c>
      <c r="AF34" t="s">
        <v>3974</v>
      </c>
      <c r="AG34">
        <v>504.99093236828207</v>
      </c>
      <c r="AH34">
        <v>7764.9208550715539</v>
      </c>
    </row>
    <row r="35" spans="1:34" hidden="1" x14ac:dyDescent="0.25">
      <c r="A35">
        <v>34</v>
      </c>
      <c r="B35" t="s">
        <v>4035</v>
      </c>
      <c r="C35" t="s">
        <v>376</v>
      </c>
      <c r="D35" t="s">
        <v>3968</v>
      </c>
      <c r="E35" t="s">
        <v>37</v>
      </c>
      <c r="G35">
        <v>1.1000000000000001</v>
      </c>
      <c r="H35" t="s">
        <v>72</v>
      </c>
      <c r="I35" t="s">
        <v>1024</v>
      </c>
      <c r="J35" t="s">
        <v>1025</v>
      </c>
      <c r="K35" t="s">
        <v>3969</v>
      </c>
      <c r="L35" t="s">
        <v>3970</v>
      </c>
      <c r="M35" t="s">
        <v>57</v>
      </c>
      <c r="N35" t="s">
        <v>79</v>
      </c>
      <c r="O35" t="s">
        <v>80</v>
      </c>
      <c r="P35">
        <v>1.227596503161039</v>
      </c>
      <c r="Q35" t="s">
        <v>46</v>
      </c>
      <c r="R35" t="s">
        <v>47</v>
      </c>
      <c r="S35" t="s">
        <v>57</v>
      </c>
      <c r="U35" t="s">
        <v>118</v>
      </c>
      <c r="W35" t="s">
        <v>4020</v>
      </c>
      <c r="X35" t="s">
        <v>1486</v>
      </c>
      <c r="Y35" t="s">
        <v>2630</v>
      </c>
      <c r="Z35" t="s">
        <v>86</v>
      </c>
      <c r="AA35" t="s">
        <v>453</v>
      </c>
      <c r="AC35" t="s">
        <v>4023</v>
      </c>
      <c r="AE35" t="s">
        <v>4021</v>
      </c>
      <c r="AF35" t="s">
        <v>3974</v>
      </c>
      <c r="AG35">
        <v>345.49092176152658</v>
      </c>
      <c r="AH35">
        <v>4967.9266646198184</v>
      </c>
    </row>
    <row r="36" spans="1:34" hidden="1" x14ac:dyDescent="0.25">
      <c r="A36">
        <v>35</v>
      </c>
      <c r="B36" t="s">
        <v>4036</v>
      </c>
      <c r="C36" t="s">
        <v>376</v>
      </c>
      <c r="D36" t="s">
        <v>3968</v>
      </c>
      <c r="E36" t="s">
        <v>37</v>
      </c>
      <c r="G36">
        <v>3.5</v>
      </c>
      <c r="H36" t="s">
        <v>72</v>
      </c>
      <c r="I36" t="s">
        <v>1024</v>
      </c>
      <c r="J36" t="s">
        <v>1025</v>
      </c>
      <c r="K36" t="s">
        <v>3969</v>
      </c>
      <c r="L36" t="s">
        <v>3970</v>
      </c>
      <c r="M36" t="s">
        <v>57</v>
      </c>
      <c r="N36" t="s">
        <v>79</v>
      </c>
      <c r="O36" t="s">
        <v>80</v>
      </c>
      <c r="P36">
        <v>3.7036558286413701</v>
      </c>
      <c r="Q36" t="s">
        <v>46</v>
      </c>
      <c r="R36" t="s">
        <v>47</v>
      </c>
      <c r="S36" t="s">
        <v>57</v>
      </c>
      <c r="U36" t="s">
        <v>118</v>
      </c>
      <c r="W36" t="s">
        <v>4037</v>
      </c>
      <c r="X36" t="s">
        <v>1486</v>
      </c>
      <c r="Y36" t="s">
        <v>2630</v>
      </c>
      <c r="Z36" t="s">
        <v>86</v>
      </c>
      <c r="AA36" t="s">
        <v>453</v>
      </c>
      <c r="AC36" t="s">
        <v>4023</v>
      </c>
      <c r="AE36" t="s">
        <v>4038</v>
      </c>
      <c r="AF36" t="s">
        <v>3974</v>
      </c>
      <c r="AG36">
        <v>500.87949987262141</v>
      </c>
      <c r="AH36">
        <v>14988.22332932989</v>
      </c>
    </row>
    <row r="37" spans="1:34" hidden="1" x14ac:dyDescent="0.25">
      <c r="A37">
        <v>36</v>
      </c>
      <c r="B37" t="s">
        <v>4039</v>
      </c>
      <c r="C37" t="s">
        <v>376</v>
      </c>
      <c r="D37" t="s">
        <v>3968</v>
      </c>
      <c r="E37" t="s">
        <v>37</v>
      </c>
      <c r="G37">
        <v>0.3</v>
      </c>
      <c r="H37" t="s">
        <v>72</v>
      </c>
      <c r="I37" t="s">
        <v>1024</v>
      </c>
      <c r="J37" t="s">
        <v>1025</v>
      </c>
      <c r="K37" t="s">
        <v>3969</v>
      </c>
      <c r="L37" t="s">
        <v>3970</v>
      </c>
      <c r="M37" t="s">
        <v>57</v>
      </c>
      <c r="N37" t="s">
        <v>38</v>
      </c>
      <c r="O37" t="s">
        <v>133</v>
      </c>
      <c r="P37">
        <v>0.22330378291750319</v>
      </c>
      <c r="Q37" t="s">
        <v>46</v>
      </c>
      <c r="R37" t="s">
        <v>47</v>
      </c>
      <c r="S37" t="s">
        <v>57</v>
      </c>
      <c r="U37" t="s">
        <v>118</v>
      </c>
      <c r="W37" t="s">
        <v>4037</v>
      </c>
      <c r="X37" t="s">
        <v>1486</v>
      </c>
      <c r="Y37" t="s">
        <v>2630</v>
      </c>
      <c r="Z37" t="s">
        <v>86</v>
      </c>
      <c r="AA37" t="s">
        <v>453</v>
      </c>
      <c r="AC37" t="s">
        <v>4023</v>
      </c>
      <c r="AE37" t="s">
        <v>4038</v>
      </c>
      <c r="AF37" t="s">
        <v>3974</v>
      </c>
      <c r="AG37">
        <v>314.52424964153641</v>
      </c>
      <c r="AH37">
        <v>903.68196277014977</v>
      </c>
    </row>
    <row r="38" spans="1:34" hidden="1" x14ac:dyDescent="0.25">
      <c r="A38">
        <v>37</v>
      </c>
      <c r="B38" t="s">
        <v>4040</v>
      </c>
      <c r="C38" t="s">
        <v>376</v>
      </c>
      <c r="D38" t="s">
        <v>3968</v>
      </c>
      <c r="E38" t="s">
        <v>37</v>
      </c>
      <c r="G38">
        <v>5</v>
      </c>
      <c r="H38" t="s">
        <v>72</v>
      </c>
      <c r="I38" t="s">
        <v>1024</v>
      </c>
      <c r="J38" t="s">
        <v>1025</v>
      </c>
      <c r="K38" t="s">
        <v>3969</v>
      </c>
      <c r="L38" t="s">
        <v>3970</v>
      </c>
      <c r="N38" t="s">
        <v>79</v>
      </c>
      <c r="O38" t="s">
        <v>80</v>
      </c>
      <c r="P38">
        <v>5.3074515020949216</v>
      </c>
      <c r="Q38" t="s">
        <v>46</v>
      </c>
      <c r="R38" t="s">
        <v>47</v>
      </c>
      <c r="S38" t="s">
        <v>57</v>
      </c>
      <c r="U38" t="s">
        <v>118</v>
      </c>
      <c r="W38" t="s">
        <v>4041</v>
      </c>
      <c r="AC38" t="s">
        <v>4023</v>
      </c>
      <c r="AE38" t="s">
        <v>484</v>
      </c>
      <c r="AF38" t="s">
        <v>3974</v>
      </c>
      <c r="AG38">
        <v>639.27374526804647</v>
      </c>
      <c r="AH38">
        <v>12834.77427703853</v>
      </c>
    </row>
    <row r="39" spans="1:34" hidden="1" x14ac:dyDescent="0.25">
      <c r="A39">
        <v>38</v>
      </c>
      <c r="B39" t="s">
        <v>4042</v>
      </c>
      <c r="C39" t="s">
        <v>376</v>
      </c>
      <c r="D39" t="s">
        <v>3968</v>
      </c>
      <c r="E39" t="s">
        <v>37</v>
      </c>
      <c r="G39">
        <v>1</v>
      </c>
      <c r="H39" t="s">
        <v>72</v>
      </c>
      <c r="I39" t="s">
        <v>1024</v>
      </c>
      <c r="J39" t="s">
        <v>1025</v>
      </c>
      <c r="K39" t="s">
        <v>3969</v>
      </c>
      <c r="L39" t="s">
        <v>3970</v>
      </c>
      <c r="M39" t="s">
        <v>57</v>
      </c>
      <c r="N39" t="s">
        <v>79</v>
      </c>
      <c r="O39" t="s">
        <v>80</v>
      </c>
      <c r="P39">
        <v>1.006053797203065</v>
      </c>
      <c r="Q39" t="s">
        <v>46</v>
      </c>
      <c r="R39" t="s">
        <v>47</v>
      </c>
      <c r="S39" t="s">
        <v>57</v>
      </c>
      <c r="U39" t="s">
        <v>118</v>
      </c>
      <c r="W39" t="s">
        <v>4043</v>
      </c>
      <c r="X39" t="s">
        <v>1486</v>
      </c>
      <c r="Y39" t="s">
        <v>2630</v>
      </c>
      <c r="Z39" t="s">
        <v>86</v>
      </c>
      <c r="AA39" t="s">
        <v>453</v>
      </c>
      <c r="AC39" t="s">
        <v>4023</v>
      </c>
      <c r="AE39" t="s">
        <v>4044</v>
      </c>
      <c r="AF39" t="s">
        <v>3974</v>
      </c>
      <c r="AG39">
        <v>287.75256552320849</v>
      </c>
      <c r="AH39">
        <v>4071.37155596107</v>
      </c>
    </row>
    <row r="40" spans="1:34" x14ac:dyDescent="0.25">
      <c r="A40">
        <v>39</v>
      </c>
      <c r="B40" t="s">
        <v>4045</v>
      </c>
      <c r="C40" t="s">
        <v>376</v>
      </c>
      <c r="D40" t="s">
        <v>3968</v>
      </c>
      <c r="E40" t="s">
        <v>37</v>
      </c>
      <c r="G40">
        <v>1</v>
      </c>
      <c r="H40" t="s">
        <v>72</v>
      </c>
      <c r="I40" t="s">
        <v>1024</v>
      </c>
      <c r="J40" t="s">
        <v>1025</v>
      </c>
      <c r="K40" t="s">
        <v>3969</v>
      </c>
      <c r="L40" t="s">
        <v>3970</v>
      </c>
      <c r="M40" t="s">
        <v>57</v>
      </c>
      <c r="N40" t="s">
        <v>62</v>
      </c>
      <c r="O40" t="s">
        <v>63</v>
      </c>
      <c r="P40">
        <v>1.0294205981734159</v>
      </c>
      <c r="Q40" t="s">
        <v>64</v>
      </c>
      <c r="R40" t="s">
        <v>65</v>
      </c>
      <c r="S40" t="s">
        <v>57</v>
      </c>
      <c r="U40" t="s">
        <v>118</v>
      </c>
      <c r="W40" t="s">
        <v>4046</v>
      </c>
      <c r="X40" t="s">
        <v>1486</v>
      </c>
      <c r="Y40" t="s">
        <v>2630</v>
      </c>
      <c r="Z40" t="s">
        <v>86</v>
      </c>
      <c r="AA40" t="s">
        <v>453</v>
      </c>
      <c r="AC40" t="s">
        <v>4023</v>
      </c>
      <c r="AE40" t="s">
        <v>4047</v>
      </c>
      <c r="AF40" t="s">
        <v>3974</v>
      </c>
      <c r="AG40">
        <v>280.64795720993351</v>
      </c>
      <c r="AH40">
        <v>4165.9340227883667</v>
      </c>
    </row>
    <row r="41" spans="1:34" x14ac:dyDescent="0.25">
      <c r="A41">
        <v>40</v>
      </c>
      <c r="B41" t="s">
        <v>4048</v>
      </c>
      <c r="C41" t="s">
        <v>376</v>
      </c>
      <c r="D41" t="s">
        <v>3968</v>
      </c>
      <c r="E41" t="s">
        <v>37</v>
      </c>
      <c r="G41">
        <v>0.8</v>
      </c>
      <c r="H41" t="s">
        <v>72</v>
      </c>
      <c r="I41" t="s">
        <v>1024</v>
      </c>
      <c r="J41" t="s">
        <v>1025</v>
      </c>
      <c r="K41" t="s">
        <v>3969</v>
      </c>
      <c r="L41" t="s">
        <v>3970</v>
      </c>
      <c r="M41" t="s">
        <v>57</v>
      </c>
      <c r="N41" t="s">
        <v>62</v>
      </c>
      <c r="O41" t="s">
        <v>63</v>
      </c>
      <c r="P41">
        <v>0.8879661043894328</v>
      </c>
      <c r="Q41" t="s">
        <v>64</v>
      </c>
      <c r="R41" t="s">
        <v>65</v>
      </c>
      <c r="S41" t="s">
        <v>57</v>
      </c>
      <c r="U41" t="s">
        <v>118</v>
      </c>
      <c r="W41" t="s">
        <v>4049</v>
      </c>
      <c r="X41" t="s">
        <v>1486</v>
      </c>
      <c r="Y41" t="s">
        <v>2630</v>
      </c>
      <c r="Z41" t="s">
        <v>86</v>
      </c>
      <c r="AA41" t="s">
        <v>453</v>
      </c>
      <c r="AC41" t="s">
        <v>4023</v>
      </c>
      <c r="AE41" t="s">
        <v>4021</v>
      </c>
      <c r="AF41" t="s">
        <v>3974</v>
      </c>
      <c r="AG41">
        <v>286.57269769446111</v>
      </c>
      <c r="AH41">
        <v>3593.4857063503359</v>
      </c>
    </row>
    <row r="42" spans="1:34" x14ac:dyDescent="0.25">
      <c r="A42">
        <v>41</v>
      </c>
      <c r="B42" t="s">
        <v>4050</v>
      </c>
      <c r="C42" t="s">
        <v>376</v>
      </c>
      <c r="D42" t="s">
        <v>3968</v>
      </c>
      <c r="E42" t="s">
        <v>37</v>
      </c>
      <c r="G42">
        <v>0.1</v>
      </c>
      <c r="H42" t="s">
        <v>72</v>
      </c>
      <c r="I42" t="s">
        <v>1024</v>
      </c>
      <c r="J42" t="s">
        <v>1025</v>
      </c>
      <c r="K42" t="s">
        <v>3969</v>
      </c>
      <c r="L42" t="s">
        <v>3970</v>
      </c>
      <c r="M42" t="s">
        <v>57</v>
      </c>
      <c r="N42" t="s">
        <v>62</v>
      </c>
      <c r="O42" t="s">
        <v>63</v>
      </c>
      <c r="P42">
        <v>0.1174782417131997</v>
      </c>
      <c r="Q42" t="s">
        <v>64</v>
      </c>
      <c r="R42" t="s">
        <v>65</v>
      </c>
      <c r="S42" t="s">
        <v>57</v>
      </c>
      <c r="U42" t="s">
        <v>118</v>
      </c>
      <c r="W42" t="s">
        <v>4051</v>
      </c>
      <c r="X42" t="s">
        <v>1486</v>
      </c>
      <c r="Y42" t="s">
        <v>2630</v>
      </c>
      <c r="Z42" t="s">
        <v>86</v>
      </c>
      <c r="AA42" t="s">
        <v>453</v>
      </c>
      <c r="AC42" t="s">
        <v>4023</v>
      </c>
      <c r="AE42" t="s">
        <v>4052</v>
      </c>
      <c r="AF42" t="s">
        <v>3974</v>
      </c>
      <c r="AG42">
        <v>88.783559974653571</v>
      </c>
      <c r="AH42">
        <v>475.41947864533472</v>
      </c>
    </row>
    <row r="43" spans="1:34" x14ac:dyDescent="0.25">
      <c r="A43">
        <v>42</v>
      </c>
      <c r="B43" t="s">
        <v>4053</v>
      </c>
      <c r="C43" t="s">
        <v>376</v>
      </c>
      <c r="D43" t="s">
        <v>3968</v>
      </c>
      <c r="E43" t="s">
        <v>37</v>
      </c>
      <c r="G43">
        <v>0.2</v>
      </c>
      <c r="H43" t="s">
        <v>72</v>
      </c>
      <c r="I43" t="s">
        <v>1024</v>
      </c>
      <c r="J43" t="s">
        <v>1025</v>
      </c>
      <c r="K43" t="s">
        <v>3969</v>
      </c>
      <c r="L43" t="s">
        <v>3970</v>
      </c>
      <c r="M43" t="s">
        <v>57</v>
      </c>
      <c r="N43" t="s">
        <v>62</v>
      </c>
      <c r="O43" t="s">
        <v>63</v>
      </c>
      <c r="P43">
        <v>0.2390205881637637</v>
      </c>
      <c r="Q43" t="s">
        <v>64</v>
      </c>
      <c r="R43" t="s">
        <v>65</v>
      </c>
      <c r="S43" t="s">
        <v>57</v>
      </c>
      <c r="U43" t="s">
        <v>118</v>
      </c>
      <c r="W43" t="s">
        <v>4051</v>
      </c>
      <c r="X43" t="s">
        <v>1486</v>
      </c>
      <c r="Y43" t="s">
        <v>2630</v>
      </c>
      <c r="Z43" t="s">
        <v>86</v>
      </c>
      <c r="AA43" t="s">
        <v>453</v>
      </c>
      <c r="AC43" t="s">
        <v>4023</v>
      </c>
      <c r="AE43" t="s">
        <v>4052</v>
      </c>
      <c r="AF43" t="s">
        <v>3974</v>
      </c>
      <c r="AG43">
        <v>131.58911936926319</v>
      </c>
      <c r="AH43">
        <v>967.28587143596906</v>
      </c>
    </row>
    <row r="44" spans="1:34" x14ac:dyDescent="0.25">
      <c r="A44">
        <v>43</v>
      </c>
      <c r="B44" t="s">
        <v>4054</v>
      </c>
      <c r="C44" t="s">
        <v>376</v>
      </c>
      <c r="D44" t="s">
        <v>3968</v>
      </c>
      <c r="E44" t="s">
        <v>37</v>
      </c>
      <c r="G44">
        <v>0.6</v>
      </c>
      <c r="H44" t="s">
        <v>72</v>
      </c>
      <c r="I44" t="s">
        <v>1024</v>
      </c>
      <c r="J44" t="s">
        <v>1025</v>
      </c>
      <c r="K44" t="s">
        <v>3969</v>
      </c>
      <c r="L44" t="s">
        <v>3970</v>
      </c>
      <c r="M44" t="s">
        <v>57</v>
      </c>
      <c r="N44" t="s">
        <v>62</v>
      </c>
      <c r="O44" t="s">
        <v>63</v>
      </c>
      <c r="P44">
        <v>0.48404973086918179</v>
      </c>
      <c r="Q44" t="s">
        <v>64</v>
      </c>
      <c r="R44" t="s">
        <v>65</v>
      </c>
      <c r="S44" t="s">
        <v>57</v>
      </c>
      <c r="U44" t="s">
        <v>118</v>
      </c>
      <c r="W44" t="s">
        <v>4049</v>
      </c>
      <c r="X44" t="s">
        <v>1486</v>
      </c>
      <c r="Y44" t="s">
        <v>2630</v>
      </c>
      <c r="Z44" t="s">
        <v>50</v>
      </c>
      <c r="AA44" t="s">
        <v>453</v>
      </c>
      <c r="AC44" t="s">
        <v>4023</v>
      </c>
      <c r="AE44" t="s">
        <v>4021</v>
      </c>
      <c r="AF44" t="s">
        <v>3974</v>
      </c>
      <c r="AG44">
        <v>191.60599411393159</v>
      </c>
      <c r="AH44">
        <v>1958.8875976714951</v>
      </c>
    </row>
    <row r="45" spans="1:34" x14ac:dyDescent="0.25">
      <c r="A45">
        <v>44</v>
      </c>
      <c r="B45" t="s">
        <v>4055</v>
      </c>
      <c r="C45" t="s">
        <v>376</v>
      </c>
      <c r="D45" t="s">
        <v>3968</v>
      </c>
      <c r="E45" t="s">
        <v>37</v>
      </c>
      <c r="G45">
        <v>2.2999999999999998</v>
      </c>
      <c r="H45" t="s">
        <v>72</v>
      </c>
      <c r="I45" t="s">
        <v>1024</v>
      </c>
      <c r="J45" t="s">
        <v>1025</v>
      </c>
      <c r="K45" t="s">
        <v>3969</v>
      </c>
      <c r="L45" t="s">
        <v>3970</v>
      </c>
      <c r="M45" t="s">
        <v>57</v>
      </c>
      <c r="N45" t="s">
        <v>62</v>
      </c>
      <c r="O45" t="s">
        <v>63</v>
      </c>
      <c r="P45">
        <v>2.4730751564914288</v>
      </c>
      <c r="Q45" t="s">
        <v>64</v>
      </c>
      <c r="R45" t="s">
        <v>65</v>
      </c>
      <c r="S45" t="s">
        <v>57</v>
      </c>
      <c r="U45" t="s">
        <v>118</v>
      </c>
      <c r="W45" t="s">
        <v>4051</v>
      </c>
      <c r="X45" t="s">
        <v>1486</v>
      </c>
      <c r="Y45" t="s">
        <v>2630</v>
      </c>
      <c r="Z45" t="s">
        <v>54</v>
      </c>
      <c r="AA45" t="s">
        <v>453</v>
      </c>
      <c r="AC45" t="s">
        <v>4023</v>
      </c>
      <c r="AE45" t="s">
        <v>4052</v>
      </c>
      <c r="AF45" t="s">
        <v>3974</v>
      </c>
      <c r="AG45">
        <v>447.81941533062007</v>
      </c>
      <c r="AH45">
        <v>10008.220112965641</v>
      </c>
    </row>
    <row r="46" spans="1:34" x14ac:dyDescent="0.25">
      <c r="A46">
        <v>45</v>
      </c>
      <c r="B46" t="s">
        <v>4056</v>
      </c>
      <c r="C46" t="s">
        <v>376</v>
      </c>
      <c r="D46" t="s">
        <v>3968</v>
      </c>
      <c r="E46" t="s">
        <v>37</v>
      </c>
      <c r="G46">
        <v>2.7</v>
      </c>
      <c r="H46" t="s">
        <v>72</v>
      </c>
      <c r="I46" t="s">
        <v>1024</v>
      </c>
      <c r="J46" t="s">
        <v>1025</v>
      </c>
      <c r="K46" t="s">
        <v>3969</v>
      </c>
      <c r="L46" t="s">
        <v>3970</v>
      </c>
      <c r="M46" t="s">
        <v>57</v>
      </c>
      <c r="N46" t="s">
        <v>62</v>
      </c>
      <c r="O46" t="s">
        <v>63</v>
      </c>
      <c r="P46">
        <v>2.8866385631009752</v>
      </c>
      <c r="Q46" t="s">
        <v>64</v>
      </c>
      <c r="R46" t="s">
        <v>65</v>
      </c>
      <c r="S46" t="s">
        <v>57</v>
      </c>
      <c r="U46" t="s">
        <v>118</v>
      </c>
      <c r="W46" t="s">
        <v>4057</v>
      </c>
      <c r="X46" t="s">
        <v>1486</v>
      </c>
      <c r="Y46" t="s">
        <v>2630</v>
      </c>
      <c r="Z46" t="s">
        <v>86</v>
      </c>
      <c r="AA46" t="s">
        <v>453</v>
      </c>
      <c r="AC46" t="s">
        <v>4023</v>
      </c>
      <c r="AE46" t="s">
        <v>4058</v>
      </c>
      <c r="AF46" t="s">
        <v>3974</v>
      </c>
      <c r="AG46">
        <v>470.8921674547023</v>
      </c>
      <c r="AH46">
        <v>11681.8585356201</v>
      </c>
    </row>
    <row r="47" spans="1:34" hidden="1" x14ac:dyDescent="0.25">
      <c r="A47">
        <v>46</v>
      </c>
      <c r="B47" t="s">
        <v>4059</v>
      </c>
      <c r="C47" t="s">
        <v>376</v>
      </c>
      <c r="D47" t="s">
        <v>3968</v>
      </c>
      <c r="E47" t="s">
        <v>37</v>
      </c>
      <c r="G47">
        <v>1.7</v>
      </c>
      <c r="H47" t="s">
        <v>72</v>
      </c>
      <c r="I47" t="s">
        <v>1024</v>
      </c>
      <c r="J47" t="s">
        <v>1025</v>
      </c>
      <c r="K47" t="s">
        <v>3969</v>
      </c>
      <c r="L47" t="s">
        <v>3970</v>
      </c>
      <c r="M47" t="s">
        <v>57</v>
      </c>
      <c r="N47" t="s">
        <v>79</v>
      </c>
      <c r="O47" t="s">
        <v>80</v>
      </c>
      <c r="P47">
        <v>1.854229586964586</v>
      </c>
      <c r="Q47" t="s">
        <v>46</v>
      </c>
      <c r="R47" t="s">
        <v>47</v>
      </c>
      <c r="S47" t="s">
        <v>57</v>
      </c>
      <c r="U47" t="s">
        <v>118</v>
      </c>
      <c r="W47" t="s">
        <v>4043</v>
      </c>
      <c r="X47" t="s">
        <v>1486</v>
      </c>
      <c r="Y47" t="s">
        <v>2630</v>
      </c>
      <c r="Z47" t="s">
        <v>50</v>
      </c>
      <c r="AA47" t="s">
        <v>453</v>
      </c>
      <c r="AC47" t="s">
        <v>4023</v>
      </c>
      <c r="AE47" t="s">
        <v>4044</v>
      </c>
      <c r="AF47" t="s">
        <v>3974</v>
      </c>
      <c r="AG47">
        <v>354.20180092561787</v>
      </c>
      <c r="AH47">
        <v>7503.8309279054311</v>
      </c>
    </row>
    <row r="48" spans="1:34" hidden="1" x14ac:dyDescent="0.25">
      <c r="A48">
        <v>47</v>
      </c>
      <c r="B48" t="s">
        <v>4060</v>
      </c>
      <c r="C48" t="s">
        <v>376</v>
      </c>
      <c r="D48" t="s">
        <v>3968</v>
      </c>
      <c r="E48" t="s">
        <v>37</v>
      </c>
      <c r="G48">
        <v>2.4</v>
      </c>
      <c r="H48" t="s">
        <v>72</v>
      </c>
      <c r="I48" t="s">
        <v>1024</v>
      </c>
      <c r="J48" t="s">
        <v>1025</v>
      </c>
      <c r="K48" t="s">
        <v>3969</v>
      </c>
      <c r="L48" t="s">
        <v>3970</v>
      </c>
      <c r="M48" t="s">
        <v>57</v>
      </c>
      <c r="N48" t="s">
        <v>79</v>
      </c>
      <c r="O48" t="s">
        <v>80</v>
      </c>
      <c r="P48">
        <v>2.496674111230103</v>
      </c>
      <c r="Q48" t="s">
        <v>46</v>
      </c>
      <c r="R48" t="s">
        <v>47</v>
      </c>
      <c r="S48" t="s">
        <v>57</v>
      </c>
      <c r="U48" t="s">
        <v>118</v>
      </c>
      <c r="W48" t="s">
        <v>4046</v>
      </c>
      <c r="X48" t="s">
        <v>1486</v>
      </c>
      <c r="Y48" t="s">
        <v>2630</v>
      </c>
      <c r="Z48" t="s">
        <v>50</v>
      </c>
      <c r="AA48" t="s">
        <v>453</v>
      </c>
      <c r="AC48" t="s">
        <v>4023</v>
      </c>
      <c r="AE48" t="s">
        <v>4047</v>
      </c>
      <c r="AF48" t="s">
        <v>3974</v>
      </c>
      <c r="AG48">
        <v>412.85536128701119</v>
      </c>
      <c r="AH48">
        <v>10103.72207651924</v>
      </c>
    </row>
    <row r="49" spans="1:34" x14ac:dyDescent="0.25">
      <c r="A49">
        <v>48</v>
      </c>
      <c r="B49" t="s">
        <v>4061</v>
      </c>
      <c r="C49" t="s">
        <v>376</v>
      </c>
      <c r="D49" t="s">
        <v>3968</v>
      </c>
      <c r="E49" t="s">
        <v>37</v>
      </c>
      <c r="G49">
        <v>2.9</v>
      </c>
      <c r="H49" t="s">
        <v>72</v>
      </c>
      <c r="I49" t="s">
        <v>1024</v>
      </c>
      <c r="J49" t="s">
        <v>1025</v>
      </c>
      <c r="K49" t="s">
        <v>3969</v>
      </c>
      <c r="L49" t="s">
        <v>3970</v>
      </c>
      <c r="M49" t="s">
        <v>57</v>
      </c>
      <c r="N49" t="s">
        <v>62</v>
      </c>
      <c r="O49" t="s">
        <v>63</v>
      </c>
      <c r="P49">
        <v>2.996542221889507</v>
      </c>
      <c r="Q49" t="s">
        <v>64</v>
      </c>
      <c r="R49" t="s">
        <v>65</v>
      </c>
      <c r="S49" t="s">
        <v>57</v>
      </c>
      <c r="U49" t="s">
        <v>118</v>
      </c>
      <c r="W49" t="s">
        <v>4051</v>
      </c>
      <c r="X49" t="s">
        <v>1486</v>
      </c>
      <c r="Y49" t="s">
        <v>2630</v>
      </c>
      <c r="Z49" t="s">
        <v>50</v>
      </c>
      <c r="AA49" t="s">
        <v>453</v>
      </c>
      <c r="AC49" t="s">
        <v>4023</v>
      </c>
      <c r="AE49" t="s">
        <v>4052</v>
      </c>
      <c r="AF49" t="s">
        <v>3974</v>
      </c>
      <c r="AG49">
        <v>452.34358946903342</v>
      </c>
      <c r="AH49">
        <v>12126.62464209638</v>
      </c>
    </row>
    <row r="50" spans="1:34" x14ac:dyDescent="0.25">
      <c r="A50">
        <v>49</v>
      </c>
      <c r="B50" t="s">
        <v>4062</v>
      </c>
      <c r="C50" t="s">
        <v>376</v>
      </c>
      <c r="D50" t="s">
        <v>3968</v>
      </c>
      <c r="E50" t="s">
        <v>37</v>
      </c>
      <c r="G50">
        <v>0</v>
      </c>
      <c r="H50" t="s">
        <v>72</v>
      </c>
      <c r="I50" t="s">
        <v>1024</v>
      </c>
      <c r="J50" t="s">
        <v>1025</v>
      </c>
      <c r="K50" t="s">
        <v>3969</v>
      </c>
      <c r="L50" t="s">
        <v>3970</v>
      </c>
      <c r="M50" t="s">
        <v>57</v>
      </c>
      <c r="N50" t="s">
        <v>62</v>
      </c>
      <c r="O50" t="s">
        <v>63</v>
      </c>
      <c r="P50">
        <v>0.18124558554680351</v>
      </c>
      <c r="Q50" t="s">
        <v>64</v>
      </c>
      <c r="R50" t="s">
        <v>65</v>
      </c>
      <c r="S50" t="s">
        <v>673</v>
      </c>
      <c r="U50" t="s">
        <v>118</v>
      </c>
      <c r="X50" t="s">
        <v>1486</v>
      </c>
      <c r="Y50" t="s">
        <v>2630</v>
      </c>
      <c r="Z50" t="s">
        <v>50</v>
      </c>
      <c r="AA50" t="s">
        <v>453</v>
      </c>
      <c r="AD50" t="s">
        <v>1079</v>
      </c>
      <c r="AE50" t="s">
        <v>4063</v>
      </c>
      <c r="AF50" t="s">
        <v>3974</v>
      </c>
      <c r="AG50">
        <v>109.2651462819498</v>
      </c>
      <c r="AH50">
        <v>733.4777958099794</v>
      </c>
    </row>
    <row r="51" spans="1:34" hidden="1" x14ac:dyDescent="0.25">
      <c r="A51">
        <v>50</v>
      </c>
      <c r="B51" t="s">
        <v>4064</v>
      </c>
      <c r="C51" t="s">
        <v>376</v>
      </c>
      <c r="D51" t="s">
        <v>3968</v>
      </c>
      <c r="E51" t="s">
        <v>37</v>
      </c>
      <c r="G51">
        <v>2.5</v>
      </c>
      <c r="H51" t="s">
        <v>72</v>
      </c>
      <c r="I51" t="s">
        <v>1024</v>
      </c>
      <c r="J51" t="s">
        <v>1025</v>
      </c>
      <c r="K51" t="s">
        <v>3969</v>
      </c>
      <c r="L51" t="s">
        <v>3970</v>
      </c>
      <c r="M51" t="s">
        <v>57</v>
      </c>
      <c r="N51" t="s">
        <v>79</v>
      </c>
      <c r="O51" t="s">
        <v>80</v>
      </c>
      <c r="P51">
        <v>2.588341140926206</v>
      </c>
      <c r="Q51" t="s">
        <v>46</v>
      </c>
      <c r="R51" t="s">
        <v>47</v>
      </c>
      <c r="S51" t="s">
        <v>57</v>
      </c>
      <c r="U51" t="s">
        <v>118</v>
      </c>
      <c r="W51" t="s">
        <v>4065</v>
      </c>
      <c r="X51" t="s">
        <v>1486</v>
      </c>
      <c r="Y51" t="s">
        <v>2630</v>
      </c>
      <c r="Z51" t="s">
        <v>50</v>
      </c>
      <c r="AA51" t="s">
        <v>453</v>
      </c>
      <c r="AC51" t="s">
        <v>4023</v>
      </c>
      <c r="AE51" t="s">
        <v>4058</v>
      </c>
      <c r="AF51" t="s">
        <v>3974</v>
      </c>
      <c r="AG51">
        <v>536.240573465907</v>
      </c>
      <c r="AH51">
        <v>10474.68686822493</v>
      </c>
    </row>
    <row r="52" spans="1:34" x14ac:dyDescent="0.25">
      <c r="A52">
        <v>51</v>
      </c>
      <c r="B52" t="s">
        <v>4066</v>
      </c>
      <c r="C52" t="s">
        <v>376</v>
      </c>
      <c r="D52" t="s">
        <v>3968</v>
      </c>
      <c r="E52" t="s">
        <v>37</v>
      </c>
      <c r="H52" t="s">
        <v>72</v>
      </c>
      <c r="I52" t="s">
        <v>1024</v>
      </c>
      <c r="J52" t="s">
        <v>1025</v>
      </c>
      <c r="K52" t="s">
        <v>3969</v>
      </c>
      <c r="L52" t="s">
        <v>3970</v>
      </c>
      <c r="M52" t="s">
        <v>57</v>
      </c>
      <c r="N52" t="s">
        <v>62</v>
      </c>
      <c r="O52" t="s">
        <v>63</v>
      </c>
      <c r="P52">
        <v>0.5906457942061788</v>
      </c>
      <c r="Q52" t="s">
        <v>64</v>
      </c>
      <c r="R52" t="s">
        <v>65</v>
      </c>
      <c r="S52" t="s">
        <v>673</v>
      </c>
      <c r="U52" t="s">
        <v>118</v>
      </c>
      <c r="X52" t="s">
        <v>1486</v>
      </c>
      <c r="Y52" t="s">
        <v>2630</v>
      </c>
      <c r="Z52" t="s">
        <v>50</v>
      </c>
      <c r="AA52" t="s">
        <v>453</v>
      </c>
      <c r="AD52" t="s">
        <v>1146</v>
      </c>
      <c r="AE52" t="s">
        <v>4067</v>
      </c>
      <c r="AF52" t="s">
        <v>3974</v>
      </c>
      <c r="AG52">
        <v>200.37211212387399</v>
      </c>
      <c r="AH52">
        <v>2390.268286710409</v>
      </c>
    </row>
    <row r="53" spans="1:34" hidden="1" x14ac:dyDescent="0.25">
      <c r="A53">
        <v>52</v>
      </c>
      <c r="B53" t="s">
        <v>4068</v>
      </c>
      <c r="C53" t="s">
        <v>376</v>
      </c>
      <c r="D53" t="s">
        <v>3968</v>
      </c>
      <c r="E53" t="s">
        <v>37</v>
      </c>
      <c r="G53">
        <v>2.6</v>
      </c>
      <c r="H53" t="s">
        <v>72</v>
      </c>
      <c r="I53" t="s">
        <v>1024</v>
      </c>
      <c r="J53" t="s">
        <v>1025</v>
      </c>
      <c r="K53" t="s">
        <v>3969</v>
      </c>
      <c r="L53" t="s">
        <v>3970</v>
      </c>
      <c r="M53" t="s">
        <v>57</v>
      </c>
      <c r="N53" t="s">
        <v>79</v>
      </c>
      <c r="O53" t="s">
        <v>80</v>
      </c>
      <c r="P53">
        <v>2.7445469074535258</v>
      </c>
      <c r="Q53" t="s">
        <v>46</v>
      </c>
      <c r="R53" t="s">
        <v>47</v>
      </c>
      <c r="S53" t="s">
        <v>57</v>
      </c>
      <c r="U53" t="s">
        <v>118</v>
      </c>
      <c r="W53" t="s">
        <v>4069</v>
      </c>
      <c r="X53" t="s">
        <v>1486</v>
      </c>
      <c r="Y53" t="s">
        <v>2630</v>
      </c>
      <c r="Z53" t="s">
        <v>50</v>
      </c>
      <c r="AA53" t="s">
        <v>453</v>
      </c>
      <c r="AC53" t="s">
        <v>4023</v>
      </c>
      <c r="AE53" t="s">
        <v>4044</v>
      </c>
      <c r="AF53" t="s">
        <v>3974</v>
      </c>
      <c r="AG53">
        <v>441.01048274349108</v>
      </c>
      <c r="AH53">
        <v>11106.83170628876</v>
      </c>
    </row>
    <row r="54" spans="1:34" hidden="1" x14ac:dyDescent="0.25">
      <c r="A54">
        <v>53</v>
      </c>
      <c r="B54" t="s">
        <v>4070</v>
      </c>
      <c r="C54" t="s">
        <v>376</v>
      </c>
      <c r="D54" t="s">
        <v>3968</v>
      </c>
      <c r="E54" t="s">
        <v>37</v>
      </c>
      <c r="G54">
        <v>5.0999999999999996</v>
      </c>
      <c r="H54" t="s">
        <v>72</v>
      </c>
      <c r="I54" t="s">
        <v>1024</v>
      </c>
      <c r="J54" t="s">
        <v>1025</v>
      </c>
      <c r="K54" t="s">
        <v>3969</v>
      </c>
      <c r="L54" t="s">
        <v>3970</v>
      </c>
      <c r="M54" t="s">
        <v>57</v>
      </c>
      <c r="N54" t="s">
        <v>79</v>
      </c>
      <c r="O54" t="s">
        <v>80</v>
      </c>
      <c r="P54">
        <v>5.3217212281249644</v>
      </c>
      <c r="Q54" t="s">
        <v>46</v>
      </c>
      <c r="R54" t="s">
        <v>47</v>
      </c>
      <c r="S54" t="s">
        <v>57</v>
      </c>
      <c r="U54" t="s">
        <v>61</v>
      </c>
      <c r="W54" t="s">
        <v>4071</v>
      </c>
      <c r="X54" t="s">
        <v>1486</v>
      </c>
      <c r="Y54" t="s">
        <v>2630</v>
      </c>
      <c r="Z54" t="s">
        <v>54</v>
      </c>
      <c r="AA54" t="s">
        <v>453</v>
      </c>
      <c r="AC54" t="s">
        <v>4023</v>
      </c>
      <c r="AE54" t="s">
        <v>4072</v>
      </c>
      <c r="AF54" t="s">
        <v>3974</v>
      </c>
      <c r="AG54">
        <v>587.30352578367069</v>
      </c>
      <c r="AH54">
        <v>21536.32787548528</v>
      </c>
    </row>
    <row r="55" spans="1:34" hidden="1" x14ac:dyDescent="0.25">
      <c r="A55">
        <v>54</v>
      </c>
      <c r="B55" t="s">
        <v>4073</v>
      </c>
      <c r="C55" t="s">
        <v>376</v>
      </c>
      <c r="D55" t="s">
        <v>3968</v>
      </c>
      <c r="E55" t="s">
        <v>37</v>
      </c>
      <c r="G55">
        <v>0.6</v>
      </c>
      <c r="H55" t="s">
        <v>72</v>
      </c>
      <c r="I55" t="s">
        <v>1024</v>
      </c>
      <c r="J55" t="s">
        <v>1025</v>
      </c>
      <c r="K55" t="s">
        <v>3969</v>
      </c>
      <c r="L55" t="s">
        <v>3970</v>
      </c>
      <c r="M55" t="s">
        <v>57</v>
      </c>
      <c r="N55" t="s">
        <v>79</v>
      </c>
      <c r="O55" t="s">
        <v>80</v>
      </c>
      <c r="P55">
        <v>0.66721938731641339</v>
      </c>
      <c r="Q55" t="s">
        <v>46</v>
      </c>
      <c r="R55" t="s">
        <v>47</v>
      </c>
      <c r="S55" t="s">
        <v>57</v>
      </c>
      <c r="U55" t="s">
        <v>118</v>
      </c>
      <c r="W55" t="s">
        <v>4074</v>
      </c>
      <c r="X55" t="s">
        <v>1486</v>
      </c>
      <c r="Y55" t="s">
        <v>2630</v>
      </c>
      <c r="Z55" t="s">
        <v>50</v>
      </c>
      <c r="AA55" t="s">
        <v>453</v>
      </c>
      <c r="AC55" t="s">
        <v>4023</v>
      </c>
      <c r="AE55" t="s">
        <v>4075</v>
      </c>
      <c r="AF55" t="s">
        <v>3974</v>
      </c>
      <c r="AG55">
        <v>270.91039719497479</v>
      </c>
      <c r="AH55">
        <v>2700.1518633078731</v>
      </c>
    </row>
    <row r="56" spans="1:34" hidden="1" x14ac:dyDescent="0.25">
      <c r="A56">
        <v>55</v>
      </c>
      <c r="B56" t="s">
        <v>4076</v>
      </c>
      <c r="C56" t="s">
        <v>376</v>
      </c>
      <c r="D56" t="s">
        <v>3968</v>
      </c>
      <c r="E56" t="s">
        <v>37</v>
      </c>
      <c r="G56">
        <v>2.6</v>
      </c>
      <c r="H56" t="s">
        <v>72</v>
      </c>
      <c r="I56" t="s">
        <v>1024</v>
      </c>
      <c r="J56" t="s">
        <v>1025</v>
      </c>
      <c r="K56" t="s">
        <v>3969</v>
      </c>
      <c r="L56" t="s">
        <v>3970</v>
      </c>
      <c r="M56" t="s">
        <v>57</v>
      </c>
      <c r="N56" t="s">
        <v>79</v>
      </c>
      <c r="O56" t="s">
        <v>80</v>
      </c>
      <c r="P56">
        <v>2.7715478769942838</v>
      </c>
      <c r="Q56" t="s">
        <v>46</v>
      </c>
      <c r="R56" t="s">
        <v>47</v>
      </c>
      <c r="S56" t="s">
        <v>57</v>
      </c>
      <c r="U56" t="s">
        <v>118</v>
      </c>
      <c r="W56" t="s">
        <v>4077</v>
      </c>
      <c r="X56" t="s">
        <v>1486</v>
      </c>
      <c r="Y56" t="s">
        <v>2630</v>
      </c>
      <c r="Z56" t="s">
        <v>50</v>
      </c>
      <c r="AA56" t="s">
        <v>453</v>
      </c>
      <c r="AC56" t="s">
        <v>4023</v>
      </c>
      <c r="AE56" t="s">
        <v>4075</v>
      </c>
      <c r="AF56" t="s">
        <v>3974</v>
      </c>
      <c r="AG56">
        <v>468.15978926934451</v>
      </c>
      <c r="AH56">
        <v>11216.101190363301</v>
      </c>
    </row>
    <row r="57" spans="1:34" hidden="1" x14ac:dyDescent="0.25">
      <c r="A57">
        <v>56</v>
      </c>
      <c r="B57" t="s">
        <v>4078</v>
      </c>
      <c r="C57" t="s">
        <v>376</v>
      </c>
      <c r="D57" t="s">
        <v>3968</v>
      </c>
      <c r="E57" t="s">
        <v>37</v>
      </c>
      <c r="G57">
        <v>1.3</v>
      </c>
      <c r="H57" t="s">
        <v>72</v>
      </c>
      <c r="I57" t="s">
        <v>1024</v>
      </c>
      <c r="J57" t="s">
        <v>1025</v>
      </c>
      <c r="K57" t="s">
        <v>3969</v>
      </c>
      <c r="L57" t="s">
        <v>3970</v>
      </c>
      <c r="M57" t="s">
        <v>57</v>
      </c>
      <c r="N57" t="s">
        <v>79</v>
      </c>
      <c r="O57" t="s">
        <v>80</v>
      </c>
      <c r="P57">
        <v>1.361596778685717</v>
      </c>
      <c r="Q57" t="s">
        <v>46</v>
      </c>
      <c r="R57" t="s">
        <v>47</v>
      </c>
      <c r="S57" t="s">
        <v>57</v>
      </c>
      <c r="U57" t="s">
        <v>61</v>
      </c>
      <c r="W57" t="s">
        <v>4071</v>
      </c>
      <c r="X57" t="s">
        <v>1486</v>
      </c>
      <c r="Y57" t="s">
        <v>2630</v>
      </c>
      <c r="Z57" t="s">
        <v>54</v>
      </c>
      <c r="AA57" t="s">
        <v>453</v>
      </c>
      <c r="AC57" t="s">
        <v>4023</v>
      </c>
      <c r="AE57" t="s">
        <v>4072</v>
      </c>
      <c r="AF57" t="s">
        <v>3974</v>
      </c>
      <c r="AG57">
        <v>427.90412880044892</v>
      </c>
      <c r="AH57">
        <v>5510.2087093562404</v>
      </c>
    </row>
    <row r="58" spans="1:34" hidden="1" x14ac:dyDescent="0.25">
      <c r="A58">
        <v>57</v>
      </c>
      <c r="B58" t="s">
        <v>4079</v>
      </c>
      <c r="C58" t="s">
        <v>376</v>
      </c>
      <c r="D58" t="s">
        <v>3968</v>
      </c>
      <c r="E58" t="s">
        <v>37</v>
      </c>
      <c r="G58">
        <v>0.9</v>
      </c>
      <c r="H58" t="s">
        <v>72</v>
      </c>
      <c r="I58" t="s">
        <v>1024</v>
      </c>
      <c r="J58" t="s">
        <v>1025</v>
      </c>
      <c r="K58" t="s">
        <v>3969</v>
      </c>
      <c r="L58" t="s">
        <v>3970</v>
      </c>
      <c r="M58" t="s">
        <v>57</v>
      </c>
      <c r="N58" t="s">
        <v>79</v>
      </c>
      <c r="O58" t="s">
        <v>80</v>
      </c>
      <c r="P58">
        <v>0.92489704030091702</v>
      </c>
      <c r="Q58" t="s">
        <v>46</v>
      </c>
      <c r="R58" t="s">
        <v>47</v>
      </c>
      <c r="S58" t="s">
        <v>57</v>
      </c>
      <c r="U58" t="s">
        <v>118</v>
      </c>
      <c r="W58" t="s">
        <v>4074</v>
      </c>
      <c r="X58" t="s">
        <v>1486</v>
      </c>
      <c r="Y58" t="s">
        <v>2630</v>
      </c>
      <c r="Z58" t="s">
        <v>54</v>
      </c>
      <c r="AA58" t="s">
        <v>453</v>
      </c>
      <c r="AC58" t="s">
        <v>4023</v>
      </c>
      <c r="AE58" t="s">
        <v>4075</v>
      </c>
      <c r="AF58" t="s">
        <v>3974</v>
      </c>
      <c r="AG58">
        <v>251.35735415970589</v>
      </c>
      <c r="AH58">
        <v>3742.9404993475432</v>
      </c>
    </row>
    <row r="59" spans="1:34" hidden="1" x14ac:dyDescent="0.25">
      <c r="A59">
        <v>58</v>
      </c>
      <c r="B59" t="s">
        <v>4080</v>
      </c>
      <c r="C59" t="s">
        <v>376</v>
      </c>
      <c r="D59" t="s">
        <v>3968</v>
      </c>
      <c r="E59" t="s">
        <v>37</v>
      </c>
      <c r="G59">
        <v>1</v>
      </c>
      <c r="H59" t="s">
        <v>72</v>
      </c>
      <c r="I59" t="s">
        <v>1024</v>
      </c>
      <c r="J59" t="s">
        <v>1025</v>
      </c>
      <c r="K59" t="s">
        <v>3969</v>
      </c>
      <c r="L59" t="s">
        <v>3970</v>
      </c>
      <c r="M59" t="s">
        <v>57</v>
      </c>
      <c r="N59" t="s">
        <v>79</v>
      </c>
      <c r="O59" t="s">
        <v>80</v>
      </c>
      <c r="P59">
        <v>0.92436111660617448</v>
      </c>
      <c r="Q59" t="s">
        <v>46</v>
      </c>
      <c r="R59" t="s">
        <v>47</v>
      </c>
      <c r="S59" t="s">
        <v>57</v>
      </c>
      <c r="U59" t="s">
        <v>61</v>
      </c>
      <c r="W59" t="s">
        <v>4071</v>
      </c>
      <c r="X59" t="s">
        <v>1486</v>
      </c>
      <c r="Y59" t="s">
        <v>2630</v>
      </c>
      <c r="Z59" t="s">
        <v>54</v>
      </c>
      <c r="AA59" t="s">
        <v>453</v>
      </c>
      <c r="AC59" t="s">
        <v>4023</v>
      </c>
      <c r="AE59" t="s">
        <v>4072</v>
      </c>
      <c r="AF59" t="s">
        <v>3974</v>
      </c>
      <c r="AG59">
        <v>392.68160853387758</v>
      </c>
      <c r="AH59">
        <v>3740.7716844263068</v>
      </c>
    </row>
    <row r="60" spans="1:34" hidden="1" x14ac:dyDescent="0.25">
      <c r="A60">
        <v>59</v>
      </c>
      <c r="B60" t="s">
        <v>4081</v>
      </c>
      <c r="C60" t="s">
        <v>376</v>
      </c>
      <c r="D60" t="s">
        <v>3968</v>
      </c>
      <c r="E60" t="s">
        <v>37</v>
      </c>
      <c r="G60">
        <v>3.1</v>
      </c>
      <c r="H60" t="s">
        <v>72</v>
      </c>
      <c r="I60" t="s">
        <v>1024</v>
      </c>
      <c r="J60" t="s">
        <v>1025</v>
      </c>
      <c r="K60" t="s">
        <v>3969</v>
      </c>
      <c r="L60" t="s">
        <v>3970</v>
      </c>
      <c r="M60" t="s">
        <v>57</v>
      </c>
      <c r="N60" t="s">
        <v>79</v>
      </c>
      <c r="O60" t="s">
        <v>80</v>
      </c>
      <c r="P60">
        <v>3.2144585294596322</v>
      </c>
      <c r="Q60" t="s">
        <v>46</v>
      </c>
      <c r="R60" t="s">
        <v>47</v>
      </c>
      <c r="S60" t="s">
        <v>57</v>
      </c>
      <c r="U60" t="s">
        <v>118</v>
      </c>
      <c r="W60" t="s">
        <v>4082</v>
      </c>
      <c r="X60" t="s">
        <v>1486</v>
      </c>
      <c r="Y60" t="s">
        <v>2630</v>
      </c>
      <c r="Z60" t="s">
        <v>50</v>
      </c>
      <c r="AA60" t="s">
        <v>453</v>
      </c>
      <c r="AC60" t="s">
        <v>4023</v>
      </c>
      <c r="AE60" t="s">
        <v>4075</v>
      </c>
      <c r="AF60" t="s">
        <v>3974</v>
      </c>
      <c r="AG60">
        <v>474.73791762586688</v>
      </c>
      <c r="AH60">
        <v>13008.50417844685</v>
      </c>
    </row>
    <row r="61" spans="1:34" hidden="1" x14ac:dyDescent="0.25">
      <c r="A61">
        <v>60</v>
      </c>
      <c r="B61" t="s">
        <v>4083</v>
      </c>
      <c r="C61" t="s">
        <v>376</v>
      </c>
      <c r="D61" t="s">
        <v>3968</v>
      </c>
      <c r="E61" t="s">
        <v>37</v>
      </c>
      <c r="G61">
        <v>6.5</v>
      </c>
      <c r="H61" t="s">
        <v>72</v>
      </c>
      <c r="I61" t="s">
        <v>1024</v>
      </c>
      <c r="J61" t="s">
        <v>1025</v>
      </c>
      <c r="K61" t="s">
        <v>3969</v>
      </c>
      <c r="L61" t="s">
        <v>3970</v>
      </c>
      <c r="N61" t="s">
        <v>79</v>
      </c>
      <c r="O61" t="s">
        <v>80</v>
      </c>
      <c r="P61">
        <v>5.7927811909854858</v>
      </c>
      <c r="Q61" t="s">
        <v>46</v>
      </c>
      <c r="R61" t="s">
        <v>47</v>
      </c>
      <c r="S61" t="s">
        <v>57</v>
      </c>
      <c r="U61" t="s">
        <v>61</v>
      </c>
      <c r="W61" t="s">
        <v>4074</v>
      </c>
      <c r="AC61" t="s">
        <v>4023</v>
      </c>
      <c r="AE61" t="s">
        <v>4075</v>
      </c>
      <c r="AF61" t="s">
        <v>3974</v>
      </c>
      <c r="AG61">
        <v>640.37503183135493</v>
      </c>
      <c r="AH61">
        <v>16970.52232574562</v>
      </c>
    </row>
    <row r="62" spans="1:34" x14ac:dyDescent="0.25">
      <c r="A62">
        <v>61</v>
      </c>
      <c r="B62" t="s">
        <v>4084</v>
      </c>
      <c r="C62" t="s">
        <v>376</v>
      </c>
      <c r="D62" t="s">
        <v>3968</v>
      </c>
      <c r="E62" t="s">
        <v>37</v>
      </c>
      <c r="G62">
        <v>2.2000000000000002</v>
      </c>
      <c r="H62" t="s">
        <v>72</v>
      </c>
      <c r="I62" t="s">
        <v>1024</v>
      </c>
      <c r="J62" t="s">
        <v>1025</v>
      </c>
      <c r="K62" t="s">
        <v>3969</v>
      </c>
      <c r="L62" t="s">
        <v>3970</v>
      </c>
      <c r="M62" t="s">
        <v>57</v>
      </c>
      <c r="N62" t="s">
        <v>62</v>
      </c>
      <c r="O62" t="s">
        <v>63</v>
      </c>
      <c r="P62">
        <v>2.214645788698165</v>
      </c>
      <c r="Q62" t="s">
        <v>64</v>
      </c>
      <c r="R62" t="s">
        <v>65</v>
      </c>
      <c r="S62" t="s">
        <v>57</v>
      </c>
      <c r="U62" t="s">
        <v>61</v>
      </c>
      <c r="W62" t="s">
        <v>4074</v>
      </c>
      <c r="X62" t="s">
        <v>1486</v>
      </c>
      <c r="Y62" t="s">
        <v>2630</v>
      </c>
      <c r="Z62" t="s">
        <v>54</v>
      </c>
      <c r="AA62" t="s">
        <v>453</v>
      </c>
      <c r="AC62" t="s">
        <v>4023</v>
      </c>
      <c r="AE62" t="s">
        <v>4075</v>
      </c>
      <c r="AF62" t="s">
        <v>3974</v>
      </c>
      <c r="AG62">
        <v>478.67649616097111</v>
      </c>
      <c r="AH62">
        <v>8962.389382855963</v>
      </c>
    </row>
    <row r="63" spans="1:34" hidden="1" x14ac:dyDescent="0.25">
      <c r="A63">
        <v>62</v>
      </c>
      <c r="B63" t="s">
        <v>4085</v>
      </c>
      <c r="C63" t="s">
        <v>376</v>
      </c>
      <c r="D63" t="s">
        <v>3968</v>
      </c>
      <c r="E63" t="s">
        <v>37</v>
      </c>
      <c r="G63">
        <v>0.2</v>
      </c>
      <c r="H63" t="s">
        <v>72</v>
      </c>
      <c r="I63" t="s">
        <v>1024</v>
      </c>
      <c r="J63" t="s">
        <v>1025</v>
      </c>
      <c r="K63" t="s">
        <v>3969</v>
      </c>
      <c r="L63" t="s">
        <v>3970</v>
      </c>
      <c r="M63" t="s">
        <v>57</v>
      </c>
      <c r="N63" t="s">
        <v>79</v>
      </c>
      <c r="O63" t="s">
        <v>80</v>
      </c>
      <c r="P63">
        <v>0.1848440571516817</v>
      </c>
      <c r="Q63" t="s">
        <v>46</v>
      </c>
      <c r="R63" t="s">
        <v>47</v>
      </c>
      <c r="S63" t="s">
        <v>4086</v>
      </c>
      <c r="U63" t="s">
        <v>61</v>
      </c>
      <c r="W63" t="s">
        <v>4087</v>
      </c>
      <c r="X63" t="s">
        <v>1486</v>
      </c>
      <c r="Y63" t="s">
        <v>2630</v>
      </c>
      <c r="Z63" t="s">
        <v>54</v>
      </c>
      <c r="AA63" t="s">
        <v>453</v>
      </c>
      <c r="AC63" t="s">
        <v>4023</v>
      </c>
      <c r="AE63" t="s">
        <v>4088</v>
      </c>
      <c r="AF63" t="s">
        <v>3974</v>
      </c>
      <c r="AG63">
        <v>119.23351508693391</v>
      </c>
      <c r="AH63">
        <v>748.04035198517147</v>
      </c>
    </row>
    <row r="64" spans="1:34" hidden="1" x14ac:dyDescent="0.25">
      <c r="A64">
        <v>63</v>
      </c>
      <c r="B64" t="s">
        <v>4089</v>
      </c>
      <c r="C64" t="s">
        <v>376</v>
      </c>
      <c r="D64" t="s">
        <v>3968</v>
      </c>
      <c r="E64" t="s">
        <v>37</v>
      </c>
      <c r="G64">
        <v>15.6</v>
      </c>
      <c r="H64" t="s">
        <v>72</v>
      </c>
      <c r="I64" t="s">
        <v>1024</v>
      </c>
      <c r="J64" t="s">
        <v>1025</v>
      </c>
      <c r="K64" t="s">
        <v>3969</v>
      </c>
      <c r="L64" t="s">
        <v>3970</v>
      </c>
      <c r="M64" t="s">
        <v>57</v>
      </c>
      <c r="N64" t="s">
        <v>79</v>
      </c>
      <c r="O64" t="s">
        <v>80</v>
      </c>
      <c r="P64">
        <v>16.07364748849734</v>
      </c>
      <c r="Q64" t="s">
        <v>46</v>
      </c>
      <c r="R64" t="s">
        <v>47</v>
      </c>
      <c r="S64" t="s">
        <v>57</v>
      </c>
      <c r="U64" t="s">
        <v>61</v>
      </c>
      <c r="W64" t="s">
        <v>4087</v>
      </c>
      <c r="X64" t="s">
        <v>1486</v>
      </c>
      <c r="Y64" t="s">
        <v>2630</v>
      </c>
      <c r="Z64" t="s">
        <v>54</v>
      </c>
      <c r="AA64" t="s">
        <v>453</v>
      </c>
      <c r="AC64" t="s">
        <v>4023</v>
      </c>
      <c r="AE64" t="s">
        <v>4088</v>
      </c>
      <c r="AF64" t="s">
        <v>3974</v>
      </c>
      <c r="AG64">
        <v>1145.87332722677</v>
      </c>
      <c r="AH64">
        <v>65048.003761973923</v>
      </c>
    </row>
    <row r="65" spans="1:34" hidden="1" x14ac:dyDescent="0.25">
      <c r="A65">
        <v>64</v>
      </c>
      <c r="B65" t="s">
        <v>4090</v>
      </c>
      <c r="C65" t="s">
        <v>376</v>
      </c>
      <c r="D65" t="s">
        <v>3968</v>
      </c>
      <c r="E65" t="s">
        <v>37</v>
      </c>
      <c r="G65">
        <v>5.4</v>
      </c>
      <c r="H65" t="s">
        <v>72</v>
      </c>
      <c r="I65" t="s">
        <v>1024</v>
      </c>
      <c r="J65" t="s">
        <v>1025</v>
      </c>
      <c r="K65" t="s">
        <v>3969</v>
      </c>
      <c r="L65" t="s">
        <v>3970</v>
      </c>
      <c r="M65" t="s">
        <v>57</v>
      </c>
      <c r="N65" t="s">
        <v>77</v>
      </c>
      <c r="O65" t="s">
        <v>78</v>
      </c>
      <c r="P65">
        <v>5.0225785234259321</v>
      </c>
      <c r="Q65" t="s">
        <v>46</v>
      </c>
      <c r="R65" t="s">
        <v>47</v>
      </c>
      <c r="S65" t="s">
        <v>57</v>
      </c>
      <c r="U65" t="s">
        <v>61</v>
      </c>
      <c r="W65" t="s">
        <v>4082</v>
      </c>
      <c r="X65" t="s">
        <v>1486</v>
      </c>
      <c r="Y65" t="s">
        <v>2630</v>
      </c>
      <c r="Z65" t="s">
        <v>54</v>
      </c>
      <c r="AA65" t="s">
        <v>453</v>
      </c>
      <c r="AC65" t="s">
        <v>4023</v>
      </c>
      <c r="AE65" t="s">
        <v>4075</v>
      </c>
      <c r="AF65" t="s">
        <v>3974</v>
      </c>
      <c r="AG65">
        <v>896.34340643095777</v>
      </c>
      <c r="AH65">
        <v>20325.735457395069</v>
      </c>
    </row>
    <row r="66" spans="1:34" hidden="1" x14ac:dyDescent="0.25">
      <c r="A66">
        <v>65</v>
      </c>
      <c r="B66" t="s">
        <v>4091</v>
      </c>
      <c r="C66" t="s">
        <v>376</v>
      </c>
      <c r="D66" t="s">
        <v>3968</v>
      </c>
      <c r="E66" t="s">
        <v>37</v>
      </c>
      <c r="G66">
        <v>3.7</v>
      </c>
      <c r="H66" t="s">
        <v>72</v>
      </c>
      <c r="I66" t="s">
        <v>1024</v>
      </c>
      <c r="J66" t="s">
        <v>1025</v>
      </c>
      <c r="K66" t="s">
        <v>3969</v>
      </c>
      <c r="L66" t="s">
        <v>3970</v>
      </c>
      <c r="M66" t="s">
        <v>57</v>
      </c>
      <c r="N66" t="s">
        <v>79</v>
      </c>
      <c r="O66" t="s">
        <v>80</v>
      </c>
      <c r="P66">
        <v>3.7972199193656202</v>
      </c>
      <c r="Q66" t="s">
        <v>46</v>
      </c>
      <c r="R66" t="s">
        <v>47</v>
      </c>
      <c r="S66" t="s">
        <v>57</v>
      </c>
      <c r="U66" t="s">
        <v>61</v>
      </c>
      <c r="W66" t="s">
        <v>4092</v>
      </c>
      <c r="X66" t="s">
        <v>1486</v>
      </c>
      <c r="Y66" t="s">
        <v>2630</v>
      </c>
      <c r="Z66" t="s">
        <v>54</v>
      </c>
      <c r="AA66" t="s">
        <v>453</v>
      </c>
      <c r="AB66" t="s">
        <v>4093</v>
      </c>
      <c r="AC66" t="s">
        <v>4023</v>
      </c>
      <c r="AE66" t="s">
        <v>4094</v>
      </c>
      <c r="AF66" t="s">
        <v>3974</v>
      </c>
      <c r="AG66">
        <v>579.37914846078672</v>
      </c>
      <c r="AH66">
        <v>15366.865285349641</v>
      </c>
    </row>
    <row r="67" spans="1:34" hidden="1" x14ac:dyDescent="0.25">
      <c r="A67">
        <v>66</v>
      </c>
      <c r="B67" t="s">
        <v>4095</v>
      </c>
      <c r="C67" t="s">
        <v>376</v>
      </c>
      <c r="D67" t="s">
        <v>3968</v>
      </c>
      <c r="E67" t="s">
        <v>37</v>
      </c>
      <c r="G67">
        <v>0.3</v>
      </c>
      <c r="H67" t="s">
        <v>72</v>
      </c>
      <c r="I67" t="s">
        <v>1024</v>
      </c>
      <c r="J67" t="s">
        <v>1025</v>
      </c>
      <c r="K67" t="s">
        <v>3969</v>
      </c>
      <c r="L67" t="s">
        <v>3970</v>
      </c>
      <c r="M67" t="s">
        <v>57</v>
      </c>
      <c r="N67" t="s">
        <v>38</v>
      </c>
      <c r="O67" t="s">
        <v>133</v>
      </c>
      <c r="P67">
        <v>0.25431891375170268</v>
      </c>
      <c r="Q67" t="s">
        <v>46</v>
      </c>
      <c r="R67" t="s">
        <v>47</v>
      </c>
      <c r="S67" t="s">
        <v>57</v>
      </c>
      <c r="U67" t="s">
        <v>61</v>
      </c>
      <c r="W67" t="s">
        <v>4096</v>
      </c>
      <c r="X67" t="s">
        <v>1486</v>
      </c>
      <c r="Y67" t="s">
        <v>2630</v>
      </c>
      <c r="Z67" t="s">
        <v>54</v>
      </c>
      <c r="AA67" t="s">
        <v>453</v>
      </c>
      <c r="AC67" t="s">
        <v>4023</v>
      </c>
      <c r="AE67" t="s">
        <v>4097</v>
      </c>
      <c r="AF67" t="s">
        <v>3974</v>
      </c>
      <c r="AG67">
        <v>160.21277982315291</v>
      </c>
      <c r="AH67">
        <v>1029.1962462347381</v>
      </c>
    </row>
    <row r="68" spans="1:34" x14ac:dyDescent="0.25">
      <c r="A68">
        <v>67</v>
      </c>
      <c r="B68" t="s">
        <v>4098</v>
      </c>
      <c r="C68" t="s">
        <v>376</v>
      </c>
      <c r="D68" t="s">
        <v>3968</v>
      </c>
      <c r="E68" t="s">
        <v>37</v>
      </c>
      <c r="G68">
        <v>0.7</v>
      </c>
      <c r="H68" t="s">
        <v>72</v>
      </c>
      <c r="I68" t="s">
        <v>1024</v>
      </c>
      <c r="J68" t="s">
        <v>1025</v>
      </c>
      <c r="K68" t="s">
        <v>3969</v>
      </c>
      <c r="L68" t="s">
        <v>3970</v>
      </c>
      <c r="M68" t="s">
        <v>57</v>
      </c>
      <c r="N68" t="s">
        <v>62</v>
      </c>
      <c r="O68" t="s">
        <v>63</v>
      </c>
      <c r="P68">
        <v>0.76383168249790567</v>
      </c>
      <c r="Q68" t="s">
        <v>64</v>
      </c>
      <c r="R68" t="s">
        <v>65</v>
      </c>
      <c r="S68" t="s">
        <v>57</v>
      </c>
      <c r="U68" t="s">
        <v>61</v>
      </c>
      <c r="W68" t="s">
        <v>4087</v>
      </c>
      <c r="X68" t="s">
        <v>1486</v>
      </c>
      <c r="Y68" t="s">
        <v>2630</v>
      </c>
      <c r="Z68" t="s">
        <v>54</v>
      </c>
      <c r="AA68" t="s">
        <v>453</v>
      </c>
      <c r="AC68" t="s">
        <v>4023</v>
      </c>
      <c r="AE68" t="s">
        <v>4088</v>
      </c>
      <c r="AF68" t="s">
        <v>3981</v>
      </c>
      <c r="AG68">
        <v>281.93352820651381</v>
      </c>
      <c r="AH68">
        <v>3091.1295144549399</v>
      </c>
    </row>
    <row r="69" spans="1:34" hidden="1" x14ac:dyDescent="0.25">
      <c r="A69">
        <v>68</v>
      </c>
      <c r="B69" t="s">
        <v>4099</v>
      </c>
      <c r="C69" t="s">
        <v>376</v>
      </c>
      <c r="D69" t="s">
        <v>3968</v>
      </c>
      <c r="E69" t="s">
        <v>37</v>
      </c>
      <c r="G69">
        <v>1.1000000000000001</v>
      </c>
      <c r="H69" t="s">
        <v>72</v>
      </c>
      <c r="I69" t="s">
        <v>1024</v>
      </c>
      <c r="J69" t="s">
        <v>1025</v>
      </c>
      <c r="K69" t="s">
        <v>3969</v>
      </c>
      <c r="L69" t="s">
        <v>3970</v>
      </c>
      <c r="M69" t="s">
        <v>57</v>
      </c>
      <c r="N69" t="s">
        <v>79</v>
      </c>
      <c r="O69" t="s">
        <v>80</v>
      </c>
      <c r="P69">
        <v>1.1139056214355809</v>
      </c>
      <c r="Q69" t="s">
        <v>46</v>
      </c>
      <c r="R69" t="s">
        <v>47</v>
      </c>
      <c r="S69" t="s">
        <v>57</v>
      </c>
      <c r="U69" t="s">
        <v>61</v>
      </c>
      <c r="W69" t="s">
        <v>4087</v>
      </c>
      <c r="X69" t="s">
        <v>1486</v>
      </c>
      <c r="Y69" t="s">
        <v>2630</v>
      </c>
      <c r="Z69" t="s">
        <v>54</v>
      </c>
      <c r="AA69" t="s">
        <v>453</v>
      </c>
      <c r="AC69" t="s">
        <v>4023</v>
      </c>
      <c r="AE69" t="s">
        <v>4088</v>
      </c>
      <c r="AF69" t="s">
        <v>3981</v>
      </c>
      <c r="AG69">
        <v>268.33047067976003</v>
      </c>
      <c r="AH69">
        <v>4507.8341493726111</v>
      </c>
    </row>
    <row r="70" spans="1:34" hidden="1" x14ac:dyDescent="0.25">
      <c r="A70">
        <v>69</v>
      </c>
      <c r="B70" t="s">
        <v>4100</v>
      </c>
      <c r="C70" t="s">
        <v>376</v>
      </c>
      <c r="D70" t="s">
        <v>3968</v>
      </c>
      <c r="E70" t="s">
        <v>37</v>
      </c>
      <c r="G70">
        <v>6.3</v>
      </c>
      <c r="H70" t="s">
        <v>72</v>
      </c>
      <c r="I70" t="s">
        <v>1024</v>
      </c>
      <c r="J70" t="s">
        <v>1025</v>
      </c>
      <c r="K70" t="s">
        <v>3969</v>
      </c>
      <c r="L70" t="s">
        <v>3970</v>
      </c>
      <c r="M70" t="s">
        <v>57</v>
      </c>
      <c r="N70" t="s">
        <v>79</v>
      </c>
      <c r="O70" t="s">
        <v>80</v>
      </c>
      <c r="P70">
        <v>6.472892821424586</v>
      </c>
      <c r="Q70" t="s">
        <v>46</v>
      </c>
      <c r="R70" t="s">
        <v>47</v>
      </c>
      <c r="S70" t="s">
        <v>57</v>
      </c>
      <c r="U70" t="s">
        <v>61</v>
      </c>
      <c r="W70" t="s">
        <v>4101</v>
      </c>
      <c r="X70" t="s">
        <v>1486</v>
      </c>
      <c r="Y70" t="s">
        <v>2630</v>
      </c>
      <c r="Z70" t="s">
        <v>54</v>
      </c>
      <c r="AA70" t="s">
        <v>453</v>
      </c>
      <c r="AC70" t="s">
        <v>4023</v>
      </c>
      <c r="AE70" t="s">
        <v>4102</v>
      </c>
      <c r="AF70" t="s">
        <v>3981</v>
      </c>
      <c r="AG70">
        <v>636.36545505543972</v>
      </c>
      <c r="AH70">
        <v>26194.972665674821</v>
      </c>
    </row>
    <row r="71" spans="1:34" hidden="1" x14ac:dyDescent="0.25">
      <c r="A71">
        <v>70</v>
      </c>
      <c r="B71" t="s">
        <v>4103</v>
      </c>
      <c r="C71" t="s">
        <v>376</v>
      </c>
      <c r="D71" t="s">
        <v>3968</v>
      </c>
      <c r="E71" t="s">
        <v>37</v>
      </c>
      <c r="G71">
        <v>6.4</v>
      </c>
      <c r="H71" t="s">
        <v>72</v>
      </c>
      <c r="I71" t="s">
        <v>1024</v>
      </c>
      <c r="J71" t="s">
        <v>1025</v>
      </c>
      <c r="K71" t="s">
        <v>3969</v>
      </c>
      <c r="L71" t="s">
        <v>3970</v>
      </c>
      <c r="M71" t="s">
        <v>57</v>
      </c>
      <c r="N71" t="s">
        <v>79</v>
      </c>
      <c r="O71" t="s">
        <v>80</v>
      </c>
      <c r="P71">
        <v>6.6873867689080706</v>
      </c>
      <c r="Q71" t="s">
        <v>46</v>
      </c>
      <c r="R71" t="s">
        <v>47</v>
      </c>
      <c r="S71" t="s">
        <v>57</v>
      </c>
      <c r="U71" t="s">
        <v>61</v>
      </c>
      <c r="W71" t="s">
        <v>4104</v>
      </c>
      <c r="X71" t="s">
        <v>1486</v>
      </c>
      <c r="Y71" t="s">
        <v>2630</v>
      </c>
      <c r="Z71" t="s">
        <v>54</v>
      </c>
      <c r="AA71" t="s">
        <v>453</v>
      </c>
      <c r="AC71" t="s">
        <v>4023</v>
      </c>
      <c r="AE71" t="s">
        <v>4105</v>
      </c>
      <c r="AF71" t="s">
        <v>3981</v>
      </c>
      <c r="AG71">
        <v>711.74403165651916</v>
      </c>
      <c r="AH71">
        <v>27063.00234672954</v>
      </c>
    </row>
    <row r="72" spans="1:34" hidden="1" x14ac:dyDescent="0.25">
      <c r="A72">
        <v>71</v>
      </c>
      <c r="B72" t="s">
        <v>4106</v>
      </c>
      <c r="C72" t="s">
        <v>376</v>
      </c>
      <c r="D72" t="s">
        <v>3968</v>
      </c>
      <c r="E72" t="s">
        <v>37</v>
      </c>
      <c r="G72">
        <v>12</v>
      </c>
      <c r="H72" t="s">
        <v>72</v>
      </c>
      <c r="I72" t="s">
        <v>1024</v>
      </c>
      <c r="J72" t="s">
        <v>1025</v>
      </c>
      <c r="K72" t="s">
        <v>3969</v>
      </c>
      <c r="L72" t="s">
        <v>3970</v>
      </c>
      <c r="M72" t="s">
        <v>57</v>
      </c>
      <c r="N72" t="s">
        <v>79</v>
      </c>
      <c r="O72" t="s">
        <v>80</v>
      </c>
      <c r="P72">
        <v>12.84232891439774</v>
      </c>
      <c r="Q72" t="s">
        <v>46</v>
      </c>
      <c r="R72" t="s">
        <v>47</v>
      </c>
      <c r="S72" t="s">
        <v>57</v>
      </c>
      <c r="U72" t="s">
        <v>61</v>
      </c>
      <c r="W72" t="s">
        <v>4107</v>
      </c>
      <c r="X72" t="s">
        <v>1486</v>
      </c>
      <c r="Y72" t="s">
        <v>2630</v>
      </c>
      <c r="Z72" t="s">
        <v>54</v>
      </c>
      <c r="AA72" t="s">
        <v>453</v>
      </c>
      <c r="AC72" t="s">
        <v>4023</v>
      </c>
      <c r="AE72" t="s">
        <v>4088</v>
      </c>
      <c r="AF72" t="s">
        <v>3981</v>
      </c>
      <c r="AG72">
        <v>1023.264336696374</v>
      </c>
      <c r="AH72">
        <v>51971.269130672343</v>
      </c>
    </row>
    <row r="73" spans="1:34" hidden="1" x14ac:dyDescent="0.25">
      <c r="A73">
        <v>72</v>
      </c>
      <c r="B73" t="s">
        <v>4108</v>
      </c>
      <c r="C73" t="s">
        <v>376</v>
      </c>
      <c r="D73" t="s">
        <v>3968</v>
      </c>
      <c r="E73" t="s">
        <v>37</v>
      </c>
      <c r="G73">
        <v>2.1</v>
      </c>
      <c r="H73" t="s">
        <v>72</v>
      </c>
      <c r="I73" t="s">
        <v>1024</v>
      </c>
      <c r="J73" t="s">
        <v>1025</v>
      </c>
      <c r="K73" t="s">
        <v>3969</v>
      </c>
      <c r="L73" t="s">
        <v>3970</v>
      </c>
      <c r="M73" t="s">
        <v>57</v>
      </c>
      <c r="N73" t="s">
        <v>79</v>
      </c>
      <c r="O73" t="s">
        <v>80</v>
      </c>
      <c r="P73">
        <v>2.202242551548987</v>
      </c>
      <c r="Q73" t="s">
        <v>75</v>
      </c>
      <c r="R73" t="s">
        <v>83</v>
      </c>
      <c r="S73" t="s">
        <v>57</v>
      </c>
      <c r="U73" t="s">
        <v>61</v>
      </c>
      <c r="W73" t="s">
        <v>4109</v>
      </c>
      <c r="X73" t="s">
        <v>1486</v>
      </c>
      <c r="Y73" t="s">
        <v>2623</v>
      </c>
      <c r="Z73" t="s">
        <v>71</v>
      </c>
      <c r="AA73" t="s">
        <v>453</v>
      </c>
      <c r="AC73" t="s">
        <v>4110</v>
      </c>
      <c r="AE73" t="s">
        <v>4111</v>
      </c>
      <c r="AF73" t="s">
        <v>4112</v>
      </c>
      <c r="AG73">
        <v>387.90762064887099</v>
      </c>
      <c r="AH73">
        <v>8912.1950621631786</v>
      </c>
    </row>
    <row r="74" spans="1:34" hidden="1" x14ac:dyDescent="0.25">
      <c r="A74">
        <v>73</v>
      </c>
      <c r="B74" t="s">
        <v>4113</v>
      </c>
      <c r="C74" t="s">
        <v>376</v>
      </c>
      <c r="D74" t="s">
        <v>3968</v>
      </c>
      <c r="E74" t="s">
        <v>37</v>
      </c>
      <c r="G74">
        <v>3.3</v>
      </c>
      <c r="H74" t="s">
        <v>72</v>
      </c>
      <c r="I74" t="s">
        <v>1024</v>
      </c>
      <c r="J74" t="s">
        <v>1025</v>
      </c>
      <c r="K74" t="s">
        <v>3969</v>
      </c>
      <c r="L74" t="s">
        <v>3970</v>
      </c>
      <c r="M74" t="s">
        <v>57</v>
      </c>
      <c r="N74" t="s">
        <v>79</v>
      </c>
      <c r="O74" t="s">
        <v>80</v>
      </c>
      <c r="P74">
        <v>3.4234663019531961</v>
      </c>
      <c r="Q74" t="s">
        <v>75</v>
      </c>
      <c r="R74" t="s">
        <v>83</v>
      </c>
      <c r="S74" t="s">
        <v>57</v>
      </c>
      <c r="U74" t="s">
        <v>61</v>
      </c>
      <c r="W74" t="s">
        <v>4109</v>
      </c>
      <c r="X74" t="s">
        <v>1486</v>
      </c>
      <c r="Y74" t="s">
        <v>2623</v>
      </c>
      <c r="Z74" t="s">
        <v>71</v>
      </c>
      <c r="AA74" t="s">
        <v>453</v>
      </c>
      <c r="AC74" t="s">
        <v>4110</v>
      </c>
      <c r="AE74" t="s">
        <v>4111</v>
      </c>
      <c r="AF74" t="s">
        <v>4112</v>
      </c>
      <c r="AG74">
        <v>494.90298371294199</v>
      </c>
      <c r="AH74">
        <v>13854.33200820188</v>
      </c>
    </row>
    <row r="75" spans="1:34" hidden="1" x14ac:dyDescent="0.25">
      <c r="A75">
        <v>74</v>
      </c>
      <c r="B75" t="s">
        <v>4114</v>
      </c>
      <c r="C75" t="s">
        <v>376</v>
      </c>
      <c r="D75" t="s">
        <v>3968</v>
      </c>
      <c r="E75" t="s">
        <v>37</v>
      </c>
      <c r="G75">
        <v>8</v>
      </c>
      <c r="H75" t="s">
        <v>72</v>
      </c>
      <c r="I75" t="s">
        <v>1024</v>
      </c>
      <c r="J75" t="s">
        <v>1025</v>
      </c>
      <c r="K75" t="s">
        <v>3969</v>
      </c>
      <c r="L75" t="s">
        <v>3970</v>
      </c>
      <c r="M75" t="s">
        <v>57</v>
      </c>
      <c r="N75" t="s">
        <v>402</v>
      </c>
      <c r="O75" t="s">
        <v>403</v>
      </c>
      <c r="P75">
        <v>8.366886027927892</v>
      </c>
      <c r="R75" t="s">
        <v>38</v>
      </c>
      <c r="S75" t="s">
        <v>57</v>
      </c>
      <c r="U75" t="s">
        <v>61</v>
      </c>
      <c r="W75" t="s">
        <v>4115</v>
      </c>
      <c r="X75" t="s">
        <v>1486</v>
      </c>
      <c r="Y75" t="s">
        <v>2623</v>
      </c>
      <c r="Z75" t="s">
        <v>125</v>
      </c>
      <c r="AA75" t="s">
        <v>453</v>
      </c>
      <c r="AC75" t="s">
        <v>4023</v>
      </c>
      <c r="AE75" t="s">
        <v>4116</v>
      </c>
      <c r="AF75" t="s">
        <v>3981</v>
      </c>
      <c r="AG75">
        <v>877.60505341007831</v>
      </c>
      <c r="AH75">
        <v>33859.721896360963</v>
      </c>
    </row>
    <row r="76" spans="1:34" hidden="1" x14ac:dyDescent="0.25">
      <c r="A76">
        <v>75</v>
      </c>
      <c r="B76" t="s">
        <v>4117</v>
      </c>
      <c r="C76" t="s">
        <v>376</v>
      </c>
      <c r="D76" t="s">
        <v>3968</v>
      </c>
      <c r="E76" t="s">
        <v>37</v>
      </c>
      <c r="G76">
        <v>4.5</v>
      </c>
      <c r="H76" t="s">
        <v>72</v>
      </c>
      <c r="I76" t="s">
        <v>1024</v>
      </c>
      <c r="J76" t="s">
        <v>1025</v>
      </c>
      <c r="K76" t="s">
        <v>3969</v>
      </c>
      <c r="L76" t="s">
        <v>3970</v>
      </c>
      <c r="M76" t="s">
        <v>57</v>
      </c>
      <c r="N76" t="s">
        <v>402</v>
      </c>
      <c r="O76" t="s">
        <v>403</v>
      </c>
      <c r="P76">
        <v>4.5172663432236417</v>
      </c>
      <c r="R76" t="s">
        <v>38</v>
      </c>
      <c r="S76" t="s">
        <v>57</v>
      </c>
      <c r="U76" t="s">
        <v>61</v>
      </c>
      <c r="W76" t="s">
        <v>4115</v>
      </c>
      <c r="X76" t="s">
        <v>1486</v>
      </c>
      <c r="Y76" t="s">
        <v>2623</v>
      </c>
      <c r="Z76" t="s">
        <v>125</v>
      </c>
      <c r="AA76" t="s">
        <v>453</v>
      </c>
      <c r="AC76" t="s">
        <v>4023</v>
      </c>
      <c r="AE76" t="s">
        <v>4116</v>
      </c>
      <c r="AF76" t="s">
        <v>3981</v>
      </c>
      <c r="AG76">
        <v>646.02760954669861</v>
      </c>
      <c r="AH76">
        <v>18280.801435898578</v>
      </c>
    </row>
    <row r="77" spans="1:34" hidden="1" x14ac:dyDescent="0.25">
      <c r="A77">
        <v>76</v>
      </c>
      <c r="B77" t="s">
        <v>4118</v>
      </c>
      <c r="C77" t="s">
        <v>376</v>
      </c>
      <c r="D77" t="s">
        <v>3968</v>
      </c>
      <c r="E77" t="s">
        <v>37</v>
      </c>
      <c r="G77">
        <v>9.8000000000000007</v>
      </c>
      <c r="H77" t="s">
        <v>72</v>
      </c>
      <c r="I77" t="s">
        <v>1024</v>
      </c>
      <c r="J77" t="s">
        <v>1025</v>
      </c>
      <c r="K77" t="s">
        <v>3969</v>
      </c>
      <c r="L77" t="s">
        <v>3970</v>
      </c>
      <c r="M77" t="s">
        <v>57</v>
      </c>
      <c r="N77" t="s">
        <v>79</v>
      </c>
      <c r="O77" t="s">
        <v>80</v>
      </c>
      <c r="P77">
        <v>10.162920966551219</v>
      </c>
      <c r="Q77" t="s">
        <v>75</v>
      </c>
      <c r="R77" t="s">
        <v>83</v>
      </c>
      <c r="S77" t="s">
        <v>57</v>
      </c>
      <c r="U77" t="s">
        <v>61</v>
      </c>
      <c r="W77" t="s">
        <v>4109</v>
      </c>
      <c r="X77" t="s">
        <v>1486</v>
      </c>
      <c r="Y77" t="s">
        <v>2623</v>
      </c>
      <c r="Z77" t="s">
        <v>71</v>
      </c>
      <c r="AA77" t="s">
        <v>453</v>
      </c>
      <c r="AC77" t="s">
        <v>4110</v>
      </c>
      <c r="AE77" t="s">
        <v>4111</v>
      </c>
      <c r="AF77" t="s">
        <v>4112</v>
      </c>
      <c r="AG77">
        <v>977.05729030913142</v>
      </c>
      <c r="AH77">
        <v>41128.046495852897</v>
      </c>
    </row>
    <row r="78" spans="1:34" hidden="1" x14ac:dyDescent="0.25">
      <c r="A78">
        <v>77</v>
      </c>
      <c r="B78" t="s">
        <v>4119</v>
      </c>
      <c r="C78" t="s">
        <v>376</v>
      </c>
      <c r="D78" t="s">
        <v>3968</v>
      </c>
      <c r="E78" t="s">
        <v>37</v>
      </c>
      <c r="G78">
        <v>6.2</v>
      </c>
      <c r="H78" t="s">
        <v>72</v>
      </c>
      <c r="I78" t="s">
        <v>1024</v>
      </c>
      <c r="J78" t="s">
        <v>1025</v>
      </c>
      <c r="K78" t="s">
        <v>3969</v>
      </c>
      <c r="L78" t="s">
        <v>3970</v>
      </c>
      <c r="M78" t="s">
        <v>57</v>
      </c>
      <c r="N78" t="s">
        <v>402</v>
      </c>
      <c r="O78" t="s">
        <v>403</v>
      </c>
      <c r="P78">
        <v>6.3644631281312396</v>
      </c>
      <c r="R78" t="s">
        <v>38</v>
      </c>
      <c r="S78" t="s">
        <v>57</v>
      </c>
      <c r="U78" t="s">
        <v>61</v>
      </c>
      <c r="W78" t="s">
        <v>4115</v>
      </c>
      <c r="X78" t="s">
        <v>1486</v>
      </c>
      <c r="Y78" t="s">
        <v>2623</v>
      </c>
      <c r="Z78" t="s">
        <v>125</v>
      </c>
      <c r="AA78" t="s">
        <v>453</v>
      </c>
      <c r="AC78" t="s">
        <v>4023</v>
      </c>
      <c r="AE78" t="s">
        <v>4116</v>
      </c>
      <c r="AF78" t="s">
        <v>3981</v>
      </c>
      <c r="AG78">
        <v>672.30058924652326</v>
      </c>
      <c r="AH78">
        <v>25756.17150978891</v>
      </c>
    </row>
    <row r="79" spans="1:34" hidden="1" x14ac:dyDescent="0.25">
      <c r="A79">
        <v>78</v>
      </c>
      <c r="B79" t="s">
        <v>4120</v>
      </c>
      <c r="C79" t="s">
        <v>376</v>
      </c>
      <c r="D79" t="s">
        <v>3968</v>
      </c>
      <c r="E79" t="s">
        <v>37</v>
      </c>
      <c r="G79">
        <v>4.0999999999999996</v>
      </c>
      <c r="H79" t="s">
        <v>72</v>
      </c>
      <c r="I79" t="s">
        <v>1024</v>
      </c>
      <c r="J79" t="s">
        <v>1025</v>
      </c>
      <c r="K79" t="s">
        <v>3969</v>
      </c>
      <c r="L79" t="s">
        <v>3970</v>
      </c>
      <c r="M79" t="s">
        <v>57</v>
      </c>
      <c r="N79" t="s">
        <v>79</v>
      </c>
      <c r="O79" t="s">
        <v>80</v>
      </c>
      <c r="P79">
        <v>4.2777569162498557</v>
      </c>
      <c r="Q79" t="s">
        <v>75</v>
      </c>
      <c r="R79" t="s">
        <v>83</v>
      </c>
      <c r="S79" t="s">
        <v>57</v>
      </c>
      <c r="U79" t="s">
        <v>61</v>
      </c>
      <c r="W79" t="s">
        <v>4109</v>
      </c>
      <c r="X79" t="s">
        <v>1486</v>
      </c>
      <c r="Y79" t="s">
        <v>2623</v>
      </c>
      <c r="Z79" t="s">
        <v>71</v>
      </c>
      <c r="AA79" t="s">
        <v>453</v>
      </c>
      <c r="AC79" t="s">
        <v>4110</v>
      </c>
      <c r="AE79" t="s">
        <v>4111</v>
      </c>
      <c r="AF79" t="s">
        <v>4112</v>
      </c>
      <c r="AG79">
        <v>544.42336443744705</v>
      </c>
      <c r="AH79">
        <v>17311.537296071681</v>
      </c>
    </row>
    <row r="80" spans="1:34" hidden="1" x14ac:dyDescent="0.25">
      <c r="A80">
        <v>79</v>
      </c>
      <c r="B80" t="s">
        <v>4121</v>
      </c>
      <c r="C80" t="s">
        <v>376</v>
      </c>
      <c r="D80" t="s">
        <v>3968</v>
      </c>
      <c r="E80" t="s">
        <v>37</v>
      </c>
      <c r="H80" t="s">
        <v>72</v>
      </c>
      <c r="I80" t="s">
        <v>1024</v>
      </c>
      <c r="J80" t="s">
        <v>1025</v>
      </c>
      <c r="K80" t="s">
        <v>3969</v>
      </c>
      <c r="L80" t="s">
        <v>3970</v>
      </c>
      <c r="M80" t="s">
        <v>57</v>
      </c>
      <c r="N80" t="s">
        <v>402</v>
      </c>
      <c r="O80" t="s">
        <v>403</v>
      </c>
      <c r="P80">
        <v>7.1780719686614169</v>
      </c>
      <c r="R80" t="s">
        <v>38</v>
      </c>
      <c r="S80" t="s">
        <v>57</v>
      </c>
      <c r="U80" t="s">
        <v>61</v>
      </c>
      <c r="X80" t="s">
        <v>1486</v>
      </c>
      <c r="Y80" t="s">
        <v>2623</v>
      </c>
      <c r="Z80" t="s">
        <v>125</v>
      </c>
      <c r="AA80" t="s">
        <v>453</v>
      </c>
      <c r="AD80" t="s">
        <v>4122</v>
      </c>
      <c r="AF80" t="s">
        <v>3981</v>
      </c>
      <c r="AG80">
        <v>672.76040268288511</v>
      </c>
      <c r="AH80">
        <v>29048.74284168204</v>
      </c>
    </row>
    <row r="81" spans="1:34" hidden="1" x14ac:dyDescent="0.25">
      <c r="A81">
        <v>80</v>
      </c>
      <c r="B81" t="s">
        <v>4123</v>
      </c>
      <c r="C81" t="s">
        <v>376</v>
      </c>
      <c r="D81" t="s">
        <v>3968</v>
      </c>
      <c r="E81" t="s">
        <v>37</v>
      </c>
      <c r="G81">
        <v>23</v>
      </c>
      <c r="H81" t="s">
        <v>72</v>
      </c>
      <c r="I81" t="s">
        <v>1024</v>
      </c>
      <c r="J81" t="s">
        <v>1025</v>
      </c>
      <c r="K81" t="s">
        <v>3969</v>
      </c>
      <c r="L81" t="s">
        <v>3970</v>
      </c>
      <c r="M81" t="s">
        <v>57</v>
      </c>
      <c r="N81" t="s">
        <v>79</v>
      </c>
      <c r="O81" t="s">
        <v>80</v>
      </c>
      <c r="P81">
        <v>23.297760730121709</v>
      </c>
      <c r="Q81" t="s">
        <v>75</v>
      </c>
      <c r="R81" t="s">
        <v>83</v>
      </c>
      <c r="S81" t="s">
        <v>57</v>
      </c>
      <c r="U81" t="s">
        <v>76</v>
      </c>
      <c r="W81" t="s">
        <v>4124</v>
      </c>
      <c r="X81" t="s">
        <v>1486</v>
      </c>
      <c r="Y81" t="s">
        <v>2623</v>
      </c>
      <c r="Z81" t="s">
        <v>125</v>
      </c>
      <c r="AA81" t="s">
        <v>453</v>
      </c>
      <c r="AC81" t="s">
        <v>4023</v>
      </c>
      <c r="AE81" t="s">
        <v>4125</v>
      </c>
      <c r="AF81" t="s">
        <v>3981</v>
      </c>
      <c r="AG81">
        <v>1880.205321024813</v>
      </c>
      <c r="AH81">
        <v>94283.069770133487</v>
      </c>
    </row>
    <row r="82" spans="1:34" hidden="1" x14ac:dyDescent="0.25">
      <c r="A82">
        <v>81</v>
      </c>
      <c r="B82" t="s">
        <v>4126</v>
      </c>
      <c r="C82" t="s">
        <v>376</v>
      </c>
      <c r="D82" t="s">
        <v>3968</v>
      </c>
      <c r="E82" t="s">
        <v>37</v>
      </c>
      <c r="G82">
        <v>0.3</v>
      </c>
      <c r="H82" t="s">
        <v>72</v>
      </c>
      <c r="I82" t="s">
        <v>1024</v>
      </c>
      <c r="J82" t="s">
        <v>1025</v>
      </c>
      <c r="K82" t="s">
        <v>3969</v>
      </c>
      <c r="L82" t="s">
        <v>3970</v>
      </c>
      <c r="M82" t="s">
        <v>57</v>
      </c>
      <c r="O82" t="s">
        <v>142</v>
      </c>
      <c r="P82">
        <v>0.24306513602246041</v>
      </c>
      <c r="R82" t="s">
        <v>38</v>
      </c>
      <c r="S82" t="s">
        <v>2660</v>
      </c>
      <c r="U82" t="s">
        <v>76</v>
      </c>
      <c r="W82" t="s">
        <v>4115</v>
      </c>
      <c r="X82" t="s">
        <v>1486</v>
      </c>
      <c r="Y82" t="s">
        <v>2623</v>
      </c>
      <c r="Z82" t="s">
        <v>125</v>
      </c>
      <c r="AA82" t="s">
        <v>453</v>
      </c>
      <c r="AC82" t="s">
        <v>4023</v>
      </c>
      <c r="AE82" t="s">
        <v>4116</v>
      </c>
      <c r="AF82" t="s">
        <v>3981</v>
      </c>
      <c r="AG82">
        <v>153.83582533669079</v>
      </c>
      <c r="AH82">
        <v>983.65364138465418</v>
      </c>
    </row>
    <row r="83" spans="1:34" hidden="1" x14ac:dyDescent="0.25">
      <c r="A83">
        <v>82</v>
      </c>
      <c r="B83" t="s">
        <v>4127</v>
      </c>
      <c r="C83" t="s">
        <v>376</v>
      </c>
      <c r="D83" t="s">
        <v>3968</v>
      </c>
      <c r="E83" t="s">
        <v>37</v>
      </c>
      <c r="G83">
        <v>0.6</v>
      </c>
      <c r="H83" t="s">
        <v>72</v>
      </c>
      <c r="I83" t="s">
        <v>1024</v>
      </c>
      <c r="J83" t="s">
        <v>1025</v>
      </c>
      <c r="K83" t="s">
        <v>3969</v>
      </c>
      <c r="L83" t="s">
        <v>3970</v>
      </c>
      <c r="M83" t="s">
        <v>57</v>
      </c>
      <c r="O83" t="s">
        <v>137</v>
      </c>
      <c r="P83">
        <v>0.63580382484080777</v>
      </c>
      <c r="R83" t="s">
        <v>38</v>
      </c>
      <c r="S83" t="s">
        <v>4128</v>
      </c>
      <c r="U83" t="s">
        <v>76</v>
      </c>
      <c r="W83" t="s">
        <v>4124</v>
      </c>
      <c r="X83" t="s">
        <v>1486</v>
      </c>
      <c r="Y83" t="s">
        <v>2623</v>
      </c>
      <c r="Z83" t="s">
        <v>125</v>
      </c>
      <c r="AA83" t="s">
        <v>453</v>
      </c>
      <c r="AC83" t="s">
        <v>4023</v>
      </c>
      <c r="AE83" t="s">
        <v>4125</v>
      </c>
      <c r="AF83" t="s">
        <v>3981</v>
      </c>
      <c r="AG83">
        <v>195.8120329293638</v>
      </c>
      <c r="AH83">
        <v>2573.0170840015512</v>
      </c>
    </row>
    <row r="84" spans="1:34" hidden="1" x14ac:dyDescent="0.25">
      <c r="A84">
        <v>83</v>
      </c>
      <c r="B84" t="s">
        <v>4129</v>
      </c>
      <c r="C84" t="s">
        <v>376</v>
      </c>
      <c r="D84" t="s">
        <v>3968</v>
      </c>
      <c r="E84" t="s">
        <v>37</v>
      </c>
      <c r="G84">
        <v>0.4</v>
      </c>
      <c r="H84" t="s">
        <v>72</v>
      </c>
      <c r="I84" t="s">
        <v>1024</v>
      </c>
      <c r="J84" t="s">
        <v>1025</v>
      </c>
      <c r="K84" t="s">
        <v>3969</v>
      </c>
      <c r="L84" t="s">
        <v>3970</v>
      </c>
      <c r="M84" t="s">
        <v>57</v>
      </c>
      <c r="N84" t="s">
        <v>402</v>
      </c>
      <c r="O84" t="s">
        <v>403</v>
      </c>
      <c r="P84">
        <v>0.44208071568506002</v>
      </c>
      <c r="R84" t="s">
        <v>38</v>
      </c>
      <c r="S84" t="s">
        <v>2660</v>
      </c>
      <c r="U84" t="s">
        <v>70</v>
      </c>
      <c r="W84" t="s">
        <v>4130</v>
      </c>
      <c r="X84" t="s">
        <v>1486</v>
      </c>
      <c r="Y84" t="s">
        <v>2623</v>
      </c>
      <c r="Z84" t="s">
        <v>50</v>
      </c>
      <c r="AA84" t="s">
        <v>453</v>
      </c>
      <c r="AC84" t="s">
        <v>4008</v>
      </c>
      <c r="AE84" t="s">
        <v>4131</v>
      </c>
      <c r="AF84" t="s">
        <v>3974</v>
      </c>
      <c r="AG84">
        <v>164.55697604729781</v>
      </c>
      <c r="AH84">
        <v>1789.044339659476</v>
      </c>
    </row>
    <row r="85" spans="1:34" hidden="1" x14ac:dyDescent="0.25">
      <c r="A85">
        <v>84</v>
      </c>
      <c r="B85" t="s">
        <v>4132</v>
      </c>
      <c r="C85" t="s">
        <v>376</v>
      </c>
      <c r="D85" t="s">
        <v>3968</v>
      </c>
      <c r="E85" t="s">
        <v>37</v>
      </c>
      <c r="G85">
        <v>0.4</v>
      </c>
      <c r="H85" t="s">
        <v>72</v>
      </c>
      <c r="I85" t="s">
        <v>1024</v>
      </c>
      <c r="J85" t="s">
        <v>1025</v>
      </c>
      <c r="K85" t="s">
        <v>3969</v>
      </c>
      <c r="L85" t="s">
        <v>3970</v>
      </c>
      <c r="M85" t="s">
        <v>57</v>
      </c>
      <c r="N85" t="s">
        <v>402</v>
      </c>
      <c r="O85" t="s">
        <v>403</v>
      </c>
      <c r="P85">
        <v>1.667416027583418</v>
      </c>
      <c r="R85" t="s">
        <v>38</v>
      </c>
      <c r="S85" t="s">
        <v>4133</v>
      </c>
      <c r="U85" t="s">
        <v>70</v>
      </c>
      <c r="W85" t="s">
        <v>4130</v>
      </c>
      <c r="X85" t="s">
        <v>1486</v>
      </c>
      <c r="Y85" t="s">
        <v>2623</v>
      </c>
      <c r="Z85" t="s">
        <v>50</v>
      </c>
      <c r="AA85" t="s">
        <v>453</v>
      </c>
      <c r="AC85" t="s">
        <v>4008</v>
      </c>
      <c r="AE85" t="s">
        <v>4131</v>
      </c>
      <c r="AF85" t="s">
        <v>3974</v>
      </c>
      <c r="AG85">
        <v>362.44725667083031</v>
      </c>
      <c r="AH85">
        <v>6747.8202512926637</v>
      </c>
    </row>
    <row r="86" spans="1:34" hidden="1" x14ac:dyDescent="0.25">
      <c r="A86">
        <v>85</v>
      </c>
      <c r="B86" t="s">
        <v>4134</v>
      </c>
      <c r="C86" t="s">
        <v>376</v>
      </c>
      <c r="D86" t="s">
        <v>3968</v>
      </c>
      <c r="E86" t="s">
        <v>37</v>
      </c>
      <c r="G86">
        <v>6.8</v>
      </c>
      <c r="H86" t="s">
        <v>72</v>
      </c>
      <c r="I86" t="s">
        <v>1024</v>
      </c>
      <c r="J86" t="s">
        <v>1025</v>
      </c>
      <c r="K86" t="s">
        <v>3969</v>
      </c>
      <c r="L86" t="s">
        <v>3970</v>
      </c>
      <c r="M86" t="s">
        <v>57</v>
      </c>
      <c r="N86" t="s">
        <v>402</v>
      </c>
      <c r="O86" t="s">
        <v>403</v>
      </c>
      <c r="P86">
        <v>8.2020701167501429</v>
      </c>
      <c r="R86" t="s">
        <v>38</v>
      </c>
      <c r="S86" t="s">
        <v>4133</v>
      </c>
      <c r="U86" t="s">
        <v>70</v>
      </c>
      <c r="W86" t="s">
        <v>4130</v>
      </c>
      <c r="X86" t="s">
        <v>1486</v>
      </c>
      <c r="Y86" t="s">
        <v>2623</v>
      </c>
      <c r="Z86" t="s">
        <v>563</v>
      </c>
      <c r="AA86" t="s">
        <v>453</v>
      </c>
      <c r="AC86" t="s">
        <v>4008</v>
      </c>
      <c r="AE86" t="s">
        <v>4131</v>
      </c>
      <c r="AF86" t="s">
        <v>3974</v>
      </c>
      <c r="AG86">
        <v>1140.5318172537411</v>
      </c>
      <c r="AH86">
        <v>33192.73289974426</v>
      </c>
    </row>
    <row r="87" spans="1:34" x14ac:dyDescent="0.25">
      <c r="A87">
        <v>86</v>
      </c>
      <c r="B87" t="s">
        <v>4135</v>
      </c>
      <c r="C87" t="s">
        <v>376</v>
      </c>
      <c r="D87" t="s">
        <v>3968</v>
      </c>
      <c r="E87" t="s">
        <v>37</v>
      </c>
      <c r="G87">
        <v>3.14</v>
      </c>
      <c r="H87" t="s">
        <v>72</v>
      </c>
      <c r="I87" t="s">
        <v>1024</v>
      </c>
      <c r="J87" t="s">
        <v>1025</v>
      </c>
      <c r="K87" t="s">
        <v>3969</v>
      </c>
      <c r="L87" t="s">
        <v>3970</v>
      </c>
      <c r="M87" t="s">
        <v>57</v>
      </c>
      <c r="N87" t="s">
        <v>62</v>
      </c>
      <c r="O87" t="s">
        <v>63</v>
      </c>
      <c r="P87">
        <v>3.1631490444115928</v>
      </c>
      <c r="R87" t="s">
        <v>38</v>
      </c>
      <c r="S87" t="s">
        <v>4136</v>
      </c>
      <c r="U87" t="s">
        <v>70</v>
      </c>
      <c r="W87" t="s">
        <v>4130</v>
      </c>
      <c r="X87" t="s">
        <v>1486</v>
      </c>
      <c r="Y87" t="s">
        <v>2623</v>
      </c>
      <c r="Z87" t="s">
        <v>563</v>
      </c>
      <c r="AA87" t="s">
        <v>453</v>
      </c>
      <c r="AB87" t="s">
        <v>4137</v>
      </c>
      <c r="AC87" t="s">
        <v>4014</v>
      </c>
      <c r="AE87" t="s">
        <v>4131</v>
      </c>
      <c r="AF87" t="s">
        <v>3974</v>
      </c>
      <c r="AG87">
        <v>482.50147318381488</v>
      </c>
      <c r="AH87">
        <v>12800.861228779189</v>
      </c>
    </row>
    <row r="88" spans="1:34" hidden="1" x14ac:dyDescent="0.25">
      <c r="A88">
        <v>87</v>
      </c>
      <c r="B88" t="s">
        <v>4138</v>
      </c>
      <c r="C88" t="s">
        <v>376</v>
      </c>
      <c r="D88" t="s">
        <v>3968</v>
      </c>
      <c r="E88" t="s">
        <v>37</v>
      </c>
      <c r="H88" t="s">
        <v>72</v>
      </c>
      <c r="I88" t="s">
        <v>1024</v>
      </c>
      <c r="J88" t="s">
        <v>1025</v>
      </c>
      <c r="K88" t="s">
        <v>3969</v>
      </c>
      <c r="L88" t="s">
        <v>3970</v>
      </c>
      <c r="M88" t="s">
        <v>57</v>
      </c>
      <c r="N88" t="s">
        <v>402</v>
      </c>
      <c r="O88" t="s">
        <v>403</v>
      </c>
      <c r="P88">
        <v>10.72382123866576</v>
      </c>
      <c r="R88" t="s">
        <v>38</v>
      </c>
      <c r="S88" t="s">
        <v>673</v>
      </c>
      <c r="U88" t="s">
        <v>119</v>
      </c>
      <c r="X88" t="s">
        <v>1486</v>
      </c>
      <c r="Y88" t="s">
        <v>2623</v>
      </c>
      <c r="Z88" t="s">
        <v>712</v>
      </c>
      <c r="AA88" t="s">
        <v>453</v>
      </c>
      <c r="AD88" t="s">
        <v>4139</v>
      </c>
      <c r="AE88" t="s">
        <v>4140</v>
      </c>
      <c r="AF88" t="s">
        <v>3981</v>
      </c>
      <c r="AG88">
        <v>1760.4799713500929</v>
      </c>
      <c r="AH88">
        <v>43397.938443944236</v>
      </c>
    </row>
    <row r="89" spans="1:34" hidden="1" x14ac:dyDescent="0.25">
      <c r="A89">
        <v>88</v>
      </c>
      <c r="B89" t="s">
        <v>4141</v>
      </c>
      <c r="C89" t="s">
        <v>376</v>
      </c>
      <c r="D89" t="s">
        <v>3968</v>
      </c>
      <c r="E89" t="s">
        <v>37</v>
      </c>
      <c r="H89" t="s">
        <v>72</v>
      </c>
      <c r="I89" t="s">
        <v>1024</v>
      </c>
      <c r="J89" t="s">
        <v>1025</v>
      </c>
      <c r="K89" t="s">
        <v>3969</v>
      </c>
      <c r="L89" t="s">
        <v>3970</v>
      </c>
      <c r="M89" t="s">
        <v>57</v>
      </c>
      <c r="N89" t="s">
        <v>402</v>
      </c>
      <c r="O89" t="s">
        <v>403</v>
      </c>
      <c r="P89">
        <v>0.20404170488631501</v>
      </c>
      <c r="R89" t="s">
        <v>38</v>
      </c>
      <c r="S89" t="s">
        <v>2660</v>
      </c>
      <c r="U89" t="s">
        <v>119</v>
      </c>
      <c r="X89" t="s">
        <v>1486</v>
      </c>
      <c r="Y89" t="s">
        <v>2623</v>
      </c>
      <c r="Z89" t="s">
        <v>712</v>
      </c>
      <c r="AA89" t="s">
        <v>453</v>
      </c>
      <c r="AD89" t="s">
        <v>1420</v>
      </c>
      <c r="AE89" t="s">
        <v>4140</v>
      </c>
      <c r="AF89" t="s">
        <v>3981</v>
      </c>
      <c r="AG89">
        <v>123.2060724113843</v>
      </c>
      <c r="AH89">
        <v>825.73078677647345</v>
      </c>
    </row>
    <row r="90" spans="1:34" hidden="1" x14ac:dyDescent="0.25">
      <c r="A90">
        <v>89</v>
      </c>
      <c r="B90" t="s">
        <v>4142</v>
      </c>
      <c r="C90" t="s">
        <v>376</v>
      </c>
      <c r="D90" t="s">
        <v>3968</v>
      </c>
      <c r="E90" t="s">
        <v>37</v>
      </c>
      <c r="G90">
        <v>0</v>
      </c>
      <c r="H90" t="s">
        <v>72</v>
      </c>
      <c r="I90" t="s">
        <v>1024</v>
      </c>
      <c r="J90" t="s">
        <v>1025</v>
      </c>
      <c r="K90" t="s">
        <v>3969</v>
      </c>
      <c r="L90" t="s">
        <v>3970</v>
      </c>
      <c r="M90" t="s">
        <v>57</v>
      </c>
      <c r="N90" t="s">
        <v>402</v>
      </c>
      <c r="O90" t="s">
        <v>403</v>
      </c>
      <c r="P90">
        <v>2.4353835514971571</v>
      </c>
      <c r="R90" t="s">
        <v>38</v>
      </c>
      <c r="S90" t="s">
        <v>673</v>
      </c>
      <c r="U90" t="s">
        <v>119</v>
      </c>
      <c r="X90" t="s">
        <v>1486</v>
      </c>
      <c r="Y90" t="s">
        <v>2623</v>
      </c>
      <c r="Z90" t="s">
        <v>860</v>
      </c>
      <c r="AA90" t="s">
        <v>453</v>
      </c>
      <c r="AD90" t="s">
        <v>4143</v>
      </c>
      <c r="AE90" t="s">
        <v>4140</v>
      </c>
      <c r="AF90" t="s">
        <v>3981</v>
      </c>
      <c r="AG90">
        <v>524.49866312086658</v>
      </c>
      <c r="AH90">
        <v>9855.6869890921243</v>
      </c>
    </row>
    <row r="91" spans="1:34" hidden="1" x14ac:dyDescent="0.25">
      <c r="A91">
        <v>90</v>
      </c>
      <c r="B91" t="s">
        <v>4144</v>
      </c>
      <c r="C91" t="s">
        <v>376</v>
      </c>
      <c r="D91" t="s">
        <v>3968</v>
      </c>
      <c r="E91" t="s">
        <v>37</v>
      </c>
      <c r="G91">
        <v>0</v>
      </c>
      <c r="H91" t="s">
        <v>72</v>
      </c>
      <c r="I91" t="s">
        <v>1024</v>
      </c>
      <c r="J91" t="s">
        <v>1025</v>
      </c>
      <c r="K91" t="s">
        <v>3969</v>
      </c>
      <c r="L91" t="s">
        <v>3970</v>
      </c>
      <c r="M91" t="s">
        <v>57</v>
      </c>
      <c r="N91" t="s">
        <v>402</v>
      </c>
      <c r="O91" t="s">
        <v>403</v>
      </c>
      <c r="P91">
        <v>9.0467771456069074E-2</v>
      </c>
      <c r="R91" t="s">
        <v>38</v>
      </c>
      <c r="S91" t="s">
        <v>2660</v>
      </c>
      <c r="U91" t="s">
        <v>119</v>
      </c>
      <c r="X91" t="s">
        <v>1486</v>
      </c>
      <c r="Y91" t="s">
        <v>2623</v>
      </c>
      <c r="Z91" t="s">
        <v>860</v>
      </c>
      <c r="AA91" t="s">
        <v>453</v>
      </c>
      <c r="AD91" t="s">
        <v>1079</v>
      </c>
      <c r="AE91" t="s">
        <v>4140</v>
      </c>
      <c r="AF91" t="s">
        <v>3981</v>
      </c>
      <c r="AG91">
        <v>84.980985191736622</v>
      </c>
      <c r="AH91">
        <v>366.1115463819296</v>
      </c>
    </row>
    <row r="92" spans="1:34" hidden="1" x14ac:dyDescent="0.25">
      <c r="A92">
        <v>91</v>
      </c>
      <c r="B92" t="s">
        <v>4145</v>
      </c>
      <c r="C92" t="s">
        <v>376</v>
      </c>
      <c r="D92" t="s">
        <v>3968</v>
      </c>
      <c r="E92" t="s">
        <v>37</v>
      </c>
      <c r="G92">
        <v>0</v>
      </c>
      <c r="H92" t="s">
        <v>72</v>
      </c>
      <c r="I92" t="s">
        <v>1024</v>
      </c>
      <c r="J92" t="s">
        <v>1025</v>
      </c>
      <c r="K92" t="s">
        <v>3969</v>
      </c>
      <c r="L92" t="s">
        <v>3970</v>
      </c>
      <c r="M92" t="s">
        <v>57</v>
      </c>
      <c r="N92" t="s">
        <v>402</v>
      </c>
      <c r="O92" t="s">
        <v>403</v>
      </c>
      <c r="P92">
        <v>0.1817664131290353</v>
      </c>
      <c r="R92" t="s">
        <v>38</v>
      </c>
      <c r="S92" t="s">
        <v>4146</v>
      </c>
      <c r="U92" t="s">
        <v>110</v>
      </c>
      <c r="X92" t="s">
        <v>1486</v>
      </c>
      <c r="Y92" t="s">
        <v>2623</v>
      </c>
      <c r="Z92" t="s">
        <v>858</v>
      </c>
      <c r="AA92" t="s">
        <v>453</v>
      </c>
      <c r="AF92" t="s">
        <v>3981</v>
      </c>
      <c r="AG92">
        <v>111.6397673642368</v>
      </c>
      <c r="AH92">
        <v>735.58551868698044</v>
      </c>
    </row>
    <row r="93" spans="1:34" hidden="1" x14ac:dyDescent="0.25">
      <c r="A93">
        <v>92</v>
      </c>
      <c r="B93" t="s">
        <v>4147</v>
      </c>
      <c r="C93" t="s">
        <v>376</v>
      </c>
      <c r="D93" t="s">
        <v>3968</v>
      </c>
      <c r="E93" t="s">
        <v>37</v>
      </c>
      <c r="H93" t="s">
        <v>72</v>
      </c>
      <c r="I93" t="s">
        <v>1024</v>
      </c>
      <c r="J93" t="s">
        <v>1025</v>
      </c>
      <c r="K93" t="s">
        <v>3969</v>
      </c>
      <c r="L93" t="s">
        <v>3970</v>
      </c>
      <c r="M93" t="s">
        <v>57</v>
      </c>
      <c r="N93" t="s">
        <v>44</v>
      </c>
      <c r="O93" t="s">
        <v>45</v>
      </c>
      <c r="P93">
        <v>0.40700059947932771</v>
      </c>
      <c r="Q93" t="s">
        <v>64</v>
      </c>
      <c r="R93" t="s">
        <v>65</v>
      </c>
      <c r="S93" t="s">
        <v>4148</v>
      </c>
      <c r="U93" t="s">
        <v>110</v>
      </c>
      <c r="X93" t="s">
        <v>1486</v>
      </c>
      <c r="Y93" t="s">
        <v>2623</v>
      </c>
      <c r="Z93" t="s">
        <v>121</v>
      </c>
      <c r="AA93" t="s">
        <v>453</v>
      </c>
      <c r="AF93" t="s">
        <v>3981</v>
      </c>
      <c r="AG93">
        <v>186.70761118900049</v>
      </c>
      <c r="AH93">
        <v>1647.079578235292</v>
      </c>
    </row>
    <row r="94" spans="1:34" x14ac:dyDescent="0.25">
      <c r="A94">
        <v>93</v>
      </c>
      <c r="B94" t="s">
        <v>4149</v>
      </c>
      <c r="C94" t="s">
        <v>376</v>
      </c>
      <c r="D94" t="s">
        <v>3968</v>
      </c>
      <c r="E94" t="s">
        <v>37</v>
      </c>
      <c r="G94">
        <v>7.3</v>
      </c>
      <c r="H94" t="s">
        <v>72</v>
      </c>
      <c r="I94" t="s">
        <v>1024</v>
      </c>
      <c r="J94" t="s">
        <v>1025</v>
      </c>
      <c r="K94" t="s">
        <v>3969</v>
      </c>
      <c r="L94" t="s">
        <v>3970</v>
      </c>
      <c r="M94" t="s">
        <v>57</v>
      </c>
      <c r="N94" t="s">
        <v>62</v>
      </c>
      <c r="O94" t="s">
        <v>63</v>
      </c>
      <c r="P94">
        <v>7.282024244615747</v>
      </c>
      <c r="Q94" t="s">
        <v>64</v>
      </c>
      <c r="R94" t="s">
        <v>65</v>
      </c>
      <c r="S94" t="s">
        <v>57</v>
      </c>
      <c r="U94" t="s">
        <v>73</v>
      </c>
      <c r="W94" t="s">
        <v>4150</v>
      </c>
      <c r="X94" t="s">
        <v>1486</v>
      </c>
      <c r="Y94" t="s">
        <v>2623</v>
      </c>
      <c r="Z94" t="s">
        <v>124</v>
      </c>
      <c r="AA94" t="s">
        <v>453</v>
      </c>
      <c r="AC94" t="s">
        <v>656</v>
      </c>
      <c r="AE94" t="s">
        <v>4140</v>
      </c>
      <c r="AF94" t="s">
        <v>3987</v>
      </c>
      <c r="AG94">
        <v>1149.512037321861</v>
      </c>
      <c r="AH94">
        <v>29469.4244599757</v>
      </c>
    </row>
    <row r="95" spans="1:34" x14ac:dyDescent="0.25">
      <c r="A95">
        <v>94</v>
      </c>
      <c r="B95" t="s">
        <v>4151</v>
      </c>
      <c r="C95" t="s">
        <v>376</v>
      </c>
      <c r="D95" t="s">
        <v>3968</v>
      </c>
      <c r="E95" t="s">
        <v>37</v>
      </c>
      <c r="G95">
        <v>3.6</v>
      </c>
      <c r="H95" t="s">
        <v>72</v>
      </c>
      <c r="I95" t="s">
        <v>1024</v>
      </c>
      <c r="J95" t="s">
        <v>1025</v>
      </c>
      <c r="K95" t="s">
        <v>3969</v>
      </c>
      <c r="L95" t="s">
        <v>3970</v>
      </c>
      <c r="M95" t="s">
        <v>57</v>
      </c>
      <c r="N95" t="s">
        <v>62</v>
      </c>
      <c r="O95" t="s">
        <v>63</v>
      </c>
      <c r="P95">
        <v>3.6705800765650212</v>
      </c>
      <c r="Q95" t="s">
        <v>64</v>
      </c>
      <c r="R95" t="s">
        <v>65</v>
      </c>
      <c r="S95" t="s">
        <v>57</v>
      </c>
      <c r="U95" t="s">
        <v>73</v>
      </c>
      <c r="W95" t="s">
        <v>4150</v>
      </c>
      <c r="X95" t="s">
        <v>1486</v>
      </c>
      <c r="Y95" t="s">
        <v>2623</v>
      </c>
      <c r="Z95" t="s">
        <v>124</v>
      </c>
      <c r="AA95" t="s">
        <v>453</v>
      </c>
      <c r="AC95" t="s">
        <v>656</v>
      </c>
      <c r="AE95" t="s">
        <v>4140</v>
      </c>
      <c r="AF95" t="s">
        <v>3987</v>
      </c>
      <c r="AG95">
        <v>804.2887532761514</v>
      </c>
      <c r="AH95">
        <v>14854.369974201119</v>
      </c>
    </row>
    <row r="96" spans="1:34" x14ac:dyDescent="0.25">
      <c r="A96">
        <v>95</v>
      </c>
      <c r="B96" t="s">
        <v>4152</v>
      </c>
      <c r="C96" t="s">
        <v>376</v>
      </c>
      <c r="D96" t="s">
        <v>3968</v>
      </c>
      <c r="E96" t="s">
        <v>37</v>
      </c>
      <c r="G96">
        <v>8.6</v>
      </c>
      <c r="H96" t="s">
        <v>72</v>
      </c>
      <c r="I96" t="s">
        <v>1024</v>
      </c>
      <c r="J96" t="s">
        <v>1025</v>
      </c>
      <c r="K96" t="s">
        <v>3969</v>
      </c>
      <c r="L96" t="s">
        <v>3970</v>
      </c>
      <c r="N96" t="s">
        <v>62</v>
      </c>
      <c r="O96" t="s">
        <v>63</v>
      </c>
      <c r="P96">
        <v>8.7661022233427719</v>
      </c>
      <c r="Q96" t="s">
        <v>64</v>
      </c>
      <c r="R96" t="s">
        <v>65</v>
      </c>
      <c r="S96" t="s">
        <v>57</v>
      </c>
      <c r="U96" t="s">
        <v>73</v>
      </c>
      <c r="W96" t="s">
        <v>4153</v>
      </c>
      <c r="AC96" t="s">
        <v>3018</v>
      </c>
      <c r="AE96" t="s">
        <v>4154</v>
      </c>
      <c r="AF96" t="s">
        <v>3987</v>
      </c>
      <c r="AG96">
        <v>889.17117680589683</v>
      </c>
      <c r="AH96">
        <v>32922.767116563577</v>
      </c>
    </row>
    <row r="97" spans="1:34" hidden="1" x14ac:dyDescent="0.25">
      <c r="A97">
        <v>96</v>
      </c>
      <c r="B97" t="s">
        <v>4155</v>
      </c>
      <c r="C97" t="s">
        <v>376</v>
      </c>
      <c r="D97" t="s">
        <v>3968</v>
      </c>
      <c r="E97" t="s">
        <v>37</v>
      </c>
      <c r="G97">
        <v>0.7</v>
      </c>
      <c r="H97" t="s">
        <v>72</v>
      </c>
      <c r="I97" t="s">
        <v>1024</v>
      </c>
      <c r="J97" t="s">
        <v>1025</v>
      </c>
      <c r="K97" t="s">
        <v>3969</v>
      </c>
      <c r="L97" t="s">
        <v>3970</v>
      </c>
      <c r="M97" t="s">
        <v>57</v>
      </c>
      <c r="O97" t="s">
        <v>142</v>
      </c>
      <c r="P97">
        <v>0.72655281559285279</v>
      </c>
      <c r="R97" t="s">
        <v>38</v>
      </c>
      <c r="S97" t="s">
        <v>2660</v>
      </c>
      <c r="U97" t="s">
        <v>73</v>
      </c>
      <c r="W97" t="s">
        <v>4150</v>
      </c>
      <c r="X97" t="s">
        <v>1486</v>
      </c>
      <c r="Y97" t="s">
        <v>2623</v>
      </c>
      <c r="Z97" t="s">
        <v>124</v>
      </c>
      <c r="AA97" t="s">
        <v>453</v>
      </c>
      <c r="AC97" t="s">
        <v>656</v>
      </c>
      <c r="AE97" t="s">
        <v>4140</v>
      </c>
      <c r="AF97" t="s">
        <v>3987</v>
      </c>
      <c r="AG97">
        <v>292.05457155618689</v>
      </c>
      <c r="AH97">
        <v>2940.2666890497339</v>
      </c>
    </row>
    <row r="98" spans="1:34" x14ac:dyDescent="0.25">
      <c r="A98">
        <v>97</v>
      </c>
      <c r="B98" t="s">
        <v>4156</v>
      </c>
      <c r="C98" t="s">
        <v>376</v>
      </c>
      <c r="D98" t="s">
        <v>3968</v>
      </c>
      <c r="E98" t="s">
        <v>37</v>
      </c>
      <c r="G98">
        <v>0.8</v>
      </c>
      <c r="H98" t="s">
        <v>72</v>
      </c>
      <c r="I98" t="s">
        <v>1024</v>
      </c>
      <c r="J98" t="s">
        <v>1025</v>
      </c>
      <c r="K98" t="s">
        <v>3969</v>
      </c>
      <c r="L98" t="s">
        <v>3970</v>
      </c>
      <c r="M98" t="s">
        <v>57</v>
      </c>
      <c r="N98" t="s">
        <v>62</v>
      </c>
      <c r="O98" t="s">
        <v>63</v>
      </c>
      <c r="P98">
        <v>0.50105006693560983</v>
      </c>
      <c r="Q98" t="s">
        <v>64</v>
      </c>
      <c r="R98" t="s">
        <v>65</v>
      </c>
      <c r="S98" t="s">
        <v>57</v>
      </c>
      <c r="U98" t="s">
        <v>73</v>
      </c>
      <c r="W98" t="s">
        <v>4153</v>
      </c>
      <c r="X98" t="s">
        <v>1486</v>
      </c>
      <c r="Y98" t="s">
        <v>2623</v>
      </c>
      <c r="Z98" t="s">
        <v>124</v>
      </c>
      <c r="AA98" t="s">
        <v>453</v>
      </c>
      <c r="AC98" t="s">
        <v>3018</v>
      </c>
      <c r="AE98" t="s">
        <v>4154</v>
      </c>
      <c r="AF98" t="s">
        <v>3987</v>
      </c>
      <c r="AG98">
        <v>200.70627029859639</v>
      </c>
      <c r="AH98">
        <v>2027.68579205738</v>
      </c>
    </row>
    <row r="99" spans="1:34" x14ac:dyDescent="0.25">
      <c r="A99">
        <v>98</v>
      </c>
      <c r="B99" t="s">
        <v>4157</v>
      </c>
      <c r="C99" t="s">
        <v>376</v>
      </c>
      <c r="D99" t="s">
        <v>3968</v>
      </c>
      <c r="E99" t="s">
        <v>37</v>
      </c>
      <c r="G99">
        <v>7</v>
      </c>
      <c r="H99" t="s">
        <v>72</v>
      </c>
      <c r="I99" t="s">
        <v>1024</v>
      </c>
      <c r="J99" t="s">
        <v>1025</v>
      </c>
      <c r="K99" t="s">
        <v>3969</v>
      </c>
      <c r="L99" t="s">
        <v>3970</v>
      </c>
      <c r="M99" t="s">
        <v>57</v>
      </c>
      <c r="N99" t="s">
        <v>62</v>
      </c>
      <c r="O99" t="s">
        <v>63</v>
      </c>
      <c r="P99">
        <v>7.0520413184616713</v>
      </c>
      <c r="Q99" t="s">
        <v>64</v>
      </c>
      <c r="R99" t="s">
        <v>65</v>
      </c>
      <c r="S99" t="s">
        <v>57</v>
      </c>
      <c r="U99" t="s">
        <v>73</v>
      </c>
      <c r="W99" t="s">
        <v>4150</v>
      </c>
      <c r="X99" t="s">
        <v>1486</v>
      </c>
      <c r="Y99" t="s">
        <v>2623</v>
      </c>
      <c r="Z99" t="s">
        <v>124</v>
      </c>
      <c r="AA99" t="s">
        <v>453</v>
      </c>
      <c r="AC99" t="s">
        <v>656</v>
      </c>
      <c r="AE99" t="s">
        <v>4140</v>
      </c>
      <c r="AF99" t="s">
        <v>3987</v>
      </c>
      <c r="AG99">
        <v>915.81278211836889</v>
      </c>
      <c r="AH99">
        <v>28538.712855384041</v>
      </c>
    </row>
    <row r="100" spans="1:34" x14ac:dyDescent="0.25">
      <c r="A100">
        <v>99</v>
      </c>
      <c r="B100" t="s">
        <v>4158</v>
      </c>
      <c r="C100" t="s">
        <v>376</v>
      </c>
      <c r="D100" t="s">
        <v>3968</v>
      </c>
      <c r="E100" t="s">
        <v>37</v>
      </c>
      <c r="G100">
        <v>0</v>
      </c>
      <c r="H100" t="s">
        <v>72</v>
      </c>
      <c r="I100" t="s">
        <v>1024</v>
      </c>
      <c r="J100" t="s">
        <v>1025</v>
      </c>
      <c r="K100" t="s">
        <v>3969</v>
      </c>
      <c r="L100" t="s">
        <v>3970</v>
      </c>
      <c r="M100" t="s">
        <v>57</v>
      </c>
      <c r="N100" t="s">
        <v>62</v>
      </c>
      <c r="O100" t="s">
        <v>63</v>
      </c>
      <c r="P100">
        <v>8.6294103455127585E-2</v>
      </c>
      <c r="Q100" t="s">
        <v>64</v>
      </c>
      <c r="R100" t="s">
        <v>65</v>
      </c>
      <c r="S100" t="s">
        <v>673</v>
      </c>
      <c r="U100" t="s">
        <v>73</v>
      </c>
      <c r="X100" t="s">
        <v>1486</v>
      </c>
      <c r="Y100" t="s">
        <v>2623</v>
      </c>
      <c r="Z100" t="s">
        <v>124</v>
      </c>
      <c r="AA100" t="s">
        <v>453</v>
      </c>
      <c r="AD100" t="s">
        <v>1137</v>
      </c>
      <c r="AF100" t="s">
        <v>3987</v>
      </c>
      <c r="AG100">
        <v>82.242400272126673</v>
      </c>
      <c r="AH100">
        <v>349.22124366621091</v>
      </c>
    </row>
    <row r="101" spans="1:34" hidden="1" x14ac:dyDescent="0.25">
      <c r="A101">
        <v>100</v>
      </c>
      <c r="B101" t="s">
        <v>4159</v>
      </c>
      <c r="C101" t="s">
        <v>376</v>
      </c>
      <c r="D101" t="s">
        <v>3968</v>
      </c>
      <c r="E101" t="s">
        <v>37</v>
      </c>
      <c r="G101">
        <v>0.2</v>
      </c>
      <c r="H101" t="s">
        <v>72</v>
      </c>
      <c r="I101" t="s">
        <v>1024</v>
      </c>
      <c r="J101" t="s">
        <v>1025</v>
      </c>
      <c r="K101" t="s">
        <v>3969</v>
      </c>
      <c r="L101" t="s">
        <v>3970</v>
      </c>
      <c r="M101" t="s">
        <v>57</v>
      </c>
      <c r="O101" t="s">
        <v>142</v>
      </c>
      <c r="P101">
        <v>0.17927956231090039</v>
      </c>
      <c r="R101" t="s">
        <v>38</v>
      </c>
      <c r="S101" t="s">
        <v>2660</v>
      </c>
      <c r="U101" t="s">
        <v>73</v>
      </c>
      <c r="W101" t="s">
        <v>4153</v>
      </c>
      <c r="X101" t="s">
        <v>1486</v>
      </c>
      <c r="Y101" t="s">
        <v>2623</v>
      </c>
      <c r="Z101" t="s">
        <v>139</v>
      </c>
      <c r="AA101" t="s">
        <v>453</v>
      </c>
      <c r="AC101" t="s">
        <v>656</v>
      </c>
      <c r="AE101" t="s">
        <v>4160</v>
      </c>
      <c r="AF101" t="s">
        <v>3987</v>
      </c>
      <c r="AG101">
        <v>112.4675642460554</v>
      </c>
      <c r="AH101">
        <v>725.52155022622708</v>
      </c>
    </row>
    <row r="102" spans="1:34" x14ac:dyDescent="0.25">
      <c r="A102">
        <v>101</v>
      </c>
      <c r="B102" t="s">
        <v>4161</v>
      </c>
      <c r="C102" t="s">
        <v>376</v>
      </c>
      <c r="D102" t="s">
        <v>3968</v>
      </c>
      <c r="E102" t="s">
        <v>37</v>
      </c>
      <c r="G102">
        <v>24.1</v>
      </c>
      <c r="H102" t="s">
        <v>72</v>
      </c>
      <c r="I102" t="s">
        <v>1024</v>
      </c>
      <c r="J102" t="s">
        <v>1025</v>
      </c>
      <c r="K102" t="s">
        <v>3969</v>
      </c>
      <c r="L102" t="s">
        <v>3970</v>
      </c>
      <c r="M102" t="s">
        <v>57</v>
      </c>
      <c r="N102" t="s">
        <v>62</v>
      </c>
      <c r="O102" t="s">
        <v>63</v>
      </c>
      <c r="P102">
        <v>24.119774922832381</v>
      </c>
      <c r="Q102" t="s">
        <v>64</v>
      </c>
      <c r="R102" t="s">
        <v>65</v>
      </c>
      <c r="S102" t="s">
        <v>57</v>
      </c>
      <c r="U102" t="s">
        <v>73</v>
      </c>
      <c r="W102" t="s">
        <v>4153</v>
      </c>
      <c r="X102" t="s">
        <v>1031</v>
      </c>
      <c r="Y102" t="s">
        <v>2623</v>
      </c>
      <c r="Z102" t="s">
        <v>76</v>
      </c>
      <c r="AA102" t="s">
        <v>453</v>
      </c>
      <c r="AC102" t="s">
        <v>656</v>
      </c>
      <c r="AE102" t="s">
        <v>4160</v>
      </c>
      <c r="AF102" t="s">
        <v>3987</v>
      </c>
      <c r="AG102">
        <v>1543.425516796837</v>
      </c>
      <c r="AH102">
        <v>97609.65649154222</v>
      </c>
    </row>
    <row r="103" spans="1:34" hidden="1" x14ac:dyDescent="0.25">
      <c r="A103">
        <v>102</v>
      </c>
      <c r="B103" t="s">
        <v>4162</v>
      </c>
      <c r="C103" t="s">
        <v>376</v>
      </c>
      <c r="D103" t="s">
        <v>3968</v>
      </c>
      <c r="E103" t="s">
        <v>37</v>
      </c>
      <c r="G103">
        <v>0.2</v>
      </c>
      <c r="H103" t="s">
        <v>72</v>
      </c>
      <c r="I103" t="s">
        <v>1024</v>
      </c>
      <c r="J103" t="s">
        <v>1025</v>
      </c>
      <c r="K103" t="s">
        <v>3969</v>
      </c>
      <c r="L103" t="s">
        <v>3970</v>
      </c>
      <c r="M103" t="s">
        <v>57</v>
      </c>
      <c r="O103" t="s">
        <v>142</v>
      </c>
      <c r="P103">
        <v>0.20364417576520369</v>
      </c>
      <c r="R103" t="s">
        <v>38</v>
      </c>
      <c r="S103" t="s">
        <v>2660</v>
      </c>
      <c r="U103" t="s">
        <v>73</v>
      </c>
      <c r="W103" t="s">
        <v>4153</v>
      </c>
      <c r="X103" t="s">
        <v>1031</v>
      </c>
      <c r="Y103" t="s">
        <v>2623</v>
      </c>
      <c r="Z103" t="s">
        <v>76</v>
      </c>
      <c r="AA103" t="s">
        <v>453</v>
      </c>
      <c r="AC103" t="s">
        <v>656</v>
      </c>
      <c r="AE103" t="s">
        <v>4160</v>
      </c>
      <c r="AF103" t="s">
        <v>3987</v>
      </c>
      <c r="AG103">
        <v>119.4067917952209</v>
      </c>
      <c r="AH103">
        <v>824.12203706462083</v>
      </c>
    </row>
    <row r="104" spans="1:34" hidden="1" x14ac:dyDescent="0.25">
      <c r="A104">
        <v>103</v>
      </c>
      <c r="B104" t="s">
        <v>4163</v>
      </c>
      <c r="C104" t="s">
        <v>376</v>
      </c>
      <c r="D104" t="s">
        <v>3968</v>
      </c>
      <c r="E104" t="s">
        <v>37</v>
      </c>
      <c r="G104">
        <v>0</v>
      </c>
      <c r="H104" t="s">
        <v>72</v>
      </c>
      <c r="I104" t="s">
        <v>1024</v>
      </c>
      <c r="J104" t="s">
        <v>1025</v>
      </c>
      <c r="K104" t="s">
        <v>3969</v>
      </c>
      <c r="L104" t="s">
        <v>3970</v>
      </c>
      <c r="M104" t="s">
        <v>57</v>
      </c>
      <c r="N104" t="s">
        <v>402</v>
      </c>
      <c r="O104" t="s">
        <v>403</v>
      </c>
      <c r="P104">
        <v>5.1231462050631089</v>
      </c>
      <c r="R104" t="s">
        <v>38</v>
      </c>
      <c r="S104" t="s">
        <v>673</v>
      </c>
      <c r="U104" t="s">
        <v>73</v>
      </c>
      <c r="X104" t="s">
        <v>1031</v>
      </c>
      <c r="Y104" t="s">
        <v>2623</v>
      </c>
      <c r="Z104" t="s">
        <v>76</v>
      </c>
      <c r="AA104" t="s">
        <v>453</v>
      </c>
      <c r="AD104" t="s">
        <v>4164</v>
      </c>
      <c r="AF104" t="s">
        <v>3987</v>
      </c>
      <c r="AG104">
        <v>597.6635760533967</v>
      </c>
      <c r="AH104">
        <v>20732.720053651112</v>
      </c>
    </row>
    <row r="105" spans="1:34" x14ac:dyDescent="0.25">
      <c r="A105">
        <v>104</v>
      </c>
      <c r="B105" t="s">
        <v>4165</v>
      </c>
      <c r="C105" t="s">
        <v>376</v>
      </c>
      <c r="D105" t="s">
        <v>3968</v>
      </c>
      <c r="E105" t="s">
        <v>37</v>
      </c>
      <c r="G105">
        <v>13.5</v>
      </c>
      <c r="H105" t="s">
        <v>72</v>
      </c>
      <c r="I105" t="s">
        <v>1024</v>
      </c>
      <c r="J105" t="s">
        <v>1025</v>
      </c>
      <c r="K105" t="s">
        <v>3969</v>
      </c>
      <c r="L105" t="s">
        <v>3970</v>
      </c>
      <c r="M105" t="s">
        <v>57</v>
      </c>
      <c r="N105" t="s">
        <v>62</v>
      </c>
      <c r="O105" t="s">
        <v>63</v>
      </c>
      <c r="P105">
        <v>13.38763154105686</v>
      </c>
      <c r="Q105" t="s">
        <v>64</v>
      </c>
      <c r="R105" t="s">
        <v>65</v>
      </c>
      <c r="S105" t="s">
        <v>4166</v>
      </c>
      <c r="U105" t="s">
        <v>73</v>
      </c>
      <c r="W105" t="s">
        <v>4167</v>
      </c>
      <c r="X105" t="s">
        <v>1031</v>
      </c>
      <c r="Y105" t="s">
        <v>2623</v>
      </c>
      <c r="Z105" t="s">
        <v>76</v>
      </c>
      <c r="AA105" t="s">
        <v>453</v>
      </c>
      <c r="AC105" t="s">
        <v>656</v>
      </c>
      <c r="AE105" t="s">
        <v>4160</v>
      </c>
      <c r="AF105" t="s">
        <v>3987</v>
      </c>
      <c r="AG105">
        <v>971.87336514853007</v>
      </c>
      <c r="AH105">
        <v>54178.039394591637</v>
      </c>
    </row>
    <row r="106" spans="1:34" x14ac:dyDescent="0.25">
      <c r="A106">
        <v>105</v>
      </c>
      <c r="B106" t="s">
        <v>4168</v>
      </c>
      <c r="C106" t="s">
        <v>376</v>
      </c>
      <c r="D106" t="s">
        <v>3968</v>
      </c>
      <c r="E106" t="s">
        <v>37</v>
      </c>
      <c r="G106">
        <v>5.7</v>
      </c>
      <c r="H106" t="s">
        <v>72</v>
      </c>
      <c r="I106" t="s">
        <v>1024</v>
      </c>
      <c r="J106" t="s">
        <v>1025</v>
      </c>
      <c r="K106" t="s">
        <v>3969</v>
      </c>
      <c r="L106" t="s">
        <v>3970</v>
      </c>
      <c r="M106" t="s">
        <v>57</v>
      </c>
      <c r="N106" t="s">
        <v>62</v>
      </c>
      <c r="O106" t="s">
        <v>63</v>
      </c>
      <c r="P106">
        <v>5.7023763283579463</v>
      </c>
      <c r="Q106" t="s">
        <v>64</v>
      </c>
      <c r="R106" t="s">
        <v>65</v>
      </c>
      <c r="S106" t="s">
        <v>4166</v>
      </c>
      <c r="U106" t="s">
        <v>73</v>
      </c>
      <c r="W106" t="s">
        <v>4167</v>
      </c>
      <c r="X106" t="s">
        <v>1031</v>
      </c>
      <c r="Y106" t="s">
        <v>2623</v>
      </c>
      <c r="Z106" t="s">
        <v>76</v>
      </c>
      <c r="AA106" t="s">
        <v>453</v>
      </c>
      <c r="AC106" t="s">
        <v>656</v>
      </c>
      <c r="AE106" t="s">
        <v>4160</v>
      </c>
      <c r="AF106" t="s">
        <v>3987</v>
      </c>
      <c r="AG106">
        <v>969.38550207022001</v>
      </c>
      <c r="AH106">
        <v>23076.790574427079</v>
      </c>
    </row>
    <row r="107" spans="1:34" x14ac:dyDescent="0.25">
      <c r="A107">
        <v>106</v>
      </c>
      <c r="B107" t="s">
        <v>4169</v>
      </c>
      <c r="C107" t="s">
        <v>376</v>
      </c>
      <c r="D107" t="s">
        <v>3968</v>
      </c>
      <c r="E107" t="s">
        <v>37</v>
      </c>
      <c r="G107">
        <v>21.7</v>
      </c>
      <c r="H107" t="s">
        <v>72</v>
      </c>
      <c r="I107" t="s">
        <v>1024</v>
      </c>
      <c r="J107" t="s">
        <v>1025</v>
      </c>
      <c r="K107" t="s">
        <v>3969</v>
      </c>
      <c r="L107" t="s">
        <v>3970</v>
      </c>
      <c r="M107" t="s">
        <v>57</v>
      </c>
      <c r="N107" t="s">
        <v>62</v>
      </c>
      <c r="O107" t="s">
        <v>63</v>
      </c>
      <c r="P107">
        <v>21.369058133432599</v>
      </c>
      <c r="Q107" t="s">
        <v>64</v>
      </c>
      <c r="R107" t="s">
        <v>65</v>
      </c>
      <c r="S107" t="s">
        <v>4166</v>
      </c>
      <c r="U107" t="s">
        <v>73</v>
      </c>
      <c r="W107" t="s">
        <v>4167</v>
      </c>
      <c r="X107" t="s">
        <v>1031</v>
      </c>
      <c r="Y107" t="s">
        <v>2623</v>
      </c>
      <c r="Z107" t="s">
        <v>76</v>
      </c>
      <c r="AA107" t="s">
        <v>453</v>
      </c>
      <c r="AC107" t="s">
        <v>656</v>
      </c>
      <c r="AE107" t="s">
        <v>4160</v>
      </c>
      <c r="AF107" t="s">
        <v>3987</v>
      </c>
      <c r="AG107">
        <v>2009.2456636174991</v>
      </c>
      <c r="AH107">
        <v>86477.856058999008</v>
      </c>
    </row>
    <row r="108" spans="1:34" x14ac:dyDescent="0.25">
      <c r="A108">
        <v>107</v>
      </c>
      <c r="B108" t="s">
        <v>4170</v>
      </c>
      <c r="C108" t="s">
        <v>376</v>
      </c>
      <c r="D108" t="s">
        <v>3968</v>
      </c>
      <c r="E108" t="s">
        <v>37</v>
      </c>
      <c r="G108">
        <v>2.2000000000000002</v>
      </c>
      <c r="H108" t="s">
        <v>72</v>
      </c>
      <c r="I108" t="s">
        <v>1024</v>
      </c>
      <c r="J108" t="s">
        <v>1025</v>
      </c>
      <c r="K108" t="s">
        <v>3969</v>
      </c>
      <c r="L108" t="s">
        <v>3970</v>
      </c>
      <c r="M108" t="s">
        <v>57</v>
      </c>
      <c r="N108" t="s">
        <v>62</v>
      </c>
      <c r="O108" t="s">
        <v>63</v>
      </c>
      <c r="P108">
        <v>2.2200812431525221</v>
      </c>
      <c r="Q108" t="s">
        <v>64</v>
      </c>
      <c r="R108" t="s">
        <v>65</v>
      </c>
      <c r="S108" t="s">
        <v>4166</v>
      </c>
      <c r="U108" t="s">
        <v>73</v>
      </c>
      <c r="W108" t="s">
        <v>4167</v>
      </c>
      <c r="X108" t="s">
        <v>1031</v>
      </c>
      <c r="Y108" t="s">
        <v>2623</v>
      </c>
      <c r="Z108" t="s">
        <v>76</v>
      </c>
      <c r="AA108" t="s">
        <v>453</v>
      </c>
      <c r="AC108" t="s">
        <v>656</v>
      </c>
      <c r="AE108" t="s">
        <v>4160</v>
      </c>
      <c r="AF108" t="s">
        <v>3987</v>
      </c>
      <c r="AG108">
        <v>446.45810794193181</v>
      </c>
      <c r="AH108">
        <v>8984.3859746095204</v>
      </c>
    </row>
    <row r="109" spans="1:34" x14ac:dyDescent="0.25">
      <c r="A109">
        <v>108</v>
      </c>
      <c r="B109" t="s">
        <v>4171</v>
      </c>
      <c r="C109" t="s">
        <v>376</v>
      </c>
      <c r="D109" t="s">
        <v>3968</v>
      </c>
      <c r="E109" t="s">
        <v>37</v>
      </c>
      <c r="G109">
        <v>2.8</v>
      </c>
      <c r="H109" t="s">
        <v>72</v>
      </c>
      <c r="I109" t="s">
        <v>1024</v>
      </c>
      <c r="J109" t="s">
        <v>1025</v>
      </c>
      <c r="K109" t="s">
        <v>3969</v>
      </c>
      <c r="L109" t="s">
        <v>3970</v>
      </c>
      <c r="M109" t="s">
        <v>57</v>
      </c>
      <c r="N109" t="s">
        <v>62</v>
      </c>
      <c r="O109" t="s">
        <v>63</v>
      </c>
      <c r="P109">
        <v>3.6112420701272829</v>
      </c>
      <c r="Q109" t="s">
        <v>64</v>
      </c>
      <c r="R109" t="s">
        <v>65</v>
      </c>
      <c r="S109" t="s">
        <v>4166</v>
      </c>
      <c r="U109" t="s">
        <v>73</v>
      </c>
      <c r="W109" t="s">
        <v>4167</v>
      </c>
      <c r="X109" t="s">
        <v>1031</v>
      </c>
      <c r="Y109" t="s">
        <v>2623</v>
      </c>
      <c r="Z109" t="s">
        <v>76</v>
      </c>
      <c r="AA109" t="s">
        <v>453</v>
      </c>
      <c r="AC109" t="s">
        <v>656</v>
      </c>
      <c r="AE109" t="s">
        <v>4160</v>
      </c>
      <c r="AF109" t="s">
        <v>3987</v>
      </c>
      <c r="AG109">
        <v>570.78712457336394</v>
      </c>
      <c r="AH109">
        <v>14614.23662122369</v>
      </c>
    </row>
    <row r="110" spans="1:34" x14ac:dyDescent="0.25">
      <c r="A110">
        <v>109</v>
      </c>
      <c r="B110" t="s">
        <v>4172</v>
      </c>
      <c r="C110" t="s">
        <v>376</v>
      </c>
      <c r="D110" t="s">
        <v>3968</v>
      </c>
      <c r="E110" t="s">
        <v>37</v>
      </c>
      <c r="G110">
        <v>2.1</v>
      </c>
      <c r="H110" t="s">
        <v>72</v>
      </c>
      <c r="I110" t="s">
        <v>1024</v>
      </c>
      <c r="J110" t="s">
        <v>1025</v>
      </c>
      <c r="K110" t="s">
        <v>3969</v>
      </c>
      <c r="L110" t="s">
        <v>3970</v>
      </c>
      <c r="M110" t="s">
        <v>57</v>
      </c>
      <c r="N110" t="s">
        <v>62</v>
      </c>
      <c r="O110" t="s">
        <v>63</v>
      </c>
      <c r="P110">
        <v>2.1441971052157021</v>
      </c>
      <c r="Q110" t="s">
        <v>64</v>
      </c>
      <c r="R110" t="s">
        <v>65</v>
      </c>
      <c r="S110" t="s">
        <v>4166</v>
      </c>
      <c r="U110" t="s">
        <v>73</v>
      </c>
      <c r="W110" t="s">
        <v>4167</v>
      </c>
      <c r="X110" t="s">
        <v>1031</v>
      </c>
      <c r="Y110" t="s">
        <v>2623</v>
      </c>
      <c r="Z110" t="s">
        <v>76</v>
      </c>
      <c r="AA110" t="s">
        <v>453</v>
      </c>
      <c r="AC110" t="s">
        <v>656</v>
      </c>
      <c r="AE110" t="s">
        <v>4160</v>
      </c>
      <c r="AF110" t="s">
        <v>3987</v>
      </c>
      <c r="AG110">
        <v>439.8371659606031</v>
      </c>
      <c r="AH110">
        <v>8677.2925352690836</v>
      </c>
    </row>
    <row r="111" spans="1:34" x14ac:dyDescent="0.25">
      <c r="A111">
        <v>110</v>
      </c>
      <c r="B111" t="s">
        <v>4173</v>
      </c>
      <c r="C111" t="s">
        <v>376</v>
      </c>
      <c r="D111" t="s">
        <v>3968</v>
      </c>
      <c r="E111" t="s">
        <v>37</v>
      </c>
      <c r="G111">
        <v>2.8</v>
      </c>
      <c r="H111" t="s">
        <v>72</v>
      </c>
      <c r="I111" t="s">
        <v>1024</v>
      </c>
      <c r="J111" t="s">
        <v>1025</v>
      </c>
      <c r="K111" t="s">
        <v>3969</v>
      </c>
      <c r="L111" t="s">
        <v>3970</v>
      </c>
      <c r="M111" t="s">
        <v>57</v>
      </c>
      <c r="N111" t="s">
        <v>62</v>
      </c>
      <c r="O111" t="s">
        <v>63</v>
      </c>
      <c r="P111">
        <v>2.884763006506585</v>
      </c>
      <c r="Q111" t="s">
        <v>64</v>
      </c>
      <c r="R111" t="s">
        <v>65</v>
      </c>
      <c r="S111" t="s">
        <v>4166</v>
      </c>
      <c r="U111" t="s">
        <v>73</v>
      </c>
      <c r="W111" t="s">
        <v>4167</v>
      </c>
      <c r="X111" t="s">
        <v>1031</v>
      </c>
      <c r="Y111" t="s">
        <v>2623</v>
      </c>
      <c r="Z111" t="s">
        <v>76</v>
      </c>
      <c r="AA111" t="s">
        <v>453</v>
      </c>
      <c r="AC111" t="s">
        <v>656</v>
      </c>
      <c r="AE111" t="s">
        <v>4160</v>
      </c>
      <c r="AF111" t="s">
        <v>3987</v>
      </c>
      <c r="AG111">
        <v>507.10608639750421</v>
      </c>
      <c r="AH111">
        <v>11674.268397010001</v>
      </c>
    </row>
    <row r="112" spans="1:34" x14ac:dyDescent="0.25">
      <c r="A112">
        <v>111</v>
      </c>
      <c r="B112" t="s">
        <v>4174</v>
      </c>
      <c r="C112" t="s">
        <v>376</v>
      </c>
      <c r="D112" t="s">
        <v>3968</v>
      </c>
      <c r="E112" t="s">
        <v>37</v>
      </c>
      <c r="G112">
        <v>0</v>
      </c>
      <c r="H112" t="s">
        <v>72</v>
      </c>
      <c r="I112" t="s">
        <v>1024</v>
      </c>
      <c r="J112" t="s">
        <v>1025</v>
      </c>
      <c r="K112" t="s">
        <v>3969</v>
      </c>
      <c r="L112" t="s">
        <v>3970</v>
      </c>
      <c r="M112" t="s">
        <v>57</v>
      </c>
      <c r="N112" t="s">
        <v>62</v>
      </c>
      <c r="O112" t="s">
        <v>63</v>
      </c>
      <c r="P112">
        <v>5.5265557908452108</v>
      </c>
      <c r="Q112" t="s">
        <v>64</v>
      </c>
      <c r="R112" t="s">
        <v>65</v>
      </c>
      <c r="S112" t="s">
        <v>57</v>
      </c>
      <c r="U112" t="s">
        <v>73</v>
      </c>
      <c r="X112" t="s">
        <v>1031</v>
      </c>
      <c r="Y112" t="s">
        <v>2623</v>
      </c>
      <c r="Z112" t="s">
        <v>76</v>
      </c>
      <c r="AA112" t="s">
        <v>453</v>
      </c>
      <c r="AD112" t="s">
        <v>1121</v>
      </c>
      <c r="AF112" t="s">
        <v>3987</v>
      </c>
      <c r="AG112">
        <v>600.43348022569887</v>
      </c>
      <c r="AH112">
        <v>22365.267256913419</v>
      </c>
    </row>
    <row r="113" spans="1:34" hidden="1" x14ac:dyDescent="0.25">
      <c r="A113">
        <v>112</v>
      </c>
      <c r="B113" t="s">
        <v>4175</v>
      </c>
      <c r="C113" t="s">
        <v>376</v>
      </c>
      <c r="D113" t="s">
        <v>3968</v>
      </c>
      <c r="E113" t="s">
        <v>37</v>
      </c>
      <c r="G113">
        <v>0</v>
      </c>
      <c r="H113" t="s">
        <v>72</v>
      </c>
      <c r="I113" t="s">
        <v>1024</v>
      </c>
      <c r="J113" t="s">
        <v>1025</v>
      </c>
      <c r="K113" t="s">
        <v>3969</v>
      </c>
      <c r="L113" t="s">
        <v>3970</v>
      </c>
      <c r="M113" t="s">
        <v>57</v>
      </c>
      <c r="O113" t="s">
        <v>142</v>
      </c>
      <c r="P113">
        <v>0.17038944448910889</v>
      </c>
      <c r="R113" t="s">
        <v>38</v>
      </c>
      <c r="S113" t="s">
        <v>2660</v>
      </c>
      <c r="U113" t="s">
        <v>73</v>
      </c>
      <c r="X113" t="s">
        <v>1031</v>
      </c>
      <c r="Y113" t="s">
        <v>2623</v>
      </c>
      <c r="Z113" t="s">
        <v>76</v>
      </c>
      <c r="AA113" t="s">
        <v>453</v>
      </c>
      <c r="AD113" t="s">
        <v>1079</v>
      </c>
      <c r="AF113" t="s">
        <v>3987</v>
      </c>
      <c r="AG113">
        <v>101.50333047665541</v>
      </c>
      <c r="AH113">
        <v>689.54437591466422</v>
      </c>
    </row>
    <row r="114" spans="1:34" x14ac:dyDescent="0.25">
      <c r="A114">
        <v>113</v>
      </c>
      <c r="B114" t="s">
        <v>4176</v>
      </c>
      <c r="C114" t="s">
        <v>376</v>
      </c>
      <c r="D114" t="s">
        <v>3968</v>
      </c>
      <c r="E114" t="s">
        <v>37</v>
      </c>
      <c r="G114">
        <v>1.7</v>
      </c>
      <c r="H114" t="s">
        <v>72</v>
      </c>
      <c r="I114" t="s">
        <v>1024</v>
      </c>
      <c r="J114" t="s">
        <v>1025</v>
      </c>
      <c r="K114" t="s">
        <v>3969</v>
      </c>
      <c r="L114" t="s">
        <v>3970</v>
      </c>
      <c r="M114" t="s">
        <v>57</v>
      </c>
      <c r="N114" t="s">
        <v>62</v>
      </c>
      <c r="O114" t="s">
        <v>63</v>
      </c>
      <c r="P114">
        <v>1.630424086500553</v>
      </c>
      <c r="Q114" t="s">
        <v>64</v>
      </c>
      <c r="R114" t="s">
        <v>65</v>
      </c>
      <c r="S114" t="s">
        <v>57</v>
      </c>
      <c r="U114" t="s">
        <v>46</v>
      </c>
      <c r="W114" t="s">
        <v>4177</v>
      </c>
      <c r="X114" t="s">
        <v>1031</v>
      </c>
      <c r="Y114" t="s">
        <v>765</v>
      </c>
      <c r="Z114" t="s">
        <v>46</v>
      </c>
      <c r="AA114" t="s">
        <v>453</v>
      </c>
      <c r="AC114" t="s">
        <v>93</v>
      </c>
      <c r="AE114" t="s">
        <v>4178</v>
      </c>
      <c r="AF114" t="s">
        <v>3987</v>
      </c>
      <c r="AG114">
        <v>378.57079314287893</v>
      </c>
      <c r="AH114">
        <v>6598.1185781383356</v>
      </c>
    </row>
    <row r="115" spans="1:34" x14ac:dyDescent="0.25">
      <c r="A115">
        <v>114</v>
      </c>
      <c r="B115" t="s">
        <v>4179</v>
      </c>
      <c r="C115" t="s">
        <v>376</v>
      </c>
      <c r="D115" t="s">
        <v>3968</v>
      </c>
      <c r="E115" t="s">
        <v>37</v>
      </c>
      <c r="G115">
        <v>5.5</v>
      </c>
      <c r="H115" t="s">
        <v>72</v>
      </c>
      <c r="I115" t="s">
        <v>1024</v>
      </c>
      <c r="J115" t="s">
        <v>1025</v>
      </c>
      <c r="K115" t="s">
        <v>3969</v>
      </c>
      <c r="L115" t="s">
        <v>3970</v>
      </c>
      <c r="M115" t="s">
        <v>57</v>
      </c>
      <c r="N115" t="s">
        <v>62</v>
      </c>
      <c r="O115" t="s">
        <v>63</v>
      </c>
      <c r="P115">
        <v>5.2821969791005339</v>
      </c>
      <c r="Q115" t="s">
        <v>64</v>
      </c>
      <c r="R115" t="s">
        <v>65</v>
      </c>
      <c r="S115" t="s">
        <v>57</v>
      </c>
      <c r="U115" t="s">
        <v>46</v>
      </c>
      <c r="W115" t="s">
        <v>4180</v>
      </c>
      <c r="X115" t="s">
        <v>1031</v>
      </c>
      <c r="Y115" t="s">
        <v>765</v>
      </c>
      <c r="Z115" t="s">
        <v>46</v>
      </c>
      <c r="AA115" t="s">
        <v>453</v>
      </c>
      <c r="AC115" t="s">
        <v>93</v>
      </c>
      <c r="AE115" t="s">
        <v>4181</v>
      </c>
      <c r="AF115" t="s">
        <v>3987</v>
      </c>
      <c r="AG115">
        <v>593.97497853920561</v>
      </c>
      <c r="AH115">
        <v>21376.378274682469</v>
      </c>
    </row>
    <row r="116" spans="1:34" hidden="1" x14ac:dyDescent="0.25">
      <c r="A116">
        <v>115</v>
      </c>
      <c r="B116" t="s">
        <v>4182</v>
      </c>
      <c r="C116" t="s">
        <v>376</v>
      </c>
      <c r="D116" t="s">
        <v>3968</v>
      </c>
      <c r="E116" t="s">
        <v>37</v>
      </c>
      <c r="G116">
        <v>0</v>
      </c>
      <c r="H116" t="s">
        <v>72</v>
      </c>
      <c r="I116" t="s">
        <v>1024</v>
      </c>
      <c r="J116" t="s">
        <v>1025</v>
      </c>
      <c r="K116" t="s">
        <v>3969</v>
      </c>
      <c r="L116" t="s">
        <v>3970</v>
      </c>
      <c r="M116" t="s">
        <v>57</v>
      </c>
      <c r="N116" t="s">
        <v>402</v>
      </c>
      <c r="O116" t="s">
        <v>403</v>
      </c>
      <c r="P116">
        <v>8.8460932419211815</v>
      </c>
      <c r="S116" t="s">
        <v>673</v>
      </c>
      <c r="U116" t="s">
        <v>46</v>
      </c>
      <c r="X116" t="s">
        <v>1031</v>
      </c>
      <c r="Y116" t="s">
        <v>765</v>
      </c>
      <c r="Z116" t="s">
        <v>70</v>
      </c>
      <c r="AA116" t="s">
        <v>453</v>
      </c>
      <c r="AD116" t="s">
        <v>4183</v>
      </c>
      <c r="AE116" t="s">
        <v>4181</v>
      </c>
      <c r="AF116" t="s">
        <v>3987</v>
      </c>
      <c r="AG116">
        <v>989.00057857034039</v>
      </c>
      <c r="AH116">
        <v>35799.01244512455</v>
      </c>
    </row>
    <row r="117" spans="1:34" hidden="1" x14ac:dyDescent="0.25">
      <c r="A117">
        <v>116</v>
      </c>
      <c r="B117" t="s">
        <v>4184</v>
      </c>
      <c r="C117" t="s">
        <v>376</v>
      </c>
      <c r="D117" t="s">
        <v>3968</v>
      </c>
      <c r="E117" t="s">
        <v>37</v>
      </c>
      <c r="G117">
        <v>0.1</v>
      </c>
      <c r="H117" t="s">
        <v>72</v>
      </c>
      <c r="I117" t="s">
        <v>1024</v>
      </c>
      <c r="J117" t="s">
        <v>1025</v>
      </c>
      <c r="K117" t="s">
        <v>3969</v>
      </c>
      <c r="L117" t="s">
        <v>3970</v>
      </c>
      <c r="M117" t="s">
        <v>57</v>
      </c>
      <c r="N117" t="s">
        <v>704</v>
      </c>
      <c r="O117" t="s">
        <v>705</v>
      </c>
      <c r="P117">
        <v>0.18865454711928711</v>
      </c>
      <c r="R117" t="s">
        <v>74</v>
      </c>
      <c r="S117" t="s">
        <v>4185</v>
      </c>
      <c r="U117" t="s">
        <v>681</v>
      </c>
      <c r="W117" t="s">
        <v>4186</v>
      </c>
      <c r="X117" t="s">
        <v>1908</v>
      </c>
      <c r="Y117" t="s">
        <v>2623</v>
      </c>
      <c r="Z117" t="s">
        <v>139</v>
      </c>
      <c r="AA117" t="s">
        <v>453</v>
      </c>
      <c r="AF117" t="s">
        <v>3974</v>
      </c>
      <c r="AG117">
        <v>110.6189710849485</v>
      </c>
      <c r="AH117">
        <v>763.46091946527451</v>
      </c>
    </row>
    <row r="118" spans="1:34" hidden="1" x14ac:dyDescent="0.25">
      <c r="A118">
        <v>117</v>
      </c>
      <c r="B118" t="s">
        <v>4187</v>
      </c>
      <c r="C118" t="s">
        <v>376</v>
      </c>
      <c r="D118" t="s">
        <v>3968</v>
      </c>
      <c r="E118" t="s">
        <v>37</v>
      </c>
      <c r="G118">
        <v>5.75</v>
      </c>
      <c r="H118" t="s">
        <v>72</v>
      </c>
      <c r="I118" t="s">
        <v>1024</v>
      </c>
      <c r="J118" t="s">
        <v>1025</v>
      </c>
      <c r="K118" t="s">
        <v>3969</v>
      </c>
      <c r="L118" t="s">
        <v>3970</v>
      </c>
      <c r="M118" t="s">
        <v>57</v>
      </c>
      <c r="N118" t="s">
        <v>87</v>
      </c>
      <c r="O118" t="s">
        <v>88</v>
      </c>
      <c r="P118">
        <v>5.5213272588400741</v>
      </c>
      <c r="Q118" t="s">
        <v>60</v>
      </c>
      <c r="R118" t="s">
        <v>66</v>
      </c>
      <c r="S118" t="s">
        <v>4185</v>
      </c>
      <c r="U118" t="s">
        <v>681</v>
      </c>
      <c r="W118" t="s">
        <v>4186</v>
      </c>
      <c r="X118" t="s">
        <v>1908</v>
      </c>
      <c r="Y118" t="s">
        <v>2623</v>
      </c>
      <c r="Z118" t="s">
        <v>139</v>
      </c>
      <c r="AA118" t="s">
        <v>453</v>
      </c>
      <c r="AF118" t="s">
        <v>3974</v>
      </c>
      <c r="AG118">
        <v>654.04808114844661</v>
      </c>
      <c r="AH118">
        <v>22344.108053951979</v>
      </c>
    </row>
    <row r="119" spans="1:34" x14ac:dyDescent="0.25">
      <c r="A119">
        <v>118</v>
      </c>
      <c r="B119" t="s">
        <v>4188</v>
      </c>
      <c r="C119" t="s">
        <v>376</v>
      </c>
      <c r="D119" t="s">
        <v>3968</v>
      </c>
      <c r="E119" t="s">
        <v>37</v>
      </c>
      <c r="G119">
        <v>1</v>
      </c>
      <c r="H119" t="s">
        <v>72</v>
      </c>
      <c r="I119" t="s">
        <v>1024</v>
      </c>
      <c r="J119" t="s">
        <v>1025</v>
      </c>
      <c r="K119" t="s">
        <v>3969</v>
      </c>
      <c r="L119" t="s">
        <v>3970</v>
      </c>
      <c r="M119" t="s">
        <v>57</v>
      </c>
      <c r="N119" t="s">
        <v>62</v>
      </c>
      <c r="O119" t="s">
        <v>63</v>
      </c>
      <c r="P119">
        <v>1.0039887269783481</v>
      </c>
      <c r="Q119" t="s">
        <v>64</v>
      </c>
      <c r="R119" t="s">
        <v>65</v>
      </c>
      <c r="S119" t="s">
        <v>4185</v>
      </c>
      <c r="U119" t="s">
        <v>681</v>
      </c>
      <c r="W119" t="s">
        <v>4186</v>
      </c>
      <c r="X119" t="s">
        <v>1908</v>
      </c>
      <c r="Y119" t="s">
        <v>2623</v>
      </c>
      <c r="Z119" t="s">
        <v>139</v>
      </c>
      <c r="AA119" t="s">
        <v>453</v>
      </c>
      <c r="AF119" t="s">
        <v>3974</v>
      </c>
      <c r="AG119">
        <v>265.45150101209339</v>
      </c>
      <c r="AH119">
        <v>4063.0144798311949</v>
      </c>
    </row>
    <row r="120" spans="1:34" hidden="1" x14ac:dyDescent="0.25">
      <c r="A120">
        <v>119</v>
      </c>
      <c r="B120" t="s">
        <v>4189</v>
      </c>
      <c r="C120" t="s">
        <v>376</v>
      </c>
      <c r="D120" t="s">
        <v>3968</v>
      </c>
      <c r="E120" t="s">
        <v>37</v>
      </c>
      <c r="G120">
        <v>0</v>
      </c>
      <c r="H120" t="s">
        <v>72</v>
      </c>
      <c r="I120" t="s">
        <v>1024</v>
      </c>
      <c r="J120" t="s">
        <v>1025</v>
      </c>
      <c r="K120" t="s">
        <v>3969</v>
      </c>
      <c r="L120" t="s">
        <v>3970</v>
      </c>
      <c r="M120" t="s">
        <v>57</v>
      </c>
      <c r="N120" t="s">
        <v>99</v>
      </c>
      <c r="O120" t="s">
        <v>100</v>
      </c>
      <c r="P120">
        <v>0.62478700267862175</v>
      </c>
      <c r="Q120" t="s">
        <v>60</v>
      </c>
      <c r="R120" t="s">
        <v>66</v>
      </c>
      <c r="S120" t="s">
        <v>4190</v>
      </c>
      <c r="U120" t="s">
        <v>60</v>
      </c>
      <c r="X120" t="s">
        <v>1486</v>
      </c>
      <c r="Y120" t="s">
        <v>765</v>
      </c>
      <c r="Z120" t="s">
        <v>60</v>
      </c>
      <c r="AA120" t="s">
        <v>453</v>
      </c>
      <c r="AF120" t="s">
        <v>3981</v>
      </c>
      <c r="AG120">
        <v>291.84293446926438</v>
      </c>
      <c r="AH120">
        <v>2528.4334081455449</v>
      </c>
    </row>
    <row r="121" spans="1:34" hidden="1" x14ac:dyDescent="0.25">
      <c r="A121">
        <v>120</v>
      </c>
      <c r="B121" t="s">
        <v>4191</v>
      </c>
      <c r="C121" t="s">
        <v>376</v>
      </c>
      <c r="D121" t="s">
        <v>3968</v>
      </c>
      <c r="E121" t="s">
        <v>37</v>
      </c>
      <c r="G121">
        <v>0</v>
      </c>
      <c r="H121" t="s">
        <v>72</v>
      </c>
      <c r="I121" t="s">
        <v>1024</v>
      </c>
      <c r="J121" t="s">
        <v>1025</v>
      </c>
      <c r="K121" t="s">
        <v>3969</v>
      </c>
      <c r="L121" t="s">
        <v>3970</v>
      </c>
      <c r="M121" t="s">
        <v>57</v>
      </c>
      <c r="N121" t="s">
        <v>99</v>
      </c>
      <c r="O121" t="s">
        <v>100</v>
      </c>
      <c r="P121">
        <v>0.3388675651683789</v>
      </c>
      <c r="Q121" t="s">
        <v>60</v>
      </c>
      <c r="R121" t="s">
        <v>66</v>
      </c>
      <c r="S121" t="s">
        <v>3980</v>
      </c>
      <c r="U121" t="s">
        <v>64</v>
      </c>
      <c r="X121" t="s">
        <v>1486</v>
      </c>
      <c r="Y121" t="s">
        <v>2623</v>
      </c>
      <c r="Z121" t="s">
        <v>942</v>
      </c>
      <c r="AA121" t="s">
        <v>453</v>
      </c>
      <c r="AF121" t="s">
        <v>3987</v>
      </c>
      <c r="AG121">
        <v>163.92532802123321</v>
      </c>
      <c r="AH121">
        <v>1371.3538678546911</v>
      </c>
    </row>
    <row r="122" spans="1:34" hidden="1" x14ac:dyDescent="0.25">
      <c r="A122">
        <v>121</v>
      </c>
      <c r="B122" t="s">
        <v>4192</v>
      </c>
      <c r="C122" t="s">
        <v>376</v>
      </c>
      <c r="D122" t="s">
        <v>3968</v>
      </c>
      <c r="E122" t="s">
        <v>37</v>
      </c>
      <c r="G122">
        <v>0</v>
      </c>
      <c r="H122" t="s">
        <v>72</v>
      </c>
      <c r="I122" t="s">
        <v>1024</v>
      </c>
      <c r="J122" t="s">
        <v>1025</v>
      </c>
      <c r="K122" t="s">
        <v>3969</v>
      </c>
      <c r="L122" t="s">
        <v>3970</v>
      </c>
      <c r="M122" t="s">
        <v>57</v>
      </c>
      <c r="N122" t="s">
        <v>99</v>
      </c>
      <c r="O122" t="s">
        <v>100</v>
      </c>
      <c r="P122">
        <v>0.24447960429999741</v>
      </c>
      <c r="Q122" t="s">
        <v>60</v>
      </c>
      <c r="R122" t="s">
        <v>66</v>
      </c>
      <c r="S122" t="s">
        <v>3980</v>
      </c>
      <c r="U122" t="s">
        <v>60</v>
      </c>
      <c r="X122" t="s">
        <v>1486</v>
      </c>
      <c r="Y122" t="s">
        <v>765</v>
      </c>
      <c r="Z122" t="s">
        <v>818</v>
      </c>
      <c r="AA122" t="s">
        <v>453</v>
      </c>
      <c r="AF122" t="s">
        <v>3981</v>
      </c>
      <c r="AG122">
        <v>196.09884174959859</v>
      </c>
      <c r="AH122">
        <v>989.37781431455483</v>
      </c>
    </row>
    <row r="123" spans="1:34" hidden="1" x14ac:dyDescent="0.25">
      <c r="A123">
        <v>122</v>
      </c>
      <c r="B123" t="s">
        <v>4193</v>
      </c>
      <c r="C123" t="s">
        <v>376</v>
      </c>
      <c r="D123" t="s">
        <v>3968</v>
      </c>
      <c r="E123" t="s">
        <v>37</v>
      </c>
      <c r="G123">
        <v>0</v>
      </c>
      <c r="H123" t="s">
        <v>72</v>
      </c>
      <c r="I123" t="s">
        <v>1024</v>
      </c>
      <c r="J123" t="s">
        <v>1025</v>
      </c>
      <c r="K123" t="s">
        <v>3969</v>
      </c>
      <c r="L123" t="s">
        <v>3970</v>
      </c>
      <c r="M123" t="s">
        <v>57</v>
      </c>
      <c r="N123" t="s">
        <v>99</v>
      </c>
      <c r="O123" t="s">
        <v>100</v>
      </c>
      <c r="P123">
        <v>3.8760855285776698E-2</v>
      </c>
      <c r="Q123" t="s">
        <v>60</v>
      </c>
      <c r="R123" t="s">
        <v>66</v>
      </c>
      <c r="S123" t="s">
        <v>3980</v>
      </c>
      <c r="U123" t="s">
        <v>60</v>
      </c>
      <c r="X123" t="s">
        <v>1486</v>
      </c>
      <c r="Y123" t="s">
        <v>765</v>
      </c>
      <c r="Z123" t="s">
        <v>818</v>
      </c>
      <c r="AA123" t="s">
        <v>453</v>
      </c>
      <c r="AF123" t="s">
        <v>3981</v>
      </c>
      <c r="AG123">
        <v>54.616080980683911</v>
      </c>
      <c r="AH123">
        <v>156.86024359130931</v>
      </c>
    </row>
    <row r="124" spans="1:34" hidden="1" x14ac:dyDescent="0.25">
      <c r="A124">
        <v>123</v>
      </c>
      <c r="B124" t="s">
        <v>4194</v>
      </c>
      <c r="C124" t="s">
        <v>376</v>
      </c>
      <c r="D124" t="s">
        <v>3968</v>
      </c>
      <c r="E124" t="s">
        <v>37</v>
      </c>
      <c r="G124">
        <v>0</v>
      </c>
      <c r="H124" t="s">
        <v>72</v>
      </c>
      <c r="I124" t="s">
        <v>1024</v>
      </c>
      <c r="J124" t="s">
        <v>1025</v>
      </c>
      <c r="K124" t="s">
        <v>3969</v>
      </c>
      <c r="L124" t="s">
        <v>3970</v>
      </c>
      <c r="M124" t="s">
        <v>57</v>
      </c>
      <c r="N124" t="s">
        <v>99</v>
      </c>
      <c r="O124" t="s">
        <v>100</v>
      </c>
      <c r="P124">
        <v>0.37717646631715279</v>
      </c>
      <c r="Q124" t="s">
        <v>60</v>
      </c>
      <c r="R124" t="s">
        <v>66</v>
      </c>
      <c r="S124" t="s">
        <v>4195</v>
      </c>
      <c r="U124" t="s">
        <v>60</v>
      </c>
      <c r="X124" t="s">
        <v>1486</v>
      </c>
      <c r="Y124" t="s">
        <v>2623</v>
      </c>
      <c r="Z124" t="s">
        <v>139</v>
      </c>
      <c r="AA124" t="s">
        <v>453</v>
      </c>
      <c r="AF124" t="s">
        <v>3981</v>
      </c>
      <c r="AG124">
        <v>184.6712349151322</v>
      </c>
      <c r="AH124">
        <v>1526.385110628044</v>
      </c>
    </row>
    <row r="125" spans="1:34" hidden="1" x14ac:dyDescent="0.25">
      <c r="A125">
        <v>124</v>
      </c>
      <c r="B125" t="s">
        <v>4196</v>
      </c>
      <c r="C125" t="s">
        <v>376</v>
      </c>
      <c r="D125" t="s">
        <v>3968</v>
      </c>
      <c r="E125" t="s">
        <v>37</v>
      </c>
      <c r="G125">
        <v>0</v>
      </c>
      <c r="H125" t="s">
        <v>72</v>
      </c>
      <c r="I125" t="s">
        <v>1024</v>
      </c>
      <c r="J125" t="s">
        <v>1025</v>
      </c>
      <c r="K125" t="s">
        <v>3969</v>
      </c>
      <c r="L125" t="s">
        <v>3970</v>
      </c>
      <c r="M125" t="s">
        <v>57</v>
      </c>
      <c r="N125" t="s">
        <v>99</v>
      </c>
      <c r="O125" t="s">
        <v>100</v>
      </c>
      <c r="P125">
        <v>1.504933192260339E-2</v>
      </c>
      <c r="Q125" t="s">
        <v>60</v>
      </c>
      <c r="R125" t="s">
        <v>66</v>
      </c>
      <c r="S125" t="s">
        <v>4195</v>
      </c>
      <c r="U125" t="s">
        <v>60</v>
      </c>
      <c r="X125" t="s">
        <v>1486</v>
      </c>
      <c r="Y125" t="s">
        <v>2623</v>
      </c>
      <c r="Z125" t="s">
        <v>139</v>
      </c>
      <c r="AA125" t="s">
        <v>453</v>
      </c>
      <c r="AF125" t="s">
        <v>3981</v>
      </c>
      <c r="AG125">
        <v>40.575707792346627</v>
      </c>
      <c r="AH125">
        <v>60.902729154489862</v>
      </c>
    </row>
    <row r="126" spans="1:34" hidden="1" x14ac:dyDescent="0.25">
      <c r="A126">
        <v>125</v>
      </c>
      <c r="B126" t="s">
        <v>4197</v>
      </c>
      <c r="C126" t="s">
        <v>376</v>
      </c>
      <c r="D126" t="s">
        <v>3968</v>
      </c>
      <c r="E126" t="s">
        <v>37</v>
      </c>
      <c r="G126">
        <v>0</v>
      </c>
      <c r="H126" t="s">
        <v>72</v>
      </c>
      <c r="I126" t="s">
        <v>1024</v>
      </c>
      <c r="J126" t="s">
        <v>1025</v>
      </c>
      <c r="K126" t="s">
        <v>3969</v>
      </c>
      <c r="L126" t="s">
        <v>3970</v>
      </c>
      <c r="M126" t="s">
        <v>57</v>
      </c>
      <c r="N126" t="s">
        <v>99</v>
      </c>
      <c r="O126" t="s">
        <v>100</v>
      </c>
      <c r="P126">
        <v>6.333594079173774E-3</v>
      </c>
      <c r="Q126" t="s">
        <v>60</v>
      </c>
      <c r="R126" t="s">
        <v>66</v>
      </c>
      <c r="S126" t="s">
        <v>4195</v>
      </c>
      <c r="U126" t="s">
        <v>60</v>
      </c>
      <c r="X126" t="s">
        <v>1486</v>
      </c>
      <c r="Y126" t="s">
        <v>2623</v>
      </c>
      <c r="Z126" t="s">
        <v>139</v>
      </c>
      <c r="AA126" t="s">
        <v>453</v>
      </c>
      <c r="AF126" t="s">
        <v>3981</v>
      </c>
      <c r="AG126">
        <v>21.318816947339119</v>
      </c>
      <c r="AH126">
        <v>25.631248401070081</v>
      </c>
    </row>
    <row r="127" spans="1:34" hidden="1" x14ac:dyDescent="0.25">
      <c r="A127">
        <v>126</v>
      </c>
      <c r="B127" t="s">
        <v>4198</v>
      </c>
      <c r="C127" t="s">
        <v>376</v>
      </c>
      <c r="D127" t="s">
        <v>3968</v>
      </c>
      <c r="E127" t="s">
        <v>37</v>
      </c>
      <c r="G127">
        <v>0</v>
      </c>
      <c r="H127" t="s">
        <v>72</v>
      </c>
      <c r="I127" t="s">
        <v>1024</v>
      </c>
      <c r="J127" t="s">
        <v>1025</v>
      </c>
      <c r="K127" t="s">
        <v>3969</v>
      </c>
      <c r="L127" t="s">
        <v>3970</v>
      </c>
      <c r="M127" t="s">
        <v>57</v>
      </c>
      <c r="N127" t="s">
        <v>99</v>
      </c>
      <c r="O127" t="s">
        <v>100</v>
      </c>
      <c r="P127">
        <v>1.1984834017730289E-2</v>
      </c>
      <c r="Q127" t="s">
        <v>60</v>
      </c>
      <c r="R127" t="s">
        <v>66</v>
      </c>
      <c r="S127" t="s">
        <v>4195</v>
      </c>
      <c r="U127" t="s">
        <v>60</v>
      </c>
      <c r="X127" t="s">
        <v>1486</v>
      </c>
      <c r="Y127" t="s">
        <v>2623</v>
      </c>
      <c r="Z127" t="s">
        <v>139</v>
      </c>
      <c r="AA127" t="s">
        <v>453</v>
      </c>
      <c r="AF127" t="s">
        <v>3981</v>
      </c>
      <c r="AG127">
        <v>37.602558570005947</v>
      </c>
      <c r="AH127">
        <v>48.501096520241873</v>
      </c>
    </row>
    <row r="128" spans="1:34" hidden="1" x14ac:dyDescent="0.25">
      <c r="A128">
        <v>127</v>
      </c>
      <c r="B128" t="s">
        <v>4199</v>
      </c>
      <c r="C128" t="s">
        <v>376</v>
      </c>
      <c r="D128" t="s">
        <v>3968</v>
      </c>
      <c r="E128" t="s">
        <v>37</v>
      </c>
      <c r="G128">
        <v>0</v>
      </c>
      <c r="H128" t="s">
        <v>72</v>
      </c>
      <c r="I128" t="s">
        <v>1024</v>
      </c>
      <c r="J128" t="s">
        <v>1025</v>
      </c>
      <c r="K128" t="s">
        <v>3969</v>
      </c>
      <c r="L128" t="s">
        <v>3970</v>
      </c>
      <c r="M128" t="s">
        <v>57</v>
      </c>
      <c r="N128" t="s">
        <v>99</v>
      </c>
      <c r="O128" t="s">
        <v>100</v>
      </c>
      <c r="P128">
        <v>1.4358356961702481E-2</v>
      </c>
      <c r="Q128" t="s">
        <v>60</v>
      </c>
      <c r="R128" t="s">
        <v>66</v>
      </c>
      <c r="S128" t="s">
        <v>4195</v>
      </c>
      <c r="U128" t="s">
        <v>60</v>
      </c>
      <c r="X128" t="s">
        <v>1486</v>
      </c>
      <c r="Y128" t="s">
        <v>2623</v>
      </c>
      <c r="Z128" t="s">
        <v>139</v>
      </c>
      <c r="AA128" t="s">
        <v>453</v>
      </c>
      <c r="AF128" t="s">
        <v>3981</v>
      </c>
      <c r="AG128">
        <v>37.192144092327553</v>
      </c>
      <c r="AH128">
        <v>58.106441511111029</v>
      </c>
    </row>
    <row r="129" spans="1:34" hidden="1" x14ac:dyDescent="0.25">
      <c r="A129">
        <v>128</v>
      </c>
      <c r="B129" t="s">
        <v>4200</v>
      </c>
      <c r="C129" t="s">
        <v>376</v>
      </c>
      <c r="D129" t="s">
        <v>3968</v>
      </c>
      <c r="E129" t="s">
        <v>37</v>
      </c>
      <c r="G129">
        <v>0</v>
      </c>
      <c r="H129" t="s">
        <v>72</v>
      </c>
      <c r="I129" t="s">
        <v>1024</v>
      </c>
      <c r="J129" t="s">
        <v>1025</v>
      </c>
      <c r="K129" t="s">
        <v>3969</v>
      </c>
      <c r="L129" t="s">
        <v>3970</v>
      </c>
      <c r="M129" t="s">
        <v>57</v>
      </c>
      <c r="N129" t="s">
        <v>99</v>
      </c>
      <c r="O129" t="s">
        <v>100</v>
      </c>
      <c r="P129">
        <v>4.0764316430379408E-3</v>
      </c>
      <c r="Q129" t="s">
        <v>60</v>
      </c>
      <c r="R129" t="s">
        <v>66</v>
      </c>
      <c r="S129" t="s">
        <v>4195</v>
      </c>
      <c r="U129" t="s">
        <v>60</v>
      </c>
      <c r="X129" t="s">
        <v>1486</v>
      </c>
      <c r="Y129" t="s">
        <v>2623</v>
      </c>
      <c r="Z129" t="s">
        <v>139</v>
      </c>
      <c r="AA129" t="s">
        <v>453</v>
      </c>
      <c r="AF129" t="s">
        <v>3981</v>
      </c>
      <c r="AG129">
        <v>16.463214587421721</v>
      </c>
      <c r="AH129">
        <v>16.496799562234941</v>
      </c>
    </row>
    <row r="130" spans="1:34" hidden="1" x14ac:dyDescent="0.25">
      <c r="A130">
        <v>129</v>
      </c>
      <c r="B130" t="s">
        <v>4201</v>
      </c>
      <c r="C130" t="s">
        <v>376</v>
      </c>
      <c r="D130" t="s">
        <v>3968</v>
      </c>
      <c r="E130" t="s">
        <v>37</v>
      </c>
      <c r="G130">
        <v>0</v>
      </c>
      <c r="H130" t="s">
        <v>72</v>
      </c>
      <c r="I130" t="s">
        <v>1024</v>
      </c>
      <c r="J130" t="s">
        <v>1025</v>
      </c>
      <c r="K130" t="s">
        <v>3969</v>
      </c>
      <c r="L130" t="s">
        <v>3970</v>
      </c>
      <c r="M130" t="s">
        <v>57</v>
      </c>
      <c r="N130" t="s">
        <v>99</v>
      </c>
      <c r="O130" t="s">
        <v>100</v>
      </c>
      <c r="P130">
        <v>8.0331586813906317E-3</v>
      </c>
      <c r="Q130" t="s">
        <v>60</v>
      </c>
      <c r="R130" t="s">
        <v>66</v>
      </c>
      <c r="S130" t="s">
        <v>4195</v>
      </c>
      <c r="U130" t="s">
        <v>60</v>
      </c>
      <c r="X130" t="s">
        <v>1486</v>
      </c>
      <c r="Y130" t="s">
        <v>2623</v>
      </c>
      <c r="Z130" t="s">
        <v>139</v>
      </c>
      <c r="AA130" t="s">
        <v>453</v>
      </c>
      <c r="AF130" t="s">
        <v>3981</v>
      </c>
      <c r="AG130">
        <v>36.140082578459072</v>
      </c>
      <c r="AH130">
        <v>32.509169838493307</v>
      </c>
    </row>
    <row r="131" spans="1:34" x14ac:dyDescent="0.25">
      <c r="A131">
        <v>130</v>
      </c>
      <c r="B131" t="s">
        <v>4202</v>
      </c>
      <c r="C131" t="s">
        <v>376</v>
      </c>
      <c r="D131" t="s">
        <v>3968</v>
      </c>
      <c r="E131" t="s">
        <v>37</v>
      </c>
      <c r="G131">
        <v>0</v>
      </c>
      <c r="H131" t="s">
        <v>72</v>
      </c>
      <c r="I131" t="s">
        <v>1024</v>
      </c>
      <c r="J131" t="s">
        <v>1025</v>
      </c>
      <c r="K131" t="s">
        <v>3969</v>
      </c>
      <c r="L131" t="s">
        <v>3970</v>
      </c>
      <c r="M131" t="s">
        <v>57</v>
      </c>
      <c r="N131" t="s">
        <v>62</v>
      </c>
      <c r="O131" t="s">
        <v>63</v>
      </c>
      <c r="P131">
        <v>0.21766287692032291</v>
      </c>
      <c r="Q131" t="s">
        <v>64</v>
      </c>
      <c r="R131" t="s">
        <v>65</v>
      </c>
      <c r="S131" t="s">
        <v>3980</v>
      </c>
      <c r="U131" t="s">
        <v>73</v>
      </c>
      <c r="X131" t="s">
        <v>1486</v>
      </c>
      <c r="Y131" t="s">
        <v>2623</v>
      </c>
      <c r="Z131" t="s">
        <v>124</v>
      </c>
      <c r="AA131" t="s">
        <v>453</v>
      </c>
      <c r="AF131" t="s">
        <v>3987</v>
      </c>
      <c r="AG131">
        <v>125.6380667755536</v>
      </c>
      <c r="AH131">
        <v>880.85393479528523</v>
      </c>
    </row>
    <row r="132" spans="1:34" hidden="1" x14ac:dyDescent="0.25">
      <c r="A132">
        <v>131</v>
      </c>
      <c r="B132" t="s">
        <v>4203</v>
      </c>
      <c r="C132" t="s">
        <v>376</v>
      </c>
      <c r="D132" t="s">
        <v>3968</v>
      </c>
      <c r="E132" t="s">
        <v>37</v>
      </c>
      <c r="G132">
        <v>0</v>
      </c>
      <c r="H132" t="s">
        <v>72</v>
      </c>
      <c r="I132" t="s">
        <v>1024</v>
      </c>
      <c r="J132" t="s">
        <v>1025</v>
      </c>
      <c r="K132" t="s">
        <v>3969</v>
      </c>
      <c r="L132" t="s">
        <v>3970</v>
      </c>
      <c r="M132" t="s">
        <v>57</v>
      </c>
      <c r="N132" t="s">
        <v>99</v>
      </c>
      <c r="O132" t="s">
        <v>100</v>
      </c>
      <c r="P132">
        <v>0.12147827188584739</v>
      </c>
      <c r="Q132" t="s">
        <v>60</v>
      </c>
      <c r="R132" t="s">
        <v>66</v>
      </c>
      <c r="S132" t="s">
        <v>3980</v>
      </c>
      <c r="U132" t="s">
        <v>60</v>
      </c>
      <c r="X132" t="s">
        <v>1486</v>
      </c>
      <c r="Y132" t="s">
        <v>765</v>
      </c>
      <c r="Z132" t="s">
        <v>818</v>
      </c>
      <c r="AA132" t="s">
        <v>453</v>
      </c>
      <c r="AF132" t="s">
        <v>3981</v>
      </c>
      <c r="AG132">
        <v>88.984676910876317</v>
      </c>
      <c r="AH132">
        <v>491.60709118969311</v>
      </c>
    </row>
    <row r="133" spans="1:34" hidden="1" x14ac:dyDescent="0.25">
      <c r="A133">
        <v>132</v>
      </c>
      <c r="B133" t="s">
        <v>4204</v>
      </c>
      <c r="C133" t="s">
        <v>376</v>
      </c>
      <c r="D133" t="s">
        <v>3968</v>
      </c>
      <c r="E133" t="s">
        <v>37</v>
      </c>
      <c r="G133">
        <v>0</v>
      </c>
      <c r="H133" t="s">
        <v>72</v>
      </c>
      <c r="I133" t="s">
        <v>1024</v>
      </c>
      <c r="J133" t="s">
        <v>1025</v>
      </c>
      <c r="K133" t="s">
        <v>3969</v>
      </c>
      <c r="L133" t="s">
        <v>3970</v>
      </c>
      <c r="M133" t="s">
        <v>57</v>
      </c>
      <c r="N133" t="s">
        <v>99</v>
      </c>
      <c r="O133" t="s">
        <v>100</v>
      </c>
      <c r="P133">
        <v>0.18938376621231709</v>
      </c>
      <c r="Q133" t="s">
        <v>60</v>
      </c>
      <c r="R133" t="s">
        <v>66</v>
      </c>
      <c r="S133" t="s">
        <v>3980</v>
      </c>
      <c r="U133" t="s">
        <v>60</v>
      </c>
      <c r="X133" t="s">
        <v>1486</v>
      </c>
      <c r="Y133" t="s">
        <v>765</v>
      </c>
      <c r="Z133" t="s">
        <v>818</v>
      </c>
      <c r="AA133" t="s">
        <v>453</v>
      </c>
      <c r="AF133" t="s">
        <v>3981</v>
      </c>
      <c r="AG133">
        <v>161.36494476893481</v>
      </c>
      <c r="AH133">
        <v>766.41197623945504</v>
      </c>
    </row>
    <row r="134" spans="1:34" hidden="1" x14ac:dyDescent="0.25">
      <c r="A134">
        <v>133</v>
      </c>
      <c r="B134" t="s">
        <v>4205</v>
      </c>
      <c r="C134" t="s">
        <v>376</v>
      </c>
      <c r="D134" t="s">
        <v>3968</v>
      </c>
      <c r="E134" t="s">
        <v>37</v>
      </c>
      <c r="G134">
        <v>0</v>
      </c>
      <c r="H134" t="s">
        <v>72</v>
      </c>
      <c r="I134" t="s">
        <v>1024</v>
      </c>
      <c r="J134" t="s">
        <v>1025</v>
      </c>
      <c r="K134" t="s">
        <v>3969</v>
      </c>
      <c r="L134" t="s">
        <v>3970</v>
      </c>
      <c r="M134" t="s">
        <v>57</v>
      </c>
      <c r="N134" t="s">
        <v>99</v>
      </c>
      <c r="O134" t="s">
        <v>100</v>
      </c>
      <c r="P134">
        <v>0.31565651616320928</v>
      </c>
      <c r="Q134" t="s">
        <v>60</v>
      </c>
      <c r="R134" t="s">
        <v>66</v>
      </c>
      <c r="S134" t="s">
        <v>3980</v>
      </c>
      <c r="U134" t="s">
        <v>60</v>
      </c>
      <c r="X134" t="s">
        <v>1486</v>
      </c>
      <c r="Y134" t="s">
        <v>765</v>
      </c>
      <c r="Z134" t="s">
        <v>818</v>
      </c>
      <c r="AA134" t="s">
        <v>453</v>
      </c>
      <c r="AF134" t="s">
        <v>3981</v>
      </c>
      <c r="AG134">
        <v>181.75175992472771</v>
      </c>
      <c r="AH134">
        <v>1277.421709389221</v>
      </c>
    </row>
    <row r="135" spans="1:34" hidden="1" x14ac:dyDescent="0.25">
      <c r="A135">
        <v>134</v>
      </c>
      <c r="B135" t="s">
        <v>4206</v>
      </c>
      <c r="C135" t="s">
        <v>376</v>
      </c>
      <c r="D135" t="s">
        <v>3968</v>
      </c>
      <c r="E135" t="s">
        <v>37</v>
      </c>
      <c r="G135">
        <v>3</v>
      </c>
      <c r="H135" t="s">
        <v>72</v>
      </c>
      <c r="I135" t="s">
        <v>1024</v>
      </c>
      <c r="J135" t="s">
        <v>1025</v>
      </c>
      <c r="K135" t="s">
        <v>3969</v>
      </c>
      <c r="L135" t="s">
        <v>3970</v>
      </c>
      <c r="M135" t="s">
        <v>57</v>
      </c>
      <c r="N135" t="s">
        <v>87</v>
      </c>
      <c r="O135" t="s">
        <v>88</v>
      </c>
      <c r="P135">
        <v>2.9433818429229182</v>
      </c>
      <c r="Q135" t="s">
        <v>60</v>
      </c>
      <c r="R135" t="s">
        <v>66</v>
      </c>
      <c r="S135" t="s">
        <v>4207</v>
      </c>
      <c r="U135" t="s">
        <v>618</v>
      </c>
      <c r="V135" t="s">
        <v>4208</v>
      </c>
      <c r="W135" t="s">
        <v>4007</v>
      </c>
      <c r="X135" t="s">
        <v>1486</v>
      </c>
      <c r="Y135" t="s">
        <v>2623</v>
      </c>
      <c r="Z135" t="s">
        <v>76</v>
      </c>
      <c r="AA135" t="s">
        <v>453</v>
      </c>
      <c r="AC135" t="s">
        <v>4008</v>
      </c>
      <c r="AE135" t="s">
        <v>423</v>
      </c>
      <c r="AF135" t="s">
        <v>3974</v>
      </c>
      <c r="AG135">
        <v>463.2577492217066</v>
      </c>
      <c r="AH135">
        <v>11911.491360525961</v>
      </c>
    </row>
    <row r="136" spans="1:34" hidden="1" x14ac:dyDescent="0.25">
      <c r="A136">
        <v>135</v>
      </c>
      <c r="B136" t="s">
        <v>4209</v>
      </c>
      <c r="C136" t="s">
        <v>376</v>
      </c>
      <c r="D136" t="s">
        <v>3968</v>
      </c>
      <c r="E136" t="s">
        <v>37</v>
      </c>
      <c r="G136">
        <v>0</v>
      </c>
      <c r="H136" t="s">
        <v>72</v>
      </c>
      <c r="I136" t="s">
        <v>1024</v>
      </c>
      <c r="J136" t="s">
        <v>1025</v>
      </c>
      <c r="K136" t="s">
        <v>3969</v>
      </c>
      <c r="L136" t="s">
        <v>3970</v>
      </c>
      <c r="M136" t="s">
        <v>57</v>
      </c>
      <c r="N136" t="s">
        <v>99</v>
      </c>
      <c r="O136" t="s">
        <v>100</v>
      </c>
      <c r="P136">
        <v>0.43574033750725522</v>
      </c>
      <c r="Q136" t="s">
        <v>60</v>
      </c>
      <c r="R136" t="s">
        <v>66</v>
      </c>
      <c r="S136" t="s">
        <v>4210</v>
      </c>
      <c r="U136" t="s">
        <v>60</v>
      </c>
      <c r="X136" t="s">
        <v>1031</v>
      </c>
      <c r="Y136" t="s">
        <v>765</v>
      </c>
      <c r="Z136" t="s">
        <v>60</v>
      </c>
      <c r="AA136" t="s">
        <v>453</v>
      </c>
      <c r="AF136" t="s">
        <v>3981</v>
      </c>
      <c r="AG136">
        <v>220.845402936727</v>
      </c>
      <c r="AH136">
        <v>1763.385636875473</v>
      </c>
    </row>
    <row r="137" spans="1:34" hidden="1" x14ac:dyDescent="0.25">
      <c r="A137">
        <v>136</v>
      </c>
      <c r="B137" t="s">
        <v>4211</v>
      </c>
      <c r="C137" t="s">
        <v>376</v>
      </c>
      <c r="D137" t="s">
        <v>3968</v>
      </c>
      <c r="E137" t="s">
        <v>37</v>
      </c>
      <c r="G137">
        <v>0</v>
      </c>
      <c r="H137" t="s">
        <v>72</v>
      </c>
      <c r="I137" t="s">
        <v>1024</v>
      </c>
      <c r="J137" t="s">
        <v>1025</v>
      </c>
      <c r="K137" t="s">
        <v>3969</v>
      </c>
      <c r="L137" t="s">
        <v>3970</v>
      </c>
      <c r="M137" t="s">
        <v>57</v>
      </c>
      <c r="N137" t="s">
        <v>99</v>
      </c>
      <c r="O137" t="s">
        <v>100</v>
      </c>
      <c r="P137">
        <v>0.30628087090199319</v>
      </c>
      <c r="Q137" t="s">
        <v>60</v>
      </c>
      <c r="R137" t="s">
        <v>66</v>
      </c>
      <c r="S137" t="s">
        <v>3980</v>
      </c>
      <c r="U137" t="s">
        <v>64</v>
      </c>
      <c r="X137" t="s">
        <v>1486</v>
      </c>
      <c r="Y137" t="s">
        <v>2623</v>
      </c>
      <c r="Z137" t="s">
        <v>942</v>
      </c>
      <c r="AA137" t="s">
        <v>453</v>
      </c>
      <c r="AF137" t="s">
        <v>3974</v>
      </c>
      <c r="AG137">
        <v>143.20428098999039</v>
      </c>
      <c r="AH137">
        <v>1239.4796673817079</v>
      </c>
    </row>
    <row r="138" spans="1:34" x14ac:dyDescent="0.25">
      <c r="A138">
        <v>137</v>
      </c>
      <c r="B138" t="s">
        <v>4212</v>
      </c>
      <c r="C138" t="s">
        <v>376</v>
      </c>
      <c r="D138" t="s">
        <v>3968</v>
      </c>
      <c r="E138" t="s">
        <v>37</v>
      </c>
      <c r="G138">
        <v>0</v>
      </c>
      <c r="H138" t="s">
        <v>72</v>
      </c>
      <c r="I138" t="s">
        <v>1024</v>
      </c>
      <c r="J138" t="s">
        <v>1025</v>
      </c>
      <c r="K138" t="s">
        <v>3969</v>
      </c>
      <c r="L138" t="s">
        <v>3970</v>
      </c>
      <c r="M138" t="s">
        <v>57</v>
      </c>
      <c r="N138" t="s">
        <v>62</v>
      </c>
      <c r="O138" t="s">
        <v>63</v>
      </c>
      <c r="P138">
        <v>0.2398474560573666</v>
      </c>
      <c r="Q138" t="s">
        <v>64</v>
      </c>
      <c r="R138" t="s">
        <v>65</v>
      </c>
      <c r="S138" t="s">
        <v>3980</v>
      </c>
      <c r="U138" t="s">
        <v>73</v>
      </c>
      <c r="X138" t="s">
        <v>1031</v>
      </c>
      <c r="Y138" t="s">
        <v>765</v>
      </c>
      <c r="Z138" t="s">
        <v>46</v>
      </c>
      <c r="AA138" t="s">
        <v>453</v>
      </c>
      <c r="AF138" t="s">
        <v>3987</v>
      </c>
      <c r="AG138">
        <v>131.6348012623433</v>
      </c>
      <c r="AH138">
        <v>970.63210046657525</v>
      </c>
    </row>
    <row r="139" spans="1:34" hidden="1" x14ac:dyDescent="0.25">
      <c r="A139">
        <v>138</v>
      </c>
      <c r="B139" t="s">
        <v>4213</v>
      </c>
      <c r="C139" t="s">
        <v>376</v>
      </c>
      <c r="D139" t="s">
        <v>3968</v>
      </c>
      <c r="E139" t="s">
        <v>37</v>
      </c>
      <c r="G139">
        <v>0</v>
      </c>
      <c r="H139" t="s">
        <v>72</v>
      </c>
      <c r="I139" t="s">
        <v>1024</v>
      </c>
      <c r="J139" t="s">
        <v>1025</v>
      </c>
      <c r="K139" t="s">
        <v>3969</v>
      </c>
      <c r="L139" t="s">
        <v>3970</v>
      </c>
      <c r="M139" t="s">
        <v>57</v>
      </c>
      <c r="N139" t="s">
        <v>99</v>
      </c>
      <c r="O139" t="s">
        <v>100</v>
      </c>
      <c r="P139">
        <v>1.153717036660451</v>
      </c>
      <c r="Q139" t="s">
        <v>60</v>
      </c>
      <c r="R139" t="s">
        <v>66</v>
      </c>
      <c r="S139" t="s">
        <v>3980</v>
      </c>
      <c r="U139" t="s">
        <v>60</v>
      </c>
      <c r="X139" t="s">
        <v>1031</v>
      </c>
      <c r="Y139" t="s">
        <v>765</v>
      </c>
      <c r="Z139" t="s">
        <v>60</v>
      </c>
      <c r="AA139" t="s">
        <v>453</v>
      </c>
      <c r="AF139" t="s">
        <v>3981</v>
      </c>
      <c r="AG139">
        <v>273.27218685300602</v>
      </c>
      <c r="AH139">
        <v>4668.9458752064666</v>
      </c>
    </row>
    <row r="140" spans="1:34" hidden="1" x14ac:dyDescent="0.25">
      <c r="A140">
        <v>139</v>
      </c>
      <c r="B140" t="s">
        <v>4214</v>
      </c>
      <c r="C140" t="s">
        <v>376</v>
      </c>
      <c r="D140" t="s">
        <v>3968</v>
      </c>
      <c r="E140" t="s">
        <v>37</v>
      </c>
      <c r="G140">
        <v>0</v>
      </c>
      <c r="H140" t="s">
        <v>72</v>
      </c>
      <c r="I140" t="s">
        <v>1024</v>
      </c>
      <c r="J140" t="s">
        <v>1025</v>
      </c>
      <c r="K140" t="s">
        <v>3969</v>
      </c>
      <c r="L140" t="s">
        <v>3970</v>
      </c>
      <c r="M140" t="s">
        <v>57</v>
      </c>
      <c r="N140" t="s">
        <v>99</v>
      </c>
      <c r="O140" t="s">
        <v>100</v>
      </c>
      <c r="P140">
        <v>1.153717036660451</v>
      </c>
      <c r="Q140" t="s">
        <v>60</v>
      </c>
      <c r="R140" t="s">
        <v>66</v>
      </c>
      <c r="S140" t="s">
        <v>3980</v>
      </c>
      <c r="U140" t="s">
        <v>60</v>
      </c>
      <c r="X140" t="s">
        <v>1031</v>
      </c>
      <c r="Y140" t="s">
        <v>765</v>
      </c>
      <c r="Z140" t="s">
        <v>60</v>
      </c>
      <c r="AA140" t="s">
        <v>453</v>
      </c>
      <c r="AF140" t="s">
        <v>3981</v>
      </c>
      <c r="AG140">
        <v>273.27218685300602</v>
      </c>
      <c r="AH140">
        <v>4668.9458752064666</v>
      </c>
    </row>
    <row r="141" spans="1:34" hidden="1" x14ac:dyDescent="0.25">
      <c r="A141">
        <v>140</v>
      </c>
      <c r="B141" t="s">
        <v>4215</v>
      </c>
      <c r="C141" t="s">
        <v>376</v>
      </c>
      <c r="D141" t="s">
        <v>3968</v>
      </c>
      <c r="E141" t="s">
        <v>37</v>
      </c>
      <c r="G141">
        <v>0</v>
      </c>
      <c r="H141" t="s">
        <v>72</v>
      </c>
      <c r="I141" t="s">
        <v>1024</v>
      </c>
      <c r="J141" t="s">
        <v>1025</v>
      </c>
      <c r="K141" t="s">
        <v>3969</v>
      </c>
      <c r="L141" t="s">
        <v>3970</v>
      </c>
      <c r="M141" t="s">
        <v>57</v>
      </c>
      <c r="N141" t="s">
        <v>99</v>
      </c>
      <c r="O141" t="s">
        <v>100</v>
      </c>
      <c r="P141">
        <v>0.1155212384339543</v>
      </c>
      <c r="Q141" t="s">
        <v>60</v>
      </c>
      <c r="R141" t="s">
        <v>66</v>
      </c>
      <c r="S141" t="s">
        <v>3980</v>
      </c>
      <c r="U141" t="s">
        <v>60</v>
      </c>
      <c r="X141" t="s">
        <v>1031</v>
      </c>
      <c r="Y141" t="s">
        <v>765</v>
      </c>
      <c r="Z141" t="s">
        <v>60</v>
      </c>
      <c r="AA141" t="s">
        <v>453</v>
      </c>
      <c r="AF141" t="s">
        <v>3981</v>
      </c>
      <c r="AG141">
        <v>183.32395450367781</v>
      </c>
      <c r="AH141">
        <v>467.49973567712237</v>
      </c>
    </row>
    <row r="142" spans="1:34" hidden="1" x14ac:dyDescent="0.25">
      <c r="A142">
        <v>141</v>
      </c>
      <c r="B142" t="s">
        <v>4216</v>
      </c>
      <c r="C142" t="s">
        <v>376</v>
      </c>
      <c r="D142" t="s">
        <v>3968</v>
      </c>
      <c r="E142" t="s">
        <v>37</v>
      </c>
      <c r="G142">
        <v>0</v>
      </c>
      <c r="H142" t="s">
        <v>72</v>
      </c>
      <c r="I142" t="s">
        <v>1024</v>
      </c>
      <c r="J142" t="s">
        <v>1025</v>
      </c>
      <c r="K142" t="s">
        <v>3969</v>
      </c>
      <c r="L142" t="s">
        <v>3970</v>
      </c>
      <c r="N142" t="s">
        <v>99</v>
      </c>
      <c r="O142" t="s">
        <v>100</v>
      </c>
      <c r="P142">
        <v>3.770365397309762E-2</v>
      </c>
      <c r="Q142" t="s">
        <v>60</v>
      </c>
      <c r="R142" t="s">
        <v>66</v>
      </c>
      <c r="S142" t="s">
        <v>3980</v>
      </c>
      <c r="U142" t="s">
        <v>60</v>
      </c>
      <c r="AA142" t="s">
        <v>453</v>
      </c>
      <c r="AF142" t="s">
        <v>3981</v>
      </c>
      <c r="AG142">
        <v>51.345850245052439</v>
      </c>
      <c r="AH142">
        <v>152.5818845559053</v>
      </c>
    </row>
    <row r="143" spans="1:34" hidden="1" x14ac:dyDescent="0.25">
      <c r="A143">
        <v>142</v>
      </c>
      <c r="B143" t="s">
        <v>4217</v>
      </c>
      <c r="C143" t="s">
        <v>376</v>
      </c>
      <c r="D143" t="s">
        <v>3968</v>
      </c>
      <c r="E143" t="s">
        <v>37</v>
      </c>
      <c r="G143">
        <v>9.6999999999999993</v>
      </c>
      <c r="H143" t="s">
        <v>72</v>
      </c>
      <c r="I143" t="s">
        <v>1024</v>
      </c>
      <c r="J143" t="s">
        <v>1025</v>
      </c>
      <c r="K143" t="s">
        <v>3969</v>
      </c>
      <c r="L143" t="s">
        <v>3970</v>
      </c>
      <c r="N143" t="s">
        <v>79</v>
      </c>
      <c r="O143" t="s">
        <v>80</v>
      </c>
      <c r="P143">
        <v>10.906796422881721</v>
      </c>
      <c r="Q143" t="s">
        <v>46</v>
      </c>
      <c r="R143" t="s">
        <v>47</v>
      </c>
      <c r="S143" t="s">
        <v>2621</v>
      </c>
      <c r="U143" t="s">
        <v>118</v>
      </c>
      <c r="W143" t="s">
        <v>4218</v>
      </c>
      <c r="X143" t="s">
        <v>1486</v>
      </c>
      <c r="Y143" t="s">
        <v>2630</v>
      </c>
      <c r="Z143" t="s">
        <v>86</v>
      </c>
      <c r="AA143" t="s">
        <v>453</v>
      </c>
      <c r="AB143" t="s">
        <v>4219</v>
      </c>
      <c r="AC143" t="s">
        <v>4023</v>
      </c>
      <c r="AE143" t="s">
        <v>4015</v>
      </c>
      <c r="AF143" t="s">
        <v>3974</v>
      </c>
      <c r="AG143">
        <v>1099.094925011902</v>
      </c>
      <c r="AH143">
        <v>44138.415705234504</v>
      </c>
    </row>
    <row r="144" spans="1:34" hidden="1" x14ac:dyDescent="0.25">
      <c r="A144">
        <v>143</v>
      </c>
      <c r="B144" t="s">
        <v>4217</v>
      </c>
      <c r="C144" t="s">
        <v>376</v>
      </c>
      <c r="D144" t="s">
        <v>3968</v>
      </c>
      <c r="E144" t="s">
        <v>37</v>
      </c>
      <c r="G144">
        <v>3.86</v>
      </c>
      <c r="H144" t="s">
        <v>72</v>
      </c>
      <c r="I144" t="s">
        <v>1024</v>
      </c>
      <c r="J144" t="s">
        <v>1025</v>
      </c>
      <c r="K144" t="s">
        <v>3969</v>
      </c>
      <c r="L144" t="s">
        <v>3970</v>
      </c>
      <c r="N144" t="s">
        <v>402</v>
      </c>
      <c r="O144" t="s">
        <v>403</v>
      </c>
      <c r="P144">
        <v>3.7584225715780768</v>
      </c>
      <c r="R144" t="s">
        <v>38</v>
      </c>
      <c r="S144" t="s">
        <v>2621</v>
      </c>
      <c r="U144" t="s">
        <v>119</v>
      </c>
      <c r="W144" t="s">
        <v>4220</v>
      </c>
      <c r="X144" t="s">
        <v>1486</v>
      </c>
      <c r="Y144" t="s">
        <v>2623</v>
      </c>
      <c r="Z144" t="s">
        <v>712</v>
      </c>
      <c r="AA144" t="s">
        <v>453</v>
      </c>
      <c r="AB144" t="s">
        <v>4137</v>
      </c>
      <c r="AC144" t="s">
        <v>4023</v>
      </c>
      <c r="AE144" t="s">
        <v>4131</v>
      </c>
      <c r="AF144" t="s">
        <v>3981</v>
      </c>
      <c r="AG144">
        <v>512.01808557069819</v>
      </c>
      <c r="AH144">
        <v>15209.857361252471</v>
      </c>
    </row>
    <row r="145" spans="1:34" x14ac:dyDescent="0.25">
      <c r="A145">
        <v>144</v>
      </c>
      <c r="B145" t="s">
        <v>3968</v>
      </c>
      <c r="C145" t="s">
        <v>376</v>
      </c>
      <c r="D145" t="s">
        <v>3968</v>
      </c>
      <c r="E145" t="s">
        <v>37</v>
      </c>
      <c r="G145">
        <v>0.3</v>
      </c>
      <c r="H145" t="s">
        <v>72</v>
      </c>
      <c r="I145" t="s">
        <v>1024</v>
      </c>
      <c r="J145" t="s">
        <v>1025</v>
      </c>
      <c r="K145" t="s">
        <v>3969</v>
      </c>
      <c r="L145" t="s">
        <v>3970</v>
      </c>
      <c r="N145" t="s">
        <v>62</v>
      </c>
      <c r="O145" t="s">
        <v>63</v>
      </c>
      <c r="P145">
        <v>0.53579226782619882</v>
      </c>
      <c r="Q145" t="s">
        <v>64</v>
      </c>
      <c r="R145" t="s">
        <v>65</v>
      </c>
      <c r="U145" t="s">
        <v>118</v>
      </c>
      <c r="X145" t="s">
        <v>1486</v>
      </c>
      <c r="Y145" t="s">
        <v>2630</v>
      </c>
      <c r="Z145" t="s">
        <v>50</v>
      </c>
      <c r="AA145" t="s">
        <v>453</v>
      </c>
      <c r="AF145" t="s">
        <v>3974</v>
      </c>
      <c r="AG145">
        <v>266.20673242442081</v>
      </c>
      <c r="AH145">
        <v>2168.283053248254</v>
      </c>
    </row>
    <row r="146" spans="1:34" hidden="1" x14ac:dyDescent="0.25">
      <c r="A146">
        <v>145</v>
      </c>
      <c r="B146" t="s">
        <v>3968</v>
      </c>
      <c r="C146" t="s">
        <v>376</v>
      </c>
      <c r="D146" t="s">
        <v>3968</v>
      </c>
      <c r="E146" t="s">
        <v>37</v>
      </c>
      <c r="G146">
        <v>0.5</v>
      </c>
      <c r="H146" t="s">
        <v>72</v>
      </c>
      <c r="I146" t="s">
        <v>1024</v>
      </c>
      <c r="J146" t="s">
        <v>1025</v>
      </c>
      <c r="K146" t="s">
        <v>3969</v>
      </c>
      <c r="L146" t="s">
        <v>3970</v>
      </c>
      <c r="N146" t="s">
        <v>79</v>
      </c>
      <c r="O146" t="s">
        <v>80</v>
      </c>
      <c r="P146">
        <v>0.60855661617292145</v>
      </c>
      <c r="Q146" t="s">
        <v>46</v>
      </c>
      <c r="R146" t="s">
        <v>47</v>
      </c>
      <c r="U146" t="s">
        <v>118</v>
      </c>
      <c r="W146" t="s">
        <v>4082</v>
      </c>
      <c r="X146" t="s">
        <v>1486</v>
      </c>
      <c r="Y146" t="s">
        <v>2630</v>
      </c>
      <c r="Z146" t="s">
        <v>54</v>
      </c>
      <c r="AA146" t="s">
        <v>453</v>
      </c>
      <c r="AC146" t="s">
        <v>4023</v>
      </c>
      <c r="AE146" t="s">
        <v>4075</v>
      </c>
      <c r="AF146" t="s">
        <v>3974</v>
      </c>
      <c r="AG146">
        <v>218.30483210146241</v>
      </c>
      <c r="AH146">
        <v>2462.751101547954</v>
      </c>
    </row>
    <row r="147" spans="1:34" hidden="1" x14ac:dyDescent="0.25">
      <c r="A147">
        <v>146</v>
      </c>
      <c r="B147" t="s">
        <v>3968</v>
      </c>
      <c r="C147" t="s">
        <v>376</v>
      </c>
      <c r="D147" t="s">
        <v>3968</v>
      </c>
      <c r="E147" t="s">
        <v>37</v>
      </c>
      <c r="G147">
        <v>1.67</v>
      </c>
      <c r="H147" t="s">
        <v>72</v>
      </c>
      <c r="I147" t="s">
        <v>1024</v>
      </c>
      <c r="J147" t="s">
        <v>1025</v>
      </c>
      <c r="K147" t="s">
        <v>3969</v>
      </c>
      <c r="L147" t="s">
        <v>3970</v>
      </c>
      <c r="O147" t="s">
        <v>116</v>
      </c>
      <c r="P147">
        <v>1.676698776824016</v>
      </c>
      <c r="R147" t="s">
        <v>38</v>
      </c>
      <c r="S147" t="s">
        <v>4221</v>
      </c>
      <c r="U147" t="s">
        <v>76</v>
      </c>
      <c r="W147" t="s">
        <v>4222</v>
      </c>
      <c r="X147" t="s">
        <v>1486</v>
      </c>
      <c r="Y147" t="s">
        <v>2630</v>
      </c>
      <c r="Z147" t="s">
        <v>125</v>
      </c>
      <c r="AA147" t="s">
        <v>453</v>
      </c>
      <c r="AC147" t="s">
        <v>4223</v>
      </c>
      <c r="AE147" t="s">
        <v>4116</v>
      </c>
      <c r="AF147" t="s">
        <v>3981</v>
      </c>
      <c r="AG147">
        <v>618.6158099988404</v>
      </c>
      <c r="AH147">
        <v>6785.3863549387697</v>
      </c>
    </row>
    <row r="148" spans="1:34" hidden="1" x14ac:dyDescent="0.25">
      <c r="A148">
        <v>147</v>
      </c>
      <c r="B148" t="s">
        <v>3968</v>
      </c>
      <c r="C148" t="s">
        <v>376</v>
      </c>
      <c r="D148" t="s">
        <v>3968</v>
      </c>
      <c r="E148" t="s">
        <v>37</v>
      </c>
      <c r="G148">
        <v>1.24</v>
      </c>
      <c r="H148" t="s">
        <v>72</v>
      </c>
      <c r="I148" t="s">
        <v>1024</v>
      </c>
      <c r="J148" t="s">
        <v>1025</v>
      </c>
      <c r="K148" t="s">
        <v>3969</v>
      </c>
      <c r="L148" t="s">
        <v>3970</v>
      </c>
      <c r="O148" t="s">
        <v>116</v>
      </c>
      <c r="P148">
        <v>1.240430863169516</v>
      </c>
      <c r="R148" t="s">
        <v>38</v>
      </c>
      <c r="S148" t="s">
        <v>4224</v>
      </c>
      <c r="U148" t="s">
        <v>76</v>
      </c>
      <c r="W148" t="s">
        <v>4225</v>
      </c>
      <c r="X148" t="s">
        <v>1486</v>
      </c>
      <c r="Y148" t="s">
        <v>2623</v>
      </c>
      <c r="Z148" t="s">
        <v>125</v>
      </c>
      <c r="AA148" t="s">
        <v>453</v>
      </c>
      <c r="AC148" t="s">
        <v>4223</v>
      </c>
      <c r="AE148" t="s">
        <v>4116</v>
      </c>
      <c r="AF148" t="s">
        <v>3981</v>
      </c>
      <c r="AG148">
        <v>336.35776816762888</v>
      </c>
      <c r="AH148">
        <v>5019.8656846033891</v>
      </c>
    </row>
    <row r="149" spans="1:34" hidden="1" x14ac:dyDescent="0.25">
      <c r="A149">
        <v>148</v>
      </c>
      <c r="B149" t="s">
        <v>3968</v>
      </c>
      <c r="C149" t="s">
        <v>376</v>
      </c>
      <c r="D149" t="s">
        <v>3968</v>
      </c>
      <c r="E149" t="s">
        <v>37</v>
      </c>
      <c r="G149">
        <v>1.31</v>
      </c>
      <c r="H149" t="s">
        <v>72</v>
      </c>
      <c r="I149" t="s">
        <v>1024</v>
      </c>
      <c r="J149" t="s">
        <v>1025</v>
      </c>
      <c r="K149" t="s">
        <v>3969</v>
      </c>
      <c r="L149" t="s">
        <v>3970</v>
      </c>
      <c r="O149" t="s">
        <v>116</v>
      </c>
      <c r="P149">
        <v>1.3129961143518021</v>
      </c>
      <c r="R149" t="s">
        <v>38</v>
      </c>
      <c r="S149" t="s">
        <v>4226</v>
      </c>
      <c r="U149" t="s">
        <v>76</v>
      </c>
      <c r="V149" t="s">
        <v>4227</v>
      </c>
      <c r="W149" t="s">
        <v>4228</v>
      </c>
      <c r="X149" t="s">
        <v>1486</v>
      </c>
      <c r="Y149" t="s">
        <v>2623</v>
      </c>
      <c r="Z149" t="s">
        <v>618</v>
      </c>
      <c r="AA149" t="s">
        <v>453</v>
      </c>
      <c r="AC149" t="s">
        <v>4223</v>
      </c>
      <c r="AE149" t="s">
        <v>4116</v>
      </c>
      <c r="AF149" t="s">
        <v>3981</v>
      </c>
      <c r="AG149">
        <v>367.54560301281037</v>
      </c>
      <c r="AH149">
        <v>5313.5280120416282</v>
      </c>
    </row>
    <row r="150" spans="1:34" hidden="1" x14ac:dyDescent="0.25">
      <c r="A150">
        <v>149</v>
      </c>
      <c r="B150" t="s">
        <v>3968</v>
      </c>
      <c r="C150" t="s">
        <v>376</v>
      </c>
      <c r="D150" t="s">
        <v>3968</v>
      </c>
      <c r="E150" t="s">
        <v>37</v>
      </c>
      <c r="G150">
        <v>0.19</v>
      </c>
      <c r="H150" t="s">
        <v>72</v>
      </c>
      <c r="I150" t="s">
        <v>1024</v>
      </c>
      <c r="J150" t="s">
        <v>1025</v>
      </c>
      <c r="K150" t="s">
        <v>3969</v>
      </c>
      <c r="L150" t="s">
        <v>3970</v>
      </c>
      <c r="O150" t="s">
        <v>116</v>
      </c>
      <c r="P150">
        <v>0.20049940693425239</v>
      </c>
      <c r="R150" t="s">
        <v>38</v>
      </c>
      <c r="S150" t="s">
        <v>4229</v>
      </c>
      <c r="U150" t="s">
        <v>76</v>
      </c>
      <c r="W150" t="s">
        <v>4230</v>
      </c>
      <c r="X150" t="s">
        <v>1486</v>
      </c>
      <c r="Y150" t="s">
        <v>2623</v>
      </c>
      <c r="Z150" t="s">
        <v>125</v>
      </c>
      <c r="AA150" t="s">
        <v>453</v>
      </c>
      <c r="AC150" t="s">
        <v>4223</v>
      </c>
      <c r="AE150" t="s">
        <v>4116</v>
      </c>
      <c r="AF150" t="s">
        <v>3981</v>
      </c>
      <c r="AG150">
        <v>117.40263689713071</v>
      </c>
      <c r="AH150">
        <v>811.39555821825786</v>
      </c>
    </row>
    <row r="151" spans="1:34" x14ac:dyDescent="0.25">
      <c r="A151">
        <v>150</v>
      </c>
      <c r="B151" t="s">
        <v>3968</v>
      </c>
      <c r="C151" t="s">
        <v>376</v>
      </c>
      <c r="D151" t="s">
        <v>3968</v>
      </c>
      <c r="E151" t="s">
        <v>37</v>
      </c>
      <c r="G151">
        <v>2.6</v>
      </c>
      <c r="H151" t="s">
        <v>72</v>
      </c>
      <c r="I151" t="s">
        <v>1024</v>
      </c>
      <c r="J151" t="s">
        <v>1025</v>
      </c>
      <c r="K151" t="s">
        <v>3969</v>
      </c>
      <c r="L151" t="s">
        <v>3970</v>
      </c>
      <c r="N151" t="s">
        <v>62</v>
      </c>
      <c r="O151" t="s">
        <v>63</v>
      </c>
      <c r="P151">
        <v>2.4735811074000331</v>
      </c>
      <c r="Q151" t="s">
        <v>64</v>
      </c>
      <c r="R151" t="s">
        <v>65</v>
      </c>
      <c r="U151" t="s">
        <v>46</v>
      </c>
      <c r="W151" t="s">
        <v>4231</v>
      </c>
      <c r="X151" t="s">
        <v>1031</v>
      </c>
      <c r="Y151" t="s">
        <v>765</v>
      </c>
      <c r="Z151" t="s">
        <v>46</v>
      </c>
      <c r="AA151" t="s">
        <v>453</v>
      </c>
      <c r="AC151" t="s">
        <v>93</v>
      </c>
      <c r="AE151" t="s">
        <v>4232</v>
      </c>
      <c r="AF151" t="s">
        <v>3987</v>
      </c>
      <c r="AG151">
        <v>505.57558860503661</v>
      </c>
      <c r="AH151">
        <v>10010.26763183961</v>
      </c>
    </row>
    <row r="152" spans="1:34" x14ac:dyDescent="0.25">
      <c r="A152">
        <v>151</v>
      </c>
      <c r="B152" t="s">
        <v>3968</v>
      </c>
      <c r="C152" t="s">
        <v>376</v>
      </c>
      <c r="D152" t="s">
        <v>3968</v>
      </c>
      <c r="E152" t="s">
        <v>37</v>
      </c>
      <c r="G152">
        <v>0.7</v>
      </c>
      <c r="H152" t="s">
        <v>72</v>
      </c>
      <c r="I152" t="s">
        <v>1024</v>
      </c>
      <c r="J152" t="s">
        <v>1025</v>
      </c>
      <c r="K152" t="s">
        <v>3969</v>
      </c>
      <c r="L152" t="s">
        <v>3970</v>
      </c>
      <c r="N152" t="s">
        <v>62</v>
      </c>
      <c r="O152" t="s">
        <v>63</v>
      </c>
      <c r="P152">
        <v>0.6635905523904494</v>
      </c>
      <c r="Q152" t="s">
        <v>64</v>
      </c>
      <c r="R152" t="s">
        <v>65</v>
      </c>
      <c r="U152" t="s">
        <v>64</v>
      </c>
      <c r="W152" t="s">
        <v>4231</v>
      </c>
      <c r="X152" t="s">
        <v>1031</v>
      </c>
      <c r="Y152" t="s">
        <v>765</v>
      </c>
      <c r="Z152" t="s">
        <v>60</v>
      </c>
      <c r="AA152" t="s">
        <v>453</v>
      </c>
      <c r="AC152" t="s">
        <v>93</v>
      </c>
      <c r="AE152" t="s">
        <v>4232</v>
      </c>
      <c r="AF152" t="s">
        <v>3987</v>
      </c>
      <c r="AG152">
        <v>460.51640570322928</v>
      </c>
      <c r="AH152">
        <v>2685.4664306402342</v>
      </c>
    </row>
    <row r="153" spans="1:34" x14ac:dyDescent="0.25">
      <c r="A153">
        <v>152</v>
      </c>
      <c r="B153" t="s">
        <v>3968</v>
      </c>
      <c r="C153" t="s">
        <v>376</v>
      </c>
      <c r="D153" t="s">
        <v>3968</v>
      </c>
      <c r="E153" t="s">
        <v>37</v>
      </c>
      <c r="G153">
        <v>5.0999999999999996</v>
      </c>
      <c r="H153" t="s">
        <v>72</v>
      </c>
      <c r="I153" t="s">
        <v>1024</v>
      </c>
      <c r="J153" t="s">
        <v>1025</v>
      </c>
      <c r="K153" t="s">
        <v>3969</v>
      </c>
      <c r="L153" t="s">
        <v>3970</v>
      </c>
      <c r="N153" t="s">
        <v>62</v>
      </c>
      <c r="O153" t="s">
        <v>63</v>
      </c>
      <c r="P153">
        <v>4.9761206765064951</v>
      </c>
      <c r="Q153" t="s">
        <v>64</v>
      </c>
      <c r="R153" t="s">
        <v>65</v>
      </c>
      <c r="U153" t="s">
        <v>46</v>
      </c>
      <c r="W153" t="s">
        <v>4177</v>
      </c>
      <c r="X153" t="s">
        <v>1031</v>
      </c>
      <c r="Y153" t="s">
        <v>765</v>
      </c>
      <c r="Z153" t="s">
        <v>119</v>
      </c>
      <c r="AA153" t="s">
        <v>453</v>
      </c>
      <c r="AC153" t="s">
        <v>93</v>
      </c>
      <c r="AE153" t="s">
        <v>4178</v>
      </c>
      <c r="AF153" t="s">
        <v>3987</v>
      </c>
      <c r="AG153">
        <v>710.7770481727955</v>
      </c>
      <c r="AH153">
        <v>20137.726469183071</v>
      </c>
    </row>
    <row r="154" spans="1:34" x14ac:dyDescent="0.25">
      <c r="A154">
        <v>153</v>
      </c>
      <c r="B154" t="s">
        <v>3968</v>
      </c>
      <c r="C154" t="s">
        <v>376</v>
      </c>
      <c r="D154" t="s">
        <v>3968</v>
      </c>
      <c r="E154" t="s">
        <v>37</v>
      </c>
      <c r="G154">
        <v>7.5</v>
      </c>
      <c r="H154" t="s">
        <v>72</v>
      </c>
      <c r="I154" t="s">
        <v>1024</v>
      </c>
      <c r="J154" t="s">
        <v>1025</v>
      </c>
      <c r="K154" t="s">
        <v>3969</v>
      </c>
      <c r="L154" t="s">
        <v>3970</v>
      </c>
      <c r="N154" t="s">
        <v>62</v>
      </c>
      <c r="O154" t="s">
        <v>63</v>
      </c>
      <c r="P154">
        <v>7.0393371464929837</v>
      </c>
      <c r="Q154" t="s">
        <v>64</v>
      </c>
      <c r="R154" t="s">
        <v>65</v>
      </c>
      <c r="U154" t="s">
        <v>46</v>
      </c>
      <c r="W154" t="s">
        <v>4233</v>
      </c>
      <c r="X154" t="s">
        <v>1031</v>
      </c>
      <c r="Y154" t="s">
        <v>765</v>
      </c>
      <c r="Z154" t="s">
        <v>119</v>
      </c>
      <c r="AA154" t="s">
        <v>453</v>
      </c>
      <c r="AC154" t="s">
        <v>93</v>
      </c>
      <c r="AE154" t="s">
        <v>4178</v>
      </c>
      <c r="AF154" t="s">
        <v>3987</v>
      </c>
      <c r="AG154">
        <v>948.03554651071113</v>
      </c>
      <c r="AH154">
        <v>28487.30068981283</v>
      </c>
    </row>
    <row r="155" spans="1:34" x14ac:dyDescent="0.25">
      <c r="A155">
        <v>154</v>
      </c>
      <c r="B155" t="s">
        <v>3968</v>
      </c>
      <c r="C155" t="s">
        <v>376</v>
      </c>
      <c r="D155" t="s">
        <v>3968</v>
      </c>
      <c r="E155" t="s">
        <v>37</v>
      </c>
      <c r="G155">
        <v>0.04</v>
      </c>
      <c r="H155" t="s">
        <v>72</v>
      </c>
      <c r="I155" t="s">
        <v>1024</v>
      </c>
      <c r="J155" t="s">
        <v>1025</v>
      </c>
      <c r="K155" t="s">
        <v>3969</v>
      </c>
      <c r="L155" t="s">
        <v>3970</v>
      </c>
      <c r="N155" t="s">
        <v>62</v>
      </c>
      <c r="O155" t="s">
        <v>63</v>
      </c>
      <c r="P155">
        <v>4.9940343488108063E-3</v>
      </c>
      <c r="Q155" t="s">
        <v>64</v>
      </c>
      <c r="R155" t="s">
        <v>65</v>
      </c>
      <c r="S155" t="s">
        <v>4234</v>
      </c>
      <c r="U155" t="s">
        <v>60</v>
      </c>
      <c r="W155" t="s">
        <v>4235</v>
      </c>
      <c r="X155" t="s">
        <v>4236</v>
      </c>
      <c r="Y155" t="s">
        <v>765</v>
      </c>
      <c r="Z155" t="s">
        <v>60</v>
      </c>
      <c r="AA155" t="s">
        <v>4237</v>
      </c>
      <c r="AB155" t="s">
        <v>4238</v>
      </c>
      <c r="AC155" t="s">
        <v>1327</v>
      </c>
      <c r="AE155" t="s">
        <v>1328</v>
      </c>
      <c r="AF155" t="s">
        <v>3974</v>
      </c>
      <c r="AG155">
        <v>22.13743041232966</v>
      </c>
      <c r="AH155">
        <v>20.210220818973649</v>
      </c>
    </row>
    <row r="156" spans="1:34" hidden="1" x14ac:dyDescent="0.25">
      <c r="A156">
        <v>155</v>
      </c>
      <c r="B156" t="s">
        <v>3968</v>
      </c>
      <c r="C156" t="s">
        <v>376</v>
      </c>
      <c r="D156" t="s">
        <v>3968</v>
      </c>
      <c r="E156" t="s">
        <v>37</v>
      </c>
      <c r="G156">
        <v>0.26</v>
      </c>
      <c r="H156" t="s">
        <v>72</v>
      </c>
      <c r="I156" t="s">
        <v>1024</v>
      </c>
      <c r="J156" t="s">
        <v>1025</v>
      </c>
      <c r="K156" t="s">
        <v>3969</v>
      </c>
      <c r="L156" t="s">
        <v>3970</v>
      </c>
      <c r="N156" t="s">
        <v>99</v>
      </c>
      <c r="O156" t="s">
        <v>100</v>
      </c>
      <c r="P156">
        <v>0.23609755398796789</v>
      </c>
      <c r="Q156" t="s">
        <v>60</v>
      </c>
      <c r="R156" t="s">
        <v>66</v>
      </c>
      <c r="S156" t="s">
        <v>4239</v>
      </c>
      <c r="U156" t="s">
        <v>60</v>
      </c>
      <c r="W156" t="s">
        <v>4235</v>
      </c>
      <c r="X156" t="s">
        <v>4236</v>
      </c>
      <c r="Y156" t="s">
        <v>765</v>
      </c>
      <c r="Z156" t="s">
        <v>60</v>
      </c>
      <c r="AA156" t="s">
        <v>4237</v>
      </c>
      <c r="AB156" t="s">
        <v>4238</v>
      </c>
      <c r="AC156" t="s">
        <v>1327</v>
      </c>
      <c r="AE156" t="s">
        <v>1328</v>
      </c>
      <c r="AF156" t="s">
        <v>3974</v>
      </c>
      <c r="AG156">
        <v>139.30908242894321</v>
      </c>
      <c r="AH156">
        <v>955.45672449221456</v>
      </c>
    </row>
    <row r="157" spans="1:34" hidden="1" x14ac:dyDescent="0.25">
      <c r="A157">
        <v>156</v>
      </c>
      <c r="B157" t="s">
        <v>3968</v>
      </c>
      <c r="C157" t="s">
        <v>376</v>
      </c>
      <c r="D157" t="s">
        <v>3968</v>
      </c>
      <c r="E157" t="s">
        <v>37</v>
      </c>
      <c r="G157">
        <v>0.19</v>
      </c>
      <c r="H157" t="s">
        <v>72</v>
      </c>
      <c r="I157" t="s">
        <v>1024</v>
      </c>
      <c r="J157" t="s">
        <v>1025</v>
      </c>
      <c r="K157" t="s">
        <v>3969</v>
      </c>
      <c r="L157" t="s">
        <v>3970</v>
      </c>
      <c r="N157" t="s">
        <v>99</v>
      </c>
      <c r="O157" t="s">
        <v>100</v>
      </c>
      <c r="P157">
        <v>0.1106900042589153</v>
      </c>
      <c r="Q157" t="s">
        <v>60</v>
      </c>
      <c r="R157" t="s">
        <v>66</v>
      </c>
      <c r="S157" t="s">
        <v>4240</v>
      </c>
      <c r="U157" t="s">
        <v>60</v>
      </c>
      <c r="W157" t="s">
        <v>4235</v>
      </c>
      <c r="X157" t="s">
        <v>4236</v>
      </c>
      <c r="Y157" t="s">
        <v>765</v>
      </c>
      <c r="Z157" t="s">
        <v>60</v>
      </c>
      <c r="AA157" t="s">
        <v>4237</v>
      </c>
      <c r="AB157" t="s">
        <v>4238</v>
      </c>
      <c r="AC157" t="s">
        <v>1327</v>
      </c>
      <c r="AE157" t="s">
        <v>1328</v>
      </c>
      <c r="AF157" t="s">
        <v>3974</v>
      </c>
      <c r="AG157">
        <v>99.730308452463888</v>
      </c>
      <c r="AH157">
        <v>447.94834642226863</v>
      </c>
    </row>
    <row r="158" spans="1:34" hidden="1" x14ac:dyDescent="0.25">
      <c r="A158">
        <v>157</v>
      </c>
      <c r="C158" t="s">
        <v>376</v>
      </c>
      <c r="D158" t="s">
        <v>3968</v>
      </c>
      <c r="E158" t="s">
        <v>37</v>
      </c>
      <c r="H158" t="s">
        <v>72</v>
      </c>
      <c r="I158" t="s">
        <v>1024</v>
      </c>
      <c r="J158" t="s">
        <v>1025</v>
      </c>
      <c r="K158" t="s">
        <v>3969</v>
      </c>
      <c r="L158" t="s">
        <v>3970</v>
      </c>
      <c r="N158" t="s">
        <v>408</v>
      </c>
      <c r="O158" t="s">
        <v>409</v>
      </c>
      <c r="P158">
        <v>0.5103854289255837</v>
      </c>
      <c r="Q158" t="s">
        <v>60</v>
      </c>
      <c r="R158" t="s">
        <v>66</v>
      </c>
      <c r="S158" t="s">
        <v>4241</v>
      </c>
      <c r="U158" t="s">
        <v>50</v>
      </c>
      <c r="AF158" t="s">
        <v>3974</v>
      </c>
      <c r="AG158">
        <v>318.32599096129269</v>
      </c>
      <c r="AH158">
        <v>2065.4648127978662</v>
      </c>
    </row>
    <row r="159" spans="1:34" hidden="1" x14ac:dyDescent="0.25">
      <c r="A159">
        <v>158</v>
      </c>
      <c r="C159" t="s">
        <v>376</v>
      </c>
      <c r="D159" t="s">
        <v>3968</v>
      </c>
      <c r="E159" t="s">
        <v>37</v>
      </c>
      <c r="H159" t="s">
        <v>72</v>
      </c>
      <c r="I159" t="s">
        <v>1024</v>
      </c>
      <c r="J159" t="s">
        <v>1025</v>
      </c>
      <c r="K159" t="s">
        <v>3969</v>
      </c>
      <c r="L159" t="s">
        <v>3970</v>
      </c>
      <c r="N159" t="s">
        <v>408</v>
      </c>
      <c r="O159" t="s">
        <v>409</v>
      </c>
      <c r="P159">
        <v>0.17081114037640011</v>
      </c>
      <c r="Q159" t="s">
        <v>60</v>
      </c>
      <c r="R159" t="s">
        <v>66</v>
      </c>
      <c r="U159" t="s">
        <v>50</v>
      </c>
      <c r="AF159" t="s">
        <v>3974</v>
      </c>
      <c r="AG159">
        <v>103.2042410926671</v>
      </c>
      <c r="AH159">
        <v>691.25092545063933</v>
      </c>
    </row>
    <row r="160" spans="1:34" hidden="1" x14ac:dyDescent="0.25">
      <c r="A160">
        <v>159</v>
      </c>
      <c r="C160" t="s">
        <v>376</v>
      </c>
      <c r="D160" t="s">
        <v>3968</v>
      </c>
      <c r="E160" t="s">
        <v>37</v>
      </c>
      <c r="H160" t="s">
        <v>72</v>
      </c>
      <c r="I160" t="s">
        <v>1024</v>
      </c>
      <c r="J160" t="s">
        <v>1025</v>
      </c>
      <c r="K160" t="s">
        <v>3969</v>
      </c>
      <c r="L160" t="s">
        <v>3970</v>
      </c>
      <c r="N160" t="s">
        <v>408</v>
      </c>
      <c r="O160" t="s">
        <v>409</v>
      </c>
      <c r="P160">
        <v>0.1052839880394951</v>
      </c>
      <c r="Q160" t="s">
        <v>60</v>
      </c>
      <c r="R160" t="s">
        <v>66</v>
      </c>
      <c r="U160" t="s">
        <v>50</v>
      </c>
      <c r="AF160" t="s">
        <v>3974</v>
      </c>
      <c r="AG160">
        <v>116.0107880594139</v>
      </c>
      <c r="AH160">
        <v>426.07088745536089</v>
      </c>
    </row>
    <row r="161" spans="1:34" hidden="1" x14ac:dyDescent="0.25">
      <c r="A161">
        <v>160</v>
      </c>
      <c r="B161" t="s">
        <v>4198</v>
      </c>
      <c r="C161" t="s">
        <v>376</v>
      </c>
      <c r="D161" t="s">
        <v>3968</v>
      </c>
      <c r="E161" t="s">
        <v>37</v>
      </c>
      <c r="G161">
        <v>0</v>
      </c>
      <c r="H161" t="s">
        <v>72</v>
      </c>
      <c r="I161" t="s">
        <v>1024</v>
      </c>
      <c r="J161" t="s">
        <v>1025</v>
      </c>
      <c r="K161" t="s">
        <v>3969</v>
      </c>
      <c r="L161" t="s">
        <v>3970</v>
      </c>
      <c r="M161" t="s">
        <v>57</v>
      </c>
      <c r="N161" t="s">
        <v>99</v>
      </c>
      <c r="O161" t="s">
        <v>100</v>
      </c>
      <c r="P161">
        <v>1.1984834017730289E-2</v>
      </c>
      <c r="Q161" t="s">
        <v>60</v>
      </c>
      <c r="R161" t="s">
        <v>66</v>
      </c>
      <c r="S161" t="s">
        <v>4195</v>
      </c>
      <c r="U161" t="s">
        <v>60</v>
      </c>
      <c r="X161" t="s">
        <v>1486</v>
      </c>
      <c r="Y161" t="s">
        <v>2623</v>
      </c>
      <c r="Z161" t="s">
        <v>139</v>
      </c>
      <c r="AA161" t="s">
        <v>453</v>
      </c>
      <c r="AF161" t="s">
        <v>3981</v>
      </c>
      <c r="AG161">
        <v>37.602558570005947</v>
      </c>
      <c r="AH161">
        <v>48.501096520241873</v>
      </c>
    </row>
    <row r="162" spans="1:34" x14ac:dyDescent="0.25">
      <c r="A162">
        <v>161</v>
      </c>
      <c r="B162" t="s">
        <v>3968</v>
      </c>
      <c r="C162" t="s">
        <v>376</v>
      </c>
      <c r="D162" t="s">
        <v>3968</v>
      </c>
      <c r="E162" t="s">
        <v>37</v>
      </c>
      <c r="G162">
        <v>1</v>
      </c>
      <c r="H162" t="s">
        <v>72</v>
      </c>
      <c r="I162" t="s">
        <v>1024</v>
      </c>
      <c r="J162" t="s">
        <v>1025</v>
      </c>
      <c r="K162" t="s">
        <v>3969</v>
      </c>
      <c r="L162" t="s">
        <v>3970</v>
      </c>
      <c r="N162" t="s">
        <v>62</v>
      </c>
      <c r="O162" t="s">
        <v>63</v>
      </c>
      <c r="P162">
        <v>0.53290247667246415</v>
      </c>
      <c r="Q162" t="s">
        <v>64</v>
      </c>
      <c r="R162" t="s">
        <v>65</v>
      </c>
      <c r="U162" t="s">
        <v>118</v>
      </c>
      <c r="X162" t="s">
        <v>1486</v>
      </c>
      <c r="Y162" t="s">
        <v>2630</v>
      </c>
      <c r="Z162" t="s">
        <v>50</v>
      </c>
      <c r="AA162" t="s">
        <v>453</v>
      </c>
      <c r="AF162" t="s">
        <v>3974</v>
      </c>
      <c r="AG162">
        <v>243.50492477070179</v>
      </c>
      <c r="AH162">
        <v>2156.588436579947</v>
      </c>
    </row>
    <row r="163" spans="1:34" x14ac:dyDescent="0.25">
      <c r="A163">
        <v>162</v>
      </c>
      <c r="B163" t="s">
        <v>3968</v>
      </c>
      <c r="C163" t="s">
        <v>376</v>
      </c>
      <c r="D163" t="s">
        <v>3968</v>
      </c>
      <c r="E163" t="s">
        <v>37</v>
      </c>
      <c r="G163">
        <v>1</v>
      </c>
      <c r="H163" t="s">
        <v>72</v>
      </c>
      <c r="I163" t="s">
        <v>1024</v>
      </c>
      <c r="J163" t="s">
        <v>1025</v>
      </c>
      <c r="K163" t="s">
        <v>3969</v>
      </c>
      <c r="L163" t="s">
        <v>3970</v>
      </c>
      <c r="N163" t="s">
        <v>62</v>
      </c>
      <c r="O163" t="s">
        <v>63</v>
      </c>
      <c r="P163">
        <v>0.45122519542249362</v>
      </c>
      <c r="Q163" t="s">
        <v>64</v>
      </c>
      <c r="R163" t="s">
        <v>65</v>
      </c>
      <c r="U163" t="s">
        <v>118</v>
      </c>
      <c r="AF163" t="s">
        <v>3974</v>
      </c>
      <c r="AG163">
        <v>202.8062426212426</v>
      </c>
      <c r="AH163">
        <v>1205.5182918220389</v>
      </c>
    </row>
    <row r="164" spans="1:34" x14ac:dyDescent="0.25">
      <c r="A164">
        <v>163</v>
      </c>
      <c r="B164" t="s">
        <v>3968</v>
      </c>
      <c r="C164" t="s">
        <v>376</v>
      </c>
      <c r="D164" t="s">
        <v>3968</v>
      </c>
      <c r="E164" t="s">
        <v>37</v>
      </c>
      <c r="G164">
        <v>1</v>
      </c>
      <c r="H164" t="s">
        <v>72</v>
      </c>
      <c r="I164" t="s">
        <v>1024</v>
      </c>
      <c r="J164" t="s">
        <v>1025</v>
      </c>
      <c r="K164" t="s">
        <v>3969</v>
      </c>
      <c r="L164" t="s">
        <v>3970</v>
      </c>
      <c r="N164" t="s">
        <v>62</v>
      </c>
      <c r="O164" t="s">
        <v>63</v>
      </c>
      <c r="P164">
        <v>0.58208653818492295</v>
      </c>
      <c r="Q164" t="s">
        <v>64</v>
      </c>
      <c r="R164" t="s">
        <v>65</v>
      </c>
      <c r="S164" t="s">
        <v>2621</v>
      </c>
      <c r="U164" t="s">
        <v>118</v>
      </c>
      <c r="X164" t="s">
        <v>1486</v>
      </c>
      <c r="Y164" t="s">
        <v>2630</v>
      </c>
      <c r="Z164" t="s">
        <v>50</v>
      </c>
      <c r="AA164" t="s">
        <v>453</v>
      </c>
      <c r="AF164" t="s">
        <v>3974</v>
      </c>
      <c r="AG164">
        <v>288.93754879172599</v>
      </c>
      <c r="AH164">
        <v>2355.6300679570868</v>
      </c>
    </row>
    <row r="165" spans="1:34" x14ac:dyDescent="0.25">
      <c r="A165">
        <v>164</v>
      </c>
      <c r="B165" t="s">
        <v>3968</v>
      </c>
      <c r="C165" t="s">
        <v>376</v>
      </c>
      <c r="D165" t="s">
        <v>3968</v>
      </c>
      <c r="E165" t="s">
        <v>37</v>
      </c>
      <c r="G165">
        <v>1</v>
      </c>
      <c r="H165" t="s">
        <v>72</v>
      </c>
      <c r="I165" t="s">
        <v>1024</v>
      </c>
      <c r="J165" t="s">
        <v>1025</v>
      </c>
      <c r="K165" t="s">
        <v>3969</v>
      </c>
      <c r="L165" t="s">
        <v>3970</v>
      </c>
      <c r="N165" t="s">
        <v>62</v>
      </c>
      <c r="O165" t="s">
        <v>63</v>
      </c>
      <c r="P165">
        <v>0.18799691796338069</v>
      </c>
      <c r="Q165" t="s">
        <v>64</v>
      </c>
      <c r="R165" t="s">
        <v>65</v>
      </c>
      <c r="S165" t="s">
        <v>2621</v>
      </c>
      <c r="U165" t="s">
        <v>118</v>
      </c>
      <c r="X165" t="s">
        <v>1486</v>
      </c>
      <c r="Y165" t="s">
        <v>2630</v>
      </c>
      <c r="Z165" t="s">
        <v>50</v>
      </c>
      <c r="AA165" t="s">
        <v>453</v>
      </c>
      <c r="AF165" t="s">
        <v>3974</v>
      </c>
      <c r="AG165">
        <v>111.1868161378038</v>
      </c>
      <c r="AH165">
        <v>760.79957804678202</v>
      </c>
    </row>
    <row r="166" spans="1:34" hidden="1" x14ac:dyDescent="0.25">
      <c r="A166">
        <v>165</v>
      </c>
      <c r="B166" t="s">
        <v>4242</v>
      </c>
      <c r="C166" t="s">
        <v>376</v>
      </c>
      <c r="D166" t="s">
        <v>3968</v>
      </c>
      <c r="E166" t="s">
        <v>37</v>
      </c>
      <c r="G166">
        <v>3.1</v>
      </c>
      <c r="H166" t="s">
        <v>72</v>
      </c>
      <c r="I166" t="s">
        <v>1024</v>
      </c>
      <c r="J166" t="s">
        <v>1025</v>
      </c>
      <c r="K166" t="s">
        <v>3969</v>
      </c>
      <c r="L166" t="s">
        <v>3970</v>
      </c>
      <c r="M166" t="s">
        <v>57</v>
      </c>
      <c r="N166" t="s">
        <v>402</v>
      </c>
      <c r="O166" t="s">
        <v>403</v>
      </c>
      <c r="P166">
        <v>3.0236458247410458</v>
      </c>
      <c r="R166" t="s">
        <v>38</v>
      </c>
      <c r="S166" t="s">
        <v>4010</v>
      </c>
      <c r="U166" t="s">
        <v>118</v>
      </c>
      <c r="W166" t="s">
        <v>4017</v>
      </c>
      <c r="X166" t="s">
        <v>1486</v>
      </c>
      <c r="Y166" t="s">
        <v>2630</v>
      </c>
      <c r="Z166" t="s">
        <v>86</v>
      </c>
      <c r="AA166" t="s">
        <v>453</v>
      </c>
      <c r="AC166" t="s">
        <v>4014</v>
      </c>
      <c r="AE166" t="s">
        <v>4015</v>
      </c>
      <c r="AF166" t="s">
        <v>3974</v>
      </c>
      <c r="AG166">
        <v>895.91711615933207</v>
      </c>
      <c r="AH166">
        <v>12236.30947010518</v>
      </c>
    </row>
    <row r="167" spans="1:34" hidden="1" x14ac:dyDescent="0.25">
      <c r="A167">
        <v>166</v>
      </c>
      <c r="B167" t="s">
        <v>4242</v>
      </c>
      <c r="C167" t="s">
        <v>376</v>
      </c>
      <c r="D167" t="s">
        <v>3968</v>
      </c>
      <c r="E167" t="s">
        <v>37</v>
      </c>
      <c r="G167">
        <v>0.5</v>
      </c>
      <c r="H167" t="s">
        <v>72</v>
      </c>
      <c r="I167" t="s">
        <v>1024</v>
      </c>
      <c r="J167" t="s">
        <v>1025</v>
      </c>
      <c r="K167" t="s">
        <v>3969</v>
      </c>
      <c r="L167" t="s">
        <v>3970</v>
      </c>
      <c r="M167" t="s">
        <v>57</v>
      </c>
      <c r="N167" t="s">
        <v>402</v>
      </c>
      <c r="O167" t="s">
        <v>403</v>
      </c>
      <c r="P167">
        <v>0.33367140113251792</v>
      </c>
      <c r="R167" t="s">
        <v>38</v>
      </c>
      <c r="S167" t="s">
        <v>4243</v>
      </c>
      <c r="U167" t="s">
        <v>118</v>
      </c>
      <c r="W167" t="s">
        <v>4244</v>
      </c>
      <c r="X167" t="s">
        <v>1486</v>
      </c>
      <c r="Y167" t="s">
        <v>2630</v>
      </c>
      <c r="Z167" t="s">
        <v>86</v>
      </c>
      <c r="AA167" t="s">
        <v>453</v>
      </c>
      <c r="AB167" t="s">
        <v>4245</v>
      </c>
      <c r="AF167" t="s">
        <v>3974</v>
      </c>
      <c r="AG167">
        <v>178.47098486748271</v>
      </c>
      <c r="AH167">
        <v>1350.3256539415511</v>
      </c>
    </row>
    <row r="168" spans="1:34" hidden="1" x14ac:dyDescent="0.25">
      <c r="A168">
        <v>167</v>
      </c>
      <c r="B168" t="s">
        <v>3968</v>
      </c>
      <c r="C168" t="s">
        <v>376</v>
      </c>
      <c r="D168" t="s">
        <v>3968</v>
      </c>
      <c r="E168" t="s">
        <v>37</v>
      </c>
      <c r="G168">
        <v>1</v>
      </c>
      <c r="H168" t="s">
        <v>72</v>
      </c>
      <c r="I168" t="s">
        <v>1024</v>
      </c>
      <c r="J168" t="s">
        <v>1025</v>
      </c>
      <c r="K168" t="s">
        <v>3969</v>
      </c>
      <c r="L168" t="s">
        <v>3970</v>
      </c>
      <c r="N168" t="s">
        <v>79</v>
      </c>
      <c r="O168" t="s">
        <v>80</v>
      </c>
      <c r="P168">
        <v>0.25826663543792833</v>
      </c>
      <c r="Q168" t="s">
        <v>46</v>
      </c>
      <c r="R168" t="s">
        <v>47</v>
      </c>
      <c r="S168" t="s">
        <v>2621</v>
      </c>
      <c r="U168" t="s">
        <v>118</v>
      </c>
      <c r="X168" t="s">
        <v>1486</v>
      </c>
      <c r="Y168" t="s">
        <v>2630</v>
      </c>
      <c r="Z168" t="s">
        <v>50</v>
      </c>
      <c r="AA168" t="s">
        <v>453</v>
      </c>
      <c r="AF168" t="s">
        <v>3974</v>
      </c>
      <c r="AG168">
        <v>134.69419839048891</v>
      </c>
      <c r="AH168">
        <v>1045.1721729981309</v>
      </c>
    </row>
    <row r="169" spans="1:34" x14ac:dyDescent="0.25">
      <c r="A169">
        <v>168</v>
      </c>
      <c r="B169" t="s">
        <v>4246</v>
      </c>
      <c r="C169" t="s">
        <v>376</v>
      </c>
      <c r="D169" t="s">
        <v>3968</v>
      </c>
      <c r="E169" t="s">
        <v>37</v>
      </c>
      <c r="G169">
        <v>0.3</v>
      </c>
      <c r="H169" t="s">
        <v>72</v>
      </c>
      <c r="I169" t="s">
        <v>1024</v>
      </c>
      <c r="J169" t="s">
        <v>1025</v>
      </c>
      <c r="K169" t="s">
        <v>3969</v>
      </c>
      <c r="L169" t="s">
        <v>3970</v>
      </c>
      <c r="M169" t="s">
        <v>57</v>
      </c>
      <c r="N169" t="s">
        <v>62</v>
      </c>
      <c r="O169" t="s">
        <v>63</v>
      </c>
      <c r="P169">
        <v>0.215568191060764</v>
      </c>
      <c r="Q169" t="s">
        <v>64</v>
      </c>
      <c r="R169" t="s">
        <v>65</v>
      </c>
      <c r="S169" t="s">
        <v>57</v>
      </c>
      <c r="U169" t="s">
        <v>118</v>
      </c>
      <c r="W169" t="s">
        <v>4051</v>
      </c>
      <c r="X169" t="s">
        <v>1486</v>
      </c>
      <c r="Y169" t="s">
        <v>2630</v>
      </c>
      <c r="Z169" t="s">
        <v>61</v>
      </c>
      <c r="AA169" t="s">
        <v>453</v>
      </c>
      <c r="AC169" t="s">
        <v>4023</v>
      </c>
      <c r="AE169" t="s">
        <v>4052</v>
      </c>
      <c r="AF169" t="s">
        <v>3974</v>
      </c>
      <c r="AG169">
        <v>139.9214079393106</v>
      </c>
      <c r="AH169">
        <v>872.37700796394552</v>
      </c>
    </row>
    <row r="170" spans="1:34" x14ac:dyDescent="0.25">
      <c r="A170">
        <v>169</v>
      </c>
      <c r="B170" t="s">
        <v>4246</v>
      </c>
      <c r="C170" t="s">
        <v>376</v>
      </c>
      <c r="D170" t="s">
        <v>3968</v>
      </c>
      <c r="E170" t="s">
        <v>37</v>
      </c>
      <c r="G170">
        <v>0.3</v>
      </c>
      <c r="H170" t="s">
        <v>72</v>
      </c>
      <c r="I170" t="s">
        <v>1024</v>
      </c>
      <c r="J170" t="s">
        <v>1025</v>
      </c>
      <c r="K170" t="s">
        <v>3969</v>
      </c>
      <c r="L170" t="s">
        <v>3970</v>
      </c>
      <c r="M170" t="s">
        <v>57</v>
      </c>
      <c r="N170" t="s">
        <v>62</v>
      </c>
      <c r="O170" t="s">
        <v>63</v>
      </c>
      <c r="P170">
        <v>9.1184392362488306E-2</v>
      </c>
      <c r="Q170" t="s">
        <v>64</v>
      </c>
      <c r="R170" t="s">
        <v>65</v>
      </c>
      <c r="S170" t="s">
        <v>57</v>
      </c>
      <c r="U170" t="s">
        <v>118</v>
      </c>
      <c r="W170" t="s">
        <v>4051</v>
      </c>
      <c r="X170" t="s">
        <v>1486</v>
      </c>
      <c r="Y170" t="s">
        <v>2630</v>
      </c>
      <c r="Z170" t="s">
        <v>61</v>
      </c>
      <c r="AA170" t="s">
        <v>453</v>
      </c>
      <c r="AC170" t="s">
        <v>4023</v>
      </c>
      <c r="AE170" t="s">
        <v>4052</v>
      </c>
      <c r="AF170" t="s">
        <v>3974</v>
      </c>
      <c r="AG170">
        <v>91.861153852226451</v>
      </c>
      <c r="AH170">
        <v>369.01161989978078</v>
      </c>
    </row>
    <row r="171" spans="1:34" x14ac:dyDescent="0.25">
      <c r="A171">
        <v>170</v>
      </c>
      <c r="B171" t="s">
        <v>4006</v>
      </c>
      <c r="C171" t="s">
        <v>376</v>
      </c>
      <c r="D171" t="s">
        <v>3968</v>
      </c>
      <c r="E171" t="s">
        <v>37</v>
      </c>
      <c r="G171">
        <v>5.7</v>
      </c>
      <c r="H171" t="s">
        <v>72</v>
      </c>
      <c r="I171" t="s">
        <v>1024</v>
      </c>
      <c r="J171" t="s">
        <v>1025</v>
      </c>
      <c r="K171" t="s">
        <v>3969</v>
      </c>
      <c r="L171" t="s">
        <v>3970</v>
      </c>
      <c r="M171" t="s">
        <v>57</v>
      </c>
      <c r="N171" t="s">
        <v>62</v>
      </c>
      <c r="O171" t="s">
        <v>63</v>
      </c>
      <c r="P171">
        <v>3.0493345506664329</v>
      </c>
      <c r="Q171" t="s">
        <v>64</v>
      </c>
      <c r="R171" t="s">
        <v>65</v>
      </c>
      <c r="S171" t="s">
        <v>57</v>
      </c>
      <c r="U171" t="s">
        <v>618</v>
      </c>
      <c r="W171" t="s">
        <v>4007</v>
      </c>
      <c r="X171" t="s">
        <v>1486</v>
      </c>
      <c r="Y171" t="s">
        <v>2623</v>
      </c>
      <c r="Z171" t="s">
        <v>76</v>
      </c>
      <c r="AA171" t="s">
        <v>453</v>
      </c>
      <c r="AC171" t="s">
        <v>4008</v>
      </c>
      <c r="AE171" t="s">
        <v>423</v>
      </c>
      <c r="AF171" t="s">
        <v>3974</v>
      </c>
      <c r="AG171">
        <v>438.89637018123437</v>
      </c>
      <c r="AH171">
        <v>12340.2684714352</v>
      </c>
    </row>
    <row r="172" spans="1:34" hidden="1" x14ac:dyDescent="0.25">
      <c r="A172">
        <v>172</v>
      </c>
      <c r="B172" t="s">
        <v>4216</v>
      </c>
      <c r="C172" t="s">
        <v>376</v>
      </c>
      <c r="D172" t="s">
        <v>3968</v>
      </c>
      <c r="E172" t="s">
        <v>37</v>
      </c>
      <c r="G172">
        <v>0</v>
      </c>
      <c r="H172" t="s">
        <v>72</v>
      </c>
      <c r="I172" t="s">
        <v>1024</v>
      </c>
      <c r="J172" t="s">
        <v>1025</v>
      </c>
      <c r="K172" t="s">
        <v>3969</v>
      </c>
      <c r="L172" t="s">
        <v>3970</v>
      </c>
      <c r="N172" t="s">
        <v>99</v>
      </c>
      <c r="O172" t="s">
        <v>100</v>
      </c>
      <c r="P172">
        <v>1.4332060905984311E-2</v>
      </c>
      <c r="Q172" t="s">
        <v>60</v>
      </c>
      <c r="R172" t="s">
        <v>66</v>
      </c>
      <c r="S172" t="s">
        <v>3980</v>
      </c>
      <c r="U172" t="s">
        <v>60</v>
      </c>
      <c r="AF172" t="s">
        <v>3981</v>
      </c>
      <c r="AG172">
        <v>30.55722325389074</v>
      </c>
      <c r="AH172">
        <v>58.000024723477438</v>
      </c>
    </row>
    <row r="173" spans="1:34" hidden="1" x14ac:dyDescent="0.25">
      <c r="A173">
        <v>175</v>
      </c>
      <c r="B173" t="s">
        <v>4152</v>
      </c>
      <c r="C173" t="s">
        <v>376</v>
      </c>
      <c r="D173" t="s">
        <v>3968</v>
      </c>
      <c r="E173" t="s">
        <v>37</v>
      </c>
      <c r="G173">
        <v>8.6</v>
      </c>
      <c r="H173" t="s">
        <v>72</v>
      </c>
      <c r="I173" t="s">
        <v>1024</v>
      </c>
      <c r="J173" t="s">
        <v>1025</v>
      </c>
      <c r="K173" t="s">
        <v>3969</v>
      </c>
      <c r="L173" t="s">
        <v>3970</v>
      </c>
      <c r="N173" t="s">
        <v>99</v>
      </c>
      <c r="O173" t="s">
        <v>100</v>
      </c>
      <c r="P173">
        <v>8.7661022233427719</v>
      </c>
      <c r="Q173" t="s">
        <v>60</v>
      </c>
      <c r="R173" t="s">
        <v>66</v>
      </c>
      <c r="S173" t="s">
        <v>57</v>
      </c>
      <c r="U173" t="s">
        <v>73</v>
      </c>
      <c r="W173" t="s">
        <v>4153</v>
      </c>
      <c r="AC173" t="s">
        <v>3018</v>
      </c>
      <c r="AE173" t="s">
        <v>4154</v>
      </c>
      <c r="AF173" t="s">
        <v>3987</v>
      </c>
      <c r="AG173">
        <v>343.07297117237619</v>
      </c>
      <c r="AH173">
        <v>3928.1706227493778</v>
      </c>
    </row>
    <row r="174" spans="1:34" hidden="1" x14ac:dyDescent="0.25">
      <c r="A174">
        <v>177</v>
      </c>
      <c r="B174" t="s">
        <v>4083</v>
      </c>
      <c r="C174" t="s">
        <v>376</v>
      </c>
      <c r="D174" t="s">
        <v>3968</v>
      </c>
      <c r="E174" t="s">
        <v>37</v>
      </c>
      <c r="G174">
        <v>6.5</v>
      </c>
      <c r="H174" t="s">
        <v>72</v>
      </c>
      <c r="I174" t="s">
        <v>1024</v>
      </c>
      <c r="J174" t="s">
        <v>1025</v>
      </c>
      <c r="K174" t="s">
        <v>3969</v>
      </c>
      <c r="L174" t="s">
        <v>3970</v>
      </c>
      <c r="N174" t="s">
        <v>79</v>
      </c>
      <c r="O174" t="s">
        <v>80</v>
      </c>
      <c r="P174">
        <v>5.7927811909854858</v>
      </c>
      <c r="Q174" t="s">
        <v>46</v>
      </c>
      <c r="R174" t="s">
        <v>47</v>
      </c>
      <c r="S174" t="s">
        <v>57</v>
      </c>
      <c r="U174" t="s">
        <v>61</v>
      </c>
      <c r="W174" t="s">
        <v>4074</v>
      </c>
      <c r="AC174" t="s">
        <v>4023</v>
      </c>
      <c r="AE174" t="s">
        <v>4075</v>
      </c>
      <c r="AF174" t="s">
        <v>3974</v>
      </c>
      <c r="AG174">
        <v>379.63712419571982</v>
      </c>
      <c r="AH174">
        <v>6472.124817818818</v>
      </c>
    </row>
    <row r="175" spans="1:34" x14ac:dyDescent="0.25">
      <c r="A175">
        <v>179</v>
      </c>
      <c r="B175" t="s">
        <v>4040</v>
      </c>
      <c r="C175" t="s">
        <v>376</v>
      </c>
      <c r="D175" t="s">
        <v>3968</v>
      </c>
      <c r="E175" t="s">
        <v>37</v>
      </c>
      <c r="G175">
        <v>5</v>
      </c>
      <c r="H175" t="s">
        <v>72</v>
      </c>
      <c r="I175" t="s">
        <v>1024</v>
      </c>
      <c r="J175" t="s">
        <v>1025</v>
      </c>
      <c r="K175" t="s">
        <v>3969</v>
      </c>
      <c r="L175" t="s">
        <v>3970</v>
      </c>
      <c r="N175" t="s">
        <v>62</v>
      </c>
      <c r="O175" t="s">
        <v>63</v>
      </c>
      <c r="P175">
        <v>5.3074515020949216</v>
      </c>
      <c r="Q175" t="s">
        <v>64</v>
      </c>
      <c r="R175" t="s">
        <v>65</v>
      </c>
      <c r="S175" t="s">
        <v>57</v>
      </c>
      <c r="U175" t="s">
        <v>118</v>
      </c>
      <c r="W175" t="s">
        <v>4041</v>
      </c>
      <c r="AC175" t="s">
        <v>4023</v>
      </c>
      <c r="AE175" t="s">
        <v>484</v>
      </c>
      <c r="AF175" t="s">
        <v>3974</v>
      </c>
      <c r="AG175">
        <v>394.64438522630508</v>
      </c>
      <c r="AH175">
        <v>8643.8046412191597</v>
      </c>
    </row>
    <row r="176" spans="1:34" hidden="1" x14ac:dyDescent="0.25">
      <c r="A176">
        <v>181</v>
      </c>
      <c r="B176" t="s">
        <v>3968</v>
      </c>
      <c r="C176" t="s">
        <v>376</v>
      </c>
      <c r="D176" t="s">
        <v>3968</v>
      </c>
      <c r="E176" t="s">
        <v>37</v>
      </c>
      <c r="G176">
        <v>1</v>
      </c>
      <c r="H176" t="s">
        <v>72</v>
      </c>
      <c r="I176" t="s">
        <v>1024</v>
      </c>
      <c r="J176" t="s">
        <v>1025</v>
      </c>
      <c r="K176" t="s">
        <v>3969</v>
      </c>
      <c r="L176" t="s">
        <v>3970</v>
      </c>
      <c r="N176" t="s">
        <v>79</v>
      </c>
      <c r="O176" t="s">
        <v>80</v>
      </c>
      <c r="P176">
        <v>0.45122519542249362</v>
      </c>
      <c r="Q176" t="s">
        <v>46</v>
      </c>
      <c r="R176" t="s">
        <v>47</v>
      </c>
      <c r="U176" t="s">
        <v>118</v>
      </c>
      <c r="AF176" t="s">
        <v>3974</v>
      </c>
      <c r="AG176">
        <v>131.19040707736781</v>
      </c>
      <c r="AH176">
        <v>620.53239715474137</v>
      </c>
    </row>
    <row r="177" spans="1:34" hidden="1" x14ac:dyDescent="0.25">
      <c r="A177">
        <v>182</v>
      </c>
      <c r="B177" t="s">
        <v>4000</v>
      </c>
      <c r="C177" t="s">
        <v>376</v>
      </c>
      <c r="D177" t="s">
        <v>3968</v>
      </c>
      <c r="E177" t="s">
        <v>37</v>
      </c>
      <c r="G177">
        <v>2.6</v>
      </c>
      <c r="H177" t="s">
        <v>72</v>
      </c>
      <c r="I177" t="s">
        <v>1024</v>
      </c>
      <c r="J177" t="s">
        <v>1025</v>
      </c>
      <c r="K177" t="s">
        <v>3969</v>
      </c>
      <c r="L177" t="s">
        <v>3970</v>
      </c>
      <c r="O177" t="s">
        <v>137</v>
      </c>
      <c r="P177">
        <v>2.0488135394422979</v>
      </c>
      <c r="S177" t="s">
        <v>4247</v>
      </c>
      <c r="U177" t="s">
        <v>50</v>
      </c>
      <c r="AC177" t="s">
        <v>399</v>
      </c>
      <c r="AE177" t="s">
        <v>3999</v>
      </c>
      <c r="AF177" t="s">
        <v>3974</v>
      </c>
      <c r="AG177">
        <v>105.5418881565931</v>
      </c>
      <c r="AH177">
        <v>369.06658706753961</v>
      </c>
    </row>
    <row r="178" spans="1:34" hidden="1" x14ac:dyDescent="0.25">
      <c r="A178">
        <v>183</v>
      </c>
      <c r="B178" t="s">
        <v>4000</v>
      </c>
      <c r="C178" t="s">
        <v>376</v>
      </c>
      <c r="D178" t="s">
        <v>3968</v>
      </c>
      <c r="E178" t="s">
        <v>37</v>
      </c>
      <c r="G178">
        <v>2.6</v>
      </c>
      <c r="H178" t="s">
        <v>72</v>
      </c>
      <c r="I178" t="s">
        <v>1024</v>
      </c>
      <c r="J178" t="s">
        <v>1025</v>
      </c>
      <c r="K178" t="s">
        <v>3969</v>
      </c>
      <c r="L178" t="s">
        <v>3970</v>
      </c>
      <c r="O178" t="s">
        <v>137</v>
      </c>
      <c r="P178">
        <v>2.0488135394422979</v>
      </c>
      <c r="S178" t="s">
        <v>4247</v>
      </c>
      <c r="U178" t="s">
        <v>50</v>
      </c>
      <c r="AC178" t="s">
        <v>399</v>
      </c>
      <c r="AE178" t="s">
        <v>3999</v>
      </c>
      <c r="AF178" t="s">
        <v>3974</v>
      </c>
      <c r="AG178">
        <v>80.575227443336786</v>
      </c>
      <c r="AH178">
        <v>421.90477961691511</v>
      </c>
    </row>
    <row r="179" spans="1:34" hidden="1" x14ac:dyDescent="0.25">
      <c r="A179">
        <v>186</v>
      </c>
      <c r="C179" t="s">
        <v>376</v>
      </c>
      <c r="D179" t="s">
        <v>3968</v>
      </c>
      <c r="E179" t="s">
        <v>37</v>
      </c>
      <c r="G179">
        <v>2.2999999999999998</v>
      </c>
      <c r="H179" t="s">
        <v>72</v>
      </c>
      <c r="I179" t="s">
        <v>1024</v>
      </c>
      <c r="J179" t="s">
        <v>1025</v>
      </c>
      <c r="K179" t="s">
        <v>3969</v>
      </c>
      <c r="L179" t="s">
        <v>3970</v>
      </c>
      <c r="O179" t="s">
        <v>116</v>
      </c>
      <c r="P179">
        <v>1.200266535407565</v>
      </c>
      <c r="S179" t="s">
        <v>4248</v>
      </c>
      <c r="U179" t="s">
        <v>76</v>
      </c>
      <c r="W179" t="s">
        <v>4249</v>
      </c>
      <c r="AA179" t="s">
        <v>453</v>
      </c>
      <c r="AC179" t="s">
        <v>4223</v>
      </c>
      <c r="AE179" t="s">
        <v>4116</v>
      </c>
      <c r="AF179" t="s">
        <v>3981</v>
      </c>
      <c r="AG179">
        <v>446.94754113079222</v>
      </c>
      <c r="AH179">
        <v>4857.3257666895406</v>
      </c>
    </row>
  </sheetData>
  <autoFilter ref="A1:AH179" xr:uid="{00000000-0001-0000-0800-000000000000}">
    <filterColumn colId="14">
      <filters>
        <filter val="Fallow, idle or otherwise not irrigate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AK1107"/>
  <sheetViews>
    <sheetView workbookViewId="0">
      <pane ySplit="1" topLeftCell="A968" activePane="bottomLeft" state="frozen"/>
      <selection pane="bottomLeft" activeCell="O1030" sqref="O1030:P1107"/>
    </sheetView>
  </sheetViews>
  <sheetFormatPr defaultRowHeight="15" x14ac:dyDescent="0.25"/>
  <cols>
    <col min="12" max="12" width="29" bestFit="1" customWidth="1"/>
  </cols>
  <sheetData>
    <row r="1" spans="1:3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2602</v>
      </c>
      <c r="AJ1" s="1" t="s">
        <v>34</v>
      </c>
      <c r="AK1" s="1" t="s">
        <v>35</v>
      </c>
    </row>
    <row r="2" spans="1:37" hidden="1" x14ac:dyDescent="0.25">
      <c r="A2">
        <v>1</v>
      </c>
      <c r="B2" t="s">
        <v>2603</v>
      </c>
      <c r="C2" t="s">
        <v>376</v>
      </c>
      <c r="D2" t="s">
        <v>2604</v>
      </c>
      <c r="E2" t="s">
        <v>37</v>
      </c>
      <c r="F2" t="s">
        <v>38</v>
      </c>
      <c r="G2" s="2">
        <v>45869</v>
      </c>
      <c r="H2">
        <v>0.05</v>
      </c>
      <c r="I2" t="s">
        <v>72</v>
      </c>
      <c r="J2" t="s">
        <v>40</v>
      </c>
      <c r="K2" t="s">
        <v>41</v>
      </c>
      <c r="L2" t="s">
        <v>2605</v>
      </c>
      <c r="M2" t="s">
        <v>2606</v>
      </c>
      <c r="O2" t="s">
        <v>99</v>
      </c>
      <c r="P2" t="s">
        <v>100</v>
      </c>
      <c r="Q2">
        <v>5.2083650196011459E-2</v>
      </c>
      <c r="R2" t="s">
        <v>60</v>
      </c>
      <c r="S2" t="s">
        <v>66</v>
      </c>
      <c r="T2" t="s">
        <v>2607</v>
      </c>
      <c r="V2" t="s">
        <v>563</v>
      </c>
      <c r="X2" t="s">
        <v>2608</v>
      </c>
      <c r="Y2" t="s">
        <v>412</v>
      </c>
      <c r="Z2" t="s">
        <v>765</v>
      </c>
      <c r="AA2" t="s">
        <v>182</v>
      </c>
      <c r="AB2" t="s">
        <v>41</v>
      </c>
      <c r="AD2" t="s">
        <v>476</v>
      </c>
      <c r="AF2" t="s">
        <v>2609</v>
      </c>
      <c r="AJ2">
        <v>103.2652220122811</v>
      </c>
      <c r="AK2">
        <v>210.7758974005105</v>
      </c>
    </row>
    <row r="3" spans="1:37" hidden="1" x14ac:dyDescent="0.25">
      <c r="A3">
        <v>2</v>
      </c>
      <c r="B3" t="s">
        <v>2610</v>
      </c>
      <c r="C3" t="s">
        <v>376</v>
      </c>
      <c r="D3" t="s">
        <v>2604</v>
      </c>
      <c r="E3" t="s">
        <v>37</v>
      </c>
      <c r="F3" t="s">
        <v>38</v>
      </c>
      <c r="G3" s="2">
        <v>45869</v>
      </c>
      <c r="H3">
        <v>1E-3</v>
      </c>
      <c r="I3" t="s">
        <v>72</v>
      </c>
      <c r="J3" t="s">
        <v>40</v>
      </c>
      <c r="K3" t="s">
        <v>41</v>
      </c>
      <c r="L3" t="s">
        <v>2605</v>
      </c>
      <c r="M3" t="s">
        <v>2606</v>
      </c>
      <c r="O3" t="s">
        <v>99</v>
      </c>
      <c r="P3" t="s">
        <v>100</v>
      </c>
      <c r="Q3">
        <v>3.9164252026990306E-3</v>
      </c>
      <c r="R3" t="s">
        <v>60</v>
      </c>
      <c r="S3" t="s">
        <v>66</v>
      </c>
      <c r="T3" t="s">
        <v>2611</v>
      </c>
      <c r="V3" t="s">
        <v>563</v>
      </c>
      <c r="X3" t="s">
        <v>2608</v>
      </c>
      <c r="Y3" t="s">
        <v>412</v>
      </c>
      <c r="Z3" t="s">
        <v>765</v>
      </c>
      <c r="AA3" t="s">
        <v>182</v>
      </c>
      <c r="AB3" t="s">
        <v>41</v>
      </c>
      <c r="AD3" t="s">
        <v>476</v>
      </c>
      <c r="AF3" t="s">
        <v>2609</v>
      </c>
      <c r="AJ3">
        <v>23.93487872510844</v>
      </c>
      <c r="AK3">
        <v>15.849273881423921</v>
      </c>
    </row>
    <row r="4" spans="1:37" hidden="1" x14ac:dyDescent="0.25">
      <c r="A4">
        <v>3</v>
      </c>
      <c r="B4" t="s">
        <v>2612</v>
      </c>
      <c r="C4" t="s">
        <v>376</v>
      </c>
      <c r="D4" t="s">
        <v>2604</v>
      </c>
      <c r="E4" t="s">
        <v>37</v>
      </c>
      <c r="F4" t="s">
        <v>38</v>
      </c>
      <c r="G4" s="2">
        <v>45869</v>
      </c>
      <c r="H4">
        <v>1E-3</v>
      </c>
      <c r="I4" t="s">
        <v>72</v>
      </c>
      <c r="J4" t="s">
        <v>40</v>
      </c>
      <c r="K4" t="s">
        <v>41</v>
      </c>
      <c r="L4" t="s">
        <v>2605</v>
      </c>
      <c r="M4" t="s">
        <v>2606</v>
      </c>
      <c r="O4" t="s">
        <v>99</v>
      </c>
      <c r="P4" t="s">
        <v>100</v>
      </c>
      <c r="Q4">
        <v>1.4710926255579999E-3</v>
      </c>
      <c r="R4" t="s">
        <v>60</v>
      </c>
      <c r="S4" t="s">
        <v>66</v>
      </c>
      <c r="T4" t="s">
        <v>2613</v>
      </c>
      <c r="V4" t="s">
        <v>563</v>
      </c>
      <c r="X4" t="s">
        <v>2608</v>
      </c>
      <c r="Y4" t="s">
        <v>412</v>
      </c>
      <c r="Z4" t="s">
        <v>765</v>
      </c>
      <c r="AA4" t="s">
        <v>182</v>
      </c>
      <c r="AB4" t="s">
        <v>41</v>
      </c>
      <c r="AD4" t="s">
        <v>476</v>
      </c>
      <c r="AF4" t="s">
        <v>2609</v>
      </c>
      <c r="AJ4">
        <v>14.020290320068771</v>
      </c>
      <c r="AK4">
        <v>5.95332445295867</v>
      </c>
    </row>
    <row r="5" spans="1:37" hidden="1" x14ac:dyDescent="0.25">
      <c r="A5">
        <v>4</v>
      </c>
      <c r="B5" t="s">
        <v>2614</v>
      </c>
      <c r="C5" t="s">
        <v>376</v>
      </c>
      <c r="D5" t="s">
        <v>2604</v>
      </c>
      <c r="E5" t="s">
        <v>37</v>
      </c>
      <c r="F5" t="s">
        <v>38</v>
      </c>
      <c r="G5" s="2">
        <v>45869</v>
      </c>
      <c r="H5">
        <v>1E-3</v>
      </c>
      <c r="I5" t="s">
        <v>72</v>
      </c>
      <c r="J5" t="s">
        <v>40</v>
      </c>
      <c r="K5" t="s">
        <v>41</v>
      </c>
      <c r="L5" t="s">
        <v>2605</v>
      </c>
      <c r="M5" t="s">
        <v>2606</v>
      </c>
      <c r="O5" t="s">
        <v>99</v>
      </c>
      <c r="P5" t="s">
        <v>100</v>
      </c>
      <c r="Q5">
        <v>3.0456764496412389E-3</v>
      </c>
      <c r="R5" t="s">
        <v>60</v>
      </c>
      <c r="S5" t="s">
        <v>66</v>
      </c>
      <c r="T5" t="s">
        <v>2615</v>
      </c>
      <c r="V5" t="s">
        <v>563</v>
      </c>
      <c r="X5" t="s">
        <v>2608</v>
      </c>
      <c r="Y5" t="s">
        <v>412</v>
      </c>
      <c r="Z5" t="s">
        <v>765</v>
      </c>
      <c r="AA5" t="s">
        <v>182</v>
      </c>
      <c r="AB5" t="s">
        <v>41</v>
      </c>
      <c r="AD5" t="s">
        <v>476</v>
      </c>
      <c r="AF5" t="s">
        <v>2609</v>
      </c>
      <c r="AJ5">
        <v>16.244795623565459</v>
      </c>
      <c r="AK5">
        <v>12.32546460259219</v>
      </c>
    </row>
    <row r="6" spans="1:37" hidden="1" x14ac:dyDescent="0.25">
      <c r="A6">
        <v>5</v>
      </c>
      <c r="B6" t="s">
        <v>2616</v>
      </c>
      <c r="C6" t="s">
        <v>376</v>
      </c>
      <c r="D6" t="s">
        <v>2604</v>
      </c>
      <c r="E6" t="s">
        <v>37</v>
      </c>
      <c r="F6" t="s">
        <v>38</v>
      </c>
      <c r="G6" s="2">
        <v>45869</v>
      </c>
      <c r="H6">
        <v>0.03</v>
      </c>
      <c r="I6" t="s">
        <v>72</v>
      </c>
      <c r="J6" t="s">
        <v>40</v>
      </c>
      <c r="K6" t="s">
        <v>41</v>
      </c>
      <c r="L6" t="s">
        <v>2605</v>
      </c>
      <c r="M6" t="s">
        <v>2606</v>
      </c>
      <c r="O6" t="s">
        <v>99</v>
      </c>
      <c r="P6" t="s">
        <v>100</v>
      </c>
      <c r="Q6">
        <v>2.997598542702162E-2</v>
      </c>
      <c r="R6" t="s">
        <v>60</v>
      </c>
      <c r="S6" t="s">
        <v>66</v>
      </c>
      <c r="T6" t="s">
        <v>2617</v>
      </c>
      <c r="V6" t="s">
        <v>563</v>
      </c>
      <c r="X6" t="s">
        <v>2608</v>
      </c>
      <c r="Y6" t="s">
        <v>412</v>
      </c>
      <c r="Z6" t="s">
        <v>765</v>
      </c>
      <c r="AA6" t="s">
        <v>182</v>
      </c>
      <c r="AB6" t="s">
        <v>41</v>
      </c>
      <c r="AD6" t="s">
        <v>476</v>
      </c>
      <c r="AF6" t="s">
        <v>2609</v>
      </c>
      <c r="AJ6">
        <v>69.193154292071981</v>
      </c>
      <c r="AK6">
        <v>121.3089943786035</v>
      </c>
    </row>
    <row r="7" spans="1:37" hidden="1" x14ac:dyDescent="0.25">
      <c r="A7">
        <v>6</v>
      </c>
      <c r="B7" t="s">
        <v>2618</v>
      </c>
      <c r="C7" t="s">
        <v>376</v>
      </c>
      <c r="D7" t="s">
        <v>2604</v>
      </c>
      <c r="E7" t="s">
        <v>37</v>
      </c>
      <c r="F7" t="s">
        <v>38</v>
      </c>
      <c r="G7" s="2">
        <v>45869</v>
      </c>
      <c r="H7">
        <v>1E-3</v>
      </c>
      <c r="I7" t="s">
        <v>72</v>
      </c>
      <c r="J7" t="s">
        <v>40</v>
      </c>
      <c r="K7" t="s">
        <v>41</v>
      </c>
      <c r="L7" t="s">
        <v>2605</v>
      </c>
      <c r="M7" t="s">
        <v>2606</v>
      </c>
      <c r="O7" t="s">
        <v>99</v>
      </c>
      <c r="P7" t="s">
        <v>100</v>
      </c>
      <c r="Q7">
        <v>3.5711166312774279E-3</v>
      </c>
      <c r="R7" t="s">
        <v>60</v>
      </c>
      <c r="S7" t="s">
        <v>66</v>
      </c>
      <c r="T7" t="s">
        <v>2619</v>
      </c>
      <c r="V7" t="s">
        <v>563</v>
      </c>
      <c r="X7" t="s">
        <v>2608</v>
      </c>
      <c r="Y7" t="s">
        <v>412</v>
      </c>
      <c r="Z7" t="s">
        <v>765</v>
      </c>
      <c r="AA7" t="s">
        <v>182</v>
      </c>
      <c r="AB7" t="s">
        <v>41</v>
      </c>
      <c r="AD7" t="s">
        <v>476</v>
      </c>
      <c r="AF7" t="s">
        <v>2609</v>
      </c>
      <c r="AJ7">
        <v>15.327355180624339</v>
      </c>
      <c r="AK7">
        <v>14.451854081783029</v>
      </c>
    </row>
    <row r="8" spans="1:37" x14ac:dyDescent="0.25">
      <c r="A8">
        <v>7</v>
      </c>
      <c r="B8" t="s">
        <v>2620</v>
      </c>
      <c r="C8" t="s">
        <v>376</v>
      </c>
      <c r="D8" t="s">
        <v>2604</v>
      </c>
      <c r="E8" t="s">
        <v>37</v>
      </c>
      <c r="F8" t="s">
        <v>38</v>
      </c>
      <c r="G8" s="2">
        <v>45846</v>
      </c>
      <c r="H8">
        <v>0.4</v>
      </c>
      <c r="I8" t="s">
        <v>72</v>
      </c>
      <c r="J8" t="s">
        <v>40</v>
      </c>
      <c r="K8" t="s">
        <v>41</v>
      </c>
      <c r="L8" t="s">
        <v>2605</v>
      </c>
      <c r="M8" t="s">
        <v>2606</v>
      </c>
      <c r="N8" t="s">
        <v>38</v>
      </c>
      <c r="O8" t="s">
        <v>62</v>
      </c>
      <c r="P8" t="s">
        <v>63</v>
      </c>
      <c r="Q8">
        <v>3.6017973646031119E-2</v>
      </c>
      <c r="R8" t="s">
        <v>64</v>
      </c>
      <c r="S8" t="s">
        <v>65</v>
      </c>
      <c r="T8" t="s">
        <v>2621</v>
      </c>
      <c r="U8" t="s">
        <v>38</v>
      </c>
      <c r="V8" t="s">
        <v>70</v>
      </c>
      <c r="W8" t="s">
        <v>38</v>
      </c>
      <c r="X8" t="s">
        <v>2622</v>
      </c>
      <c r="Y8" t="s">
        <v>412</v>
      </c>
      <c r="Z8" t="s">
        <v>2623</v>
      </c>
      <c r="AA8" t="s">
        <v>452</v>
      </c>
      <c r="AB8" t="s">
        <v>41</v>
      </c>
      <c r="AC8" t="s">
        <v>38</v>
      </c>
      <c r="AD8" t="s">
        <v>620</v>
      </c>
      <c r="AF8" t="s">
        <v>2624</v>
      </c>
      <c r="AJ8">
        <v>56.503796037893537</v>
      </c>
      <c r="AK8">
        <v>145.76015101129599</v>
      </c>
    </row>
    <row r="9" spans="1:37" x14ac:dyDescent="0.25">
      <c r="A9">
        <v>8</v>
      </c>
      <c r="B9" t="s">
        <v>2625</v>
      </c>
      <c r="C9" t="s">
        <v>376</v>
      </c>
      <c r="D9" t="s">
        <v>2604</v>
      </c>
      <c r="E9" t="s">
        <v>37</v>
      </c>
      <c r="F9" t="s">
        <v>38</v>
      </c>
      <c r="G9" s="2">
        <v>45846</v>
      </c>
      <c r="H9">
        <v>0.2</v>
      </c>
      <c r="I9" t="s">
        <v>72</v>
      </c>
      <c r="J9" t="s">
        <v>40</v>
      </c>
      <c r="K9" t="s">
        <v>41</v>
      </c>
      <c r="L9" t="s">
        <v>2605</v>
      </c>
      <c r="M9" t="s">
        <v>2606</v>
      </c>
      <c r="N9" t="s">
        <v>38</v>
      </c>
      <c r="O9" t="s">
        <v>62</v>
      </c>
      <c r="P9" t="s">
        <v>63</v>
      </c>
      <c r="Q9">
        <v>2.437480542675461E-2</v>
      </c>
      <c r="R9" t="s">
        <v>64</v>
      </c>
      <c r="S9" t="s">
        <v>65</v>
      </c>
      <c r="T9" t="s">
        <v>2621</v>
      </c>
      <c r="U9" t="s">
        <v>38</v>
      </c>
      <c r="V9" t="s">
        <v>70</v>
      </c>
      <c r="W9" t="s">
        <v>38</v>
      </c>
      <c r="X9" t="s">
        <v>2622</v>
      </c>
      <c r="Y9" t="s">
        <v>412</v>
      </c>
      <c r="Z9" t="s">
        <v>2623</v>
      </c>
      <c r="AA9" t="s">
        <v>452</v>
      </c>
      <c r="AB9" t="s">
        <v>41</v>
      </c>
      <c r="AC9" t="s">
        <v>38</v>
      </c>
      <c r="AD9" t="s">
        <v>620</v>
      </c>
      <c r="AF9" t="s">
        <v>2624</v>
      </c>
      <c r="AJ9">
        <v>42.003004224244727</v>
      </c>
      <c r="AK9">
        <v>98.641732452547501</v>
      </c>
    </row>
    <row r="10" spans="1:37" x14ac:dyDescent="0.25">
      <c r="A10">
        <v>9</v>
      </c>
      <c r="B10" t="s">
        <v>2626</v>
      </c>
      <c r="C10" t="s">
        <v>376</v>
      </c>
      <c r="D10" t="s">
        <v>2604</v>
      </c>
      <c r="E10" t="s">
        <v>37</v>
      </c>
      <c r="F10" t="s">
        <v>38</v>
      </c>
      <c r="G10" s="2">
        <v>45846</v>
      </c>
      <c r="H10">
        <v>0.11</v>
      </c>
      <c r="I10" t="s">
        <v>72</v>
      </c>
      <c r="J10" t="s">
        <v>40</v>
      </c>
      <c r="K10" t="s">
        <v>41</v>
      </c>
      <c r="L10" t="s">
        <v>2605</v>
      </c>
      <c r="M10" t="s">
        <v>2606</v>
      </c>
      <c r="N10" t="s">
        <v>38</v>
      </c>
      <c r="O10" t="s">
        <v>62</v>
      </c>
      <c r="P10" t="s">
        <v>63</v>
      </c>
      <c r="Q10">
        <v>0.27958647357593502</v>
      </c>
      <c r="R10" t="s">
        <v>64</v>
      </c>
      <c r="S10" t="s">
        <v>65</v>
      </c>
      <c r="T10" t="s">
        <v>2621</v>
      </c>
      <c r="U10" t="s">
        <v>38</v>
      </c>
      <c r="V10" t="s">
        <v>70</v>
      </c>
      <c r="W10" t="s">
        <v>38</v>
      </c>
      <c r="X10" t="s">
        <v>2622</v>
      </c>
      <c r="Y10" t="s">
        <v>412</v>
      </c>
      <c r="Z10" t="s">
        <v>2623</v>
      </c>
      <c r="AA10" t="s">
        <v>452</v>
      </c>
      <c r="AB10" t="s">
        <v>41</v>
      </c>
      <c r="AC10" t="s">
        <v>38</v>
      </c>
      <c r="AD10" t="s">
        <v>620</v>
      </c>
      <c r="AF10" t="s">
        <v>2624</v>
      </c>
      <c r="AJ10">
        <v>163.6262774288958</v>
      </c>
      <c r="AK10">
        <v>1131.450842005783</v>
      </c>
    </row>
    <row r="11" spans="1:37" x14ac:dyDescent="0.25">
      <c r="A11">
        <v>10</v>
      </c>
      <c r="B11" t="s">
        <v>2627</v>
      </c>
      <c r="C11" t="s">
        <v>376</v>
      </c>
      <c r="D11" t="s">
        <v>2604</v>
      </c>
      <c r="E11" t="s">
        <v>37</v>
      </c>
      <c r="F11" t="s">
        <v>38</v>
      </c>
      <c r="G11" s="2">
        <v>45846</v>
      </c>
      <c r="H11">
        <v>2.4</v>
      </c>
      <c r="I11" t="s">
        <v>72</v>
      </c>
      <c r="J11" t="s">
        <v>40</v>
      </c>
      <c r="K11" t="s">
        <v>41</v>
      </c>
      <c r="L11" t="s">
        <v>2605</v>
      </c>
      <c r="M11" t="s">
        <v>2606</v>
      </c>
      <c r="O11" t="s">
        <v>62</v>
      </c>
      <c r="P11" t="s">
        <v>63</v>
      </c>
      <c r="Q11">
        <v>3.0427457893323719</v>
      </c>
      <c r="R11" t="s">
        <v>64</v>
      </c>
      <c r="S11" t="s">
        <v>65</v>
      </c>
      <c r="T11" t="s">
        <v>2628</v>
      </c>
      <c r="V11" t="s">
        <v>54</v>
      </c>
      <c r="X11" t="s">
        <v>2629</v>
      </c>
      <c r="Y11" t="s">
        <v>420</v>
      </c>
      <c r="Z11" t="s">
        <v>2630</v>
      </c>
      <c r="AA11" t="s">
        <v>554</v>
      </c>
      <c r="AB11" t="s">
        <v>41</v>
      </c>
      <c r="AD11" t="s">
        <v>620</v>
      </c>
      <c r="AF11" t="s">
        <v>2631</v>
      </c>
      <c r="AJ11">
        <v>548.68157302681402</v>
      </c>
      <c r="AK11">
        <v>12313.604593659389</v>
      </c>
    </row>
    <row r="12" spans="1:37" x14ac:dyDescent="0.25">
      <c r="A12">
        <v>11</v>
      </c>
      <c r="B12" t="s">
        <v>2632</v>
      </c>
      <c r="C12" t="s">
        <v>376</v>
      </c>
      <c r="D12" t="s">
        <v>2604</v>
      </c>
      <c r="E12" t="s">
        <v>37</v>
      </c>
      <c r="F12" t="s">
        <v>38</v>
      </c>
      <c r="G12" s="2">
        <v>45846</v>
      </c>
      <c r="H12">
        <v>19.2</v>
      </c>
      <c r="I12" t="s">
        <v>72</v>
      </c>
      <c r="J12" t="s">
        <v>40</v>
      </c>
      <c r="K12" t="s">
        <v>41</v>
      </c>
      <c r="L12" t="s">
        <v>2605</v>
      </c>
      <c r="M12" t="s">
        <v>2606</v>
      </c>
      <c r="O12" t="s">
        <v>62</v>
      </c>
      <c r="P12" t="s">
        <v>63</v>
      </c>
      <c r="Q12">
        <v>25.536132523880099</v>
      </c>
      <c r="R12" t="s">
        <v>64</v>
      </c>
      <c r="S12" t="s">
        <v>65</v>
      </c>
      <c r="T12" t="s">
        <v>2628</v>
      </c>
      <c r="V12" t="s">
        <v>54</v>
      </c>
      <c r="X12" t="s">
        <v>2629</v>
      </c>
      <c r="Y12" t="s">
        <v>420</v>
      </c>
      <c r="Z12" t="s">
        <v>2623</v>
      </c>
      <c r="AA12" t="s">
        <v>460</v>
      </c>
      <c r="AB12" t="s">
        <v>41</v>
      </c>
      <c r="AD12" t="s">
        <v>620</v>
      </c>
      <c r="AF12" t="s">
        <v>1097</v>
      </c>
      <c r="AJ12">
        <v>1652.406288540823</v>
      </c>
      <c r="AK12">
        <v>103341.4752730094</v>
      </c>
    </row>
    <row r="13" spans="1:37" x14ac:dyDescent="0.25">
      <c r="A13">
        <v>12</v>
      </c>
      <c r="B13" t="s">
        <v>2633</v>
      </c>
      <c r="C13" t="s">
        <v>376</v>
      </c>
      <c r="D13" t="s">
        <v>2604</v>
      </c>
      <c r="E13" t="s">
        <v>37</v>
      </c>
      <c r="F13" t="s">
        <v>38</v>
      </c>
      <c r="G13" s="2">
        <v>45846</v>
      </c>
      <c r="H13">
        <v>0.5</v>
      </c>
      <c r="I13" t="s">
        <v>72</v>
      </c>
      <c r="J13" t="s">
        <v>40</v>
      </c>
      <c r="K13" t="s">
        <v>41</v>
      </c>
      <c r="L13" t="s">
        <v>2605</v>
      </c>
      <c r="M13" t="s">
        <v>2606</v>
      </c>
      <c r="O13" t="s">
        <v>62</v>
      </c>
      <c r="P13" t="s">
        <v>63</v>
      </c>
      <c r="Q13">
        <v>0.65714796786664254</v>
      </c>
      <c r="R13" t="s">
        <v>64</v>
      </c>
      <c r="S13" t="s">
        <v>65</v>
      </c>
      <c r="T13" t="s">
        <v>2634</v>
      </c>
      <c r="V13" t="s">
        <v>54</v>
      </c>
      <c r="X13" t="s">
        <v>2629</v>
      </c>
      <c r="Y13" t="s">
        <v>420</v>
      </c>
      <c r="Z13" t="s">
        <v>2630</v>
      </c>
      <c r="AA13" t="s">
        <v>554</v>
      </c>
      <c r="AB13" t="s">
        <v>41</v>
      </c>
      <c r="AD13" t="s">
        <v>620</v>
      </c>
      <c r="AF13" t="s">
        <v>2631</v>
      </c>
      <c r="AJ13">
        <v>344.69371588630793</v>
      </c>
      <c r="AK13">
        <v>2659.3941117940408</v>
      </c>
    </row>
    <row r="14" spans="1:37" x14ac:dyDescent="0.25">
      <c r="A14">
        <v>13</v>
      </c>
      <c r="B14" t="s">
        <v>2635</v>
      </c>
      <c r="C14" t="s">
        <v>376</v>
      </c>
      <c r="D14" t="s">
        <v>2604</v>
      </c>
      <c r="E14" t="s">
        <v>37</v>
      </c>
      <c r="F14" t="s">
        <v>38</v>
      </c>
      <c r="G14" s="2">
        <v>45846</v>
      </c>
      <c r="H14">
        <v>4.2</v>
      </c>
      <c r="I14" t="s">
        <v>72</v>
      </c>
      <c r="J14" t="s">
        <v>40</v>
      </c>
      <c r="K14" t="s">
        <v>41</v>
      </c>
      <c r="L14" t="s">
        <v>2605</v>
      </c>
      <c r="M14" t="s">
        <v>2606</v>
      </c>
      <c r="O14" t="s">
        <v>62</v>
      </c>
      <c r="P14" t="s">
        <v>63</v>
      </c>
      <c r="Q14">
        <v>5.4266852839044466</v>
      </c>
      <c r="R14" t="s">
        <v>64</v>
      </c>
      <c r="S14" t="s">
        <v>65</v>
      </c>
      <c r="T14" t="s">
        <v>2634</v>
      </c>
      <c r="V14" t="s">
        <v>54</v>
      </c>
      <c r="X14" t="s">
        <v>2629</v>
      </c>
      <c r="Y14" t="s">
        <v>420</v>
      </c>
      <c r="Z14" t="s">
        <v>2630</v>
      </c>
      <c r="AA14" t="s">
        <v>554</v>
      </c>
      <c r="AB14" t="s">
        <v>41</v>
      </c>
      <c r="AD14" t="s">
        <v>620</v>
      </c>
      <c r="AF14" t="s">
        <v>2631</v>
      </c>
      <c r="AJ14">
        <v>828.00786052677381</v>
      </c>
      <c r="AK14">
        <v>21961.104037840581</v>
      </c>
    </row>
    <row r="15" spans="1:37" x14ac:dyDescent="0.25">
      <c r="A15">
        <v>14</v>
      </c>
      <c r="B15" t="s">
        <v>2636</v>
      </c>
      <c r="C15" t="s">
        <v>376</v>
      </c>
      <c r="D15" t="s">
        <v>2604</v>
      </c>
      <c r="E15" t="s">
        <v>37</v>
      </c>
      <c r="F15" t="s">
        <v>38</v>
      </c>
      <c r="G15" s="2">
        <v>45846</v>
      </c>
      <c r="H15">
        <v>4</v>
      </c>
      <c r="I15" t="s">
        <v>72</v>
      </c>
      <c r="J15" t="s">
        <v>40</v>
      </c>
      <c r="K15" t="s">
        <v>41</v>
      </c>
      <c r="L15" t="s">
        <v>2605</v>
      </c>
      <c r="M15" t="s">
        <v>2606</v>
      </c>
      <c r="O15" t="s">
        <v>62</v>
      </c>
      <c r="P15" t="s">
        <v>63</v>
      </c>
      <c r="Q15">
        <v>5.1356691536643639</v>
      </c>
      <c r="R15" t="s">
        <v>64</v>
      </c>
      <c r="S15" t="s">
        <v>65</v>
      </c>
      <c r="T15" t="s">
        <v>2634</v>
      </c>
      <c r="V15" t="s">
        <v>54</v>
      </c>
      <c r="X15" t="s">
        <v>2629</v>
      </c>
      <c r="Y15" t="s">
        <v>420</v>
      </c>
      <c r="Z15" t="s">
        <v>2630</v>
      </c>
      <c r="AA15" t="s">
        <v>554</v>
      </c>
      <c r="AB15" t="s">
        <v>41</v>
      </c>
      <c r="AD15" t="s">
        <v>620</v>
      </c>
      <c r="AF15" t="s">
        <v>2631</v>
      </c>
      <c r="AJ15">
        <v>1390.2540100660181</v>
      </c>
      <c r="AK15">
        <v>20783.39883134039</v>
      </c>
    </row>
    <row r="16" spans="1:37" x14ac:dyDescent="0.25">
      <c r="A16">
        <v>15</v>
      </c>
      <c r="B16" t="s">
        <v>2637</v>
      </c>
      <c r="C16" t="s">
        <v>376</v>
      </c>
      <c r="D16" t="s">
        <v>2604</v>
      </c>
      <c r="E16" t="s">
        <v>37</v>
      </c>
      <c r="F16" t="s">
        <v>38</v>
      </c>
      <c r="G16" s="2">
        <v>45846</v>
      </c>
      <c r="H16">
        <v>2.5</v>
      </c>
      <c r="I16" t="s">
        <v>72</v>
      </c>
      <c r="J16" t="s">
        <v>40</v>
      </c>
      <c r="K16" t="s">
        <v>41</v>
      </c>
      <c r="L16" t="s">
        <v>2605</v>
      </c>
      <c r="M16" t="s">
        <v>2606</v>
      </c>
      <c r="O16" t="s">
        <v>62</v>
      </c>
      <c r="P16" t="s">
        <v>63</v>
      </c>
      <c r="Q16">
        <v>3.304912958461903</v>
      </c>
      <c r="R16" t="s">
        <v>64</v>
      </c>
      <c r="S16" t="s">
        <v>65</v>
      </c>
      <c r="T16" t="s">
        <v>2634</v>
      </c>
      <c r="V16" t="s">
        <v>54</v>
      </c>
      <c r="X16" t="s">
        <v>2629</v>
      </c>
      <c r="Y16" t="s">
        <v>420</v>
      </c>
      <c r="Z16" t="s">
        <v>2630</v>
      </c>
      <c r="AA16" t="s">
        <v>554</v>
      </c>
      <c r="AB16" t="s">
        <v>41</v>
      </c>
      <c r="AD16" t="s">
        <v>620</v>
      </c>
      <c r="AF16" t="s">
        <v>2631</v>
      </c>
      <c r="AJ16">
        <v>1370.288114683535</v>
      </c>
      <c r="AK16">
        <v>13374.561729617961</v>
      </c>
    </row>
    <row r="17" spans="1:37" x14ac:dyDescent="0.25">
      <c r="A17">
        <v>16</v>
      </c>
      <c r="B17" t="s">
        <v>2638</v>
      </c>
      <c r="C17" t="s">
        <v>376</v>
      </c>
      <c r="D17" t="s">
        <v>2604</v>
      </c>
      <c r="E17" t="s">
        <v>37</v>
      </c>
      <c r="F17" t="s">
        <v>38</v>
      </c>
      <c r="G17" s="2">
        <v>45846</v>
      </c>
      <c r="H17">
        <v>0.3</v>
      </c>
      <c r="I17" t="s">
        <v>72</v>
      </c>
      <c r="J17" t="s">
        <v>40</v>
      </c>
      <c r="K17" t="s">
        <v>41</v>
      </c>
      <c r="L17" t="s">
        <v>2605</v>
      </c>
      <c r="M17" t="s">
        <v>2606</v>
      </c>
      <c r="O17" t="s">
        <v>62</v>
      </c>
      <c r="P17" t="s">
        <v>63</v>
      </c>
      <c r="Q17">
        <v>0.32083057246647562</v>
      </c>
      <c r="R17" t="s">
        <v>64</v>
      </c>
      <c r="S17" t="s">
        <v>65</v>
      </c>
      <c r="T17" t="s">
        <v>2639</v>
      </c>
      <c r="V17" t="s">
        <v>54</v>
      </c>
      <c r="X17" t="s">
        <v>2640</v>
      </c>
      <c r="Y17" t="s">
        <v>420</v>
      </c>
      <c r="Z17" t="s">
        <v>2630</v>
      </c>
      <c r="AA17" t="s">
        <v>554</v>
      </c>
      <c r="AB17" t="s">
        <v>41</v>
      </c>
      <c r="AD17" t="s">
        <v>93</v>
      </c>
      <c r="AF17" t="s">
        <v>2641</v>
      </c>
      <c r="AJ17">
        <v>203.50337794595271</v>
      </c>
      <c r="AK17">
        <v>1298.360456124856</v>
      </c>
    </row>
    <row r="18" spans="1:37" x14ac:dyDescent="0.25">
      <c r="A18">
        <v>17</v>
      </c>
      <c r="B18" t="s">
        <v>2642</v>
      </c>
      <c r="C18" t="s">
        <v>376</v>
      </c>
      <c r="D18" t="s">
        <v>2604</v>
      </c>
      <c r="E18" t="s">
        <v>37</v>
      </c>
      <c r="F18" t="s">
        <v>38</v>
      </c>
      <c r="G18" s="2">
        <v>45846</v>
      </c>
      <c r="H18">
        <v>7.5</v>
      </c>
      <c r="I18" t="s">
        <v>72</v>
      </c>
      <c r="J18" t="s">
        <v>40</v>
      </c>
      <c r="K18" t="s">
        <v>41</v>
      </c>
      <c r="L18" t="s">
        <v>2605</v>
      </c>
      <c r="M18" t="s">
        <v>2606</v>
      </c>
      <c r="O18" t="s">
        <v>62</v>
      </c>
      <c r="P18" t="s">
        <v>63</v>
      </c>
      <c r="Q18">
        <v>9.7692074272760969</v>
      </c>
      <c r="R18" t="s">
        <v>64</v>
      </c>
      <c r="S18" t="s">
        <v>65</v>
      </c>
      <c r="T18" t="s">
        <v>2639</v>
      </c>
      <c r="V18" t="s">
        <v>54</v>
      </c>
      <c r="X18" t="s">
        <v>2640</v>
      </c>
      <c r="Y18" t="s">
        <v>420</v>
      </c>
      <c r="Z18" t="s">
        <v>2630</v>
      </c>
      <c r="AA18" t="s">
        <v>139</v>
      </c>
      <c r="AB18" t="s">
        <v>41</v>
      </c>
      <c r="AD18" t="s">
        <v>93</v>
      </c>
      <c r="AF18" t="s">
        <v>2641</v>
      </c>
      <c r="AJ18">
        <v>1295.0318626402459</v>
      </c>
      <c r="AK18">
        <v>39534.737957623744</v>
      </c>
    </row>
    <row r="19" spans="1:37" x14ac:dyDescent="0.25">
      <c r="A19">
        <v>18</v>
      </c>
      <c r="B19" t="s">
        <v>2643</v>
      </c>
      <c r="C19" t="s">
        <v>376</v>
      </c>
      <c r="D19" t="s">
        <v>2604</v>
      </c>
      <c r="E19" t="s">
        <v>37</v>
      </c>
      <c r="F19" t="s">
        <v>38</v>
      </c>
      <c r="G19" s="2">
        <v>45847</v>
      </c>
      <c r="I19" t="s">
        <v>72</v>
      </c>
      <c r="J19" t="s">
        <v>40</v>
      </c>
      <c r="K19" t="s">
        <v>41</v>
      </c>
      <c r="L19" t="s">
        <v>2605</v>
      </c>
      <c r="M19" t="s">
        <v>2606</v>
      </c>
      <c r="O19" t="s">
        <v>62</v>
      </c>
      <c r="P19" t="s">
        <v>63</v>
      </c>
      <c r="Q19">
        <v>0.86766204353955556</v>
      </c>
      <c r="R19" t="s">
        <v>64</v>
      </c>
      <c r="S19" t="s">
        <v>65</v>
      </c>
      <c r="T19" t="s">
        <v>1172</v>
      </c>
      <c r="V19" t="s">
        <v>182</v>
      </c>
      <c r="X19" t="s">
        <v>1172</v>
      </c>
      <c r="Y19" t="s">
        <v>420</v>
      </c>
      <c r="Z19" t="s">
        <v>765</v>
      </c>
      <c r="AA19" t="s">
        <v>860</v>
      </c>
      <c r="AB19" t="s">
        <v>41</v>
      </c>
      <c r="AJ19">
        <v>293.37656836008802</v>
      </c>
      <c r="AK19">
        <v>3511.3177586277479</v>
      </c>
    </row>
    <row r="20" spans="1:37" x14ac:dyDescent="0.25">
      <c r="A20">
        <v>19</v>
      </c>
      <c r="B20" t="s">
        <v>2644</v>
      </c>
      <c r="C20" t="s">
        <v>376</v>
      </c>
      <c r="D20" t="s">
        <v>2604</v>
      </c>
      <c r="E20" t="s">
        <v>37</v>
      </c>
      <c r="F20" t="s">
        <v>38</v>
      </c>
      <c r="G20" s="2">
        <v>45846</v>
      </c>
      <c r="H20">
        <v>3.9</v>
      </c>
      <c r="I20" t="s">
        <v>72</v>
      </c>
      <c r="J20" t="s">
        <v>40</v>
      </c>
      <c r="K20" t="s">
        <v>41</v>
      </c>
      <c r="L20" t="s">
        <v>2605</v>
      </c>
      <c r="M20" t="s">
        <v>2606</v>
      </c>
      <c r="O20" t="s">
        <v>62</v>
      </c>
      <c r="P20" t="s">
        <v>63</v>
      </c>
      <c r="Q20">
        <v>5.0530011491041789</v>
      </c>
      <c r="R20" t="s">
        <v>64</v>
      </c>
      <c r="S20" t="s">
        <v>65</v>
      </c>
      <c r="T20" t="s">
        <v>2639</v>
      </c>
      <c r="V20" t="s">
        <v>54</v>
      </c>
      <c r="X20" t="s">
        <v>2640</v>
      </c>
      <c r="Y20" t="s">
        <v>420</v>
      </c>
      <c r="Z20" t="s">
        <v>2630</v>
      </c>
      <c r="AA20" t="s">
        <v>139</v>
      </c>
      <c r="AB20" t="s">
        <v>41</v>
      </c>
      <c r="AD20" t="s">
        <v>93</v>
      </c>
      <c r="AF20" t="s">
        <v>2641</v>
      </c>
      <c r="AJ20">
        <v>694.24752338706867</v>
      </c>
      <c r="AK20">
        <v>20448.85194797282</v>
      </c>
    </row>
    <row r="21" spans="1:37" x14ac:dyDescent="0.25">
      <c r="A21">
        <v>20</v>
      </c>
      <c r="B21" t="s">
        <v>2645</v>
      </c>
      <c r="C21" t="s">
        <v>376</v>
      </c>
      <c r="D21" t="s">
        <v>2604</v>
      </c>
      <c r="E21" t="s">
        <v>37</v>
      </c>
      <c r="F21" t="s">
        <v>38</v>
      </c>
      <c r="G21" s="2">
        <v>45847</v>
      </c>
      <c r="H21">
        <v>0.6</v>
      </c>
      <c r="I21" t="s">
        <v>72</v>
      </c>
      <c r="J21" t="s">
        <v>40</v>
      </c>
      <c r="K21" t="s">
        <v>41</v>
      </c>
      <c r="L21" t="s">
        <v>2605</v>
      </c>
      <c r="M21" t="s">
        <v>2606</v>
      </c>
      <c r="O21" t="s">
        <v>62</v>
      </c>
      <c r="P21" t="s">
        <v>63</v>
      </c>
      <c r="Q21">
        <v>0.52581166461930484</v>
      </c>
      <c r="R21" t="s">
        <v>64</v>
      </c>
      <c r="S21" t="s">
        <v>65</v>
      </c>
      <c r="T21" t="s">
        <v>2646</v>
      </c>
      <c r="V21" t="s">
        <v>182</v>
      </c>
      <c r="X21" t="s">
        <v>2647</v>
      </c>
      <c r="Y21" t="s">
        <v>420</v>
      </c>
      <c r="Z21" t="s">
        <v>765</v>
      </c>
      <c r="AA21" t="s">
        <v>121</v>
      </c>
      <c r="AB21" t="s">
        <v>41</v>
      </c>
      <c r="AJ21">
        <v>217.9682968147066</v>
      </c>
      <c r="AK21">
        <v>2127.8928235002509</v>
      </c>
    </row>
    <row r="22" spans="1:37" x14ac:dyDescent="0.25">
      <c r="A22">
        <v>21</v>
      </c>
      <c r="B22" t="s">
        <v>2648</v>
      </c>
      <c r="C22" t="s">
        <v>376</v>
      </c>
      <c r="D22" t="s">
        <v>2604</v>
      </c>
      <c r="E22" t="s">
        <v>37</v>
      </c>
      <c r="F22" t="s">
        <v>38</v>
      </c>
      <c r="G22" s="2">
        <v>45847</v>
      </c>
      <c r="H22">
        <v>39.549999999999997</v>
      </c>
      <c r="I22" t="s">
        <v>72</v>
      </c>
      <c r="J22" t="s">
        <v>40</v>
      </c>
      <c r="K22" t="s">
        <v>41</v>
      </c>
      <c r="L22" t="s">
        <v>2605</v>
      </c>
      <c r="M22" t="s">
        <v>2606</v>
      </c>
      <c r="O22" t="s">
        <v>62</v>
      </c>
      <c r="P22" t="s">
        <v>63</v>
      </c>
      <c r="Q22">
        <v>35.494901488599808</v>
      </c>
      <c r="R22" t="s">
        <v>64</v>
      </c>
      <c r="S22" t="s">
        <v>65</v>
      </c>
      <c r="T22" t="s">
        <v>2649</v>
      </c>
      <c r="V22" t="s">
        <v>182</v>
      </c>
      <c r="X22" t="s">
        <v>2650</v>
      </c>
      <c r="Y22" t="s">
        <v>420</v>
      </c>
      <c r="Z22" t="s">
        <v>765</v>
      </c>
      <c r="AA22" t="s">
        <v>121</v>
      </c>
      <c r="AB22" t="s">
        <v>41</v>
      </c>
      <c r="AD22" t="s">
        <v>2651</v>
      </c>
      <c r="AF22" t="s">
        <v>1276</v>
      </c>
      <c r="AJ22">
        <v>3091.8899606416499</v>
      </c>
      <c r="AK22">
        <v>143643.34462439941</v>
      </c>
    </row>
    <row r="23" spans="1:37" x14ac:dyDescent="0.25">
      <c r="A23">
        <v>22</v>
      </c>
      <c r="B23" t="s">
        <v>2652</v>
      </c>
      <c r="C23" t="s">
        <v>376</v>
      </c>
      <c r="D23" t="s">
        <v>2604</v>
      </c>
      <c r="E23" t="s">
        <v>37</v>
      </c>
      <c r="F23" t="s">
        <v>38</v>
      </c>
      <c r="G23" s="2">
        <v>45847</v>
      </c>
      <c r="H23">
        <v>1.9</v>
      </c>
      <c r="I23" t="s">
        <v>72</v>
      </c>
      <c r="J23" t="s">
        <v>40</v>
      </c>
      <c r="K23" t="s">
        <v>41</v>
      </c>
      <c r="L23" t="s">
        <v>2605</v>
      </c>
      <c r="M23" t="s">
        <v>2606</v>
      </c>
      <c r="O23" t="s">
        <v>62</v>
      </c>
      <c r="P23" t="s">
        <v>63</v>
      </c>
      <c r="Q23">
        <v>1.78374225013551</v>
      </c>
      <c r="R23" t="s">
        <v>64</v>
      </c>
      <c r="S23" t="s">
        <v>65</v>
      </c>
      <c r="T23" t="s">
        <v>2649</v>
      </c>
      <c r="V23" t="s">
        <v>182</v>
      </c>
      <c r="X23" t="s">
        <v>2650</v>
      </c>
      <c r="Y23" t="s">
        <v>420</v>
      </c>
      <c r="Z23" t="s">
        <v>765</v>
      </c>
      <c r="AA23" t="s">
        <v>121</v>
      </c>
      <c r="AB23" t="s">
        <v>41</v>
      </c>
      <c r="AD23" t="s">
        <v>2651</v>
      </c>
      <c r="AF23" t="s">
        <v>1276</v>
      </c>
      <c r="AJ23">
        <v>348.12365649822237</v>
      </c>
      <c r="AK23">
        <v>7218.5776551488634</v>
      </c>
    </row>
    <row r="24" spans="1:37" hidden="1" x14ac:dyDescent="0.25">
      <c r="A24">
        <v>23</v>
      </c>
      <c r="B24" t="s">
        <v>2653</v>
      </c>
      <c r="C24" t="s">
        <v>376</v>
      </c>
      <c r="D24" t="s">
        <v>2604</v>
      </c>
      <c r="E24" t="s">
        <v>37</v>
      </c>
      <c r="F24" t="s">
        <v>38</v>
      </c>
      <c r="G24" s="2">
        <v>45847</v>
      </c>
      <c r="H24">
        <v>1.6</v>
      </c>
      <c r="I24" t="s">
        <v>72</v>
      </c>
      <c r="J24" t="s">
        <v>40</v>
      </c>
      <c r="K24" t="s">
        <v>41</v>
      </c>
      <c r="L24" t="s">
        <v>2605</v>
      </c>
      <c r="M24" t="s">
        <v>2606</v>
      </c>
      <c r="O24" t="s">
        <v>87</v>
      </c>
      <c r="P24" t="s">
        <v>88</v>
      </c>
      <c r="Q24">
        <v>5.1244466556077857</v>
      </c>
      <c r="R24" t="s">
        <v>46</v>
      </c>
      <c r="S24" t="s">
        <v>47</v>
      </c>
      <c r="T24" t="s">
        <v>2654</v>
      </c>
      <c r="V24" t="s">
        <v>182</v>
      </c>
      <c r="X24" t="s">
        <v>2655</v>
      </c>
      <c r="Y24" t="s">
        <v>420</v>
      </c>
      <c r="Z24" t="s">
        <v>765</v>
      </c>
      <c r="AA24" t="s">
        <v>121</v>
      </c>
      <c r="AB24" t="s">
        <v>41</v>
      </c>
      <c r="AD24" t="s">
        <v>2656</v>
      </c>
      <c r="AF24" t="s">
        <v>2657</v>
      </c>
      <c r="AJ24">
        <v>575.01712542400469</v>
      </c>
      <c r="AK24">
        <v>20737.982811340858</v>
      </c>
    </row>
    <row r="25" spans="1:37" hidden="1" x14ac:dyDescent="0.25">
      <c r="A25">
        <v>24</v>
      </c>
      <c r="B25" t="s">
        <v>2658</v>
      </c>
      <c r="C25" t="s">
        <v>376</v>
      </c>
      <c r="D25" t="s">
        <v>2604</v>
      </c>
      <c r="E25" t="s">
        <v>37</v>
      </c>
      <c r="F25" t="s">
        <v>38</v>
      </c>
      <c r="G25" s="2">
        <v>45847</v>
      </c>
      <c r="H25">
        <v>0.2</v>
      </c>
      <c r="I25" t="s">
        <v>72</v>
      </c>
      <c r="J25" t="s">
        <v>40</v>
      </c>
      <c r="K25" t="s">
        <v>41</v>
      </c>
      <c r="L25" t="s">
        <v>2605</v>
      </c>
      <c r="M25" t="s">
        <v>2606</v>
      </c>
      <c r="O25" t="s">
        <v>141</v>
      </c>
      <c r="P25" t="s">
        <v>142</v>
      </c>
      <c r="Q25">
        <v>0.1702036546573501</v>
      </c>
      <c r="S25" t="s">
        <v>38</v>
      </c>
      <c r="V25" t="s">
        <v>182</v>
      </c>
      <c r="X25" t="s">
        <v>2655</v>
      </c>
      <c r="Y25" t="s">
        <v>420</v>
      </c>
      <c r="Z25" t="s">
        <v>765</v>
      </c>
      <c r="AA25" t="s">
        <v>121</v>
      </c>
      <c r="AB25" t="s">
        <v>41</v>
      </c>
      <c r="AD25" t="s">
        <v>2656</v>
      </c>
      <c r="AF25" t="s">
        <v>2657</v>
      </c>
      <c r="AJ25">
        <v>96.278200997653926</v>
      </c>
      <c r="AK25">
        <v>688.79250813332612</v>
      </c>
    </row>
    <row r="26" spans="1:37" hidden="1" x14ac:dyDescent="0.25">
      <c r="A26">
        <v>25</v>
      </c>
      <c r="B26" t="s">
        <v>2659</v>
      </c>
      <c r="C26" t="s">
        <v>376</v>
      </c>
      <c r="D26" t="s">
        <v>2604</v>
      </c>
      <c r="E26" t="s">
        <v>37</v>
      </c>
      <c r="F26" t="s">
        <v>38</v>
      </c>
      <c r="G26" s="2">
        <v>45847</v>
      </c>
      <c r="H26">
        <v>0.1</v>
      </c>
      <c r="I26" t="s">
        <v>72</v>
      </c>
      <c r="J26" t="s">
        <v>40</v>
      </c>
      <c r="K26" t="s">
        <v>41</v>
      </c>
      <c r="L26" t="s">
        <v>2605</v>
      </c>
      <c r="M26" t="s">
        <v>2606</v>
      </c>
      <c r="O26" t="s">
        <v>141</v>
      </c>
      <c r="P26" t="s">
        <v>142</v>
      </c>
      <c r="Q26">
        <v>0.14001578174324811</v>
      </c>
      <c r="S26" t="s">
        <v>38</v>
      </c>
      <c r="T26" t="s">
        <v>2660</v>
      </c>
      <c r="V26" t="s">
        <v>182</v>
      </c>
      <c r="X26" t="s">
        <v>2650</v>
      </c>
      <c r="Y26" t="s">
        <v>420</v>
      </c>
      <c r="Z26" t="s">
        <v>765</v>
      </c>
      <c r="AA26" t="s">
        <v>121</v>
      </c>
      <c r="AB26" t="s">
        <v>41</v>
      </c>
      <c r="AD26" t="s">
        <v>2651</v>
      </c>
      <c r="AF26" t="s">
        <v>1276</v>
      </c>
      <c r="AJ26">
        <v>93.654055823171944</v>
      </c>
      <c r="AK26">
        <v>566.62603208688188</v>
      </c>
    </row>
    <row r="27" spans="1:37" hidden="1" x14ac:dyDescent="0.25">
      <c r="A27">
        <v>26</v>
      </c>
      <c r="B27" t="s">
        <v>2661</v>
      </c>
      <c r="C27" t="s">
        <v>376</v>
      </c>
      <c r="D27" t="s">
        <v>2604</v>
      </c>
      <c r="E27" t="s">
        <v>37</v>
      </c>
      <c r="F27" t="s">
        <v>38</v>
      </c>
      <c r="G27" s="2">
        <v>45847</v>
      </c>
      <c r="H27">
        <v>0.4</v>
      </c>
      <c r="I27" t="s">
        <v>72</v>
      </c>
      <c r="J27" t="s">
        <v>40</v>
      </c>
      <c r="K27" t="s">
        <v>41</v>
      </c>
      <c r="L27" t="s">
        <v>2605</v>
      </c>
      <c r="M27" t="s">
        <v>2606</v>
      </c>
      <c r="O27" t="s">
        <v>99</v>
      </c>
      <c r="P27" t="s">
        <v>100</v>
      </c>
      <c r="Q27">
        <v>0.24576531916197389</v>
      </c>
      <c r="R27" t="s">
        <v>73</v>
      </c>
      <c r="S27" t="s">
        <v>74</v>
      </c>
      <c r="T27" t="s">
        <v>2662</v>
      </c>
      <c r="V27" t="s">
        <v>182</v>
      </c>
      <c r="X27" t="s">
        <v>2663</v>
      </c>
      <c r="Y27" t="s">
        <v>420</v>
      </c>
      <c r="Z27" t="s">
        <v>765</v>
      </c>
      <c r="AA27" t="s">
        <v>121</v>
      </c>
      <c r="AB27" t="s">
        <v>41</v>
      </c>
      <c r="AJ27">
        <v>183.81458660573779</v>
      </c>
      <c r="AK27">
        <v>994.58093857359586</v>
      </c>
    </row>
    <row r="28" spans="1:37" x14ac:dyDescent="0.25">
      <c r="A28">
        <v>27</v>
      </c>
      <c r="B28" t="s">
        <v>2664</v>
      </c>
      <c r="C28" t="s">
        <v>376</v>
      </c>
      <c r="D28" t="s">
        <v>2604</v>
      </c>
      <c r="E28" t="s">
        <v>37</v>
      </c>
      <c r="F28" t="s">
        <v>38</v>
      </c>
      <c r="G28" s="2">
        <v>45846</v>
      </c>
      <c r="H28">
        <v>6.4</v>
      </c>
      <c r="I28" t="s">
        <v>72</v>
      </c>
      <c r="J28" t="s">
        <v>40</v>
      </c>
      <c r="K28" t="s">
        <v>41</v>
      </c>
      <c r="L28" t="s">
        <v>2605</v>
      </c>
      <c r="M28" t="s">
        <v>2606</v>
      </c>
      <c r="O28" t="s">
        <v>62</v>
      </c>
      <c r="P28" t="s">
        <v>63</v>
      </c>
      <c r="Q28">
        <v>8.215360055981634</v>
      </c>
      <c r="R28" t="s">
        <v>64</v>
      </c>
      <c r="S28" t="s">
        <v>65</v>
      </c>
      <c r="T28" t="s">
        <v>2665</v>
      </c>
      <c r="V28" t="s">
        <v>50</v>
      </c>
      <c r="X28" t="s">
        <v>2666</v>
      </c>
      <c r="Y28" t="s">
        <v>420</v>
      </c>
      <c r="Z28" t="s">
        <v>2630</v>
      </c>
      <c r="AA28" t="s">
        <v>139</v>
      </c>
      <c r="AB28" t="s">
        <v>41</v>
      </c>
      <c r="AD28" t="s">
        <v>620</v>
      </c>
      <c r="AF28" t="s">
        <v>2667</v>
      </c>
      <c r="AJ28">
        <v>765.82106036188122</v>
      </c>
      <c r="AK28">
        <v>33246.515590807066</v>
      </c>
    </row>
    <row r="29" spans="1:37" x14ac:dyDescent="0.25">
      <c r="A29">
        <v>28</v>
      </c>
      <c r="B29" t="s">
        <v>2668</v>
      </c>
      <c r="C29" t="s">
        <v>376</v>
      </c>
      <c r="D29" t="s">
        <v>2604</v>
      </c>
      <c r="E29" t="s">
        <v>37</v>
      </c>
      <c r="F29" t="s">
        <v>38</v>
      </c>
      <c r="G29" s="2">
        <v>45847</v>
      </c>
      <c r="I29" t="s">
        <v>72</v>
      </c>
      <c r="J29" t="s">
        <v>40</v>
      </c>
      <c r="K29" t="s">
        <v>41</v>
      </c>
      <c r="L29" t="s">
        <v>2605</v>
      </c>
      <c r="M29" t="s">
        <v>2606</v>
      </c>
      <c r="O29" t="s">
        <v>62</v>
      </c>
      <c r="P29" t="s">
        <v>63</v>
      </c>
      <c r="Q29">
        <v>5.6398310692491442</v>
      </c>
      <c r="R29" t="s">
        <v>64</v>
      </c>
      <c r="S29" t="s">
        <v>65</v>
      </c>
      <c r="V29" t="s">
        <v>182</v>
      </c>
      <c r="Y29" t="s">
        <v>420</v>
      </c>
      <c r="Z29" t="s">
        <v>765</v>
      </c>
      <c r="AA29" t="s">
        <v>121</v>
      </c>
      <c r="AB29" t="s">
        <v>41</v>
      </c>
      <c r="AJ29">
        <v>766.16153031284466</v>
      </c>
      <c r="AK29">
        <v>22823.677878462171</v>
      </c>
    </row>
    <row r="30" spans="1:37" x14ac:dyDescent="0.25">
      <c r="A30">
        <v>29</v>
      </c>
      <c r="B30" t="s">
        <v>2669</v>
      </c>
      <c r="C30" t="s">
        <v>376</v>
      </c>
      <c r="D30" t="s">
        <v>2604</v>
      </c>
      <c r="E30" t="s">
        <v>37</v>
      </c>
      <c r="F30" t="s">
        <v>38</v>
      </c>
      <c r="G30" s="2">
        <v>45847</v>
      </c>
      <c r="H30">
        <v>1</v>
      </c>
      <c r="I30" t="s">
        <v>72</v>
      </c>
      <c r="J30" t="s">
        <v>40</v>
      </c>
      <c r="K30" t="s">
        <v>41</v>
      </c>
      <c r="L30" t="s">
        <v>2605</v>
      </c>
      <c r="M30" t="s">
        <v>2606</v>
      </c>
      <c r="O30" t="s">
        <v>62</v>
      </c>
      <c r="P30" t="s">
        <v>63</v>
      </c>
      <c r="Q30">
        <v>0.9435821339271494</v>
      </c>
      <c r="R30" t="s">
        <v>64</v>
      </c>
      <c r="S30" t="s">
        <v>65</v>
      </c>
      <c r="T30" t="s">
        <v>2670</v>
      </c>
      <c r="V30" t="s">
        <v>182</v>
      </c>
      <c r="X30" t="s">
        <v>2671</v>
      </c>
      <c r="Y30" t="s">
        <v>420</v>
      </c>
      <c r="Z30" t="s">
        <v>765</v>
      </c>
      <c r="AA30" t="s">
        <v>121</v>
      </c>
      <c r="AB30" t="s">
        <v>41</v>
      </c>
      <c r="AJ30">
        <v>257.46338413868142</v>
      </c>
      <c r="AK30">
        <v>3818.5566929564789</v>
      </c>
    </row>
    <row r="31" spans="1:37" x14ac:dyDescent="0.25">
      <c r="A31">
        <v>30</v>
      </c>
      <c r="B31" t="s">
        <v>2672</v>
      </c>
      <c r="C31" t="s">
        <v>376</v>
      </c>
      <c r="D31" t="s">
        <v>2604</v>
      </c>
      <c r="E31" t="s">
        <v>37</v>
      </c>
      <c r="F31" t="s">
        <v>38</v>
      </c>
      <c r="G31" s="2">
        <v>45846</v>
      </c>
      <c r="H31">
        <v>5.0999999999999996</v>
      </c>
      <c r="I31" t="s">
        <v>72</v>
      </c>
      <c r="J31" t="s">
        <v>40</v>
      </c>
      <c r="K31" t="s">
        <v>41</v>
      </c>
      <c r="L31" t="s">
        <v>2605</v>
      </c>
      <c r="M31" t="s">
        <v>2606</v>
      </c>
      <c r="O31" t="s">
        <v>62</v>
      </c>
      <c r="P31" t="s">
        <v>63</v>
      </c>
      <c r="Q31">
        <v>6.618605347913558</v>
      </c>
      <c r="R31" t="s">
        <v>64</v>
      </c>
      <c r="S31" t="s">
        <v>65</v>
      </c>
      <c r="T31" t="s">
        <v>2665</v>
      </c>
      <c r="V31" t="s">
        <v>50</v>
      </c>
      <c r="X31" t="s">
        <v>2666</v>
      </c>
      <c r="Y31" t="s">
        <v>412</v>
      </c>
      <c r="Z31" t="s">
        <v>2630</v>
      </c>
      <c r="AA31" t="s">
        <v>76</v>
      </c>
      <c r="AB31" t="s">
        <v>41</v>
      </c>
      <c r="AD31" t="s">
        <v>620</v>
      </c>
      <c r="AF31" t="s">
        <v>2667</v>
      </c>
      <c r="AJ31">
        <v>665.53813905590164</v>
      </c>
      <c r="AK31">
        <v>26784.652698038619</v>
      </c>
    </row>
    <row r="32" spans="1:37" hidden="1" x14ac:dyDescent="0.25">
      <c r="A32">
        <v>31</v>
      </c>
      <c r="B32" t="s">
        <v>2673</v>
      </c>
      <c r="C32" t="s">
        <v>376</v>
      </c>
      <c r="D32" t="s">
        <v>2604</v>
      </c>
      <c r="E32" t="s">
        <v>37</v>
      </c>
      <c r="F32" t="s">
        <v>38</v>
      </c>
      <c r="G32" s="2">
        <v>45847</v>
      </c>
      <c r="I32" t="s">
        <v>72</v>
      </c>
      <c r="J32" t="s">
        <v>40</v>
      </c>
      <c r="K32" t="s">
        <v>41</v>
      </c>
      <c r="L32" t="s">
        <v>2605</v>
      </c>
      <c r="M32" t="s">
        <v>2606</v>
      </c>
      <c r="O32" t="s">
        <v>402</v>
      </c>
      <c r="P32" t="s">
        <v>403</v>
      </c>
      <c r="Q32">
        <v>0.68329814018311508</v>
      </c>
      <c r="S32" t="s">
        <v>38</v>
      </c>
      <c r="T32" t="s">
        <v>495</v>
      </c>
      <c r="V32" t="s">
        <v>182</v>
      </c>
      <c r="X32" t="s">
        <v>495</v>
      </c>
      <c r="Y32" t="s">
        <v>420</v>
      </c>
      <c r="Z32" t="s">
        <v>765</v>
      </c>
      <c r="AA32" t="s">
        <v>121</v>
      </c>
      <c r="AB32" t="s">
        <v>41</v>
      </c>
      <c r="AJ32">
        <v>218.32424891609071</v>
      </c>
      <c r="AK32">
        <v>2765.2205278850652</v>
      </c>
    </row>
    <row r="33" spans="1:37" x14ac:dyDescent="0.25">
      <c r="A33">
        <v>32</v>
      </c>
      <c r="B33" t="s">
        <v>2674</v>
      </c>
      <c r="C33" t="s">
        <v>376</v>
      </c>
      <c r="D33" t="s">
        <v>2604</v>
      </c>
      <c r="E33" t="s">
        <v>37</v>
      </c>
      <c r="F33" t="s">
        <v>38</v>
      </c>
      <c r="G33" s="2">
        <v>45846</v>
      </c>
      <c r="H33">
        <v>3.7</v>
      </c>
      <c r="I33" t="s">
        <v>72</v>
      </c>
      <c r="J33" t="s">
        <v>40</v>
      </c>
      <c r="K33" t="s">
        <v>41</v>
      </c>
      <c r="L33" t="s">
        <v>2605</v>
      </c>
      <c r="M33" t="s">
        <v>2606</v>
      </c>
      <c r="O33" t="s">
        <v>62</v>
      </c>
      <c r="P33" t="s">
        <v>63</v>
      </c>
      <c r="Q33">
        <v>4.7653082318149851</v>
      </c>
      <c r="R33" t="s">
        <v>64</v>
      </c>
      <c r="S33" t="s">
        <v>65</v>
      </c>
      <c r="T33" t="s">
        <v>2665</v>
      </c>
      <c r="V33" t="s">
        <v>50</v>
      </c>
      <c r="X33" t="s">
        <v>2666</v>
      </c>
      <c r="Y33" t="s">
        <v>412</v>
      </c>
      <c r="Z33" t="s">
        <v>2630</v>
      </c>
      <c r="AA33" t="s">
        <v>76</v>
      </c>
      <c r="AB33" t="s">
        <v>41</v>
      </c>
      <c r="AD33" t="s">
        <v>620</v>
      </c>
      <c r="AF33" t="s">
        <v>2667</v>
      </c>
      <c r="AJ33">
        <v>592.07959774579945</v>
      </c>
      <c r="AK33">
        <v>19284.59536094037</v>
      </c>
    </row>
    <row r="34" spans="1:37" x14ac:dyDescent="0.25">
      <c r="A34">
        <v>33</v>
      </c>
      <c r="B34" t="s">
        <v>2675</v>
      </c>
      <c r="C34" t="s">
        <v>376</v>
      </c>
      <c r="D34" t="s">
        <v>2604</v>
      </c>
      <c r="E34" t="s">
        <v>37</v>
      </c>
      <c r="F34" t="s">
        <v>38</v>
      </c>
      <c r="G34" s="2">
        <v>45847</v>
      </c>
      <c r="H34">
        <v>0.1</v>
      </c>
      <c r="I34" t="s">
        <v>72</v>
      </c>
      <c r="J34" t="s">
        <v>40</v>
      </c>
      <c r="K34" t="s">
        <v>41</v>
      </c>
      <c r="L34" t="s">
        <v>2605</v>
      </c>
      <c r="M34" t="s">
        <v>2606</v>
      </c>
      <c r="O34" t="s">
        <v>62</v>
      </c>
      <c r="P34" t="s">
        <v>63</v>
      </c>
      <c r="Q34">
        <v>5.0352508763192833E-2</v>
      </c>
      <c r="R34" t="s">
        <v>64</v>
      </c>
      <c r="S34" t="s">
        <v>65</v>
      </c>
      <c r="T34" t="s">
        <v>2676</v>
      </c>
      <c r="V34" t="s">
        <v>182</v>
      </c>
      <c r="X34" t="s">
        <v>2677</v>
      </c>
      <c r="Y34" t="s">
        <v>420</v>
      </c>
      <c r="Z34" t="s">
        <v>765</v>
      </c>
      <c r="AA34" t="s">
        <v>121</v>
      </c>
      <c r="AB34" t="s">
        <v>41</v>
      </c>
      <c r="AJ34">
        <v>55.624824633699667</v>
      </c>
      <c r="AK34">
        <v>203.77018855221829</v>
      </c>
    </row>
    <row r="35" spans="1:37" x14ac:dyDescent="0.25">
      <c r="A35">
        <v>34</v>
      </c>
      <c r="B35" t="s">
        <v>2678</v>
      </c>
      <c r="C35" t="s">
        <v>376</v>
      </c>
      <c r="D35" t="s">
        <v>2604</v>
      </c>
      <c r="E35" t="s">
        <v>37</v>
      </c>
      <c r="F35" t="s">
        <v>38</v>
      </c>
      <c r="G35" s="2">
        <v>45846</v>
      </c>
      <c r="H35">
        <v>3.3</v>
      </c>
      <c r="I35" t="s">
        <v>72</v>
      </c>
      <c r="J35" t="s">
        <v>40</v>
      </c>
      <c r="K35" t="s">
        <v>41</v>
      </c>
      <c r="L35" t="s">
        <v>2605</v>
      </c>
      <c r="M35" t="s">
        <v>2606</v>
      </c>
      <c r="O35" t="s">
        <v>62</v>
      </c>
      <c r="P35" t="s">
        <v>63</v>
      </c>
      <c r="Q35">
        <v>4.1797467668548967</v>
      </c>
      <c r="R35" t="s">
        <v>64</v>
      </c>
      <c r="S35" t="s">
        <v>65</v>
      </c>
      <c r="T35" t="s">
        <v>2665</v>
      </c>
      <c r="V35" t="s">
        <v>50</v>
      </c>
      <c r="X35" t="s">
        <v>2666</v>
      </c>
      <c r="Y35" t="s">
        <v>412</v>
      </c>
      <c r="Z35" t="s">
        <v>2630</v>
      </c>
      <c r="AA35" t="s">
        <v>76</v>
      </c>
      <c r="AB35" t="s">
        <v>41</v>
      </c>
      <c r="AD35" t="s">
        <v>620</v>
      </c>
      <c r="AF35" t="s">
        <v>2667</v>
      </c>
      <c r="AJ35">
        <v>718.45036161064252</v>
      </c>
      <c r="AK35">
        <v>16914.902706995541</v>
      </c>
    </row>
    <row r="36" spans="1:37" x14ac:dyDescent="0.25">
      <c r="A36">
        <v>36</v>
      </c>
      <c r="B36" t="s">
        <v>2682</v>
      </c>
      <c r="C36" t="s">
        <v>376</v>
      </c>
      <c r="D36" t="s">
        <v>2604</v>
      </c>
      <c r="E36" t="s">
        <v>37</v>
      </c>
      <c r="F36" t="s">
        <v>38</v>
      </c>
      <c r="G36" s="2">
        <v>45847</v>
      </c>
      <c r="H36">
        <v>1.4</v>
      </c>
      <c r="I36" t="s">
        <v>72</v>
      </c>
      <c r="J36" t="s">
        <v>40</v>
      </c>
      <c r="K36" t="s">
        <v>41</v>
      </c>
      <c r="L36" t="s">
        <v>2605</v>
      </c>
      <c r="M36" t="s">
        <v>2606</v>
      </c>
      <c r="O36" t="s">
        <v>62</v>
      </c>
      <c r="P36" t="s">
        <v>63</v>
      </c>
      <c r="Q36">
        <v>1.332667195102003</v>
      </c>
      <c r="R36" t="s">
        <v>64</v>
      </c>
      <c r="S36" t="s">
        <v>65</v>
      </c>
      <c r="T36" t="s">
        <v>2683</v>
      </c>
      <c r="V36" t="s">
        <v>397</v>
      </c>
      <c r="X36" t="s">
        <v>2680</v>
      </c>
      <c r="Y36" t="s">
        <v>412</v>
      </c>
      <c r="Z36" t="s">
        <v>765</v>
      </c>
      <c r="AA36" t="s">
        <v>64</v>
      </c>
      <c r="AB36" t="s">
        <v>41</v>
      </c>
      <c r="AD36" t="s">
        <v>898</v>
      </c>
      <c r="AF36" t="s">
        <v>2684</v>
      </c>
      <c r="AJ36">
        <v>335.02385268514507</v>
      </c>
      <c r="AK36">
        <v>5393.1343699362405</v>
      </c>
    </row>
    <row r="37" spans="1:37" x14ac:dyDescent="0.25">
      <c r="A37">
        <v>37</v>
      </c>
      <c r="B37" t="s">
        <v>2685</v>
      </c>
      <c r="C37" t="s">
        <v>376</v>
      </c>
      <c r="D37" t="s">
        <v>2604</v>
      </c>
      <c r="E37" t="s">
        <v>37</v>
      </c>
      <c r="F37" t="s">
        <v>38</v>
      </c>
      <c r="G37" s="2">
        <v>45847</v>
      </c>
      <c r="H37">
        <v>3.5</v>
      </c>
      <c r="I37" t="s">
        <v>72</v>
      </c>
      <c r="J37" t="s">
        <v>40</v>
      </c>
      <c r="K37" t="s">
        <v>41</v>
      </c>
      <c r="L37" t="s">
        <v>2605</v>
      </c>
      <c r="M37" t="s">
        <v>2606</v>
      </c>
      <c r="O37" t="s">
        <v>62</v>
      </c>
      <c r="P37" t="s">
        <v>63</v>
      </c>
      <c r="Q37">
        <v>2.5899613998817319</v>
      </c>
      <c r="R37" t="s">
        <v>64</v>
      </c>
      <c r="S37" t="s">
        <v>65</v>
      </c>
      <c r="T37" t="s">
        <v>2686</v>
      </c>
      <c r="V37" t="s">
        <v>397</v>
      </c>
      <c r="X37" t="s">
        <v>2687</v>
      </c>
      <c r="Y37" t="s">
        <v>412</v>
      </c>
      <c r="Z37" t="s">
        <v>765</v>
      </c>
      <c r="AA37" t="s">
        <v>64</v>
      </c>
      <c r="AB37" t="s">
        <v>41</v>
      </c>
      <c r="AJ37">
        <v>550.47416018475735</v>
      </c>
      <c r="AK37">
        <v>10481.24384981296</v>
      </c>
    </row>
    <row r="38" spans="1:37" hidden="1" x14ac:dyDescent="0.25">
      <c r="A38">
        <v>38</v>
      </c>
      <c r="B38" t="s">
        <v>2688</v>
      </c>
      <c r="C38" t="s">
        <v>376</v>
      </c>
      <c r="D38" t="s">
        <v>2604</v>
      </c>
      <c r="E38" t="s">
        <v>37</v>
      </c>
      <c r="F38" t="s">
        <v>38</v>
      </c>
      <c r="G38" s="2">
        <v>45869</v>
      </c>
      <c r="H38">
        <v>3.8</v>
      </c>
      <c r="I38" t="s">
        <v>72</v>
      </c>
      <c r="J38" t="s">
        <v>40</v>
      </c>
      <c r="K38" t="s">
        <v>41</v>
      </c>
      <c r="L38" t="s">
        <v>2605</v>
      </c>
      <c r="M38" t="s">
        <v>2606</v>
      </c>
      <c r="O38" t="s">
        <v>402</v>
      </c>
      <c r="P38" t="s">
        <v>403</v>
      </c>
      <c r="Q38">
        <v>2.500412968514949</v>
      </c>
      <c r="S38" t="s">
        <v>38</v>
      </c>
      <c r="T38" t="s">
        <v>673</v>
      </c>
      <c r="V38" t="s">
        <v>397</v>
      </c>
      <c r="X38" t="s">
        <v>2689</v>
      </c>
      <c r="Y38" t="s">
        <v>412</v>
      </c>
      <c r="Z38" t="s">
        <v>765</v>
      </c>
      <c r="AA38" t="s">
        <v>73</v>
      </c>
      <c r="AB38" t="s">
        <v>41</v>
      </c>
      <c r="AF38" t="s">
        <v>2667</v>
      </c>
      <c r="AJ38">
        <v>443.3907667576425</v>
      </c>
      <c r="AK38">
        <v>10118.852755657521</v>
      </c>
    </row>
    <row r="39" spans="1:37" hidden="1" x14ac:dyDescent="0.25">
      <c r="A39">
        <v>39</v>
      </c>
      <c r="B39" t="s">
        <v>2690</v>
      </c>
      <c r="C39" t="s">
        <v>376</v>
      </c>
      <c r="D39" t="s">
        <v>2604</v>
      </c>
      <c r="E39" t="s">
        <v>37</v>
      </c>
      <c r="F39" t="s">
        <v>38</v>
      </c>
      <c r="G39" s="2">
        <v>45846</v>
      </c>
      <c r="H39">
        <v>0.5</v>
      </c>
      <c r="I39" t="s">
        <v>72</v>
      </c>
      <c r="J39" t="s">
        <v>40</v>
      </c>
      <c r="K39" t="s">
        <v>41</v>
      </c>
      <c r="L39" t="s">
        <v>2605</v>
      </c>
      <c r="M39" t="s">
        <v>2606</v>
      </c>
      <c r="O39" t="s">
        <v>129</v>
      </c>
      <c r="P39" t="s">
        <v>130</v>
      </c>
      <c r="Q39">
        <v>0.69188661205811575</v>
      </c>
      <c r="R39" t="s">
        <v>73</v>
      </c>
      <c r="S39" t="s">
        <v>74</v>
      </c>
      <c r="T39" t="s">
        <v>2691</v>
      </c>
      <c r="V39" t="s">
        <v>50</v>
      </c>
      <c r="X39" t="s">
        <v>2692</v>
      </c>
      <c r="Y39" t="s">
        <v>412</v>
      </c>
      <c r="Z39" t="s">
        <v>2630</v>
      </c>
      <c r="AA39" t="s">
        <v>76</v>
      </c>
      <c r="AB39" t="s">
        <v>41</v>
      </c>
      <c r="AD39" t="s">
        <v>399</v>
      </c>
      <c r="AJ39">
        <v>215.1876523734656</v>
      </c>
      <c r="AK39">
        <v>2799.9769794766812</v>
      </c>
    </row>
    <row r="40" spans="1:37" x14ac:dyDescent="0.25">
      <c r="A40">
        <v>40</v>
      </c>
      <c r="B40" t="s">
        <v>2693</v>
      </c>
      <c r="C40" t="s">
        <v>376</v>
      </c>
      <c r="D40" t="s">
        <v>2604</v>
      </c>
      <c r="E40" t="s">
        <v>37</v>
      </c>
      <c r="F40" t="s">
        <v>38</v>
      </c>
      <c r="G40" s="2">
        <v>45847</v>
      </c>
      <c r="H40">
        <v>0.5</v>
      </c>
      <c r="I40" t="s">
        <v>72</v>
      </c>
      <c r="J40" t="s">
        <v>40</v>
      </c>
      <c r="K40" t="s">
        <v>41</v>
      </c>
      <c r="L40" t="s">
        <v>2605</v>
      </c>
      <c r="M40" t="s">
        <v>2606</v>
      </c>
      <c r="O40" t="s">
        <v>62</v>
      </c>
      <c r="P40" t="s">
        <v>63</v>
      </c>
      <c r="Q40">
        <v>0.40488684506415079</v>
      </c>
      <c r="R40" t="s">
        <v>64</v>
      </c>
      <c r="S40" t="s">
        <v>65</v>
      </c>
      <c r="T40" t="s">
        <v>2694</v>
      </c>
      <c r="V40" t="s">
        <v>397</v>
      </c>
      <c r="X40" t="s">
        <v>2695</v>
      </c>
      <c r="Y40" t="s">
        <v>412</v>
      </c>
      <c r="Z40" t="s">
        <v>765</v>
      </c>
      <c r="AA40" t="s">
        <v>64</v>
      </c>
      <c r="AB40" t="s">
        <v>41</v>
      </c>
      <c r="AJ40">
        <v>187.86667593691189</v>
      </c>
      <c r="AK40">
        <v>1638.5254833885119</v>
      </c>
    </row>
    <row r="41" spans="1:37" x14ac:dyDescent="0.25">
      <c r="A41">
        <v>41</v>
      </c>
      <c r="B41" t="s">
        <v>2696</v>
      </c>
      <c r="C41" t="s">
        <v>376</v>
      </c>
      <c r="D41" t="s">
        <v>2604</v>
      </c>
      <c r="E41" t="s">
        <v>37</v>
      </c>
      <c r="F41" t="s">
        <v>38</v>
      </c>
      <c r="G41" s="2">
        <v>45847</v>
      </c>
      <c r="H41">
        <v>0.3</v>
      </c>
      <c r="I41" t="s">
        <v>72</v>
      </c>
      <c r="J41" t="s">
        <v>40</v>
      </c>
      <c r="K41" t="s">
        <v>41</v>
      </c>
      <c r="L41" t="s">
        <v>2605</v>
      </c>
      <c r="M41" t="s">
        <v>2606</v>
      </c>
      <c r="O41" t="s">
        <v>62</v>
      </c>
      <c r="P41" t="s">
        <v>63</v>
      </c>
      <c r="Q41">
        <v>0.32498555121800732</v>
      </c>
      <c r="R41" t="s">
        <v>64</v>
      </c>
      <c r="S41" t="s">
        <v>65</v>
      </c>
      <c r="T41" t="s">
        <v>2686</v>
      </c>
      <c r="V41" t="s">
        <v>397</v>
      </c>
      <c r="X41" t="s">
        <v>2687</v>
      </c>
      <c r="Y41" t="s">
        <v>412</v>
      </c>
      <c r="Z41" t="s">
        <v>765</v>
      </c>
      <c r="AA41" t="s">
        <v>64</v>
      </c>
      <c r="AB41" t="s">
        <v>41</v>
      </c>
      <c r="AJ41">
        <v>146.41702700366599</v>
      </c>
      <c r="AK41">
        <v>1315.175125829039</v>
      </c>
    </row>
    <row r="42" spans="1:37" x14ac:dyDescent="0.25">
      <c r="A42">
        <v>42</v>
      </c>
      <c r="B42" t="s">
        <v>2697</v>
      </c>
      <c r="C42" t="s">
        <v>376</v>
      </c>
      <c r="D42" t="s">
        <v>2604</v>
      </c>
      <c r="E42" t="s">
        <v>37</v>
      </c>
      <c r="F42" t="s">
        <v>38</v>
      </c>
      <c r="G42" s="2">
        <v>45847</v>
      </c>
      <c r="H42">
        <v>0.1</v>
      </c>
      <c r="I42" t="s">
        <v>72</v>
      </c>
      <c r="J42" t="s">
        <v>40</v>
      </c>
      <c r="K42" t="s">
        <v>41</v>
      </c>
      <c r="L42" t="s">
        <v>2605</v>
      </c>
      <c r="M42" t="s">
        <v>2606</v>
      </c>
      <c r="O42" t="s">
        <v>62</v>
      </c>
      <c r="P42" t="s">
        <v>63</v>
      </c>
      <c r="Q42">
        <v>1.4080601753549171E-2</v>
      </c>
      <c r="R42" t="s">
        <v>64</v>
      </c>
      <c r="S42" t="s">
        <v>65</v>
      </c>
      <c r="T42" t="s">
        <v>2694</v>
      </c>
      <c r="V42" t="s">
        <v>397</v>
      </c>
      <c r="X42" t="s">
        <v>2695</v>
      </c>
      <c r="Y42" t="s">
        <v>412</v>
      </c>
      <c r="Z42" t="s">
        <v>765</v>
      </c>
      <c r="AA42" t="s">
        <v>64</v>
      </c>
      <c r="AB42" t="s">
        <v>41</v>
      </c>
      <c r="AJ42">
        <v>30.98189159619297</v>
      </c>
      <c r="AK42">
        <v>56.98240156698548</v>
      </c>
    </row>
    <row r="43" spans="1:37" hidden="1" x14ac:dyDescent="0.25">
      <c r="A43">
        <v>43</v>
      </c>
      <c r="B43" t="s">
        <v>2698</v>
      </c>
      <c r="C43" t="s">
        <v>376</v>
      </c>
      <c r="D43" t="s">
        <v>2604</v>
      </c>
      <c r="E43" t="s">
        <v>37</v>
      </c>
      <c r="F43" t="s">
        <v>38</v>
      </c>
      <c r="G43" s="2">
        <v>45846</v>
      </c>
      <c r="H43">
        <v>1.7</v>
      </c>
      <c r="I43" t="s">
        <v>72</v>
      </c>
      <c r="J43" t="s">
        <v>40</v>
      </c>
      <c r="K43" t="s">
        <v>41</v>
      </c>
      <c r="L43" t="s">
        <v>2605</v>
      </c>
      <c r="M43" t="s">
        <v>2606</v>
      </c>
      <c r="O43" t="s">
        <v>67</v>
      </c>
      <c r="P43" t="s">
        <v>68</v>
      </c>
      <c r="Q43">
        <v>1.6945345163324139</v>
      </c>
      <c r="R43" t="s">
        <v>73</v>
      </c>
      <c r="S43" t="s">
        <v>74</v>
      </c>
      <c r="T43" t="s">
        <v>2691</v>
      </c>
      <c r="V43" t="s">
        <v>50</v>
      </c>
      <c r="X43" t="s">
        <v>2692</v>
      </c>
      <c r="Y43" t="s">
        <v>412</v>
      </c>
      <c r="Z43" t="s">
        <v>2630</v>
      </c>
      <c r="AA43" t="s">
        <v>76</v>
      </c>
      <c r="AB43" t="s">
        <v>41</v>
      </c>
      <c r="AJ43">
        <v>327.4297654437155</v>
      </c>
      <c r="AK43">
        <v>6857.5653206321585</v>
      </c>
    </row>
    <row r="44" spans="1:37" hidden="1" x14ac:dyDescent="0.25">
      <c r="A44">
        <v>44</v>
      </c>
      <c r="B44" t="s">
        <v>2699</v>
      </c>
      <c r="C44" t="s">
        <v>376</v>
      </c>
      <c r="D44" t="s">
        <v>2604</v>
      </c>
      <c r="E44" t="s">
        <v>37</v>
      </c>
      <c r="F44" t="s">
        <v>38</v>
      </c>
      <c r="G44" s="2">
        <v>45846</v>
      </c>
      <c r="H44">
        <v>0.5</v>
      </c>
      <c r="I44" t="s">
        <v>72</v>
      </c>
      <c r="J44" t="s">
        <v>40</v>
      </c>
      <c r="K44" t="s">
        <v>41</v>
      </c>
      <c r="L44" t="s">
        <v>2605</v>
      </c>
      <c r="M44" t="s">
        <v>2606</v>
      </c>
      <c r="O44" t="s">
        <v>67</v>
      </c>
      <c r="P44" t="s">
        <v>68</v>
      </c>
      <c r="Q44">
        <v>0.50987398208899493</v>
      </c>
      <c r="R44" t="s">
        <v>73</v>
      </c>
      <c r="S44" t="s">
        <v>74</v>
      </c>
      <c r="T44" t="s">
        <v>2691</v>
      </c>
      <c r="V44" t="s">
        <v>50</v>
      </c>
      <c r="X44" t="s">
        <v>2700</v>
      </c>
      <c r="Y44" t="s">
        <v>412</v>
      </c>
      <c r="Z44" t="s">
        <v>2630</v>
      </c>
      <c r="AA44" t="s">
        <v>76</v>
      </c>
      <c r="AB44" t="s">
        <v>41</v>
      </c>
      <c r="AJ44">
        <v>241.40276191263439</v>
      </c>
      <c r="AK44">
        <v>2063.3950526034678</v>
      </c>
    </row>
    <row r="45" spans="1:37" x14ac:dyDescent="0.25">
      <c r="A45">
        <v>45</v>
      </c>
      <c r="B45" t="s">
        <v>2701</v>
      </c>
      <c r="C45" t="s">
        <v>376</v>
      </c>
      <c r="D45" t="s">
        <v>2604</v>
      </c>
      <c r="E45" t="s">
        <v>37</v>
      </c>
      <c r="F45" t="s">
        <v>38</v>
      </c>
      <c r="G45" s="2">
        <v>45845</v>
      </c>
      <c r="H45">
        <v>10.5</v>
      </c>
      <c r="I45" t="s">
        <v>72</v>
      </c>
      <c r="J45" t="s">
        <v>40</v>
      </c>
      <c r="K45" t="s">
        <v>41</v>
      </c>
      <c r="L45" t="s">
        <v>2605</v>
      </c>
      <c r="M45" t="s">
        <v>2606</v>
      </c>
      <c r="N45" t="s">
        <v>2702</v>
      </c>
      <c r="O45" t="s">
        <v>62</v>
      </c>
      <c r="P45" t="s">
        <v>63</v>
      </c>
      <c r="Q45">
        <v>9.3299718810714811</v>
      </c>
      <c r="R45" t="s">
        <v>64</v>
      </c>
      <c r="S45" t="s">
        <v>65</v>
      </c>
      <c r="T45" t="s">
        <v>2703</v>
      </c>
      <c r="V45" t="s">
        <v>681</v>
      </c>
      <c r="X45" t="s">
        <v>2704</v>
      </c>
      <c r="Y45" t="s">
        <v>412</v>
      </c>
      <c r="Z45" t="s">
        <v>2630</v>
      </c>
      <c r="AA45" t="s">
        <v>76</v>
      </c>
      <c r="AB45" t="s">
        <v>41</v>
      </c>
      <c r="AD45" t="s">
        <v>399</v>
      </c>
      <c r="AF45" t="s">
        <v>1097</v>
      </c>
      <c r="AJ45">
        <v>1152.2688481621051</v>
      </c>
      <c r="AK45">
        <v>37757.207656405117</v>
      </c>
    </row>
    <row r="46" spans="1:37" x14ac:dyDescent="0.25">
      <c r="A46">
        <v>46</v>
      </c>
      <c r="B46" t="s">
        <v>2705</v>
      </c>
      <c r="C46" t="s">
        <v>376</v>
      </c>
      <c r="D46" t="s">
        <v>2604</v>
      </c>
      <c r="E46" t="s">
        <v>37</v>
      </c>
      <c r="F46" t="s">
        <v>38</v>
      </c>
      <c r="G46" s="2">
        <v>45869</v>
      </c>
      <c r="H46">
        <v>7</v>
      </c>
      <c r="I46" t="s">
        <v>72</v>
      </c>
      <c r="J46" t="s">
        <v>40</v>
      </c>
      <c r="K46" t="s">
        <v>41</v>
      </c>
      <c r="L46" t="s">
        <v>2605</v>
      </c>
      <c r="M46" t="s">
        <v>2606</v>
      </c>
      <c r="O46" t="s">
        <v>62</v>
      </c>
      <c r="P46" t="s">
        <v>63</v>
      </c>
      <c r="Q46">
        <v>4.6543379205469986</v>
      </c>
      <c r="R46" t="s">
        <v>64</v>
      </c>
      <c r="S46" t="s">
        <v>65</v>
      </c>
      <c r="T46" t="s">
        <v>2706</v>
      </c>
      <c r="V46" t="s">
        <v>397</v>
      </c>
      <c r="X46" t="s">
        <v>2707</v>
      </c>
      <c r="Y46" t="s">
        <v>412</v>
      </c>
      <c r="Z46" t="s">
        <v>765</v>
      </c>
      <c r="AA46" t="s">
        <v>73</v>
      </c>
      <c r="AB46" t="s">
        <v>41</v>
      </c>
      <c r="AJ46">
        <v>597.62718506393003</v>
      </c>
      <c r="AK46">
        <v>18835.51264776073</v>
      </c>
    </row>
    <row r="47" spans="1:37" x14ac:dyDescent="0.25">
      <c r="A47">
        <v>47</v>
      </c>
      <c r="B47" t="s">
        <v>2708</v>
      </c>
      <c r="C47" t="s">
        <v>376</v>
      </c>
      <c r="D47" t="s">
        <v>2604</v>
      </c>
      <c r="E47" t="s">
        <v>37</v>
      </c>
      <c r="F47" t="s">
        <v>38</v>
      </c>
      <c r="G47" s="2">
        <v>45869</v>
      </c>
      <c r="H47">
        <v>1.5</v>
      </c>
      <c r="I47" t="s">
        <v>72</v>
      </c>
      <c r="J47" t="s">
        <v>40</v>
      </c>
      <c r="K47" t="s">
        <v>41</v>
      </c>
      <c r="L47" t="s">
        <v>2605</v>
      </c>
      <c r="M47" t="s">
        <v>2606</v>
      </c>
      <c r="O47" t="s">
        <v>62</v>
      </c>
      <c r="P47" t="s">
        <v>63</v>
      </c>
      <c r="Q47">
        <v>1.453860116805217</v>
      </c>
      <c r="R47" t="s">
        <v>64</v>
      </c>
      <c r="S47" t="s">
        <v>65</v>
      </c>
      <c r="T47" t="s">
        <v>2709</v>
      </c>
      <c r="V47" t="s">
        <v>397</v>
      </c>
      <c r="X47" t="s">
        <v>2710</v>
      </c>
      <c r="Y47" t="s">
        <v>412</v>
      </c>
      <c r="Z47" t="s">
        <v>765</v>
      </c>
      <c r="AA47" t="s">
        <v>73</v>
      </c>
      <c r="AB47" t="s">
        <v>41</v>
      </c>
      <c r="AJ47">
        <v>366.49634603309153</v>
      </c>
      <c r="AK47">
        <v>5883.5866852876125</v>
      </c>
    </row>
    <row r="48" spans="1:37" x14ac:dyDescent="0.25">
      <c r="A48">
        <v>48</v>
      </c>
      <c r="B48" t="s">
        <v>2711</v>
      </c>
      <c r="C48" t="s">
        <v>376</v>
      </c>
      <c r="D48" t="s">
        <v>2604</v>
      </c>
      <c r="E48" t="s">
        <v>37</v>
      </c>
      <c r="F48" t="s">
        <v>38</v>
      </c>
      <c r="G48" s="2">
        <v>45846</v>
      </c>
      <c r="H48">
        <v>1.2</v>
      </c>
      <c r="I48" t="s">
        <v>72</v>
      </c>
      <c r="J48" t="s">
        <v>40</v>
      </c>
      <c r="K48" t="s">
        <v>41</v>
      </c>
      <c r="L48" t="s">
        <v>2605</v>
      </c>
      <c r="M48" t="s">
        <v>2606</v>
      </c>
      <c r="N48" t="s">
        <v>2712</v>
      </c>
      <c r="O48" t="s">
        <v>62</v>
      </c>
      <c r="P48" t="s">
        <v>63</v>
      </c>
      <c r="Q48">
        <v>0.81925716071091426</v>
      </c>
      <c r="R48" t="s">
        <v>64</v>
      </c>
      <c r="S48" t="s">
        <v>65</v>
      </c>
      <c r="T48" t="s">
        <v>2713</v>
      </c>
      <c r="V48" t="s">
        <v>681</v>
      </c>
      <c r="X48" t="s">
        <v>2714</v>
      </c>
      <c r="Y48" t="s">
        <v>412</v>
      </c>
      <c r="Z48" t="s">
        <v>2630</v>
      </c>
      <c r="AA48" t="s">
        <v>76</v>
      </c>
      <c r="AB48" t="s">
        <v>41</v>
      </c>
      <c r="AD48" t="s">
        <v>620</v>
      </c>
      <c r="AF48" t="s">
        <v>2641</v>
      </c>
      <c r="AJ48">
        <v>396.53375333583682</v>
      </c>
      <c r="AK48">
        <v>3315.4293641243471</v>
      </c>
    </row>
    <row r="49" spans="1:37" x14ac:dyDescent="0.25">
      <c r="A49">
        <v>49</v>
      </c>
      <c r="B49" t="s">
        <v>2715</v>
      </c>
      <c r="C49" t="s">
        <v>376</v>
      </c>
      <c r="D49" t="s">
        <v>2604</v>
      </c>
      <c r="E49" t="s">
        <v>37</v>
      </c>
      <c r="F49" t="s">
        <v>38</v>
      </c>
      <c r="G49" s="2">
        <v>45846</v>
      </c>
      <c r="H49">
        <v>0.4</v>
      </c>
      <c r="I49" t="s">
        <v>72</v>
      </c>
      <c r="J49" t="s">
        <v>40</v>
      </c>
      <c r="K49" t="s">
        <v>41</v>
      </c>
      <c r="L49" t="s">
        <v>2605</v>
      </c>
      <c r="M49" t="s">
        <v>2606</v>
      </c>
      <c r="N49" t="s">
        <v>2712</v>
      </c>
      <c r="O49" t="s">
        <v>62</v>
      </c>
      <c r="P49" t="s">
        <v>63</v>
      </c>
      <c r="Q49">
        <v>0.36451205504216388</v>
      </c>
      <c r="R49" t="s">
        <v>64</v>
      </c>
      <c r="S49" t="s">
        <v>65</v>
      </c>
      <c r="T49" t="s">
        <v>2713</v>
      </c>
      <c r="V49" t="s">
        <v>681</v>
      </c>
      <c r="X49" t="s">
        <v>2714</v>
      </c>
      <c r="Y49" t="s">
        <v>412</v>
      </c>
      <c r="Z49" t="s">
        <v>2623</v>
      </c>
      <c r="AA49" t="s">
        <v>46</v>
      </c>
      <c r="AB49" t="s">
        <v>41</v>
      </c>
      <c r="AD49" t="s">
        <v>620</v>
      </c>
      <c r="AF49" t="s">
        <v>2641</v>
      </c>
      <c r="AJ49">
        <v>189.61768869494509</v>
      </c>
      <c r="AK49">
        <v>1475.1338515191089</v>
      </c>
    </row>
    <row r="50" spans="1:37" hidden="1" x14ac:dyDescent="0.25">
      <c r="A50">
        <v>50</v>
      </c>
      <c r="B50" t="s">
        <v>2716</v>
      </c>
      <c r="C50" t="s">
        <v>376</v>
      </c>
      <c r="D50" t="s">
        <v>2604</v>
      </c>
      <c r="E50" t="s">
        <v>37</v>
      </c>
      <c r="F50" t="s">
        <v>38</v>
      </c>
      <c r="G50" s="2">
        <v>45869</v>
      </c>
      <c r="I50" t="s">
        <v>72</v>
      </c>
      <c r="J50" t="s">
        <v>40</v>
      </c>
      <c r="K50" t="s">
        <v>41</v>
      </c>
      <c r="L50" t="s">
        <v>2605</v>
      </c>
      <c r="M50" t="s">
        <v>2606</v>
      </c>
      <c r="O50" t="s">
        <v>402</v>
      </c>
      <c r="P50" t="s">
        <v>403</v>
      </c>
      <c r="Q50">
        <v>2.1596096031387191</v>
      </c>
      <c r="S50" t="s">
        <v>38</v>
      </c>
      <c r="T50" t="s">
        <v>673</v>
      </c>
      <c r="V50" t="s">
        <v>397</v>
      </c>
      <c r="X50" t="s">
        <v>673</v>
      </c>
      <c r="Y50" t="s">
        <v>412</v>
      </c>
      <c r="Z50" t="s">
        <v>765</v>
      </c>
      <c r="AA50" t="s">
        <v>73</v>
      </c>
      <c r="AB50" t="s">
        <v>41</v>
      </c>
      <c r="AE50" t="s">
        <v>2234</v>
      </c>
      <c r="AF50" t="s">
        <v>2667</v>
      </c>
      <c r="AJ50">
        <v>630.5380421514642</v>
      </c>
      <c r="AK50">
        <v>8739.6649509634826</v>
      </c>
    </row>
    <row r="51" spans="1:37" x14ac:dyDescent="0.25">
      <c r="A51">
        <v>51</v>
      </c>
      <c r="B51" t="s">
        <v>2717</v>
      </c>
      <c r="C51" t="s">
        <v>376</v>
      </c>
      <c r="D51" t="s">
        <v>2604</v>
      </c>
      <c r="E51" t="s">
        <v>37</v>
      </c>
      <c r="F51" t="s">
        <v>38</v>
      </c>
      <c r="G51" s="2">
        <v>45869</v>
      </c>
      <c r="H51">
        <v>1.5</v>
      </c>
      <c r="I51" t="s">
        <v>72</v>
      </c>
      <c r="J51" t="s">
        <v>40</v>
      </c>
      <c r="K51" t="s">
        <v>41</v>
      </c>
      <c r="L51" t="s">
        <v>2605</v>
      </c>
      <c r="M51" t="s">
        <v>2606</v>
      </c>
      <c r="O51" t="s">
        <v>62</v>
      </c>
      <c r="P51" t="s">
        <v>63</v>
      </c>
      <c r="Q51">
        <v>0.58995108322071765</v>
      </c>
      <c r="R51" t="s">
        <v>64</v>
      </c>
      <c r="S51" t="s">
        <v>65</v>
      </c>
      <c r="T51" t="s">
        <v>2718</v>
      </c>
      <c r="V51" t="s">
        <v>397</v>
      </c>
      <c r="X51" t="s">
        <v>2719</v>
      </c>
      <c r="Y51" t="s">
        <v>412</v>
      </c>
      <c r="Z51" t="s">
        <v>765</v>
      </c>
      <c r="AA51" t="s">
        <v>60</v>
      </c>
      <c r="AB51" t="s">
        <v>41</v>
      </c>
      <c r="AJ51">
        <v>197.42309457741149</v>
      </c>
      <c r="AK51">
        <v>2387.456879851567</v>
      </c>
    </row>
    <row r="52" spans="1:37" hidden="1" x14ac:dyDescent="0.25">
      <c r="A52">
        <v>52</v>
      </c>
      <c r="B52" t="s">
        <v>2720</v>
      </c>
      <c r="C52" t="s">
        <v>376</v>
      </c>
      <c r="D52" t="s">
        <v>2604</v>
      </c>
      <c r="E52" t="s">
        <v>37</v>
      </c>
      <c r="F52" t="s">
        <v>38</v>
      </c>
      <c r="G52" s="2">
        <v>45846</v>
      </c>
      <c r="H52">
        <v>0.5</v>
      </c>
      <c r="I52" t="s">
        <v>72</v>
      </c>
      <c r="J52" t="s">
        <v>40</v>
      </c>
      <c r="K52" t="s">
        <v>41</v>
      </c>
      <c r="L52" t="s">
        <v>2605</v>
      </c>
      <c r="M52" t="s">
        <v>2606</v>
      </c>
      <c r="N52" t="s">
        <v>2712</v>
      </c>
      <c r="O52" t="s">
        <v>113</v>
      </c>
      <c r="P52" t="s">
        <v>114</v>
      </c>
      <c r="Q52">
        <v>0.47663475620485668</v>
      </c>
      <c r="R52" t="s">
        <v>46</v>
      </c>
      <c r="S52" t="s">
        <v>47</v>
      </c>
      <c r="T52" t="s">
        <v>2713</v>
      </c>
      <c r="V52" t="s">
        <v>681</v>
      </c>
      <c r="X52" t="s">
        <v>2714</v>
      </c>
      <c r="Y52" t="s">
        <v>412</v>
      </c>
      <c r="Z52" t="s">
        <v>2623</v>
      </c>
      <c r="AA52" t="s">
        <v>46</v>
      </c>
      <c r="AB52" t="s">
        <v>41</v>
      </c>
      <c r="AD52" t="s">
        <v>620</v>
      </c>
      <c r="AF52" t="s">
        <v>2641</v>
      </c>
      <c r="AJ52">
        <v>205.9767270384759</v>
      </c>
      <c r="AK52">
        <v>1928.880139799526</v>
      </c>
    </row>
    <row r="53" spans="1:37" x14ac:dyDescent="0.25">
      <c r="A53">
        <v>53</v>
      </c>
      <c r="B53" t="s">
        <v>2721</v>
      </c>
      <c r="C53" t="s">
        <v>376</v>
      </c>
      <c r="D53" t="s">
        <v>2604</v>
      </c>
      <c r="E53" t="s">
        <v>37</v>
      </c>
      <c r="F53" t="s">
        <v>38</v>
      </c>
      <c r="G53" s="2">
        <v>45846</v>
      </c>
      <c r="H53">
        <v>0.1</v>
      </c>
      <c r="I53" t="s">
        <v>72</v>
      </c>
      <c r="J53" t="s">
        <v>40</v>
      </c>
      <c r="K53" t="s">
        <v>41</v>
      </c>
      <c r="L53" t="s">
        <v>2605</v>
      </c>
      <c r="M53" t="s">
        <v>2606</v>
      </c>
      <c r="N53" t="s">
        <v>2712</v>
      </c>
      <c r="O53" t="s">
        <v>62</v>
      </c>
      <c r="P53" t="s">
        <v>63</v>
      </c>
      <c r="Q53">
        <v>0.11568257589962259</v>
      </c>
      <c r="R53" t="s">
        <v>64</v>
      </c>
      <c r="S53" t="s">
        <v>65</v>
      </c>
      <c r="T53" t="s">
        <v>2722</v>
      </c>
      <c r="V53" t="s">
        <v>681</v>
      </c>
      <c r="X53" t="s">
        <v>2714</v>
      </c>
      <c r="Y53" t="s">
        <v>412</v>
      </c>
      <c r="Z53" t="s">
        <v>2623</v>
      </c>
      <c r="AA53" t="s">
        <v>46</v>
      </c>
      <c r="AB53" t="s">
        <v>41</v>
      </c>
      <c r="AD53" t="s">
        <v>620</v>
      </c>
      <c r="AF53" t="s">
        <v>2641</v>
      </c>
      <c r="AJ53">
        <v>89.779500421561565</v>
      </c>
      <c r="AK53">
        <v>468.15264784788178</v>
      </c>
    </row>
    <row r="54" spans="1:37" hidden="1" x14ac:dyDescent="0.25">
      <c r="A54">
        <v>54</v>
      </c>
      <c r="B54" t="s">
        <v>2723</v>
      </c>
      <c r="C54" t="s">
        <v>376</v>
      </c>
      <c r="D54" t="s">
        <v>2604</v>
      </c>
      <c r="E54" t="s">
        <v>37</v>
      </c>
      <c r="F54" t="s">
        <v>38</v>
      </c>
      <c r="G54" s="2">
        <v>45869</v>
      </c>
      <c r="H54">
        <v>0.7</v>
      </c>
      <c r="I54" t="s">
        <v>72</v>
      </c>
      <c r="J54" t="s">
        <v>40</v>
      </c>
      <c r="K54" t="s">
        <v>41</v>
      </c>
      <c r="L54" t="s">
        <v>2605</v>
      </c>
      <c r="M54" t="s">
        <v>2606</v>
      </c>
      <c r="O54" t="s">
        <v>79</v>
      </c>
      <c r="P54" t="s">
        <v>80</v>
      </c>
      <c r="Q54">
        <v>2.2921652954494611</v>
      </c>
      <c r="R54" t="s">
        <v>60</v>
      </c>
      <c r="S54" t="s">
        <v>66</v>
      </c>
      <c r="T54" t="s">
        <v>2724</v>
      </c>
      <c r="V54" t="s">
        <v>397</v>
      </c>
      <c r="X54" t="s">
        <v>2725</v>
      </c>
      <c r="Y54" t="s">
        <v>412</v>
      </c>
      <c r="Z54" t="s">
        <v>765</v>
      </c>
      <c r="AA54" t="s">
        <v>73</v>
      </c>
      <c r="AB54" t="s">
        <v>41</v>
      </c>
      <c r="AD54" t="s">
        <v>260</v>
      </c>
      <c r="AF54" t="s">
        <v>2726</v>
      </c>
      <c r="AJ54">
        <v>501.90168246066389</v>
      </c>
      <c r="AK54">
        <v>9276.100951458744</v>
      </c>
    </row>
    <row r="55" spans="1:37" x14ac:dyDescent="0.25">
      <c r="A55">
        <v>56</v>
      </c>
      <c r="B55" t="s">
        <v>2728</v>
      </c>
      <c r="C55" t="s">
        <v>376</v>
      </c>
      <c r="D55" t="s">
        <v>2604</v>
      </c>
      <c r="E55" t="s">
        <v>37</v>
      </c>
      <c r="F55" t="s">
        <v>38</v>
      </c>
      <c r="G55" s="2">
        <v>45869</v>
      </c>
      <c r="H55">
        <v>9.3000000000000007</v>
      </c>
      <c r="I55" t="s">
        <v>72</v>
      </c>
      <c r="J55" t="s">
        <v>40</v>
      </c>
      <c r="K55" t="s">
        <v>41</v>
      </c>
      <c r="L55" t="s">
        <v>2605</v>
      </c>
      <c r="M55" t="s">
        <v>2606</v>
      </c>
      <c r="O55" t="s">
        <v>62</v>
      </c>
      <c r="P55" t="s">
        <v>63</v>
      </c>
      <c r="Q55">
        <v>42.502045142711729</v>
      </c>
      <c r="R55" t="s">
        <v>64</v>
      </c>
      <c r="S55" t="s">
        <v>65</v>
      </c>
      <c r="T55" t="s">
        <v>2724</v>
      </c>
      <c r="V55" t="s">
        <v>397</v>
      </c>
      <c r="X55" t="s">
        <v>2725</v>
      </c>
      <c r="Y55" t="s">
        <v>412</v>
      </c>
      <c r="Z55" t="s">
        <v>765</v>
      </c>
      <c r="AA55" t="s">
        <v>73</v>
      </c>
      <c r="AB55" t="s">
        <v>41</v>
      </c>
      <c r="AD55" t="s">
        <v>260</v>
      </c>
      <c r="AF55" t="s">
        <v>2726</v>
      </c>
      <c r="AJ55">
        <v>1862.8056522097791</v>
      </c>
      <c r="AK55">
        <v>172000.3623516791</v>
      </c>
    </row>
    <row r="56" spans="1:37" hidden="1" x14ac:dyDescent="0.25">
      <c r="A56">
        <v>57</v>
      </c>
      <c r="B56" t="s">
        <v>2729</v>
      </c>
      <c r="C56" t="s">
        <v>376</v>
      </c>
      <c r="D56" t="s">
        <v>2604</v>
      </c>
      <c r="E56" t="s">
        <v>37</v>
      </c>
      <c r="F56" t="s">
        <v>38</v>
      </c>
      <c r="G56" s="2">
        <v>45846</v>
      </c>
      <c r="H56">
        <v>2.2999999999999998</v>
      </c>
      <c r="I56" t="s">
        <v>72</v>
      </c>
      <c r="J56" t="s">
        <v>40</v>
      </c>
      <c r="K56" t="s">
        <v>41</v>
      </c>
      <c r="L56" t="s">
        <v>2605</v>
      </c>
      <c r="M56" t="s">
        <v>2606</v>
      </c>
      <c r="N56" t="s">
        <v>2712</v>
      </c>
      <c r="O56" t="s">
        <v>113</v>
      </c>
      <c r="P56" t="s">
        <v>114</v>
      </c>
      <c r="Q56">
        <v>1.9356768437052569</v>
      </c>
      <c r="R56" t="s">
        <v>46</v>
      </c>
      <c r="S56" t="s">
        <v>47</v>
      </c>
      <c r="T56" t="s">
        <v>2722</v>
      </c>
      <c r="V56" t="s">
        <v>681</v>
      </c>
      <c r="X56" t="s">
        <v>2714</v>
      </c>
      <c r="Y56" t="s">
        <v>412</v>
      </c>
      <c r="Z56" t="s">
        <v>2623</v>
      </c>
      <c r="AA56" t="s">
        <v>46</v>
      </c>
      <c r="AB56" t="s">
        <v>41</v>
      </c>
      <c r="AD56" t="s">
        <v>620</v>
      </c>
      <c r="AF56" t="s">
        <v>2641</v>
      </c>
      <c r="AJ56">
        <v>364.19211786273809</v>
      </c>
      <c r="AK56">
        <v>7833.4376003586467</v>
      </c>
    </row>
    <row r="57" spans="1:37" hidden="1" x14ac:dyDescent="0.25">
      <c r="A57">
        <v>58</v>
      </c>
      <c r="B57" t="s">
        <v>2730</v>
      </c>
      <c r="C57" t="s">
        <v>376</v>
      </c>
      <c r="D57" t="s">
        <v>2604</v>
      </c>
      <c r="E57" t="s">
        <v>37</v>
      </c>
      <c r="F57" t="s">
        <v>38</v>
      </c>
      <c r="G57" s="2">
        <v>45846</v>
      </c>
      <c r="H57">
        <v>0.5</v>
      </c>
      <c r="I57" t="s">
        <v>72</v>
      </c>
      <c r="J57" t="s">
        <v>40</v>
      </c>
      <c r="K57" t="s">
        <v>41</v>
      </c>
      <c r="L57" t="s">
        <v>2605</v>
      </c>
      <c r="M57" t="s">
        <v>2606</v>
      </c>
      <c r="N57" t="s">
        <v>2712</v>
      </c>
      <c r="O57" t="s">
        <v>113</v>
      </c>
      <c r="P57" t="s">
        <v>114</v>
      </c>
      <c r="Q57">
        <v>0.94938652243854249</v>
      </c>
      <c r="R57" t="s">
        <v>46</v>
      </c>
      <c r="S57" t="s">
        <v>47</v>
      </c>
      <c r="T57" t="s">
        <v>2722</v>
      </c>
      <c r="V57" t="s">
        <v>681</v>
      </c>
      <c r="X57" t="s">
        <v>2714</v>
      </c>
      <c r="Y57" t="s">
        <v>412</v>
      </c>
      <c r="Z57" t="s">
        <v>2623</v>
      </c>
      <c r="AA57" t="s">
        <v>46</v>
      </c>
      <c r="AB57" t="s">
        <v>41</v>
      </c>
      <c r="AD57" t="s">
        <v>620</v>
      </c>
      <c r="AF57" t="s">
        <v>2641</v>
      </c>
      <c r="AJ57">
        <v>268.55218706780062</v>
      </c>
      <c r="AK57">
        <v>3842.0463138403038</v>
      </c>
    </row>
    <row r="58" spans="1:37" x14ac:dyDescent="0.25">
      <c r="A58">
        <v>59</v>
      </c>
      <c r="B58" t="s">
        <v>2731</v>
      </c>
      <c r="C58" t="s">
        <v>376</v>
      </c>
      <c r="D58" t="s">
        <v>2604</v>
      </c>
      <c r="E58" t="s">
        <v>37</v>
      </c>
      <c r="F58" t="s">
        <v>38</v>
      </c>
      <c r="G58" s="2">
        <v>45846</v>
      </c>
      <c r="I58" t="s">
        <v>72</v>
      </c>
      <c r="J58" t="s">
        <v>40</v>
      </c>
      <c r="K58" t="s">
        <v>41</v>
      </c>
      <c r="L58" t="s">
        <v>2605</v>
      </c>
      <c r="M58" t="s">
        <v>2606</v>
      </c>
      <c r="O58" t="s">
        <v>62</v>
      </c>
      <c r="P58" t="s">
        <v>63</v>
      </c>
      <c r="Q58">
        <v>2.2802909881910249</v>
      </c>
      <c r="R58" t="s">
        <v>64</v>
      </c>
      <c r="S58" t="s">
        <v>65</v>
      </c>
      <c r="T58" t="s">
        <v>2732</v>
      </c>
      <c r="V58" t="s">
        <v>681</v>
      </c>
      <c r="X58" t="s">
        <v>673</v>
      </c>
      <c r="Y58" t="s">
        <v>412</v>
      </c>
      <c r="Z58" t="s">
        <v>2623</v>
      </c>
      <c r="AA58" t="s">
        <v>46</v>
      </c>
      <c r="AB58" t="s">
        <v>41</v>
      </c>
      <c r="AE58" t="s">
        <v>2733</v>
      </c>
      <c r="AF58" t="s">
        <v>2641</v>
      </c>
      <c r="AJ58">
        <v>466.27139861278312</v>
      </c>
      <c r="AK58">
        <v>9228.0471426533495</v>
      </c>
    </row>
    <row r="59" spans="1:37" hidden="1" x14ac:dyDescent="0.25">
      <c r="A59">
        <v>60</v>
      </c>
      <c r="B59" t="s">
        <v>2734</v>
      </c>
      <c r="C59" t="s">
        <v>376</v>
      </c>
      <c r="D59" t="s">
        <v>2604</v>
      </c>
      <c r="E59" t="s">
        <v>37</v>
      </c>
      <c r="F59" t="s">
        <v>38</v>
      </c>
      <c r="G59" s="2">
        <v>45869</v>
      </c>
      <c r="I59" t="s">
        <v>72</v>
      </c>
      <c r="J59" t="s">
        <v>40</v>
      </c>
      <c r="K59" t="s">
        <v>41</v>
      </c>
      <c r="L59" t="s">
        <v>2605</v>
      </c>
      <c r="M59" t="s">
        <v>2606</v>
      </c>
      <c r="O59" t="s">
        <v>96</v>
      </c>
      <c r="P59" t="s">
        <v>97</v>
      </c>
      <c r="Q59">
        <v>0.66790098511918772</v>
      </c>
      <c r="R59" t="s">
        <v>60</v>
      </c>
      <c r="S59" t="s">
        <v>66</v>
      </c>
      <c r="V59" t="s">
        <v>397</v>
      </c>
      <c r="X59" t="s">
        <v>495</v>
      </c>
      <c r="Y59" t="s">
        <v>412</v>
      </c>
      <c r="Z59" t="s">
        <v>765</v>
      </c>
      <c r="AA59" t="s">
        <v>73</v>
      </c>
      <c r="AB59" t="s">
        <v>41</v>
      </c>
      <c r="AJ59">
        <v>383.84787547073671</v>
      </c>
      <c r="AK59">
        <v>2702.9102027868712</v>
      </c>
    </row>
    <row r="60" spans="1:37" x14ac:dyDescent="0.25">
      <c r="A60">
        <v>61</v>
      </c>
      <c r="B60" t="s">
        <v>2735</v>
      </c>
      <c r="C60" t="s">
        <v>376</v>
      </c>
      <c r="D60" t="s">
        <v>2604</v>
      </c>
      <c r="E60" t="s">
        <v>37</v>
      </c>
      <c r="F60" t="s">
        <v>38</v>
      </c>
      <c r="G60" s="2">
        <v>45846</v>
      </c>
      <c r="I60" t="s">
        <v>72</v>
      </c>
      <c r="J60" t="s">
        <v>40</v>
      </c>
      <c r="K60" t="s">
        <v>41</v>
      </c>
      <c r="L60" t="s">
        <v>2605</v>
      </c>
      <c r="M60" t="s">
        <v>2606</v>
      </c>
      <c r="O60" t="s">
        <v>62</v>
      </c>
      <c r="P60" t="s">
        <v>63</v>
      </c>
      <c r="Q60">
        <v>0.63535297107212019</v>
      </c>
      <c r="R60" t="s">
        <v>64</v>
      </c>
      <c r="S60" t="s">
        <v>65</v>
      </c>
      <c r="T60" t="s">
        <v>2736</v>
      </c>
      <c r="V60" t="s">
        <v>681</v>
      </c>
      <c r="X60" t="s">
        <v>673</v>
      </c>
      <c r="Y60" t="s">
        <v>412</v>
      </c>
      <c r="Z60" t="s">
        <v>2630</v>
      </c>
      <c r="AA60" t="s">
        <v>76</v>
      </c>
      <c r="AB60" t="s">
        <v>41</v>
      </c>
      <c r="AE60" t="s">
        <v>2737</v>
      </c>
      <c r="AF60" t="s">
        <v>2641</v>
      </c>
      <c r="AJ60">
        <v>223.00271003876799</v>
      </c>
      <c r="AK60">
        <v>2571.1925362339912</v>
      </c>
    </row>
    <row r="61" spans="1:37" x14ac:dyDescent="0.25">
      <c r="A61">
        <v>62</v>
      </c>
      <c r="B61" t="s">
        <v>2738</v>
      </c>
      <c r="C61" t="s">
        <v>376</v>
      </c>
      <c r="D61" t="s">
        <v>2604</v>
      </c>
      <c r="E61" t="s">
        <v>37</v>
      </c>
      <c r="F61" t="s">
        <v>38</v>
      </c>
      <c r="G61" s="2">
        <v>45847</v>
      </c>
      <c r="H61">
        <v>2.2999999999999998</v>
      </c>
      <c r="I61" t="s">
        <v>72</v>
      </c>
      <c r="J61" t="s">
        <v>40</v>
      </c>
      <c r="K61" t="s">
        <v>41</v>
      </c>
      <c r="L61" t="s">
        <v>2605</v>
      </c>
      <c r="M61" t="s">
        <v>2606</v>
      </c>
      <c r="O61" t="s">
        <v>62</v>
      </c>
      <c r="P61" t="s">
        <v>63</v>
      </c>
      <c r="Q61">
        <v>2.3873873891201249</v>
      </c>
      <c r="R61" t="s">
        <v>64</v>
      </c>
      <c r="S61" t="s">
        <v>65</v>
      </c>
      <c r="T61" t="s">
        <v>2724</v>
      </c>
      <c r="V61" t="s">
        <v>397</v>
      </c>
      <c r="X61" t="s">
        <v>2725</v>
      </c>
      <c r="Y61" t="s">
        <v>412</v>
      </c>
      <c r="Z61" t="s">
        <v>765</v>
      </c>
      <c r="AA61" t="s">
        <v>73</v>
      </c>
      <c r="AB61" t="s">
        <v>41</v>
      </c>
      <c r="AD61" t="s">
        <v>260</v>
      </c>
      <c r="AF61" t="s">
        <v>2726</v>
      </c>
      <c r="AJ61">
        <v>422.34240330458073</v>
      </c>
      <c r="AK61">
        <v>9661.4526341894361</v>
      </c>
    </row>
    <row r="62" spans="1:37" hidden="1" x14ac:dyDescent="0.25">
      <c r="A62">
        <v>64</v>
      </c>
      <c r="B62" t="s">
        <v>2740</v>
      </c>
      <c r="C62" t="s">
        <v>376</v>
      </c>
      <c r="D62" t="s">
        <v>2604</v>
      </c>
      <c r="E62" t="s">
        <v>37</v>
      </c>
      <c r="F62" t="s">
        <v>38</v>
      </c>
      <c r="G62" s="2">
        <v>45846</v>
      </c>
      <c r="H62">
        <v>4.2</v>
      </c>
      <c r="I62" t="s">
        <v>72</v>
      </c>
      <c r="J62" t="s">
        <v>40</v>
      </c>
      <c r="K62" t="s">
        <v>41</v>
      </c>
      <c r="L62" t="s">
        <v>2605</v>
      </c>
      <c r="M62" t="s">
        <v>2606</v>
      </c>
      <c r="N62" t="s">
        <v>2712</v>
      </c>
      <c r="O62" t="s">
        <v>113</v>
      </c>
      <c r="P62" t="s">
        <v>114</v>
      </c>
      <c r="Q62">
        <v>4.1020952724121944</v>
      </c>
      <c r="R62" t="s">
        <v>46</v>
      </c>
      <c r="S62" t="s">
        <v>47</v>
      </c>
      <c r="T62" t="s">
        <v>2722</v>
      </c>
      <c r="V62" t="s">
        <v>681</v>
      </c>
      <c r="X62" t="s">
        <v>2714</v>
      </c>
      <c r="Y62" t="s">
        <v>412</v>
      </c>
      <c r="Z62" t="s">
        <v>2623</v>
      </c>
      <c r="AA62" t="s">
        <v>70</v>
      </c>
      <c r="AB62" t="s">
        <v>41</v>
      </c>
      <c r="AD62" t="s">
        <v>620</v>
      </c>
      <c r="AF62" t="s">
        <v>2641</v>
      </c>
      <c r="AJ62">
        <v>558.46082755504369</v>
      </c>
      <c r="AK62">
        <v>16600.657001019561</v>
      </c>
    </row>
    <row r="63" spans="1:37" x14ac:dyDescent="0.25">
      <c r="A63">
        <v>65</v>
      </c>
      <c r="B63" t="s">
        <v>2741</v>
      </c>
      <c r="C63" t="s">
        <v>376</v>
      </c>
      <c r="D63" t="s">
        <v>2604</v>
      </c>
      <c r="E63" t="s">
        <v>37</v>
      </c>
      <c r="F63" t="s">
        <v>38</v>
      </c>
      <c r="G63" s="2">
        <v>45846</v>
      </c>
      <c r="I63" t="s">
        <v>72</v>
      </c>
      <c r="J63" t="s">
        <v>40</v>
      </c>
      <c r="K63" t="s">
        <v>41</v>
      </c>
      <c r="L63" t="s">
        <v>2605</v>
      </c>
      <c r="M63" t="s">
        <v>2606</v>
      </c>
      <c r="O63" t="s">
        <v>62</v>
      </c>
      <c r="P63" t="s">
        <v>63</v>
      </c>
      <c r="Q63">
        <v>11.419657221227</v>
      </c>
      <c r="R63" t="s">
        <v>64</v>
      </c>
      <c r="S63" t="s">
        <v>65</v>
      </c>
      <c r="T63" t="s">
        <v>2732</v>
      </c>
      <c r="V63" t="s">
        <v>681</v>
      </c>
      <c r="X63" t="s">
        <v>673</v>
      </c>
      <c r="Y63" t="s">
        <v>412</v>
      </c>
      <c r="Z63" t="s">
        <v>2623</v>
      </c>
      <c r="AA63" t="s">
        <v>70</v>
      </c>
      <c r="AB63" t="s">
        <v>41</v>
      </c>
      <c r="AE63" t="s">
        <v>2742</v>
      </c>
      <c r="AF63" t="s">
        <v>2641</v>
      </c>
      <c r="AJ63">
        <v>972.92880628404498</v>
      </c>
      <c r="AK63">
        <v>46213.898022736263</v>
      </c>
    </row>
    <row r="64" spans="1:37" x14ac:dyDescent="0.25">
      <c r="A64">
        <v>66</v>
      </c>
      <c r="B64" t="s">
        <v>2743</v>
      </c>
      <c r="C64" t="s">
        <v>376</v>
      </c>
      <c r="D64" t="s">
        <v>2604</v>
      </c>
      <c r="E64" t="s">
        <v>37</v>
      </c>
      <c r="F64" t="s">
        <v>38</v>
      </c>
      <c r="G64" s="2">
        <v>45846</v>
      </c>
      <c r="I64" t="s">
        <v>72</v>
      </c>
      <c r="J64" t="s">
        <v>40</v>
      </c>
      <c r="K64" t="s">
        <v>41</v>
      </c>
      <c r="L64" t="s">
        <v>2605</v>
      </c>
      <c r="M64" t="s">
        <v>2606</v>
      </c>
      <c r="O64" t="s">
        <v>62</v>
      </c>
      <c r="P64" t="s">
        <v>63</v>
      </c>
      <c r="Q64">
        <v>0.1952525132501888</v>
      </c>
      <c r="R64" t="s">
        <v>64</v>
      </c>
      <c r="S64" t="s">
        <v>65</v>
      </c>
      <c r="T64" t="s">
        <v>2732</v>
      </c>
      <c r="V64" t="s">
        <v>681</v>
      </c>
      <c r="X64" t="s">
        <v>673</v>
      </c>
      <c r="Y64" t="s">
        <v>412</v>
      </c>
      <c r="Z64" t="s">
        <v>2630</v>
      </c>
      <c r="AA64" t="s">
        <v>61</v>
      </c>
      <c r="AB64" t="s">
        <v>41</v>
      </c>
      <c r="AE64" t="s">
        <v>1079</v>
      </c>
      <c r="AF64" t="s">
        <v>2641</v>
      </c>
      <c r="AJ64">
        <v>149.90565161635499</v>
      </c>
      <c r="AK64">
        <v>790.16204788129858</v>
      </c>
    </row>
    <row r="65" spans="1:37" x14ac:dyDescent="0.25">
      <c r="A65">
        <v>67</v>
      </c>
      <c r="B65" t="s">
        <v>2744</v>
      </c>
      <c r="C65" t="s">
        <v>376</v>
      </c>
      <c r="D65" t="s">
        <v>2604</v>
      </c>
      <c r="E65" t="s">
        <v>37</v>
      </c>
      <c r="F65" t="s">
        <v>38</v>
      </c>
      <c r="G65" s="2">
        <v>45869</v>
      </c>
      <c r="H65">
        <v>0.3</v>
      </c>
      <c r="I65" t="s">
        <v>72</v>
      </c>
      <c r="J65" t="s">
        <v>40</v>
      </c>
      <c r="K65" t="s">
        <v>41</v>
      </c>
      <c r="L65" t="s">
        <v>2605</v>
      </c>
      <c r="M65" t="s">
        <v>2606</v>
      </c>
      <c r="O65" t="s">
        <v>62</v>
      </c>
      <c r="P65" t="s">
        <v>63</v>
      </c>
      <c r="Q65">
        <v>0.42929101500374878</v>
      </c>
      <c r="R65" t="s">
        <v>64</v>
      </c>
      <c r="S65" t="s">
        <v>65</v>
      </c>
      <c r="T65" t="s">
        <v>2745</v>
      </c>
      <c r="V65" t="s">
        <v>397</v>
      </c>
      <c r="X65" t="s">
        <v>2725</v>
      </c>
      <c r="Y65" t="s">
        <v>412</v>
      </c>
      <c r="Z65" t="s">
        <v>765</v>
      </c>
      <c r="AA65" t="s">
        <v>73</v>
      </c>
      <c r="AB65" t="s">
        <v>41</v>
      </c>
      <c r="AD65" t="s">
        <v>260</v>
      </c>
      <c r="AF65" t="s">
        <v>2726</v>
      </c>
      <c r="AJ65">
        <v>184.64797678197979</v>
      </c>
      <c r="AK65">
        <v>1737.286050283788</v>
      </c>
    </row>
    <row r="66" spans="1:37" hidden="1" x14ac:dyDescent="0.25">
      <c r="A66">
        <v>68</v>
      </c>
      <c r="B66" t="s">
        <v>2746</v>
      </c>
      <c r="C66" t="s">
        <v>376</v>
      </c>
      <c r="D66" t="s">
        <v>2604</v>
      </c>
      <c r="E66" t="s">
        <v>37</v>
      </c>
      <c r="F66" t="s">
        <v>38</v>
      </c>
      <c r="G66" s="2">
        <v>45869</v>
      </c>
      <c r="H66">
        <v>0.3</v>
      </c>
      <c r="I66" t="s">
        <v>72</v>
      </c>
      <c r="J66" t="s">
        <v>40</v>
      </c>
      <c r="K66" t="s">
        <v>41</v>
      </c>
      <c r="L66" t="s">
        <v>2605</v>
      </c>
      <c r="M66" t="s">
        <v>2606</v>
      </c>
      <c r="O66" t="s">
        <v>99</v>
      </c>
      <c r="P66" t="s">
        <v>100</v>
      </c>
      <c r="Q66">
        <v>0.23864133304635229</v>
      </c>
      <c r="R66" t="s">
        <v>60</v>
      </c>
      <c r="S66" t="s">
        <v>66</v>
      </c>
      <c r="T66" t="s">
        <v>2747</v>
      </c>
      <c r="V66" t="s">
        <v>397</v>
      </c>
      <c r="X66" t="s">
        <v>1126</v>
      </c>
      <c r="Y66" t="s">
        <v>412</v>
      </c>
      <c r="Z66" t="s">
        <v>765</v>
      </c>
      <c r="AA66" t="s">
        <v>73</v>
      </c>
      <c r="AB66" t="s">
        <v>41</v>
      </c>
      <c r="AJ66">
        <v>138.43968778407921</v>
      </c>
      <c r="AK66">
        <v>965.75107428916237</v>
      </c>
    </row>
    <row r="67" spans="1:37" x14ac:dyDescent="0.25">
      <c r="A67">
        <v>69</v>
      </c>
      <c r="B67" t="s">
        <v>2748</v>
      </c>
      <c r="C67" t="s">
        <v>376</v>
      </c>
      <c r="D67" t="s">
        <v>2604</v>
      </c>
      <c r="E67" t="s">
        <v>37</v>
      </c>
      <c r="F67" t="s">
        <v>38</v>
      </c>
      <c r="G67" s="2">
        <v>45869</v>
      </c>
      <c r="H67">
        <v>0.1</v>
      </c>
      <c r="I67" t="s">
        <v>72</v>
      </c>
      <c r="J67" t="s">
        <v>40</v>
      </c>
      <c r="K67" t="s">
        <v>41</v>
      </c>
      <c r="L67" t="s">
        <v>2605</v>
      </c>
      <c r="M67" t="s">
        <v>2606</v>
      </c>
      <c r="O67" t="s">
        <v>62</v>
      </c>
      <c r="P67" t="s">
        <v>63</v>
      </c>
      <c r="Q67">
        <v>5.063741299338384E-2</v>
      </c>
      <c r="R67" t="s">
        <v>64</v>
      </c>
      <c r="S67" t="s">
        <v>65</v>
      </c>
      <c r="T67" t="s">
        <v>2747</v>
      </c>
      <c r="V67" t="s">
        <v>397</v>
      </c>
      <c r="X67" t="s">
        <v>1126</v>
      </c>
      <c r="Y67" t="s">
        <v>412</v>
      </c>
      <c r="Z67" t="s">
        <v>765</v>
      </c>
      <c r="AA67" t="s">
        <v>73</v>
      </c>
      <c r="AB67" t="s">
        <v>41</v>
      </c>
      <c r="AJ67">
        <v>68.506838806593862</v>
      </c>
      <c r="AK67">
        <v>204.92315967781559</v>
      </c>
    </row>
    <row r="68" spans="1:37" x14ac:dyDescent="0.25">
      <c r="A68">
        <v>70</v>
      </c>
      <c r="B68" t="s">
        <v>2749</v>
      </c>
      <c r="C68" t="s">
        <v>376</v>
      </c>
      <c r="D68" t="s">
        <v>2604</v>
      </c>
      <c r="E68" t="s">
        <v>37</v>
      </c>
      <c r="F68" t="s">
        <v>38</v>
      </c>
      <c r="G68" s="2">
        <v>45846</v>
      </c>
      <c r="I68" t="s">
        <v>72</v>
      </c>
      <c r="J68" t="s">
        <v>40</v>
      </c>
      <c r="K68" t="s">
        <v>41</v>
      </c>
      <c r="L68" t="s">
        <v>2605</v>
      </c>
      <c r="M68" t="s">
        <v>2606</v>
      </c>
      <c r="O68" t="s">
        <v>62</v>
      </c>
      <c r="P68" t="s">
        <v>63</v>
      </c>
      <c r="Q68">
        <v>0.63990018410883487</v>
      </c>
      <c r="R68" t="s">
        <v>64</v>
      </c>
      <c r="S68" t="s">
        <v>65</v>
      </c>
      <c r="T68" t="s">
        <v>673</v>
      </c>
      <c r="V68" t="s">
        <v>681</v>
      </c>
      <c r="X68" t="s">
        <v>673</v>
      </c>
      <c r="Y68" t="s">
        <v>412</v>
      </c>
      <c r="Z68" t="s">
        <v>2623</v>
      </c>
      <c r="AA68" t="s">
        <v>70</v>
      </c>
      <c r="AB68" t="s">
        <v>41</v>
      </c>
      <c r="AE68" t="s">
        <v>2737</v>
      </c>
      <c r="AF68" t="s">
        <v>2667</v>
      </c>
      <c r="AJ68">
        <v>223.48729547600189</v>
      </c>
      <c r="AK68">
        <v>2589.5945281235349</v>
      </c>
    </row>
    <row r="69" spans="1:37" hidden="1" x14ac:dyDescent="0.25">
      <c r="A69">
        <v>71</v>
      </c>
      <c r="B69" t="s">
        <v>2750</v>
      </c>
      <c r="C69" t="s">
        <v>376</v>
      </c>
      <c r="D69" t="s">
        <v>2604</v>
      </c>
      <c r="E69" t="s">
        <v>37</v>
      </c>
      <c r="F69" t="s">
        <v>38</v>
      </c>
      <c r="G69" s="2">
        <v>45846</v>
      </c>
      <c r="H69">
        <v>0.5</v>
      </c>
      <c r="I69" t="s">
        <v>72</v>
      </c>
      <c r="J69" t="s">
        <v>40</v>
      </c>
      <c r="K69" t="s">
        <v>41</v>
      </c>
      <c r="L69" t="s">
        <v>2605</v>
      </c>
      <c r="M69" t="s">
        <v>2606</v>
      </c>
      <c r="N69" t="s">
        <v>2712</v>
      </c>
      <c r="O69" t="s">
        <v>906</v>
      </c>
      <c r="P69" t="s">
        <v>671</v>
      </c>
      <c r="Q69">
        <v>0.466819710884529</v>
      </c>
      <c r="S69" t="s">
        <v>38</v>
      </c>
      <c r="T69" t="s">
        <v>2751</v>
      </c>
      <c r="V69" t="s">
        <v>681</v>
      </c>
      <c r="X69" t="s">
        <v>2714</v>
      </c>
      <c r="Y69" t="s">
        <v>412</v>
      </c>
      <c r="Z69" t="s">
        <v>2623</v>
      </c>
      <c r="AA69" t="s">
        <v>70</v>
      </c>
      <c r="AB69" t="s">
        <v>41</v>
      </c>
      <c r="AD69" t="s">
        <v>620</v>
      </c>
      <c r="AF69" t="s">
        <v>2667</v>
      </c>
      <c r="AJ69">
        <v>171.1243425779825</v>
      </c>
      <c r="AK69">
        <v>1889.159901728018</v>
      </c>
    </row>
    <row r="70" spans="1:37" x14ac:dyDescent="0.25">
      <c r="A70">
        <v>72</v>
      </c>
      <c r="B70" t="s">
        <v>2752</v>
      </c>
      <c r="C70" t="s">
        <v>376</v>
      </c>
      <c r="D70" t="s">
        <v>2604</v>
      </c>
      <c r="E70" t="s">
        <v>37</v>
      </c>
      <c r="F70" t="s">
        <v>38</v>
      </c>
      <c r="G70" s="2">
        <v>45869</v>
      </c>
      <c r="I70" t="s">
        <v>72</v>
      </c>
      <c r="J70" t="s">
        <v>40</v>
      </c>
      <c r="K70" t="s">
        <v>41</v>
      </c>
      <c r="L70" t="s">
        <v>2605</v>
      </c>
      <c r="M70" t="s">
        <v>2606</v>
      </c>
      <c r="O70" t="s">
        <v>62</v>
      </c>
      <c r="P70" t="s">
        <v>63</v>
      </c>
      <c r="Q70">
        <v>2.333167003347314</v>
      </c>
      <c r="R70" t="s">
        <v>64</v>
      </c>
      <c r="S70" t="s">
        <v>65</v>
      </c>
      <c r="V70" t="s">
        <v>896</v>
      </c>
      <c r="X70" t="s">
        <v>673</v>
      </c>
      <c r="Y70" t="s">
        <v>412</v>
      </c>
      <c r="Z70" t="s">
        <v>765</v>
      </c>
      <c r="AA70" t="s">
        <v>119</v>
      </c>
      <c r="AB70" t="s">
        <v>41</v>
      </c>
      <c r="AE70" t="s">
        <v>1182</v>
      </c>
      <c r="AJ70">
        <v>452.2627147667082</v>
      </c>
      <c r="AK70">
        <v>9442.0296401086307</v>
      </c>
    </row>
    <row r="71" spans="1:37" x14ac:dyDescent="0.25">
      <c r="A71">
        <v>73</v>
      </c>
      <c r="B71" t="s">
        <v>2753</v>
      </c>
      <c r="C71" t="s">
        <v>376</v>
      </c>
      <c r="D71" t="s">
        <v>2604</v>
      </c>
      <c r="E71" t="s">
        <v>37</v>
      </c>
      <c r="F71" t="s">
        <v>38</v>
      </c>
      <c r="G71" s="2">
        <v>45846</v>
      </c>
      <c r="H71">
        <v>6.1</v>
      </c>
      <c r="I71" t="s">
        <v>72</v>
      </c>
      <c r="J71" t="s">
        <v>40</v>
      </c>
      <c r="K71" t="s">
        <v>41</v>
      </c>
      <c r="L71" t="s">
        <v>2605</v>
      </c>
      <c r="M71" t="s">
        <v>2606</v>
      </c>
      <c r="N71" t="s">
        <v>2712</v>
      </c>
      <c r="O71" t="s">
        <v>62</v>
      </c>
      <c r="P71" t="s">
        <v>63</v>
      </c>
      <c r="Q71">
        <v>9.3285037837312572</v>
      </c>
      <c r="R71" t="s">
        <v>64</v>
      </c>
      <c r="S71" t="s">
        <v>65</v>
      </c>
      <c r="T71" t="s">
        <v>2713</v>
      </c>
      <c r="V71" t="s">
        <v>681</v>
      </c>
      <c r="X71" t="s">
        <v>2714</v>
      </c>
      <c r="Y71" t="s">
        <v>412</v>
      </c>
      <c r="Z71" t="s">
        <v>2623</v>
      </c>
      <c r="AA71" t="s">
        <v>70</v>
      </c>
      <c r="AB71" t="s">
        <v>41</v>
      </c>
      <c r="AD71" t="s">
        <v>620</v>
      </c>
      <c r="AF71" t="s">
        <v>2667</v>
      </c>
      <c r="AJ71">
        <v>907.29569779888084</v>
      </c>
      <c r="AK71">
        <v>37751.266453490352</v>
      </c>
    </row>
    <row r="72" spans="1:37" x14ac:dyDescent="0.25">
      <c r="A72">
        <v>74</v>
      </c>
      <c r="B72" t="s">
        <v>2754</v>
      </c>
      <c r="C72" t="s">
        <v>376</v>
      </c>
      <c r="D72" t="s">
        <v>2604</v>
      </c>
      <c r="E72" t="s">
        <v>37</v>
      </c>
      <c r="F72" t="s">
        <v>38</v>
      </c>
      <c r="G72" s="2">
        <v>45846</v>
      </c>
      <c r="H72">
        <v>0.2</v>
      </c>
      <c r="I72" t="s">
        <v>72</v>
      </c>
      <c r="J72" t="s">
        <v>40</v>
      </c>
      <c r="K72" t="s">
        <v>41</v>
      </c>
      <c r="L72" t="s">
        <v>2605</v>
      </c>
      <c r="M72" t="s">
        <v>2606</v>
      </c>
      <c r="N72" t="s">
        <v>2712</v>
      </c>
      <c r="O72" t="s">
        <v>62</v>
      </c>
      <c r="P72" t="s">
        <v>63</v>
      </c>
      <c r="Q72">
        <v>0.1511547524619134</v>
      </c>
      <c r="R72" t="s">
        <v>64</v>
      </c>
      <c r="S72" t="s">
        <v>65</v>
      </c>
      <c r="T72" t="s">
        <v>2722</v>
      </c>
      <c r="V72" t="s">
        <v>681</v>
      </c>
      <c r="X72" t="s">
        <v>2714</v>
      </c>
      <c r="Y72" t="s">
        <v>412</v>
      </c>
      <c r="Z72" t="s">
        <v>2623</v>
      </c>
      <c r="AA72" t="s">
        <v>70</v>
      </c>
      <c r="AB72" t="s">
        <v>41</v>
      </c>
      <c r="AD72" t="s">
        <v>620</v>
      </c>
      <c r="AF72" t="s">
        <v>2667</v>
      </c>
      <c r="AJ72">
        <v>152.44297606350719</v>
      </c>
      <c r="AK72">
        <v>611.70402759043986</v>
      </c>
    </row>
    <row r="73" spans="1:37" x14ac:dyDescent="0.25">
      <c r="A73">
        <v>75</v>
      </c>
      <c r="B73" t="s">
        <v>2755</v>
      </c>
      <c r="C73" t="s">
        <v>376</v>
      </c>
      <c r="D73" t="s">
        <v>2604</v>
      </c>
      <c r="E73" t="s">
        <v>37</v>
      </c>
      <c r="F73" t="s">
        <v>38</v>
      </c>
      <c r="G73" s="2">
        <v>45845</v>
      </c>
      <c r="H73">
        <v>2.9</v>
      </c>
      <c r="I73" t="s">
        <v>72</v>
      </c>
      <c r="J73" t="s">
        <v>40</v>
      </c>
      <c r="K73" t="s">
        <v>41</v>
      </c>
      <c r="L73" t="s">
        <v>2605</v>
      </c>
      <c r="M73" t="s">
        <v>2606</v>
      </c>
      <c r="O73" t="s">
        <v>62</v>
      </c>
      <c r="P73" t="s">
        <v>63</v>
      </c>
      <c r="Q73">
        <v>3.1656172361733379</v>
      </c>
      <c r="R73" t="s">
        <v>64</v>
      </c>
      <c r="S73" t="s">
        <v>65</v>
      </c>
      <c r="T73" t="s">
        <v>2756</v>
      </c>
      <c r="V73" t="s">
        <v>618</v>
      </c>
      <c r="X73" t="s">
        <v>2704</v>
      </c>
      <c r="Y73" t="s">
        <v>412</v>
      </c>
      <c r="Z73" t="s">
        <v>2623</v>
      </c>
      <c r="AA73" t="s">
        <v>70</v>
      </c>
      <c r="AB73" t="s">
        <v>41</v>
      </c>
      <c r="AD73" t="s">
        <v>2757</v>
      </c>
      <c r="AF73" t="s">
        <v>2667</v>
      </c>
      <c r="AJ73">
        <v>637.66349921572896</v>
      </c>
      <c r="AK73">
        <v>12810.84968641571</v>
      </c>
    </row>
    <row r="74" spans="1:37" x14ac:dyDescent="0.25">
      <c r="A74">
        <v>76</v>
      </c>
      <c r="B74" t="s">
        <v>2758</v>
      </c>
      <c r="C74" t="s">
        <v>376</v>
      </c>
      <c r="D74" t="s">
        <v>2604</v>
      </c>
      <c r="E74" t="s">
        <v>37</v>
      </c>
      <c r="F74" t="s">
        <v>38</v>
      </c>
      <c r="G74" s="2">
        <v>45845</v>
      </c>
      <c r="H74">
        <v>2.2999999999999998</v>
      </c>
      <c r="I74" t="s">
        <v>72</v>
      </c>
      <c r="J74" t="s">
        <v>40</v>
      </c>
      <c r="K74" t="s">
        <v>41</v>
      </c>
      <c r="L74" t="s">
        <v>2605</v>
      </c>
      <c r="M74" t="s">
        <v>2606</v>
      </c>
      <c r="O74" t="s">
        <v>62</v>
      </c>
      <c r="P74" t="s">
        <v>63</v>
      </c>
      <c r="Q74">
        <v>2.2416852771825782</v>
      </c>
      <c r="R74" t="s">
        <v>64</v>
      </c>
      <c r="S74" t="s">
        <v>65</v>
      </c>
      <c r="T74" t="s">
        <v>2756</v>
      </c>
      <c r="V74" t="s">
        <v>618</v>
      </c>
      <c r="X74" t="s">
        <v>2704</v>
      </c>
      <c r="Y74" t="s">
        <v>412</v>
      </c>
      <c r="Z74" t="s">
        <v>2623</v>
      </c>
      <c r="AA74" t="s">
        <v>70</v>
      </c>
      <c r="AB74" t="s">
        <v>41</v>
      </c>
      <c r="AD74" t="s">
        <v>2757</v>
      </c>
      <c r="AF74" t="s">
        <v>2667</v>
      </c>
      <c r="AJ74">
        <v>492.30738422737147</v>
      </c>
      <c r="AK74">
        <v>9071.8147481885444</v>
      </c>
    </row>
    <row r="75" spans="1:37" x14ac:dyDescent="0.25">
      <c r="A75">
        <v>77</v>
      </c>
      <c r="B75" t="s">
        <v>2759</v>
      </c>
      <c r="C75" t="s">
        <v>376</v>
      </c>
      <c r="D75" t="s">
        <v>2604</v>
      </c>
      <c r="E75" t="s">
        <v>37</v>
      </c>
      <c r="F75" t="s">
        <v>38</v>
      </c>
      <c r="G75" s="2">
        <v>45869</v>
      </c>
      <c r="I75" t="s">
        <v>72</v>
      </c>
      <c r="J75" t="s">
        <v>40</v>
      </c>
      <c r="K75" t="s">
        <v>41</v>
      </c>
      <c r="L75" t="s">
        <v>2605</v>
      </c>
      <c r="M75" t="s">
        <v>2606</v>
      </c>
      <c r="O75" t="s">
        <v>62</v>
      </c>
      <c r="P75" t="s">
        <v>63</v>
      </c>
      <c r="Q75">
        <v>16.432324231673871</v>
      </c>
      <c r="R75" t="s">
        <v>64</v>
      </c>
      <c r="S75" t="s">
        <v>65</v>
      </c>
      <c r="V75" t="s">
        <v>896</v>
      </c>
      <c r="X75" t="s">
        <v>673</v>
      </c>
      <c r="Y75" t="s">
        <v>412</v>
      </c>
      <c r="Z75" t="s">
        <v>765</v>
      </c>
      <c r="AA75" t="s">
        <v>119</v>
      </c>
      <c r="AB75" t="s">
        <v>41</v>
      </c>
      <c r="AE75" t="s">
        <v>2760</v>
      </c>
      <c r="AJ75">
        <v>1083.06822251882</v>
      </c>
      <c r="AK75">
        <v>66499.522849733927</v>
      </c>
    </row>
    <row r="76" spans="1:37" x14ac:dyDescent="0.25">
      <c r="A76">
        <v>78</v>
      </c>
      <c r="B76" t="s">
        <v>2761</v>
      </c>
      <c r="C76" t="s">
        <v>376</v>
      </c>
      <c r="D76" t="s">
        <v>2604</v>
      </c>
      <c r="E76" t="s">
        <v>37</v>
      </c>
      <c r="F76" t="s">
        <v>38</v>
      </c>
      <c r="G76" s="2">
        <v>45846</v>
      </c>
      <c r="H76">
        <v>3.2</v>
      </c>
      <c r="I76" t="s">
        <v>72</v>
      </c>
      <c r="J76" t="s">
        <v>40</v>
      </c>
      <c r="K76" t="s">
        <v>41</v>
      </c>
      <c r="L76" t="s">
        <v>2605</v>
      </c>
      <c r="M76" t="s">
        <v>2606</v>
      </c>
      <c r="N76" t="s">
        <v>2712</v>
      </c>
      <c r="O76" t="s">
        <v>62</v>
      </c>
      <c r="P76" t="s">
        <v>63</v>
      </c>
      <c r="Q76">
        <v>1.3452798129087089</v>
      </c>
      <c r="R76" t="s">
        <v>64</v>
      </c>
      <c r="S76" t="s">
        <v>65</v>
      </c>
      <c r="T76" t="s">
        <v>2762</v>
      </c>
      <c r="V76" t="s">
        <v>618</v>
      </c>
      <c r="X76" t="s">
        <v>2763</v>
      </c>
      <c r="Y76" t="s">
        <v>412</v>
      </c>
      <c r="Z76" t="s">
        <v>2623</v>
      </c>
      <c r="AA76" t="s">
        <v>70</v>
      </c>
      <c r="AB76" t="s">
        <v>41</v>
      </c>
      <c r="AD76" t="s">
        <v>620</v>
      </c>
      <c r="AF76" t="s">
        <v>414</v>
      </c>
      <c r="AJ76">
        <v>407.14390114035479</v>
      </c>
      <c r="AK76">
        <v>5444.176027477014</v>
      </c>
    </row>
    <row r="77" spans="1:37" x14ac:dyDescent="0.25">
      <c r="A77">
        <v>79</v>
      </c>
      <c r="B77" t="s">
        <v>2764</v>
      </c>
      <c r="C77" t="s">
        <v>376</v>
      </c>
      <c r="D77" t="s">
        <v>2604</v>
      </c>
      <c r="E77" t="s">
        <v>37</v>
      </c>
      <c r="F77" t="s">
        <v>38</v>
      </c>
      <c r="G77" s="2">
        <v>45846</v>
      </c>
      <c r="H77">
        <v>3.1</v>
      </c>
      <c r="I77" t="s">
        <v>72</v>
      </c>
      <c r="J77" t="s">
        <v>40</v>
      </c>
      <c r="K77" t="s">
        <v>41</v>
      </c>
      <c r="L77" t="s">
        <v>2605</v>
      </c>
      <c r="M77" t="s">
        <v>2606</v>
      </c>
      <c r="N77" t="s">
        <v>2712</v>
      </c>
      <c r="O77" t="s">
        <v>62</v>
      </c>
      <c r="P77" t="s">
        <v>63</v>
      </c>
      <c r="Q77">
        <v>3.0942987428533368</v>
      </c>
      <c r="R77" t="s">
        <v>64</v>
      </c>
      <c r="S77" t="s">
        <v>65</v>
      </c>
      <c r="T77" t="s">
        <v>2762</v>
      </c>
      <c r="V77" t="s">
        <v>618</v>
      </c>
      <c r="X77" t="s">
        <v>2763</v>
      </c>
      <c r="Y77" t="s">
        <v>412</v>
      </c>
      <c r="Z77" t="s">
        <v>2623</v>
      </c>
      <c r="AA77" t="s">
        <v>70</v>
      </c>
      <c r="AB77" t="s">
        <v>41</v>
      </c>
      <c r="AD77" t="s">
        <v>620</v>
      </c>
      <c r="AF77" t="s">
        <v>414</v>
      </c>
      <c r="AJ77">
        <v>436.53487155328048</v>
      </c>
      <c r="AK77">
        <v>12522.232829221501</v>
      </c>
    </row>
    <row r="78" spans="1:37" x14ac:dyDescent="0.25">
      <c r="A78">
        <v>80</v>
      </c>
      <c r="B78" t="s">
        <v>2765</v>
      </c>
      <c r="C78" t="s">
        <v>376</v>
      </c>
      <c r="D78" t="s">
        <v>2604</v>
      </c>
      <c r="E78" t="s">
        <v>37</v>
      </c>
      <c r="F78" t="s">
        <v>38</v>
      </c>
      <c r="G78" s="2">
        <v>45846</v>
      </c>
      <c r="H78">
        <v>6.8</v>
      </c>
      <c r="I78" t="s">
        <v>72</v>
      </c>
      <c r="J78" t="s">
        <v>40</v>
      </c>
      <c r="K78" t="s">
        <v>41</v>
      </c>
      <c r="L78" t="s">
        <v>2605</v>
      </c>
      <c r="M78" t="s">
        <v>2606</v>
      </c>
      <c r="N78" t="s">
        <v>2712</v>
      </c>
      <c r="O78" t="s">
        <v>62</v>
      </c>
      <c r="P78" t="s">
        <v>63</v>
      </c>
      <c r="Q78">
        <v>6.8260097050910362</v>
      </c>
      <c r="R78" t="s">
        <v>64</v>
      </c>
      <c r="S78" t="s">
        <v>65</v>
      </c>
      <c r="T78" t="s">
        <v>2762</v>
      </c>
      <c r="V78" t="s">
        <v>618</v>
      </c>
      <c r="X78" t="s">
        <v>2763</v>
      </c>
      <c r="Y78" t="s">
        <v>412</v>
      </c>
      <c r="Z78" t="s">
        <v>2623</v>
      </c>
      <c r="AA78" t="s">
        <v>70</v>
      </c>
      <c r="AB78" t="s">
        <v>41</v>
      </c>
      <c r="AD78" t="s">
        <v>620</v>
      </c>
      <c r="AF78" t="s">
        <v>414</v>
      </c>
      <c r="AJ78">
        <v>790.48272762164925</v>
      </c>
      <c r="AK78">
        <v>27623.991710268729</v>
      </c>
    </row>
    <row r="79" spans="1:37" x14ac:dyDescent="0.25">
      <c r="A79">
        <v>81</v>
      </c>
      <c r="B79" t="s">
        <v>2766</v>
      </c>
      <c r="C79" t="s">
        <v>376</v>
      </c>
      <c r="D79" t="s">
        <v>2604</v>
      </c>
      <c r="E79" t="s">
        <v>37</v>
      </c>
      <c r="F79" t="s">
        <v>38</v>
      </c>
      <c r="G79" s="2">
        <v>45846</v>
      </c>
      <c r="H79">
        <v>1</v>
      </c>
      <c r="I79" t="s">
        <v>72</v>
      </c>
      <c r="J79" t="s">
        <v>40</v>
      </c>
      <c r="K79" t="s">
        <v>41</v>
      </c>
      <c r="L79" t="s">
        <v>2605</v>
      </c>
      <c r="M79" t="s">
        <v>2606</v>
      </c>
      <c r="N79" t="s">
        <v>2712</v>
      </c>
      <c r="O79" t="s">
        <v>62</v>
      </c>
      <c r="P79" t="s">
        <v>63</v>
      </c>
      <c r="Q79">
        <v>0.82440027452524922</v>
      </c>
      <c r="R79" t="s">
        <v>64</v>
      </c>
      <c r="S79" t="s">
        <v>65</v>
      </c>
      <c r="T79" t="s">
        <v>2762</v>
      </c>
      <c r="V79" t="s">
        <v>618</v>
      </c>
      <c r="X79" t="s">
        <v>2763</v>
      </c>
      <c r="Y79" t="s">
        <v>412</v>
      </c>
      <c r="Z79" t="s">
        <v>2623</v>
      </c>
      <c r="AA79" t="s">
        <v>70</v>
      </c>
      <c r="AB79" t="s">
        <v>41</v>
      </c>
      <c r="AD79" t="s">
        <v>620</v>
      </c>
      <c r="AF79" t="s">
        <v>414</v>
      </c>
      <c r="AJ79">
        <v>255.9939102808822</v>
      </c>
      <c r="AK79">
        <v>3336.2428905490451</v>
      </c>
    </row>
    <row r="80" spans="1:37" x14ac:dyDescent="0.25">
      <c r="A80">
        <v>82</v>
      </c>
      <c r="B80" t="s">
        <v>2767</v>
      </c>
      <c r="C80" t="s">
        <v>376</v>
      </c>
      <c r="D80" t="s">
        <v>2604</v>
      </c>
      <c r="E80" t="s">
        <v>37</v>
      </c>
      <c r="F80" t="s">
        <v>38</v>
      </c>
      <c r="G80" s="2">
        <v>45846</v>
      </c>
      <c r="H80">
        <v>0.5</v>
      </c>
      <c r="I80" t="s">
        <v>72</v>
      </c>
      <c r="J80" t="s">
        <v>40</v>
      </c>
      <c r="K80" t="s">
        <v>41</v>
      </c>
      <c r="L80" t="s">
        <v>2605</v>
      </c>
      <c r="M80" t="s">
        <v>2606</v>
      </c>
      <c r="N80" t="s">
        <v>2712</v>
      </c>
      <c r="O80" t="s">
        <v>62</v>
      </c>
      <c r="P80" t="s">
        <v>63</v>
      </c>
      <c r="Q80">
        <v>0.44621422232582758</v>
      </c>
      <c r="R80" t="s">
        <v>64</v>
      </c>
      <c r="S80" t="s">
        <v>65</v>
      </c>
      <c r="T80" t="s">
        <v>2768</v>
      </c>
      <c r="V80" t="s">
        <v>618</v>
      </c>
      <c r="X80" t="s">
        <v>2763</v>
      </c>
      <c r="Y80" t="s">
        <v>412</v>
      </c>
      <c r="Z80" t="s">
        <v>2623</v>
      </c>
      <c r="AA80" t="s">
        <v>70</v>
      </c>
      <c r="AB80" t="s">
        <v>41</v>
      </c>
      <c r="AD80" t="s">
        <v>620</v>
      </c>
      <c r="AF80" t="s">
        <v>414</v>
      </c>
      <c r="AJ80">
        <v>217.53223957769711</v>
      </c>
      <c r="AK80">
        <v>1805.7721144667321</v>
      </c>
    </row>
    <row r="81" spans="1:37" x14ac:dyDescent="0.25">
      <c r="A81">
        <v>88</v>
      </c>
      <c r="B81" t="s">
        <v>2774</v>
      </c>
      <c r="C81" t="s">
        <v>376</v>
      </c>
      <c r="D81" t="s">
        <v>2604</v>
      </c>
      <c r="E81" t="s">
        <v>37</v>
      </c>
      <c r="F81" t="s">
        <v>38</v>
      </c>
      <c r="G81" s="2">
        <v>45846</v>
      </c>
      <c r="H81">
        <v>0.3</v>
      </c>
      <c r="I81" t="s">
        <v>72</v>
      </c>
      <c r="J81" t="s">
        <v>40</v>
      </c>
      <c r="K81" t="s">
        <v>41</v>
      </c>
      <c r="L81" t="s">
        <v>2605</v>
      </c>
      <c r="M81" t="s">
        <v>2606</v>
      </c>
      <c r="N81" t="s">
        <v>2712</v>
      </c>
      <c r="O81" t="s">
        <v>62</v>
      </c>
      <c r="P81" t="s">
        <v>63</v>
      </c>
      <c r="Q81">
        <v>0.27904144954554128</v>
      </c>
      <c r="R81" t="s">
        <v>64</v>
      </c>
      <c r="S81" t="s">
        <v>65</v>
      </c>
      <c r="T81" t="s">
        <v>2768</v>
      </c>
      <c r="V81" t="s">
        <v>618</v>
      </c>
      <c r="X81" t="s">
        <v>2763</v>
      </c>
      <c r="Y81" t="s">
        <v>412</v>
      </c>
      <c r="Z81" t="s">
        <v>2623</v>
      </c>
      <c r="AA81" t="s">
        <v>70</v>
      </c>
      <c r="AB81" t="s">
        <v>41</v>
      </c>
      <c r="AD81" t="s">
        <v>620</v>
      </c>
      <c r="AF81" t="s">
        <v>414</v>
      </c>
      <c r="AJ81">
        <v>166.61760604311669</v>
      </c>
      <c r="AK81">
        <v>1129.2451991854589</v>
      </c>
    </row>
    <row r="82" spans="1:37" x14ac:dyDescent="0.25">
      <c r="A82">
        <v>89</v>
      </c>
      <c r="B82" t="s">
        <v>2775</v>
      </c>
      <c r="C82" t="s">
        <v>376</v>
      </c>
      <c r="D82" t="s">
        <v>2604</v>
      </c>
      <c r="E82" t="s">
        <v>37</v>
      </c>
      <c r="F82" t="s">
        <v>38</v>
      </c>
      <c r="G82" s="2">
        <v>45846</v>
      </c>
      <c r="H82">
        <v>0.4</v>
      </c>
      <c r="I82" t="s">
        <v>72</v>
      </c>
      <c r="J82" t="s">
        <v>40</v>
      </c>
      <c r="K82" t="s">
        <v>41</v>
      </c>
      <c r="L82" t="s">
        <v>2605</v>
      </c>
      <c r="M82" t="s">
        <v>2606</v>
      </c>
      <c r="N82" t="s">
        <v>2712</v>
      </c>
      <c r="O82" t="s">
        <v>62</v>
      </c>
      <c r="P82" t="s">
        <v>63</v>
      </c>
      <c r="Q82">
        <v>0.36028731506091038</v>
      </c>
      <c r="R82" t="s">
        <v>64</v>
      </c>
      <c r="S82" t="s">
        <v>65</v>
      </c>
      <c r="T82" t="s">
        <v>2768</v>
      </c>
      <c r="V82" t="s">
        <v>618</v>
      </c>
      <c r="X82" t="s">
        <v>2763</v>
      </c>
      <c r="Y82" t="s">
        <v>412</v>
      </c>
      <c r="Z82" t="s">
        <v>2623</v>
      </c>
      <c r="AA82" t="s">
        <v>70</v>
      </c>
      <c r="AB82" t="s">
        <v>41</v>
      </c>
      <c r="AD82" t="s">
        <v>620</v>
      </c>
      <c r="AF82" t="s">
        <v>414</v>
      </c>
      <c r="AJ82">
        <v>171.5594380697126</v>
      </c>
      <c r="AK82">
        <v>1458.036867005133</v>
      </c>
    </row>
    <row r="83" spans="1:37" x14ac:dyDescent="0.25">
      <c r="A83">
        <v>90</v>
      </c>
      <c r="B83" t="s">
        <v>2776</v>
      </c>
      <c r="C83" t="s">
        <v>376</v>
      </c>
      <c r="D83" t="s">
        <v>2604</v>
      </c>
      <c r="E83" t="s">
        <v>37</v>
      </c>
      <c r="F83" t="s">
        <v>38</v>
      </c>
      <c r="G83" s="2">
        <v>45847</v>
      </c>
      <c r="H83">
        <v>38</v>
      </c>
      <c r="I83" t="s">
        <v>72</v>
      </c>
      <c r="J83" t="s">
        <v>40</v>
      </c>
      <c r="K83" t="s">
        <v>41</v>
      </c>
      <c r="L83" t="s">
        <v>2605</v>
      </c>
      <c r="M83" t="s">
        <v>2606</v>
      </c>
      <c r="O83" t="s">
        <v>62</v>
      </c>
      <c r="P83" t="s">
        <v>63</v>
      </c>
      <c r="Q83">
        <v>34.080033878471433</v>
      </c>
      <c r="R83" t="s">
        <v>64</v>
      </c>
      <c r="S83" t="s">
        <v>65</v>
      </c>
      <c r="T83" t="s">
        <v>2777</v>
      </c>
      <c r="V83" t="s">
        <v>896</v>
      </c>
      <c r="X83" t="s">
        <v>2778</v>
      </c>
      <c r="Y83" t="s">
        <v>412</v>
      </c>
      <c r="Z83" t="s">
        <v>765</v>
      </c>
      <c r="AA83" t="s">
        <v>119</v>
      </c>
      <c r="AB83" t="s">
        <v>41</v>
      </c>
      <c r="AD83" t="s">
        <v>683</v>
      </c>
      <c r="AF83" t="s">
        <v>684</v>
      </c>
      <c r="AJ83">
        <v>2078.5640740837762</v>
      </c>
      <c r="AK83">
        <v>137917.55564637261</v>
      </c>
    </row>
    <row r="84" spans="1:37" hidden="1" x14ac:dyDescent="0.25">
      <c r="A84">
        <v>86</v>
      </c>
      <c r="B84" t="s">
        <v>2772</v>
      </c>
      <c r="C84" t="s">
        <v>376</v>
      </c>
      <c r="D84" t="s">
        <v>2604</v>
      </c>
      <c r="E84" t="s">
        <v>37</v>
      </c>
      <c r="F84" t="s">
        <v>38</v>
      </c>
      <c r="G84" s="2">
        <v>45845</v>
      </c>
      <c r="H84">
        <v>2.4</v>
      </c>
      <c r="I84" t="s">
        <v>72</v>
      </c>
      <c r="J84" t="s">
        <v>40</v>
      </c>
      <c r="K84" t="s">
        <v>41</v>
      </c>
      <c r="L84" t="s">
        <v>2605</v>
      </c>
      <c r="M84" t="s">
        <v>2606</v>
      </c>
      <c r="O84" t="s">
        <v>79</v>
      </c>
      <c r="P84" t="s">
        <v>80</v>
      </c>
      <c r="Q84">
        <v>2.2103604918800999</v>
      </c>
      <c r="R84" t="s">
        <v>46</v>
      </c>
      <c r="S84" t="s">
        <v>47</v>
      </c>
      <c r="T84" t="s">
        <v>2756</v>
      </c>
      <c r="V84" t="s">
        <v>618</v>
      </c>
      <c r="X84" t="s">
        <v>2704</v>
      </c>
      <c r="Y84" t="s">
        <v>412</v>
      </c>
      <c r="Z84" t="s">
        <v>2623</v>
      </c>
      <c r="AA84" t="s">
        <v>70</v>
      </c>
      <c r="AB84" t="s">
        <v>41</v>
      </c>
      <c r="AD84" t="s">
        <v>2757</v>
      </c>
      <c r="AF84" t="s">
        <v>2667</v>
      </c>
      <c r="AJ84">
        <v>424.37017612802521</v>
      </c>
      <c r="AK84">
        <v>8945.0473325377552</v>
      </c>
    </row>
    <row r="85" spans="1:37" x14ac:dyDescent="0.25">
      <c r="A85">
        <v>94</v>
      </c>
      <c r="B85" t="s">
        <v>2785</v>
      </c>
      <c r="C85" t="s">
        <v>376</v>
      </c>
      <c r="D85" t="s">
        <v>2604</v>
      </c>
      <c r="E85" t="s">
        <v>37</v>
      </c>
      <c r="F85" t="s">
        <v>38</v>
      </c>
      <c r="G85" s="2">
        <v>45846</v>
      </c>
      <c r="H85">
        <v>0.2</v>
      </c>
      <c r="I85" t="s">
        <v>72</v>
      </c>
      <c r="J85" t="s">
        <v>40</v>
      </c>
      <c r="K85" t="s">
        <v>41</v>
      </c>
      <c r="L85" t="s">
        <v>2605</v>
      </c>
      <c r="M85" t="s">
        <v>2606</v>
      </c>
      <c r="N85" t="s">
        <v>2712</v>
      </c>
      <c r="O85" t="s">
        <v>62</v>
      </c>
      <c r="P85" t="s">
        <v>63</v>
      </c>
      <c r="Q85">
        <v>0.21858935549834441</v>
      </c>
      <c r="R85" t="s">
        <v>64</v>
      </c>
      <c r="S85" t="s">
        <v>65</v>
      </c>
      <c r="T85" t="s">
        <v>2768</v>
      </c>
      <c r="V85" t="s">
        <v>618</v>
      </c>
      <c r="X85" t="s">
        <v>2763</v>
      </c>
      <c r="Y85" t="s">
        <v>412</v>
      </c>
      <c r="Z85" t="s">
        <v>2623</v>
      </c>
      <c r="AA85" t="s">
        <v>70</v>
      </c>
      <c r="AB85" t="s">
        <v>41</v>
      </c>
      <c r="AD85" t="s">
        <v>620</v>
      </c>
      <c r="AF85" t="s">
        <v>414</v>
      </c>
      <c r="AJ85">
        <v>135.18475798277541</v>
      </c>
      <c r="AK85">
        <v>884.60327557631581</v>
      </c>
    </row>
    <row r="86" spans="1:37" x14ac:dyDescent="0.25">
      <c r="A86">
        <v>95</v>
      </c>
      <c r="B86" t="s">
        <v>2786</v>
      </c>
      <c r="C86" t="s">
        <v>376</v>
      </c>
      <c r="D86" t="s">
        <v>2604</v>
      </c>
      <c r="E86" t="s">
        <v>37</v>
      </c>
      <c r="F86" t="s">
        <v>38</v>
      </c>
      <c r="G86" s="2">
        <v>45846</v>
      </c>
      <c r="H86">
        <v>0.2</v>
      </c>
      <c r="I86" t="s">
        <v>72</v>
      </c>
      <c r="J86" t="s">
        <v>40</v>
      </c>
      <c r="K86" t="s">
        <v>41</v>
      </c>
      <c r="L86" t="s">
        <v>2605</v>
      </c>
      <c r="M86" t="s">
        <v>2606</v>
      </c>
      <c r="N86" t="s">
        <v>2712</v>
      </c>
      <c r="O86" t="s">
        <v>62</v>
      </c>
      <c r="P86" t="s">
        <v>63</v>
      </c>
      <c r="Q86">
        <v>0.1843344154456906</v>
      </c>
      <c r="R86" t="s">
        <v>64</v>
      </c>
      <c r="S86" t="s">
        <v>65</v>
      </c>
      <c r="T86" t="s">
        <v>2768</v>
      </c>
      <c r="V86" t="s">
        <v>618</v>
      </c>
      <c r="X86" t="s">
        <v>2763</v>
      </c>
      <c r="Y86" t="s">
        <v>412</v>
      </c>
      <c r="Z86" t="s">
        <v>2623</v>
      </c>
      <c r="AA86" t="s">
        <v>70</v>
      </c>
      <c r="AB86" t="s">
        <v>41</v>
      </c>
      <c r="AD86" t="s">
        <v>620</v>
      </c>
      <c r="AF86" t="s">
        <v>414</v>
      </c>
      <c r="AJ86">
        <v>124.5405358281121</v>
      </c>
      <c r="AK86">
        <v>745.97789692434662</v>
      </c>
    </row>
    <row r="87" spans="1:37" x14ac:dyDescent="0.25">
      <c r="A87">
        <v>96</v>
      </c>
      <c r="B87" t="s">
        <v>2787</v>
      </c>
      <c r="C87" t="s">
        <v>376</v>
      </c>
      <c r="D87" t="s">
        <v>2604</v>
      </c>
      <c r="E87" t="s">
        <v>37</v>
      </c>
      <c r="F87" t="s">
        <v>38</v>
      </c>
      <c r="G87" s="2">
        <v>45846</v>
      </c>
      <c r="H87">
        <v>0.2</v>
      </c>
      <c r="I87" t="s">
        <v>72</v>
      </c>
      <c r="J87" t="s">
        <v>40</v>
      </c>
      <c r="K87" t="s">
        <v>41</v>
      </c>
      <c r="L87" t="s">
        <v>2605</v>
      </c>
      <c r="M87" t="s">
        <v>2606</v>
      </c>
      <c r="N87" t="s">
        <v>2712</v>
      </c>
      <c r="O87" t="s">
        <v>62</v>
      </c>
      <c r="P87" t="s">
        <v>63</v>
      </c>
      <c r="Q87">
        <v>0.14014855553442271</v>
      </c>
      <c r="R87" t="s">
        <v>64</v>
      </c>
      <c r="S87" t="s">
        <v>65</v>
      </c>
      <c r="T87" t="s">
        <v>2768</v>
      </c>
      <c r="V87" t="s">
        <v>618</v>
      </c>
      <c r="X87" t="s">
        <v>2763</v>
      </c>
      <c r="Y87" t="s">
        <v>412</v>
      </c>
      <c r="Z87" t="s">
        <v>2623</v>
      </c>
      <c r="AA87" t="s">
        <v>70</v>
      </c>
      <c r="AB87" t="s">
        <v>41</v>
      </c>
      <c r="AD87" t="s">
        <v>620</v>
      </c>
      <c r="AF87" t="s">
        <v>414</v>
      </c>
      <c r="AJ87">
        <v>111.39038162166661</v>
      </c>
      <c r="AK87">
        <v>567.16335070569551</v>
      </c>
    </row>
    <row r="88" spans="1:37" x14ac:dyDescent="0.25">
      <c r="A88">
        <v>97</v>
      </c>
      <c r="B88" t="s">
        <v>2788</v>
      </c>
      <c r="C88" t="s">
        <v>376</v>
      </c>
      <c r="D88" t="s">
        <v>2604</v>
      </c>
      <c r="E88" t="s">
        <v>37</v>
      </c>
      <c r="F88" t="s">
        <v>38</v>
      </c>
      <c r="G88" s="2">
        <v>45847</v>
      </c>
      <c r="H88">
        <v>0.7</v>
      </c>
      <c r="I88" t="s">
        <v>72</v>
      </c>
      <c r="J88" t="s">
        <v>40</v>
      </c>
      <c r="K88" t="s">
        <v>41</v>
      </c>
      <c r="L88" t="s">
        <v>2605</v>
      </c>
      <c r="M88" t="s">
        <v>2606</v>
      </c>
      <c r="O88" t="s">
        <v>62</v>
      </c>
      <c r="P88" t="s">
        <v>63</v>
      </c>
      <c r="Q88">
        <v>0.70016506016455549</v>
      </c>
      <c r="R88" t="s">
        <v>64</v>
      </c>
      <c r="S88" t="s">
        <v>65</v>
      </c>
      <c r="T88" t="s">
        <v>2777</v>
      </c>
      <c r="V88" t="s">
        <v>896</v>
      </c>
      <c r="X88" t="s">
        <v>2778</v>
      </c>
      <c r="Y88" t="s">
        <v>412</v>
      </c>
      <c r="Z88" t="s">
        <v>765</v>
      </c>
      <c r="AA88" t="s">
        <v>119</v>
      </c>
      <c r="AB88" t="s">
        <v>41</v>
      </c>
      <c r="AD88" t="s">
        <v>683</v>
      </c>
      <c r="AF88" t="s">
        <v>684</v>
      </c>
      <c r="AJ88">
        <v>224.61863913364391</v>
      </c>
      <c r="AK88">
        <v>2833.4788043708968</v>
      </c>
    </row>
    <row r="89" spans="1:37" hidden="1" x14ac:dyDescent="0.25">
      <c r="A89">
        <v>92</v>
      </c>
      <c r="B89" t="s">
        <v>2780</v>
      </c>
      <c r="C89" t="s">
        <v>376</v>
      </c>
      <c r="D89" t="s">
        <v>2604</v>
      </c>
      <c r="E89" t="s">
        <v>37</v>
      </c>
      <c r="F89" t="s">
        <v>38</v>
      </c>
      <c r="G89" s="2">
        <v>45869</v>
      </c>
      <c r="H89">
        <v>8.3000000000000007</v>
      </c>
      <c r="I89" t="s">
        <v>72</v>
      </c>
      <c r="J89" t="s">
        <v>40</v>
      </c>
      <c r="K89" t="s">
        <v>41</v>
      </c>
      <c r="L89" t="s">
        <v>2605</v>
      </c>
      <c r="M89" t="s">
        <v>2606</v>
      </c>
      <c r="O89" t="s">
        <v>79</v>
      </c>
      <c r="P89" t="s">
        <v>80</v>
      </c>
      <c r="Q89">
        <v>7.5875061876337266</v>
      </c>
      <c r="R89" t="s">
        <v>60</v>
      </c>
      <c r="S89" t="s">
        <v>66</v>
      </c>
      <c r="T89" t="s">
        <v>2781</v>
      </c>
      <c r="V89" t="s">
        <v>896</v>
      </c>
      <c r="X89" t="s">
        <v>2782</v>
      </c>
      <c r="Y89" t="s">
        <v>412</v>
      </c>
      <c r="Z89" t="s">
        <v>765</v>
      </c>
      <c r="AA89" t="s">
        <v>119</v>
      </c>
      <c r="AB89" t="s">
        <v>41</v>
      </c>
      <c r="AD89" t="s">
        <v>2783</v>
      </c>
      <c r="AF89" t="s">
        <v>2285</v>
      </c>
      <c r="AJ89">
        <v>697.20290701460101</v>
      </c>
      <c r="AK89">
        <v>30705.670967986331</v>
      </c>
    </row>
    <row r="90" spans="1:37" hidden="1" x14ac:dyDescent="0.25">
      <c r="A90">
        <v>93</v>
      </c>
      <c r="B90" t="s">
        <v>2784</v>
      </c>
      <c r="C90" t="s">
        <v>376</v>
      </c>
      <c r="D90" t="s">
        <v>2604</v>
      </c>
      <c r="E90" t="s">
        <v>37</v>
      </c>
      <c r="F90" t="s">
        <v>38</v>
      </c>
      <c r="G90" s="2">
        <v>45847</v>
      </c>
      <c r="H90">
        <v>0.7</v>
      </c>
      <c r="I90" t="s">
        <v>72</v>
      </c>
      <c r="J90" t="s">
        <v>40</v>
      </c>
      <c r="K90" t="s">
        <v>41</v>
      </c>
      <c r="L90" t="s">
        <v>2605</v>
      </c>
      <c r="M90" t="s">
        <v>2606</v>
      </c>
      <c r="O90" t="s">
        <v>141</v>
      </c>
      <c r="P90" t="s">
        <v>142</v>
      </c>
      <c r="Q90">
        <v>0.72900878601392904</v>
      </c>
      <c r="S90" t="s">
        <v>38</v>
      </c>
      <c r="T90" t="s">
        <v>2778</v>
      </c>
      <c r="V90" t="s">
        <v>896</v>
      </c>
      <c r="X90" t="s">
        <v>2778</v>
      </c>
      <c r="Y90" t="s">
        <v>412</v>
      </c>
      <c r="Z90" t="s">
        <v>765</v>
      </c>
      <c r="AA90" t="s">
        <v>119</v>
      </c>
      <c r="AB90" t="s">
        <v>41</v>
      </c>
      <c r="AD90" t="s">
        <v>683</v>
      </c>
      <c r="AF90" t="s">
        <v>684</v>
      </c>
      <c r="AJ90">
        <v>236.11583195083031</v>
      </c>
      <c r="AK90">
        <v>2950.2056884774488</v>
      </c>
    </row>
    <row r="91" spans="1:37" x14ac:dyDescent="0.25">
      <c r="A91">
        <v>98</v>
      </c>
      <c r="B91" t="s">
        <v>2789</v>
      </c>
      <c r="C91" t="s">
        <v>376</v>
      </c>
      <c r="D91" t="s">
        <v>2604</v>
      </c>
      <c r="E91" t="s">
        <v>37</v>
      </c>
      <c r="F91" t="s">
        <v>38</v>
      </c>
      <c r="G91" s="2">
        <v>45869</v>
      </c>
      <c r="H91">
        <v>5.5</v>
      </c>
      <c r="I91" t="s">
        <v>72</v>
      </c>
      <c r="J91" t="s">
        <v>40</v>
      </c>
      <c r="K91" t="s">
        <v>41</v>
      </c>
      <c r="L91" t="s">
        <v>2605</v>
      </c>
      <c r="M91" t="s">
        <v>2606</v>
      </c>
      <c r="O91" t="s">
        <v>62</v>
      </c>
      <c r="P91" t="s">
        <v>63</v>
      </c>
      <c r="Q91">
        <v>5.7010657932428801</v>
      </c>
      <c r="R91" t="s">
        <v>64</v>
      </c>
      <c r="S91" t="s">
        <v>65</v>
      </c>
      <c r="T91" t="s">
        <v>2790</v>
      </c>
      <c r="V91" t="s">
        <v>896</v>
      </c>
      <c r="X91" t="s">
        <v>2791</v>
      </c>
      <c r="Y91" t="s">
        <v>412</v>
      </c>
      <c r="Z91" t="s">
        <v>765</v>
      </c>
      <c r="AA91" t="s">
        <v>70</v>
      </c>
      <c r="AB91" t="s">
        <v>41</v>
      </c>
      <c r="AD91" t="s">
        <v>232</v>
      </c>
      <c r="AF91" t="s">
        <v>2792</v>
      </c>
      <c r="AJ91">
        <v>701.24817190709564</v>
      </c>
      <c r="AK91">
        <v>23071.487005765641</v>
      </c>
    </row>
    <row r="92" spans="1:37" x14ac:dyDescent="0.25">
      <c r="A92">
        <v>99</v>
      </c>
      <c r="B92" t="s">
        <v>2793</v>
      </c>
      <c r="C92" t="s">
        <v>376</v>
      </c>
      <c r="D92" t="s">
        <v>2604</v>
      </c>
      <c r="E92" t="s">
        <v>37</v>
      </c>
      <c r="F92" t="s">
        <v>38</v>
      </c>
      <c r="G92" s="2">
        <v>45869</v>
      </c>
      <c r="H92">
        <v>10</v>
      </c>
      <c r="I92" t="s">
        <v>72</v>
      </c>
      <c r="J92" t="s">
        <v>40</v>
      </c>
      <c r="K92" t="s">
        <v>41</v>
      </c>
      <c r="L92" t="s">
        <v>2605</v>
      </c>
      <c r="M92" t="s">
        <v>2606</v>
      </c>
      <c r="O92" t="s">
        <v>62</v>
      </c>
      <c r="P92" t="s">
        <v>63</v>
      </c>
      <c r="Q92">
        <v>10.298394546671879</v>
      </c>
      <c r="R92" t="s">
        <v>64</v>
      </c>
      <c r="S92" t="s">
        <v>65</v>
      </c>
      <c r="T92" t="s">
        <v>2790</v>
      </c>
      <c r="V92" t="s">
        <v>896</v>
      </c>
      <c r="X92" t="s">
        <v>2791</v>
      </c>
      <c r="Y92" t="s">
        <v>412</v>
      </c>
      <c r="Z92" t="s">
        <v>765</v>
      </c>
      <c r="AA92" t="s">
        <v>119</v>
      </c>
      <c r="AB92" t="s">
        <v>41</v>
      </c>
      <c r="AD92" t="s">
        <v>232</v>
      </c>
      <c r="AF92" t="s">
        <v>2792</v>
      </c>
      <c r="AJ92">
        <v>930.37899377174574</v>
      </c>
      <c r="AK92">
        <v>41676.290816604807</v>
      </c>
    </row>
    <row r="93" spans="1:37" x14ac:dyDescent="0.25">
      <c r="A93">
        <v>100</v>
      </c>
      <c r="B93" t="s">
        <v>2794</v>
      </c>
      <c r="C93" t="s">
        <v>376</v>
      </c>
      <c r="D93" t="s">
        <v>2604</v>
      </c>
      <c r="E93" t="s">
        <v>37</v>
      </c>
      <c r="F93" t="s">
        <v>38</v>
      </c>
      <c r="G93" s="2">
        <v>45845</v>
      </c>
      <c r="H93">
        <v>9.1</v>
      </c>
      <c r="I93" t="s">
        <v>72</v>
      </c>
      <c r="J93" t="s">
        <v>40</v>
      </c>
      <c r="K93" t="s">
        <v>41</v>
      </c>
      <c r="L93" t="s">
        <v>2605</v>
      </c>
      <c r="M93" t="s">
        <v>2606</v>
      </c>
      <c r="O93" t="s">
        <v>62</v>
      </c>
      <c r="P93" t="s">
        <v>63</v>
      </c>
      <c r="Q93">
        <v>6.6086024634967888</v>
      </c>
      <c r="R93" t="s">
        <v>64</v>
      </c>
      <c r="S93" t="s">
        <v>65</v>
      </c>
      <c r="T93" t="s">
        <v>2756</v>
      </c>
      <c r="V93" t="s">
        <v>618</v>
      </c>
      <c r="X93" t="s">
        <v>2704</v>
      </c>
      <c r="Y93" t="s">
        <v>412</v>
      </c>
      <c r="Z93" t="s">
        <v>2623</v>
      </c>
      <c r="AA93" t="s">
        <v>70</v>
      </c>
      <c r="AB93" t="s">
        <v>41</v>
      </c>
      <c r="AD93" t="s">
        <v>2757</v>
      </c>
      <c r="AF93" t="s">
        <v>1097</v>
      </c>
      <c r="AJ93">
        <v>757.01611108427062</v>
      </c>
      <c r="AK93">
        <v>26744.172299072659</v>
      </c>
    </row>
    <row r="94" spans="1:37" x14ac:dyDescent="0.25">
      <c r="A94">
        <v>101</v>
      </c>
      <c r="B94" t="s">
        <v>2795</v>
      </c>
      <c r="C94" t="s">
        <v>376</v>
      </c>
      <c r="D94" t="s">
        <v>2604</v>
      </c>
      <c r="E94" t="s">
        <v>37</v>
      </c>
      <c r="F94" t="s">
        <v>38</v>
      </c>
      <c r="G94" s="2">
        <v>45847</v>
      </c>
      <c r="H94">
        <v>7.3</v>
      </c>
      <c r="I94" t="s">
        <v>72</v>
      </c>
      <c r="J94" t="s">
        <v>40</v>
      </c>
      <c r="K94" t="s">
        <v>41</v>
      </c>
      <c r="L94" t="s">
        <v>2605</v>
      </c>
      <c r="M94" t="s">
        <v>2606</v>
      </c>
      <c r="O94" t="s">
        <v>62</v>
      </c>
      <c r="P94" t="s">
        <v>63</v>
      </c>
      <c r="Q94">
        <v>7.6413663669125071</v>
      </c>
      <c r="R94" t="s">
        <v>64</v>
      </c>
      <c r="S94" t="s">
        <v>65</v>
      </c>
      <c r="T94" t="s">
        <v>2777</v>
      </c>
      <c r="V94" t="s">
        <v>896</v>
      </c>
      <c r="X94" t="s">
        <v>2778</v>
      </c>
      <c r="Y94" t="s">
        <v>412</v>
      </c>
      <c r="Z94" t="s">
        <v>765</v>
      </c>
      <c r="AA94" t="s">
        <v>119</v>
      </c>
      <c r="AB94" t="s">
        <v>41</v>
      </c>
      <c r="AD94" t="s">
        <v>683</v>
      </c>
      <c r="AF94" t="s">
        <v>684</v>
      </c>
      <c r="AJ94">
        <v>708.10450358393905</v>
      </c>
      <c r="AK94">
        <v>30923.63625227255</v>
      </c>
    </row>
    <row r="95" spans="1:37" x14ac:dyDescent="0.25">
      <c r="A95">
        <v>103</v>
      </c>
      <c r="B95" t="s">
        <v>2797</v>
      </c>
      <c r="C95" t="s">
        <v>376</v>
      </c>
      <c r="D95" t="s">
        <v>2604</v>
      </c>
      <c r="E95" t="s">
        <v>37</v>
      </c>
      <c r="F95" t="s">
        <v>38</v>
      </c>
      <c r="G95" s="2">
        <v>45846</v>
      </c>
      <c r="H95">
        <v>0.4</v>
      </c>
      <c r="I95" t="s">
        <v>72</v>
      </c>
      <c r="J95" t="s">
        <v>40</v>
      </c>
      <c r="K95" t="s">
        <v>41</v>
      </c>
      <c r="L95" t="s">
        <v>2605</v>
      </c>
      <c r="M95" t="s">
        <v>2606</v>
      </c>
      <c r="O95" t="s">
        <v>62</v>
      </c>
      <c r="P95" t="s">
        <v>63</v>
      </c>
      <c r="Q95">
        <v>0.4584218085409052</v>
      </c>
      <c r="R95" t="s">
        <v>64</v>
      </c>
      <c r="S95" t="s">
        <v>65</v>
      </c>
      <c r="T95" t="s">
        <v>2798</v>
      </c>
      <c r="V95" t="s">
        <v>618</v>
      </c>
      <c r="X95" t="s">
        <v>2799</v>
      </c>
      <c r="Y95" t="s">
        <v>412</v>
      </c>
      <c r="Z95" t="s">
        <v>2623</v>
      </c>
      <c r="AA95" t="s">
        <v>70</v>
      </c>
      <c r="AB95" t="s">
        <v>41</v>
      </c>
      <c r="AJ95">
        <v>191.34637904418079</v>
      </c>
      <c r="AK95">
        <v>1855.174660753207</v>
      </c>
    </row>
    <row r="96" spans="1:37" x14ac:dyDescent="0.25">
      <c r="A96">
        <v>104</v>
      </c>
      <c r="B96" t="s">
        <v>2800</v>
      </c>
      <c r="C96" t="s">
        <v>376</v>
      </c>
      <c r="D96" t="s">
        <v>2604</v>
      </c>
      <c r="E96" t="s">
        <v>37</v>
      </c>
      <c r="F96" t="s">
        <v>38</v>
      </c>
      <c r="G96" s="2">
        <v>45846</v>
      </c>
      <c r="H96">
        <v>6.9</v>
      </c>
      <c r="I96" t="s">
        <v>72</v>
      </c>
      <c r="J96" t="s">
        <v>40</v>
      </c>
      <c r="K96" t="s">
        <v>41</v>
      </c>
      <c r="L96" t="s">
        <v>2605</v>
      </c>
      <c r="M96" t="s">
        <v>2606</v>
      </c>
      <c r="O96" t="s">
        <v>62</v>
      </c>
      <c r="P96" t="s">
        <v>63</v>
      </c>
      <c r="Q96">
        <v>6.9813096351771904</v>
      </c>
      <c r="R96" t="s">
        <v>64</v>
      </c>
      <c r="S96" t="s">
        <v>65</v>
      </c>
      <c r="T96" t="s">
        <v>2801</v>
      </c>
      <c r="V96" t="s">
        <v>618</v>
      </c>
      <c r="X96" t="s">
        <v>2714</v>
      </c>
      <c r="Y96" t="s">
        <v>412</v>
      </c>
      <c r="Z96" t="s">
        <v>2623</v>
      </c>
      <c r="AA96" t="s">
        <v>70</v>
      </c>
      <c r="AB96" t="s">
        <v>41</v>
      </c>
      <c r="AD96" t="s">
        <v>620</v>
      </c>
      <c r="AF96" t="s">
        <v>2667</v>
      </c>
      <c r="AJ96">
        <v>798.52077697213178</v>
      </c>
      <c r="AK96">
        <v>28252.470743649781</v>
      </c>
    </row>
    <row r="97" spans="1:37" x14ac:dyDescent="0.25">
      <c r="A97">
        <v>108</v>
      </c>
      <c r="B97" t="s">
        <v>2806</v>
      </c>
      <c r="C97" t="s">
        <v>376</v>
      </c>
      <c r="D97" t="s">
        <v>2604</v>
      </c>
      <c r="E97" t="s">
        <v>37</v>
      </c>
      <c r="F97" t="s">
        <v>38</v>
      </c>
      <c r="G97" s="2">
        <v>45847</v>
      </c>
      <c r="H97">
        <v>9</v>
      </c>
      <c r="I97" t="s">
        <v>72</v>
      </c>
      <c r="J97" t="s">
        <v>40</v>
      </c>
      <c r="K97" t="s">
        <v>41</v>
      </c>
      <c r="L97" t="s">
        <v>2605</v>
      </c>
      <c r="M97" t="s">
        <v>2606</v>
      </c>
      <c r="O97" t="s">
        <v>62</v>
      </c>
      <c r="P97" t="s">
        <v>63</v>
      </c>
      <c r="Q97">
        <v>9.4945820260541094</v>
      </c>
      <c r="R97" t="s">
        <v>64</v>
      </c>
      <c r="S97" t="s">
        <v>65</v>
      </c>
      <c r="T97" t="s">
        <v>2777</v>
      </c>
      <c r="V97" t="s">
        <v>896</v>
      </c>
      <c r="X97" t="s">
        <v>2778</v>
      </c>
      <c r="Y97" t="s">
        <v>412</v>
      </c>
      <c r="Z97" t="s">
        <v>765</v>
      </c>
      <c r="AA97" t="s">
        <v>119</v>
      </c>
      <c r="AB97" t="s">
        <v>41</v>
      </c>
      <c r="AD97" t="s">
        <v>683</v>
      </c>
      <c r="AF97" t="s">
        <v>684</v>
      </c>
      <c r="AJ97">
        <v>780.84398645043154</v>
      </c>
      <c r="AK97">
        <v>38423.363943442753</v>
      </c>
    </row>
    <row r="98" spans="1:37" x14ac:dyDescent="0.25">
      <c r="A98">
        <v>113</v>
      </c>
      <c r="B98" t="s">
        <v>2811</v>
      </c>
      <c r="C98" t="s">
        <v>376</v>
      </c>
      <c r="D98" t="s">
        <v>2604</v>
      </c>
      <c r="E98" t="s">
        <v>37</v>
      </c>
      <c r="F98" t="s">
        <v>38</v>
      </c>
      <c r="G98" s="2">
        <v>45869</v>
      </c>
      <c r="H98">
        <v>23.8</v>
      </c>
      <c r="I98" t="s">
        <v>72</v>
      </c>
      <c r="J98" t="s">
        <v>40</v>
      </c>
      <c r="K98" t="s">
        <v>41</v>
      </c>
      <c r="L98" t="s">
        <v>2605</v>
      </c>
      <c r="M98" t="s">
        <v>2606</v>
      </c>
      <c r="O98" t="s">
        <v>62</v>
      </c>
      <c r="P98" t="s">
        <v>63</v>
      </c>
      <c r="Q98">
        <v>24.87828922446781</v>
      </c>
      <c r="R98" t="s">
        <v>64</v>
      </c>
      <c r="S98" t="s">
        <v>65</v>
      </c>
      <c r="T98" t="s">
        <v>2790</v>
      </c>
      <c r="V98" t="s">
        <v>896</v>
      </c>
      <c r="X98" t="s">
        <v>2791</v>
      </c>
      <c r="Y98" t="s">
        <v>412</v>
      </c>
      <c r="Z98" t="s">
        <v>765</v>
      </c>
      <c r="AA98" t="s">
        <v>119</v>
      </c>
      <c r="AB98" t="s">
        <v>41</v>
      </c>
      <c r="AD98" t="s">
        <v>232</v>
      </c>
      <c r="AF98" t="s">
        <v>2792</v>
      </c>
      <c r="AJ98">
        <v>1452.332135768281</v>
      </c>
      <c r="AK98">
        <v>100679.2672430285</v>
      </c>
    </row>
    <row r="99" spans="1:37" x14ac:dyDescent="0.25">
      <c r="A99">
        <v>114</v>
      </c>
      <c r="B99" t="s">
        <v>2812</v>
      </c>
      <c r="C99" t="s">
        <v>376</v>
      </c>
      <c r="D99" t="s">
        <v>2604</v>
      </c>
      <c r="E99" t="s">
        <v>37</v>
      </c>
      <c r="F99" t="s">
        <v>38</v>
      </c>
      <c r="G99" s="2">
        <v>45869</v>
      </c>
      <c r="H99">
        <v>11.4</v>
      </c>
      <c r="I99" t="s">
        <v>72</v>
      </c>
      <c r="J99" t="s">
        <v>40</v>
      </c>
      <c r="K99" t="s">
        <v>41</v>
      </c>
      <c r="L99" t="s">
        <v>2605</v>
      </c>
      <c r="M99" t="s">
        <v>2606</v>
      </c>
      <c r="O99" t="s">
        <v>62</v>
      </c>
      <c r="P99" t="s">
        <v>63</v>
      </c>
      <c r="Q99">
        <v>12.040829857542709</v>
      </c>
      <c r="R99" t="s">
        <v>64</v>
      </c>
      <c r="S99" t="s">
        <v>65</v>
      </c>
      <c r="T99" t="s">
        <v>2790</v>
      </c>
      <c r="V99" t="s">
        <v>896</v>
      </c>
      <c r="X99" t="s">
        <v>2791</v>
      </c>
      <c r="Y99" t="s">
        <v>412</v>
      </c>
      <c r="Z99" t="s">
        <v>765</v>
      </c>
      <c r="AA99" t="s">
        <v>70</v>
      </c>
      <c r="AB99" t="s">
        <v>41</v>
      </c>
      <c r="AD99" t="s">
        <v>232</v>
      </c>
      <c r="AF99" t="s">
        <v>2792</v>
      </c>
      <c r="AJ99">
        <v>983.88810490330968</v>
      </c>
      <c r="AK99">
        <v>48727.704550645693</v>
      </c>
    </row>
    <row r="100" spans="1:37" x14ac:dyDescent="0.25">
      <c r="A100">
        <v>115</v>
      </c>
      <c r="B100" t="s">
        <v>2813</v>
      </c>
      <c r="C100" t="s">
        <v>376</v>
      </c>
      <c r="D100" t="s">
        <v>2604</v>
      </c>
      <c r="E100" t="s">
        <v>37</v>
      </c>
      <c r="F100" t="s">
        <v>38</v>
      </c>
      <c r="G100" s="2">
        <v>45845</v>
      </c>
      <c r="H100">
        <v>8.9</v>
      </c>
      <c r="I100" t="s">
        <v>72</v>
      </c>
      <c r="J100" t="s">
        <v>40</v>
      </c>
      <c r="K100" t="s">
        <v>41</v>
      </c>
      <c r="L100" t="s">
        <v>2605</v>
      </c>
      <c r="M100" t="s">
        <v>2606</v>
      </c>
      <c r="O100" t="s">
        <v>62</v>
      </c>
      <c r="P100" t="s">
        <v>63</v>
      </c>
      <c r="Q100">
        <v>6.7489489144723658</v>
      </c>
      <c r="R100" t="s">
        <v>64</v>
      </c>
      <c r="S100" t="s">
        <v>65</v>
      </c>
      <c r="T100" t="s">
        <v>2801</v>
      </c>
      <c r="V100" t="s">
        <v>618</v>
      </c>
      <c r="X100" t="s">
        <v>2814</v>
      </c>
      <c r="Y100" t="s">
        <v>412</v>
      </c>
      <c r="Z100" t="s">
        <v>2623</v>
      </c>
      <c r="AA100" t="s">
        <v>70</v>
      </c>
      <c r="AB100" t="s">
        <v>41</v>
      </c>
      <c r="AD100" t="s">
        <v>2757</v>
      </c>
      <c r="AF100" t="s">
        <v>1097</v>
      </c>
      <c r="AJ100">
        <v>961.20638788365841</v>
      </c>
      <c r="AK100">
        <v>27312.136507418782</v>
      </c>
    </row>
    <row r="101" spans="1:37" hidden="1" x14ac:dyDescent="0.25">
      <c r="A101">
        <v>105</v>
      </c>
      <c r="B101" t="s">
        <v>2802</v>
      </c>
      <c r="C101" t="s">
        <v>376</v>
      </c>
      <c r="D101" t="s">
        <v>2604</v>
      </c>
      <c r="E101" t="s">
        <v>37</v>
      </c>
      <c r="F101" t="s">
        <v>38</v>
      </c>
      <c r="G101" s="2">
        <v>45846</v>
      </c>
      <c r="H101">
        <v>19</v>
      </c>
      <c r="I101" t="s">
        <v>72</v>
      </c>
      <c r="J101" t="s">
        <v>40</v>
      </c>
      <c r="K101" t="s">
        <v>41</v>
      </c>
      <c r="L101" t="s">
        <v>2605</v>
      </c>
      <c r="M101" t="s">
        <v>2606</v>
      </c>
      <c r="O101" t="s">
        <v>113</v>
      </c>
      <c r="P101" t="s">
        <v>114</v>
      </c>
      <c r="Q101">
        <v>19.08963177721445</v>
      </c>
      <c r="R101" t="s">
        <v>46</v>
      </c>
      <c r="S101" t="s">
        <v>47</v>
      </c>
      <c r="T101" t="s">
        <v>2801</v>
      </c>
      <c r="V101" t="s">
        <v>618</v>
      </c>
      <c r="X101" t="s">
        <v>2714</v>
      </c>
      <c r="Y101" t="s">
        <v>412</v>
      </c>
      <c r="Z101" t="s">
        <v>2623</v>
      </c>
      <c r="AA101" t="s">
        <v>70</v>
      </c>
      <c r="AB101" t="s">
        <v>41</v>
      </c>
      <c r="AD101" t="s">
        <v>620</v>
      </c>
      <c r="AF101" t="s">
        <v>2667</v>
      </c>
      <c r="AJ101">
        <v>1182.208982901943</v>
      </c>
      <c r="AK101">
        <v>77253.307971794275</v>
      </c>
    </row>
    <row r="102" spans="1:37" hidden="1" x14ac:dyDescent="0.25">
      <c r="A102">
        <v>106</v>
      </c>
      <c r="B102" t="s">
        <v>2803</v>
      </c>
      <c r="C102" t="s">
        <v>376</v>
      </c>
      <c r="D102" t="s">
        <v>2604</v>
      </c>
      <c r="E102" t="s">
        <v>37</v>
      </c>
      <c r="F102" t="s">
        <v>38</v>
      </c>
      <c r="G102" s="2">
        <v>45869</v>
      </c>
      <c r="H102">
        <v>0.3</v>
      </c>
      <c r="I102" t="s">
        <v>72</v>
      </c>
      <c r="J102" t="s">
        <v>40</v>
      </c>
      <c r="K102" t="s">
        <v>41</v>
      </c>
      <c r="L102" t="s">
        <v>2605</v>
      </c>
      <c r="M102" t="s">
        <v>2606</v>
      </c>
      <c r="O102" t="s">
        <v>141</v>
      </c>
      <c r="P102" t="s">
        <v>142</v>
      </c>
      <c r="Q102">
        <v>0.30434582605972382</v>
      </c>
      <c r="S102" t="s">
        <v>38</v>
      </c>
      <c r="T102" t="s">
        <v>2804</v>
      </c>
      <c r="V102" t="s">
        <v>896</v>
      </c>
      <c r="X102" t="s">
        <v>2782</v>
      </c>
      <c r="Y102" t="s">
        <v>412</v>
      </c>
      <c r="Z102" t="s">
        <v>765</v>
      </c>
      <c r="AA102" t="s">
        <v>119</v>
      </c>
      <c r="AB102" t="s">
        <v>41</v>
      </c>
      <c r="AD102" t="s">
        <v>2783</v>
      </c>
      <c r="AF102" t="s">
        <v>2285</v>
      </c>
      <c r="AJ102">
        <v>151.09584147234699</v>
      </c>
      <c r="AK102">
        <v>1231.648787410649</v>
      </c>
    </row>
    <row r="103" spans="1:37" hidden="1" x14ac:dyDescent="0.25">
      <c r="A103">
        <v>107</v>
      </c>
      <c r="B103" t="s">
        <v>2805</v>
      </c>
      <c r="C103" t="s">
        <v>376</v>
      </c>
      <c r="D103" t="s">
        <v>2604</v>
      </c>
      <c r="E103" t="s">
        <v>37</v>
      </c>
      <c r="F103" t="s">
        <v>38</v>
      </c>
      <c r="G103" s="2">
        <v>45846</v>
      </c>
      <c r="H103">
        <v>0.4</v>
      </c>
      <c r="I103" t="s">
        <v>72</v>
      </c>
      <c r="J103" t="s">
        <v>40</v>
      </c>
      <c r="K103" t="s">
        <v>41</v>
      </c>
      <c r="L103" t="s">
        <v>2605</v>
      </c>
      <c r="M103" t="s">
        <v>2606</v>
      </c>
      <c r="O103" t="s">
        <v>113</v>
      </c>
      <c r="P103" t="s">
        <v>114</v>
      </c>
      <c r="Q103">
        <v>0.43255751032250778</v>
      </c>
      <c r="R103" t="s">
        <v>46</v>
      </c>
      <c r="S103" t="s">
        <v>47</v>
      </c>
      <c r="T103" t="s">
        <v>2801</v>
      </c>
      <c r="V103" t="s">
        <v>618</v>
      </c>
      <c r="X103" t="s">
        <v>2714</v>
      </c>
      <c r="Y103" t="s">
        <v>412</v>
      </c>
      <c r="Z103" t="s">
        <v>2623</v>
      </c>
      <c r="AA103" t="s">
        <v>70</v>
      </c>
      <c r="AB103" t="s">
        <v>41</v>
      </c>
      <c r="AD103" t="s">
        <v>620</v>
      </c>
      <c r="AF103" t="s">
        <v>2667</v>
      </c>
      <c r="AJ103">
        <v>200.78971930706629</v>
      </c>
      <c r="AK103">
        <v>1750.505140719556</v>
      </c>
    </row>
    <row r="104" spans="1:37" x14ac:dyDescent="0.25">
      <c r="A104">
        <v>119</v>
      </c>
      <c r="B104" t="s">
        <v>2818</v>
      </c>
      <c r="C104" t="s">
        <v>376</v>
      </c>
      <c r="D104" t="s">
        <v>2604</v>
      </c>
      <c r="E104" t="s">
        <v>37</v>
      </c>
      <c r="F104" t="s">
        <v>38</v>
      </c>
      <c r="G104" s="2">
        <v>45869</v>
      </c>
      <c r="H104">
        <v>15.2</v>
      </c>
      <c r="I104" t="s">
        <v>72</v>
      </c>
      <c r="J104" t="s">
        <v>40</v>
      </c>
      <c r="K104" t="s">
        <v>41</v>
      </c>
      <c r="L104" t="s">
        <v>2605</v>
      </c>
      <c r="M104" t="s">
        <v>2606</v>
      </c>
      <c r="O104" t="s">
        <v>62</v>
      </c>
      <c r="P104" t="s">
        <v>63</v>
      </c>
      <c r="Q104">
        <v>14.78603716863125</v>
      </c>
      <c r="R104" t="s">
        <v>64</v>
      </c>
      <c r="S104" t="s">
        <v>65</v>
      </c>
      <c r="T104" t="s">
        <v>2777</v>
      </c>
      <c r="V104" t="s">
        <v>896</v>
      </c>
      <c r="X104" t="s">
        <v>2778</v>
      </c>
      <c r="Y104" t="s">
        <v>412</v>
      </c>
      <c r="Z104" t="s">
        <v>765</v>
      </c>
      <c r="AA104" t="s">
        <v>119</v>
      </c>
      <c r="AB104" t="s">
        <v>41</v>
      </c>
      <c r="AD104" t="s">
        <v>683</v>
      </c>
      <c r="AF104" t="s">
        <v>2819</v>
      </c>
      <c r="AJ104">
        <v>1316.614121114405</v>
      </c>
      <c r="AK104">
        <v>59837.208826316441</v>
      </c>
    </row>
    <row r="105" spans="1:37" x14ac:dyDescent="0.25">
      <c r="A105">
        <v>120</v>
      </c>
      <c r="B105" t="s">
        <v>2820</v>
      </c>
      <c r="C105" t="s">
        <v>376</v>
      </c>
      <c r="D105" t="s">
        <v>2604</v>
      </c>
      <c r="E105" t="s">
        <v>37</v>
      </c>
      <c r="F105" t="s">
        <v>38</v>
      </c>
      <c r="G105" s="2">
        <v>45869</v>
      </c>
      <c r="H105">
        <v>11.9</v>
      </c>
      <c r="I105" t="s">
        <v>72</v>
      </c>
      <c r="J105" t="s">
        <v>40</v>
      </c>
      <c r="K105" t="s">
        <v>41</v>
      </c>
      <c r="L105" t="s">
        <v>2605</v>
      </c>
      <c r="M105" t="s">
        <v>2606</v>
      </c>
      <c r="O105" t="s">
        <v>62</v>
      </c>
      <c r="P105" t="s">
        <v>63</v>
      </c>
      <c r="Q105">
        <v>8.7559961057418008</v>
      </c>
      <c r="R105" t="s">
        <v>64</v>
      </c>
      <c r="S105" t="s">
        <v>65</v>
      </c>
      <c r="T105" t="s">
        <v>2777</v>
      </c>
      <c r="V105" t="s">
        <v>896</v>
      </c>
      <c r="X105" t="s">
        <v>2778</v>
      </c>
      <c r="Y105" t="s">
        <v>412</v>
      </c>
      <c r="Z105" t="s">
        <v>765</v>
      </c>
      <c r="AA105" t="s">
        <v>119</v>
      </c>
      <c r="AB105" t="s">
        <v>41</v>
      </c>
      <c r="AD105" t="s">
        <v>683</v>
      </c>
      <c r="AF105" t="s">
        <v>684</v>
      </c>
      <c r="AJ105">
        <v>1357.1212695669601</v>
      </c>
      <c r="AK105">
        <v>35434.400812492109</v>
      </c>
    </row>
    <row r="106" spans="1:37" hidden="1" x14ac:dyDescent="0.25">
      <c r="A106">
        <v>110</v>
      </c>
      <c r="B106" t="s">
        <v>2808</v>
      </c>
      <c r="C106" t="s">
        <v>376</v>
      </c>
      <c r="D106" t="s">
        <v>2604</v>
      </c>
      <c r="E106" t="s">
        <v>37</v>
      </c>
      <c r="F106" t="s">
        <v>38</v>
      </c>
      <c r="G106" s="2">
        <v>45846</v>
      </c>
      <c r="H106">
        <v>20</v>
      </c>
      <c r="I106" t="s">
        <v>72</v>
      </c>
      <c r="J106" t="s">
        <v>40</v>
      </c>
      <c r="K106" t="s">
        <v>41</v>
      </c>
      <c r="L106" t="s">
        <v>2605</v>
      </c>
      <c r="M106" t="s">
        <v>2606</v>
      </c>
      <c r="O106" t="s">
        <v>113</v>
      </c>
      <c r="P106" t="s">
        <v>114</v>
      </c>
      <c r="Q106">
        <v>19.992265784619711</v>
      </c>
      <c r="R106" t="s">
        <v>46</v>
      </c>
      <c r="S106" t="s">
        <v>47</v>
      </c>
      <c r="T106" t="s">
        <v>2801</v>
      </c>
      <c r="V106" t="s">
        <v>618</v>
      </c>
      <c r="X106" t="s">
        <v>2714</v>
      </c>
      <c r="Y106" t="s">
        <v>412</v>
      </c>
      <c r="Z106" t="s">
        <v>2623</v>
      </c>
      <c r="AA106" t="s">
        <v>70</v>
      </c>
      <c r="AB106" t="s">
        <v>41</v>
      </c>
      <c r="AD106" t="s">
        <v>620</v>
      </c>
      <c r="AF106" t="s">
        <v>2667</v>
      </c>
      <c r="AJ106">
        <v>1258.5535652863371</v>
      </c>
      <c r="AK106">
        <v>80906.152813103676</v>
      </c>
    </row>
    <row r="107" spans="1:37" hidden="1" x14ac:dyDescent="0.25">
      <c r="A107">
        <v>111</v>
      </c>
      <c r="B107" t="s">
        <v>2809</v>
      </c>
      <c r="C107" t="s">
        <v>376</v>
      </c>
      <c r="D107" t="s">
        <v>2604</v>
      </c>
      <c r="E107" t="s">
        <v>37</v>
      </c>
      <c r="F107" t="s">
        <v>38</v>
      </c>
      <c r="G107" s="2">
        <v>45846</v>
      </c>
      <c r="H107">
        <v>1</v>
      </c>
      <c r="I107" t="s">
        <v>72</v>
      </c>
      <c r="J107" t="s">
        <v>40</v>
      </c>
      <c r="K107" t="s">
        <v>41</v>
      </c>
      <c r="L107" t="s">
        <v>2605</v>
      </c>
      <c r="M107" t="s">
        <v>2606</v>
      </c>
      <c r="O107" t="s">
        <v>113</v>
      </c>
      <c r="P107" t="s">
        <v>114</v>
      </c>
      <c r="Q107">
        <v>0.93687867419321791</v>
      </c>
      <c r="R107" t="s">
        <v>46</v>
      </c>
      <c r="S107" t="s">
        <v>47</v>
      </c>
      <c r="T107" t="s">
        <v>2801</v>
      </c>
      <c r="V107" t="s">
        <v>618</v>
      </c>
      <c r="X107" t="s">
        <v>2714</v>
      </c>
      <c r="Y107" t="s">
        <v>412</v>
      </c>
      <c r="Z107" t="s">
        <v>2623</v>
      </c>
      <c r="AA107" t="s">
        <v>119</v>
      </c>
      <c r="AB107" t="s">
        <v>41</v>
      </c>
      <c r="AD107" t="s">
        <v>620</v>
      </c>
      <c r="AF107" t="s">
        <v>2667</v>
      </c>
      <c r="AJ107">
        <v>347.31575682925018</v>
      </c>
      <c r="AK107">
        <v>3791.428645367836</v>
      </c>
    </row>
    <row r="108" spans="1:37" hidden="1" x14ac:dyDescent="0.25">
      <c r="A108">
        <v>112</v>
      </c>
      <c r="B108" t="s">
        <v>2810</v>
      </c>
      <c r="C108" t="s">
        <v>376</v>
      </c>
      <c r="D108" t="s">
        <v>2604</v>
      </c>
      <c r="E108" t="s">
        <v>37</v>
      </c>
      <c r="F108" t="s">
        <v>38</v>
      </c>
      <c r="G108" s="2">
        <v>45846</v>
      </c>
      <c r="H108">
        <v>1</v>
      </c>
      <c r="I108" t="s">
        <v>72</v>
      </c>
      <c r="J108" t="s">
        <v>40</v>
      </c>
      <c r="K108" t="s">
        <v>41</v>
      </c>
      <c r="L108" t="s">
        <v>2605</v>
      </c>
      <c r="M108" t="s">
        <v>2606</v>
      </c>
      <c r="O108" t="s">
        <v>113</v>
      </c>
      <c r="P108" t="s">
        <v>114</v>
      </c>
      <c r="Q108">
        <v>0.88835159689438548</v>
      </c>
      <c r="R108" t="s">
        <v>46</v>
      </c>
      <c r="S108" t="s">
        <v>47</v>
      </c>
      <c r="T108" t="s">
        <v>2801</v>
      </c>
      <c r="V108" t="s">
        <v>618</v>
      </c>
      <c r="X108" t="s">
        <v>2714</v>
      </c>
      <c r="Y108" t="s">
        <v>412</v>
      </c>
      <c r="Z108" t="s">
        <v>2623</v>
      </c>
      <c r="AA108" t="s">
        <v>119</v>
      </c>
      <c r="AB108" t="s">
        <v>41</v>
      </c>
      <c r="AD108" t="s">
        <v>620</v>
      </c>
      <c r="AF108" t="s">
        <v>2667</v>
      </c>
      <c r="AJ108">
        <v>351.16880426749952</v>
      </c>
      <c r="AK108">
        <v>3595.045745409941</v>
      </c>
    </row>
    <row r="109" spans="1:37" x14ac:dyDescent="0.25">
      <c r="A109">
        <v>123</v>
      </c>
      <c r="B109" t="s">
        <v>2825</v>
      </c>
      <c r="C109" t="s">
        <v>376</v>
      </c>
      <c r="D109" t="s">
        <v>2604</v>
      </c>
      <c r="E109" t="s">
        <v>37</v>
      </c>
      <c r="F109" t="s">
        <v>38</v>
      </c>
      <c r="G109" s="2">
        <v>45847</v>
      </c>
      <c r="H109">
        <v>8.3000000000000007</v>
      </c>
      <c r="I109" t="s">
        <v>72</v>
      </c>
      <c r="J109" t="s">
        <v>40</v>
      </c>
      <c r="K109" t="s">
        <v>41</v>
      </c>
      <c r="L109" t="s">
        <v>2605</v>
      </c>
      <c r="M109" t="s">
        <v>2606</v>
      </c>
      <c r="O109" t="s">
        <v>62</v>
      </c>
      <c r="P109" t="s">
        <v>63</v>
      </c>
      <c r="Q109">
        <v>8.5809054717465401</v>
      </c>
      <c r="R109" t="s">
        <v>64</v>
      </c>
      <c r="S109" t="s">
        <v>65</v>
      </c>
      <c r="T109" t="s">
        <v>2790</v>
      </c>
      <c r="V109" t="s">
        <v>896</v>
      </c>
      <c r="X109" t="s">
        <v>2791</v>
      </c>
      <c r="Y109" t="s">
        <v>412</v>
      </c>
      <c r="Z109" t="s">
        <v>765</v>
      </c>
      <c r="AA109" t="s">
        <v>119</v>
      </c>
      <c r="AB109" t="s">
        <v>41</v>
      </c>
      <c r="AD109" t="s">
        <v>232</v>
      </c>
      <c r="AF109" t="s">
        <v>2792</v>
      </c>
      <c r="AJ109">
        <v>745.52034439524641</v>
      </c>
      <c r="AK109">
        <v>34725.831321531172</v>
      </c>
    </row>
    <row r="110" spans="1:37" x14ac:dyDescent="0.25">
      <c r="A110">
        <v>124</v>
      </c>
      <c r="B110" t="s">
        <v>2826</v>
      </c>
      <c r="C110" t="s">
        <v>376</v>
      </c>
      <c r="D110" t="s">
        <v>2604</v>
      </c>
      <c r="E110" t="s">
        <v>37</v>
      </c>
      <c r="F110" t="s">
        <v>38</v>
      </c>
      <c r="G110" s="2">
        <v>45869</v>
      </c>
      <c r="H110">
        <v>2.9</v>
      </c>
      <c r="I110" t="s">
        <v>72</v>
      </c>
      <c r="J110" t="s">
        <v>40</v>
      </c>
      <c r="K110" t="s">
        <v>41</v>
      </c>
      <c r="L110" t="s">
        <v>2605</v>
      </c>
      <c r="M110" t="s">
        <v>2606</v>
      </c>
      <c r="O110" t="s">
        <v>62</v>
      </c>
      <c r="P110" t="s">
        <v>63</v>
      </c>
      <c r="Q110">
        <v>2.9974210597341049</v>
      </c>
      <c r="R110" t="s">
        <v>64</v>
      </c>
      <c r="S110" t="s">
        <v>65</v>
      </c>
      <c r="T110" t="s">
        <v>2791</v>
      </c>
      <c r="V110" t="s">
        <v>896</v>
      </c>
      <c r="X110" t="s">
        <v>2791</v>
      </c>
      <c r="Y110" t="s">
        <v>412</v>
      </c>
      <c r="Z110" t="s">
        <v>765</v>
      </c>
      <c r="AA110" t="s">
        <v>70</v>
      </c>
      <c r="AB110" t="s">
        <v>41</v>
      </c>
      <c r="AD110" t="s">
        <v>620</v>
      </c>
      <c r="AF110" t="s">
        <v>2792</v>
      </c>
      <c r="AJ110">
        <v>518.54143887927387</v>
      </c>
      <c r="AK110">
        <v>12130.1811868982</v>
      </c>
    </row>
    <row r="111" spans="1:37" x14ac:dyDescent="0.25">
      <c r="A111">
        <v>125</v>
      </c>
      <c r="B111" t="s">
        <v>2827</v>
      </c>
      <c r="C111" t="s">
        <v>376</v>
      </c>
      <c r="D111" t="s">
        <v>2604</v>
      </c>
      <c r="E111" t="s">
        <v>37</v>
      </c>
      <c r="F111" t="s">
        <v>38</v>
      </c>
      <c r="G111" s="2">
        <v>45845</v>
      </c>
      <c r="H111">
        <v>0.3</v>
      </c>
      <c r="I111" t="s">
        <v>72</v>
      </c>
      <c r="J111" t="s">
        <v>40</v>
      </c>
      <c r="K111" t="s">
        <v>41</v>
      </c>
      <c r="L111" t="s">
        <v>2605</v>
      </c>
      <c r="M111" t="s">
        <v>2606</v>
      </c>
      <c r="O111" t="s">
        <v>62</v>
      </c>
      <c r="P111" t="s">
        <v>63</v>
      </c>
      <c r="Q111">
        <v>0.34715523606836068</v>
      </c>
      <c r="R111" t="s">
        <v>64</v>
      </c>
      <c r="S111" t="s">
        <v>65</v>
      </c>
      <c r="T111" t="s">
        <v>2756</v>
      </c>
      <c r="V111" t="s">
        <v>618</v>
      </c>
      <c r="X111" t="s">
        <v>2704</v>
      </c>
      <c r="Y111" t="s">
        <v>412</v>
      </c>
      <c r="Z111" t="s">
        <v>2623</v>
      </c>
      <c r="AA111" t="s">
        <v>70</v>
      </c>
      <c r="AB111" t="s">
        <v>41</v>
      </c>
      <c r="AD111" t="s">
        <v>2757</v>
      </c>
      <c r="AF111" t="s">
        <v>2828</v>
      </c>
      <c r="AJ111">
        <v>193.488839141732</v>
      </c>
      <c r="AK111">
        <v>1404.893016219479</v>
      </c>
    </row>
    <row r="112" spans="1:37" hidden="1" x14ac:dyDescent="0.25">
      <c r="A112">
        <v>116</v>
      </c>
      <c r="B112" t="s">
        <v>2815</v>
      </c>
      <c r="C112" t="s">
        <v>376</v>
      </c>
      <c r="D112" t="s">
        <v>2604</v>
      </c>
      <c r="E112" t="s">
        <v>37</v>
      </c>
      <c r="F112" t="s">
        <v>38</v>
      </c>
      <c r="G112" s="2">
        <v>45846</v>
      </c>
      <c r="H112">
        <v>1</v>
      </c>
      <c r="I112" t="s">
        <v>72</v>
      </c>
      <c r="J112" t="s">
        <v>40</v>
      </c>
      <c r="K112" t="s">
        <v>41</v>
      </c>
      <c r="L112" t="s">
        <v>2605</v>
      </c>
      <c r="M112" t="s">
        <v>2606</v>
      </c>
      <c r="N112" t="s">
        <v>2712</v>
      </c>
      <c r="O112" t="s">
        <v>113</v>
      </c>
      <c r="P112" t="s">
        <v>114</v>
      </c>
      <c r="Q112">
        <v>0.96791150017951799</v>
      </c>
      <c r="R112" t="s">
        <v>46</v>
      </c>
      <c r="S112" t="s">
        <v>47</v>
      </c>
      <c r="T112" t="s">
        <v>2722</v>
      </c>
      <c r="V112" t="s">
        <v>618</v>
      </c>
      <c r="X112" t="s">
        <v>2714</v>
      </c>
      <c r="Y112" t="s">
        <v>412</v>
      </c>
      <c r="Z112" t="s">
        <v>2623</v>
      </c>
      <c r="AA112" t="s">
        <v>119</v>
      </c>
      <c r="AB112" t="s">
        <v>41</v>
      </c>
      <c r="AD112" t="s">
        <v>2757</v>
      </c>
      <c r="AF112" t="s">
        <v>2667</v>
      </c>
      <c r="AJ112">
        <v>369.26921331975188</v>
      </c>
      <c r="AK112">
        <v>3917.014538858788</v>
      </c>
    </row>
    <row r="113" spans="1:37" hidden="1" x14ac:dyDescent="0.25">
      <c r="A113">
        <v>117</v>
      </c>
      <c r="B113" t="s">
        <v>2816</v>
      </c>
      <c r="C113" t="s">
        <v>376</v>
      </c>
      <c r="D113" t="s">
        <v>2604</v>
      </c>
      <c r="E113" t="s">
        <v>37</v>
      </c>
      <c r="F113" t="s">
        <v>38</v>
      </c>
      <c r="G113" s="2">
        <v>45846</v>
      </c>
      <c r="H113">
        <v>1.7</v>
      </c>
      <c r="I113" t="s">
        <v>72</v>
      </c>
      <c r="J113" t="s">
        <v>40</v>
      </c>
      <c r="K113" t="s">
        <v>41</v>
      </c>
      <c r="L113" t="s">
        <v>2605</v>
      </c>
      <c r="M113" t="s">
        <v>2606</v>
      </c>
      <c r="O113" t="s">
        <v>113</v>
      </c>
      <c r="P113" t="s">
        <v>114</v>
      </c>
      <c r="Q113">
        <v>1.745864821658788</v>
      </c>
      <c r="R113" t="s">
        <v>46</v>
      </c>
      <c r="S113" t="s">
        <v>47</v>
      </c>
      <c r="T113" t="s">
        <v>2801</v>
      </c>
      <c r="V113" t="s">
        <v>618</v>
      </c>
      <c r="X113" t="s">
        <v>2714</v>
      </c>
      <c r="Y113" t="s">
        <v>412</v>
      </c>
      <c r="Z113" t="s">
        <v>2623</v>
      </c>
      <c r="AA113" t="s">
        <v>119</v>
      </c>
      <c r="AB113" t="s">
        <v>41</v>
      </c>
      <c r="AD113" t="s">
        <v>2757</v>
      </c>
      <c r="AF113" t="s">
        <v>2667</v>
      </c>
      <c r="AJ113">
        <v>437.98878239540647</v>
      </c>
      <c r="AK113">
        <v>7065.2925273139426</v>
      </c>
    </row>
    <row r="114" spans="1:37" hidden="1" x14ac:dyDescent="0.25">
      <c r="A114">
        <v>118</v>
      </c>
      <c r="B114" t="s">
        <v>2817</v>
      </c>
      <c r="C114" t="s">
        <v>376</v>
      </c>
      <c r="D114" t="s">
        <v>2604</v>
      </c>
      <c r="E114" t="s">
        <v>37</v>
      </c>
      <c r="F114" t="s">
        <v>38</v>
      </c>
      <c r="G114" s="2">
        <v>45846</v>
      </c>
      <c r="H114">
        <v>3.2</v>
      </c>
      <c r="I114" t="s">
        <v>72</v>
      </c>
      <c r="J114" t="s">
        <v>40</v>
      </c>
      <c r="K114" t="s">
        <v>41</v>
      </c>
      <c r="L114" t="s">
        <v>2605</v>
      </c>
      <c r="M114" t="s">
        <v>2606</v>
      </c>
      <c r="N114" t="s">
        <v>2712</v>
      </c>
      <c r="O114" t="s">
        <v>113</v>
      </c>
      <c r="P114" t="s">
        <v>114</v>
      </c>
      <c r="Q114">
        <v>3.0832590847787751</v>
      </c>
      <c r="R114" t="s">
        <v>46</v>
      </c>
      <c r="S114" t="s">
        <v>47</v>
      </c>
      <c r="T114" t="s">
        <v>2722</v>
      </c>
      <c r="V114" t="s">
        <v>618</v>
      </c>
      <c r="X114" t="s">
        <v>2714</v>
      </c>
      <c r="Y114" t="s">
        <v>412</v>
      </c>
      <c r="Z114" t="s">
        <v>2623</v>
      </c>
      <c r="AA114" t="s">
        <v>119</v>
      </c>
      <c r="AB114" t="s">
        <v>41</v>
      </c>
      <c r="AD114" t="s">
        <v>620</v>
      </c>
      <c r="AF114" t="s">
        <v>2667</v>
      </c>
      <c r="AJ114">
        <v>1026.1411798278821</v>
      </c>
      <c r="AK114">
        <v>12477.55673933718</v>
      </c>
    </row>
    <row r="115" spans="1:37" x14ac:dyDescent="0.25">
      <c r="A115">
        <v>126</v>
      </c>
      <c r="B115" t="s">
        <v>2829</v>
      </c>
      <c r="C115" t="s">
        <v>376</v>
      </c>
      <c r="D115" t="s">
        <v>2604</v>
      </c>
      <c r="E115" t="s">
        <v>37</v>
      </c>
      <c r="F115" t="s">
        <v>38</v>
      </c>
      <c r="G115" s="2">
        <v>45846</v>
      </c>
      <c r="H115">
        <v>7.2</v>
      </c>
      <c r="I115" t="s">
        <v>72</v>
      </c>
      <c r="J115" t="s">
        <v>40</v>
      </c>
      <c r="K115" t="s">
        <v>41</v>
      </c>
      <c r="L115" t="s">
        <v>2605</v>
      </c>
      <c r="M115" t="s">
        <v>2606</v>
      </c>
      <c r="N115" t="s">
        <v>2712</v>
      </c>
      <c r="O115" t="s">
        <v>62</v>
      </c>
      <c r="P115" t="s">
        <v>63</v>
      </c>
      <c r="Q115">
        <v>7.2286231287141067</v>
      </c>
      <c r="R115" t="s">
        <v>64</v>
      </c>
      <c r="S115" t="s">
        <v>65</v>
      </c>
      <c r="T115" t="s">
        <v>2722</v>
      </c>
      <c r="V115" t="s">
        <v>618</v>
      </c>
      <c r="X115" t="s">
        <v>2714</v>
      </c>
      <c r="Y115" t="s">
        <v>412</v>
      </c>
      <c r="Z115" t="s">
        <v>2623</v>
      </c>
      <c r="AA115" t="s">
        <v>70</v>
      </c>
      <c r="AB115" t="s">
        <v>41</v>
      </c>
      <c r="AD115" t="s">
        <v>620</v>
      </c>
      <c r="AF115" t="s">
        <v>2828</v>
      </c>
      <c r="AJ115">
        <v>775.75712492154628</v>
      </c>
      <c r="AK115">
        <v>29253.316946696639</v>
      </c>
    </row>
    <row r="116" spans="1:37" x14ac:dyDescent="0.25">
      <c r="A116">
        <v>127</v>
      </c>
      <c r="B116" t="s">
        <v>2830</v>
      </c>
      <c r="C116" t="s">
        <v>376</v>
      </c>
      <c r="D116" t="s">
        <v>2604</v>
      </c>
      <c r="E116" t="s">
        <v>37</v>
      </c>
      <c r="F116" t="s">
        <v>38</v>
      </c>
      <c r="G116" s="2">
        <v>45846</v>
      </c>
      <c r="H116">
        <v>5.8</v>
      </c>
      <c r="I116" t="s">
        <v>72</v>
      </c>
      <c r="J116" t="s">
        <v>40</v>
      </c>
      <c r="K116" t="s">
        <v>41</v>
      </c>
      <c r="L116" t="s">
        <v>2605</v>
      </c>
      <c r="M116" t="s">
        <v>2606</v>
      </c>
      <c r="O116" t="s">
        <v>62</v>
      </c>
      <c r="P116" t="s">
        <v>63</v>
      </c>
      <c r="Q116">
        <v>5.8126219468923503</v>
      </c>
      <c r="R116" t="s">
        <v>64</v>
      </c>
      <c r="S116" t="s">
        <v>65</v>
      </c>
      <c r="T116" t="s">
        <v>57</v>
      </c>
      <c r="V116" t="s">
        <v>618</v>
      </c>
      <c r="X116" t="s">
        <v>2714</v>
      </c>
      <c r="Y116" t="s">
        <v>412</v>
      </c>
      <c r="Z116" t="s">
        <v>2623</v>
      </c>
      <c r="AA116" t="s">
        <v>70</v>
      </c>
      <c r="AB116" t="s">
        <v>41</v>
      </c>
      <c r="AF116" t="s">
        <v>2828</v>
      </c>
      <c r="AJ116">
        <v>999.3928257686614</v>
      </c>
      <c r="AK116">
        <v>23522.940548432602</v>
      </c>
    </row>
    <row r="117" spans="1:37" hidden="1" x14ac:dyDescent="0.25">
      <c r="A117">
        <v>122</v>
      </c>
      <c r="B117" t="s">
        <v>2824</v>
      </c>
      <c r="C117" t="s">
        <v>376</v>
      </c>
      <c r="D117" t="s">
        <v>2604</v>
      </c>
      <c r="E117" t="s">
        <v>37</v>
      </c>
      <c r="F117" t="s">
        <v>38</v>
      </c>
      <c r="G117" s="2">
        <v>45846</v>
      </c>
      <c r="H117">
        <v>14.6</v>
      </c>
      <c r="I117" t="s">
        <v>72</v>
      </c>
      <c r="J117" t="s">
        <v>40</v>
      </c>
      <c r="K117" t="s">
        <v>41</v>
      </c>
      <c r="L117" t="s">
        <v>2605</v>
      </c>
      <c r="M117" t="s">
        <v>2606</v>
      </c>
      <c r="N117" t="s">
        <v>2712</v>
      </c>
      <c r="O117" t="s">
        <v>113</v>
      </c>
      <c r="P117" t="s">
        <v>114</v>
      </c>
      <c r="Q117">
        <v>14.64307730394629</v>
      </c>
      <c r="R117" t="s">
        <v>46</v>
      </c>
      <c r="S117" t="s">
        <v>47</v>
      </c>
      <c r="T117" t="s">
        <v>2722</v>
      </c>
      <c r="V117" t="s">
        <v>618</v>
      </c>
      <c r="X117" t="s">
        <v>2714</v>
      </c>
      <c r="Y117" t="s">
        <v>412</v>
      </c>
      <c r="Z117" t="s">
        <v>2623</v>
      </c>
      <c r="AA117" t="s">
        <v>119</v>
      </c>
      <c r="AB117" t="s">
        <v>41</v>
      </c>
      <c r="AD117" t="s">
        <v>620</v>
      </c>
      <c r="AF117" t="s">
        <v>2667</v>
      </c>
      <c r="AJ117">
        <v>1116.310839976069</v>
      </c>
      <c r="AK117">
        <v>59258.668465611539</v>
      </c>
    </row>
    <row r="118" spans="1:37" x14ac:dyDescent="0.25">
      <c r="A118">
        <v>128</v>
      </c>
      <c r="B118" t="s">
        <v>2831</v>
      </c>
      <c r="C118" t="s">
        <v>376</v>
      </c>
      <c r="D118" t="s">
        <v>2604</v>
      </c>
      <c r="E118" t="s">
        <v>37</v>
      </c>
      <c r="F118" t="s">
        <v>38</v>
      </c>
      <c r="G118" s="2">
        <v>45845</v>
      </c>
      <c r="H118">
        <v>0.8</v>
      </c>
      <c r="I118" t="s">
        <v>72</v>
      </c>
      <c r="J118" t="s">
        <v>40</v>
      </c>
      <c r="K118" t="s">
        <v>41</v>
      </c>
      <c r="L118" t="s">
        <v>2605</v>
      </c>
      <c r="M118" t="s">
        <v>2606</v>
      </c>
      <c r="O118" t="s">
        <v>62</v>
      </c>
      <c r="P118" t="s">
        <v>63</v>
      </c>
      <c r="Q118">
        <v>0.79065407193724968</v>
      </c>
      <c r="R118" t="s">
        <v>64</v>
      </c>
      <c r="S118" t="s">
        <v>65</v>
      </c>
      <c r="T118" t="s">
        <v>2756</v>
      </c>
      <c r="V118" t="s">
        <v>618</v>
      </c>
      <c r="X118" t="s">
        <v>2704</v>
      </c>
      <c r="Y118" t="s">
        <v>412</v>
      </c>
      <c r="Z118" t="s">
        <v>2623</v>
      </c>
      <c r="AA118" t="s">
        <v>70</v>
      </c>
      <c r="AB118" t="s">
        <v>41</v>
      </c>
      <c r="AD118" t="s">
        <v>2832</v>
      </c>
      <c r="AF118" t="s">
        <v>2828</v>
      </c>
      <c r="AJ118">
        <v>355.58762422003832</v>
      </c>
      <c r="AK118">
        <v>3199.6763076084021</v>
      </c>
    </row>
    <row r="119" spans="1:37" x14ac:dyDescent="0.25">
      <c r="A119">
        <v>129</v>
      </c>
      <c r="B119" t="s">
        <v>2833</v>
      </c>
      <c r="C119" t="s">
        <v>376</v>
      </c>
      <c r="D119" t="s">
        <v>2604</v>
      </c>
      <c r="E119" t="s">
        <v>37</v>
      </c>
      <c r="F119" t="s">
        <v>38</v>
      </c>
      <c r="G119" s="2">
        <v>45845</v>
      </c>
      <c r="H119">
        <v>0.5</v>
      </c>
      <c r="I119" t="s">
        <v>72</v>
      </c>
      <c r="J119" t="s">
        <v>40</v>
      </c>
      <c r="K119" t="s">
        <v>41</v>
      </c>
      <c r="L119" t="s">
        <v>2605</v>
      </c>
      <c r="M119" t="s">
        <v>2606</v>
      </c>
      <c r="O119" t="s">
        <v>62</v>
      </c>
      <c r="P119" t="s">
        <v>63</v>
      </c>
      <c r="Q119">
        <v>0.54862217840917016</v>
      </c>
      <c r="R119" t="s">
        <v>64</v>
      </c>
      <c r="S119" t="s">
        <v>65</v>
      </c>
      <c r="T119" t="s">
        <v>2756</v>
      </c>
      <c r="V119" t="s">
        <v>618</v>
      </c>
      <c r="X119" t="s">
        <v>2704</v>
      </c>
      <c r="Y119" t="s">
        <v>412</v>
      </c>
      <c r="Z119" t="s">
        <v>2623</v>
      </c>
      <c r="AA119" t="s">
        <v>70</v>
      </c>
      <c r="AB119" t="s">
        <v>41</v>
      </c>
      <c r="AD119" t="s">
        <v>2757</v>
      </c>
      <c r="AF119" t="s">
        <v>1097</v>
      </c>
      <c r="AJ119">
        <v>287.62291113683978</v>
      </c>
      <c r="AK119">
        <v>2220.2040669736161</v>
      </c>
    </row>
    <row r="120" spans="1:37" x14ac:dyDescent="0.25">
      <c r="A120">
        <v>130</v>
      </c>
      <c r="B120" t="s">
        <v>2834</v>
      </c>
      <c r="C120" t="s">
        <v>376</v>
      </c>
      <c r="D120" t="s">
        <v>2604</v>
      </c>
      <c r="E120" t="s">
        <v>37</v>
      </c>
      <c r="F120" t="s">
        <v>38</v>
      </c>
      <c r="G120" s="2">
        <v>45869</v>
      </c>
      <c r="H120">
        <v>46</v>
      </c>
      <c r="I120" t="s">
        <v>72</v>
      </c>
      <c r="J120" t="s">
        <v>40</v>
      </c>
      <c r="K120" t="s">
        <v>41</v>
      </c>
      <c r="L120" t="s">
        <v>2605</v>
      </c>
      <c r="M120" t="s">
        <v>2606</v>
      </c>
      <c r="O120" t="s">
        <v>62</v>
      </c>
      <c r="P120" t="s">
        <v>63</v>
      </c>
      <c r="Q120">
        <v>48.100941887010137</v>
      </c>
      <c r="R120" t="s">
        <v>64</v>
      </c>
      <c r="S120" t="s">
        <v>65</v>
      </c>
      <c r="T120" t="s">
        <v>2790</v>
      </c>
      <c r="V120" t="s">
        <v>896</v>
      </c>
      <c r="X120" t="s">
        <v>2791</v>
      </c>
      <c r="Y120" t="s">
        <v>412</v>
      </c>
      <c r="Z120" t="s">
        <v>765</v>
      </c>
      <c r="AA120" t="s">
        <v>70</v>
      </c>
      <c r="AB120" t="s">
        <v>41</v>
      </c>
      <c r="AD120" t="s">
        <v>232</v>
      </c>
      <c r="AF120" t="s">
        <v>2792</v>
      </c>
      <c r="AJ120">
        <v>2076.1137074733479</v>
      </c>
      <c r="AK120">
        <v>194658.38423169439</v>
      </c>
    </row>
    <row r="121" spans="1:37" x14ac:dyDescent="0.25">
      <c r="A121">
        <v>131</v>
      </c>
      <c r="B121" t="s">
        <v>2835</v>
      </c>
      <c r="C121" t="s">
        <v>376</v>
      </c>
      <c r="D121" t="s">
        <v>2604</v>
      </c>
      <c r="E121" t="s">
        <v>37</v>
      </c>
      <c r="F121" t="s">
        <v>38</v>
      </c>
      <c r="G121" s="2">
        <v>45869</v>
      </c>
      <c r="H121">
        <v>0.4</v>
      </c>
      <c r="I121" t="s">
        <v>72</v>
      </c>
      <c r="J121" t="s">
        <v>40</v>
      </c>
      <c r="K121" t="s">
        <v>41</v>
      </c>
      <c r="L121" t="s">
        <v>2605</v>
      </c>
      <c r="M121" t="s">
        <v>2606</v>
      </c>
      <c r="O121" t="s">
        <v>62</v>
      </c>
      <c r="P121" t="s">
        <v>63</v>
      </c>
      <c r="Q121">
        <v>0.32990657497311388</v>
      </c>
      <c r="R121" t="s">
        <v>64</v>
      </c>
      <c r="S121" t="s">
        <v>65</v>
      </c>
      <c r="T121" t="s">
        <v>2777</v>
      </c>
      <c r="V121" t="s">
        <v>896</v>
      </c>
      <c r="X121" t="s">
        <v>2778</v>
      </c>
      <c r="Y121" t="s">
        <v>412</v>
      </c>
      <c r="Z121" t="s">
        <v>765</v>
      </c>
      <c r="AA121" t="s">
        <v>119</v>
      </c>
      <c r="AB121" t="s">
        <v>41</v>
      </c>
      <c r="AD121" t="s">
        <v>683</v>
      </c>
      <c r="AF121" t="s">
        <v>684</v>
      </c>
      <c r="AJ121">
        <v>159.37052461285199</v>
      </c>
      <c r="AK121">
        <v>1335.0898820761211</v>
      </c>
    </row>
    <row r="122" spans="1:37" x14ac:dyDescent="0.25">
      <c r="A122">
        <v>132</v>
      </c>
      <c r="B122" t="s">
        <v>2836</v>
      </c>
      <c r="C122" t="s">
        <v>376</v>
      </c>
      <c r="D122" t="s">
        <v>2604</v>
      </c>
      <c r="E122" t="s">
        <v>37</v>
      </c>
      <c r="F122" t="s">
        <v>38</v>
      </c>
      <c r="G122" s="2">
        <v>45869</v>
      </c>
      <c r="H122">
        <v>11.6</v>
      </c>
      <c r="I122" t="s">
        <v>72</v>
      </c>
      <c r="J122" t="s">
        <v>40</v>
      </c>
      <c r="K122" t="s">
        <v>41</v>
      </c>
      <c r="L122" t="s">
        <v>2605</v>
      </c>
      <c r="M122" t="s">
        <v>2606</v>
      </c>
      <c r="O122" t="s">
        <v>62</v>
      </c>
      <c r="P122" t="s">
        <v>63</v>
      </c>
      <c r="Q122">
        <v>12.044498390684559</v>
      </c>
      <c r="R122" t="s">
        <v>64</v>
      </c>
      <c r="S122" t="s">
        <v>65</v>
      </c>
      <c r="T122" t="s">
        <v>2790</v>
      </c>
      <c r="V122" t="s">
        <v>896</v>
      </c>
      <c r="X122" t="s">
        <v>2791</v>
      </c>
      <c r="Y122" t="s">
        <v>412</v>
      </c>
      <c r="Z122" t="s">
        <v>765</v>
      </c>
      <c r="AA122" t="s">
        <v>119</v>
      </c>
      <c r="AB122" t="s">
        <v>41</v>
      </c>
      <c r="AD122" t="s">
        <v>232</v>
      </c>
      <c r="AF122" t="s">
        <v>2792</v>
      </c>
      <c r="AJ122">
        <v>1004.021521308305</v>
      </c>
      <c r="AK122">
        <v>48742.550636935863</v>
      </c>
    </row>
    <row r="123" spans="1:37" x14ac:dyDescent="0.25">
      <c r="A123">
        <v>134</v>
      </c>
      <c r="B123" t="s">
        <v>2839</v>
      </c>
      <c r="C123" t="s">
        <v>376</v>
      </c>
      <c r="D123" t="s">
        <v>2604</v>
      </c>
      <c r="E123" t="s">
        <v>37</v>
      </c>
      <c r="F123" t="s">
        <v>38</v>
      </c>
      <c r="G123" s="2">
        <v>45869</v>
      </c>
      <c r="H123">
        <v>1.3</v>
      </c>
      <c r="I123" t="s">
        <v>72</v>
      </c>
      <c r="J123" t="s">
        <v>40</v>
      </c>
      <c r="K123" t="s">
        <v>41</v>
      </c>
      <c r="L123" t="s">
        <v>2605</v>
      </c>
      <c r="M123" t="s">
        <v>2606</v>
      </c>
      <c r="O123" t="s">
        <v>62</v>
      </c>
      <c r="P123" t="s">
        <v>63</v>
      </c>
      <c r="Q123">
        <v>1.178952989552406</v>
      </c>
      <c r="R123" t="s">
        <v>64</v>
      </c>
      <c r="S123" t="s">
        <v>65</v>
      </c>
      <c r="T123" t="s">
        <v>2790</v>
      </c>
      <c r="V123" t="s">
        <v>896</v>
      </c>
      <c r="X123" t="s">
        <v>2791</v>
      </c>
      <c r="Y123" t="s">
        <v>412</v>
      </c>
      <c r="Z123" t="s">
        <v>765</v>
      </c>
      <c r="AA123" t="s">
        <v>70</v>
      </c>
      <c r="AB123" t="s">
        <v>41</v>
      </c>
      <c r="AD123" t="s">
        <v>232</v>
      </c>
      <c r="AF123" t="s">
        <v>2792</v>
      </c>
      <c r="AJ123">
        <v>293.39837231997763</v>
      </c>
      <c r="AK123">
        <v>4771.072561748997</v>
      </c>
    </row>
    <row r="124" spans="1:37" x14ac:dyDescent="0.25">
      <c r="A124">
        <v>135</v>
      </c>
      <c r="B124" t="s">
        <v>2840</v>
      </c>
      <c r="C124" t="s">
        <v>376</v>
      </c>
      <c r="D124" t="s">
        <v>2604</v>
      </c>
      <c r="E124" t="s">
        <v>37</v>
      </c>
      <c r="F124" t="s">
        <v>38</v>
      </c>
      <c r="G124" s="2">
        <v>45869</v>
      </c>
      <c r="H124">
        <v>0.5</v>
      </c>
      <c r="I124" t="s">
        <v>72</v>
      </c>
      <c r="J124" t="s">
        <v>40</v>
      </c>
      <c r="K124" t="s">
        <v>41</v>
      </c>
      <c r="L124" t="s">
        <v>2605</v>
      </c>
      <c r="M124" t="s">
        <v>2606</v>
      </c>
      <c r="O124" t="s">
        <v>62</v>
      </c>
      <c r="P124" t="s">
        <v>63</v>
      </c>
      <c r="Q124">
        <v>0.52092154938958013</v>
      </c>
      <c r="R124" t="s">
        <v>64</v>
      </c>
      <c r="S124" t="s">
        <v>65</v>
      </c>
      <c r="T124" t="s">
        <v>2777</v>
      </c>
      <c r="V124" t="s">
        <v>896</v>
      </c>
      <c r="X124" t="s">
        <v>2778</v>
      </c>
      <c r="Y124" t="s">
        <v>412</v>
      </c>
      <c r="Z124" t="s">
        <v>765</v>
      </c>
      <c r="AA124" t="s">
        <v>119</v>
      </c>
      <c r="AB124" t="s">
        <v>41</v>
      </c>
      <c r="AD124" t="s">
        <v>683</v>
      </c>
      <c r="AF124" t="s">
        <v>684</v>
      </c>
      <c r="AJ124">
        <v>180.90882865341891</v>
      </c>
      <c r="AK124">
        <v>2108.1031501179491</v>
      </c>
    </row>
    <row r="125" spans="1:37" x14ac:dyDescent="0.25">
      <c r="A125">
        <v>136</v>
      </c>
      <c r="B125" t="s">
        <v>2841</v>
      </c>
      <c r="C125" t="s">
        <v>376</v>
      </c>
      <c r="D125" t="s">
        <v>2604</v>
      </c>
      <c r="E125" t="s">
        <v>37</v>
      </c>
      <c r="F125" t="s">
        <v>38</v>
      </c>
      <c r="G125" s="2">
        <v>45869</v>
      </c>
      <c r="H125">
        <v>3.5</v>
      </c>
      <c r="I125" t="s">
        <v>72</v>
      </c>
      <c r="J125" t="s">
        <v>40</v>
      </c>
      <c r="K125" t="s">
        <v>41</v>
      </c>
      <c r="L125" t="s">
        <v>2605</v>
      </c>
      <c r="M125" t="s">
        <v>2606</v>
      </c>
      <c r="O125" t="s">
        <v>62</v>
      </c>
      <c r="P125" t="s">
        <v>63</v>
      </c>
      <c r="Q125">
        <v>3.1533269483983122</v>
      </c>
      <c r="R125" t="s">
        <v>64</v>
      </c>
      <c r="S125" t="s">
        <v>65</v>
      </c>
      <c r="T125" t="s">
        <v>2777</v>
      </c>
      <c r="V125" t="s">
        <v>896</v>
      </c>
      <c r="X125" t="s">
        <v>2778</v>
      </c>
      <c r="Y125" t="s">
        <v>412</v>
      </c>
      <c r="Z125" t="s">
        <v>765</v>
      </c>
      <c r="AA125" t="s">
        <v>119</v>
      </c>
      <c r="AB125" t="s">
        <v>41</v>
      </c>
      <c r="AF125" t="s">
        <v>2819</v>
      </c>
      <c r="AJ125">
        <v>652.8055987595684</v>
      </c>
      <c r="AK125">
        <v>12761.112457451491</v>
      </c>
    </row>
    <row r="126" spans="1:37" x14ac:dyDescent="0.25">
      <c r="A126">
        <v>137</v>
      </c>
      <c r="B126" t="s">
        <v>2842</v>
      </c>
      <c r="C126" t="s">
        <v>376</v>
      </c>
      <c r="D126" t="s">
        <v>2604</v>
      </c>
      <c r="E126" t="s">
        <v>37</v>
      </c>
      <c r="F126" t="s">
        <v>38</v>
      </c>
      <c r="G126" s="2">
        <v>45869</v>
      </c>
      <c r="H126">
        <v>0.2</v>
      </c>
      <c r="I126" t="s">
        <v>72</v>
      </c>
      <c r="J126" t="s">
        <v>40</v>
      </c>
      <c r="K126" t="s">
        <v>41</v>
      </c>
      <c r="L126" t="s">
        <v>2605</v>
      </c>
      <c r="M126" t="s">
        <v>2606</v>
      </c>
      <c r="O126" t="s">
        <v>62</v>
      </c>
      <c r="P126" t="s">
        <v>63</v>
      </c>
      <c r="Q126">
        <v>0.15628701180553051</v>
      </c>
      <c r="R126" t="s">
        <v>64</v>
      </c>
      <c r="S126" t="s">
        <v>65</v>
      </c>
      <c r="T126" t="s">
        <v>2777</v>
      </c>
      <c r="V126" t="s">
        <v>896</v>
      </c>
      <c r="X126" t="s">
        <v>2778</v>
      </c>
      <c r="Y126" t="s">
        <v>412</v>
      </c>
      <c r="Z126" t="s">
        <v>765</v>
      </c>
      <c r="AA126" t="s">
        <v>119</v>
      </c>
      <c r="AB126" t="s">
        <v>41</v>
      </c>
      <c r="AD126" t="s">
        <v>683</v>
      </c>
      <c r="AF126" t="s">
        <v>684</v>
      </c>
      <c r="AJ126">
        <v>109.2792445467508</v>
      </c>
      <c r="AK126">
        <v>632.47362735489503</v>
      </c>
    </row>
    <row r="127" spans="1:37" x14ac:dyDescent="0.25">
      <c r="A127">
        <v>138</v>
      </c>
      <c r="B127" t="s">
        <v>2843</v>
      </c>
      <c r="C127" t="s">
        <v>376</v>
      </c>
      <c r="D127" t="s">
        <v>2604</v>
      </c>
      <c r="E127" t="s">
        <v>37</v>
      </c>
      <c r="F127" t="s">
        <v>38</v>
      </c>
      <c r="G127" s="2">
        <v>45869</v>
      </c>
      <c r="H127">
        <v>0.4</v>
      </c>
      <c r="I127" t="s">
        <v>72</v>
      </c>
      <c r="J127" t="s">
        <v>40</v>
      </c>
      <c r="K127" t="s">
        <v>41</v>
      </c>
      <c r="L127" t="s">
        <v>2605</v>
      </c>
      <c r="M127" t="s">
        <v>2606</v>
      </c>
      <c r="O127" t="s">
        <v>62</v>
      </c>
      <c r="P127" t="s">
        <v>63</v>
      </c>
      <c r="Q127">
        <v>0.37011327108338388</v>
      </c>
      <c r="R127" t="s">
        <v>64</v>
      </c>
      <c r="S127" t="s">
        <v>65</v>
      </c>
      <c r="T127" t="s">
        <v>2777</v>
      </c>
      <c r="V127" t="s">
        <v>896</v>
      </c>
      <c r="X127" t="s">
        <v>2778</v>
      </c>
      <c r="Y127" t="s">
        <v>412</v>
      </c>
      <c r="Z127" t="s">
        <v>765</v>
      </c>
      <c r="AA127" t="s">
        <v>119</v>
      </c>
      <c r="AB127" t="s">
        <v>41</v>
      </c>
      <c r="AD127" t="s">
        <v>683</v>
      </c>
      <c r="AF127" t="s">
        <v>684</v>
      </c>
      <c r="AJ127">
        <v>152.08286150027229</v>
      </c>
      <c r="AK127">
        <v>1497.80125929831</v>
      </c>
    </row>
    <row r="128" spans="1:37" hidden="1" x14ac:dyDescent="0.25">
      <c r="A128">
        <v>133</v>
      </c>
      <c r="B128" t="s">
        <v>2837</v>
      </c>
      <c r="C128" t="s">
        <v>376</v>
      </c>
      <c r="D128" t="s">
        <v>2604</v>
      </c>
      <c r="E128" t="s">
        <v>37</v>
      </c>
      <c r="F128" t="s">
        <v>38</v>
      </c>
      <c r="G128" s="2">
        <v>45869</v>
      </c>
      <c r="I128" t="s">
        <v>72</v>
      </c>
      <c r="J128" t="s">
        <v>40</v>
      </c>
      <c r="K128" t="s">
        <v>41</v>
      </c>
      <c r="L128" t="s">
        <v>2605</v>
      </c>
      <c r="M128" t="s">
        <v>2606</v>
      </c>
      <c r="O128" t="s">
        <v>141</v>
      </c>
      <c r="P128" t="s">
        <v>142</v>
      </c>
      <c r="Q128">
        <v>0.22706818392232059</v>
      </c>
      <c r="S128" t="s">
        <v>38</v>
      </c>
      <c r="T128" t="s">
        <v>2838</v>
      </c>
      <c r="V128" t="s">
        <v>896</v>
      </c>
      <c r="X128" t="s">
        <v>1172</v>
      </c>
      <c r="Y128" t="s">
        <v>412</v>
      </c>
      <c r="Z128" t="s">
        <v>765</v>
      </c>
      <c r="AA128" t="s">
        <v>119</v>
      </c>
      <c r="AB128" t="s">
        <v>41</v>
      </c>
      <c r="AF128" t="s">
        <v>38</v>
      </c>
      <c r="AJ128">
        <v>117.71149347911251</v>
      </c>
      <c r="AK128">
        <v>918.916014089128</v>
      </c>
    </row>
    <row r="129" spans="1:37" x14ac:dyDescent="0.25">
      <c r="A129">
        <v>140</v>
      </c>
      <c r="B129" t="s">
        <v>2845</v>
      </c>
      <c r="C129" t="s">
        <v>376</v>
      </c>
      <c r="D129" t="s">
        <v>2604</v>
      </c>
      <c r="E129" t="s">
        <v>37</v>
      </c>
      <c r="F129" t="s">
        <v>38</v>
      </c>
      <c r="G129" s="2">
        <v>45846</v>
      </c>
      <c r="H129">
        <v>0.9</v>
      </c>
      <c r="I129" t="s">
        <v>72</v>
      </c>
      <c r="J129" t="s">
        <v>40</v>
      </c>
      <c r="K129" t="s">
        <v>41</v>
      </c>
      <c r="L129" t="s">
        <v>2605</v>
      </c>
      <c r="M129" t="s">
        <v>2606</v>
      </c>
      <c r="N129" t="s">
        <v>2712</v>
      </c>
      <c r="O129" t="s">
        <v>62</v>
      </c>
      <c r="P129" t="s">
        <v>63</v>
      </c>
      <c r="Q129">
        <v>0.9471793230349953</v>
      </c>
      <c r="R129" t="s">
        <v>64</v>
      </c>
      <c r="S129" t="s">
        <v>65</v>
      </c>
      <c r="T129" t="s">
        <v>2846</v>
      </c>
      <c r="V129" t="s">
        <v>618</v>
      </c>
      <c r="X129" t="s">
        <v>2714</v>
      </c>
      <c r="Y129" t="s">
        <v>412</v>
      </c>
      <c r="Z129" t="s">
        <v>2623</v>
      </c>
      <c r="AA129" t="s">
        <v>70</v>
      </c>
      <c r="AB129" t="s">
        <v>41</v>
      </c>
      <c r="AD129" t="s">
        <v>620</v>
      </c>
      <c r="AF129" t="s">
        <v>2828</v>
      </c>
      <c r="AJ129">
        <v>383.70440908986222</v>
      </c>
      <c r="AK129">
        <v>3833.114059029559</v>
      </c>
    </row>
    <row r="130" spans="1:37" x14ac:dyDescent="0.25">
      <c r="A130">
        <v>142</v>
      </c>
      <c r="B130" t="s">
        <v>2848</v>
      </c>
      <c r="C130" t="s">
        <v>376</v>
      </c>
      <c r="D130" t="s">
        <v>2604</v>
      </c>
      <c r="E130" t="s">
        <v>37</v>
      </c>
      <c r="F130" t="s">
        <v>38</v>
      </c>
      <c r="G130" s="2">
        <v>45845</v>
      </c>
      <c r="H130">
        <v>1.1000000000000001</v>
      </c>
      <c r="I130" t="s">
        <v>72</v>
      </c>
      <c r="J130" t="s">
        <v>40</v>
      </c>
      <c r="K130" t="s">
        <v>41</v>
      </c>
      <c r="L130" t="s">
        <v>2605</v>
      </c>
      <c r="M130" t="s">
        <v>2606</v>
      </c>
      <c r="O130" t="s">
        <v>62</v>
      </c>
      <c r="P130" t="s">
        <v>63</v>
      </c>
      <c r="Q130">
        <v>1.1122038993910639</v>
      </c>
      <c r="R130" t="s">
        <v>64</v>
      </c>
      <c r="S130" t="s">
        <v>65</v>
      </c>
      <c r="T130" t="s">
        <v>2849</v>
      </c>
      <c r="V130" t="s">
        <v>618</v>
      </c>
      <c r="X130" t="s">
        <v>2704</v>
      </c>
      <c r="Y130" t="s">
        <v>412</v>
      </c>
      <c r="Z130" t="s">
        <v>2623</v>
      </c>
      <c r="AA130" t="s">
        <v>70</v>
      </c>
      <c r="AB130" t="s">
        <v>41</v>
      </c>
      <c r="AD130" t="s">
        <v>2757</v>
      </c>
      <c r="AF130" t="s">
        <v>2828</v>
      </c>
      <c r="AJ130">
        <v>316.29787752995668</v>
      </c>
      <c r="AK130">
        <v>4500.9474970410356</v>
      </c>
    </row>
    <row r="131" spans="1:37" x14ac:dyDescent="0.25">
      <c r="A131">
        <v>143</v>
      </c>
      <c r="B131" t="s">
        <v>2850</v>
      </c>
      <c r="C131" t="s">
        <v>376</v>
      </c>
      <c r="D131" t="s">
        <v>2604</v>
      </c>
      <c r="E131" t="s">
        <v>37</v>
      </c>
      <c r="F131" t="s">
        <v>38</v>
      </c>
      <c r="G131" s="2">
        <v>45846</v>
      </c>
      <c r="H131">
        <v>0.6</v>
      </c>
      <c r="I131" t="s">
        <v>72</v>
      </c>
      <c r="J131" t="s">
        <v>40</v>
      </c>
      <c r="K131" t="s">
        <v>41</v>
      </c>
      <c r="L131" t="s">
        <v>2605</v>
      </c>
      <c r="M131" t="s">
        <v>2606</v>
      </c>
      <c r="N131" t="s">
        <v>2712</v>
      </c>
      <c r="O131" t="s">
        <v>62</v>
      </c>
      <c r="P131" t="s">
        <v>63</v>
      </c>
      <c r="Q131">
        <v>0.59193953437153413</v>
      </c>
      <c r="R131" t="s">
        <v>64</v>
      </c>
      <c r="S131" t="s">
        <v>65</v>
      </c>
      <c r="T131" t="s">
        <v>2846</v>
      </c>
      <c r="V131" t="s">
        <v>618</v>
      </c>
      <c r="X131" t="s">
        <v>2714</v>
      </c>
      <c r="Y131" t="s">
        <v>412</v>
      </c>
      <c r="Z131" t="s">
        <v>2623</v>
      </c>
      <c r="AA131" t="s">
        <v>70</v>
      </c>
      <c r="AB131" t="s">
        <v>41</v>
      </c>
      <c r="AD131" t="s">
        <v>620</v>
      </c>
      <c r="AF131" t="s">
        <v>2828</v>
      </c>
      <c r="AJ131">
        <v>347.22624870747399</v>
      </c>
      <c r="AK131">
        <v>2395.5038883498801</v>
      </c>
    </row>
    <row r="132" spans="1:37" x14ac:dyDescent="0.25">
      <c r="A132">
        <v>144</v>
      </c>
      <c r="B132" t="s">
        <v>2851</v>
      </c>
      <c r="C132" t="s">
        <v>376</v>
      </c>
      <c r="D132" t="s">
        <v>2604</v>
      </c>
      <c r="E132" t="s">
        <v>37</v>
      </c>
      <c r="F132" t="s">
        <v>38</v>
      </c>
      <c r="G132" s="2">
        <v>45845</v>
      </c>
      <c r="H132">
        <v>3.5</v>
      </c>
      <c r="I132" t="s">
        <v>72</v>
      </c>
      <c r="J132" t="s">
        <v>40</v>
      </c>
      <c r="K132" t="s">
        <v>41</v>
      </c>
      <c r="L132" t="s">
        <v>2605</v>
      </c>
      <c r="M132" t="s">
        <v>2606</v>
      </c>
      <c r="O132" t="s">
        <v>62</v>
      </c>
      <c r="P132" t="s">
        <v>63</v>
      </c>
      <c r="Q132">
        <v>17.722649268238939</v>
      </c>
      <c r="R132" t="s">
        <v>64</v>
      </c>
      <c r="S132" t="s">
        <v>65</v>
      </c>
      <c r="T132" t="s">
        <v>2756</v>
      </c>
      <c r="V132" t="s">
        <v>618</v>
      </c>
      <c r="X132" t="s">
        <v>2704</v>
      </c>
      <c r="Y132" t="s">
        <v>412</v>
      </c>
      <c r="Z132" t="s">
        <v>2623</v>
      </c>
      <c r="AA132" t="s">
        <v>70</v>
      </c>
      <c r="AB132" t="s">
        <v>41</v>
      </c>
      <c r="AD132" t="s">
        <v>2757</v>
      </c>
      <c r="AF132" t="s">
        <v>2828</v>
      </c>
      <c r="AJ132">
        <v>1316.540131189807</v>
      </c>
      <c r="AK132">
        <v>71721.303898044105</v>
      </c>
    </row>
    <row r="133" spans="1:37" x14ac:dyDescent="0.25">
      <c r="A133">
        <v>147</v>
      </c>
      <c r="B133" t="s">
        <v>2854</v>
      </c>
      <c r="C133" t="s">
        <v>376</v>
      </c>
      <c r="D133" t="s">
        <v>2604</v>
      </c>
      <c r="E133" t="s">
        <v>37</v>
      </c>
      <c r="F133" t="s">
        <v>38</v>
      </c>
      <c r="G133" s="2">
        <v>45845</v>
      </c>
      <c r="H133">
        <v>0.6</v>
      </c>
      <c r="I133" t="s">
        <v>72</v>
      </c>
      <c r="J133" t="s">
        <v>40</v>
      </c>
      <c r="K133" t="s">
        <v>41</v>
      </c>
      <c r="L133" t="s">
        <v>2605</v>
      </c>
      <c r="M133" t="s">
        <v>2606</v>
      </c>
      <c r="O133" t="s">
        <v>62</v>
      </c>
      <c r="P133" t="s">
        <v>63</v>
      </c>
      <c r="Q133">
        <v>0.48381895961723809</v>
      </c>
      <c r="R133" t="s">
        <v>64</v>
      </c>
      <c r="S133" t="s">
        <v>65</v>
      </c>
      <c r="T133" t="s">
        <v>2756</v>
      </c>
      <c r="V133" t="s">
        <v>618</v>
      </c>
      <c r="X133" t="s">
        <v>2704</v>
      </c>
      <c r="Y133" t="s">
        <v>412</v>
      </c>
      <c r="Z133" t="s">
        <v>2623</v>
      </c>
      <c r="AA133" t="s">
        <v>71</v>
      </c>
      <c r="AB133" t="s">
        <v>41</v>
      </c>
      <c r="AD133" t="s">
        <v>2757</v>
      </c>
      <c r="AF133" t="s">
        <v>2855</v>
      </c>
      <c r="AJ133">
        <v>188.62103845125051</v>
      </c>
      <c r="AK133">
        <v>1957.9536958128581</v>
      </c>
    </row>
    <row r="134" spans="1:37" hidden="1" x14ac:dyDescent="0.25">
      <c r="A134">
        <v>139</v>
      </c>
      <c r="B134" t="s">
        <v>2844</v>
      </c>
      <c r="C134" t="s">
        <v>376</v>
      </c>
      <c r="D134" t="s">
        <v>2604</v>
      </c>
      <c r="E134" t="s">
        <v>37</v>
      </c>
      <c r="F134" t="s">
        <v>38</v>
      </c>
      <c r="G134" s="2">
        <v>45869</v>
      </c>
      <c r="H134">
        <v>1.1000000000000001</v>
      </c>
      <c r="I134" t="s">
        <v>72</v>
      </c>
      <c r="J134" t="s">
        <v>40</v>
      </c>
      <c r="K134" t="s">
        <v>41</v>
      </c>
      <c r="L134" t="s">
        <v>2605</v>
      </c>
      <c r="M134" t="s">
        <v>2606</v>
      </c>
      <c r="O134" t="s">
        <v>141</v>
      </c>
      <c r="P134" t="s">
        <v>142</v>
      </c>
      <c r="Q134">
        <v>0.9620477354347825</v>
      </c>
      <c r="S134" t="s">
        <v>38</v>
      </c>
      <c r="T134" t="s">
        <v>2790</v>
      </c>
      <c r="V134" t="s">
        <v>896</v>
      </c>
      <c r="X134" t="s">
        <v>2791</v>
      </c>
      <c r="Y134" t="s">
        <v>412</v>
      </c>
      <c r="Z134" t="s">
        <v>765</v>
      </c>
      <c r="AA134" t="s">
        <v>70</v>
      </c>
      <c r="AB134" t="s">
        <v>41</v>
      </c>
      <c r="AD134" t="s">
        <v>232</v>
      </c>
      <c r="AF134" t="s">
        <v>2792</v>
      </c>
      <c r="AJ134">
        <v>271.10198560400261</v>
      </c>
      <c r="AK134">
        <v>3893.2846299225721</v>
      </c>
    </row>
    <row r="135" spans="1:37" x14ac:dyDescent="0.25">
      <c r="A135">
        <v>151</v>
      </c>
      <c r="B135" t="s">
        <v>2863</v>
      </c>
      <c r="C135" t="s">
        <v>376</v>
      </c>
      <c r="D135" t="s">
        <v>2604</v>
      </c>
      <c r="E135" t="s">
        <v>37</v>
      </c>
      <c r="F135" t="s">
        <v>38</v>
      </c>
      <c r="G135" s="2">
        <v>45846</v>
      </c>
      <c r="H135">
        <v>6</v>
      </c>
      <c r="I135" t="s">
        <v>72</v>
      </c>
      <c r="J135" t="s">
        <v>40</v>
      </c>
      <c r="K135" t="s">
        <v>41</v>
      </c>
      <c r="L135" t="s">
        <v>2605</v>
      </c>
      <c r="M135" t="s">
        <v>2606</v>
      </c>
      <c r="N135" t="s">
        <v>2712</v>
      </c>
      <c r="O135" t="s">
        <v>62</v>
      </c>
      <c r="P135" t="s">
        <v>63</v>
      </c>
      <c r="Q135">
        <v>6.5044682525641564</v>
      </c>
      <c r="R135" t="s">
        <v>64</v>
      </c>
      <c r="S135" t="s">
        <v>65</v>
      </c>
      <c r="T135" t="s">
        <v>2864</v>
      </c>
      <c r="V135" t="s">
        <v>618</v>
      </c>
      <c r="X135" t="s">
        <v>2865</v>
      </c>
      <c r="Y135" t="s">
        <v>412</v>
      </c>
      <c r="Z135" t="s">
        <v>2623</v>
      </c>
      <c r="AA135" t="s">
        <v>125</v>
      </c>
      <c r="AB135" t="s">
        <v>41</v>
      </c>
      <c r="AD135" t="s">
        <v>2866</v>
      </c>
      <c r="AF135" t="s">
        <v>2667</v>
      </c>
      <c r="AJ135">
        <v>759.79650005213864</v>
      </c>
      <c r="AK135">
        <v>26322.754413098519</v>
      </c>
    </row>
    <row r="136" spans="1:37" hidden="1" x14ac:dyDescent="0.25">
      <c r="A136">
        <v>141</v>
      </c>
      <c r="B136" t="s">
        <v>2847</v>
      </c>
      <c r="C136" t="s">
        <v>376</v>
      </c>
      <c r="D136" t="s">
        <v>2604</v>
      </c>
      <c r="E136" t="s">
        <v>37</v>
      </c>
      <c r="F136" t="s">
        <v>38</v>
      </c>
      <c r="G136" s="2">
        <v>45869</v>
      </c>
      <c r="H136">
        <v>0.7</v>
      </c>
      <c r="I136" t="s">
        <v>72</v>
      </c>
      <c r="J136" t="s">
        <v>40</v>
      </c>
      <c r="K136" t="s">
        <v>41</v>
      </c>
      <c r="L136" t="s">
        <v>2605</v>
      </c>
      <c r="M136" t="s">
        <v>2606</v>
      </c>
      <c r="O136" t="s">
        <v>99</v>
      </c>
      <c r="P136" t="s">
        <v>100</v>
      </c>
      <c r="Q136">
        <v>0.25159474455181607</v>
      </c>
      <c r="R136" t="s">
        <v>60</v>
      </c>
      <c r="S136" t="s">
        <v>66</v>
      </c>
      <c r="T136" t="s">
        <v>2777</v>
      </c>
      <c r="V136" t="s">
        <v>896</v>
      </c>
      <c r="X136" t="s">
        <v>2778</v>
      </c>
      <c r="Y136" t="s">
        <v>412</v>
      </c>
      <c r="Z136" t="s">
        <v>765</v>
      </c>
      <c r="AA136" t="s">
        <v>119</v>
      </c>
      <c r="AB136" t="s">
        <v>41</v>
      </c>
      <c r="AD136" t="s">
        <v>683</v>
      </c>
      <c r="AF136" t="s">
        <v>684</v>
      </c>
      <c r="AJ136">
        <v>200.08474387384209</v>
      </c>
      <c r="AK136">
        <v>1018.171880515054</v>
      </c>
    </row>
    <row r="137" spans="1:37" x14ac:dyDescent="0.25">
      <c r="A137">
        <v>155</v>
      </c>
      <c r="B137" t="s">
        <v>2872</v>
      </c>
      <c r="C137" t="s">
        <v>376</v>
      </c>
      <c r="D137" t="s">
        <v>2604</v>
      </c>
      <c r="E137" t="s">
        <v>37</v>
      </c>
      <c r="F137" t="s">
        <v>38</v>
      </c>
      <c r="G137" s="2">
        <v>45845</v>
      </c>
      <c r="H137">
        <v>5.9</v>
      </c>
      <c r="I137" t="s">
        <v>72</v>
      </c>
      <c r="J137" t="s">
        <v>40</v>
      </c>
      <c r="K137" t="s">
        <v>41</v>
      </c>
      <c r="L137" t="s">
        <v>2605</v>
      </c>
      <c r="M137" t="s">
        <v>2606</v>
      </c>
      <c r="O137" t="s">
        <v>62</v>
      </c>
      <c r="P137" t="s">
        <v>63</v>
      </c>
      <c r="Q137">
        <v>5.7080923538839183</v>
      </c>
      <c r="R137" t="s">
        <v>64</v>
      </c>
      <c r="S137" t="s">
        <v>65</v>
      </c>
      <c r="T137" t="s">
        <v>2756</v>
      </c>
      <c r="V137" t="s">
        <v>125</v>
      </c>
      <c r="X137" t="s">
        <v>2704</v>
      </c>
      <c r="Y137" t="s">
        <v>412</v>
      </c>
      <c r="Z137" t="s">
        <v>2623</v>
      </c>
      <c r="AA137" t="s">
        <v>71</v>
      </c>
      <c r="AB137" t="s">
        <v>41</v>
      </c>
      <c r="AD137" t="s">
        <v>2870</v>
      </c>
      <c r="AF137" t="s">
        <v>2855</v>
      </c>
      <c r="AJ137">
        <v>724.89688883669851</v>
      </c>
      <c r="AK137">
        <v>23099.922601565471</v>
      </c>
    </row>
    <row r="138" spans="1:37" x14ac:dyDescent="0.25">
      <c r="A138">
        <v>156</v>
      </c>
      <c r="B138" t="s">
        <v>2873</v>
      </c>
      <c r="C138" t="s">
        <v>376</v>
      </c>
      <c r="D138" t="s">
        <v>2604</v>
      </c>
      <c r="E138" t="s">
        <v>37</v>
      </c>
      <c r="F138" t="s">
        <v>38</v>
      </c>
      <c r="G138" s="2">
        <v>45846</v>
      </c>
      <c r="H138">
        <v>14.8</v>
      </c>
      <c r="I138" t="s">
        <v>72</v>
      </c>
      <c r="J138" t="s">
        <v>40</v>
      </c>
      <c r="K138" t="s">
        <v>41</v>
      </c>
      <c r="L138" t="s">
        <v>2605</v>
      </c>
      <c r="M138" t="s">
        <v>2606</v>
      </c>
      <c r="N138" t="s">
        <v>2712</v>
      </c>
      <c r="O138" t="s">
        <v>62</v>
      </c>
      <c r="P138" t="s">
        <v>63</v>
      </c>
      <c r="Q138">
        <v>13.46215243585328</v>
      </c>
      <c r="R138" t="s">
        <v>64</v>
      </c>
      <c r="S138" t="s">
        <v>65</v>
      </c>
      <c r="T138" t="s">
        <v>2864</v>
      </c>
      <c r="V138" t="s">
        <v>125</v>
      </c>
      <c r="X138" t="s">
        <v>2865</v>
      </c>
      <c r="Y138" t="s">
        <v>412</v>
      </c>
      <c r="Z138" t="s">
        <v>2623</v>
      </c>
      <c r="AA138" t="s">
        <v>125</v>
      </c>
      <c r="AB138" t="s">
        <v>41</v>
      </c>
      <c r="AD138" t="s">
        <v>2874</v>
      </c>
      <c r="AF138" t="s">
        <v>2667</v>
      </c>
      <c r="AJ138">
        <v>1360.3884129117471</v>
      </c>
      <c r="AK138">
        <v>54479.615962606556</v>
      </c>
    </row>
    <row r="139" spans="1:37" x14ac:dyDescent="0.25">
      <c r="A139">
        <v>160</v>
      </c>
      <c r="B139" t="s">
        <v>2884</v>
      </c>
      <c r="C139" t="s">
        <v>376</v>
      </c>
      <c r="D139" t="s">
        <v>2604</v>
      </c>
      <c r="E139" t="s">
        <v>37</v>
      </c>
      <c r="F139" t="s">
        <v>38</v>
      </c>
      <c r="G139" s="2">
        <v>45845</v>
      </c>
      <c r="H139">
        <v>0.5</v>
      </c>
      <c r="I139" t="s">
        <v>72</v>
      </c>
      <c r="J139" t="s">
        <v>40</v>
      </c>
      <c r="K139" t="s">
        <v>41</v>
      </c>
      <c r="L139" t="s">
        <v>2605</v>
      </c>
      <c r="M139" t="s">
        <v>2606</v>
      </c>
      <c r="O139" t="s">
        <v>62</v>
      </c>
      <c r="P139" t="s">
        <v>63</v>
      </c>
      <c r="Q139">
        <v>0.48561101887494562</v>
      </c>
      <c r="R139" t="s">
        <v>64</v>
      </c>
      <c r="S139" t="s">
        <v>65</v>
      </c>
      <c r="T139" t="s">
        <v>2885</v>
      </c>
      <c r="V139" t="s">
        <v>125</v>
      </c>
      <c r="X139" t="s">
        <v>2886</v>
      </c>
      <c r="Y139" t="s">
        <v>412</v>
      </c>
      <c r="Z139" t="s">
        <v>2623</v>
      </c>
      <c r="AA139" t="s">
        <v>71</v>
      </c>
      <c r="AB139" t="s">
        <v>41</v>
      </c>
      <c r="AJ139">
        <v>183.53629181427641</v>
      </c>
      <c r="AK139">
        <v>1965.205931338146</v>
      </c>
    </row>
    <row r="140" spans="1:37" hidden="1" x14ac:dyDescent="0.25">
      <c r="A140">
        <v>145</v>
      </c>
      <c r="B140" t="s">
        <v>2852</v>
      </c>
      <c r="C140" t="s">
        <v>376</v>
      </c>
      <c r="D140" t="s">
        <v>2604</v>
      </c>
      <c r="E140" t="s">
        <v>37</v>
      </c>
      <c r="F140" t="s">
        <v>38</v>
      </c>
      <c r="G140" s="2">
        <v>45869</v>
      </c>
      <c r="H140">
        <v>0.8</v>
      </c>
      <c r="I140" t="s">
        <v>72</v>
      </c>
      <c r="J140" t="s">
        <v>40</v>
      </c>
      <c r="K140" t="s">
        <v>41</v>
      </c>
      <c r="L140" t="s">
        <v>2605</v>
      </c>
      <c r="M140" t="s">
        <v>2606</v>
      </c>
      <c r="O140" t="s">
        <v>96</v>
      </c>
      <c r="P140" t="s">
        <v>97</v>
      </c>
      <c r="Q140">
        <v>0.81052272069788922</v>
      </c>
      <c r="R140" t="s">
        <v>60</v>
      </c>
      <c r="S140" t="s">
        <v>66</v>
      </c>
      <c r="T140" t="s">
        <v>2790</v>
      </c>
      <c r="V140" t="s">
        <v>896</v>
      </c>
      <c r="X140" t="s">
        <v>2791</v>
      </c>
      <c r="Y140" t="s">
        <v>412</v>
      </c>
      <c r="Z140" t="s">
        <v>765</v>
      </c>
      <c r="AA140" t="s">
        <v>119</v>
      </c>
      <c r="AB140" t="s">
        <v>41</v>
      </c>
      <c r="AD140" t="s">
        <v>232</v>
      </c>
      <c r="AF140" t="s">
        <v>2792</v>
      </c>
      <c r="AJ140">
        <v>243.0547364380603</v>
      </c>
      <c r="AK140">
        <v>3280.0821980730461</v>
      </c>
    </row>
    <row r="141" spans="1:37" hidden="1" x14ac:dyDescent="0.25">
      <c r="A141">
        <v>146</v>
      </c>
      <c r="B141" t="s">
        <v>2853</v>
      </c>
      <c r="C141" t="s">
        <v>376</v>
      </c>
      <c r="D141" t="s">
        <v>2604</v>
      </c>
      <c r="E141" t="s">
        <v>37</v>
      </c>
      <c r="F141" t="s">
        <v>38</v>
      </c>
      <c r="G141" s="2">
        <v>45869</v>
      </c>
      <c r="H141">
        <v>2.1</v>
      </c>
      <c r="I141" t="s">
        <v>72</v>
      </c>
      <c r="J141" t="s">
        <v>40</v>
      </c>
      <c r="K141" t="s">
        <v>41</v>
      </c>
      <c r="L141" t="s">
        <v>2605</v>
      </c>
      <c r="M141" t="s">
        <v>2606</v>
      </c>
      <c r="O141" t="s">
        <v>96</v>
      </c>
      <c r="P141" t="s">
        <v>97</v>
      </c>
      <c r="Q141">
        <v>1.1106930696027899</v>
      </c>
      <c r="R141" t="s">
        <v>60</v>
      </c>
      <c r="S141" t="s">
        <v>66</v>
      </c>
      <c r="T141" t="s">
        <v>2790</v>
      </c>
      <c r="V141" t="s">
        <v>896</v>
      </c>
      <c r="X141" t="s">
        <v>2791</v>
      </c>
      <c r="Y141" t="s">
        <v>412</v>
      </c>
      <c r="Z141" t="s">
        <v>765</v>
      </c>
      <c r="AA141" t="s">
        <v>119</v>
      </c>
      <c r="AB141" t="s">
        <v>41</v>
      </c>
      <c r="AD141" t="s">
        <v>232</v>
      </c>
      <c r="AF141" t="s">
        <v>2792</v>
      </c>
      <c r="AJ141">
        <v>373.70470004594051</v>
      </c>
      <c r="AK141">
        <v>4494.8333613526856</v>
      </c>
    </row>
    <row r="142" spans="1:37" x14ac:dyDescent="0.25">
      <c r="A142">
        <v>163</v>
      </c>
      <c r="B142" t="s">
        <v>2890</v>
      </c>
      <c r="C142" t="s">
        <v>376</v>
      </c>
      <c r="D142" t="s">
        <v>2604</v>
      </c>
      <c r="E142" t="s">
        <v>37</v>
      </c>
      <c r="F142" t="s">
        <v>38</v>
      </c>
      <c r="G142" s="2">
        <v>45846</v>
      </c>
      <c r="H142">
        <v>0.9</v>
      </c>
      <c r="I142" t="s">
        <v>72</v>
      </c>
      <c r="J142" t="s">
        <v>40</v>
      </c>
      <c r="K142" t="s">
        <v>41</v>
      </c>
      <c r="L142" t="s">
        <v>2605</v>
      </c>
      <c r="M142" t="s">
        <v>2606</v>
      </c>
      <c r="N142" t="s">
        <v>2712</v>
      </c>
      <c r="O142" t="s">
        <v>62</v>
      </c>
      <c r="P142" t="s">
        <v>63</v>
      </c>
      <c r="Q142">
        <v>0.86159808835242113</v>
      </c>
      <c r="R142" t="s">
        <v>64</v>
      </c>
      <c r="S142" t="s">
        <v>65</v>
      </c>
      <c r="T142" t="s">
        <v>2722</v>
      </c>
      <c r="V142" t="s">
        <v>125</v>
      </c>
      <c r="X142" t="s">
        <v>2714</v>
      </c>
      <c r="Y142" t="s">
        <v>412</v>
      </c>
      <c r="Z142" t="s">
        <v>2623</v>
      </c>
      <c r="AA142" t="s">
        <v>125</v>
      </c>
      <c r="AB142" t="s">
        <v>41</v>
      </c>
      <c r="AD142" t="s">
        <v>620</v>
      </c>
      <c r="AF142" t="s">
        <v>2667</v>
      </c>
      <c r="AJ142">
        <v>245.07568926469571</v>
      </c>
      <c r="AK142">
        <v>3486.7777044734289</v>
      </c>
    </row>
    <row r="143" spans="1:37" hidden="1" x14ac:dyDescent="0.25">
      <c r="A143">
        <v>148</v>
      </c>
      <c r="B143" t="s">
        <v>2856</v>
      </c>
      <c r="C143" t="s">
        <v>376</v>
      </c>
      <c r="D143" t="s">
        <v>2604</v>
      </c>
      <c r="E143" t="s">
        <v>37</v>
      </c>
      <c r="F143" t="s">
        <v>38</v>
      </c>
      <c r="G143" s="2">
        <v>45846</v>
      </c>
      <c r="H143">
        <v>17.399999999999999</v>
      </c>
      <c r="I143" t="s">
        <v>72</v>
      </c>
      <c r="J143" t="s">
        <v>40</v>
      </c>
      <c r="K143" t="s">
        <v>41</v>
      </c>
      <c r="L143" t="s">
        <v>2605</v>
      </c>
      <c r="M143" t="s">
        <v>2606</v>
      </c>
      <c r="N143" t="s">
        <v>2712</v>
      </c>
      <c r="O143" t="s">
        <v>87</v>
      </c>
      <c r="P143" t="s">
        <v>88</v>
      </c>
      <c r="Q143">
        <v>17.634799572714819</v>
      </c>
      <c r="R143" t="s">
        <v>46</v>
      </c>
      <c r="S143" t="s">
        <v>47</v>
      </c>
      <c r="T143" t="s">
        <v>2857</v>
      </c>
      <c r="V143" t="s">
        <v>618</v>
      </c>
      <c r="X143" t="s">
        <v>2858</v>
      </c>
      <c r="Y143" t="s">
        <v>412</v>
      </c>
      <c r="Z143" t="s">
        <v>2623</v>
      </c>
      <c r="AA143" t="s">
        <v>125</v>
      </c>
      <c r="AB143" t="s">
        <v>41</v>
      </c>
      <c r="AD143" t="s">
        <v>620</v>
      </c>
      <c r="AF143" t="s">
        <v>2667</v>
      </c>
      <c r="AJ143">
        <v>1142.908247192054</v>
      </c>
      <c r="AK143">
        <v>71365.787371441766</v>
      </c>
    </row>
    <row r="144" spans="1:37" hidden="1" x14ac:dyDescent="0.25">
      <c r="A144">
        <v>149</v>
      </c>
      <c r="B144" t="s">
        <v>2859</v>
      </c>
      <c r="C144" t="s">
        <v>376</v>
      </c>
      <c r="D144" t="s">
        <v>2604</v>
      </c>
      <c r="E144" t="s">
        <v>37</v>
      </c>
      <c r="F144" t="s">
        <v>38</v>
      </c>
      <c r="G144" s="2">
        <v>45846</v>
      </c>
      <c r="H144">
        <v>0.1</v>
      </c>
      <c r="I144" t="s">
        <v>72</v>
      </c>
      <c r="J144" t="s">
        <v>40</v>
      </c>
      <c r="K144" t="s">
        <v>41</v>
      </c>
      <c r="L144" t="s">
        <v>2605</v>
      </c>
      <c r="M144" t="s">
        <v>2606</v>
      </c>
      <c r="N144" t="s">
        <v>2712</v>
      </c>
      <c r="O144" t="s">
        <v>96</v>
      </c>
      <c r="P144" t="s">
        <v>97</v>
      </c>
      <c r="Q144">
        <v>0.1007912960700426</v>
      </c>
      <c r="R144" t="s">
        <v>60</v>
      </c>
      <c r="S144" t="s">
        <v>66</v>
      </c>
      <c r="T144" t="s">
        <v>2860</v>
      </c>
      <c r="V144" t="s">
        <v>618</v>
      </c>
      <c r="X144" t="s">
        <v>2861</v>
      </c>
      <c r="Y144" t="s">
        <v>412</v>
      </c>
      <c r="Z144" t="s">
        <v>2623</v>
      </c>
      <c r="AA144" t="s">
        <v>125</v>
      </c>
      <c r="AB144" t="s">
        <v>41</v>
      </c>
      <c r="AJ144">
        <v>116.8861973446806</v>
      </c>
      <c r="AK144">
        <v>407.88953537958179</v>
      </c>
    </row>
    <row r="145" spans="1:37" hidden="1" x14ac:dyDescent="0.25">
      <c r="A145">
        <v>150</v>
      </c>
      <c r="B145" t="s">
        <v>2862</v>
      </c>
      <c r="C145" t="s">
        <v>376</v>
      </c>
      <c r="D145" t="s">
        <v>2604</v>
      </c>
      <c r="E145" t="s">
        <v>37</v>
      </c>
      <c r="F145" t="s">
        <v>38</v>
      </c>
      <c r="G145" s="2">
        <v>45845</v>
      </c>
      <c r="H145">
        <v>0.7</v>
      </c>
      <c r="I145" t="s">
        <v>72</v>
      </c>
      <c r="J145" t="s">
        <v>40</v>
      </c>
      <c r="K145" t="s">
        <v>41</v>
      </c>
      <c r="L145" t="s">
        <v>2605</v>
      </c>
      <c r="M145" t="s">
        <v>2606</v>
      </c>
      <c r="O145" t="s">
        <v>79</v>
      </c>
      <c r="P145" t="s">
        <v>80</v>
      </c>
      <c r="Q145">
        <v>0.65685158529771182</v>
      </c>
      <c r="R145" t="s">
        <v>46</v>
      </c>
      <c r="S145" t="s">
        <v>47</v>
      </c>
      <c r="T145" t="s">
        <v>2756</v>
      </c>
      <c r="V145" t="s">
        <v>618</v>
      </c>
      <c r="X145" t="s">
        <v>2704</v>
      </c>
      <c r="Y145" t="s">
        <v>412</v>
      </c>
      <c r="Z145" t="s">
        <v>2623</v>
      </c>
      <c r="AA145" t="s">
        <v>71</v>
      </c>
      <c r="AB145" t="s">
        <v>41</v>
      </c>
      <c r="AD145" t="s">
        <v>2757</v>
      </c>
      <c r="AF145" t="s">
        <v>2855</v>
      </c>
      <c r="AJ145">
        <v>212.76032150322621</v>
      </c>
      <c r="AK145">
        <v>2658.1946892937908</v>
      </c>
    </row>
    <row r="146" spans="1:37" x14ac:dyDescent="0.25">
      <c r="A146">
        <v>164</v>
      </c>
      <c r="B146" t="s">
        <v>2891</v>
      </c>
      <c r="C146" t="s">
        <v>376</v>
      </c>
      <c r="D146" t="s">
        <v>2604</v>
      </c>
      <c r="E146" t="s">
        <v>37</v>
      </c>
      <c r="F146" t="s">
        <v>38</v>
      </c>
      <c r="G146" s="2">
        <v>45845</v>
      </c>
      <c r="H146">
        <v>0.9</v>
      </c>
      <c r="I146" t="s">
        <v>72</v>
      </c>
      <c r="J146" t="s">
        <v>40</v>
      </c>
      <c r="K146" t="s">
        <v>41</v>
      </c>
      <c r="L146" t="s">
        <v>2605</v>
      </c>
      <c r="M146" t="s">
        <v>2606</v>
      </c>
      <c r="N146" t="s">
        <v>2702</v>
      </c>
      <c r="O146" t="s">
        <v>62</v>
      </c>
      <c r="P146" t="s">
        <v>63</v>
      </c>
      <c r="Q146">
        <v>0.90910645296265358</v>
      </c>
      <c r="R146" t="s">
        <v>64</v>
      </c>
      <c r="S146" t="s">
        <v>65</v>
      </c>
      <c r="T146" t="s">
        <v>2892</v>
      </c>
      <c r="V146" t="s">
        <v>125</v>
      </c>
      <c r="X146" t="s">
        <v>2893</v>
      </c>
      <c r="Y146" t="s">
        <v>412</v>
      </c>
      <c r="Z146" t="s">
        <v>2623</v>
      </c>
      <c r="AA146" t="s">
        <v>125</v>
      </c>
      <c r="AB146" t="s">
        <v>41</v>
      </c>
      <c r="AD146" t="s">
        <v>620</v>
      </c>
      <c r="AF146" t="s">
        <v>2667</v>
      </c>
      <c r="AJ146">
        <v>245.58394808320961</v>
      </c>
      <c r="AK146">
        <v>3679.038003954498</v>
      </c>
    </row>
    <row r="147" spans="1:37" hidden="1" x14ac:dyDescent="0.25">
      <c r="A147">
        <v>152</v>
      </c>
      <c r="B147" t="s">
        <v>2867</v>
      </c>
      <c r="C147" t="s">
        <v>376</v>
      </c>
      <c r="D147" t="s">
        <v>2604</v>
      </c>
      <c r="E147" t="s">
        <v>37</v>
      </c>
      <c r="F147" t="s">
        <v>38</v>
      </c>
      <c r="G147" s="2">
        <v>45845</v>
      </c>
      <c r="H147">
        <v>1.5</v>
      </c>
      <c r="I147" t="s">
        <v>72</v>
      </c>
      <c r="J147" t="s">
        <v>40</v>
      </c>
      <c r="K147" t="s">
        <v>41</v>
      </c>
      <c r="L147" t="s">
        <v>2605</v>
      </c>
      <c r="M147" t="s">
        <v>2606</v>
      </c>
      <c r="O147" t="s">
        <v>1045</v>
      </c>
      <c r="P147" t="s">
        <v>133</v>
      </c>
      <c r="Q147">
        <v>1.504495466877644</v>
      </c>
      <c r="R147" t="s">
        <v>46</v>
      </c>
      <c r="S147" t="s">
        <v>47</v>
      </c>
      <c r="T147" t="s">
        <v>2756</v>
      </c>
      <c r="V147" t="s">
        <v>618</v>
      </c>
      <c r="X147" t="s">
        <v>2704</v>
      </c>
      <c r="Y147" t="s">
        <v>412</v>
      </c>
      <c r="Z147" t="s">
        <v>2623</v>
      </c>
      <c r="AA147" t="s">
        <v>71</v>
      </c>
      <c r="AB147" t="s">
        <v>41</v>
      </c>
      <c r="AD147" t="s">
        <v>2757</v>
      </c>
      <c r="AF147" t="s">
        <v>2855</v>
      </c>
      <c r="AJ147">
        <v>318.68492088456281</v>
      </c>
      <c r="AK147">
        <v>6088.5014965871133</v>
      </c>
    </row>
    <row r="148" spans="1:37" hidden="1" x14ac:dyDescent="0.25">
      <c r="A148">
        <v>153</v>
      </c>
      <c r="B148" t="s">
        <v>2868</v>
      </c>
      <c r="C148" t="s">
        <v>376</v>
      </c>
      <c r="D148" t="s">
        <v>2604</v>
      </c>
      <c r="E148" t="s">
        <v>37</v>
      </c>
      <c r="F148" t="s">
        <v>38</v>
      </c>
      <c r="G148" s="2">
        <v>45845</v>
      </c>
      <c r="H148">
        <v>0.8</v>
      </c>
      <c r="I148" t="s">
        <v>72</v>
      </c>
      <c r="J148" t="s">
        <v>40</v>
      </c>
      <c r="K148" t="s">
        <v>41</v>
      </c>
      <c r="L148" t="s">
        <v>2605</v>
      </c>
      <c r="M148" t="s">
        <v>2606</v>
      </c>
      <c r="O148" t="s">
        <v>115</v>
      </c>
      <c r="P148" t="s">
        <v>137</v>
      </c>
      <c r="Q148">
        <v>0.61259090363623758</v>
      </c>
      <c r="S148" t="s">
        <v>38</v>
      </c>
      <c r="T148" t="s">
        <v>2869</v>
      </c>
      <c r="V148" t="s">
        <v>618</v>
      </c>
      <c r="X148" t="s">
        <v>2704</v>
      </c>
      <c r="Y148" t="s">
        <v>412</v>
      </c>
      <c r="Z148" t="s">
        <v>2623</v>
      </c>
      <c r="AA148" t="s">
        <v>71</v>
      </c>
      <c r="AB148" t="s">
        <v>41</v>
      </c>
      <c r="AD148" t="s">
        <v>2870</v>
      </c>
      <c r="AJ148">
        <v>233.63693561704841</v>
      </c>
      <c r="AK148">
        <v>2479.077348983607</v>
      </c>
    </row>
    <row r="149" spans="1:37" hidden="1" x14ac:dyDescent="0.25">
      <c r="A149">
        <v>154</v>
      </c>
      <c r="B149" t="s">
        <v>2871</v>
      </c>
      <c r="C149" t="s">
        <v>376</v>
      </c>
      <c r="D149" t="s">
        <v>2604</v>
      </c>
      <c r="E149" t="s">
        <v>37</v>
      </c>
      <c r="F149" t="s">
        <v>38</v>
      </c>
      <c r="G149" s="2">
        <v>45845</v>
      </c>
      <c r="H149">
        <v>4.8</v>
      </c>
      <c r="I149" t="s">
        <v>72</v>
      </c>
      <c r="J149" t="s">
        <v>40</v>
      </c>
      <c r="K149" t="s">
        <v>41</v>
      </c>
      <c r="L149" t="s">
        <v>2605</v>
      </c>
      <c r="M149" t="s">
        <v>2606</v>
      </c>
      <c r="O149" t="s">
        <v>79</v>
      </c>
      <c r="P149" t="s">
        <v>80</v>
      </c>
      <c r="Q149">
        <v>4.8061948465138311</v>
      </c>
      <c r="R149" t="s">
        <v>46</v>
      </c>
      <c r="S149" t="s">
        <v>47</v>
      </c>
      <c r="T149" t="s">
        <v>2756</v>
      </c>
      <c r="V149" t="s">
        <v>618</v>
      </c>
      <c r="X149" t="s">
        <v>2704</v>
      </c>
      <c r="Y149" t="s">
        <v>412</v>
      </c>
      <c r="Z149" t="s">
        <v>2623</v>
      </c>
      <c r="AA149" t="s">
        <v>71</v>
      </c>
      <c r="AB149" t="s">
        <v>41</v>
      </c>
      <c r="AD149" t="s">
        <v>2757</v>
      </c>
      <c r="AF149" t="s">
        <v>2855</v>
      </c>
      <c r="AJ149">
        <v>613.75584544364187</v>
      </c>
      <c r="AK149">
        <v>19450.05828207561</v>
      </c>
    </row>
    <row r="150" spans="1:37" x14ac:dyDescent="0.25">
      <c r="A150">
        <v>165</v>
      </c>
      <c r="B150" t="s">
        <v>2894</v>
      </c>
      <c r="C150" t="s">
        <v>376</v>
      </c>
      <c r="D150" t="s">
        <v>2604</v>
      </c>
      <c r="E150" t="s">
        <v>37</v>
      </c>
      <c r="F150" t="s">
        <v>38</v>
      </c>
      <c r="G150" s="2">
        <v>45846</v>
      </c>
      <c r="H150">
        <v>4.4000000000000004</v>
      </c>
      <c r="I150" t="s">
        <v>72</v>
      </c>
      <c r="J150" t="s">
        <v>40</v>
      </c>
      <c r="K150" t="s">
        <v>41</v>
      </c>
      <c r="L150" t="s">
        <v>2605</v>
      </c>
      <c r="M150" t="s">
        <v>2606</v>
      </c>
      <c r="O150" t="s">
        <v>62</v>
      </c>
      <c r="P150" t="s">
        <v>63</v>
      </c>
      <c r="Q150">
        <v>5.1420763802157579</v>
      </c>
      <c r="R150" t="s">
        <v>64</v>
      </c>
      <c r="S150" t="s">
        <v>65</v>
      </c>
      <c r="T150" t="s">
        <v>2895</v>
      </c>
      <c r="V150" t="s">
        <v>125</v>
      </c>
      <c r="X150" t="s">
        <v>2896</v>
      </c>
      <c r="Y150" t="s">
        <v>412</v>
      </c>
      <c r="Z150" t="s">
        <v>2623</v>
      </c>
      <c r="AA150" t="s">
        <v>125</v>
      </c>
      <c r="AB150" t="s">
        <v>41</v>
      </c>
      <c r="AD150" t="s">
        <v>898</v>
      </c>
      <c r="AF150" t="s">
        <v>2667</v>
      </c>
      <c r="AJ150">
        <v>676.93724356606708</v>
      </c>
      <c r="AK150">
        <v>20809.328060976492</v>
      </c>
    </row>
    <row r="151" spans="1:37" x14ac:dyDescent="0.25">
      <c r="A151">
        <v>166</v>
      </c>
      <c r="B151" t="s">
        <v>2897</v>
      </c>
      <c r="C151" t="s">
        <v>376</v>
      </c>
      <c r="D151" t="s">
        <v>2604</v>
      </c>
      <c r="E151" t="s">
        <v>37</v>
      </c>
      <c r="F151" t="s">
        <v>38</v>
      </c>
      <c r="G151" s="2">
        <v>45846</v>
      </c>
      <c r="H151">
        <v>2.7</v>
      </c>
      <c r="I151" t="s">
        <v>72</v>
      </c>
      <c r="J151" t="s">
        <v>40</v>
      </c>
      <c r="K151" t="s">
        <v>41</v>
      </c>
      <c r="L151" t="s">
        <v>2605</v>
      </c>
      <c r="M151" t="s">
        <v>2606</v>
      </c>
      <c r="N151" t="s">
        <v>2712</v>
      </c>
      <c r="O151" t="s">
        <v>62</v>
      </c>
      <c r="P151" t="s">
        <v>63</v>
      </c>
      <c r="Q151">
        <v>2.6318071042635318</v>
      </c>
      <c r="R151" t="s">
        <v>64</v>
      </c>
      <c r="S151" t="s">
        <v>65</v>
      </c>
      <c r="T151" t="s">
        <v>2898</v>
      </c>
      <c r="V151" t="s">
        <v>125</v>
      </c>
      <c r="X151" t="s">
        <v>2899</v>
      </c>
      <c r="Y151" t="s">
        <v>412</v>
      </c>
      <c r="Z151" t="s">
        <v>2623</v>
      </c>
      <c r="AA151" t="s">
        <v>125</v>
      </c>
      <c r="AB151" t="s">
        <v>41</v>
      </c>
      <c r="AD151" t="s">
        <v>620</v>
      </c>
      <c r="AF151" t="s">
        <v>2667</v>
      </c>
      <c r="AJ151">
        <v>515.272382382675</v>
      </c>
      <c r="AK151">
        <v>10650.588084716561</v>
      </c>
    </row>
    <row r="152" spans="1:37" hidden="1" x14ac:dyDescent="0.25">
      <c r="A152">
        <v>157</v>
      </c>
      <c r="B152" t="s">
        <v>2875</v>
      </c>
      <c r="C152" t="s">
        <v>376</v>
      </c>
      <c r="D152" t="s">
        <v>2604</v>
      </c>
      <c r="E152" t="s">
        <v>37</v>
      </c>
      <c r="F152" t="s">
        <v>38</v>
      </c>
      <c r="G152" s="2">
        <v>45846</v>
      </c>
      <c r="H152">
        <v>10.9</v>
      </c>
      <c r="I152" t="s">
        <v>72</v>
      </c>
      <c r="J152" t="s">
        <v>40</v>
      </c>
      <c r="K152" t="s">
        <v>41</v>
      </c>
      <c r="L152" t="s">
        <v>2605</v>
      </c>
      <c r="M152" t="s">
        <v>2606</v>
      </c>
      <c r="N152" t="s">
        <v>2712</v>
      </c>
      <c r="O152" t="s">
        <v>87</v>
      </c>
      <c r="P152" t="s">
        <v>88</v>
      </c>
      <c r="Q152">
        <v>9.4428860942419135</v>
      </c>
      <c r="R152" t="s">
        <v>46</v>
      </c>
      <c r="S152" t="s">
        <v>47</v>
      </c>
      <c r="T152" t="s">
        <v>2876</v>
      </c>
      <c r="V152" t="s">
        <v>125</v>
      </c>
      <c r="X152" t="s">
        <v>2877</v>
      </c>
      <c r="Y152" t="s">
        <v>412</v>
      </c>
      <c r="Z152" t="s">
        <v>2623</v>
      </c>
      <c r="AA152" t="s">
        <v>125</v>
      </c>
      <c r="AB152" t="s">
        <v>41</v>
      </c>
      <c r="AD152" t="s">
        <v>620</v>
      </c>
      <c r="AF152" t="s">
        <v>2667</v>
      </c>
      <c r="AJ152">
        <v>921.99553223749615</v>
      </c>
      <c r="AK152">
        <v>38214.157092950052</v>
      </c>
    </row>
    <row r="153" spans="1:37" hidden="1" x14ac:dyDescent="0.25">
      <c r="A153">
        <v>158</v>
      </c>
      <c r="B153" t="s">
        <v>2878</v>
      </c>
      <c r="C153" t="s">
        <v>376</v>
      </c>
      <c r="D153" t="s">
        <v>2604</v>
      </c>
      <c r="E153" t="s">
        <v>37</v>
      </c>
      <c r="F153" t="s">
        <v>38</v>
      </c>
      <c r="G153" s="2">
        <v>45845</v>
      </c>
      <c r="H153">
        <v>1</v>
      </c>
      <c r="I153" t="s">
        <v>72</v>
      </c>
      <c r="J153" t="s">
        <v>40</v>
      </c>
      <c r="K153" t="s">
        <v>41</v>
      </c>
      <c r="L153" t="s">
        <v>2605</v>
      </c>
      <c r="M153" t="s">
        <v>2606</v>
      </c>
      <c r="N153" t="s">
        <v>2702</v>
      </c>
      <c r="O153" t="s">
        <v>115</v>
      </c>
      <c r="P153" t="s">
        <v>137</v>
      </c>
      <c r="Q153">
        <v>0.56898894199487671</v>
      </c>
      <c r="S153" t="s">
        <v>38</v>
      </c>
      <c r="T153" t="s">
        <v>2879</v>
      </c>
      <c r="V153" t="s">
        <v>125</v>
      </c>
      <c r="X153" t="s">
        <v>2880</v>
      </c>
      <c r="Y153" t="s">
        <v>412</v>
      </c>
      <c r="Z153" t="s">
        <v>2623</v>
      </c>
      <c r="AA153" t="s">
        <v>71</v>
      </c>
      <c r="AB153" t="s">
        <v>41</v>
      </c>
      <c r="AD153" t="s">
        <v>620</v>
      </c>
      <c r="AF153" t="s">
        <v>2881</v>
      </c>
      <c r="AJ153">
        <v>214.1994968658633</v>
      </c>
      <c r="AK153">
        <v>2302.6257646803961</v>
      </c>
    </row>
    <row r="154" spans="1:37" hidden="1" x14ac:dyDescent="0.25">
      <c r="A154">
        <v>159</v>
      </c>
      <c r="B154" t="s">
        <v>2882</v>
      </c>
      <c r="C154" t="s">
        <v>376</v>
      </c>
      <c r="D154" t="s">
        <v>2604</v>
      </c>
      <c r="E154" t="s">
        <v>37</v>
      </c>
      <c r="F154" t="s">
        <v>38</v>
      </c>
      <c r="G154" s="2">
        <v>45845</v>
      </c>
      <c r="H154">
        <v>5.0999999999999996</v>
      </c>
      <c r="I154" t="s">
        <v>72</v>
      </c>
      <c r="J154" t="s">
        <v>40</v>
      </c>
      <c r="K154" t="s">
        <v>41</v>
      </c>
      <c r="L154" t="s">
        <v>2605</v>
      </c>
      <c r="M154" t="s">
        <v>2606</v>
      </c>
      <c r="N154" t="s">
        <v>2702</v>
      </c>
      <c r="O154" t="s">
        <v>79</v>
      </c>
      <c r="P154" t="s">
        <v>80</v>
      </c>
      <c r="Q154">
        <v>4.3707818861280554</v>
      </c>
      <c r="R154" t="s">
        <v>46</v>
      </c>
      <c r="S154" t="s">
        <v>47</v>
      </c>
      <c r="T154" t="s">
        <v>2883</v>
      </c>
      <c r="V154" t="s">
        <v>125</v>
      </c>
      <c r="X154" t="s">
        <v>2880</v>
      </c>
      <c r="Y154" t="s">
        <v>412</v>
      </c>
      <c r="Z154" t="s">
        <v>2623</v>
      </c>
      <c r="AA154" t="s">
        <v>71</v>
      </c>
      <c r="AB154" t="s">
        <v>41</v>
      </c>
      <c r="AD154" t="s">
        <v>620</v>
      </c>
      <c r="AF154" t="s">
        <v>2881</v>
      </c>
      <c r="AJ154">
        <v>576.18395639810069</v>
      </c>
      <c r="AK154">
        <v>17687.997498706151</v>
      </c>
    </row>
    <row r="155" spans="1:37" x14ac:dyDescent="0.25">
      <c r="A155">
        <v>167</v>
      </c>
      <c r="B155" t="s">
        <v>2900</v>
      </c>
      <c r="C155" t="s">
        <v>376</v>
      </c>
      <c r="D155" t="s">
        <v>2604</v>
      </c>
      <c r="E155" t="s">
        <v>37</v>
      </c>
      <c r="F155" t="s">
        <v>38</v>
      </c>
      <c r="G155" s="2">
        <v>45845</v>
      </c>
      <c r="H155">
        <v>14.1</v>
      </c>
      <c r="I155" t="s">
        <v>72</v>
      </c>
      <c r="J155" t="s">
        <v>40</v>
      </c>
      <c r="K155" t="s">
        <v>41</v>
      </c>
      <c r="L155" t="s">
        <v>2605</v>
      </c>
      <c r="M155" t="s">
        <v>2606</v>
      </c>
      <c r="N155" t="s">
        <v>2702</v>
      </c>
      <c r="O155" t="s">
        <v>62</v>
      </c>
      <c r="P155" t="s">
        <v>63</v>
      </c>
      <c r="Q155">
        <v>14.515380753733989</v>
      </c>
      <c r="R155" t="s">
        <v>64</v>
      </c>
      <c r="S155" t="s">
        <v>65</v>
      </c>
      <c r="T155" t="s">
        <v>2892</v>
      </c>
      <c r="V155" t="s">
        <v>125</v>
      </c>
      <c r="X155" t="s">
        <v>2893</v>
      </c>
      <c r="Y155" t="s">
        <v>412</v>
      </c>
      <c r="Z155" t="s">
        <v>2623</v>
      </c>
      <c r="AA155" t="s">
        <v>125</v>
      </c>
      <c r="AB155" t="s">
        <v>41</v>
      </c>
      <c r="AD155" t="s">
        <v>620</v>
      </c>
      <c r="AF155" t="s">
        <v>2667</v>
      </c>
      <c r="AJ155">
        <v>1213.3011818202949</v>
      </c>
      <c r="AK155">
        <v>58741.896794181943</v>
      </c>
    </row>
    <row r="156" spans="1:37" hidden="1" x14ac:dyDescent="0.25">
      <c r="A156">
        <v>161</v>
      </c>
      <c r="B156" t="s">
        <v>2887</v>
      </c>
      <c r="C156" t="s">
        <v>376</v>
      </c>
      <c r="D156" t="s">
        <v>2604</v>
      </c>
      <c r="E156" t="s">
        <v>37</v>
      </c>
      <c r="F156" t="s">
        <v>38</v>
      </c>
      <c r="G156" s="2">
        <v>45846</v>
      </c>
      <c r="H156">
        <v>0.2</v>
      </c>
      <c r="I156" t="s">
        <v>72</v>
      </c>
      <c r="J156" t="s">
        <v>40</v>
      </c>
      <c r="K156" t="s">
        <v>41</v>
      </c>
      <c r="L156" t="s">
        <v>2605</v>
      </c>
      <c r="M156" t="s">
        <v>2606</v>
      </c>
      <c r="N156" t="s">
        <v>2712</v>
      </c>
      <c r="O156" t="s">
        <v>141</v>
      </c>
      <c r="P156" t="s">
        <v>142</v>
      </c>
      <c r="Q156">
        <v>0.15984525320386911</v>
      </c>
      <c r="S156" t="s">
        <v>38</v>
      </c>
      <c r="T156" t="s">
        <v>2888</v>
      </c>
      <c r="V156" t="s">
        <v>125</v>
      </c>
      <c r="X156" t="s">
        <v>2714</v>
      </c>
      <c r="Y156" t="s">
        <v>412</v>
      </c>
      <c r="Z156" t="s">
        <v>2623</v>
      </c>
      <c r="AA156" t="s">
        <v>125</v>
      </c>
      <c r="AB156" t="s">
        <v>41</v>
      </c>
      <c r="AD156" t="s">
        <v>620</v>
      </c>
      <c r="AF156" t="s">
        <v>2667</v>
      </c>
      <c r="AJ156">
        <v>120.3418565617836</v>
      </c>
      <c r="AK156">
        <v>646.87337700915236</v>
      </c>
    </row>
    <row r="157" spans="1:37" hidden="1" x14ac:dyDescent="0.25">
      <c r="A157">
        <v>162</v>
      </c>
      <c r="B157" t="s">
        <v>2889</v>
      </c>
      <c r="C157" t="s">
        <v>376</v>
      </c>
      <c r="D157" t="s">
        <v>2604</v>
      </c>
      <c r="E157" t="s">
        <v>37</v>
      </c>
      <c r="F157" t="s">
        <v>38</v>
      </c>
      <c r="G157" s="2">
        <v>45846</v>
      </c>
      <c r="H157">
        <v>0.9</v>
      </c>
      <c r="I157" t="s">
        <v>72</v>
      </c>
      <c r="J157" t="s">
        <v>40</v>
      </c>
      <c r="K157" t="s">
        <v>41</v>
      </c>
      <c r="L157" t="s">
        <v>2605</v>
      </c>
      <c r="M157" t="s">
        <v>2606</v>
      </c>
      <c r="N157" t="s">
        <v>2712</v>
      </c>
      <c r="O157" t="s">
        <v>113</v>
      </c>
      <c r="P157" t="s">
        <v>114</v>
      </c>
      <c r="Q157">
        <v>3.8491097081800989</v>
      </c>
      <c r="R157" t="s">
        <v>46</v>
      </c>
      <c r="S157" t="s">
        <v>47</v>
      </c>
      <c r="T157" t="s">
        <v>2722</v>
      </c>
      <c r="V157" t="s">
        <v>125</v>
      </c>
      <c r="X157" t="s">
        <v>2714</v>
      </c>
      <c r="Y157" t="s">
        <v>412</v>
      </c>
      <c r="Z157" t="s">
        <v>2623</v>
      </c>
      <c r="AA157" t="s">
        <v>125</v>
      </c>
      <c r="AB157" t="s">
        <v>41</v>
      </c>
      <c r="AD157" t="s">
        <v>620</v>
      </c>
      <c r="AF157" t="s">
        <v>2667</v>
      </c>
      <c r="AJ157">
        <v>538.96910065103316</v>
      </c>
      <c r="AK157">
        <v>15576.85665043512</v>
      </c>
    </row>
    <row r="158" spans="1:37" x14ac:dyDescent="0.25">
      <c r="A158">
        <v>169</v>
      </c>
      <c r="B158" t="s">
        <v>2902</v>
      </c>
      <c r="C158" t="s">
        <v>376</v>
      </c>
      <c r="D158" t="s">
        <v>2604</v>
      </c>
      <c r="E158" t="s">
        <v>37</v>
      </c>
      <c r="F158" t="s">
        <v>38</v>
      </c>
      <c r="G158" s="2">
        <v>45846</v>
      </c>
      <c r="H158">
        <v>4.2</v>
      </c>
      <c r="I158" t="s">
        <v>72</v>
      </c>
      <c r="J158" t="s">
        <v>40</v>
      </c>
      <c r="K158" t="s">
        <v>41</v>
      </c>
      <c r="L158" t="s">
        <v>2605</v>
      </c>
      <c r="M158" t="s">
        <v>2606</v>
      </c>
      <c r="N158" t="s">
        <v>2712</v>
      </c>
      <c r="O158" t="s">
        <v>62</v>
      </c>
      <c r="P158" t="s">
        <v>63</v>
      </c>
      <c r="Q158">
        <v>4.2143861878659896</v>
      </c>
      <c r="R158" t="s">
        <v>64</v>
      </c>
      <c r="S158" t="s">
        <v>65</v>
      </c>
      <c r="T158" t="s">
        <v>2898</v>
      </c>
      <c r="V158" t="s">
        <v>125</v>
      </c>
      <c r="X158" t="s">
        <v>2899</v>
      </c>
      <c r="Y158" t="s">
        <v>412</v>
      </c>
      <c r="Z158" t="s">
        <v>2623</v>
      </c>
      <c r="AA158" t="s">
        <v>125</v>
      </c>
      <c r="AB158" t="s">
        <v>41</v>
      </c>
      <c r="AD158" t="s">
        <v>620</v>
      </c>
      <c r="AF158" t="s">
        <v>2667</v>
      </c>
      <c r="AJ158">
        <v>619.29731443059802</v>
      </c>
      <c r="AK158">
        <v>17055.084031107239</v>
      </c>
    </row>
    <row r="159" spans="1:37" x14ac:dyDescent="0.25">
      <c r="A159">
        <v>170</v>
      </c>
      <c r="B159" t="s">
        <v>2903</v>
      </c>
      <c r="C159" t="s">
        <v>376</v>
      </c>
      <c r="D159" t="s">
        <v>2604</v>
      </c>
      <c r="E159" t="s">
        <v>37</v>
      </c>
      <c r="F159" t="s">
        <v>38</v>
      </c>
      <c r="G159" s="2">
        <v>45845</v>
      </c>
      <c r="H159">
        <v>12.4</v>
      </c>
      <c r="I159" t="s">
        <v>72</v>
      </c>
      <c r="J159" t="s">
        <v>40</v>
      </c>
      <c r="K159" t="s">
        <v>41</v>
      </c>
      <c r="L159" t="s">
        <v>2605</v>
      </c>
      <c r="M159" t="s">
        <v>2606</v>
      </c>
      <c r="N159" t="s">
        <v>2702</v>
      </c>
      <c r="O159" t="s">
        <v>62</v>
      </c>
      <c r="P159" t="s">
        <v>63</v>
      </c>
      <c r="Q159">
        <v>12.402218380092791</v>
      </c>
      <c r="R159" t="s">
        <v>64</v>
      </c>
      <c r="S159" t="s">
        <v>65</v>
      </c>
      <c r="T159" t="s">
        <v>2904</v>
      </c>
      <c r="V159" t="s">
        <v>125</v>
      </c>
      <c r="X159" t="s">
        <v>2893</v>
      </c>
      <c r="Y159" t="s">
        <v>412</v>
      </c>
      <c r="Z159" t="s">
        <v>2623</v>
      </c>
      <c r="AA159" t="s">
        <v>125</v>
      </c>
      <c r="AB159" t="s">
        <v>41</v>
      </c>
      <c r="AD159" t="s">
        <v>620</v>
      </c>
      <c r="AF159" t="s">
        <v>2667</v>
      </c>
      <c r="AJ159">
        <v>933.39296843504371</v>
      </c>
      <c r="AK159">
        <v>50190.197864076523</v>
      </c>
    </row>
    <row r="160" spans="1:37" x14ac:dyDescent="0.25">
      <c r="A160">
        <v>174</v>
      </c>
      <c r="B160" t="s">
        <v>2910</v>
      </c>
      <c r="C160" t="s">
        <v>376</v>
      </c>
      <c r="D160" t="s">
        <v>2604</v>
      </c>
      <c r="E160" t="s">
        <v>37</v>
      </c>
      <c r="F160" t="s">
        <v>38</v>
      </c>
      <c r="G160" s="2">
        <v>45846</v>
      </c>
      <c r="H160">
        <v>0.2</v>
      </c>
      <c r="I160" t="s">
        <v>72</v>
      </c>
      <c r="J160" t="s">
        <v>40</v>
      </c>
      <c r="K160" t="s">
        <v>41</v>
      </c>
      <c r="L160" t="s">
        <v>2605</v>
      </c>
      <c r="M160" t="s">
        <v>2606</v>
      </c>
      <c r="N160" t="s">
        <v>2712</v>
      </c>
      <c r="O160" t="s">
        <v>62</v>
      </c>
      <c r="P160" t="s">
        <v>63</v>
      </c>
      <c r="Q160">
        <v>0.16035665979595451</v>
      </c>
      <c r="R160" t="s">
        <v>64</v>
      </c>
      <c r="S160" t="s">
        <v>65</v>
      </c>
      <c r="T160" t="s">
        <v>2722</v>
      </c>
      <c r="V160" t="s">
        <v>125</v>
      </c>
      <c r="X160" t="s">
        <v>2714</v>
      </c>
      <c r="Y160" t="s">
        <v>412</v>
      </c>
      <c r="Z160" t="s">
        <v>2623</v>
      </c>
      <c r="AA160" t="s">
        <v>125</v>
      </c>
      <c r="AB160" t="s">
        <v>41</v>
      </c>
      <c r="AD160" t="s">
        <v>620</v>
      </c>
      <c r="AF160" t="s">
        <v>2909</v>
      </c>
      <c r="AJ160">
        <v>105.1133377699252</v>
      </c>
      <c r="AK160">
        <v>648.94297433917177</v>
      </c>
    </row>
    <row r="161" spans="1:37" x14ac:dyDescent="0.25">
      <c r="A161">
        <v>175</v>
      </c>
      <c r="B161" t="s">
        <v>2911</v>
      </c>
      <c r="C161" t="s">
        <v>376</v>
      </c>
      <c r="D161" t="s">
        <v>2604</v>
      </c>
      <c r="E161" t="s">
        <v>37</v>
      </c>
      <c r="F161" t="s">
        <v>38</v>
      </c>
      <c r="G161" s="2">
        <v>45846</v>
      </c>
      <c r="H161">
        <v>0.2</v>
      </c>
      <c r="I161" t="s">
        <v>72</v>
      </c>
      <c r="J161" t="s">
        <v>40</v>
      </c>
      <c r="K161" t="s">
        <v>41</v>
      </c>
      <c r="L161" t="s">
        <v>2605</v>
      </c>
      <c r="M161" t="s">
        <v>2606</v>
      </c>
      <c r="N161" t="s">
        <v>2712</v>
      </c>
      <c r="O161" t="s">
        <v>62</v>
      </c>
      <c r="P161" t="s">
        <v>63</v>
      </c>
      <c r="Q161">
        <v>0.1571868464009501</v>
      </c>
      <c r="R161" t="s">
        <v>64</v>
      </c>
      <c r="S161" t="s">
        <v>65</v>
      </c>
      <c r="T161" t="s">
        <v>2722</v>
      </c>
      <c r="V161" t="s">
        <v>125</v>
      </c>
      <c r="X161" t="s">
        <v>2714</v>
      </c>
      <c r="Y161" t="s">
        <v>412</v>
      </c>
      <c r="Z161" t="s">
        <v>2623</v>
      </c>
      <c r="AA161" t="s">
        <v>125</v>
      </c>
      <c r="AB161" t="s">
        <v>41</v>
      </c>
      <c r="AD161" t="s">
        <v>620</v>
      </c>
      <c r="AF161" t="s">
        <v>2909</v>
      </c>
      <c r="AJ161">
        <v>99.228327015989024</v>
      </c>
      <c r="AK161">
        <v>636.11514333251603</v>
      </c>
    </row>
    <row r="162" spans="1:37" x14ac:dyDescent="0.25">
      <c r="A162">
        <v>179</v>
      </c>
      <c r="B162" t="s">
        <v>2916</v>
      </c>
      <c r="C162" t="s">
        <v>376</v>
      </c>
      <c r="D162" t="s">
        <v>2604</v>
      </c>
      <c r="E162" t="s">
        <v>37</v>
      </c>
      <c r="F162" t="s">
        <v>38</v>
      </c>
      <c r="G162" s="2">
        <v>45845</v>
      </c>
      <c r="H162">
        <v>2</v>
      </c>
      <c r="I162" t="s">
        <v>72</v>
      </c>
      <c r="J162" t="s">
        <v>40</v>
      </c>
      <c r="K162" t="s">
        <v>41</v>
      </c>
      <c r="L162" t="s">
        <v>2605</v>
      </c>
      <c r="M162" t="s">
        <v>2606</v>
      </c>
      <c r="N162" t="s">
        <v>2702</v>
      </c>
      <c r="O162" t="s">
        <v>62</v>
      </c>
      <c r="P162" t="s">
        <v>63</v>
      </c>
      <c r="Q162">
        <v>2.0481153199519539</v>
      </c>
      <c r="R162" t="s">
        <v>64</v>
      </c>
      <c r="S162" t="s">
        <v>65</v>
      </c>
      <c r="T162" t="s">
        <v>2915</v>
      </c>
      <c r="V162" t="s">
        <v>125</v>
      </c>
      <c r="X162" t="s">
        <v>2893</v>
      </c>
      <c r="Y162" t="s">
        <v>412</v>
      </c>
      <c r="Z162" t="s">
        <v>2623</v>
      </c>
      <c r="AA162" t="s">
        <v>125</v>
      </c>
      <c r="AB162" t="s">
        <v>41</v>
      </c>
      <c r="AD162" t="s">
        <v>620</v>
      </c>
      <c r="AF162" t="s">
        <v>2667</v>
      </c>
      <c r="AJ162">
        <v>435.98679900058482</v>
      </c>
      <c r="AK162">
        <v>8288.4617901774036</v>
      </c>
    </row>
    <row r="163" spans="1:37" hidden="1" x14ac:dyDescent="0.25">
      <c r="A163">
        <v>168</v>
      </c>
      <c r="B163" t="s">
        <v>2901</v>
      </c>
      <c r="C163" t="s">
        <v>376</v>
      </c>
      <c r="D163" t="s">
        <v>2604</v>
      </c>
      <c r="E163" t="s">
        <v>37</v>
      </c>
      <c r="F163" t="s">
        <v>38</v>
      </c>
      <c r="G163" s="2">
        <v>45846</v>
      </c>
      <c r="H163">
        <v>6.3</v>
      </c>
      <c r="I163" t="s">
        <v>72</v>
      </c>
      <c r="J163" t="s">
        <v>40</v>
      </c>
      <c r="K163" t="s">
        <v>41</v>
      </c>
      <c r="L163" t="s">
        <v>2605</v>
      </c>
      <c r="M163" t="s">
        <v>2606</v>
      </c>
      <c r="O163" t="s">
        <v>113</v>
      </c>
      <c r="P163" t="s">
        <v>114</v>
      </c>
      <c r="Q163">
        <v>19.91783856772491</v>
      </c>
      <c r="R163" t="s">
        <v>46</v>
      </c>
      <c r="S163" t="s">
        <v>47</v>
      </c>
      <c r="T163" t="s">
        <v>2895</v>
      </c>
      <c r="V163" t="s">
        <v>125</v>
      </c>
      <c r="X163" t="s">
        <v>2896</v>
      </c>
      <c r="Y163" t="s">
        <v>412</v>
      </c>
      <c r="Z163" t="s">
        <v>2623</v>
      </c>
      <c r="AA163" t="s">
        <v>125</v>
      </c>
      <c r="AB163" t="s">
        <v>41</v>
      </c>
      <c r="AD163" t="s">
        <v>898</v>
      </c>
      <c r="AF163" t="s">
        <v>2667</v>
      </c>
      <c r="AJ163">
        <v>1294.570119350313</v>
      </c>
      <c r="AK163">
        <v>80604.955347622934</v>
      </c>
    </row>
    <row r="164" spans="1:37" x14ac:dyDescent="0.25">
      <c r="A164">
        <v>191</v>
      </c>
      <c r="B164" t="s">
        <v>2933</v>
      </c>
      <c r="C164" t="s">
        <v>376</v>
      </c>
      <c r="D164" t="s">
        <v>2604</v>
      </c>
      <c r="E164" t="s">
        <v>37</v>
      </c>
      <c r="F164" t="s">
        <v>38</v>
      </c>
      <c r="G164" s="2">
        <v>45845</v>
      </c>
      <c r="H164">
        <v>4.8</v>
      </c>
      <c r="I164" t="s">
        <v>72</v>
      </c>
      <c r="J164" t="s">
        <v>40</v>
      </c>
      <c r="K164" t="s">
        <v>41</v>
      </c>
      <c r="L164" t="s">
        <v>2605</v>
      </c>
      <c r="M164" t="s">
        <v>2606</v>
      </c>
      <c r="N164" t="s">
        <v>2702</v>
      </c>
      <c r="O164" t="s">
        <v>62</v>
      </c>
      <c r="P164" t="s">
        <v>63</v>
      </c>
      <c r="Q164">
        <v>4.5293300137626451</v>
      </c>
      <c r="R164" t="s">
        <v>64</v>
      </c>
      <c r="S164" t="s">
        <v>65</v>
      </c>
      <c r="T164" t="s">
        <v>2923</v>
      </c>
      <c r="V164" t="s">
        <v>71</v>
      </c>
      <c r="X164" t="s">
        <v>2924</v>
      </c>
      <c r="Y164" t="s">
        <v>412</v>
      </c>
      <c r="Z164" t="s">
        <v>2623</v>
      </c>
      <c r="AA164" t="s">
        <v>397</v>
      </c>
      <c r="AB164" t="s">
        <v>41</v>
      </c>
      <c r="AD164" t="s">
        <v>620</v>
      </c>
      <c r="AF164" t="s">
        <v>2925</v>
      </c>
      <c r="AJ164">
        <v>590.04467482067116</v>
      </c>
      <c r="AK164">
        <v>18329.621573777411</v>
      </c>
    </row>
    <row r="165" spans="1:37" x14ac:dyDescent="0.25">
      <c r="A165">
        <v>192</v>
      </c>
      <c r="B165" t="s">
        <v>2934</v>
      </c>
      <c r="C165" t="s">
        <v>376</v>
      </c>
      <c r="D165" t="s">
        <v>2604</v>
      </c>
      <c r="E165" t="s">
        <v>37</v>
      </c>
      <c r="F165" t="s">
        <v>38</v>
      </c>
      <c r="G165" s="2">
        <v>45845</v>
      </c>
      <c r="H165">
        <v>0.8</v>
      </c>
      <c r="I165" t="s">
        <v>72</v>
      </c>
      <c r="J165" t="s">
        <v>40</v>
      </c>
      <c r="K165" t="s">
        <v>41</v>
      </c>
      <c r="L165" t="s">
        <v>2605</v>
      </c>
      <c r="M165" t="s">
        <v>2606</v>
      </c>
      <c r="N165" t="s">
        <v>2702</v>
      </c>
      <c r="O165" t="s">
        <v>62</v>
      </c>
      <c r="P165" t="s">
        <v>63</v>
      </c>
      <c r="Q165">
        <v>0.73452611040441029</v>
      </c>
      <c r="R165" t="s">
        <v>64</v>
      </c>
      <c r="S165" t="s">
        <v>65</v>
      </c>
      <c r="T165" t="s">
        <v>2883</v>
      </c>
      <c r="V165" t="s">
        <v>71</v>
      </c>
      <c r="X165" t="s">
        <v>2880</v>
      </c>
      <c r="Y165" t="s">
        <v>412</v>
      </c>
      <c r="Z165" t="s">
        <v>2623</v>
      </c>
      <c r="AA165" t="s">
        <v>397</v>
      </c>
      <c r="AB165" t="s">
        <v>41</v>
      </c>
      <c r="AD165" t="s">
        <v>620</v>
      </c>
      <c r="AF165" t="s">
        <v>2928</v>
      </c>
      <c r="AJ165">
        <v>272.75953649888203</v>
      </c>
      <c r="AK165">
        <v>2972.5335974330792</v>
      </c>
    </row>
    <row r="166" spans="1:37" hidden="1" x14ac:dyDescent="0.25">
      <c r="A166">
        <v>171</v>
      </c>
      <c r="B166" t="s">
        <v>2905</v>
      </c>
      <c r="C166" t="s">
        <v>376</v>
      </c>
      <c r="D166" t="s">
        <v>2604</v>
      </c>
      <c r="E166" t="s">
        <v>37</v>
      </c>
      <c r="F166" t="s">
        <v>38</v>
      </c>
      <c r="G166" s="2">
        <v>45846</v>
      </c>
      <c r="H166">
        <v>15.2</v>
      </c>
      <c r="I166" t="s">
        <v>72</v>
      </c>
      <c r="J166" t="s">
        <v>40</v>
      </c>
      <c r="K166" t="s">
        <v>41</v>
      </c>
      <c r="L166" t="s">
        <v>2605</v>
      </c>
      <c r="M166" t="s">
        <v>2606</v>
      </c>
      <c r="N166" t="s">
        <v>2712</v>
      </c>
      <c r="O166" t="s">
        <v>113</v>
      </c>
      <c r="P166" t="s">
        <v>114</v>
      </c>
      <c r="Q166">
        <v>13.91819350741058</v>
      </c>
      <c r="R166" t="s">
        <v>46</v>
      </c>
      <c r="S166" t="s">
        <v>47</v>
      </c>
      <c r="T166" t="s">
        <v>2722</v>
      </c>
      <c r="V166" t="s">
        <v>125</v>
      </c>
      <c r="X166" t="s">
        <v>2714</v>
      </c>
      <c r="Y166" t="s">
        <v>412</v>
      </c>
      <c r="Z166" t="s">
        <v>2623</v>
      </c>
      <c r="AA166" t="s">
        <v>125</v>
      </c>
      <c r="AB166" t="s">
        <v>41</v>
      </c>
      <c r="AD166" t="s">
        <v>620</v>
      </c>
      <c r="AF166" t="s">
        <v>2906</v>
      </c>
      <c r="AJ166">
        <v>1046.3921187396249</v>
      </c>
      <c r="AK166">
        <v>56325.156084069517</v>
      </c>
    </row>
    <row r="167" spans="1:37" hidden="1" x14ac:dyDescent="0.25">
      <c r="A167">
        <v>172</v>
      </c>
      <c r="B167" t="s">
        <v>2907</v>
      </c>
      <c r="C167" t="s">
        <v>376</v>
      </c>
      <c r="D167" t="s">
        <v>2604</v>
      </c>
      <c r="E167" t="s">
        <v>37</v>
      </c>
      <c r="F167" t="s">
        <v>38</v>
      </c>
      <c r="G167" s="2">
        <v>45846</v>
      </c>
      <c r="H167">
        <v>21.2</v>
      </c>
      <c r="I167" t="s">
        <v>72</v>
      </c>
      <c r="J167" t="s">
        <v>40</v>
      </c>
      <c r="K167" t="s">
        <v>41</v>
      </c>
      <c r="L167" t="s">
        <v>2605</v>
      </c>
      <c r="M167" t="s">
        <v>2606</v>
      </c>
      <c r="N167" t="s">
        <v>2712</v>
      </c>
      <c r="O167" t="s">
        <v>113</v>
      </c>
      <c r="P167" t="s">
        <v>114</v>
      </c>
      <c r="Q167">
        <v>21.561103258858299</v>
      </c>
      <c r="R167" t="s">
        <v>46</v>
      </c>
      <c r="S167" t="s">
        <v>47</v>
      </c>
      <c r="T167" t="s">
        <v>2722</v>
      </c>
      <c r="V167" t="s">
        <v>125</v>
      </c>
      <c r="X167" t="s">
        <v>2714</v>
      </c>
      <c r="Y167" t="s">
        <v>412</v>
      </c>
      <c r="Z167" t="s">
        <v>2623</v>
      </c>
      <c r="AA167" t="s">
        <v>125</v>
      </c>
      <c r="AB167" t="s">
        <v>41</v>
      </c>
      <c r="AD167" t="s">
        <v>620</v>
      </c>
      <c r="AF167" t="s">
        <v>2906</v>
      </c>
      <c r="AJ167">
        <v>1397.6928373881001</v>
      </c>
      <c r="AK167">
        <v>87255.0382169441</v>
      </c>
    </row>
    <row r="168" spans="1:37" hidden="1" x14ac:dyDescent="0.25">
      <c r="A168">
        <v>173</v>
      </c>
      <c r="B168" t="s">
        <v>2908</v>
      </c>
      <c r="C168" t="s">
        <v>376</v>
      </c>
      <c r="D168" t="s">
        <v>2604</v>
      </c>
      <c r="E168" t="s">
        <v>37</v>
      </c>
      <c r="F168" t="s">
        <v>38</v>
      </c>
      <c r="G168" s="2">
        <v>45846</v>
      </c>
      <c r="H168">
        <v>24.1</v>
      </c>
      <c r="I168" t="s">
        <v>72</v>
      </c>
      <c r="J168" t="s">
        <v>40</v>
      </c>
      <c r="K168" t="s">
        <v>41</v>
      </c>
      <c r="L168" t="s">
        <v>2605</v>
      </c>
      <c r="M168" t="s">
        <v>2606</v>
      </c>
      <c r="N168" t="s">
        <v>2712</v>
      </c>
      <c r="O168" t="s">
        <v>113</v>
      </c>
      <c r="P168" t="s">
        <v>114</v>
      </c>
      <c r="Q168">
        <v>24.184307978310411</v>
      </c>
      <c r="R168" t="s">
        <v>46</v>
      </c>
      <c r="S168" t="s">
        <v>47</v>
      </c>
      <c r="T168" t="s">
        <v>2722</v>
      </c>
      <c r="V168" t="s">
        <v>125</v>
      </c>
      <c r="X168" t="s">
        <v>2714</v>
      </c>
      <c r="Y168" t="s">
        <v>412</v>
      </c>
      <c r="Z168" t="s">
        <v>2623</v>
      </c>
      <c r="AA168" t="s">
        <v>125</v>
      </c>
      <c r="AB168" t="s">
        <v>41</v>
      </c>
      <c r="AD168" t="s">
        <v>620</v>
      </c>
      <c r="AF168" t="s">
        <v>2909</v>
      </c>
      <c r="AJ168">
        <v>1448.2499894305361</v>
      </c>
      <c r="AK168">
        <v>97870.813546187725</v>
      </c>
    </row>
    <row r="169" spans="1:37" x14ac:dyDescent="0.25">
      <c r="A169">
        <v>196</v>
      </c>
      <c r="B169" t="s">
        <v>2938</v>
      </c>
      <c r="C169" t="s">
        <v>376</v>
      </c>
      <c r="D169" t="s">
        <v>2604</v>
      </c>
      <c r="E169" t="s">
        <v>37</v>
      </c>
      <c r="F169" t="s">
        <v>38</v>
      </c>
      <c r="G169" s="2">
        <v>45845</v>
      </c>
      <c r="H169">
        <v>0.8</v>
      </c>
      <c r="I169" t="s">
        <v>72</v>
      </c>
      <c r="J169" t="s">
        <v>40</v>
      </c>
      <c r="K169" t="s">
        <v>41</v>
      </c>
      <c r="L169" t="s">
        <v>2605</v>
      </c>
      <c r="M169" t="s">
        <v>2606</v>
      </c>
      <c r="N169" t="s">
        <v>2702</v>
      </c>
      <c r="O169" t="s">
        <v>62</v>
      </c>
      <c r="P169" t="s">
        <v>63</v>
      </c>
      <c r="Q169">
        <v>0.73814123681009458</v>
      </c>
      <c r="R169" t="s">
        <v>64</v>
      </c>
      <c r="S169" t="s">
        <v>65</v>
      </c>
      <c r="T169" t="s">
        <v>2883</v>
      </c>
      <c r="V169" t="s">
        <v>71</v>
      </c>
      <c r="X169" t="s">
        <v>2880</v>
      </c>
      <c r="Y169" t="s">
        <v>412</v>
      </c>
      <c r="Z169" t="s">
        <v>2623</v>
      </c>
      <c r="AA169" t="s">
        <v>397</v>
      </c>
      <c r="AB169" t="s">
        <v>41</v>
      </c>
      <c r="AD169" t="s">
        <v>620</v>
      </c>
      <c r="AF169" t="s">
        <v>2928</v>
      </c>
      <c r="AJ169">
        <v>305.57040758785149</v>
      </c>
      <c r="AK169">
        <v>2987.1635534654761</v>
      </c>
    </row>
    <row r="170" spans="1:37" x14ac:dyDescent="0.25">
      <c r="A170">
        <v>202</v>
      </c>
      <c r="B170" t="s">
        <v>2946</v>
      </c>
      <c r="C170" t="s">
        <v>376</v>
      </c>
      <c r="D170" t="s">
        <v>2604</v>
      </c>
      <c r="E170" t="s">
        <v>37</v>
      </c>
      <c r="F170" t="s">
        <v>38</v>
      </c>
      <c r="G170" s="2">
        <v>45845</v>
      </c>
      <c r="H170">
        <v>0.7</v>
      </c>
      <c r="I170" t="s">
        <v>72</v>
      </c>
      <c r="J170" t="s">
        <v>40</v>
      </c>
      <c r="K170" t="s">
        <v>41</v>
      </c>
      <c r="L170" t="s">
        <v>2605</v>
      </c>
      <c r="M170" t="s">
        <v>2606</v>
      </c>
      <c r="O170" t="s">
        <v>62</v>
      </c>
      <c r="P170" t="s">
        <v>63</v>
      </c>
      <c r="Q170">
        <v>0.75252855602970514</v>
      </c>
      <c r="R170" t="s">
        <v>64</v>
      </c>
      <c r="S170" t="s">
        <v>65</v>
      </c>
      <c r="T170" t="s">
        <v>2947</v>
      </c>
      <c r="V170" t="s">
        <v>71</v>
      </c>
      <c r="X170" t="s">
        <v>2948</v>
      </c>
      <c r="Y170" t="s">
        <v>412</v>
      </c>
      <c r="Z170" t="s">
        <v>2623</v>
      </c>
      <c r="AA170" t="s">
        <v>397</v>
      </c>
      <c r="AB170" t="s">
        <v>41</v>
      </c>
      <c r="AD170" t="s">
        <v>232</v>
      </c>
      <c r="AF170" t="s">
        <v>665</v>
      </c>
      <c r="AJ170">
        <v>221.42178526652569</v>
      </c>
      <c r="AK170">
        <v>3045.3872015448351</v>
      </c>
    </row>
    <row r="171" spans="1:37" hidden="1" x14ac:dyDescent="0.25">
      <c r="A171">
        <v>176</v>
      </c>
      <c r="B171" t="s">
        <v>2912</v>
      </c>
      <c r="C171" t="s">
        <v>376</v>
      </c>
      <c r="D171" t="s">
        <v>2604</v>
      </c>
      <c r="E171" t="s">
        <v>37</v>
      </c>
      <c r="F171" t="s">
        <v>38</v>
      </c>
      <c r="G171" s="2">
        <v>45846</v>
      </c>
      <c r="H171">
        <v>0.2</v>
      </c>
      <c r="I171" t="s">
        <v>72</v>
      </c>
      <c r="J171" t="s">
        <v>40</v>
      </c>
      <c r="K171" t="s">
        <v>41</v>
      </c>
      <c r="L171" t="s">
        <v>2605</v>
      </c>
      <c r="M171" t="s">
        <v>2606</v>
      </c>
      <c r="N171" t="s">
        <v>2712</v>
      </c>
      <c r="O171" t="s">
        <v>113</v>
      </c>
      <c r="P171" t="s">
        <v>114</v>
      </c>
      <c r="Q171">
        <v>0.16912546701170009</v>
      </c>
      <c r="R171" t="s">
        <v>46</v>
      </c>
      <c r="S171" t="s">
        <v>47</v>
      </c>
      <c r="T171" t="s">
        <v>2722</v>
      </c>
      <c r="V171" t="s">
        <v>125</v>
      </c>
      <c r="X171" t="s">
        <v>2714</v>
      </c>
      <c r="Y171" t="s">
        <v>412</v>
      </c>
      <c r="Z171" t="s">
        <v>2623</v>
      </c>
      <c r="AA171" t="s">
        <v>125</v>
      </c>
      <c r="AB171" t="s">
        <v>41</v>
      </c>
      <c r="AD171" t="s">
        <v>620</v>
      </c>
      <c r="AF171" t="s">
        <v>2909</v>
      </c>
      <c r="AJ171">
        <v>109.9135912275727</v>
      </c>
      <c r="AK171">
        <v>684.4292200818403</v>
      </c>
    </row>
    <row r="172" spans="1:37" hidden="1" x14ac:dyDescent="0.25">
      <c r="A172">
        <v>177</v>
      </c>
      <c r="B172" t="s">
        <v>2913</v>
      </c>
      <c r="C172" t="s">
        <v>376</v>
      </c>
      <c r="D172" t="s">
        <v>2604</v>
      </c>
      <c r="E172" t="s">
        <v>37</v>
      </c>
      <c r="F172" t="s">
        <v>38</v>
      </c>
      <c r="G172" s="2">
        <v>45846</v>
      </c>
      <c r="H172">
        <v>0.7</v>
      </c>
      <c r="I172" t="s">
        <v>72</v>
      </c>
      <c r="J172" t="s">
        <v>40</v>
      </c>
      <c r="K172" t="s">
        <v>41</v>
      </c>
      <c r="L172" t="s">
        <v>2605</v>
      </c>
      <c r="M172" t="s">
        <v>2606</v>
      </c>
      <c r="N172" t="s">
        <v>2712</v>
      </c>
      <c r="O172" t="s">
        <v>113</v>
      </c>
      <c r="P172" t="s">
        <v>114</v>
      </c>
      <c r="Q172">
        <v>0.70127752670319865</v>
      </c>
      <c r="R172" t="s">
        <v>46</v>
      </c>
      <c r="S172" t="s">
        <v>47</v>
      </c>
      <c r="T172" t="s">
        <v>2722</v>
      </c>
      <c r="V172" t="s">
        <v>125</v>
      </c>
      <c r="X172" t="s">
        <v>2714</v>
      </c>
      <c r="Y172" t="s">
        <v>412</v>
      </c>
      <c r="Z172" t="s">
        <v>2623</v>
      </c>
      <c r="AA172" t="s">
        <v>618</v>
      </c>
      <c r="AB172" t="s">
        <v>41</v>
      </c>
      <c r="AD172" t="s">
        <v>620</v>
      </c>
      <c r="AF172" t="s">
        <v>2909</v>
      </c>
      <c r="AJ172">
        <v>238.95468339170981</v>
      </c>
      <c r="AK172">
        <v>2837.9808147355338</v>
      </c>
    </row>
    <row r="173" spans="1:37" hidden="1" x14ac:dyDescent="0.25">
      <c r="A173">
        <v>178</v>
      </c>
      <c r="B173" t="s">
        <v>2914</v>
      </c>
      <c r="C173" t="s">
        <v>376</v>
      </c>
      <c r="D173" t="s">
        <v>2604</v>
      </c>
      <c r="E173" t="s">
        <v>37</v>
      </c>
      <c r="F173" t="s">
        <v>38</v>
      </c>
      <c r="G173" s="2">
        <v>45845</v>
      </c>
      <c r="H173">
        <v>9.3000000000000007</v>
      </c>
      <c r="I173" t="s">
        <v>72</v>
      </c>
      <c r="J173" t="s">
        <v>40</v>
      </c>
      <c r="K173" t="s">
        <v>41</v>
      </c>
      <c r="L173" t="s">
        <v>2605</v>
      </c>
      <c r="M173" t="s">
        <v>2606</v>
      </c>
      <c r="N173" t="s">
        <v>2702</v>
      </c>
      <c r="O173" t="s">
        <v>79</v>
      </c>
      <c r="P173" t="s">
        <v>80</v>
      </c>
      <c r="Q173">
        <v>9.5203558962702282</v>
      </c>
      <c r="R173" t="s">
        <v>46</v>
      </c>
      <c r="S173" t="s">
        <v>47</v>
      </c>
      <c r="T173" t="s">
        <v>2915</v>
      </c>
      <c r="V173" t="s">
        <v>125</v>
      </c>
      <c r="X173" t="s">
        <v>2893</v>
      </c>
      <c r="Y173" t="s">
        <v>412</v>
      </c>
      <c r="Z173" t="s">
        <v>2623</v>
      </c>
      <c r="AA173" t="s">
        <v>125</v>
      </c>
      <c r="AB173" t="s">
        <v>41</v>
      </c>
      <c r="AD173" t="s">
        <v>620</v>
      </c>
      <c r="AF173" t="s">
        <v>2667</v>
      </c>
      <c r="AJ173">
        <v>978.49281625049298</v>
      </c>
      <c r="AK173">
        <v>38527.667512870823</v>
      </c>
    </row>
    <row r="174" spans="1:37" x14ac:dyDescent="0.25">
      <c r="A174">
        <v>205</v>
      </c>
      <c r="B174" t="s">
        <v>2951</v>
      </c>
      <c r="C174" t="s">
        <v>376</v>
      </c>
      <c r="D174" t="s">
        <v>2604</v>
      </c>
      <c r="E174" t="s">
        <v>37</v>
      </c>
      <c r="F174" t="s">
        <v>38</v>
      </c>
      <c r="G174" s="2">
        <v>45846</v>
      </c>
      <c r="H174">
        <v>14.5</v>
      </c>
      <c r="I174" t="s">
        <v>72</v>
      </c>
      <c r="J174" t="s">
        <v>40</v>
      </c>
      <c r="K174" t="s">
        <v>41</v>
      </c>
      <c r="L174" t="s">
        <v>2605</v>
      </c>
      <c r="M174" t="s">
        <v>2606</v>
      </c>
      <c r="N174" t="s">
        <v>2712</v>
      </c>
      <c r="O174" t="s">
        <v>62</v>
      </c>
      <c r="P174" t="s">
        <v>63</v>
      </c>
      <c r="Q174">
        <v>14.297757995647091</v>
      </c>
      <c r="R174" t="s">
        <v>64</v>
      </c>
      <c r="S174" t="s">
        <v>65</v>
      </c>
      <c r="T174" t="s">
        <v>2846</v>
      </c>
      <c r="V174" t="s">
        <v>71</v>
      </c>
      <c r="X174" t="s">
        <v>2714</v>
      </c>
      <c r="Y174" t="s">
        <v>412</v>
      </c>
      <c r="Z174" t="s">
        <v>2623</v>
      </c>
      <c r="AA174" t="s">
        <v>896</v>
      </c>
      <c r="AB174" t="s">
        <v>41</v>
      </c>
      <c r="AD174" t="s">
        <v>620</v>
      </c>
      <c r="AF174" t="s">
        <v>2667</v>
      </c>
      <c r="AJ174">
        <v>1090.111174115719</v>
      </c>
      <c r="AK174">
        <v>57861.205215194779</v>
      </c>
    </row>
    <row r="175" spans="1:37" hidden="1" x14ac:dyDescent="0.25">
      <c r="A175">
        <v>180</v>
      </c>
      <c r="B175" t="s">
        <v>2917</v>
      </c>
      <c r="C175" t="s">
        <v>376</v>
      </c>
      <c r="D175" t="s">
        <v>2604</v>
      </c>
      <c r="E175" t="s">
        <v>37</v>
      </c>
      <c r="F175" t="s">
        <v>38</v>
      </c>
      <c r="G175" s="2">
        <v>45846</v>
      </c>
      <c r="H175">
        <v>8.1</v>
      </c>
      <c r="I175" t="s">
        <v>72</v>
      </c>
      <c r="J175" t="s">
        <v>40</v>
      </c>
      <c r="K175" t="s">
        <v>41</v>
      </c>
      <c r="L175" t="s">
        <v>2605</v>
      </c>
      <c r="M175" t="s">
        <v>2606</v>
      </c>
      <c r="N175" t="s">
        <v>2712</v>
      </c>
      <c r="O175" t="s">
        <v>113</v>
      </c>
      <c r="P175" t="s">
        <v>114</v>
      </c>
      <c r="Q175">
        <v>8.0725882642332305</v>
      </c>
      <c r="R175" t="s">
        <v>46</v>
      </c>
      <c r="S175" t="s">
        <v>47</v>
      </c>
      <c r="T175" t="s">
        <v>2722</v>
      </c>
      <c r="V175" t="s">
        <v>125</v>
      </c>
      <c r="X175" t="s">
        <v>2714</v>
      </c>
      <c r="Y175" t="s">
        <v>412</v>
      </c>
      <c r="Z175" t="s">
        <v>2623</v>
      </c>
      <c r="AA175" t="s">
        <v>125</v>
      </c>
      <c r="AB175" t="s">
        <v>41</v>
      </c>
      <c r="AD175" t="s">
        <v>620</v>
      </c>
      <c r="AF175" t="s">
        <v>2909</v>
      </c>
      <c r="AJ175">
        <v>776.07926292452817</v>
      </c>
      <c r="AK175">
        <v>32668.73633731779</v>
      </c>
    </row>
    <row r="176" spans="1:37" hidden="1" x14ac:dyDescent="0.25">
      <c r="A176">
        <v>181</v>
      </c>
      <c r="B176" t="s">
        <v>2918</v>
      </c>
      <c r="C176" t="s">
        <v>376</v>
      </c>
      <c r="D176" t="s">
        <v>2604</v>
      </c>
      <c r="E176" t="s">
        <v>37</v>
      </c>
      <c r="F176" t="s">
        <v>38</v>
      </c>
      <c r="G176" s="2">
        <v>45846</v>
      </c>
      <c r="H176">
        <v>3.9</v>
      </c>
      <c r="I176" t="s">
        <v>72</v>
      </c>
      <c r="J176" t="s">
        <v>40</v>
      </c>
      <c r="K176" t="s">
        <v>41</v>
      </c>
      <c r="L176" t="s">
        <v>2605</v>
      </c>
      <c r="M176" t="s">
        <v>2606</v>
      </c>
      <c r="N176" t="s">
        <v>2712</v>
      </c>
      <c r="O176" t="s">
        <v>113</v>
      </c>
      <c r="P176" t="s">
        <v>114</v>
      </c>
      <c r="Q176">
        <v>3.8206511808037429</v>
      </c>
      <c r="R176" t="s">
        <v>46</v>
      </c>
      <c r="S176" t="s">
        <v>47</v>
      </c>
      <c r="T176" t="s">
        <v>2722</v>
      </c>
      <c r="V176" t="s">
        <v>125</v>
      </c>
      <c r="X176" t="s">
        <v>2714</v>
      </c>
      <c r="Y176" t="s">
        <v>412</v>
      </c>
      <c r="Z176" t="s">
        <v>2623</v>
      </c>
      <c r="AA176" t="s">
        <v>618</v>
      </c>
      <c r="AB176" t="s">
        <v>41</v>
      </c>
      <c r="AD176" t="s">
        <v>620</v>
      </c>
      <c r="AF176" t="s">
        <v>2909</v>
      </c>
      <c r="AJ176">
        <v>517.59211052379976</v>
      </c>
      <c r="AK176">
        <v>15461.688615478381</v>
      </c>
    </row>
    <row r="177" spans="1:37" hidden="1" x14ac:dyDescent="0.25">
      <c r="A177">
        <v>182</v>
      </c>
      <c r="B177" t="s">
        <v>2919</v>
      </c>
      <c r="C177" t="s">
        <v>376</v>
      </c>
      <c r="D177" t="s">
        <v>2604</v>
      </c>
      <c r="E177" t="s">
        <v>37</v>
      </c>
      <c r="F177" t="s">
        <v>38</v>
      </c>
      <c r="G177" s="2">
        <v>45845</v>
      </c>
      <c r="H177">
        <v>0.1</v>
      </c>
      <c r="I177" t="s">
        <v>72</v>
      </c>
      <c r="J177" t="s">
        <v>40</v>
      </c>
      <c r="K177" t="s">
        <v>41</v>
      </c>
      <c r="L177" t="s">
        <v>2605</v>
      </c>
      <c r="M177" t="s">
        <v>2606</v>
      </c>
      <c r="O177" t="s">
        <v>96</v>
      </c>
      <c r="P177" t="s">
        <v>97</v>
      </c>
      <c r="Q177">
        <v>9.2956016470630481E-2</v>
      </c>
      <c r="R177" t="s">
        <v>60</v>
      </c>
      <c r="S177" t="s">
        <v>66</v>
      </c>
      <c r="T177" t="s">
        <v>2747</v>
      </c>
      <c r="V177" t="s">
        <v>125</v>
      </c>
      <c r="X177" t="s">
        <v>2920</v>
      </c>
      <c r="Y177" t="s">
        <v>412</v>
      </c>
      <c r="Z177" t="s">
        <v>2623</v>
      </c>
      <c r="AA177" t="s">
        <v>71</v>
      </c>
      <c r="AB177" t="s">
        <v>41</v>
      </c>
      <c r="AJ177">
        <v>84.197142329142878</v>
      </c>
      <c r="AK177">
        <v>376.18115697801431</v>
      </c>
    </row>
    <row r="178" spans="1:37" hidden="1" x14ac:dyDescent="0.25">
      <c r="A178">
        <v>183</v>
      </c>
      <c r="B178" t="s">
        <v>2921</v>
      </c>
      <c r="C178" t="s">
        <v>376</v>
      </c>
      <c r="D178" t="s">
        <v>2604</v>
      </c>
      <c r="E178" t="s">
        <v>37</v>
      </c>
      <c r="F178" t="s">
        <v>38</v>
      </c>
      <c r="G178" s="2">
        <v>45845</v>
      </c>
      <c r="H178">
        <v>0.1</v>
      </c>
      <c r="I178" t="s">
        <v>72</v>
      </c>
      <c r="J178" t="s">
        <v>40</v>
      </c>
      <c r="K178" t="s">
        <v>41</v>
      </c>
      <c r="L178" t="s">
        <v>2605</v>
      </c>
      <c r="M178" t="s">
        <v>2606</v>
      </c>
      <c r="O178" t="s">
        <v>96</v>
      </c>
      <c r="P178" t="s">
        <v>97</v>
      </c>
      <c r="Q178">
        <v>6.5245777273913702E-2</v>
      </c>
      <c r="R178" t="s">
        <v>60</v>
      </c>
      <c r="S178" t="s">
        <v>66</v>
      </c>
      <c r="T178" t="s">
        <v>2747</v>
      </c>
      <c r="V178" t="s">
        <v>125</v>
      </c>
      <c r="X178" t="s">
        <v>2920</v>
      </c>
      <c r="Y178" t="s">
        <v>412</v>
      </c>
      <c r="Z178" t="s">
        <v>2623</v>
      </c>
      <c r="AA178" t="s">
        <v>71</v>
      </c>
      <c r="AB178" t="s">
        <v>41</v>
      </c>
      <c r="AJ178">
        <v>69.820433909488656</v>
      </c>
      <c r="AK178">
        <v>264.04134895975727</v>
      </c>
    </row>
    <row r="179" spans="1:37" hidden="1" x14ac:dyDescent="0.25">
      <c r="A179">
        <v>184</v>
      </c>
      <c r="B179" t="s">
        <v>2922</v>
      </c>
      <c r="C179" t="s">
        <v>376</v>
      </c>
      <c r="D179" t="s">
        <v>2604</v>
      </c>
      <c r="E179" t="s">
        <v>37</v>
      </c>
      <c r="F179" t="s">
        <v>38</v>
      </c>
      <c r="G179" s="2">
        <v>45845</v>
      </c>
      <c r="H179">
        <v>8</v>
      </c>
      <c r="I179" t="s">
        <v>72</v>
      </c>
      <c r="J179" t="s">
        <v>40</v>
      </c>
      <c r="K179" t="s">
        <v>41</v>
      </c>
      <c r="L179" t="s">
        <v>2605</v>
      </c>
      <c r="M179" t="s">
        <v>2606</v>
      </c>
      <c r="N179" t="s">
        <v>2702</v>
      </c>
      <c r="O179" t="s">
        <v>79</v>
      </c>
      <c r="P179" t="s">
        <v>80</v>
      </c>
      <c r="Q179">
        <v>7.3362550412666732</v>
      </c>
      <c r="R179" t="s">
        <v>46</v>
      </c>
      <c r="S179" t="s">
        <v>47</v>
      </c>
      <c r="T179" t="s">
        <v>2923</v>
      </c>
      <c r="V179" t="s">
        <v>71</v>
      </c>
      <c r="X179" t="s">
        <v>2924</v>
      </c>
      <c r="Y179" t="s">
        <v>412</v>
      </c>
      <c r="Z179" t="s">
        <v>2623</v>
      </c>
      <c r="AA179" t="s">
        <v>397</v>
      </c>
      <c r="AB179" t="s">
        <v>41</v>
      </c>
      <c r="AD179" t="s">
        <v>620</v>
      </c>
      <c r="AF179" t="s">
        <v>2925</v>
      </c>
      <c r="AJ179">
        <v>689.02634045076218</v>
      </c>
      <c r="AK179">
        <v>29688.889585553999</v>
      </c>
    </row>
    <row r="180" spans="1:37" hidden="1" x14ac:dyDescent="0.25">
      <c r="A180">
        <v>185</v>
      </c>
      <c r="B180" t="s">
        <v>2926</v>
      </c>
      <c r="C180" t="s">
        <v>376</v>
      </c>
      <c r="D180" t="s">
        <v>2604</v>
      </c>
      <c r="E180" t="s">
        <v>37</v>
      </c>
      <c r="F180" t="s">
        <v>38</v>
      </c>
      <c r="G180" s="2">
        <v>45845</v>
      </c>
      <c r="H180">
        <v>8.1</v>
      </c>
      <c r="I180" t="s">
        <v>72</v>
      </c>
      <c r="J180" t="s">
        <v>40</v>
      </c>
      <c r="K180" t="s">
        <v>41</v>
      </c>
      <c r="L180" t="s">
        <v>2605</v>
      </c>
      <c r="M180" t="s">
        <v>2606</v>
      </c>
      <c r="N180" t="s">
        <v>2702</v>
      </c>
      <c r="O180" t="s">
        <v>79</v>
      </c>
      <c r="P180" t="s">
        <v>80</v>
      </c>
      <c r="Q180">
        <v>8.0573709991285067</v>
      </c>
      <c r="R180" t="s">
        <v>46</v>
      </c>
      <c r="S180" t="s">
        <v>47</v>
      </c>
      <c r="T180" t="s">
        <v>2923</v>
      </c>
      <c r="V180" t="s">
        <v>71</v>
      </c>
      <c r="X180" t="s">
        <v>2924</v>
      </c>
      <c r="Y180" t="s">
        <v>412</v>
      </c>
      <c r="Z180" t="s">
        <v>2623</v>
      </c>
      <c r="AA180" t="s">
        <v>397</v>
      </c>
      <c r="AB180" t="s">
        <v>41</v>
      </c>
      <c r="AD180" t="s">
        <v>620</v>
      </c>
      <c r="AF180" t="s">
        <v>2925</v>
      </c>
      <c r="AJ180">
        <v>776.40796638959841</v>
      </c>
      <c r="AK180">
        <v>32607.154003968291</v>
      </c>
    </row>
    <row r="181" spans="1:37" hidden="1" x14ac:dyDescent="0.25">
      <c r="A181">
        <v>186</v>
      </c>
      <c r="B181" t="s">
        <v>2927</v>
      </c>
      <c r="C181" t="s">
        <v>376</v>
      </c>
      <c r="D181" t="s">
        <v>2604</v>
      </c>
      <c r="E181" t="s">
        <v>37</v>
      </c>
      <c r="F181" t="s">
        <v>38</v>
      </c>
      <c r="G181" s="2">
        <v>45845</v>
      </c>
      <c r="H181">
        <v>5.8</v>
      </c>
      <c r="I181" t="s">
        <v>72</v>
      </c>
      <c r="J181" t="s">
        <v>40</v>
      </c>
      <c r="K181" t="s">
        <v>41</v>
      </c>
      <c r="L181" t="s">
        <v>2605</v>
      </c>
      <c r="M181" t="s">
        <v>2606</v>
      </c>
      <c r="N181" t="s">
        <v>2702</v>
      </c>
      <c r="O181" t="s">
        <v>44</v>
      </c>
      <c r="P181" t="s">
        <v>45</v>
      </c>
      <c r="Q181">
        <v>6.2856278988972756</v>
      </c>
      <c r="R181" t="s">
        <v>64</v>
      </c>
      <c r="S181" t="s">
        <v>65</v>
      </c>
      <c r="T181" t="s">
        <v>2883</v>
      </c>
      <c r="V181" t="s">
        <v>125</v>
      </c>
      <c r="X181" t="s">
        <v>2880</v>
      </c>
      <c r="Y181" t="s">
        <v>412</v>
      </c>
      <c r="Z181" t="s">
        <v>2623</v>
      </c>
      <c r="AA181" t="s">
        <v>397</v>
      </c>
      <c r="AB181" t="s">
        <v>41</v>
      </c>
      <c r="AD181" t="s">
        <v>2870</v>
      </c>
      <c r="AF181" t="s">
        <v>2928</v>
      </c>
      <c r="AJ181">
        <v>836.70490484344134</v>
      </c>
      <c r="AK181">
        <v>25437.135379908828</v>
      </c>
    </row>
    <row r="182" spans="1:37" hidden="1" x14ac:dyDescent="0.25">
      <c r="A182">
        <v>187</v>
      </c>
      <c r="B182" t="s">
        <v>2929</v>
      </c>
      <c r="C182" t="s">
        <v>376</v>
      </c>
      <c r="D182" t="s">
        <v>2604</v>
      </c>
      <c r="E182" t="s">
        <v>37</v>
      </c>
      <c r="F182" t="s">
        <v>38</v>
      </c>
      <c r="G182" s="2">
        <v>45846</v>
      </c>
      <c r="H182">
        <v>12.6</v>
      </c>
      <c r="I182" t="s">
        <v>72</v>
      </c>
      <c r="J182" t="s">
        <v>40</v>
      </c>
      <c r="K182" t="s">
        <v>41</v>
      </c>
      <c r="L182" t="s">
        <v>2605</v>
      </c>
      <c r="M182" t="s">
        <v>2606</v>
      </c>
      <c r="N182" t="s">
        <v>2712</v>
      </c>
      <c r="O182" t="s">
        <v>113</v>
      </c>
      <c r="P182" t="s">
        <v>114</v>
      </c>
      <c r="Q182">
        <v>11.995172592437051</v>
      </c>
      <c r="R182" t="s">
        <v>46</v>
      </c>
      <c r="S182" t="s">
        <v>47</v>
      </c>
      <c r="T182" t="s">
        <v>2722</v>
      </c>
      <c r="V182" t="s">
        <v>71</v>
      </c>
      <c r="X182" t="s">
        <v>2714</v>
      </c>
      <c r="Y182" t="s">
        <v>412</v>
      </c>
      <c r="Z182" t="s">
        <v>2623</v>
      </c>
      <c r="AA182" t="s">
        <v>397</v>
      </c>
      <c r="AB182" t="s">
        <v>41</v>
      </c>
      <c r="AD182" t="s">
        <v>620</v>
      </c>
      <c r="AF182" t="s">
        <v>1264</v>
      </c>
      <c r="AJ182">
        <v>1355.1368361745081</v>
      </c>
      <c r="AK182">
        <v>48542.935415047803</v>
      </c>
    </row>
    <row r="183" spans="1:37" hidden="1" x14ac:dyDescent="0.25">
      <c r="A183">
        <v>188</v>
      </c>
      <c r="B183" t="s">
        <v>2930</v>
      </c>
      <c r="C183" t="s">
        <v>376</v>
      </c>
      <c r="D183" t="s">
        <v>2604</v>
      </c>
      <c r="E183" t="s">
        <v>37</v>
      </c>
      <c r="F183" t="s">
        <v>38</v>
      </c>
      <c r="G183" s="2">
        <v>45846</v>
      </c>
      <c r="H183">
        <v>19.8</v>
      </c>
      <c r="I183" t="s">
        <v>72</v>
      </c>
      <c r="J183" t="s">
        <v>40</v>
      </c>
      <c r="K183" t="s">
        <v>41</v>
      </c>
      <c r="L183" t="s">
        <v>2605</v>
      </c>
      <c r="M183" t="s">
        <v>2606</v>
      </c>
      <c r="N183" t="s">
        <v>2712</v>
      </c>
      <c r="O183" t="s">
        <v>79</v>
      </c>
      <c r="P183" t="s">
        <v>80</v>
      </c>
      <c r="Q183">
        <v>20.16120587910596</v>
      </c>
      <c r="R183" t="s">
        <v>46</v>
      </c>
      <c r="S183" t="s">
        <v>47</v>
      </c>
      <c r="T183" t="s">
        <v>2722</v>
      </c>
      <c r="V183" t="s">
        <v>71</v>
      </c>
      <c r="X183" t="s">
        <v>2714</v>
      </c>
      <c r="Y183" t="s">
        <v>412</v>
      </c>
      <c r="Z183" t="s">
        <v>2623</v>
      </c>
      <c r="AA183" t="s">
        <v>397</v>
      </c>
      <c r="AB183" t="s">
        <v>41</v>
      </c>
      <c r="AD183" t="s">
        <v>620</v>
      </c>
      <c r="AF183" t="s">
        <v>2925</v>
      </c>
      <c r="AJ183">
        <v>1210.014783497804</v>
      </c>
      <c r="AK183">
        <v>81589.831854189644</v>
      </c>
    </row>
    <row r="184" spans="1:37" hidden="1" x14ac:dyDescent="0.25">
      <c r="A184">
        <v>189</v>
      </c>
      <c r="B184" t="s">
        <v>2931</v>
      </c>
      <c r="C184" t="s">
        <v>376</v>
      </c>
      <c r="D184" t="s">
        <v>2604</v>
      </c>
      <c r="E184" t="s">
        <v>37</v>
      </c>
      <c r="F184" t="s">
        <v>38</v>
      </c>
      <c r="G184" s="2">
        <v>45846</v>
      </c>
      <c r="H184">
        <v>9</v>
      </c>
      <c r="I184" t="s">
        <v>72</v>
      </c>
      <c r="J184" t="s">
        <v>40</v>
      </c>
      <c r="K184" t="s">
        <v>41</v>
      </c>
      <c r="L184" t="s">
        <v>2605</v>
      </c>
      <c r="M184" t="s">
        <v>2606</v>
      </c>
      <c r="N184" t="s">
        <v>2712</v>
      </c>
      <c r="O184" t="s">
        <v>79</v>
      </c>
      <c r="P184" t="s">
        <v>80</v>
      </c>
      <c r="Q184">
        <v>7.6993180763463203</v>
      </c>
      <c r="R184" t="s">
        <v>46</v>
      </c>
      <c r="S184" t="s">
        <v>47</v>
      </c>
      <c r="T184" t="s">
        <v>2722</v>
      </c>
      <c r="V184" t="s">
        <v>71</v>
      </c>
      <c r="X184" t="s">
        <v>2714</v>
      </c>
      <c r="Y184" t="s">
        <v>412</v>
      </c>
      <c r="Z184" t="s">
        <v>2623</v>
      </c>
      <c r="AA184" t="s">
        <v>397</v>
      </c>
      <c r="AB184" t="s">
        <v>41</v>
      </c>
      <c r="AD184" t="s">
        <v>620</v>
      </c>
      <c r="AF184" t="s">
        <v>2925</v>
      </c>
      <c r="AJ184">
        <v>776.11993711811999</v>
      </c>
      <c r="AK184">
        <v>31158.159437875642</v>
      </c>
    </row>
    <row r="185" spans="1:37" hidden="1" x14ac:dyDescent="0.25">
      <c r="A185">
        <v>190</v>
      </c>
      <c r="B185" t="s">
        <v>2932</v>
      </c>
      <c r="C185" t="s">
        <v>376</v>
      </c>
      <c r="D185" t="s">
        <v>2604</v>
      </c>
      <c r="E185" t="s">
        <v>37</v>
      </c>
      <c r="F185" t="s">
        <v>38</v>
      </c>
      <c r="G185" s="2">
        <v>45845</v>
      </c>
      <c r="H185">
        <v>18.3</v>
      </c>
      <c r="I185" t="s">
        <v>72</v>
      </c>
      <c r="J185" t="s">
        <v>40</v>
      </c>
      <c r="K185" t="s">
        <v>41</v>
      </c>
      <c r="L185" t="s">
        <v>2605</v>
      </c>
      <c r="M185" t="s">
        <v>2606</v>
      </c>
      <c r="N185" t="s">
        <v>2702</v>
      </c>
      <c r="O185" t="s">
        <v>79</v>
      </c>
      <c r="P185" t="s">
        <v>80</v>
      </c>
      <c r="Q185">
        <v>18.39349621180375</v>
      </c>
      <c r="R185" t="s">
        <v>46</v>
      </c>
      <c r="S185" t="s">
        <v>47</v>
      </c>
      <c r="T185" t="s">
        <v>2883</v>
      </c>
      <c r="V185" t="s">
        <v>71</v>
      </c>
      <c r="X185" t="s">
        <v>2880</v>
      </c>
      <c r="Y185" t="s">
        <v>412</v>
      </c>
      <c r="Z185" t="s">
        <v>2623</v>
      </c>
      <c r="AA185" t="s">
        <v>397</v>
      </c>
      <c r="AB185" t="s">
        <v>41</v>
      </c>
      <c r="AD185" t="s">
        <v>620</v>
      </c>
      <c r="AF185" t="s">
        <v>2928</v>
      </c>
      <c r="AJ185">
        <v>1124.1273750646239</v>
      </c>
      <c r="AK185">
        <v>74436.136019374419</v>
      </c>
    </row>
    <row r="186" spans="1:37" x14ac:dyDescent="0.25">
      <c r="A186">
        <v>206</v>
      </c>
      <c r="B186" t="s">
        <v>2952</v>
      </c>
      <c r="C186" t="s">
        <v>376</v>
      </c>
      <c r="D186" t="s">
        <v>2604</v>
      </c>
      <c r="E186" t="s">
        <v>37</v>
      </c>
      <c r="F186" t="s">
        <v>38</v>
      </c>
      <c r="G186" s="2">
        <v>45846</v>
      </c>
      <c r="H186">
        <v>0.6</v>
      </c>
      <c r="I186" t="s">
        <v>72</v>
      </c>
      <c r="J186" t="s">
        <v>40</v>
      </c>
      <c r="K186" t="s">
        <v>41</v>
      </c>
      <c r="L186" t="s">
        <v>2605</v>
      </c>
      <c r="M186" t="s">
        <v>2606</v>
      </c>
      <c r="N186" t="s">
        <v>2712</v>
      </c>
      <c r="O186" t="s">
        <v>62</v>
      </c>
      <c r="P186" t="s">
        <v>63</v>
      </c>
      <c r="Q186">
        <v>0.53821037336128419</v>
      </c>
      <c r="R186" t="s">
        <v>64</v>
      </c>
      <c r="S186" t="s">
        <v>65</v>
      </c>
      <c r="T186" t="s">
        <v>2846</v>
      </c>
      <c r="V186" t="s">
        <v>71</v>
      </c>
      <c r="X186" t="s">
        <v>2714</v>
      </c>
      <c r="Y186" t="s">
        <v>412</v>
      </c>
      <c r="Z186" t="s">
        <v>2623</v>
      </c>
      <c r="AA186" t="s">
        <v>896</v>
      </c>
      <c r="AB186" t="s">
        <v>41</v>
      </c>
      <c r="AD186" t="s">
        <v>620</v>
      </c>
      <c r="AF186" t="s">
        <v>2667</v>
      </c>
      <c r="AJ186">
        <v>250.5494858109451</v>
      </c>
      <c r="AK186">
        <v>2178.068818305976</v>
      </c>
    </row>
    <row r="187" spans="1:37" x14ac:dyDescent="0.25">
      <c r="A187">
        <v>207</v>
      </c>
      <c r="B187" t="s">
        <v>2953</v>
      </c>
      <c r="C187" t="s">
        <v>376</v>
      </c>
      <c r="D187" t="s">
        <v>2604</v>
      </c>
      <c r="E187" t="s">
        <v>37</v>
      </c>
      <c r="F187" t="s">
        <v>38</v>
      </c>
      <c r="G187" s="2">
        <v>45847</v>
      </c>
      <c r="I187" t="s">
        <v>72</v>
      </c>
      <c r="J187" t="s">
        <v>40</v>
      </c>
      <c r="K187" t="s">
        <v>41</v>
      </c>
      <c r="L187" t="s">
        <v>2605</v>
      </c>
      <c r="M187" t="s">
        <v>2606</v>
      </c>
      <c r="O187" t="s">
        <v>62</v>
      </c>
      <c r="P187" t="s">
        <v>63</v>
      </c>
      <c r="Q187">
        <v>0.98645690781222473</v>
      </c>
      <c r="R187" t="s">
        <v>64</v>
      </c>
      <c r="S187" t="s">
        <v>65</v>
      </c>
      <c r="T187" t="s">
        <v>495</v>
      </c>
      <c r="V187" t="s">
        <v>563</v>
      </c>
      <c r="X187" t="s">
        <v>495</v>
      </c>
      <c r="Y187" t="s">
        <v>412</v>
      </c>
      <c r="Z187" t="s">
        <v>2623</v>
      </c>
      <c r="AA187" t="s">
        <v>180</v>
      </c>
      <c r="AB187" t="s">
        <v>41</v>
      </c>
      <c r="AD187" t="s">
        <v>620</v>
      </c>
      <c r="AJ187">
        <v>257.6039862966208</v>
      </c>
      <c r="AK187">
        <v>3992.0654410465422</v>
      </c>
    </row>
    <row r="188" spans="1:37" hidden="1" x14ac:dyDescent="0.25">
      <c r="A188">
        <v>193</v>
      </c>
      <c r="B188" t="s">
        <v>2935</v>
      </c>
      <c r="C188" t="s">
        <v>376</v>
      </c>
      <c r="D188" t="s">
        <v>2604</v>
      </c>
      <c r="E188" t="s">
        <v>37</v>
      </c>
      <c r="F188" t="s">
        <v>38</v>
      </c>
      <c r="G188" s="2">
        <v>45846</v>
      </c>
      <c r="H188">
        <v>4.8</v>
      </c>
      <c r="I188" t="s">
        <v>72</v>
      </c>
      <c r="J188" t="s">
        <v>40</v>
      </c>
      <c r="K188" t="s">
        <v>41</v>
      </c>
      <c r="L188" t="s">
        <v>2605</v>
      </c>
      <c r="M188" t="s">
        <v>2606</v>
      </c>
      <c r="N188" t="s">
        <v>2712</v>
      </c>
      <c r="O188" t="s">
        <v>113</v>
      </c>
      <c r="P188" t="s">
        <v>114</v>
      </c>
      <c r="Q188">
        <v>4.6513462611528267</v>
      </c>
      <c r="R188" t="s">
        <v>46</v>
      </c>
      <c r="S188" t="s">
        <v>47</v>
      </c>
      <c r="T188" t="s">
        <v>2722</v>
      </c>
      <c r="V188" t="s">
        <v>71</v>
      </c>
      <c r="X188" t="s">
        <v>2714</v>
      </c>
      <c r="Y188" t="s">
        <v>412</v>
      </c>
      <c r="Z188" t="s">
        <v>2623</v>
      </c>
      <c r="AA188" t="s">
        <v>896</v>
      </c>
      <c r="AB188" t="s">
        <v>41</v>
      </c>
      <c r="AD188" t="s">
        <v>620</v>
      </c>
      <c r="AF188" t="s">
        <v>1264</v>
      </c>
      <c r="AJ188">
        <v>728.2973519873043</v>
      </c>
      <c r="AK188">
        <v>18823.405783300379</v>
      </c>
    </row>
    <row r="189" spans="1:37" hidden="1" x14ac:dyDescent="0.25">
      <c r="A189">
        <v>194</v>
      </c>
      <c r="B189" t="s">
        <v>2936</v>
      </c>
      <c r="C189" t="s">
        <v>376</v>
      </c>
      <c r="D189" t="s">
        <v>2604</v>
      </c>
      <c r="E189" t="s">
        <v>37</v>
      </c>
      <c r="F189" t="s">
        <v>38</v>
      </c>
      <c r="G189" s="2">
        <v>45846</v>
      </c>
      <c r="H189">
        <v>5.6</v>
      </c>
      <c r="I189" t="s">
        <v>72</v>
      </c>
      <c r="J189" t="s">
        <v>40</v>
      </c>
      <c r="K189" t="s">
        <v>41</v>
      </c>
      <c r="L189" t="s">
        <v>2605</v>
      </c>
      <c r="M189" t="s">
        <v>2606</v>
      </c>
      <c r="N189" t="s">
        <v>2712</v>
      </c>
      <c r="O189" t="s">
        <v>113</v>
      </c>
      <c r="P189" t="s">
        <v>114</v>
      </c>
      <c r="Q189">
        <v>5.5369656359385164</v>
      </c>
      <c r="R189" t="s">
        <v>46</v>
      </c>
      <c r="S189" t="s">
        <v>47</v>
      </c>
      <c r="T189" t="s">
        <v>2722</v>
      </c>
      <c r="V189" t="s">
        <v>71</v>
      </c>
      <c r="X189" t="s">
        <v>2714</v>
      </c>
      <c r="Y189" t="s">
        <v>412</v>
      </c>
      <c r="Z189" t="s">
        <v>2623</v>
      </c>
      <c r="AA189" t="s">
        <v>397</v>
      </c>
      <c r="AB189" t="s">
        <v>41</v>
      </c>
      <c r="AD189" t="s">
        <v>620</v>
      </c>
      <c r="AF189" t="s">
        <v>1264</v>
      </c>
      <c r="AJ189">
        <v>587.99562214399691</v>
      </c>
      <c r="AK189">
        <v>22407.394573894551</v>
      </c>
    </row>
    <row r="190" spans="1:37" hidden="1" x14ac:dyDescent="0.25">
      <c r="A190">
        <v>195</v>
      </c>
      <c r="B190" t="s">
        <v>2937</v>
      </c>
      <c r="C190" t="s">
        <v>376</v>
      </c>
      <c r="D190" t="s">
        <v>2604</v>
      </c>
      <c r="E190" t="s">
        <v>37</v>
      </c>
      <c r="F190" t="s">
        <v>38</v>
      </c>
      <c r="G190" s="2">
        <v>45846</v>
      </c>
      <c r="H190">
        <v>10.1</v>
      </c>
      <c r="I190" t="s">
        <v>72</v>
      </c>
      <c r="J190" t="s">
        <v>40</v>
      </c>
      <c r="K190" t="s">
        <v>41</v>
      </c>
      <c r="L190" t="s">
        <v>2605</v>
      </c>
      <c r="M190" t="s">
        <v>2606</v>
      </c>
      <c r="N190" t="s">
        <v>2712</v>
      </c>
      <c r="O190" t="s">
        <v>113</v>
      </c>
      <c r="P190" t="s">
        <v>114</v>
      </c>
      <c r="Q190">
        <v>9.9708606905617359</v>
      </c>
      <c r="R190" t="s">
        <v>46</v>
      </c>
      <c r="S190" t="s">
        <v>47</v>
      </c>
      <c r="T190" t="s">
        <v>2722</v>
      </c>
      <c r="V190" t="s">
        <v>71</v>
      </c>
      <c r="X190" t="s">
        <v>2714</v>
      </c>
      <c r="Y190" t="s">
        <v>412</v>
      </c>
      <c r="Z190" t="s">
        <v>2623</v>
      </c>
      <c r="AA190" t="s">
        <v>397</v>
      </c>
      <c r="AB190" t="s">
        <v>41</v>
      </c>
      <c r="AD190" t="s">
        <v>620</v>
      </c>
      <c r="AF190" t="s">
        <v>1264</v>
      </c>
      <c r="AJ190">
        <v>824.04655741070769</v>
      </c>
      <c r="AK190">
        <v>40350.803025506153</v>
      </c>
    </row>
    <row r="191" spans="1:37" x14ac:dyDescent="0.25">
      <c r="A191">
        <v>208</v>
      </c>
      <c r="B191" t="s">
        <v>2954</v>
      </c>
      <c r="C191" t="s">
        <v>376</v>
      </c>
      <c r="D191" t="s">
        <v>2604</v>
      </c>
      <c r="E191" t="s">
        <v>37</v>
      </c>
      <c r="F191" t="s">
        <v>38</v>
      </c>
      <c r="G191" s="2">
        <v>45845</v>
      </c>
      <c r="H191">
        <v>1.1000000000000001</v>
      </c>
      <c r="I191" t="s">
        <v>72</v>
      </c>
      <c r="J191" t="s">
        <v>40</v>
      </c>
      <c r="K191" t="s">
        <v>41</v>
      </c>
      <c r="L191" t="s">
        <v>2605</v>
      </c>
      <c r="M191" t="s">
        <v>2606</v>
      </c>
      <c r="O191" t="s">
        <v>62</v>
      </c>
      <c r="P191" t="s">
        <v>63</v>
      </c>
      <c r="Q191">
        <v>1.158675518228153</v>
      </c>
      <c r="R191" t="s">
        <v>64</v>
      </c>
      <c r="S191" t="s">
        <v>65</v>
      </c>
      <c r="T191" t="s">
        <v>2955</v>
      </c>
      <c r="V191" t="s">
        <v>71</v>
      </c>
      <c r="X191" t="s">
        <v>2956</v>
      </c>
      <c r="Y191" t="s">
        <v>412</v>
      </c>
      <c r="Z191" t="s">
        <v>2623</v>
      </c>
      <c r="AA191" t="s">
        <v>182</v>
      </c>
      <c r="AB191" t="s">
        <v>41</v>
      </c>
      <c r="AD191" t="s">
        <v>2957</v>
      </c>
      <c r="AF191" t="s">
        <v>2958</v>
      </c>
      <c r="AJ191">
        <v>336.41102795900269</v>
      </c>
      <c r="AK191">
        <v>4689.0122184493657</v>
      </c>
    </row>
    <row r="192" spans="1:37" hidden="1" x14ac:dyDescent="0.25">
      <c r="A192">
        <v>197</v>
      </c>
      <c r="B192" t="s">
        <v>2939</v>
      </c>
      <c r="C192" t="s">
        <v>376</v>
      </c>
      <c r="D192" t="s">
        <v>2604</v>
      </c>
      <c r="E192" t="s">
        <v>37</v>
      </c>
      <c r="F192" t="s">
        <v>38</v>
      </c>
      <c r="G192" s="2">
        <v>45846</v>
      </c>
      <c r="H192">
        <v>11.1</v>
      </c>
      <c r="I192" t="s">
        <v>72</v>
      </c>
      <c r="J192" t="s">
        <v>40</v>
      </c>
      <c r="K192" t="s">
        <v>41</v>
      </c>
      <c r="L192" t="s">
        <v>2605</v>
      </c>
      <c r="M192" t="s">
        <v>2606</v>
      </c>
      <c r="N192" t="s">
        <v>2712</v>
      </c>
      <c r="O192" t="s">
        <v>113</v>
      </c>
      <c r="P192" t="s">
        <v>114</v>
      </c>
      <c r="Q192">
        <v>11.05147931940563</v>
      </c>
      <c r="R192" t="s">
        <v>46</v>
      </c>
      <c r="S192" t="s">
        <v>47</v>
      </c>
      <c r="T192" t="s">
        <v>2846</v>
      </c>
      <c r="V192" t="s">
        <v>71</v>
      </c>
      <c r="X192" t="s">
        <v>2714</v>
      </c>
      <c r="Y192" t="s">
        <v>412</v>
      </c>
      <c r="Z192" t="s">
        <v>2623</v>
      </c>
      <c r="AA192" t="s">
        <v>896</v>
      </c>
      <c r="AB192" t="s">
        <v>41</v>
      </c>
      <c r="AD192" t="s">
        <v>620</v>
      </c>
      <c r="AF192" t="s">
        <v>1264</v>
      </c>
      <c r="AJ192">
        <v>974.76526996147038</v>
      </c>
      <c r="AK192">
        <v>44723.928956294367</v>
      </c>
    </row>
    <row r="193" spans="1:37" hidden="1" x14ac:dyDescent="0.25">
      <c r="A193">
        <v>198</v>
      </c>
      <c r="B193" t="s">
        <v>2940</v>
      </c>
      <c r="C193" t="s">
        <v>376</v>
      </c>
      <c r="D193" t="s">
        <v>2604</v>
      </c>
      <c r="E193" t="s">
        <v>37</v>
      </c>
      <c r="F193" t="s">
        <v>38</v>
      </c>
      <c r="G193" s="2">
        <v>45845</v>
      </c>
      <c r="H193">
        <v>5.8</v>
      </c>
      <c r="I193" t="s">
        <v>72</v>
      </c>
      <c r="J193" t="s">
        <v>40</v>
      </c>
      <c r="K193" t="s">
        <v>41</v>
      </c>
      <c r="L193" t="s">
        <v>2605</v>
      </c>
      <c r="M193" t="s">
        <v>2606</v>
      </c>
      <c r="N193" t="s">
        <v>2702</v>
      </c>
      <c r="O193" t="s">
        <v>79</v>
      </c>
      <c r="P193" t="s">
        <v>80</v>
      </c>
      <c r="Q193">
        <v>5.8247738081655136</v>
      </c>
      <c r="R193" t="s">
        <v>46</v>
      </c>
      <c r="S193" t="s">
        <v>47</v>
      </c>
      <c r="T193" t="s">
        <v>2883</v>
      </c>
      <c r="V193" t="s">
        <v>71</v>
      </c>
      <c r="X193" t="s">
        <v>2880</v>
      </c>
      <c r="Y193" t="s">
        <v>412</v>
      </c>
      <c r="Z193" t="s">
        <v>2623</v>
      </c>
      <c r="AA193" t="s">
        <v>397</v>
      </c>
      <c r="AB193" t="s">
        <v>41</v>
      </c>
      <c r="AD193" t="s">
        <v>620</v>
      </c>
      <c r="AF193" t="s">
        <v>2928</v>
      </c>
      <c r="AJ193">
        <v>777.28084150182065</v>
      </c>
      <c r="AK193">
        <v>23572.11758297796</v>
      </c>
    </row>
    <row r="194" spans="1:37" hidden="1" x14ac:dyDescent="0.25">
      <c r="A194">
        <v>199</v>
      </c>
      <c r="B194" t="s">
        <v>2941</v>
      </c>
      <c r="C194" t="s">
        <v>376</v>
      </c>
      <c r="D194" t="s">
        <v>2604</v>
      </c>
      <c r="E194" t="s">
        <v>37</v>
      </c>
      <c r="F194" t="s">
        <v>38</v>
      </c>
      <c r="G194" s="2">
        <v>45845</v>
      </c>
      <c r="H194">
        <v>11.2</v>
      </c>
      <c r="I194" t="s">
        <v>72</v>
      </c>
      <c r="J194" t="s">
        <v>40</v>
      </c>
      <c r="K194" t="s">
        <v>41</v>
      </c>
      <c r="L194" t="s">
        <v>2605</v>
      </c>
      <c r="M194" t="s">
        <v>2606</v>
      </c>
      <c r="N194" t="s">
        <v>2702</v>
      </c>
      <c r="O194" t="s">
        <v>79</v>
      </c>
      <c r="P194" t="s">
        <v>80</v>
      </c>
      <c r="Q194">
        <v>11.843262780625571</v>
      </c>
      <c r="R194" t="s">
        <v>46</v>
      </c>
      <c r="S194" t="s">
        <v>47</v>
      </c>
      <c r="T194" t="s">
        <v>2942</v>
      </c>
      <c r="V194" t="s">
        <v>71</v>
      </c>
      <c r="X194" t="s">
        <v>2943</v>
      </c>
      <c r="Y194" t="s">
        <v>412</v>
      </c>
      <c r="Z194" t="s">
        <v>2623</v>
      </c>
      <c r="AA194" t="s">
        <v>397</v>
      </c>
      <c r="AB194" t="s">
        <v>41</v>
      </c>
      <c r="AD194" t="s">
        <v>620</v>
      </c>
      <c r="AF194" t="s">
        <v>665</v>
      </c>
      <c r="AJ194">
        <v>874.13832533159496</v>
      </c>
      <c r="AK194">
        <v>47928.175758456797</v>
      </c>
    </row>
    <row r="195" spans="1:37" hidden="1" x14ac:dyDescent="0.25">
      <c r="A195">
        <v>200</v>
      </c>
      <c r="B195" t="s">
        <v>2944</v>
      </c>
      <c r="C195" t="s">
        <v>376</v>
      </c>
      <c r="D195" t="s">
        <v>2604</v>
      </c>
      <c r="E195" t="s">
        <v>37</v>
      </c>
      <c r="F195" t="s">
        <v>38</v>
      </c>
      <c r="G195" s="2">
        <v>45845</v>
      </c>
      <c r="H195">
        <v>7.4</v>
      </c>
      <c r="I195" t="s">
        <v>72</v>
      </c>
      <c r="J195" t="s">
        <v>40</v>
      </c>
      <c r="K195" t="s">
        <v>41</v>
      </c>
      <c r="L195" t="s">
        <v>2605</v>
      </c>
      <c r="M195" t="s">
        <v>2606</v>
      </c>
      <c r="N195" t="s">
        <v>2702</v>
      </c>
      <c r="O195" t="s">
        <v>79</v>
      </c>
      <c r="P195" t="s">
        <v>80</v>
      </c>
      <c r="Q195">
        <v>8.1860269154575143</v>
      </c>
      <c r="R195" t="s">
        <v>46</v>
      </c>
      <c r="S195" t="s">
        <v>47</v>
      </c>
      <c r="T195" t="s">
        <v>2942</v>
      </c>
      <c r="V195" t="s">
        <v>71</v>
      </c>
      <c r="X195" t="s">
        <v>2943</v>
      </c>
      <c r="Y195" t="s">
        <v>412</v>
      </c>
      <c r="Z195" t="s">
        <v>2623</v>
      </c>
      <c r="AA195" t="s">
        <v>397</v>
      </c>
      <c r="AB195" t="s">
        <v>41</v>
      </c>
      <c r="AD195" t="s">
        <v>620</v>
      </c>
      <c r="AF195" t="s">
        <v>665</v>
      </c>
      <c r="AJ195">
        <v>728.99376146346299</v>
      </c>
      <c r="AK195">
        <v>33127.808107858422</v>
      </c>
    </row>
    <row r="196" spans="1:37" hidden="1" x14ac:dyDescent="0.25">
      <c r="A196">
        <v>201</v>
      </c>
      <c r="B196" t="s">
        <v>2945</v>
      </c>
      <c r="C196" t="s">
        <v>376</v>
      </c>
      <c r="D196" t="s">
        <v>2604</v>
      </c>
      <c r="E196" t="s">
        <v>37</v>
      </c>
      <c r="F196" t="s">
        <v>38</v>
      </c>
      <c r="G196" s="2">
        <v>45845</v>
      </c>
      <c r="H196">
        <v>9.6999999999999993</v>
      </c>
      <c r="I196" t="s">
        <v>72</v>
      </c>
      <c r="J196" t="s">
        <v>40</v>
      </c>
      <c r="K196" t="s">
        <v>41</v>
      </c>
      <c r="L196" t="s">
        <v>2605</v>
      </c>
      <c r="M196" t="s">
        <v>2606</v>
      </c>
      <c r="N196" t="s">
        <v>2702</v>
      </c>
      <c r="O196" t="s">
        <v>79</v>
      </c>
      <c r="P196" t="s">
        <v>80</v>
      </c>
      <c r="Q196">
        <v>10.723113237688301</v>
      </c>
      <c r="R196" t="s">
        <v>46</v>
      </c>
      <c r="S196" t="s">
        <v>47</v>
      </c>
      <c r="T196" t="s">
        <v>2942</v>
      </c>
      <c r="V196" t="s">
        <v>71</v>
      </c>
      <c r="X196" t="s">
        <v>2943</v>
      </c>
      <c r="Y196" t="s">
        <v>412</v>
      </c>
      <c r="Z196" t="s">
        <v>2623</v>
      </c>
      <c r="AA196" t="s">
        <v>397</v>
      </c>
      <c r="AB196" t="s">
        <v>41</v>
      </c>
      <c r="AD196" t="s">
        <v>620</v>
      </c>
      <c r="AF196" t="s">
        <v>665</v>
      </c>
      <c r="AJ196">
        <v>839.50312107282411</v>
      </c>
      <c r="AK196">
        <v>43395.073254180803</v>
      </c>
    </row>
    <row r="197" spans="1:37" x14ac:dyDescent="0.25">
      <c r="A197">
        <v>209</v>
      </c>
      <c r="B197" t="s">
        <v>2959</v>
      </c>
      <c r="C197" t="s">
        <v>376</v>
      </c>
      <c r="D197" t="s">
        <v>2604</v>
      </c>
      <c r="E197" t="s">
        <v>37</v>
      </c>
      <c r="F197" t="s">
        <v>38</v>
      </c>
      <c r="G197" s="2">
        <v>45845</v>
      </c>
      <c r="H197">
        <v>1</v>
      </c>
      <c r="I197" t="s">
        <v>72</v>
      </c>
      <c r="J197" t="s">
        <v>40</v>
      </c>
      <c r="K197" t="s">
        <v>41</v>
      </c>
      <c r="L197" t="s">
        <v>2605</v>
      </c>
      <c r="M197" t="s">
        <v>2606</v>
      </c>
      <c r="O197" t="s">
        <v>62</v>
      </c>
      <c r="P197" t="s">
        <v>63</v>
      </c>
      <c r="Q197">
        <v>1.0271525200403151</v>
      </c>
      <c r="R197" t="s">
        <v>64</v>
      </c>
      <c r="S197" t="s">
        <v>65</v>
      </c>
      <c r="T197" t="s">
        <v>2960</v>
      </c>
      <c r="V197" t="s">
        <v>71</v>
      </c>
      <c r="X197" t="s">
        <v>2948</v>
      </c>
      <c r="Y197" t="s">
        <v>412</v>
      </c>
      <c r="Z197" t="s">
        <v>2623</v>
      </c>
      <c r="AA197" t="s">
        <v>397</v>
      </c>
      <c r="AB197" t="s">
        <v>41</v>
      </c>
      <c r="AD197" t="s">
        <v>232</v>
      </c>
      <c r="AF197" t="s">
        <v>665</v>
      </c>
      <c r="AJ197">
        <v>270.25290323024223</v>
      </c>
      <c r="AK197">
        <v>4156.7553995144644</v>
      </c>
    </row>
    <row r="198" spans="1:37" hidden="1" x14ac:dyDescent="0.25">
      <c r="A198">
        <v>203</v>
      </c>
      <c r="B198" t="s">
        <v>2949</v>
      </c>
      <c r="C198" t="s">
        <v>376</v>
      </c>
      <c r="D198" t="s">
        <v>2604</v>
      </c>
      <c r="E198" t="s">
        <v>37</v>
      </c>
      <c r="F198" t="s">
        <v>38</v>
      </c>
      <c r="G198" s="2">
        <v>45846</v>
      </c>
      <c r="H198">
        <v>17.8</v>
      </c>
      <c r="I198" t="s">
        <v>72</v>
      </c>
      <c r="J198" t="s">
        <v>40</v>
      </c>
      <c r="K198" t="s">
        <v>41</v>
      </c>
      <c r="L198" t="s">
        <v>2605</v>
      </c>
      <c r="M198" t="s">
        <v>2606</v>
      </c>
      <c r="N198" t="s">
        <v>2712</v>
      </c>
      <c r="O198" t="s">
        <v>79</v>
      </c>
      <c r="P198" t="s">
        <v>80</v>
      </c>
      <c r="Q198">
        <v>17.85329550529233</v>
      </c>
      <c r="R198" t="s">
        <v>46</v>
      </c>
      <c r="S198" t="s">
        <v>47</v>
      </c>
      <c r="T198" t="s">
        <v>2846</v>
      </c>
      <c r="V198" t="s">
        <v>71</v>
      </c>
      <c r="X198" t="s">
        <v>2714</v>
      </c>
      <c r="Y198" t="s">
        <v>412</v>
      </c>
      <c r="Z198" t="s">
        <v>2623</v>
      </c>
      <c r="AA198" t="s">
        <v>397</v>
      </c>
      <c r="AB198" t="s">
        <v>41</v>
      </c>
      <c r="AD198" t="s">
        <v>620</v>
      </c>
      <c r="AF198" t="s">
        <v>2667</v>
      </c>
      <c r="AJ198">
        <v>1812.278208487546</v>
      </c>
      <c r="AK198">
        <v>72250.012576358626</v>
      </c>
    </row>
    <row r="199" spans="1:37" hidden="1" x14ac:dyDescent="0.25">
      <c r="A199">
        <v>204</v>
      </c>
      <c r="B199" t="s">
        <v>2950</v>
      </c>
      <c r="C199" t="s">
        <v>376</v>
      </c>
      <c r="D199" t="s">
        <v>2604</v>
      </c>
      <c r="E199" t="s">
        <v>37</v>
      </c>
      <c r="F199" t="s">
        <v>38</v>
      </c>
      <c r="G199" s="2">
        <v>45846</v>
      </c>
      <c r="H199">
        <v>1</v>
      </c>
      <c r="I199" t="s">
        <v>72</v>
      </c>
      <c r="J199" t="s">
        <v>40</v>
      </c>
      <c r="K199" t="s">
        <v>41</v>
      </c>
      <c r="L199" t="s">
        <v>2605</v>
      </c>
      <c r="M199" t="s">
        <v>2606</v>
      </c>
      <c r="N199" t="s">
        <v>2712</v>
      </c>
      <c r="O199" t="s">
        <v>79</v>
      </c>
      <c r="P199" t="s">
        <v>80</v>
      </c>
      <c r="Q199">
        <v>0.95123823973294208</v>
      </c>
      <c r="R199" t="s">
        <v>46</v>
      </c>
      <c r="S199" t="s">
        <v>47</v>
      </c>
      <c r="T199" t="s">
        <v>2846</v>
      </c>
      <c r="V199" t="s">
        <v>71</v>
      </c>
      <c r="X199" t="s">
        <v>2714</v>
      </c>
      <c r="Y199" t="s">
        <v>412</v>
      </c>
      <c r="Z199" t="s">
        <v>2623</v>
      </c>
      <c r="AA199" t="s">
        <v>896</v>
      </c>
      <c r="AB199" t="s">
        <v>41</v>
      </c>
      <c r="AD199" t="s">
        <v>620</v>
      </c>
      <c r="AF199" t="s">
        <v>2667</v>
      </c>
      <c r="AJ199">
        <v>316.04028434645232</v>
      </c>
      <c r="AK199">
        <v>3849.5399778402411</v>
      </c>
    </row>
    <row r="200" spans="1:37" x14ac:dyDescent="0.25">
      <c r="A200">
        <v>211</v>
      </c>
      <c r="B200" t="s">
        <v>2962</v>
      </c>
      <c r="C200" t="s">
        <v>376</v>
      </c>
      <c r="D200" t="s">
        <v>2604</v>
      </c>
      <c r="E200" t="s">
        <v>37</v>
      </c>
      <c r="F200" t="s">
        <v>38</v>
      </c>
      <c r="G200" s="2">
        <v>45845</v>
      </c>
      <c r="H200">
        <v>0.1</v>
      </c>
      <c r="I200" t="s">
        <v>72</v>
      </c>
      <c r="J200" t="s">
        <v>40</v>
      </c>
      <c r="K200" t="s">
        <v>41</v>
      </c>
      <c r="L200" t="s">
        <v>2605</v>
      </c>
      <c r="M200" t="s">
        <v>2606</v>
      </c>
      <c r="O200" t="s">
        <v>62</v>
      </c>
      <c r="P200" t="s">
        <v>63</v>
      </c>
      <c r="Q200">
        <v>0.1329133123510437</v>
      </c>
      <c r="R200" t="s">
        <v>64</v>
      </c>
      <c r="S200" t="s">
        <v>65</v>
      </c>
      <c r="T200" t="s">
        <v>2960</v>
      </c>
      <c r="V200" t="s">
        <v>71</v>
      </c>
      <c r="X200" t="s">
        <v>2956</v>
      </c>
      <c r="Y200" t="s">
        <v>412</v>
      </c>
      <c r="Z200" t="s">
        <v>2623</v>
      </c>
      <c r="AA200" t="s">
        <v>182</v>
      </c>
      <c r="AB200" t="s">
        <v>41</v>
      </c>
      <c r="AD200" t="s">
        <v>2957</v>
      </c>
      <c r="AF200" t="s">
        <v>2958</v>
      </c>
      <c r="AJ200">
        <v>117.7810152216671</v>
      </c>
      <c r="AK200">
        <v>537.88324324109976</v>
      </c>
    </row>
    <row r="201" spans="1:37" x14ac:dyDescent="0.25">
      <c r="A201">
        <v>213</v>
      </c>
      <c r="B201" t="s">
        <v>2964</v>
      </c>
      <c r="C201" t="s">
        <v>376</v>
      </c>
      <c r="D201" t="s">
        <v>2604</v>
      </c>
      <c r="E201" t="s">
        <v>37</v>
      </c>
      <c r="F201" t="s">
        <v>38</v>
      </c>
      <c r="G201" s="2">
        <v>45845</v>
      </c>
      <c r="H201">
        <v>1</v>
      </c>
      <c r="I201" t="s">
        <v>72</v>
      </c>
      <c r="J201" t="s">
        <v>40</v>
      </c>
      <c r="K201" t="s">
        <v>41</v>
      </c>
      <c r="L201" t="s">
        <v>2605</v>
      </c>
      <c r="M201" t="s">
        <v>2606</v>
      </c>
      <c r="O201" t="s">
        <v>62</v>
      </c>
      <c r="P201" t="s">
        <v>63</v>
      </c>
      <c r="Q201">
        <v>1.1125937447537759</v>
      </c>
      <c r="R201" t="s">
        <v>64</v>
      </c>
      <c r="S201" t="s">
        <v>65</v>
      </c>
      <c r="T201" t="s">
        <v>2960</v>
      </c>
      <c r="V201" t="s">
        <v>71</v>
      </c>
      <c r="X201" t="s">
        <v>2948</v>
      </c>
      <c r="Y201" t="s">
        <v>412</v>
      </c>
      <c r="Z201" t="s">
        <v>2623</v>
      </c>
      <c r="AA201" t="s">
        <v>397</v>
      </c>
      <c r="AB201" t="s">
        <v>41</v>
      </c>
      <c r="AD201" t="s">
        <v>232</v>
      </c>
      <c r="AF201" t="s">
        <v>665</v>
      </c>
      <c r="AJ201">
        <v>301.96284939623621</v>
      </c>
      <c r="AK201">
        <v>4502.5251515614809</v>
      </c>
    </row>
    <row r="202" spans="1:37" x14ac:dyDescent="0.25">
      <c r="A202">
        <v>216</v>
      </c>
      <c r="B202" t="s">
        <v>2967</v>
      </c>
      <c r="C202" t="s">
        <v>376</v>
      </c>
      <c r="D202" t="s">
        <v>2604</v>
      </c>
      <c r="E202" t="s">
        <v>37</v>
      </c>
      <c r="F202" t="s">
        <v>38</v>
      </c>
      <c r="G202" s="2">
        <v>45845</v>
      </c>
      <c r="H202">
        <v>0.2</v>
      </c>
      <c r="I202" t="s">
        <v>72</v>
      </c>
      <c r="J202" t="s">
        <v>40</v>
      </c>
      <c r="K202" t="s">
        <v>41</v>
      </c>
      <c r="L202" t="s">
        <v>2605</v>
      </c>
      <c r="M202" t="s">
        <v>2606</v>
      </c>
      <c r="O202" t="s">
        <v>62</v>
      </c>
      <c r="P202" t="s">
        <v>63</v>
      </c>
      <c r="Q202">
        <v>0.15247432117014481</v>
      </c>
      <c r="R202" t="s">
        <v>64</v>
      </c>
      <c r="S202" t="s">
        <v>65</v>
      </c>
      <c r="T202" t="s">
        <v>2960</v>
      </c>
      <c r="V202" t="s">
        <v>71</v>
      </c>
      <c r="X202" t="s">
        <v>2948</v>
      </c>
      <c r="Y202" t="s">
        <v>412</v>
      </c>
      <c r="Z202" t="s">
        <v>2623</v>
      </c>
      <c r="AA202" t="s">
        <v>397</v>
      </c>
      <c r="AB202" t="s">
        <v>41</v>
      </c>
      <c r="AD202" t="s">
        <v>232</v>
      </c>
      <c r="AF202" t="s">
        <v>665</v>
      </c>
      <c r="AJ202">
        <v>107.5052506843946</v>
      </c>
      <c r="AK202">
        <v>617.04415405262887</v>
      </c>
    </row>
    <row r="203" spans="1:37" x14ac:dyDescent="0.25">
      <c r="A203">
        <v>217</v>
      </c>
      <c r="B203" t="s">
        <v>2968</v>
      </c>
      <c r="C203" t="s">
        <v>376</v>
      </c>
      <c r="D203" t="s">
        <v>2604</v>
      </c>
      <c r="E203" t="s">
        <v>37</v>
      </c>
      <c r="F203" t="s">
        <v>38</v>
      </c>
      <c r="G203" s="2">
        <v>45845</v>
      </c>
      <c r="H203">
        <v>0.1</v>
      </c>
      <c r="I203" t="s">
        <v>72</v>
      </c>
      <c r="J203" t="s">
        <v>40</v>
      </c>
      <c r="K203" t="s">
        <v>41</v>
      </c>
      <c r="L203" t="s">
        <v>2605</v>
      </c>
      <c r="M203" t="s">
        <v>2606</v>
      </c>
      <c r="O203" t="s">
        <v>62</v>
      </c>
      <c r="P203" t="s">
        <v>63</v>
      </c>
      <c r="Q203">
        <v>0.1647039047337204</v>
      </c>
      <c r="R203" t="s">
        <v>64</v>
      </c>
      <c r="S203" t="s">
        <v>65</v>
      </c>
      <c r="T203" t="s">
        <v>2960</v>
      </c>
      <c r="V203" t="s">
        <v>71</v>
      </c>
      <c r="X203" t="s">
        <v>2948</v>
      </c>
      <c r="Y203" t="s">
        <v>412</v>
      </c>
      <c r="Z203" t="s">
        <v>2623</v>
      </c>
      <c r="AA203" t="s">
        <v>397</v>
      </c>
      <c r="AB203" t="s">
        <v>41</v>
      </c>
      <c r="AD203" t="s">
        <v>232</v>
      </c>
      <c r="AF203" t="s">
        <v>665</v>
      </c>
      <c r="AJ203">
        <v>103.03568087438219</v>
      </c>
      <c r="AK203">
        <v>666.53572080623132</v>
      </c>
    </row>
    <row r="204" spans="1:37" x14ac:dyDescent="0.25">
      <c r="A204">
        <v>218</v>
      </c>
      <c r="B204" t="s">
        <v>2969</v>
      </c>
      <c r="C204" t="s">
        <v>376</v>
      </c>
      <c r="D204" t="s">
        <v>2604</v>
      </c>
      <c r="E204" t="s">
        <v>37</v>
      </c>
      <c r="F204" t="s">
        <v>38</v>
      </c>
      <c r="G204" s="2">
        <v>45845</v>
      </c>
      <c r="H204">
        <v>0.2</v>
      </c>
      <c r="I204" t="s">
        <v>72</v>
      </c>
      <c r="J204" t="s">
        <v>40</v>
      </c>
      <c r="K204" t="s">
        <v>41</v>
      </c>
      <c r="L204" t="s">
        <v>2605</v>
      </c>
      <c r="M204" t="s">
        <v>2606</v>
      </c>
      <c r="O204" t="s">
        <v>62</v>
      </c>
      <c r="P204" t="s">
        <v>63</v>
      </c>
      <c r="Q204">
        <v>0.16098509875520639</v>
      </c>
      <c r="R204" t="s">
        <v>64</v>
      </c>
      <c r="S204" t="s">
        <v>65</v>
      </c>
      <c r="T204" t="s">
        <v>2960</v>
      </c>
      <c r="V204" t="s">
        <v>71</v>
      </c>
      <c r="X204" t="s">
        <v>2948</v>
      </c>
      <c r="Y204" t="s">
        <v>412</v>
      </c>
      <c r="Z204" t="s">
        <v>2623</v>
      </c>
      <c r="AA204" t="s">
        <v>397</v>
      </c>
      <c r="AB204" t="s">
        <v>41</v>
      </c>
      <c r="AD204" t="s">
        <v>232</v>
      </c>
      <c r="AF204" t="s">
        <v>665</v>
      </c>
      <c r="AJ204">
        <v>101.4336995741543</v>
      </c>
      <c r="AK204">
        <v>651.48618675034641</v>
      </c>
    </row>
    <row r="205" spans="1:37" hidden="1" x14ac:dyDescent="0.25">
      <c r="A205">
        <v>210</v>
      </c>
      <c r="B205" t="s">
        <v>2961</v>
      </c>
      <c r="C205" t="s">
        <v>376</v>
      </c>
      <c r="D205" t="s">
        <v>2604</v>
      </c>
      <c r="E205" t="s">
        <v>37</v>
      </c>
      <c r="F205" t="s">
        <v>38</v>
      </c>
      <c r="G205" s="2">
        <v>45846</v>
      </c>
      <c r="H205">
        <v>7.8</v>
      </c>
      <c r="I205" t="s">
        <v>72</v>
      </c>
      <c r="J205" t="s">
        <v>40</v>
      </c>
      <c r="K205" t="s">
        <v>41</v>
      </c>
      <c r="L205" t="s">
        <v>2605</v>
      </c>
      <c r="M205" t="s">
        <v>2606</v>
      </c>
      <c r="N205" t="s">
        <v>2712</v>
      </c>
      <c r="O205" t="s">
        <v>79</v>
      </c>
      <c r="P205" t="s">
        <v>80</v>
      </c>
      <c r="Q205">
        <v>7.8192370166627079</v>
      </c>
      <c r="R205" t="s">
        <v>46</v>
      </c>
      <c r="S205" t="s">
        <v>47</v>
      </c>
      <c r="T205" t="s">
        <v>2722</v>
      </c>
      <c r="V205" t="s">
        <v>71</v>
      </c>
      <c r="X205" t="s">
        <v>2714</v>
      </c>
      <c r="Y205" t="s">
        <v>412</v>
      </c>
      <c r="Z205" t="s">
        <v>2623</v>
      </c>
      <c r="AA205" t="s">
        <v>896</v>
      </c>
      <c r="AB205" t="s">
        <v>41</v>
      </c>
      <c r="AD205" t="s">
        <v>620</v>
      </c>
      <c r="AF205" t="s">
        <v>2667</v>
      </c>
      <c r="AJ205">
        <v>1359.438198540116</v>
      </c>
      <c r="AK205">
        <v>31643.456112847169</v>
      </c>
    </row>
    <row r="206" spans="1:37" x14ac:dyDescent="0.25">
      <c r="A206">
        <v>224</v>
      </c>
      <c r="B206" t="s">
        <v>2975</v>
      </c>
      <c r="C206" t="s">
        <v>376</v>
      </c>
      <c r="D206" t="s">
        <v>2604</v>
      </c>
      <c r="E206" t="s">
        <v>37</v>
      </c>
      <c r="F206" t="s">
        <v>38</v>
      </c>
      <c r="G206" s="2">
        <v>45869</v>
      </c>
      <c r="H206">
        <v>0.2</v>
      </c>
      <c r="I206" t="s">
        <v>72</v>
      </c>
      <c r="J206" t="s">
        <v>40</v>
      </c>
      <c r="K206" t="s">
        <v>41</v>
      </c>
      <c r="L206" t="s">
        <v>2605</v>
      </c>
      <c r="M206" t="s">
        <v>2606</v>
      </c>
      <c r="O206" t="s">
        <v>62</v>
      </c>
      <c r="P206" t="s">
        <v>63</v>
      </c>
      <c r="Q206">
        <v>0.1792240578131882</v>
      </c>
      <c r="R206" t="s">
        <v>64</v>
      </c>
      <c r="S206" t="s">
        <v>65</v>
      </c>
      <c r="T206" t="s">
        <v>2747</v>
      </c>
      <c r="V206" t="s">
        <v>563</v>
      </c>
      <c r="Y206" t="s">
        <v>412</v>
      </c>
      <c r="Z206" t="s">
        <v>2623</v>
      </c>
      <c r="AA206" t="s">
        <v>180</v>
      </c>
      <c r="AB206" t="s">
        <v>41</v>
      </c>
      <c r="AJ206">
        <v>107.5639920395852</v>
      </c>
      <c r="AK206">
        <v>725.29693059471083</v>
      </c>
    </row>
    <row r="207" spans="1:37" hidden="1" x14ac:dyDescent="0.25">
      <c r="A207">
        <v>212</v>
      </c>
      <c r="B207" t="s">
        <v>2963</v>
      </c>
      <c r="C207" t="s">
        <v>376</v>
      </c>
      <c r="D207" t="s">
        <v>2604</v>
      </c>
      <c r="E207" t="s">
        <v>37</v>
      </c>
      <c r="F207" t="s">
        <v>38</v>
      </c>
      <c r="G207" s="2">
        <v>45846</v>
      </c>
      <c r="H207">
        <v>13.9</v>
      </c>
      <c r="I207" t="s">
        <v>72</v>
      </c>
      <c r="J207" t="s">
        <v>40</v>
      </c>
      <c r="K207" t="s">
        <v>41</v>
      </c>
      <c r="L207" t="s">
        <v>2605</v>
      </c>
      <c r="M207" t="s">
        <v>2606</v>
      </c>
      <c r="N207" t="s">
        <v>2712</v>
      </c>
      <c r="O207" t="s">
        <v>79</v>
      </c>
      <c r="P207" t="s">
        <v>80</v>
      </c>
      <c r="Q207">
        <v>13.605315642867399</v>
      </c>
      <c r="R207" t="s">
        <v>46</v>
      </c>
      <c r="S207" t="s">
        <v>47</v>
      </c>
      <c r="T207" t="s">
        <v>2722</v>
      </c>
      <c r="V207" t="s">
        <v>71</v>
      </c>
      <c r="X207" t="s">
        <v>2714</v>
      </c>
      <c r="Y207" t="s">
        <v>412</v>
      </c>
      <c r="Z207" t="s">
        <v>2623</v>
      </c>
      <c r="AA207" t="s">
        <v>397</v>
      </c>
      <c r="AB207" t="s">
        <v>41</v>
      </c>
      <c r="AD207" t="s">
        <v>620</v>
      </c>
      <c r="AF207" t="s">
        <v>2667</v>
      </c>
      <c r="AJ207">
        <v>1044.299836708592</v>
      </c>
      <c r="AK207">
        <v>55058.97922381376</v>
      </c>
    </row>
    <row r="208" spans="1:37" x14ac:dyDescent="0.25">
      <c r="A208">
        <v>225</v>
      </c>
      <c r="B208" t="s">
        <v>2976</v>
      </c>
      <c r="C208" t="s">
        <v>376</v>
      </c>
      <c r="D208" t="s">
        <v>2604</v>
      </c>
      <c r="E208" t="s">
        <v>37</v>
      </c>
      <c r="F208" t="s">
        <v>38</v>
      </c>
      <c r="G208" s="2">
        <v>45847</v>
      </c>
      <c r="I208" t="s">
        <v>72</v>
      </c>
      <c r="J208" t="s">
        <v>40</v>
      </c>
      <c r="K208" t="s">
        <v>41</v>
      </c>
      <c r="L208" t="s">
        <v>2605</v>
      </c>
      <c r="M208" t="s">
        <v>2606</v>
      </c>
      <c r="O208" t="s">
        <v>62</v>
      </c>
      <c r="P208" t="s">
        <v>63</v>
      </c>
      <c r="Q208">
        <v>1.455926288455563</v>
      </c>
      <c r="R208" t="s">
        <v>64</v>
      </c>
      <c r="S208" t="s">
        <v>65</v>
      </c>
      <c r="T208" t="s">
        <v>673</v>
      </c>
      <c r="V208" t="s">
        <v>563</v>
      </c>
      <c r="X208" t="s">
        <v>673</v>
      </c>
      <c r="Y208" t="s">
        <v>412</v>
      </c>
      <c r="Z208" t="s">
        <v>765</v>
      </c>
      <c r="AA208" t="s">
        <v>182</v>
      </c>
      <c r="AB208" t="s">
        <v>41</v>
      </c>
      <c r="AE208" t="s">
        <v>1374</v>
      </c>
      <c r="AJ208">
        <v>311.12726611573038</v>
      </c>
      <c r="AK208">
        <v>5891.9482187466974</v>
      </c>
    </row>
    <row r="209" spans="1:37" hidden="1" x14ac:dyDescent="0.25">
      <c r="A209">
        <v>214</v>
      </c>
      <c r="B209" t="s">
        <v>2965</v>
      </c>
      <c r="C209" t="s">
        <v>376</v>
      </c>
      <c r="D209" t="s">
        <v>2604</v>
      </c>
      <c r="E209" t="s">
        <v>37</v>
      </c>
      <c r="F209" t="s">
        <v>38</v>
      </c>
      <c r="G209" s="2">
        <v>45846</v>
      </c>
      <c r="H209">
        <v>15.2</v>
      </c>
      <c r="I209" t="s">
        <v>72</v>
      </c>
      <c r="J209" t="s">
        <v>40</v>
      </c>
      <c r="K209" t="s">
        <v>41</v>
      </c>
      <c r="L209" t="s">
        <v>2605</v>
      </c>
      <c r="M209" t="s">
        <v>2606</v>
      </c>
      <c r="N209" t="s">
        <v>2712</v>
      </c>
      <c r="O209" t="s">
        <v>79</v>
      </c>
      <c r="P209" t="s">
        <v>80</v>
      </c>
      <c r="Q209">
        <v>15.060058609979739</v>
      </c>
      <c r="R209" t="s">
        <v>46</v>
      </c>
      <c r="S209" t="s">
        <v>47</v>
      </c>
      <c r="T209" t="s">
        <v>2722</v>
      </c>
      <c r="V209" t="s">
        <v>71</v>
      </c>
      <c r="X209" t="s">
        <v>2714</v>
      </c>
      <c r="Y209" t="s">
        <v>412</v>
      </c>
      <c r="Z209" t="s">
        <v>2623</v>
      </c>
      <c r="AA209" t="s">
        <v>896</v>
      </c>
      <c r="AB209" t="s">
        <v>41</v>
      </c>
      <c r="AD209" t="s">
        <v>620</v>
      </c>
      <c r="AF209" t="s">
        <v>2667</v>
      </c>
      <c r="AJ209">
        <v>1006.123120192545</v>
      </c>
      <c r="AK209">
        <v>60946.138691827909</v>
      </c>
    </row>
    <row r="210" spans="1:37" hidden="1" x14ac:dyDescent="0.25">
      <c r="A210">
        <v>215</v>
      </c>
      <c r="B210" t="s">
        <v>2966</v>
      </c>
      <c r="C210" t="s">
        <v>376</v>
      </c>
      <c r="D210" t="s">
        <v>2604</v>
      </c>
      <c r="E210" t="s">
        <v>37</v>
      </c>
      <c r="F210" t="s">
        <v>38</v>
      </c>
      <c r="G210" s="2">
        <v>45846</v>
      </c>
      <c r="H210">
        <v>13.1</v>
      </c>
      <c r="I210" t="s">
        <v>72</v>
      </c>
      <c r="J210" t="s">
        <v>40</v>
      </c>
      <c r="K210" t="s">
        <v>41</v>
      </c>
      <c r="L210" t="s">
        <v>2605</v>
      </c>
      <c r="M210" t="s">
        <v>2606</v>
      </c>
      <c r="N210" t="s">
        <v>2712</v>
      </c>
      <c r="O210" t="s">
        <v>79</v>
      </c>
      <c r="P210" t="s">
        <v>80</v>
      </c>
      <c r="Q210">
        <v>12.99490533213992</v>
      </c>
      <c r="R210" t="s">
        <v>46</v>
      </c>
      <c r="S210" t="s">
        <v>47</v>
      </c>
      <c r="T210" t="s">
        <v>2722</v>
      </c>
      <c r="V210" t="s">
        <v>71</v>
      </c>
      <c r="X210" t="s">
        <v>2714</v>
      </c>
      <c r="Y210" t="s">
        <v>412</v>
      </c>
      <c r="Z210" t="s">
        <v>2623</v>
      </c>
      <c r="AA210" t="s">
        <v>896</v>
      </c>
      <c r="AB210" t="s">
        <v>41</v>
      </c>
      <c r="AD210" t="s">
        <v>620</v>
      </c>
      <c r="AF210" t="s">
        <v>2667</v>
      </c>
      <c r="AJ210">
        <v>984.09475515679617</v>
      </c>
      <c r="AK210">
        <v>52588.726456545897</v>
      </c>
    </row>
    <row r="211" spans="1:37" x14ac:dyDescent="0.25">
      <c r="A211">
        <v>226</v>
      </c>
      <c r="B211" t="s">
        <v>2977</v>
      </c>
      <c r="C211" t="s">
        <v>376</v>
      </c>
      <c r="D211" t="s">
        <v>2604</v>
      </c>
      <c r="E211" t="s">
        <v>37</v>
      </c>
      <c r="F211" t="s">
        <v>38</v>
      </c>
      <c r="G211" s="2">
        <v>45847</v>
      </c>
      <c r="I211" t="s">
        <v>72</v>
      </c>
      <c r="J211" t="s">
        <v>40</v>
      </c>
      <c r="K211" t="s">
        <v>41</v>
      </c>
      <c r="L211" t="s">
        <v>2605</v>
      </c>
      <c r="M211" t="s">
        <v>2606</v>
      </c>
      <c r="O211" t="s">
        <v>62</v>
      </c>
      <c r="P211" t="s">
        <v>63</v>
      </c>
      <c r="Q211">
        <v>5.2393500993121336</v>
      </c>
      <c r="R211" t="s">
        <v>64</v>
      </c>
      <c r="S211" t="s">
        <v>65</v>
      </c>
      <c r="T211" t="s">
        <v>673</v>
      </c>
      <c r="V211" t="s">
        <v>563</v>
      </c>
      <c r="X211" t="s">
        <v>673</v>
      </c>
      <c r="Y211" t="s">
        <v>412</v>
      </c>
      <c r="Z211" t="s">
        <v>765</v>
      </c>
      <c r="AA211" t="s">
        <v>182</v>
      </c>
      <c r="AB211" t="s">
        <v>41</v>
      </c>
      <c r="AE211" t="s">
        <v>2978</v>
      </c>
      <c r="AF211" t="s">
        <v>2979</v>
      </c>
      <c r="AJ211">
        <v>870.07795299338784</v>
      </c>
      <c r="AK211">
        <v>21202.982410448221</v>
      </c>
    </row>
    <row r="212" spans="1:37" x14ac:dyDescent="0.25">
      <c r="A212">
        <v>227</v>
      </c>
      <c r="B212" t="s">
        <v>2980</v>
      </c>
      <c r="C212" t="s">
        <v>376</v>
      </c>
      <c r="D212" t="s">
        <v>2604</v>
      </c>
      <c r="E212" t="s">
        <v>37</v>
      </c>
      <c r="F212" t="s">
        <v>38</v>
      </c>
      <c r="G212" s="2">
        <v>45869</v>
      </c>
      <c r="H212">
        <v>0.1</v>
      </c>
      <c r="I212" t="s">
        <v>72</v>
      </c>
      <c r="J212" t="s">
        <v>40</v>
      </c>
      <c r="K212" t="s">
        <v>41</v>
      </c>
      <c r="L212" t="s">
        <v>2605</v>
      </c>
      <c r="M212" t="s">
        <v>2606</v>
      </c>
      <c r="O212" t="s">
        <v>62</v>
      </c>
      <c r="P212" t="s">
        <v>63</v>
      </c>
      <c r="Q212">
        <v>0.13119521573817461</v>
      </c>
      <c r="R212" t="s">
        <v>64</v>
      </c>
      <c r="S212" t="s">
        <v>65</v>
      </c>
      <c r="T212" t="s">
        <v>2691</v>
      </c>
      <c r="V212" t="s">
        <v>563</v>
      </c>
      <c r="Y212" t="s">
        <v>412</v>
      </c>
      <c r="Z212" t="s">
        <v>2623</v>
      </c>
      <c r="AA212" t="s">
        <v>180</v>
      </c>
      <c r="AB212" t="s">
        <v>41</v>
      </c>
      <c r="AJ212">
        <v>106.0590395613544</v>
      </c>
      <c r="AK212">
        <v>530.93032511736192</v>
      </c>
    </row>
    <row r="213" spans="1:37" x14ac:dyDescent="0.25">
      <c r="A213">
        <v>228</v>
      </c>
      <c r="B213" t="s">
        <v>2981</v>
      </c>
      <c r="C213" t="s">
        <v>376</v>
      </c>
      <c r="D213" t="s">
        <v>2604</v>
      </c>
      <c r="E213" t="s">
        <v>37</v>
      </c>
      <c r="F213" t="s">
        <v>38</v>
      </c>
      <c r="G213" s="2">
        <v>45869</v>
      </c>
      <c r="H213">
        <v>0.1</v>
      </c>
      <c r="I213" t="s">
        <v>72</v>
      </c>
      <c r="J213" t="s">
        <v>40</v>
      </c>
      <c r="K213" t="s">
        <v>41</v>
      </c>
      <c r="L213" t="s">
        <v>2605</v>
      </c>
      <c r="M213" t="s">
        <v>2606</v>
      </c>
      <c r="O213" t="s">
        <v>62</v>
      </c>
      <c r="P213" t="s">
        <v>63</v>
      </c>
      <c r="Q213">
        <v>7.1871933222892093E-2</v>
      </c>
      <c r="R213" t="s">
        <v>64</v>
      </c>
      <c r="S213" t="s">
        <v>65</v>
      </c>
      <c r="T213" t="s">
        <v>2691</v>
      </c>
      <c r="V213" t="s">
        <v>563</v>
      </c>
      <c r="Y213" t="s">
        <v>412</v>
      </c>
      <c r="Z213" t="s">
        <v>2623</v>
      </c>
      <c r="AA213" t="s">
        <v>180</v>
      </c>
      <c r="AB213" t="s">
        <v>41</v>
      </c>
      <c r="AJ213">
        <v>71.348736303534565</v>
      </c>
      <c r="AK213">
        <v>290.85655797843327</v>
      </c>
    </row>
    <row r="214" spans="1:37" hidden="1" x14ac:dyDescent="0.25">
      <c r="A214">
        <v>219</v>
      </c>
      <c r="B214" t="s">
        <v>2970</v>
      </c>
      <c r="C214" t="s">
        <v>376</v>
      </c>
      <c r="D214" t="s">
        <v>2604</v>
      </c>
      <c r="E214" t="s">
        <v>37</v>
      </c>
      <c r="F214" t="s">
        <v>38</v>
      </c>
      <c r="G214" s="2">
        <v>45845</v>
      </c>
      <c r="H214">
        <v>7.4</v>
      </c>
      <c r="I214" t="s">
        <v>72</v>
      </c>
      <c r="J214" t="s">
        <v>40</v>
      </c>
      <c r="K214" t="s">
        <v>41</v>
      </c>
      <c r="L214" t="s">
        <v>2605</v>
      </c>
      <c r="M214" t="s">
        <v>2606</v>
      </c>
      <c r="N214" t="s">
        <v>2702</v>
      </c>
      <c r="O214" t="s">
        <v>79</v>
      </c>
      <c r="P214" t="s">
        <v>80</v>
      </c>
      <c r="Q214">
        <v>8.0859795840754671</v>
      </c>
      <c r="R214" t="s">
        <v>46</v>
      </c>
      <c r="S214" t="s">
        <v>47</v>
      </c>
      <c r="T214" t="s">
        <v>2942</v>
      </c>
      <c r="V214" t="s">
        <v>71</v>
      </c>
      <c r="X214" t="s">
        <v>2943</v>
      </c>
      <c r="Y214" t="s">
        <v>412</v>
      </c>
      <c r="Z214" t="s">
        <v>2623</v>
      </c>
      <c r="AA214" t="s">
        <v>397</v>
      </c>
      <c r="AB214" t="s">
        <v>41</v>
      </c>
      <c r="AD214" t="s">
        <v>620</v>
      </c>
      <c r="AF214" t="s">
        <v>665</v>
      </c>
      <c r="AJ214">
        <v>736.70501390305969</v>
      </c>
      <c r="AK214">
        <v>32722.929302797409</v>
      </c>
    </row>
    <row r="215" spans="1:37" hidden="1" x14ac:dyDescent="0.25">
      <c r="A215">
        <v>220</v>
      </c>
      <c r="B215" t="s">
        <v>2971</v>
      </c>
      <c r="C215" t="s">
        <v>376</v>
      </c>
      <c r="D215" t="s">
        <v>2604</v>
      </c>
      <c r="E215" t="s">
        <v>37</v>
      </c>
      <c r="F215" t="s">
        <v>38</v>
      </c>
      <c r="G215" s="2">
        <v>45845</v>
      </c>
      <c r="H215">
        <v>9.5</v>
      </c>
      <c r="I215" t="s">
        <v>72</v>
      </c>
      <c r="J215" t="s">
        <v>40</v>
      </c>
      <c r="K215" t="s">
        <v>41</v>
      </c>
      <c r="L215" t="s">
        <v>2605</v>
      </c>
      <c r="M215" t="s">
        <v>2606</v>
      </c>
      <c r="N215" t="s">
        <v>2702</v>
      </c>
      <c r="O215" t="s">
        <v>79</v>
      </c>
      <c r="P215" t="s">
        <v>80</v>
      </c>
      <c r="Q215">
        <v>10.132539692793779</v>
      </c>
      <c r="R215" t="s">
        <v>46</v>
      </c>
      <c r="S215" t="s">
        <v>47</v>
      </c>
      <c r="T215" t="s">
        <v>2942</v>
      </c>
      <c r="V215" t="s">
        <v>71</v>
      </c>
      <c r="X215" t="s">
        <v>2943</v>
      </c>
      <c r="Y215" t="s">
        <v>412</v>
      </c>
      <c r="Z215" t="s">
        <v>2623</v>
      </c>
      <c r="AA215" t="s">
        <v>397</v>
      </c>
      <c r="AB215" t="s">
        <v>41</v>
      </c>
      <c r="AD215" t="s">
        <v>620</v>
      </c>
      <c r="AF215" t="s">
        <v>665</v>
      </c>
      <c r="AJ215">
        <v>808.18139394635079</v>
      </c>
      <c r="AK215">
        <v>41005.097351230812</v>
      </c>
    </row>
    <row r="216" spans="1:37" hidden="1" x14ac:dyDescent="0.25">
      <c r="A216">
        <v>221</v>
      </c>
      <c r="B216" t="s">
        <v>2972</v>
      </c>
      <c r="C216" t="s">
        <v>376</v>
      </c>
      <c r="D216" t="s">
        <v>2604</v>
      </c>
      <c r="E216" t="s">
        <v>37</v>
      </c>
      <c r="F216" t="s">
        <v>38</v>
      </c>
      <c r="G216" s="2">
        <v>45845</v>
      </c>
      <c r="H216">
        <v>10.4</v>
      </c>
      <c r="I216" t="s">
        <v>72</v>
      </c>
      <c r="J216" t="s">
        <v>40</v>
      </c>
      <c r="K216" t="s">
        <v>41</v>
      </c>
      <c r="L216" t="s">
        <v>2605</v>
      </c>
      <c r="M216" t="s">
        <v>2606</v>
      </c>
      <c r="N216" t="s">
        <v>2702</v>
      </c>
      <c r="O216" t="s">
        <v>79</v>
      </c>
      <c r="P216" t="s">
        <v>80</v>
      </c>
      <c r="Q216">
        <v>12.640217782909771</v>
      </c>
      <c r="R216" t="s">
        <v>46</v>
      </c>
      <c r="S216" t="s">
        <v>47</v>
      </c>
      <c r="T216" t="s">
        <v>2942</v>
      </c>
      <c r="V216" t="s">
        <v>71</v>
      </c>
      <c r="X216" t="s">
        <v>2943</v>
      </c>
      <c r="Y216" t="s">
        <v>412</v>
      </c>
      <c r="Z216" t="s">
        <v>2623</v>
      </c>
      <c r="AA216" t="s">
        <v>397</v>
      </c>
      <c r="AB216" t="s">
        <v>41</v>
      </c>
      <c r="AD216" t="s">
        <v>620</v>
      </c>
      <c r="AF216" t="s">
        <v>665</v>
      </c>
      <c r="AJ216">
        <v>913.5813367939021</v>
      </c>
      <c r="AK216">
        <v>51153.351128502967</v>
      </c>
    </row>
    <row r="217" spans="1:37" hidden="1" x14ac:dyDescent="0.25">
      <c r="A217">
        <v>222</v>
      </c>
      <c r="B217" t="s">
        <v>2973</v>
      </c>
      <c r="C217" t="s">
        <v>376</v>
      </c>
      <c r="D217" t="s">
        <v>2604</v>
      </c>
      <c r="E217" t="s">
        <v>37</v>
      </c>
      <c r="F217" t="s">
        <v>38</v>
      </c>
      <c r="G217" s="2">
        <v>45845</v>
      </c>
      <c r="H217">
        <v>0.2</v>
      </c>
      <c r="I217" t="s">
        <v>72</v>
      </c>
      <c r="J217" t="s">
        <v>40</v>
      </c>
      <c r="K217" t="s">
        <v>41</v>
      </c>
      <c r="L217" t="s">
        <v>2605</v>
      </c>
      <c r="M217" t="s">
        <v>2606</v>
      </c>
      <c r="N217" t="s">
        <v>2702</v>
      </c>
      <c r="O217" t="s">
        <v>96</v>
      </c>
      <c r="P217" t="s">
        <v>97</v>
      </c>
      <c r="Q217">
        <v>0.20556393802751741</v>
      </c>
      <c r="R217" t="s">
        <v>46</v>
      </c>
      <c r="S217" t="s">
        <v>47</v>
      </c>
      <c r="T217" t="s">
        <v>2942</v>
      </c>
      <c r="V217" t="s">
        <v>71</v>
      </c>
      <c r="X217" t="s">
        <v>2943</v>
      </c>
      <c r="Y217" t="s">
        <v>412</v>
      </c>
      <c r="Z217" t="s">
        <v>2623</v>
      </c>
      <c r="AA217" t="s">
        <v>397</v>
      </c>
      <c r="AB217" t="s">
        <v>41</v>
      </c>
      <c r="AD217" t="s">
        <v>620</v>
      </c>
      <c r="AF217" t="s">
        <v>665</v>
      </c>
      <c r="AJ217">
        <v>126.3738785370991</v>
      </c>
      <c r="AK217">
        <v>831.89107038144812</v>
      </c>
    </row>
    <row r="218" spans="1:37" hidden="1" x14ac:dyDescent="0.25">
      <c r="A218">
        <v>223</v>
      </c>
      <c r="B218" t="s">
        <v>2974</v>
      </c>
      <c r="C218" t="s">
        <v>376</v>
      </c>
      <c r="D218" t="s">
        <v>2604</v>
      </c>
      <c r="E218" t="s">
        <v>37</v>
      </c>
      <c r="F218" t="s">
        <v>38</v>
      </c>
      <c r="G218" s="2">
        <v>45845</v>
      </c>
      <c r="H218">
        <v>1</v>
      </c>
      <c r="I218" t="s">
        <v>72</v>
      </c>
      <c r="J218" t="s">
        <v>40</v>
      </c>
      <c r="K218" t="s">
        <v>41</v>
      </c>
      <c r="L218" t="s">
        <v>2605</v>
      </c>
      <c r="M218" t="s">
        <v>2606</v>
      </c>
      <c r="N218" t="s">
        <v>2702</v>
      </c>
      <c r="O218" t="s">
        <v>96</v>
      </c>
      <c r="P218" t="s">
        <v>97</v>
      </c>
      <c r="Q218">
        <v>0.84479364649448552</v>
      </c>
      <c r="R218" t="s">
        <v>46</v>
      </c>
      <c r="S218" t="s">
        <v>47</v>
      </c>
      <c r="T218" t="s">
        <v>2942</v>
      </c>
      <c r="V218" t="s">
        <v>71</v>
      </c>
      <c r="X218" t="s">
        <v>2943</v>
      </c>
      <c r="Y218" t="s">
        <v>412</v>
      </c>
      <c r="Z218" t="s">
        <v>2623</v>
      </c>
      <c r="AA218" t="s">
        <v>397</v>
      </c>
      <c r="AB218" t="s">
        <v>41</v>
      </c>
      <c r="AD218" t="s">
        <v>620</v>
      </c>
      <c r="AF218" t="s">
        <v>665</v>
      </c>
      <c r="AJ218">
        <v>267.47645706209568</v>
      </c>
      <c r="AK218">
        <v>3418.7722689943248</v>
      </c>
    </row>
    <row r="219" spans="1:37" x14ac:dyDescent="0.25">
      <c r="A219">
        <v>230</v>
      </c>
      <c r="B219" t="s">
        <v>2983</v>
      </c>
      <c r="C219" t="s">
        <v>376</v>
      </c>
      <c r="D219" t="s">
        <v>2604</v>
      </c>
      <c r="E219" t="s">
        <v>37</v>
      </c>
      <c r="F219" t="s">
        <v>38</v>
      </c>
      <c r="G219" s="2">
        <v>45869</v>
      </c>
      <c r="H219">
        <v>0.2</v>
      </c>
      <c r="I219" t="s">
        <v>72</v>
      </c>
      <c r="J219" t="s">
        <v>40</v>
      </c>
      <c r="K219" t="s">
        <v>41</v>
      </c>
      <c r="L219" t="s">
        <v>2605</v>
      </c>
      <c r="M219" t="s">
        <v>2606</v>
      </c>
      <c r="O219" t="s">
        <v>62</v>
      </c>
      <c r="P219" t="s">
        <v>63</v>
      </c>
      <c r="Q219">
        <v>0.2231582360740838</v>
      </c>
      <c r="R219" t="s">
        <v>64</v>
      </c>
      <c r="S219" t="s">
        <v>65</v>
      </c>
      <c r="T219" t="s">
        <v>2691</v>
      </c>
      <c r="V219" t="s">
        <v>563</v>
      </c>
      <c r="Y219" t="s">
        <v>412</v>
      </c>
      <c r="Z219" t="s">
        <v>2623</v>
      </c>
      <c r="AA219" t="s">
        <v>180</v>
      </c>
      <c r="AB219" t="s">
        <v>41</v>
      </c>
      <c r="AJ219">
        <v>135.10163680039</v>
      </c>
      <c r="AK219">
        <v>903.09295323606193</v>
      </c>
    </row>
    <row r="220" spans="1:37" x14ac:dyDescent="0.25">
      <c r="A220">
        <v>237</v>
      </c>
      <c r="B220" t="s">
        <v>2992</v>
      </c>
      <c r="C220" t="s">
        <v>376</v>
      </c>
      <c r="D220" t="s">
        <v>2604</v>
      </c>
      <c r="E220" t="s">
        <v>37</v>
      </c>
      <c r="F220" t="s">
        <v>38</v>
      </c>
      <c r="G220" s="2">
        <v>45845</v>
      </c>
      <c r="H220">
        <v>2</v>
      </c>
      <c r="I220" t="s">
        <v>72</v>
      </c>
      <c r="J220" t="s">
        <v>40</v>
      </c>
      <c r="K220" t="s">
        <v>41</v>
      </c>
      <c r="L220" t="s">
        <v>2605</v>
      </c>
      <c r="M220" t="s">
        <v>2606</v>
      </c>
      <c r="N220" t="s">
        <v>2702</v>
      </c>
      <c r="O220" t="s">
        <v>62</v>
      </c>
      <c r="P220" t="s">
        <v>63</v>
      </c>
      <c r="Q220">
        <v>1.85425784035255</v>
      </c>
      <c r="R220" t="s">
        <v>64</v>
      </c>
      <c r="S220" t="s">
        <v>65</v>
      </c>
      <c r="T220" t="s">
        <v>2993</v>
      </c>
      <c r="V220" t="s">
        <v>71</v>
      </c>
      <c r="X220" t="s">
        <v>2880</v>
      </c>
      <c r="Y220" t="s">
        <v>412</v>
      </c>
      <c r="Z220" t="s">
        <v>2623</v>
      </c>
      <c r="AA220" t="s">
        <v>397</v>
      </c>
      <c r="AB220" t="s">
        <v>41</v>
      </c>
      <c r="AD220" t="s">
        <v>620</v>
      </c>
      <c r="AF220" t="s">
        <v>2994</v>
      </c>
      <c r="AJ220">
        <v>384.04618667939832</v>
      </c>
      <c r="AK220">
        <v>7503.9452657673164</v>
      </c>
    </row>
    <row r="221" spans="1:37" x14ac:dyDescent="0.25">
      <c r="A221">
        <v>240</v>
      </c>
      <c r="B221" t="s">
        <v>2999</v>
      </c>
      <c r="C221" t="s">
        <v>376</v>
      </c>
      <c r="D221" t="s">
        <v>2604</v>
      </c>
      <c r="E221" t="s">
        <v>37</v>
      </c>
      <c r="F221" t="s">
        <v>38</v>
      </c>
      <c r="G221" s="2">
        <v>45847</v>
      </c>
      <c r="H221">
        <v>1.3</v>
      </c>
      <c r="I221" t="s">
        <v>72</v>
      </c>
      <c r="J221" t="s">
        <v>40</v>
      </c>
      <c r="K221" t="s">
        <v>41</v>
      </c>
      <c r="L221" t="s">
        <v>2605</v>
      </c>
      <c r="M221" t="s">
        <v>2606</v>
      </c>
      <c r="O221" t="s">
        <v>62</v>
      </c>
      <c r="P221" t="s">
        <v>63</v>
      </c>
      <c r="Q221">
        <v>1.337764992721403</v>
      </c>
      <c r="R221" t="s">
        <v>64</v>
      </c>
      <c r="S221" t="s">
        <v>65</v>
      </c>
      <c r="T221" t="s">
        <v>3000</v>
      </c>
      <c r="V221" t="s">
        <v>563</v>
      </c>
      <c r="X221" t="s">
        <v>3001</v>
      </c>
      <c r="Y221" t="s">
        <v>412</v>
      </c>
      <c r="Z221" t="s">
        <v>765</v>
      </c>
      <c r="AA221" t="s">
        <v>182</v>
      </c>
      <c r="AB221" t="s">
        <v>41</v>
      </c>
      <c r="AD221" t="s">
        <v>399</v>
      </c>
      <c r="AF221" t="s">
        <v>2979</v>
      </c>
      <c r="AJ221">
        <v>297.75908684681491</v>
      </c>
      <c r="AK221">
        <v>5413.764507492876</v>
      </c>
    </row>
    <row r="222" spans="1:37" x14ac:dyDescent="0.25">
      <c r="A222">
        <v>243</v>
      </c>
      <c r="B222" t="s">
        <v>3004</v>
      </c>
      <c r="C222" t="s">
        <v>376</v>
      </c>
      <c r="D222" t="s">
        <v>2604</v>
      </c>
      <c r="E222" t="s">
        <v>37</v>
      </c>
      <c r="F222" t="s">
        <v>38</v>
      </c>
      <c r="G222" s="2">
        <v>45846</v>
      </c>
      <c r="H222">
        <v>3.8</v>
      </c>
      <c r="I222" t="s">
        <v>72</v>
      </c>
      <c r="J222" t="s">
        <v>40</v>
      </c>
      <c r="K222" t="s">
        <v>41</v>
      </c>
      <c r="L222" t="s">
        <v>2605</v>
      </c>
      <c r="M222" t="s">
        <v>2606</v>
      </c>
      <c r="O222" t="s">
        <v>62</v>
      </c>
      <c r="P222" t="s">
        <v>63</v>
      </c>
      <c r="Q222">
        <v>3.813374048305509</v>
      </c>
      <c r="R222" t="s">
        <v>64</v>
      </c>
      <c r="S222" t="s">
        <v>65</v>
      </c>
      <c r="T222" t="s">
        <v>3005</v>
      </c>
      <c r="V222" t="s">
        <v>71</v>
      </c>
      <c r="X222" t="s">
        <v>3006</v>
      </c>
      <c r="Y222" t="s">
        <v>412</v>
      </c>
      <c r="Z222" t="s">
        <v>2623</v>
      </c>
      <c r="AA222" t="s">
        <v>896</v>
      </c>
      <c r="AB222" t="s">
        <v>41</v>
      </c>
      <c r="AD222" t="s">
        <v>620</v>
      </c>
      <c r="AF222" t="s">
        <v>2667</v>
      </c>
      <c r="AJ222">
        <v>567.81045105804344</v>
      </c>
      <c r="AK222">
        <v>15432.238987292851</v>
      </c>
    </row>
    <row r="223" spans="1:37" x14ac:dyDescent="0.25">
      <c r="A223">
        <v>244</v>
      </c>
      <c r="B223" t="s">
        <v>3007</v>
      </c>
      <c r="C223" t="s">
        <v>376</v>
      </c>
      <c r="D223" t="s">
        <v>2604</v>
      </c>
      <c r="E223" t="s">
        <v>37</v>
      </c>
      <c r="F223" t="s">
        <v>38</v>
      </c>
      <c r="G223" s="2">
        <v>45846</v>
      </c>
      <c r="H223">
        <v>6.3</v>
      </c>
      <c r="I223" t="s">
        <v>72</v>
      </c>
      <c r="J223" t="s">
        <v>40</v>
      </c>
      <c r="K223" t="s">
        <v>41</v>
      </c>
      <c r="L223" t="s">
        <v>2605</v>
      </c>
      <c r="M223" t="s">
        <v>2606</v>
      </c>
      <c r="O223" t="s">
        <v>62</v>
      </c>
      <c r="P223" t="s">
        <v>63</v>
      </c>
      <c r="Q223">
        <v>6.5852134961147106</v>
      </c>
      <c r="R223" t="s">
        <v>64</v>
      </c>
      <c r="S223" t="s">
        <v>65</v>
      </c>
      <c r="T223" t="s">
        <v>3005</v>
      </c>
      <c r="V223" t="s">
        <v>71</v>
      </c>
      <c r="X223" t="s">
        <v>3006</v>
      </c>
      <c r="Y223" t="s">
        <v>412</v>
      </c>
      <c r="Z223" t="s">
        <v>2623</v>
      </c>
      <c r="AA223" t="s">
        <v>397</v>
      </c>
      <c r="AB223" t="s">
        <v>41</v>
      </c>
      <c r="AD223" t="s">
        <v>620</v>
      </c>
      <c r="AF223" t="s">
        <v>2667</v>
      </c>
      <c r="AJ223">
        <v>817.01703915361259</v>
      </c>
      <c r="AK223">
        <v>26649.520127600881</v>
      </c>
    </row>
    <row r="224" spans="1:37" hidden="1" x14ac:dyDescent="0.25">
      <c r="A224">
        <v>229</v>
      </c>
      <c r="B224" t="s">
        <v>2982</v>
      </c>
      <c r="C224" t="s">
        <v>376</v>
      </c>
      <c r="D224" t="s">
        <v>2604</v>
      </c>
      <c r="E224" t="s">
        <v>37</v>
      </c>
      <c r="F224" t="s">
        <v>38</v>
      </c>
      <c r="G224" s="2">
        <v>45846</v>
      </c>
      <c r="H224">
        <v>0.5</v>
      </c>
      <c r="I224" t="s">
        <v>72</v>
      </c>
      <c r="J224" t="s">
        <v>40</v>
      </c>
      <c r="K224" t="s">
        <v>41</v>
      </c>
      <c r="L224" t="s">
        <v>2605</v>
      </c>
      <c r="M224" t="s">
        <v>2606</v>
      </c>
      <c r="O224" t="s">
        <v>906</v>
      </c>
      <c r="P224" t="s">
        <v>671</v>
      </c>
      <c r="Q224">
        <v>0.42975830535160808</v>
      </c>
      <c r="S224" t="s">
        <v>38</v>
      </c>
      <c r="T224" t="s">
        <v>1172</v>
      </c>
      <c r="V224" t="s">
        <v>71</v>
      </c>
      <c r="X224" t="s">
        <v>2714</v>
      </c>
      <c r="Y224" t="s">
        <v>420</v>
      </c>
      <c r="Z224" t="s">
        <v>2623</v>
      </c>
      <c r="AA224" t="s">
        <v>896</v>
      </c>
      <c r="AB224" t="s">
        <v>41</v>
      </c>
      <c r="AF224" t="s">
        <v>2667</v>
      </c>
      <c r="AJ224">
        <v>152.70140292427391</v>
      </c>
      <c r="AK224">
        <v>1739.177114793398</v>
      </c>
    </row>
    <row r="225" spans="1:37" x14ac:dyDescent="0.25">
      <c r="A225">
        <v>245</v>
      </c>
      <c r="B225" t="s">
        <v>3008</v>
      </c>
      <c r="C225" t="s">
        <v>376</v>
      </c>
      <c r="D225" t="s">
        <v>2604</v>
      </c>
      <c r="E225" t="s">
        <v>37</v>
      </c>
      <c r="F225" t="s">
        <v>38</v>
      </c>
      <c r="G225" s="2">
        <v>45869</v>
      </c>
      <c r="H225">
        <v>2.5</v>
      </c>
      <c r="I225" t="s">
        <v>72</v>
      </c>
      <c r="J225" t="s">
        <v>40</v>
      </c>
      <c r="K225" t="s">
        <v>41</v>
      </c>
      <c r="L225" t="s">
        <v>2605</v>
      </c>
      <c r="M225" t="s">
        <v>2606</v>
      </c>
      <c r="O225" t="s">
        <v>62</v>
      </c>
      <c r="P225" t="s">
        <v>63</v>
      </c>
      <c r="Q225">
        <v>2.9991397741049468</v>
      </c>
      <c r="R225" t="s">
        <v>64</v>
      </c>
      <c r="S225" t="s">
        <v>65</v>
      </c>
      <c r="T225" t="s">
        <v>3009</v>
      </c>
      <c r="V225" t="s">
        <v>563</v>
      </c>
      <c r="X225" t="s">
        <v>3010</v>
      </c>
      <c r="Y225" t="s">
        <v>412</v>
      </c>
      <c r="Z225" t="s">
        <v>2623</v>
      </c>
      <c r="AA225" t="s">
        <v>180</v>
      </c>
      <c r="AB225" t="s">
        <v>41</v>
      </c>
      <c r="AD225" t="s">
        <v>2656</v>
      </c>
      <c r="AF225" t="s">
        <v>3011</v>
      </c>
      <c r="AJ225">
        <v>602.75119440651019</v>
      </c>
      <c r="AK225">
        <v>12137.13660500976</v>
      </c>
    </row>
    <row r="226" spans="1:37" hidden="1" x14ac:dyDescent="0.25">
      <c r="A226">
        <v>231</v>
      </c>
      <c r="B226" t="s">
        <v>2984</v>
      </c>
      <c r="C226" t="s">
        <v>376</v>
      </c>
      <c r="D226" t="s">
        <v>2604</v>
      </c>
      <c r="E226" t="s">
        <v>37</v>
      </c>
      <c r="F226" t="s">
        <v>38</v>
      </c>
      <c r="G226" s="2">
        <v>45846</v>
      </c>
      <c r="H226">
        <v>19.399999999999999</v>
      </c>
      <c r="I226" t="s">
        <v>72</v>
      </c>
      <c r="J226" t="s">
        <v>40</v>
      </c>
      <c r="K226" t="s">
        <v>41</v>
      </c>
      <c r="L226" t="s">
        <v>2605</v>
      </c>
      <c r="M226" t="s">
        <v>2606</v>
      </c>
      <c r="N226" t="s">
        <v>2712</v>
      </c>
      <c r="O226" t="s">
        <v>79</v>
      </c>
      <c r="P226" t="s">
        <v>80</v>
      </c>
      <c r="Q226">
        <v>19.410427194077489</v>
      </c>
      <c r="R226" t="s">
        <v>46</v>
      </c>
      <c r="S226" t="s">
        <v>47</v>
      </c>
      <c r="T226" t="s">
        <v>2722</v>
      </c>
      <c r="V226" t="s">
        <v>71</v>
      </c>
      <c r="X226" t="s">
        <v>2714</v>
      </c>
      <c r="Y226" t="s">
        <v>412</v>
      </c>
      <c r="Z226" t="s">
        <v>2623</v>
      </c>
      <c r="AA226" t="s">
        <v>896</v>
      </c>
      <c r="AB226" t="s">
        <v>41</v>
      </c>
      <c r="AD226" t="s">
        <v>620</v>
      </c>
      <c r="AF226" t="s">
        <v>1100</v>
      </c>
      <c r="AJ226">
        <v>1398.628583228736</v>
      </c>
      <c r="AK226">
        <v>78551.526157670523</v>
      </c>
    </row>
    <row r="227" spans="1:37" hidden="1" x14ac:dyDescent="0.25">
      <c r="A227">
        <v>232</v>
      </c>
      <c r="B227" t="s">
        <v>2985</v>
      </c>
      <c r="C227" t="s">
        <v>376</v>
      </c>
      <c r="D227" t="s">
        <v>2604</v>
      </c>
      <c r="E227" t="s">
        <v>37</v>
      </c>
      <c r="F227" t="s">
        <v>38</v>
      </c>
      <c r="G227" s="2">
        <v>45845</v>
      </c>
      <c r="H227">
        <v>0.7</v>
      </c>
      <c r="I227" t="s">
        <v>72</v>
      </c>
      <c r="J227" t="s">
        <v>40</v>
      </c>
      <c r="K227" t="s">
        <v>41</v>
      </c>
      <c r="L227" t="s">
        <v>2605</v>
      </c>
      <c r="M227" t="s">
        <v>2606</v>
      </c>
      <c r="N227" t="s">
        <v>2702</v>
      </c>
      <c r="O227" t="s">
        <v>113</v>
      </c>
      <c r="P227" t="s">
        <v>114</v>
      </c>
      <c r="Q227">
        <v>0.62776848660528639</v>
      </c>
      <c r="R227" t="s">
        <v>46</v>
      </c>
      <c r="S227" t="s">
        <v>47</v>
      </c>
      <c r="T227" t="s">
        <v>2986</v>
      </c>
      <c r="V227" t="s">
        <v>71</v>
      </c>
      <c r="X227" t="s">
        <v>2987</v>
      </c>
      <c r="Y227" t="s">
        <v>412</v>
      </c>
      <c r="Z227" t="s">
        <v>2623</v>
      </c>
      <c r="AA227" t="s">
        <v>397</v>
      </c>
      <c r="AB227" t="s">
        <v>41</v>
      </c>
      <c r="AD227" t="s">
        <v>620</v>
      </c>
      <c r="AF227" t="s">
        <v>2174</v>
      </c>
      <c r="AJ227">
        <v>223.44255109611339</v>
      </c>
      <c r="AK227">
        <v>2540.4990937851439</v>
      </c>
    </row>
    <row r="228" spans="1:37" hidden="1" x14ac:dyDescent="0.25">
      <c r="A228">
        <v>233</v>
      </c>
      <c r="B228" t="s">
        <v>2988</v>
      </c>
      <c r="C228" t="s">
        <v>376</v>
      </c>
      <c r="D228" t="s">
        <v>2604</v>
      </c>
      <c r="E228" t="s">
        <v>37</v>
      </c>
      <c r="F228" t="s">
        <v>38</v>
      </c>
      <c r="G228" s="2">
        <v>45845</v>
      </c>
      <c r="H228">
        <v>1.6</v>
      </c>
      <c r="I228" t="s">
        <v>72</v>
      </c>
      <c r="J228" t="s">
        <v>40</v>
      </c>
      <c r="K228" t="s">
        <v>41</v>
      </c>
      <c r="L228" t="s">
        <v>2605</v>
      </c>
      <c r="M228" t="s">
        <v>2606</v>
      </c>
      <c r="N228" t="s">
        <v>2702</v>
      </c>
      <c r="O228" t="s">
        <v>113</v>
      </c>
      <c r="P228" t="s">
        <v>114</v>
      </c>
      <c r="Q228">
        <v>1.56931205402947</v>
      </c>
      <c r="R228" t="s">
        <v>46</v>
      </c>
      <c r="S228" t="s">
        <v>47</v>
      </c>
      <c r="T228" t="s">
        <v>2986</v>
      </c>
      <c r="V228" t="s">
        <v>71</v>
      </c>
      <c r="X228" t="s">
        <v>2987</v>
      </c>
      <c r="Y228" t="s">
        <v>412</v>
      </c>
      <c r="Z228" t="s">
        <v>2623</v>
      </c>
      <c r="AA228" t="s">
        <v>397</v>
      </c>
      <c r="AB228" t="s">
        <v>41</v>
      </c>
      <c r="AD228" t="s">
        <v>620</v>
      </c>
      <c r="AF228" t="s">
        <v>2174</v>
      </c>
      <c r="AJ228">
        <v>317.3341080410072</v>
      </c>
      <c r="AK228">
        <v>6350.8059677973661</v>
      </c>
    </row>
    <row r="229" spans="1:37" hidden="1" x14ac:dyDescent="0.25">
      <c r="A229">
        <v>234</v>
      </c>
      <c r="B229" t="s">
        <v>2989</v>
      </c>
      <c r="C229" t="s">
        <v>376</v>
      </c>
      <c r="D229" t="s">
        <v>2604</v>
      </c>
      <c r="E229" t="s">
        <v>37</v>
      </c>
      <c r="F229" t="s">
        <v>38</v>
      </c>
      <c r="G229" s="2">
        <v>45845</v>
      </c>
      <c r="H229">
        <v>3.6</v>
      </c>
      <c r="I229" t="s">
        <v>72</v>
      </c>
      <c r="J229" t="s">
        <v>40</v>
      </c>
      <c r="K229" t="s">
        <v>41</v>
      </c>
      <c r="L229" t="s">
        <v>2605</v>
      </c>
      <c r="M229" t="s">
        <v>2606</v>
      </c>
      <c r="N229" t="s">
        <v>2702</v>
      </c>
      <c r="O229" t="s">
        <v>113</v>
      </c>
      <c r="P229" t="s">
        <v>114</v>
      </c>
      <c r="Q229">
        <v>3.6519515700764869</v>
      </c>
      <c r="R229" t="s">
        <v>46</v>
      </c>
      <c r="S229" t="s">
        <v>47</v>
      </c>
      <c r="T229" t="s">
        <v>2986</v>
      </c>
      <c r="V229" t="s">
        <v>71</v>
      </c>
      <c r="X229" t="s">
        <v>2987</v>
      </c>
      <c r="Y229" t="s">
        <v>412</v>
      </c>
      <c r="Z229" t="s">
        <v>2623</v>
      </c>
      <c r="AA229" t="s">
        <v>397</v>
      </c>
      <c r="AB229" t="s">
        <v>41</v>
      </c>
      <c r="AD229" t="s">
        <v>620</v>
      </c>
      <c r="AF229" t="s">
        <v>2174</v>
      </c>
      <c r="AJ229">
        <v>579.41238729552947</v>
      </c>
      <c r="AK229">
        <v>14778.982781529799</v>
      </c>
    </row>
    <row r="230" spans="1:37" hidden="1" x14ac:dyDescent="0.25">
      <c r="A230">
        <v>235</v>
      </c>
      <c r="B230" t="s">
        <v>2990</v>
      </c>
      <c r="C230" t="s">
        <v>376</v>
      </c>
      <c r="D230" t="s">
        <v>2604</v>
      </c>
      <c r="E230" t="s">
        <v>37</v>
      </c>
      <c r="F230" t="s">
        <v>38</v>
      </c>
      <c r="G230" s="2">
        <v>45845</v>
      </c>
      <c r="H230">
        <v>3.5</v>
      </c>
      <c r="I230" t="s">
        <v>72</v>
      </c>
      <c r="J230" t="s">
        <v>40</v>
      </c>
      <c r="K230" t="s">
        <v>41</v>
      </c>
      <c r="L230" t="s">
        <v>2605</v>
      </c>
      <c r="M230" t="s">
        <v>2606</v>
      </c>
      <c r="N230" t="s">
        <v>2702</v>
      </c>
      <c r="O230" t="s">
        <v>113</v>
      </c>
      <c r="P230" t="s">
        <v>114</v>
      </c>
      <c r="Q230">
        <v>3.4954550777679461</v>
      </c>
      <c r="R230" t="s">
        <v>46</v>
      </c>
      <c r="S230" t="s">
        <v>47</v>
      </c>
      <c r="T230" t="s">
        <v>2986</v>
      </c>
      <c r="V230" t="s">
        <v>71</v>
      </c>
      <c r="X230" t="s">
        <v>2987</v>
      </c>
      <c r="Y230" t="s">
        <v>412</v>
      </c>
      <c r="Z230" t="s">
        <v>2623</v>
      </c>
      <c r="AA230" t="s">
        <v>397</v>
      </c>
      <c r="AB230" t="s">
        <v>41</v>
      </c>
      <c r="AD230" t="s">
        <v>620</v>
      </c>
      <c r="AF230" t="s">
        <v>2174</v>
      </c>
      <c r="AJ230">
        <v>744.66481765135393</v>
      </c>
      <c r="AK230">
        <v>14145.66141326497</v>
      </c>
    </row>
    <row r="231" spans="1:37" hidden="1" x14ac:dyDescent="0.25">
      <c r="A231">
        <v>236</v>
      </c>
      <c r="B231" t="s">
        <v>2991</v>
      </c>
      <c r="C231" t="s">
        <v>376</v>
      </c>
      <c r="D231" t="s">
        <v>2604</v>
      </c>
      <c r="E231" t="s">
        <v>37</v>
      </c>
      <c r="F231" t="s">
        <v>38</v>
      </c>
      <c r="G231" s="2">
        <v>45845</v>
      </c>
      <c r="H231">
        <v>11.2</v>
      </c>
      <c r="I231" t="s">
        <v>72</v>
      </c>
      <c r="J231" t="s">
        <v>40</v>
      </c>
      <c r="K231" t="s">
        <v>41</v>
      </c>
      <c r="L231" t="s">
        <v>2605</v>
      </c>
      <c r="M231" t="s">
        <v>2606</v>
      </c>
      <c r="N231" t="s">
        <v>2702</v>
      </c>
      <c r="O231" t="s">
        <v>113</v>
      </c>
      <c r="P231" t="s">
        <v>114</v>
      </c>
      <c r="Q231">
        <v>10.993045905728531</v>
      </c>
      <c r="R231" t="s">
        <v>46</v>
      </c>
      <c r="S231" t="s">
        <v>47</v>
      </c>
      <c r="T231" t="s">
        <v>2986</v>
      </c>
      <c r="V231" t="s">
        <v>71</v>
      </c>
      <c r="X231" t="s">
        <v>2987</v>
      </c>
      <c r="Y231" t="s">
        <v>412</v>
      </c>
      <c r="Z231" t="s">
        <v>2623</v>
      </c>
      <c r="AA231" t="s">
        <v>397</v>
      </c>
      <c r="AB231" t="s">
        <v>41</v>
      </c>
      <c r="AD231" t="s">
        <v>620</v>
      </c>
      <c r="AF231" t="s">
        <v>2174</v>
      </c>
      <c r="AJ231">
        <v>836.44077571438447</v>
      </c>
      <c r="AK231">
        <v>44487.456374983078</v>
      </c>
    </row>
    <row r="232" spans="1:37" x14ac:dyDescent="0.25">
      <c r="A232">
        <v>246</v>
      </c>
      <c r="B232" t="s">
        <v>3012</v>
      </c>
      <c r="C232" t="s">
        <v>376</v>
      </c>
      <c r="D232" t="s">
        <v>2604</v>
      </c>
      <c r="E232" t="s">
        <v>37</v>
      </c>
      <c r="F232" t="s">
        <v>38</v>
      </c>
      <c r="G232" s="2">
        <v>45846</v>
      </c>
      <c r="H232">
        <v>17.600000000000001</v>
      </c>
      <c r="I232" t="s">
        <v>72</v>
      </c>
      <c r="J232" t="s">
        <v>40</v>
      </c>
      <c r="K232" t="s">
        <v>41</v>
      </c>
      <c r="L232" t="s">
        <v>2605</v>
      </c>
      <c r="M232" t="s">
        <v>2606</v>
      </c>
      <c r="N232" t="s">
        <v>2712</v>
      </c>
      <c r="O232" t="s">
        <v>62</v>
      </c>
      <c r="P232" t="s">
        <v>63</v>
      </c>
      <c r="Q232">
        <v>17.40679624945388</v>
      </c>
      <c r="R232" t="s">
        <v>64</v>
      </c>
      <c r="S232" t="s">
        <v>65</v>
      </c>
      <c r="T232" t="s">
        <v>2996</v>
      </c>
      <c r="V232" t="s">
        <v>71</v>
      </c>
      <c r="X232" t="s">
        <v>2997</v>
      </c>
      <c r="Y232" t="s">
        <v>412</v>
      </c>
      <c r="Z232" t="s">
        <v>2623</v>
      </c>
      <c r="AA232" t="s">
        <v>896</v>
      </c>
      <c r="AB232" t="s">
        <v>41</v>
      </c>
      <c r="AD232" t="s">
        <v>620</v>
      </c>
      <c r="AF232" t="s">
        <v>2667</v>
      </c>
      <c r="AJ232">
        <v>1266.3439862779489</v>
      </c>
      <c r="AK232">
        <v>70443.086967576761</v>
      </c>
    </row>
    <row r="233" spans="1:37" hidden="1" x14ac:dyDescent="0.25">
      <c r="A233">
        <v>238</v>
      </c>
      <c r="B233" t="s">
        <v>2995</v>
      </c>
      <c r="C233" t="s">
        <v>376</v>
      </c>
      <c r="D233" t="s">
        <v>2604</v>
      </c>
      <c r="E233" t="s">
        <v>37</v>
      </c>
      <c r="F233" t="s">
        <v>38</v>
      </c>
      <c r="G233" s="2">
        <v>45846</v>
      </c>
      <c r="H233">
        <v>17.8</v>
      </c>
      <c r="I233" t="s">
        <v>72</v>
      </c>
      <c r="J233" t="s">
        <v>40</v>
      </c>
      <c r="K233" t="s">
        <v>41</v>
      </c>
      <c r="L233" t="s">
        <v>2605</v>
      </c>
      <c r="M233" t="s">
        <v>2606</v>
      </c>
      <c r="N233" t="s">
        <v>2712</v>
      </c>
      <c r="O233" t="s">
        <v>79</v>
      </c>
      <c r="P233" t="s">
        <v>80</v>
      </c>
      <c r="Q233">
        <v>12.9102227404735</v>
      </c>
      <c r="R233" t="s">
        <v>46</v>
      </c>
      <c r="S233" t="s">
        <v>47</v>
      </c>
      <c r="T233" t="s">
        <v>2996</v>
      </c>
      <c r="V233" t="s">
        <v>71</v>
      </c>
      <c r="X233" t="s">
        <v>2997</v>
      </c>
      <c r="Y233" t="s">
        <v>412</v>
      </c>
      <c r="Z233" t="s">
        <v>2623</v>
      </c>
      <c r="AA233" t="s">
        <v>896</v>
      </c>
      <c r="AB233" t="s">
        <v>41</v>
      </c>
      <c r="AD233" t="s">
        <v>620</v>
      </c>
      <c r="AF233" t="s">
        <v>2667</v>
      </c>
      <c r="AJ233">
        <v>958.21295084713222</v>
      </c>
      <c r="AK233">
        <v>52246.026795797923</v>
      </c>
    </row>
    <row r="234" spans="1:37" hidden="1" x14ac:dyDescent="0.25">
      <c r="A234">
        <v>239</v>
      </c>
      <c r="B234" t="s">
        <v>2998</v>
      </c>
      <c r="C234" t="s">
        <v>376</v>
      </c>
      <c r="D234" t="s">
        <v>2604</v>
      </c>
      <c r="E234" t="s">
        <v>37</v>
      </c>
      <c r="F234" t="s">
        <v>38</v>
      </c>
      <c r="G234" s="2">
        <v>45846</v>
      </c>
      <c r="H234">
        <v>17.899999999999999</v>
      </c>
      <c r="I234" t="s">
        <v>72</v>
      </c>
      <c r="J234" t="s">
        <v>40</v>
      </c>
      <c r="K234" t="s">
        <v>41</v>
      </c>
      <c r="L234" t="s">
        <v>2605</v>
      </c>
      <c r="M234" t="s">
        <v>2606</v>
      </c>
      <c r="N234" t="s">
        <v>2712</v>
      </c>
      <c r="O234" t="s">
        <v>79</v>
      </c>
      <c r="P234" t="s">
        <v>80</v>
      </c>
      <c r="Q234">
        <v>18.790390428794758</v>
      </c>
      <c r="R234" t="s">
        <v>46</v>
      </c>
      <c r="S234" t="s">
        <v>47</v>
      </c>
      <c r="T234" t="s">
        <v>2996</v>
      </c>
      <c r="V234" t="s">
        <v>71</v>
      </c>
      <c r="X234" t="s">
        <v>2997</v>
      </c>
      <c r="Y234" t="s">
        <v>412</v>
      </c>
      <c r="Z234" t="s">
        <v>2623</v>
      </c>
      <c r="AA234" t="s">
        <v>896</v>
      </c>
      <c r="AB234" t="s">
        <v>41</v>
      </c>
      <c r="AD234" t="s">
        <v>620</v>
      </c>
      <c r="AF234" t="s">
        <v>2667</v>
      </c>
      <c r="AJ234">
        <v>1285.101012082328</v>
      </c>
      <c r="AK234">
        <v>76042.316355132818</v>
      </c>
    </row>
    <row r="235" spans="1:37" x14ac:dyDescent="0.25">
      <c r="A235">
        <v>249</v>
      </c>
      <c r="B235" t="s">
        <v>3020</v>
      </c>
      <c r="C235" t="s">
        <v>376</v>
      </c>
      <c r="D235" t="s">
        <v>2604</v>
      </c>
      <c r="E235" t="s">
        <v>37</v>
      </c>
      <c r="F235" t="s">
        <v>38</v>
      </c>
      <c r="G235" s="2">
        <v>45846</v>
      </c>
      <c r="H235">
        <v>0.1</v>
      </c>
      <c r="I235" t="s">
        <v>72</v>
      </c>
      <c r="J235" t="s">
        <v>40</v>
      </c>
      <c r="K235" t="s">
        <v>41</v>
      </c>
      <c r="L235" t="s">
        <v>2605</v>
      </c>
      <c r="M235" t="s">
        <v>2606</v>
      </c>
      <c r="O235" t="s">
        <v>62</v>
      </c>
      <c r="P235" t="s">
        <v>63</v>
      </c>
      <c r="Q235">
        <v>4.2739058969212769E-2</v>
      </c>
      <c r="R235" t="s">
        <v>64</v>
      </c>
      <c r="S235" t="s">
        <v>65</v>
      </c>
      <c r="T235" t="s">
        <v>2747</v>
      </c>
      <c r="V235" t="s">
        <v>71</v>
      </c>
      <c r="X235" t="s">
        <v>376</v>
      </c>
      <c r="Y235" t="s">
        <v>412</v>
      </c>
      <c r="Z235" t="s">
        <v>2623</v>
      </c>
      <c r="AA235" t="s">
        <v>896</v>
      </c>
      <c r="AB235" t="s">
        <v>41</v>
      </c>
      <c r="AD235" t="s">
        <v>620</v>
      </c>
      <c r="AJ235">
        <v>52.822484764668253</v>
      </c>
      <c r="AK235">
        <v>172.9595271143076</v>
      </c>
    </row>
    <row r="236" spans="1:37" hidden="1" x14ac:dyDescent="0.25">
      <c r="A236">
        <v>241</v>
      </c>
      <c r="B236" t="s">
        <v>3002</v>
      </c>
      <c r="C236" t="s">
        <v>376</v>
      </c>
      <c r="D236" t="s">
        <v>2604</v>
      </c>
      <c r="E236" t="s">
        <v>37</v>
      </c>
      <c r="F236" t="s">
        <v>38</v>
      </c>
      <c r="G236" s="2">
        <v>45845</v>
      </c>
      <c r="H236">
        <v>15.6</v>
      </c>
      <c r="I236" t="s">
        <v>72</v>
      </c>
      <c r="J236" t="s">
        <v>40</v>
      </c>
      <c r="K236" t="s">
        <v>41</v>
      </c>
      <c r="L236" t="s">
        <v>2605</v>
      </c>
      <c r="M236" t="s">
        <v>2606</v>
      </c>
      <c r="N236" t="s">
        <v>2702</v>
      </c>
      <c r="O236" t="s">
        <v>113</v>
      </c>
      <c r="P236" t="s">
        <v>114</v>
      </c>
      <c r="Q236">
        <v>8.1978612698758209</v>
      </c>
      <c r="R236" t="s">
        <v>46</v>
      </c>
      <c r="S236" t="s">
        <v>47</v>
      </c>
      <c r="T236" t="s">
        <v>2993</v>
      </c>
      <c r="V236" t="s">
        <v>71</v>
      </c>
      <c r="X236" t="s">
        <v>2880</v>
      </c>
      <c r="Y236" t="s">
        <v>412</v>
      </c>
      <c r="Z236" t="s">
        <v>2623</v>
      </c>
      <c r="AA236" t="s">
        <v>397</v>
      </c>
      <c r="AB236" t="s">
        <v>41</v>
      </c>
      <c r="AD236" t="s">
        <v>620</v>
      </c>
      <c r="AF236" t="s">
        <v>2994</v>
      </c>
      <c r="AJ236">
        <v>963.84267684167014</v>
      </c>
      <c r="AK236">
        <v>33175.700232609408</v>
      </c>
    </row>
    <row r="237" spans="1:37" hidden="1" x14ac:dyDescent="0.25">
      <c r="A237">
        <v>242</v>
      </c>
      <c r="B237" t="s">
        <v>3003</v>
      </c>
      <c r="C237" t="s">
        <v>376</v>
      </c>
      <c r="D237" t="s">
        <v>2604</v>
      </c>
      <c r="E237" t="s">
        <v>37</v>
      </c>
      <c r="F237" t="s">
        <v>38</v>
      </c>
      <c r="G237" s="2">
        <v>45845</v>
      </c>
      <c r="H237">
        <v>2.5</v>
      </c>
      <c r="I237" t="s">
        <v>72</v>
      </c>
      <c r="J237" t="s">
        <v>40</v>
      </c>
      <c r="K237" t="s">
        <v>41</v>
      </c>
      <c r="L237" t="s">
        <v>2605</v>
      </c>
      <c r="M237" t="s">
        <v>2606</v>
      </c>
      <c r="N237" t="s">
        <v>2702</v>
      </c>
      <c r="O237" t="s">
        <v>113</v>
      </c>
      <c r="P237" t="s">
        <v>114</v>
      </c>
      <c r="Q237">
        <v>2.4975781618787138</v>
      </c>
      <c r="R237" t="s">
        <v>46</v>
      </c>
      <c r="S237" t="s">
        <v>47</v>
      </c>
      <c r="T237" t="s">
        <v>2993</v>
      </c>
      <c r="V237" t="s">
        <v>71</v>
      </c>
      <c r="X237" t="s">
        <v>2880</v>
      </c>
      <c r="Y237" t="s">
        <v>412</v>
      </c>
      <c r="Z237" t="s">
        <v>2623</v>
      </c>
      <c r="AA237" t="s">
        <v>397</v>
      </c>
      <c r="AB237" t="s">
        <v>41</v>
      </c>
      <c r="AD237" t="s">
        <v>620</v>
      </c>
      <c r="AF237" t="s">
        <v>2994</v>
      </c>
      <c r="AJ237">
        <v>519.8111903223097</v>
      </c>
      <c r="AK237">
        <v>10107.380654327049</v>
      </c>
    </row>
    <row r="238" spans="1:37" x14ac:dyDescent="0.25">
      <c r="A238">
        <v>250</v>
      </c>
      <c r="B238" t="s">
        <v>3021</v>
      </c>
      <c r="C238" t="s">
        <v>376</v>
      </c>
      <c r="D238" t="s">
        <v>2604</v>
      </c>
      <c r="E238" t="s">
        <v>37</v>
      </c>
      <c r="F238" t="s">
        <v>38</v>
      </c>
      <c r="G238" s="2">
        <v>45845</v>
      </c>
      <c r="H238">
        <v>0.9</v>
      </c>
      <c r="I238" t="s">
        <v>72</v>
      </c>
      <c r="J238" t="s">
        <v>40</v>
      </c>
      <c r="K238" t="s">
        <v>41</v>
      </c>
      <c r="L238" t="s">
        <v>2605</v>
      </c>
      <c r="M238" t="s">
        <v>2606</v>
      </c>
      <c r="N238" t="s">
        <v>2702</v>
      </c>
      <c r="O238" t="s">
        <v>62</v>
      </c>
      <c r="P238" t="s">
        <v>63</v>
      </c>
      <c r="Q238">
        <v>0.87829515171328298</v>
      </c>
      <c r="R238" t="s">
        <v>64</v>
      </c>
      <c r="S238" t="s">
        <v>65</v>
      </c>
      <c r="T238" t="s">
        <v>2993</v>
      </c>
      <c r="V238" t="s">
        <v>71</v>
      </c>
      <c r="X238" t="s">
        <v>2880</v>
      </c>
      <c r="Y238" t="s">
        <v>412</v>
      </c>
      <c r="Z238" t="s">
        <v>2623</v>
      </c>
      <c r="AA238" t="s">
        <v>397</v>
      </c>
      <c r="AB238" t="s">
        <v>41</v>
      </c>
      <c r="AD238" t="s">
        <v>620</v>
      </c>
      <c r="AF238" t="s">
        <v>2994</v>
      </c>
      <c r="AJ238">
        <v>336.3284447944385</v>
      </c>
      <c r="AK238">
        <v>3554.3485928538348</v>
      </c>
    </row>
    <row r="239" spans="1:37" x14ac:dyDescent="0.25">
      <c r="A239">
        <v>251</v>
      </c>
      <c r="B239" t="s">
        <v>3022</v>
      </c>
      <c r="C239" t="s">
        <v>376</v>
      </c>
      <c r="D239" t="s">
        <v>2604</v>
      </c>
      <c r="E239" t="s">
        <v>37</v>
      </c>
      <c r="F239" t="s">
        <v>38</v>
      </c>
      <c r="G239" s="2">
        <v>45845</v>
      </c>
      <c r="H239">
        <v>0.8</v>
      </c>
      <c r="I239" t="s">
        <v>72</v>
      </c>
      <c r="J239" t="s">
        <v>40</v>
      </c>
      <c r="K239" t="s">
        <v>41</v>
      </c>
      <c r="L239" t="s">
        <v>2605</v>
      </c>
      <c r="M239" t="s">
        <v>2606</v>
      </c>
      <c r="N239" t="s">
        <v>2702</v>
      </c>
      <c r="O239" t="s">
        <v>62</v>
      </c>
      <c r="P239" t="s">
        <v>63</v>
      </c>
      <c r="Q239">
        <v>0.77372668791004939</v>
      </c>
      <c r="R239" t="s">
        <v>64</v>
      </c>
      <c r="S239" t="s">
        <v>65</v>
      </c>
      <c r="T239" t="s">
        <v>2993</v>
      </c>
      <c r="V239" t="s">
        <v>71</v>
      </c>
      <c r="X239" t="s">
        <v>2880</v>
      </c>
      <c r="Y239" t="s">
        <v>412</v>
      </c>
      <c r="Z239" t="s">
        <v>2623</v>
      </c>
      <c r="AA239" t="s">
        <v>397</v>
      </c>
      <c r="AB239" t="s">
        <v>41</v>
      </c>
      <c r="AD239" t="s">
        <v>620</v>
      </c>
      <c r="AF239" t="s">
        <v>2994</v>
      </c>
      <c r="AJ239">
        <v>260.27799960002068</v>
      </c>
      <c r="AK239">
        <v>3131.1733408319019</v>
      </c>
    </row>
    <row r="240" spans="1:37" x14ac:dyDescent="0.25">
      <c r="A240">
        <v>253</v>
      </c>
      <c r="B240" t="s">
        <v>3024</v>
      </c>
      <c r="C240" t="s">
        <v>376</v>
      </c>
      <c r="D240" t="s">
        <v>2604</v>
      </c>
      <c r="E240" t="s">
        <v>37</v>
      </c>
      <c r="F240" t="s">
        <v>38</v>
      </c>
      <c r="G240" s="2">
        <v>45845</v>
      </c>
      <c r="H240">
        <v>2.8</v>
      </c>
      <c r="I240" t="s">
        <v>72</v>
      </c>
      <c r="J240" t="s">
        <v>40</v>
      </c>
      <c r="K240" t="s">
        <v>41</v>
      </c>
      <c r="L240" t="s">
        <v>2605</v>
      </c>
      <c r="M240" t="s">
        <v>2606</v>
      </c>
      <c r="N240" t="s">
        <v>2702</v>
      </c>
      <c r="O240" t="s">
        <v>62</v>
      </c>
      <c r="P240" t="s">
        <v>63</v>
      </c>
      <c r="Q240">
        <v>2.800561823663577</v>
      </c>
      <c r="R240" t="s">
        <v>64</v>
      </c>
      <c r="S240" t="s">
        <v>65</v>
      </c>
      <c r="T240" t="s">
        <v>2993</v>
      </c>
      <c r="V240" t="s">
        <v>71</v>
      </c>
      <c r="X240" t="s">
        <v>2880</v>
      </c>
      <c r="Y240" t="s">
        <v>412</v>
      </c>
      <c r="Z240" t="s">
        <v>2623</v>
      </c>
      <c r="AA240" t="s">
        <v>397</v>
      </c>
      <c r="AB240" t="s">
        <v>41</v>
      </c>
      <c r="AD240" t="s">
        <v>620</v>
      </c>
      <c r="AF240" t="s">
        <v>2994</v>
      </c>
      <c r="AJ240">
        <v>543.54402167335616</v>
      </c>
      <c r="AK240">
        <v>11333.516936443621</v>
      </c>
    </row>
    <row r="241" spans="1:37" x14ac:dyDescent="0.25">
      <c r="A241">
        <v>254</v>
      </c>
      <c r="B241" t="s">
        <v>3025</v>
      </c>
      <c r="C241" t="s">
        <v>376</v>
      </c>
      <c r="D241" t="s">
        <v>2604</v>
      </c>
      <c r="E241" t="s">
        <v>37</v>
      </c>
      <c r="F241" t="s">
        <v>38</v>
      </c>
      <c r="G241" s="2">
        <v>45845</v>
      </c>
      <c r="H241">
        <v>3.7</v>
      </c>
      <c r="I241" t="s">
        <v>72</v>
      </c>
      <c r="J241" t="s">
        <v>40</v>
      </c>
      <c r="K241" t="s">
        <v>41</v>
      </c>
      <c r="L241" t="s">
        <v>2605</v>
      </c>
      <c r="M241" t="s">
        <v>2606</v>
      </c>
      <c r="N241" t="s">
        <v>2702</v>
      </c>
      <c r="O241" t="s">
        <v>62</v>
      </c>
      <c r="P241" t="s">
        <v>63</v>
      </c>
      <c r="Q241">
        <v>3.8253698843403918</v>
      </c>
      <c r="R241" t="s">
        <v>64</v>
      </c>
      <c r="S241" t="s">
        <v>65</v>
      </c>
      <c r="T241" t="s">
        <v>2993</v>
      </c>
      <c r="V241" t="s">
        <v>71</v>
      </c>
      <c r="X241" t="s">
        <v>2880</v>
      </c>
      <c r="Y241" t="s">
        <v>412</v>
      </c>
      <c r="Z241" t="s">
        <v>2623</v>
      </c>
      <c r="AA241" t="s">
        <v>397</v>
      </c>
      <c r="AB241" t="s">
        <v>41</v>
      </c>
      <c r="AD241" t="s">
        <v>620</v>
      </c>
      <c r="AF241" t="s">
        <v>2994</v>
      </c>
      <c r="AJ241">
        <v>550.02587592328712</v>
      </c>
      <c r="AK241">
        <v>15480.784607574969</v>
      </c>
    </row>
    <row r="242" spans="1:37" hidden="1" x14ac:dyDescent="0.25">
      <c r="A242">
        <v>247</v>
      </c>
      <c r="B242" t="s">
        <v>3013</v>
      </c>
      <c r="C242" t="s">
        <v>376</v>
      </c>
      <c r="D242" t="s">
        <v>2604</v>
      </c>
      <c r="E242" t="s">
        <v>37</v>
      </c>
      <c r="F242" t="s">
        <v>38</v>
      </c>
      <c r="G242" s="2">
        <v>45845</v>
      </c>
      <c r="H242">
        <v>8.3000000000000007</v>
      </c>
      <c r="I242" t="s">
        <v>72</v>
      </c>
      <c r="J242" t="s">
        <v>40</v>
      </c>
      <c r="K242" t="s">
        <v>41</v>
      </c>
      <c r="L242" t="s">
        <v>2605</v>
      </c>
      <c r="M242" t="s">
        <v>2606</v>
      </c>
      <c r="N242" t="s">
        <v>2702</v>
      </c>
      <c r="O242" t="s">
        <v>113</v>
      </c>
      <c r="P242" t="s">
        <v>114</v>
      </c>
      <c r="Q242">
        <v>7.8781643134070256</v>
      </c>
      <c r="R242" t="s">
        <v>46</v>
      </c>
      <c r="S242" t="s">
        <v>47</v>
      </c>
      <c r="T242" t="s">
        <v>3014</v>
      </c>
      <c r="V242" t="s">
        <v>71</v>
      </c>
      <c r="X242" t="s">
        <v>2987</v>
      </c>
      <c r="Y242" t="s">
        <v>412</v>
      </c>
      <c r="Z242" t="s">
        <v>2623</v>
      </c>
      <c r="AA242" t="s">
        <v>896</v>
      </c>
      <c r="AB242" t="s">
        <v>41</v>
      </c>
      <c r="AD242" t="s">
        <v>620</v>
      </c>
      <c r="AF242" t="s">
        <v>2174</v>
      </c>
      <c r="AJ242">
        <v>718.33349904555291</v>
      </c>
      <c r="AK242">
        <v>31881.92737601569</v>
      </c>
    </row>
    <row r="243" spans="1:37" hidden="1" x14ac:dyDescent="0.25">
      <c r="A243">
        <v>248</v>
      </c>
      <c r="B243" t="s">
        <v>3015</v>
      </c>
      <c r="C243" t="s">
        <v>376</v>
      </c>
      <c r="D243" t="s">
        <v>2604</v>
      </c>
      <c r="E243" t="s">
        <v>37</v>
      </c>
      <c r="F243" t="s">
        <v>38</v>
      </c>
      <c r="G243" s="2">
        <v>45869</v>
      </c>
      <c r="H243">
        <v>2.2999999999999998</v>
      </c>
      <c r="I243" t="s">
        <v>72</v>
      </c>
      <c r="J243" t="s">
        <v>40</v>
      </c>
      <c r="K243" t="s">
        <v>41</v>
      </c>
      <c r="L243" t="s">
        <v>2605</v>
      </c>
      <c r="M243" t="s">
        <v>2606</v>
      </c>
      <c r="O243" t="s">
        <v>99</v>
      </c>
      <c r="P243" t="s">
        <v>100</v>
      </c>
      <c r="Q243">
        <v>1.810277747816238</v>
      </c>
      <c r="R243" t="s">
        <v>60</v>
      </c>
      <c r="S243" t="s">
        <v>66</v>
      </c>
      <c r="T243" t="s">
        <v>3016</v>
      </c>
      <c r="V243" t="s">
        <v>563</v>
      </c>
      <c r="X243" t="s">
        <v>3017</v>
      </c>
      <c r="Y243" t="s">
        <v>412</v>
      </c>
      <c r="Z243" t="s">
        <v>2623</v>
      </c>
      <c r="AA243" t="s">
        <v>180</v>
      </c>
      <c r="AB243" t="s">
        <v>41</v>
      </c>
      <c r="AD243" t="s">
        <v>3018</v>
      </c>
      <c r="AF243" t="s">
        <v>3019</v>
      </c>
      <c r="AJ243">
        <v>484.09449342632439</v>
      </c>
      <c r="AK243">
        <v>7325.9634339023823</v>
      </c>
    </row>
    <row r="244" spans="1:37" x14ac:dyDescent="0.25">
      <c r="A244">
        <v>255</v>
      </c>
      <c r="B244" t="s">
        <v>3026</v>
      </c>
      <c r="C244" t="s">
        <v>376</v>
      </c>
      <c r="D244" t="s">
        <v>2604</v>
      </c>
      <c r="E244" t="s">
        <v>37</v>
      </c>
      <c r="F244" t="s">
        <v>38</v>
      </c>
      <c r="G244" s="2">
        <v>45845</v>
      </c>
      <c r="H244">
        <v>4.7</v>
      </c>
      <c r="I244" t="s">
        <v>72</v>
      </c>
      <c r="J244" t="s">
        <v>40</v>
      </c>
      <c r="K244" t="s">
        <v>41</v>
      </c>
      <c r="L244" t="s">
        <v>2605</v>
      </c>
      <c r="M244" t="s">
        <v>2606</v>
      </c>
      <c r="N244" t="s">
        <v>3027</v>
      </c>
      <c r="O244" t="s">
        <v>62</v>
      </c>
      <c r="P244" t="s">
        <v>63</v>
      </c>
      <c r="Q244">
        <v>4.5703767924301344</v>
      </c>
      <c r="R244" t="s">
        <v>64</v>
      </c>
      <c r="S244" t="s">
        <v>65</v>
      </c>
      <c r="T244" t="s">
        <v>3028</v>
      </c>
      <c r="V244" t="s">
        <v>71</v>
      </c>
      <c r="X244" t="s">
        <v>3029</v>
      </c>
      <c r="Y244" t="s">
        <v>412</v>
      </c>
      <c r="Z244" t="s">
        <v>2623</v>
      </c>
      <c r="AA244" t="s">
        <v>397</v>
      </c>
      <c r="AB244" t="s">
        <v>41</v>
      </c>
      <c r="AD244" t="s">
        <v>620</v>
      </c>
      <c r="AF244" t="s">
        <v>2667</v>
      </c>
      <c r="AJ244">
        <v>599.41773567430869</v>
      </c>
      <c r="AK244">
        <v>18495.732658090448</v>
      </c>
    </row>
    <row r="245" spans="1:37" x14ac:dyDescent="0.25">
      <c r="A245">
        <v>257</v>
      </c>
      <c r="B245" t="s">
        <v>3031</v>
      </c>
      <c r="C245" t="s">
        <v>376</v>
      </c>
      <c r="D245" t="s">
        <v>2604</v>
      </c>
      <c r="E245" t="s">
        <v>37</v>
      </c>
      <c r="F245" t="s">
        <v>38</v>
      </c>
      <c r="G245" s="2">
        <v>45846</v>
      </c>
      <c r="H245">
        <v>1.9</v>
      </c>
      <c r="I245" t="s">
        <v>72</v>
      </c>
      <c r="J245" t="s">
        <v>40</v>
      </c>
      <c r="K245" t="s">
        <v>41</v>
      </c>
      <c r="L245" t="s">
        <v>2605</v>
      </c>
      <c r="M245" t="s">
        <v>2606</v>
      </c>
      <c r="N245" t="s">
        <v>2712</v>
      </c>
      <c r="O245" t="s">
        <v>62</v>
      </c>
      <c r="P245" t="s">
        <v>63</v>
      </c>
      <c r="Q245">
        <v>1.81269634999133</v>
      </c>
      <c r="R245" t="s">
        <v>64</v>
      </c>
      <c r="S245" t="s">
        <v>65</v>
      </c>
      <c r="T245" t="s">
        <v>2996</v>
      </c>
      <c r="V245" t="s">
        <v>71</v>
      </c>
      <c r="X245" t="s">
        <v>2997</v>
      </c>
      <c r="Y245" t="s">
        <v>412</v>
      </c>
      <c r="Z245" t="s">
        <v>2623</v>
      </c>
      <c r="AA245" t="s">
        <v>896</v>
      </c>
      <c r="AB245" t="s">
        <v>41</v>
      </c>
      <c r="AD245" t="s">
        <v>620</v>
      </c>
      <c r="AF245" t="s">
        <v>2667</v>
      </c>
      <c r="AJ245">
        <v>386.50071511429309</v>
      </c>
      <c r="AK245">
        <v>7335.7512087989426</v>
      </c>
    </row>
    <row r="246" spans="1:37" x14ac:dyDescent="0.25">
      <c r="A246">
        <v>259</v>
      </c>
      <c r="B246" t="s">
        <v>3033</v>
      </c>
      <c r="C246" t="s">
        <v>376</v>
      </c>
      <c r="D246" t="s">
        <v>2604</v>
      </c>
      <c r="E246" t="s">
        <v>37</v>
      </c>
      <c r="F246" t="s">
        <v>38</v>
      </c>
      <c r="G246" s="2">
        <v>45845</v>
      </c>
      <c r="H246">
        <v>0.4</v>
      </c>
      <c r="I246" t="s">
        <v>72</v>
      </c>
      <c r="J246" t="s">
        <v>40</v>
      </c>
      <c r="K246" t="s">
        <v>41</v>
      </c>
      <c r="L246" t="s">
        <v>2605</v>
      </c>
      <c r="M246" t="s">
        <v>2606</v>
      </c>
      <c r="N246" t="s">
        <v>2702</v>
      </c>
      <c r="O246" t="s">
        <v>62</v>
      </c>
      <c r="P246" t="s">
        <v>63</v>
      </c>
      <c r="Q246">
        <v>0.35190992171134228</v>
      </c>
      <c r="R246" t="s">
        <v>64</v>
      </c>
      <c r="S246" t="s">
        <v>65</v>
      </c>
      <c r="T246" t="s">
        <v>3034</v>
      </c>
      <c r="V246" t="s">
        <v>71</v>
      </c>
      <c r="X246" t="s">
        <v>2987</v>
      </c>
      <c r="Y246" t="s">
        <v>412</v>
      </c>
      <c r="Z246" t="s">
        <v>2623</v>
      </c>
      <c r="AA246" t="s">
        <v>397</v>
      </c>
      <c r="AB246" t="s">
        <v>41</v>
      </c>
      <c r="AD246" t="s">
        <v>620</v>
      </c>
      <c r="AF246" t="s">
        <v>2174</v>
      </c>
      <c r="AJ246">
        <v>153.58793381580421</v>
      </c>
      <c r="AK246">
        <v>1424.134623316623</v>
      </c>
    </row>
    <row r="247" spans="1:37" hidden="1" x14ac:dyDescent="0.25">
      <c r="A247">
        <v>252</v>
      </c>
      <c r="B247" t="s">
        <v>3023</v>
      </c>
      <c r="C247" t="s">
        <v>376</v>
      </c>
      <c r="D247" t="s">
        <v>2604</v>
      </c>
      <c r="E247" t="s">
        <v>37</v>
      </c>
      <c r="F247" t="s">
        <v>38</v>
      </c>
      <c r="G247" s="2">
        <v>45869</v>
      </c>
      <c r="H247">
        <v>0.2</v>
      </c>
      <c r="I247" t="s">
        <v>72</v>
      </c>
      <c r="J247" t="s">
        <v>40</v>
      </c>
      <c r="K247" t="s">
        <v>41</v>
      </c>
      <c r="L247" t="s">
        <v>2605</v>
      </c>
      <c r="M247" t="s">
        <v>2606</v>
      </c>
      <c r="O247" t="s">
        <v>99</v>
      </c>
      <c r="P247" t="s">
        <v>100</v>
      </c>
      <c r="Q247">
        <v>0.22673516574314881</v>
      </c>
      <c r="R247" t="s">
        <v>60</v>
      </c>
      <c r="S247" t="s">
        <v>66</v>
      </c>
      <c r="T247" t="s">
        <v>3016</v>
      </c>
      <c r="V247" t="s">
        <v>563</v>
      </c>
      <c r="X247" t="s">
        <v>3017</v>
      </c>
      <c r="Y247" t="s">
        <v>412</v>
      </c>
      <c r="Z247" t="s">
        <v>2623</v>
      </c>
      <c r="AA247" t="s">
        <v>180</v>
      </c>
      <c r="AB247" t="s">
        <v>41</v>
      </c>
      <c r="AD247" t="s">
        <v>3018</v>
      </c>
      <c r="AF247" t="s">
        <v>3019</v>
      </c>
      <c r="AJ247">
        <v>127.531348287217</v>
      </c>
      <c r="AK247">
        <v>917.56833194124783</v>
      </c>
    </row>
    <row r="248" spans="1:37" x14ac:dyDescent="0.25">
      <c r="A248">
        <v>260</v>
      </c>
      <c r="B248" t="s">
        <v>3035</v>
      </c>
      <c r="C248" t="s">
        <v>376</v>
      </c>
      <c r="D248" t="s">
        <v>2604</v>
      </c>
      <c r="E248" t="s">
        <v>37</v>
      </c>
      <c r="F248" t="s">
        <v>38</v>
      </c>
      <c r="G248" s="2">
        <v>45845</v>
      </c>
      <c r="H248">
        <v>0.1</v>
      </c>
      <c r="I248" t="s">
        <v>72</v>
      </c>
      <c r="J248" t="s">
        <v>40</v>
      </c>
      <c r="K248" t="s">
        <v>41</v>
      </c>
      <c r="L248" t="s">
        <v>2605</v>
      </c>
      <c r="M248" t="s">
        <v>2606</v>
      </c>
      <c r="N248" t="s">
        <v>2702</v>
      </c>
      <c r="O248" t="s">
        <v>62</v>
      </c>
      <c r="P248" t="s">
        <v>63</v>
      </c>
      <c r="Q248">
        <v>0.1124134522913454</v>
      </c>
      <c r="R248" t="s">
        <v>64</v>
      </c>
      <c r="S248" t="s">
        <v>65</v>
      </c>
      <c r="T248" t="s">
        <v>3034</v>
      </c>
      <c r="V248" t="s">
        <v>71</v>
      </c>
      <c r="X248" t="s">
        <v>2987</v>
      </c>
      <c r="Y248" t="s">
        <v>412</v>
      </c>
      <c r="Z248" t="s">
        <v>2623</v>
      </c>
      <c r="AA248" t="s">
        <v>397</v>
      </c>
      <c r="AB248" t="s">
        <v>41</v>
      </c>
      <c r="AD248" t="s">
        <v>620</v>
      </c>
      <c r="AF248" t="s">
        <v>2174</v>
      </c>
      <c r="AJ248">
        <v>102.79027167334139</v>
      </c>
      <c r="AK248">
        <v>454.92292105925151</v>
      </c>
    </row>
    <row r="249" spans="1:37" x14ac:dyDescent="0.25">
      <c r="A249">
        <v>261</v>
      </c>
      <c r="B249" t="s">
        <v>3036</v>
      </c>
      <c r="C249" t="s">
        <v>376</v>
      </c>
      <c r="D249" t="s">
        <v>2604</v>
      </c>
      <c r="E249" t="s">
        <v>37</v>
      </c>
      <c r="F249" t="s">
        <v>38</v>
      </c>
      <c r="G249" s="2">
        <v>45845</v>
      </c>
      <c r="H249">
        <v>0.5</v>
      </c>
      <c r="I249" t="s">
        <v>72</v>
      </c>
      <c r="J249" t="s">
        <v>40</v>
      </c>
      <c r="K249" t="s">
        <v>41</v>
      </c>
      <c r="L249" t="s">
        <v>2605</v>
      </c>
      <c r="M249" t="s">
        <v>2606</v>
      </c>
      <c r="N249" t="s">
        <v>2702</v>
      </c>
      <c r="O249" t="s">
        <v>62</v>
      </c>
      <c r="P249" t="s">
        <v>63</v>
      </c>
      <c r="Q249">
        <v>0.43706621093468101</v>
      </c>
      <c r="R249" t="s">
        <v>64</v>
      </c>
      <c r="S249" t="s">
        <v>65</v>
      </c>
      <c r="T249" t="s">
        <v>3034</v>
      </c>
      <c r="V249" t="s">
        <v>71</v>
      </c>
      <c r="X249" t="s">
        <v>2987</v>
      </c>
      <c r="Y249" t="s">
        <v>412</v>
      </c>
      <c r="Z249" t="s">
        <v>2623</v>
      </c>
      <c r="AA249" t="s">
        <v>397</v>
      </c>
      <c r="AB249" t="s">
        <v>41</v>
      </c>
      <c r="AD249" t="s">
        <v>620</v>
      </c>
      <c r="AF249" t="s">
        <v>2174</v>
      </c>
      <c r="AJ249">
        <v>162.37798194966359</v>
      </c>
      <c r="AK249">
        <v>1768.751277733083</v>
      </c>
    </row>
    <row r="250" spans="1:37" x14ac:dyDescent="0.25">
      <c r="A250">
        <v>262</v>
      </c>
      <c r="B250" t="s">
        <v>3037</v>
      </c>
      <c r="C250" t="s">
        <v>376</v>
      </c>
      <c r="D250" t="s">
        <v>2604</v>
      </c>
      <c r="E250" t="s">
        <v>37</v>
      </c>
      <c r="F250" t="s">
        <v>38</v>
      </c>
      <c r="G250" s="2">
        <v>45846</v>
      </c>
      <c r="H250">
        <v>2.2000000000000002</v>
      </c>
      <c r="I250" t="s">
        <v>72</v>
      </c>
      <c r="J250" t="s">
        <v>40</v>
      </c>
      <c r="K250" t="s">
        <v>41</v>
      </c>
      <c r="L250" t="s">
        <v>2605</v>
      </c>
      <c r="M250" t="s">
        <v>2606</v>
      </c>
      <c r="O250" t="s">
        <v>62</v>
      </c>
      <c r="P250" t="s">
        <v>63</v>
      </c>
      <c r="Q250">
        <v>2.3218815475651131</v>
      </c>
      <c r="R250" t="s">
        <v>64</v>
      </c>
      <c r="S250" t="s">
        <v>65</v>
      </c>
      <c r="T250" t="s">
        <v>3038</v>
      </c>
      <c r="V250" t="s">
        <v>71</v>
      </c>
      <c r="X250" t="s">
        <v>3039</v>
      </c>
      <c r="Y250" t="s">
        <v>412</v>
      </c>
      <c r="Z250" t="s">
        <v>2623</v>
      </c>
      <c r="AA250" t="s">
        <v>896</v>
      </c>
      <c r="AB250" t="s">
        <v>41</v>
      </c>
      <c r="AD250" t="s">
        <v>620</v>
      </c>
      <c r="AF250" t="s">
        <v>2667</v>
      </c>
      <c r="AJ250">
        <v>596.32205715429586</v>
      </c>
      <c r="AK250">
        <v>9396.3588382136968</v>
      </c>
    </row>
    <row r="251" spans="1:37" hidden="1" x14ac:dyDescent="0.25">
      <c r="A251">
        <v>256</v>
      </c>
      <c r="B251" t="s">
        <v>3030</v>
      </c>
      <c r="C251" t="s">
        <v>376</v>
      </c>
      <c r="D251" t="s">
        <v>2604</v>
      </c>
      <c r="E251" t="s">
        <v>37</v>
      </c>
      <c r="F251" t="s">
        <v>38</v>
      </c>
      <c r="G251" s="2">
        <v>45869</v>
      </c>
      <c r="H251">
        <v>0.1</v>
      </c>
      <c r="I251" t="s">
        <v>72</v>
      </c>
      <c r="J251" t="s">
        <v>40</v>
      </c>
      <c r="K251" t="s">
        <v>41</v>
      </c>
      <c r="L251" t="s">
        <v>2605</v>
      </c>
      <c r="M251" t="s">
        <v>2606</v>
      </c>
      <c r="O251" t="s">
        <v>99</v>
      </c>
      <c r="P251" t="s">
        <v>100</v>
      </c>
      <c r="Q251">
        <v>5.0622511885068402E-2</v>
      </c>
      <c r="R251" t="s">
        <v>60</v>
      </c>
      <c r="S251" t="s">
        <v>66</v>
      </c>
      <c r="T251" t="s">
        <v>3016</v>
      </c>
      <c r="V251" t="s">
        <v>563</v>
      </c>
      <c r="X251" t="s">
        <v>3017</v>
      </c>
      <c r="Y251" t="s">
        <v>412</v>
      </c>
      <c r="Z251" t="s">
        <v>2623</v>
      </c>
      <c r="AA251" t="s">
        <v>180</v>
      </c>
      <c r="AB251" t="s">
        <v>41</v>
      </c>
      <c r="AD251" t="s">
        <v>3018</v>
      </c>
      <c r="AF251" t="s">
        <v>3019</v>
      </c>
      <c r="AJ251">
        <v>64.795558467869327</v>
      </c>
      <c r="AK251">
        <v>204.8628567907171</v>
      </c>
    </row>
    <row r="252" spans="1:37" x14ac:dyDescent="0.25">
      <c r="A252">
        <v>263</v>
      </c>
      <c r="B252" t="s">
        <v>3040</v>
      </c>
      <c r="C252" t="s">
        <v>376</v>
      </c>
      <c r="D252" t="s">
        <v>2604</v>
      </c>
      <c r="E252" t="s">
        <v>37</v>
      </c>
      <c r="F252" t="s">
        <v>38</v>
      </c>
      <c r="G252" s="2">
        <v>45869</v>
      </c>
      <c r="I252" t="s">
        <v>72</v>
      </c>
      <c r="J252" t="s">
        <v>40</v>
      </c>
      <c r="K252" t="s">
        <v>41</v>
      </c>
      <c r="L252" t="s">
        <v>2605</v>
      </c>
      <c r="M252" t="s">
        <v>2606</v>
      </c>
      <c r="O252" t="s">
        <v>62</v>
      </c>
      <c r="P252" t="s">
        <v>63</v>
      </c>
      <c r="Q252">
        <v>0.41977471064331018</v>
      </c>
      <c r="R252" t="s">
        <v>64</v>
      </c>
      <c r="S252" t="s">
        <v>65</v>
      </c>
      <c r="V252" t="s">
        <v>563</v>
      </c>
      <c r="X252" t="s">
        <v>1172</v>
      </c>
      <c r="Y252" t="s">
        <v>412</v>
      </c>
      <c r="Z252" t="s">
        <v>2623</v>
      </c>
      <c r="AA252" t="s">
        <v>180</v>
      </c>
      <c r="AB252" t="s">
        <v>41</v>
      </c>
      <c r="AJ252">
        <v>187.37779994132899</v>
      </c>
      <c r="AK252">
        <v>1698.774778820301</v>
      </c>
    </row>
    <row r="253" spans="1:37" hidden="1" x14ac:dyDescent="0.25">
      <c r="A253">
        <v>258</v>
      </c>
      <c r="B253" t="s">
        <v>3032</v>
      </c>
      <c r="C253" t="s">
        <v>376</v>
      </c>
      <c r="D253" t="s">
        <v>2604</v>
      </c>
      <c r="E253" t="s">
        <v>37</v>
      </c>
      <c r="F253" t="s">
        <v>38</v>
      </c>
      <c r="G253" s="2">
        <v>45845</v>
      </c>
      <c r="H253">
        <v>3.4</v>
      </c>
      <c r="I253" t="s">
        <v>72</v>
      </c>
      <c r="J253" t="s">
        <v>40</v>
      </c>
      <c r="K253" t="s">
        <v>41</v>
      </c>
      <c r="L253" t="s">
        <v>2605</v>
      </c>
      <c r="M253" t="s">
        <v>2606</v>
      </c>
      <c r="O253" t="s">
        <v>113</v>
      </c>
      <c r="P253" t="s">
        <v>114</v>
      </c>
      <c r="Q253">
        <v>3.7771265844292059</v>
      </c>
      <c r="R253" t="s">
        <v>46</v>
      </c>
      <c r="S253" t="s">
        <v>47</v>
      </c>
      <c r="T253" t="s">
        <v>57</v>
      </c>
      <c r="V253" t="s">
        <v>71</v>
      </c>
      <c r="X253" t="s">
        <v>2987</v>
      </c>
      <c r="Y253" t="s">
        <v>412</v>
      </c>
      <c r="Z253" t="s">
        <v>2623</v>
      </c>
      <c r="AA253" t="s">
        <v>397</v>
      </c>
      <c r="AB253" t="s">
        <v>41</v>
      </c>
      <c r="AF253" t="s">
        <v>2174</v>
      </c>
      <c r="AJ253">
        <v>574.60841983533442</v>
      </c>
      <c r="AK253">
        <v>15285.55011855444</v>
      </c>
    </row>
    <row r="254" spans="1:37" x14ac:dyDescent="0.25">
      <c r="A254">
        <v>268</v>
      </c>
      <c r="B254" t="s">
        <v>3048</v>
      </c>
      <c r="C254" t="s">
        <v>376</v>
      </c>
      <c r="D254" t="s">
        <v>2604</v>
      </c>
      <c r="E254" t="s">
        <v>37</v>
      </c>
      <c r="F254" t="s">
        <v>38</v>
      </c>
      <c r="G254" s="2">
        <v>45846</v>
      </c>
      <c r="H254">
        <v>44.2</v>
      </c>
      <c r="I254" t="s">
        <v>72</v>
      </c>
      <c r="J254" t="s">
        <v>40</v>
      </c>
      <c r="K254" t="s">
        <v>41</v>
      </c>
      <c r="L254" t="s">
        <v>2605</v>
      </c>
      <c r="M254" t="s">
        <v>2606</v>
      </c>
      <c r="N254" t="s">
        <v>2712</v>
      </c>
      <c r="O254" t="s">
        <v>62</v>
      </c>
      <c r="P254" t="s">
        <v>63</v>
      </c>
      <c r="Q254">
        <v>27.93967176369372</v>
      </c>
      <c r="R254" t="s">
        <v>64</v>
      </c>
      <c r="S254" t="s">
        <v>65</v>
      </c>
      <c r="T254" t="s">
        <v>3049</v>
      </c>
      <c r="V254" t="s">
        <v>70</v>
      </c>
      <c r="X254" t="s">
        <v>3050</v>
      </c>
      <c r="Y254" t="s">
        <v>412</v>
      </c>
      <c r="Z254" t="s">
        <v>2623</v>
      </c>
      <c r="AA254" t="s">
        <v>896</v>
      </c>
      <c r="AB254" t="s">
        <v>41</v>
      </c>
      <c r="AD254" t="s">
        <v>620</v>
      </c>
      <c r="AF254" t="s">
        <v>2667</v>
      </c>
      <c r="AJ254">
        <v>1410.367719349749</v>
      </c>
      <c r="AK254">
        <v>113068.2923893691</v>
      </c>
    </row>
    <row r="255" spans="1:37" x14ac:dyDescent="0.25">
      <c r="A255">
        <v>269</v>
      </c>
      <c r="B255" t="s">
        <v>3051</v>
      </c>
      <c r="C255" t="s">
        <v>376</v>
      </c>
      <c r="D255" t="s">
        <v>2604</v>
      </c>
      <c r="E255" t="s">
        <v>37</v>
      </c>
      <c r="F255" t="s">
        <v>38</v>
      </c>
      <c r="G255" s="2">
        <v>45846</v>
      </c>
      <c r="H255">
        <v>28</v>
      </c>
      <c r="I255" t="s">
        <v>72</v>
      </c>
      <c r="J255" t="s">
        <v>40</v>
      </c>
      <c r="K255" t="s">
        <v>41</v>
      </c>
      <c r="L255" t="s">
        <v>2605</v>
      </c>
      <c r="M255" t="s">
        <v>2606</v>
      </c>
      <c r="N255" t="s">
        <v>2712</v>
      </c>
      <c r="O255" t="s">
        <v>62</v>
      </c>
      <c r="P255" t="s">
        <v>63</v>
      </c>
      <c r="Q255">
        <v>27.318629614109359</v>
      </c>
      <c r="R255" t="s">
        <v>64</v>
      </c>
      <c r="S255" t="s">
        <v>65</v>
      </c>
      <c r="T255" t="s">
        <v>2846</v>
      </c>
      <c r="V255" t="s">
        <v>70</v>
      </c>
      <c r="X255" t="s">
        <v>2714</v>
      </c>
      <c r="Y255" t="s">
        <v>412</v>
      </c>
      <c r="Z255" t="s">
        <v>2623</v>
      </c>
      <c r="AA255" t="s">
        <v>896</v>
      </c>
      <c r="AB255" t="s">
        <v>41</v>
      </c>
      <c r="AF255" t="s">
        <v>2667</v>
      </c>
      <c r="AJ255">
        <v>1381.038157108974</v>
      </c>
      <c r="AK255">
        <v>110555.0139246388</v>
      </c>
    </row>
    <row r="256" spans="1:37" x14ac:dyDescent="0.25">
      <c r="A256">
        <v>272</v>
      </c>
      <c r="B256" t="s">
        <v>3054</v>
      </c>
      <c r="C256" t="s">
        <v>376</v>
      </c>
      <c r="D256" t="s">
        <v>2604</v>
      </c>
      <c r="E256" t="s">
        <v>37</v>
      </c>
      <c r="F256" t="s">
        <v>38</v>
      </c>
      <c r="G256" s="2">
        <v>45846</v>
      </c>
      <c r="H256">
        <v>17.8</v>
      </c>
      <c r="I256" t="s">
        <v>72</v>
      </c>
      <c r="J256" t="s">
        <v>40</v>
      </c>
      <c r="K256" t="s">
        <v>41</v>
      </c>
      <c r="L256" t="s">
        <v>2605</v>
      </c>
      <c r="M256" t="s">
        <v>2606</v>
      </c>
      <c r="N256" t="s">
        <v>2712</v>
      </c>
      <c r="O256" t="s">
        <v>62</v>
      </c>
      <c r="P256" t="s">
        <v>63</v>
      </c>
      <c r="Q256">
        <v>17.750860649581689</v>
      </c>
      <c r="R256" t="s">
        <v>64</v>
      </c>
      <c r="S256" t="s">
        <v>65</v>
      </c>
      <c r="T256" t="s">
        <v>2846</v>
      </c>
      <c r="V256" t="s">
        <v>70</v>
      </c>
      <c r="X256" t="s">
        <v>2714</v>
      </c>
      <c r="Y256" t="s">
        <v>412</v>
      </c>
      <c r="Z256" t="s">
        <v>2623</v>
      </c>
      <c r="AA256" t="s">
        <v>896</v>
      </c>
      <c r="AB256" t="s">
        <v>41</v>
      </c>
      <c r="AD256" t="s">
        <v>620</v>
      </c>
      <c r="AF256" t="s">
        <v>2667</v>
      </c>
      <c r="AJ256">
        <v>1514.734795808851</v>
      </c>
      <c r="AK256">
        <v>71835.471764486792</v>
      </c>
    </row>
    <row r="257" spans="1:37" x14ac:dyDescent="0.25">
      <c r="A257">
        <v>273</v>
      </c>
      <c r="B257" t="s">
        <v>3055</v>
      </c>
      <c r="C257" t="s">
        <v>376</v>
      </c>
      <c r="D257" t="s">
        <v>2604</v>
      </c>
      <c r="E257" t="s">
        <v>37</v>
      </c>
      <c r="F257" t="s">
        <v>38</v>
      </c>
      <c r="G257" s="2">
        <v>45846</v>
      </c>
      <c r="H257">
        <v>1</v>
      </c>
      <c r="I257" t="s">
        <v>72</v>
      </c>
      <c r="J257" t="s">
        <v>40</v>
      </c>
      <c r="K257" t="s">
        <v>41</v>
      </c>
      <c r="L257" t="s">
        <v>2605</v>
      </c>
      <c r="M257" t="s">
        <v>2606</v>
      </c>
      <c r="N257" t="s">
        <v>2712</v>
      </c>
      <c r="O257" t="s">
        <v>62</v>
      </c>
      <c r="P257" t="s">
        <v>63</v>
      </c>
      <c r="Q257">
        <v>0.92355170053483981</v>
      </c>
      <c r="R257" t="s">
        <v>64</v>
      </c>
      <c r="S257" t="s">
        <v>65</v>
      </c>
      <c r="T257" t="s">
        <v>2846</v>
      </c>
      <c r="V257" t="s">
        <v>70</v>
      </c>
      <c r="X257" t="s">
        <v>2714</v>
      </c>
      <c r="Y257" t="s">
        <v>412</v>
      </c>
      <c r="Z257" t="s">
        <v>2623</v>
      </c>
      <c r="AA257" t="s">
        <v>896</v>
      </c>
      <c r="AB257" t="s">
        <v>41</v>
      </c>
      <c r="AD257" t="s">
        <v>620</v>
      </c>
      <c r="AF257" t="s">
        <v>2667</v>
      </c>
      <c r="AJ257">
        <v>270.57996389246227</v>
      </c>
      <c r="AK257">
        <v>3737.4960806972308</v>
      </c>
    </row>
    <row r="258" spans="1:37" x14ac:dyDescent="0.25">
      <c r="A258">
        <v>274</v>
      </c>
      <c r="B258" t="s">
        <v>3056</v>
      </c>
      <c r="C258" t="s">
        <v>376</v>
      </c>
      <c r="D258" t="s">
        <v>2604</v>
      </c>
      <c r="E258" t="s">
        <v>37</v>
      </c>
      <c r="F258" t="s">
        <v>38</v>
      </c>
      <c r="G258" s="2">
        <v>45846</v>
      </c>
      <c r="H258">
        <v>0.6</v>
      </c>
      <c r="I258" t="s">
        <v>72</v>
      </c>
      <c r="J258" t="s">
        <v>40</v>
      </c>
      <c r="K258" t="s">
        <v>41</v>
      </c>
      <c r="L258" t="s">
        <v>2605</v>
      </c>
      <c r="M258" t="s">
        <v>2606</v>
      </c>
      <c r="N258" t="s">
        <v>2712</v>
      </c>
      <c r="O258" t="s">
        <v>62</v>
      </c>
      <c r="P258" t="s">
        <v>63</v>
      </c>
      <c r="Q258">
        <v>0.54316201414283449</v>
      </c>
      <c r="R258" t="s">
        <v>64</v>
      </c>
      <c r="S258" t="s">
        <v>65</v>
      </c>
      <c r="T258" t="s">
        <v>2846</v>
      </c>
      <c r="V258" t="s">
        <v>70</v>
      </c>
      <c r="X258" t="s">
        <v>2714</v>
      </c>
      <c r="Y258" t="s">
        <v>412</v>
      </c>
      <c r="Z258" t="s">
        <v>2623</v>
      </c>
      <c r="AA258" t="s">
        <v>896</v>
      </c>
      <c r="AB258" t="s">
        <v>41</v>
      </c>
      <c r="AD258" t="s">
        <v>620</v>
      </c>
      <c r="AF258" t="s">
        <v>2667</v>
      </c>
      <c r="AJ258">
        <v>219.1192185752204</v>
      </c>
      <c r="AK258">
        <v>2198.1074777587678</v>
      </c>
    </row>
    <row r="259" spans="1:37" hidden="1" x14ac:dyDescent="0.25">
      <c r="A259">
        <v>264</v>
      </c>
      <c r="B259" t="s">
        <v>3041</v>
      </c>
      <c r="C259" t="s">
        <v>376</v>
      </c>
      <c r="D259" t="s">
        <v>2604</v>
      </c>
      <c r="E259" t="s">
        <v>37</v>
      </c>
      <c r="F259" t="s">
        <v>38</v>
      </c>
      <c r="G259" s="2">
        <v>45845</v>
      </c>
      <c r="H259">
        <v>22.7</v>
      </c>
      <c r="I259" t="s">
        <v>72</v>
      </c>
      <c r="J259" t="s">
        <v>40</v>
      </c>
      <c r="K259" t="s">
        <v>41</v>
      </c>
      <c r="L259" t="s">
        <v>2605</v>
      </c>
      <c r="M259" t="s">
        <v>2606</v>
      </c>
      <c r="N259" t="s">
        <v>2702</v>
      </c>
      <c r="O259" t="s">
        <v>79</v>
      </c>
      <c r="P259" t="s">
        <v>80</v>
      </c>
      <c r="Q259">
        <v>14.692708199799259</v>
      </c>
      <c r="R259" t="s">
        <v>46</v>
      </c>
      <c r="S259" t="s">
        <v>47</v>
      </c>
      <c r="T259" t="s">
        <v>2883</v>
      </c>
      <c r="V259" t="s">
        <v>70</v>
      </c>
      <c r="X259" t="s">
        <v>2880</v>
      </c>
      <c r="Y259" t="s">
        <v>412</v>
      </c>
      <c r="Z259" t="s">
        <v>2623</v>
      </c>
      <c r="AA259" t="s">
        <v>397</v>
      </c>
      <c r="AB259" t="s">
        <v>41</v>
      </c>
      <c r="AD259" t="s">
        <v>620</v>
      </c>
      <c r="AF259" t="s">
        <v>3042</v>
      </c>
      <c r="AJ259">
        <v>997.48594270905573</v>
      </c>
      <c r="AK259">
        <v>59459.518378642468</v>
      </c>
    </row>
    <row r="260" spans="1:37" hidden="1" x14ac:dyDescent="0.25">
      <c r="A260">
        <v>265</v>
      </c>
      <c r="B260" t="s">
        <v>3043</v>
      </c>
      <c r="C260" t="s">
        <v>376</v>
      </c>
      <c r="D260" t="s">
        <v>2604</v>
      </c>
      <c r="E260" t="s">
        <v>37</v>
      </c>
      <c r="F260" t="s">
        <v>38</v>
      </c>
      <c r="G260" s="2">
        <v>45845</v>
      </c>
      <c r="H260">
        <v>6.5</v>
      </c>
      <c r="I260" t="s">
        <v>72</v>
      </c>
      <c r="J260" t="s">
        <v>40</v>
      </c>
      <c r="K260" t="s">
        <v>41</v>
      </c>
      <c r="L260" t="s">
        <v>2605</v>
      </c>
      <c r="M260" t="s">
        <v>2606</v>
      </c>
      <c r="N260" t="s">
        <v>2702</v>
      </c>
      <c r="O260" t="s">
        <v>79</v>
      </c>
      <c r="P260" t="s">
        <v>80</v>
      </c>
      <c r="Q260">
        <v>4.9293836060713891</v>
      </c>
      <c r="R260" t="s">
        <v>46</v>
      </c>
      <c r="S260" t="s">
        <v>47</v>
      </c>
      <c r="T260" t="s">
        <v>2883</v>
      </c>
      <c r="V260" t="s">
        <v>70</v>
      </c>
      <c r="X260" t="s">
        <v>2880</v>
      </c>
      <c r="Y260" t="s">
        <v>412</v>
      </c>
      <c r="Z260" t="s">
        <v>2623</v>
      </c>
      <c r="AA260" t="s">
        <v>397</v>
      </c>
      <c r="AB260" t="s">
        <v>41</v>
      </c>
      <c r="AD260" t="s">
        <v>620</v>
      </c>
      <c r="AF260" t="s">
        <v>3042</v>
      </c>
      <c r="AJ260">
        <v>715.93706017669592</v>
      </c>
      <c r="AK260">
        <v>19948.587498973469</v>
      </c>
    </row>
    <row r="261" spans="1:37" hidden="1" x14ac:dyDescent="0.25">
      <c r="A261">
        <v>266</v>
      </c>
      <c r="B261" t="s">
        <v>3044</v>
      </c>
      <c r="C261" t="s">
        <v>376</v>
      </c>
      <c r="D261" t="s">
        <v>2604</v>
      </c>
      <c r="E261" t="s">
        <v>37</v>
      </c>
      <c r="F261" t="s">
        <v>38</v>
      </c>
      <c r="G261" s="2">
        <v>45845</v>
      </c>
      <c r="H261">
        <v>17.2</v>
      </c>
      <c r="I261" t="s">
        <v>72</v>
      </c>
      <c r="J261" t="s">
        <v>40</v>
      </c>
      <c r="K261" t="s">
        <v>41</v>
      </c>
      <c r="L261" t="s">
        <v>2605</v>
      </c>
      <c r="M261" t="s">
        <v>2606</v>
      </c>
      <c r="N261" t="s">
        <v>2702</v>
      </c>
      <c r="O261" t="s">
        <v>79</v>
      </c>
      <c r="P261" t="s">
        <v>80</v>
      </c>
      <c r="Q261">
        <v>10.38470350220806</v>
      </c>
      <c r="R261" t="s">
        <v>46</v>
      </c>
      <c r="S261" t="s">
        <v>47</v>
      </c>
      <c r="T261" t="s">
        <v>2883</v>
      </c>
      <c r="V261" t="s">
        <v>70</v>
      </c>
      <c r="X261" t="s">
        <v>2880</v>
      </c>
      <c r="Y261" t="s">
        <v>412</v>
      </c>
      <c r="Z261" t="s">
        <v>2623</v>
      </c>
      <c r="AA261" t="s">
        <v>397</v>
      </c>
      <c r="AB261" t="s">
        <v>41</v>
      </c>
      <c r="AD261" t="s">
        <v>620</v>
      </c>
      <c r="AF261" t="s">
        <v>3045</v>
      </c>
      <c r="AJ261">
        <v>902.61276400227598</v>
      </c>
      <c r="AK261">
        <v>42025.572164751007</v>
      </c>
    </row>
    <row r="262" spans="1:37" hidden="1" x14ac:dyDescent="0.25">
      <c r="A262">
        <v>267</v>
      </c>
      <c r="B262" t="s">
        <v>3046</v>
      </c>
      <c r="C262" t="s">
        <v>376</v>
      </c>
      <c r="D262" t="s">
        <v>2604</v>
      </c>
      <c r="E262" t="s">
        <v>37</v>
      </c>
      <c r="F262" t="s">
        <v>38</v>
      </c>
      <c r="G262" s="2">
        <v>45845</v>
      </c>
      <c r="H262">
        <v>8</v>
      </c>
      <c r="I262" t="s">
        <v>72</v>
      </c>
      <c r="J262" t="s">
        <v>40</v>
      </c>
      <c r="K262" t="s">
        <v>41</v>
      </c>
      <c r="L262" t="s">
        <v>2605</v>
      </c>
      <c r="M262" t="s">
        <v>2606</v>
      </c>
      <c r="N262" t="s">
        <v>2702</v>
      </c>
      <c r="O262" t="s">
        <v>113</v>
      </c>
      <c r="P262" t="s">
        <v>114</v>
      </c>
      <c r="Q262">
        <v>7.9307651087834969</v>
      </c>
      <c r="R262" t="s">
        <v>46</v>
      </c>
      <c r="S262" t="s">
        <v>47</v>
      </c>
      <c r="T262" t="s">
        <v>2883</v>
      </c>
      <c r="V262" t="s">
        <v>70</v>
      </c>
      <c r="X262" t="s">
        <v>2880</v>
      </c>
      <c r="Y262" t="s">
        <v>412</v>
      </c>
      <c r="Z262" t="s">
        <v>2623</v>
      </c>
      <c r="AA262" t="s">
        <v>397</v>
      </c>
      <c r="AB262" t="s">
        <v>41</v>
      </c>
      <c r="AD262" t="s">
        <v>620</v>
      </c>
      <c r="AF262" t="s">
        <v>3047</v>
      </c>
      <c r="AJ262">
        <v>871.05288367740673</v>
      </c>
      <c r="AK262">
        <v>32094.796094082321</v>
      </c>
    </row>
    <row r="263" spans="1:37" x14ac:dyDescent="0.25">
      <c r="A263">
        <v>275</v>
      </c>
      <c r="B263" t="s">
        <v>3057</v>
      </c>
      <c r="C263" t="s">
        <v>376</v>
      </c>
      <c r="D263" t="s">
        <v>2604</v>
      </c>
      <c r="E263" t="s">
        <v>37</v>
      </c>
      <c r="F263" t="s">
        <v>38</v>
      </c>
      <c r="G263" s="2">
        <v>45846</v>
      </c>
      <c r="H263">
        <v>1.3</v>
      </c>
      <c r="I263" t="s">
        <v>72</v>
      </c>
      <c r="J263" t="s">
        <v>40</v>
      </c>
      <c r="K263" t="s">
        <v>41</v>
      </c>
      <c r="L263" t="s">
        <v>2605</v>
      </c>
      <c r="M263" t="s">
        <v>2606</v>
      </c>
      <c r="N263" t="s">
        <v>2712</v>
      </c>
      <c r="O263" t="s">
        <v>62</v>
      </c>
      <c r="P263" t="s">
        <v>63</v>
      </c>
      <c r="Q263">
        <v>1.167057440468535</v>
      </c>
      <c r="R263" t="s">
        <v>64</v>
      </c>
      <c r="S263" t="s">
        <v>65</v>
      </c>
      <c r="T263" t="s">
        <v>2846</v>
      </c>
      <c r="V263" t="s">
        <v>70</v>
      </c>
      <c r="X263" t="s">
        <v>2714</v>
      </c>
      <c r="Y263" t="s">
        <v>412</v>
      </c>
      <c r="Z263" t="s">
        <v>2623</v>
      </c>
      <c r="AA263" t="s">
        <v>896</v>
      </c>
      <c r="AB263" t="s">
        <v>41</v>
      </c>
      <c r="AD263" t="s">
        <v>620</v>
      </c>
      <c r="AF263" t="s">
        <v>2667</v>
      </c>
      <c r="AJ263">
        <v>324.00266339708162</v>
      </c>
      <c r="AK263">
        <v>4722.9327899820646</v>
      </c>
    </row>
    <row r="264" spans="1:37" x14ac:dyDescent="0.25">
      <c r="A264">
        <v>276</v>
      </c>
      <c r="B264" t="s">
        <v>3058</v>
      </c>
      <c r="C264" t="s">
        <v>376</v>
      </c>
      <c r="D264" t="s">
        <v>2604</v>
      </c>
      <c r="E264" t="s">
        <v>37</v>
      </c>
      <c r="F264" t="s">
        <v>38</v>
      </c>
      <c r="G264" s="2">
        <v>45846</v>
      </c>
      <c r="H264">
        <v>1.5</v>
      </c>
      <c r="I264" t="s">
        <v>72</v>
      </c>
      <c r="J264" t="s">
        <v>40</v>
      </c>
      <c r="K264" t="s">
        <v>41</v>
      </c>
      <c r="L264" t="s">
        <v>2605</v>
      </c>
      <c r="M264" t="s">
        <v>2606</v>
      </c>
      <c r="N264" t="s">
        <v>2712</v>
      </c>
      <c r="O264" t="s">
        <v>62</v>
      </c>
      <c r="P264" t="s">
        <v>63</v>
      </c>
      <c r="Q264">
        <v>1.42185790952049</v>
      </c>
      <c r="R264" t="s">
        <v>64</v>
      </c>
      <c r="S264" t="s">
        <v>65</v>
      </c>
      <c r="T264" t="s">
        <v>2846</v>
      </c>
      <c r="V264" t="s">
        <v>70</v>
      </c>
      <c r="X264" t="s">
        <v>2714</v>
      </c>
      <c r="Y264" t="s">
        <v>412</v>
      </c>
      <c r="Z264" t="s">
        <v>2623</v>
      </c>
      <c r="AA264" t="s">
        <v>896</v>
      </c>
      <c r="AB264" t="s">
        <v>41</v>
      </c>
      <c r="AD264" t="s">
        <v>620</v>
      </c>
      <c r="AF264" t="s">
        <v>2667</v>
      </c>
      <c r="AJ264">
        <v>302.81797915581808</v>
      </c>
      <c r="AK264">
        <v>5754.0778291715351</v>
      </c>
    </row>
    <row r="265" spans="1:37" hidden="1" x14ac:dyDescent="0.25">
      <c r="A265">
        <v>270</v>
      </c>
      <c r="B265" t="s">
        <v>3052</v>
      </c>
      <c r="C265" t="s">
        <v>376</v>
      </c>
      <c r="D265" t="s">
        <v>2604</v>
      </c>
      <c r="E265" t="s">
        <v>37</v>
      </c>
      <c r="F265" t="s">
        <v>38</v>
      </c>
      <c r="G265" s="2">
        <v>45846</v>
      </c>
      <c r="H265">
        <v>0.5</v>
      </c>
      <c r="I265" t="s">
        <v>72</v>
      </c>
      <c r="J265" t="s">
        <v>40</v>
      </c>
      <c r="K265" t="s">
        <v>41</v>
      </c>
      <c r="L265" t="s">
        <v>2605</v>
      </c>
      <c r="M265" t="s">
        <v>2606</v>
      </c>
      <c r="N265" t="s">
        <v>2712</v>
      </c>
      <c r="O265" t="s">
        <v>79</v>
      </c>
      <c r="P265" t="s">
        <v>80</v>
      </c>
      <c r="Q265">
        <v>0.48308101809709841</v>
      </c>
      <c r="R265" t="s">
        <v>46</v>
      </c>
      <c r="S265" t="s">
        <v>47</v>
      </c>
      <c r="T265" t="s">
        <v>2846</v>
      </c>
      <c r="V265" t="s">
        <v>70</v>
      </c>
      <c r="X265" t="s">
        <v>2714</v>
      </c>
      <c r="Y265" t="s">
        <v>412</v>
      </c>
      <c r="Z265" t="s">
        <v>2623</v>
      </c>
      <c r="AA265" t="s">
        <v>896</v>
      </c>
      <c r="AB265" t="s">
        <v>41</v>
      </c>
      <c r="AD265" t="s">
        <v>620</v>
      </c>
      <c r="AF265" t="s">
        <v>2667</v>
      </c>
      <c r="AJ265">
        <v>235.64142652110269</v>
      </c>
      <c r="AK265">
        <v>1954.9673404873149</v>
      </c>
    </row>
    <row r="266" spans="1:37" hidden="1" x14ac:dyDescent="0.25">
      <c r="A266">
        <v>271</v>
      </c>
      <c r="B266" t="s">
        <v>3053</v>
      </c>
      <c r="C266" t="s">
        <v>376</v>
      </c>
      <c r="D266" t="s">
        <v>2604</v>
      </c>
      <c r="E266" t="s">
        <v>37</v>
      </c>
      <c r="F266" t="s">
        <v>38</v>
      </c>
      <c r="G266" s="2">
        <v>45845</v>
      </c>
      <c r="H266">
        <v>1.6</v>
      </c>
      <c r="I266" t="s">
        <v>72</v>
      </c>
      <c r="J266" t="s">
        <v>40</v>
      </c>
      <c r="K266" t="s">
        <v>41</v>
      </c>
      <c r="L266" t="s">
        <v>2605</v>
      </c>
      <c r="M266" t="s">
        <v>2606</v>
      </c>
      <c r="N266" t="s">
        <v>2702</v>
      </c>
      <c r="O266" t="s">
        <v>113</v>
      </c>
      <c r="P266" t="s">
        <v>114</v>
      </c>
      <c r="Q266">
        <v>1.6339049587946559</v>
      </c>
      <c r="R266" t="s">
        <v>46</v>
      </c>
      <c r="S266" t="s">
        <v>47</v>
      </c>
      <c r="T266" t="s">
        <v>2883</v>
      </c>
      <c r="V266" t="s">
        <v>70</v>
      </c>
      <c r="X266" t="s">
        <v>2880</v>
      </c>
      <c r="Y266" t="s">
        <v>412</v>
      </c>
      <c r="Z266" t="s">
        <v>2623</v>
      </c>
      <c r="AA266" t="s">
        <v>397</v>
      </c>
      <c r="AB266" t="s">
        <v>41</v>
      </c>
      <c r="AD266" t="s">
        <v>620</v>
      </c>
      <c r="AF266" t="s">
        <v>3047</v>
      </c>
      <c r="AJ266">
        <v>369.58232621492789</v>
      </c>
      <c r="AK266">
        <v>6612.2052248838108</v>
      </c>
    </row>
    <row r="267" spans="1:37" x14ac:dyDescent="0.25">
      <c r="A267">
        <v>277</v>
      </c>
      <c r="B267" t="s">
        <v>3059</v>
      </c>
      <c r="C267" t="s">
        <v>376</v>
      </c>
      <c r="D267" t="s">
        <v>2604</v>
      </c>
      <c r="E267" t="s">
        <v>37</v>
      </c>
      <c r="F267" t="s">
        <v>38</v>
      </c>
      <c r="G267" s="2">
        <v>45846</v>
      </c>
      <c r="H267">
        <v>0.4</v>
      </c>
      <c r="I267" t="s">
        <v>72</v>
      </c>
      <c r="J267" t="s">
        <v>40</v>
      </c>
      <c r="K267" t="s">
        <v>41</v>
      </c>
      <c r="L267" t="s">
        <v>2605</v>
      </c>
      <c r="M267" t="s">
        <v>2606</v>
      </c>
      <c r="N267" t="s">
        <v>2712</v>
      </c>
      <c r="O267" t="s">
        <v>62</v>
      </c>
      <c r="P267" t="s">
        <v>63</v>
      </c>
      <c r="Q267">
        <v>0.40009672658803641</v>
      </c>
      <c r="R267" t="s">
        <v>64</v>
      </c>
      <c r="S267" t="s">
        <v>65</v>
      </c>
      <c r="T267" t="s">
        <v>2846</v>
      </c>
      <c r="V267" t="s">
        <v>70</v>
      </c>
      <c r="X267" t="s">
        <v>2714</v>
      </c>
      <c r="Y267" t="s">
        <v>412</v>
      </c>
      <c r="Z267" t="s">
        <v>2623</v>
      </c>
      <c r="AA267" t="s">
        <v>896</v>
      </c>
      <c r="AB267" t="s">
        <v>41</v>
      </c>
      <c r="AD267" t="s">
        <v>620</v>
      </c>
      <c r="AF267" t="s">
        <v>2667</v>
      </c>
      <c r="AJ267">
        <v>165.55845499839049</v>
      </c>
      <c r="AK267">
        <v>1619.140484129472</v>
      </c>
    </row>
    <row r="268" spans="1:37" x14ac:dyDescent="0.25">
      <c r="A268">
        <v>278</v>
      </c>
      <c r="B268" t="s">
        <v>3060</v>
      </c>
      <c r="C268" t="s">
        <v>376</v>
      </c>
      <c r="D268" t="s">
        <v>2604</v>
      </c>
      <c r="E268" t="s">
        <v>37</v>
      </c>
      <c r="F268" t="s">
        <v>38</v>
      </c>
      <c r="G268" s="2">
        <v>45846</v>
      </c>
      <c r="H268">
        <v>5.8</v>
      </c>
      <c r="I268" t="s">
        <v>72</v>
      </c>
      <c r="J268" t="s">
        <v>40</v>
      </c>
      <c r="K268" t="s">
        <v>41</v>
      </c>
      <c r="L268" t="s">
        <v>2605</v>
      </c>
      <c r="M268" t="s">
        <v>2606</v>
      </c>
      <c r="N268" t="s">
        <v>2712</v>
      </c>
      <c r="O268" t="s">
        <v>62</v>
      </c>
      <c r="P268" t="s">
        <v>63</v>
      </c>
      <c r="Q268">
        <v>5.7446651787878231</v>
      </c>
      <c r="R268" t="s">
        <v>64</v>
      </c>
      <c r="S268" t="s">
        <v>65</v>
      </c>
      <c r="T268" t="s">
        <v>3049</v>
      </c>
      <c r="V268" t="s">
        <v>70</v>
      </c>
      <c r="X268" t="s">
        <v>3050</v>
      </c>
      <c r="Y268" t="s">
        <v>412</v>
      </c>
      <c r="Z268" t="s">
        <v>2623</v>
      </c>
      <c r="AA268" t="s">
        <v>896</v>
      </c>
      <c r="AB268" t="s">
        <v>41</v>
      </c>
      <c r="AD268" t="s">
        <v>620</v>
      </c>
      <c r="AF268" t="s">
        <v>2667</v>
      </c>
      <c r="AJ268">
        <v>914.7698237344157</v>
      </c>
      <c r="AK268">
        <v>23247.928164934809</v>
      </c>
    </row>
    <row r="269" spans="1:37" x14ac:dyDescent="0.25">
      <c r="A269">
        <v>279</v>
      </c>
      <c r="B269" t="s">
        <v>3061</v>
      </c>
      <c r="C269" t="s">
        <v>376</v>
      </c>
      <c r="D269" t="s">
        <v>2604</v>
      </c>
      <c r="E269" t="s">
        <v>37</v>
      </c>
      <c r="F269" t="s">
        <v>38</v>
      </c>
      <c r="G269" s="2">
        <v>45846</v>
      </c>
      <c r="H269">
        <v>1.6</v>
      </c>
      <c r="I269" t="s">
        <v>72</v>
      </c>
      <c r="J269" t="s">
        <v>40</v>
      </c>
      <c r="K269" t="s">
        <v>41</v>
      </c>
      <c r="L269" t="s">
        <v>2605</v>
      </c>
      <c r="M269" t="s">
        <v>2606</v>
      </c>
      <c r="N269" t="s">
        <v>2712</v>
      </c>
      <c r="O269" t="s">
        <v>62</v>
      </c>
      <c r="P269" t="s">
        <v>63</v>
      </c>
      <c r="Q269">
        <v>1.69409100187858</v>
      </c>
      <c r="R269" t="s">
        <v>64</v>
      </c>
      <c r="S269" t="s">
        <v>65</v>
      </c>
      <c r="T269" t="s">
        <v>2846</v>
      </c>
      <c r="V269" t="s">
        <v>70</v>
      </c>
      <c r="X269" t="s">
        <v>2714</v>
      </c>
      <c r="Y269" t="s">
        <v>412</v>
      </c>
      <c r="Z269" t="s">
        <v>2623</v>
      </c>
      <c r="AA269" t="s">
        <v>896</v>
      </c>
      <c r="AB269" t="s">
        <v>41</v>
      </c>
      <c r="AD269" t="s">
        <v>620</v>
      </c>
      <c r="AF269" t="s">
        <v>2667</v>
      </c>
      <c r="AJ269">
        <v>568.81199929713307</v>
      </c>
      <c r="AK269">
        <v>6855.7704741368543</v>
      </c>
    </row>
    <row r="270" spans="1:37" x14ac:dyDescent="0.25">
      <c r="A270">
        <v>280</v>
      </c>
      <c r="B270" t="s">
        <v>3062</v>
      </c>
      <c r="C270" t="s">
        <v>376</v>
      </c>
      <c r="D270" t="s">
        <v>2604</v>
      </c>
      <c r="E270" t="s">
        <v>37</v>
      </c>
      <c r="F270" t="s">
        <v>38</v>
      </c>
      <c r="G270" s="2">
        <v>45846</v>
      </c>
      <c r="H270">
        <v>11.7</v>
      </c>
      <c r="I270" t="s">
        <v>72</v>
      </c>
      <c r="J270" t="s">
        <v>40</v>
      </c>
      <c r="K270" t="s">
        <v>41</v>
      </c>
      <c r="L270" t="s">
        <v>2605</v>
      </c>
      <c r="M270" t="s">
        <v>2606</v>
      </c>
      <c r="N270" t="s">
        <v>2712</v>
      </c>
      <c r="O270" t="s">
        <v>62</v>
      </c>
      <c r="P270" t="s">
        <v>63</v>
      </c>
      <c r="Q270">
        <v>11.6222277656556</v>
      </c>
      <c r="R270" t="s">
        <v>64</v>
      </c>
      <c r="S270" t="s">
        <v>65</v>
      </c>
      <c r="T270" t="s">
        <v>2846</v>
      </c>
      <c r="V270" t="s">
        <v>70</v>
      </c>
      <c r="X270" t="s">
        <v>2714</v>
      </c>
      <c r="Y270" t="s">
        <v>412</v>
      </c>
      <c r="Z270" t="s">
        <v>2623</v>
      </c>
      <c r="AA270" t="s">
        <v>896</v>
      </c>
      <c r="AB270" t="s">
        <v>41</v>
      </c>
      <c r="AD270" t="s">
        <v>620</v>
      </c>
      <c r="AF270" t="s">
        <v>2667</v>
      </c>
      <c r="AJ270">
        <v>1130.6409269127721</v>
      </c>
      <c r="AK270">
        <v>47033.675210551657</v>
      </c>
    </row>
    <row r="271" spans="1:37" x14ac:dyDescent="0.25">
      <c r="A271">
        <v>282</v>
      </c>
      <c r="B271" t="s">
        <v>3064</v>
      </c>
      <c r="C271" t="s">
        <v>376</v>
      </c>
      <c r="D271" t="s">
        <v>2604</v>
      </c>
      <c r="E271" t="s">
        <v>37</v>
      </c>
      <c r="F271" t="s">
        <v>38</v>
      </c>
      <c r="G271" s="2">
        <v>45845</v>
      </c>
      <c r="H271">
        <v>0.3</v>
      </c>
      <c r="I271" t="s">
        <v>72</v>
      </c>
      <c r="J271" t="s">
        <v>40</v>
      </c>
      <c r="K271" t="s">
        <v>41</v>
      </c>
      <c r="L271" t="s">
        <v>2605</v>
      </c>
      <c r="M271" t="s">
        <v>2606</v>
      </c>
      <c r="N271" t="s">
        <v>2702</v>
      </c>
      <c r="O271" t="s">
        <v>62</v>
      </c>
      <c r="P271" t="s">
        <v>63</v>
      </c>
      <c r="Q271">
        <v>0.26462017363368973</v>
      </c>
      <c r="R271" t="s">
        <v>64</v>
      </c>
      <c r="S271" t="s">
        <v>65</v>
      </c>
      <c r="T271" t="s">
        <v>2883</v>
      </c>
      <c r="V271" t="s">
        <v>70</v>
      </c>
      <c r="X271" t="s">
        <v>2880</v>
      </c>
      <c r="Y271" t="s">
        <v>412</v>
      </c>
      <c r="Z271" t="s">
        <v>2623</v>
      </c>
      <c r="AA271" t="s">
        <v>397</v>
      </c>
      <c r="AB271" t="s">
        <v>41</v>
      </c>
      <c r="AD271" t="s">
        <v>620</v>
      </c>
      <c r="AF271" t="s">
        <v>3047</v>
      </c>
      <c r="AJ271">
        <v>181.1542417283805</v>
      </c>
      <c r="AK271">
        <v>1070.884132698347</v>
      </c>
    </row>
    <row r="272" spans="1:37" x14ac:dyDescent="0.25">
      <c r="A272">
        <v>283</v>
      </c>
      <c r="B272" t="s">
        <v>3065</v>
      </c>
      <c r="C272" t="s">
        <v>376</v>
      </c>
      <c r="D272" t="s">
        <v>2604</v>
      </c>
      <c r="E272" t="s">
        <v>37</v>
      </c>
      <c r="F272" t="s">
        <v>38</v>
      </c>
      <c r="G272" s="2">
        <v>45845</v>
      </c>
      <c r="H272">
        <v>1.2</v>
      </c>
      <c r="I272" t="s">
        <v>72</v>
      </c>
      <c r="J272" t="s">
        <v>40</v>
      </c>
      <c r="K272" t="s">
        <v>41</v>
      </c>
      <c r="L272" t="s">
        <v>2605</v>
      </c>
      <c r="M272" t="s">
        <v>2606</v>
      </c>
      <c r="N272" t="s">
        <v>2702</v>
      </c>
      <c r="O272" t="s">
        <v>62</v>
      </c>
      <c r="P272" t="s">
        <v>63</v>
      </c>
      <c r="Q272">
        <v>1.1690860763779971</v>
      </c>
      <c r="R272" t="s">
        <v>64</v>
      </c>
      <c r="S272" t="s">
        <v>65</v>
      </c>
      <c r="T272" t="s">
        <v>2883</v>
      </c>
      <c r="V272" t="s">
        <v>70</v>
      </c>
      <c r="X272" t="s">
        <v>2880</v>
      </c>
      <c r="Y272" t="s">
        <v>412</v>
      </c>
      <c r="Z272" t="s">
        <v>2623</v>
      </c>
      <c r="AA272" t="s">
        <v>397</v>
      </c>
      <c r="AB272" t="s">
        <v>41</v>
      </c>
      <c r="AD272" t="s">
        <v>620</v>
      </c>
      <c r="AF272" t="s">
        <v>3047</v>
      </c>
      <c r="AJ272">
        <v>311.04387908021567</v>
      </c>
      <c r="AK272">
        <v>4731.1424210794721</v>
      </c>
    </row>
    <row r="273" spans="1:37" x14ac:dyDescent="0.25">
      <c r="A273">
        <v>287</v>
      </c>
      <c r="B273" t="s">
        <v>3072</v>
      </c>
      <c r="C273" t="s">
        <v>376</v>
      </c>
      <c r="D273" t="s">
        <v>2604</v>
      </c>
      <c r="E273" t="s">
        <v>37</v>
      </c>
      <c r="F273" t="s">
        <v>38</v>
      </c>
      <c r="G273" s="2">
        <v>45845</v>
      </c>
      <c r="H273">
        <v>0.1</v>
      </c>
      <c r="I273" t="s">
        <v>72</v>
      </c>
      <c r="J273" t="s">
        <v>40</v>
      </c>
      <c r="K273" t="s">
        <v>41</v>
      </c>
      <c r="L273" t="s">
        <v>2605</v>
      </c>
      <c r="M273" t="s">
        <v>2606</v>
      </c>
      <c r="N273" t="s">
        <v>2702</v>
      </c>
      <c r="O273" t="s">
        <v>62</v>
      </c>
      <c r="P273" t="s">
        <v>63</v>
      </c>
      <c r="Q273">
        <v>1.420789194477361E-2</v>
      </c>
      <c r="R273" t="s">
        <v>64</v>
      </c>
      <c r="S273" t="s">
        <v>65</v>
      </c>
      <c r="T273" t="s">
        <v>2883</v>
      </c>
      <c r="V273" t="s">
        <v>70</v>
      </c>
      <c r="X273" t="s">
        <v>2880</v>
      </c>
      <c r="Y273" t="s">
        <v>412</v>
      </c>
      <c r="Z273" t="s">
        <v>2623</v>
      </c>
      <c r="AA273" t="s">
        <v>452</v>
      </c>
      <c r="AB273" t="s">
        <v>41</v>
      </c>
      <c r="AD273" t="s">
        <v>620</v>
      </c>
      <c r="AF273" t="s">
        <v>3045</v>
      </c>
      <c r="AJ273">
        <v>32.00418598857307</v>
      </c>
      <c r="AK273">
        <v>57.497528755357351</v>
      </c>
    </row>
    <row r="274" spans="1:37" x14ac:dyDescent="0.25">
      <c r="A274">
        <v>288</v>
      </c>
      <c r="B274" t="s">
        <v>3073</v>
      </c>
      <c r="C274" t="s">
        <v>376</v>
      </c>
      <c r="D274" t="s">
        <v>2604</v>
      </c>
      <c r="E274" t="s">
        <v>37</v>
      </c>
      <c r="F274" t="s">
        <v>38</v>
      </c>
      <c r="G274" s="2">
        <v>45845</v>
      </c>
      <c r="H274">
        <v>0.2</v>
      </c>
      <c r="I274" t="s">
        <v>72</v>
      </c>
      <c r="J274" t="s">
        <v>40</v>
      </c>
      <c r="K274" t="s">
        <v>41</v>
      </c>
      <c r="L274" t="s">
        <v>2605</v>
      </c>
      <c r="M274" t="s">
        <v>2606</v>
      </c>
      <c r="N274" t="s">
        <v>2702</v>
      </c>
      <c r="O274" t="s">
        <v>62</v>
      </c>
      <c r="P274" t="s">
        <v>63</v>
      </c>
      <c r="Q274">
        <v>0.18576032043018989</v>
      </c>
      <c r="R274" t="s">
        <v>64</v>
      </c>
      <c r="S274" t="s">
        <v>65</v>
      </c>
      <c r="T274" t="s">
        <v>2883</v>
      </c>
      <c r="V274" t="s">
        <v>70</v>
      </c>
      <c r="X274" t="s">
        <v>2880</v>
      </c>
      <c r="Y274" t="s">
        <v>412</v>
      </c>
      <c r="Z274" t="s">
        <v>2623</v>
      </c>
      <c r="AA274" t="s">
        <v>452</v>
      </c>
      <c r="AB274" t="s">
        <v>41</v>
      </c>
      <c r="AD274" t="s">
        <v>620</v>
      </c>
      <c r="AF274" t="s">
        <v>3045</v>
      </c>
      <c r="AJ274">
        <v>121.25897118298811</v>
      </c>
      <c r="AK274">
        <v>751.74835275039993</v>
      </c>
    </row>
    <row r="275" spans="1:37" x14ac:dyDescent="0.25">
      <c r="A275">
        <v>289</v>
      </c>
      <c r="B275" t="s">
        <v>3074</v>
      </c>
      <c r="C275" t="s">
        <v>376</v>
      </c>
      <c r="D275" t="s">
        <v>2604</v>
      </c>
      <c r="E275" t="s">
        <v>37</v>
      </c>
      <c r="F275" t="s">
        <v>38</v>
      </c>
      <c r="G275" s="2">
        <v>45846</v>
      </c>
      <c r="I275" t="s">
        <v>72</v>
      </c>
      <c r="J275" t="s">
        <v>40</v>
      </c>
      <c r="K275" t="s">
        <v>41</v>
      </c>
      <c r="L275" t="s">
        <v>2605</v>
      </c>
      <c r="M275" t="s">
        <v>2606</v>
      </c>
      <c r="O275" t="s">
        <v>62</v>
      </c>
      <c r="P275" t="s">
        <v>63</v>
      </c>
      <c r="Q275">
        <v>1.3208520511302151</v>
      </c>
      <c r="R275" t="s">
        <v>64</v>
      </c>
      <c r="S275" t="s">
        <v>65</v>
      </c>
      <c r="T275" t="s">
        <v>673</v>
      </c>
      <c r="V275" t="s">
        <v>180</v>
      </c>
      <c r="X275" t="s">
        <v>673</v>
      </c>
      <c r="Y275" t="s">
        <v>412</v>
      </c>
      <c r="Z275" t="s">
        <v>2623</v>
      </c>
      <c r="AA275" t="s">
        <v>563</v>
      </c>
      <c r="AB275" t="s">
        <v>41</v>
      </c>
      <c r="AE275" t="s">
        <v>1374</v>
      </c>
      <c r="AF275" t="s">
        <v>3075</v>
      </c>
      <c r="AJ275">
        <v>292.9981274203692</v>
      </c>
      <c r="AK275">
        <v>5345.3199874150923</v>
      </c>
    </row>
    <row r="276" spans="1:37" hidden="1" x14ac:dyDescent="0.25">
      <c r="A276">
        <v>281</v>
      </c>
      <c r="B276" t="s">
        <v>3063</v>
      </c>
      <c r="C276" t="s">
        <v>376</v>
      </c>
      <c r="D276" t="s">
        <v>2604</v>
      </c>
      <c r="E276" t="s">
        <v>37</v>
      </c>
      <c r="F276" t="s">
        <v>38</v>
      </c>
      <c r="G276" s="2">
        <v>45845</v>
      </c>
      <c r="H276">
        <v>0.7</v>
      </c>
      <c r="I276" t="s">
        <v>72</v>
      </c>
      <c r="J276" t="s">
        <v>40</v>
      </c>
      <c r="K276" t="s">
        <v>41</v>
      </c>
      <c r="L276" t="s">
        <v>2605</v>
      </c>
      <c r="M276" t="s">
        <v>2606</v>
      </c>
      <c r="N276" t="s">
        <v>2702</v>
      </c>
      <c r="O276" t="s">
        <v>79</v>
      </c>
      <c r="P276" t="s">
        <v>80</v>
      </c>
      <c r="Q276">
        <v>1.4444498746711301</v>
      </c>
      <c r="R276" t="s">
        <v>46</v>
      </c>
      <c r="S276" t="s">
        <v>47</v>
      </c>
      <c r="T276" t="s">
        <v>2883</v>
      </c>
      <c r="V276" t="s">
        <v>70</v>
      </c>
      <c r="X276" t="s">
        <v>2880</v>
      </c>
      <c r="Y276" t="s">
        <v>412</v>
      </c>
      <c r="Z276" t="s">
        <v>2623</v>
      </c>
      <c r="AA276" t="s">
        <v>397</v>
      </c>
      <c r="AB276" t="s">
        <v>41</v>
      </c>
      <c r="AD276" t="s">
        <v>620</v>
      </c>
      <c r="AF276" t="s">
        <v>3045</v>
      </c>
      <c r="AJ276">
        <v>343.5460845152665</v>
      </c>
      <c r="AK276">
        <v>5845.5046341428906</v>
      </c>
    </row>
    <row r="277" spans="1:37" x14ac:dyDescent="0.25">
      <c r="A277">
        <v>291</v>
      </c>
      <c r="B277" t="s">
        <v>3077</v>
      </c>
      <c r="C277" t="s">
        <v>376</v>
      </c>
      <c r="D277" t="s">
        <v>2604</v>
      </c>
      <c r="E277" t="s">
        <v>37</v>
      </c>
      <c r="F277" t="s">
        <v>38</v>
      </c>
      <c r="G277" s="2">
        <v>45846</v>
      </c>
      <c r="H277">
        <v>42.7</v>
      </c>
      <c r="I277" t="s">
        <v>72</v>
      </c>
      <c r="J277" t="s">
        <v>40</v>
      </c>
      <c r="K277" t="s">
        <v>41</v>
      </c>
      <c r="L277" t="s">
        <v>2605</v>
      </c>
      <c r="M277" t="s">
        <v>2606</v>
      </c>
      <c r="O277" t="s">
        <v>62</v>
      </c>
      <c r="P277" t="s">
        <v>63</v>
      </c>
      <c r="Q277">
        <v>42.525266168319817</v>
      </c>
      <c r="R277" t="s">
        <v>64</v>
      </c>
      <c r="S277" t="s">
        <v>65</v>
      </c>
      <c r="T277" t="s">
        <v>3078</v>
      </c>
      <c r="V277" t="s">
        <v>70</v>
      </c>
      <c r="X277" t="s">
        <v>3079</v>
      </c>
      <c r="Y277" t="s">
        <v>412</v>
      </c>
      <c r="Z277" t="s">
        <v>2623</v>
      </c>
      <c r="AA277" t="s">
        <v>942</v>
      </c>
      <c r="AB277" t="s">
        <v>41</v>
      </c>
      <c r="AD277" t="s">
        <v>620</v>
      </c>
      <c r="AF277" t="s">
        <v>2667</v>
      </c>
      <c r="AJ277">
        <v>1745.9846307796649</v>
      </c>
      <c r="AK277">
        <v>172094.33488418569</v>
      </c>
    </row>
    <row r="278" spans="1:37" x14ac:dyDescent="0.25">
      <c r="A278">
        <v>293</v>
      </c>
      <c r="B278" t="s">
        <v>3081</v>
      </c>
      <c r="C278" t="s">
        <v>376</v>
      </c>
      <c r="D278" t="s">
        <v>2604</v>
      </c>
      <c r="E278" t="s">
        <v>37</v>
      </c>
      <c r="F278" t="s">
        <v>38</v>
      </c>
      <c r="G278" s="2">
        <v>45846</v>
      </c>
      <c r="H278">
        <v>8.5</v>
      </c>
      <c r="I278" t="s">
        <v>72</v>
      </c>
      <c r="J278" t="s">
        <v>40</v>
      </c>
      <c r="K278" t="s">
        <v>41</v>
      </c>
      <c r="L278" t="s">
        <v>2605</v>
      </c>
      <c r="M278" t="s">
        <v>2606</v>
      </c>
      <c r="O278" t="s">
        <v>62</v>
      </c>
      <c r="P278" t="s">
        <v>63</v>
      </c>
      <c r="Q278">
        <v>8.4978914168829736</v>
      </c>
      <c r="R278" t="s">
        <v>64</v>
      </c>
      <c r="S278" t="s">
        <v>65</v>
      </c>
      <c r="T278" t="s">
        <v>3078</v>
      </c>
      <c r="V278" t="s">
        <v>70</v>
      </c>
      <c r="X278" t="s">
        <v>3079</v>
      </c>
      <c r="Y278" t="s">
        <v>412</v>
      </c>
      <c r="Z278" t="s">
        <v>2623</v>
      </c>
      <c r="AA278" t="s">
        <v>942</v>
      </c>
      <c r="AB278" t="s">
        <v>41</v>
      </c>
      <c r="AD278" t="s">
        <v>620</v>
      </c>
      <c r="AF278" t="s">
        <v>2667</v>
      </c>
      <c r="AJ278">
        <v>1078.692954684004</v>
      </c>
      <c r="AK278">
        <v>34389.884016669203</v>
      </c>
    </row>
    <row r="279" spans="1:37" hidden="1" x14ac:dyDescent="0.25">
      <c r="A279">
        <v>284</v>
      </c>
      <c r="B279" t="s">
        <v>3066</v>
      </c>
      <c r="C279" t="s">
        <v>376</v>
      </c>
      <c r="D279" t="s">
        <v>2604</v>
      </c>
      <c r="E279" t="s">
        <v>37</v>
      </c>
      <c r="F279" t="s">
        <v>38</v>
      </c>
      <c r="G279" s="2">
        <v>45845</v>
      </c>
      <c r="H279">
        <v>0.6</v>
      </c>
      <c r="I279" t="s">
        <v>72</v>
      </c>
      <c r="J279" t="s">
        <v>40</v>
      </c>
      <c r="K279" t="s">
        <v>41</v>
      </c>
      <c r="L279" t="s">
        <v>2605</v>
      </c>
      <c r="M279" t="s">
        <v>2606</v>
      </c>
      <c r="N279" t="s">
        <v>2702</v>
      </c>
      <c r="O279" t="s">
        <v>79</v>
      </c>
      <c r="P279" t="s">
        <v>80</v>
      </c>
      <c r="Q279">
        <v>1.2028978329794739</v>
      </c>
      <c r="R279" t="s">
        <v>46</v>
      </c>
      <c r="S279" t="s">
        <v>47</v>
      </c>
      <c r="T279" t="s">
        <v>2883</v>
      </c>
      <c r="V279" t="s">
        <v>70</v>
      </c>
      <c r="X279" t="s">
        <v>2880</v>
      </c>
      <c r="Y279" t="s">
        <v>412</v>
      </c>
      <c r="Z279" t="s">
        <v>2623</v>
      </c>
      <c r="AA279" t="s">
        <v>452</v>
      </c>
      <c r="AB279" t="s">
        <v>41</v>
      </c>
      <c r="AD279" t="s">
        <v>620</v>
      </c>
      <c r="AF279" t="s">
        <v>3045</v>
      </c>
      <c r="AJ279">
        <v>320.74115341839553</v>
      </c>
      <c r="AK279">
        <v>4867.9742927617272</v>
      </c>
    </row>
    <row r="280" spans="1:37" hidden="1" x14ac:dyDescent="0.25">
      <c r="A280">
        <v>285</v>
      </c>
      <c r="B280" t="s">
        <v>3067</v>
      </c>
      <c r="C280" t="s">
        <v>376</v>
      </c>
      <c r="D280" t="s">
        <v>2604</v>
      </c>
      <c r="E280" t="s">
        <v>37</v>
      </c>
      <c r="F280" t="s">
        <v>38</v>
      </c>
      <c r="G280" s="2">
        <v>45845</v>
      </c>
      <c r="H280">
        <v>19.5</v>
      </c>
      <c r="I280" t="s">
        <v>72</v>
      </c>
      <c r="J280" t="s">
        <v>40</v>
      </c>
      <c r="K280" t="s">
        <v>41</v>
      </c>
      <c r="L280" t="s">
        <v>2605</v>
      </c>
      <c r="M280" t="s">
        <v>2606</v>
      </c>
      <c r="N280" t="s">
        <v>3027</v>
      </c>
      <c r="O280" t="s">
        <v>113</v>
      </c>
      <c r="P280" t="s">
        <v>114</v>
      </c>
      <c r="Q280">
        <v>19.535100587759558</v>
      </c>
      <c r="R280" t="s">
        <v>46</v>
      </c>
      <c r="S280" t="s">
        <v>47</v>
      </c>
      <c r="T280" t="s">
        <v>3068</v>
      </c>
      <c r="V280" t="s">
        <v>70</v>
      </c>
      <c r="X280" t="s">
        <v>3069</v>
      </c>
      <c r="Y280" t="s">
        <v>412</v>
      </c>
      <c r="Z280" t="s">
        <v>2623</v>
      </c>
      <c r="AA280" t="s">
        <v>452</v>
      </c>
      <c r="AB280" t="s">
        <v>41</v>
      </c>
      <c r="AD280" t="s">
        <v>620</v>
      </c>
      <c r="AF280" t="s">
        <v>3070</v>
      </c>
      <c r="AJ280">
        <v>1221.9921190804459</v>
      </c>
      <c r="AK280">
        <v>79056.063499742551</v>
      </c>
    </row>
    <row r="281" spans="1:37" hidden="1" x14ac:dyDescent="0.25">
      <c r="A281">
        <v>286</v>
      </c>
      <c r="B281" t="s">
        <v>3071</v>
      </c>
      <c r="C281" t="s">
        <v>376</v>
      </c>
      <c r="D281" t="s">
        <v>2604</v>
      </c>
      <c r="E281" t="s">
        <v>37</v>
      </c>
      <c r="F281" t="s">
        <v>38</v>
      </c>
      <c r="G281" s="2">
        <v>45845</v>
      </c>
      <c r="H281">
        <v>9.4</v>
      </c>
      <c r="I281" t="s">
        <v>72</v>
      </c>
      <c r="J281" t="s">
        <v>40</v>
      </c>
      <c r="K281" t="s">
        <v>41</v>
      </c>
      <c r="L281" t="s">
        <v>2605</v>
      </c>
      <c r="M281" t="s">
        <v>2606</v>
      </c>
      <c r="N281" t="s">
        <v>3027</v>
      </c>
      <c r="O281" t="s">
        <v>113</v>
      </c>
      <c r="P281" t="s">
        <v>114</v>
      </c>
      <c r="Q281">
        <v>7.9259790128508838</v>
      </c>
      <c r="R281" t="s">
        <v>46</v>
      </c>
      <c r="S281" t="s">
        <v>47</v>
      </c>
      <c r="T281" t="s">
        <v>3068</v>
      </c>
      <c r="V281" t="s">
        <v>70</v>
      </c>
      <c r="X281" t="s">
        <v>3069</v>
      </c>
      <c r="Y281" t="s">
        <v>412</v>
      </c>
      <c r="Z281" t="s">
        <v>2623</v>
      </c>
      <c r="AA281" t="s">
        <v>452</v>
      </c>
      <c r="AB281" t="s">
        <v>41</v>
      </c>
      <c r="AD281" t="s">
        <v>620</v>
      </c>
      <c r="AF281" t="s">
        <v>3070</v>
      </c>
      <c r="AJ281">
        <v>717.94325395211342</v>
      </c>
      <c r="AK281">
        <v>32075.4273735444</v>
      </c>
    </row>
    <row r="282" spans="1:37" x14ac:dyDescent="0.25">
      <c r="A282">
        <v>294</v>
      </c>
      <c r="B282" t="s">
        <v>3082</v>
      </c>
      <c r="C282" t="s">
        <v>376</v>
      </c>
      <c r="D282" t="s">
        <v>2604</v>
      </c>
      <c r="E282" t="s">
        <v>37</v>
      </c>
      <c r="F282" t="s">
        <v>38</v>
      </c>
      <c r="G282" s="2">
        <v>45846</v>
      </c>
      <c r="H282">
        <v>5.6</v>
      </c>
      <c r="I282" t="s">
        <v>72</v>
      </c>
      <c r="J282" t="s">
        <v>40</v>
      </c>
      <c r="K282" t="s">
        <v>41</v>
      </c>
      <c r="L282" t="s">
        <v>2605</v>
      </c>
      <c r="M282" t="s">
        <v>2606</v>
      </c>
      <c r="O282" t="s">
        <v>62</v>
      </c>
      <c r="P282" t="s">
        <v>63</v>
      </c>
      <c r="Q282">
        <v>5.4988851355694814</v>
      </c>
      <c r="R282" t="s">
        <v>64</v>
      </c>
      <c r="S282" t="s">
        <v>65</v>
      </c>
      <c r="T282" t="s">
        <v>3078</v>
      </c>
      <c r="V282" t="s">
        <v>70</v>
      </c>
      <c r="X282" t="s">
        <v>3079</v>
      </c>
      <c r="Y282" t="s">
        <v>412</v>
      </c>
      <c r="Z282" t="s">
        <v>2623</v>
      </c>
      <c r="AA282" t="s">
        <v>942</v>
      </c>
      <c r="AB282" t="s">
        <v>41</v>
      </c>
      <c r="AD282" t="s">
        <v>620</v>
      </c>
      <c r="AF282" t="s">
        <v>2667</v>
      </c>
      <c r="AJ282">
        <v>927.4089909024176</v>
      </c>
      <c r="AK282">
        <v>22253.28763998079</v>
      </c>
    </row>
    <row r="283" spans="1:37" x14ac:dyDescent="0.25">
      <c r="A283">
        <v>298</v>
      </c>
      <c r="B283" t="s">
        <v>3087</v>
      </c>
      <c r="C283" t="s">
        <v>376</v>
      </c>
      <c r="D283" t="s">
        <v>2604</v>
      </c>
      <c r="E283" t="s">
        <v>37</v>
      </c>
      <c r="F283" t="s">
        <v>38</v>
      </c>
      <c r="G283" s="2">
        <v>45846</v>
      </c>
      <c r="H283">
        <v>18.899999999999999</v>
      </c>
      <c r="I283" t="s">
        <v>72</v>
      </c>
      <c r="J283" t="s">
        <v>40</v>
      </c>
      <c r="K283" t="s">
        <v>41</v>
      </c>
      <c r="L283" t="s">
        <v>2605</v>
      </c>
      <c r="M283" t="s">
        <v>2606</v>
      </c>
      <c r="O283" t="s">
        <v>62</v>
      </c>
      <c r="P283" t="s">
        <v>63</v>
      </c>
      <c r="Q283">
        <v>18.784152149056482</v>
      </c>
      <c r="R283" t="s">
        <v>64</v>
      </c>
      <c r="S283" t="s">
        <v>65</v>
      </c>
      <c r="T283" t="s">
        <v>3078</v>
      </c>
      <c r="V283" t="s">
        <v>70</v>
      </c>
      <c r="X283" t="s">
        <v>3079</v>
      </c>
      <c r="Y283" t="s">
        <v>412</v>
      </c>
      <c r="Z283" t="s">
        <v>2623</v>
      </c>
      <c r="AA283" t="s">
        <v>942</v>
      </c>
      <c r="AB283" t="s">
        <v>41</v>
      </c>
      <c r="AD283" t="s">
        <v>620</v>
      </c>
      <c r="AF283" t="s">
        <v>2667</v>
      </c>
      <c r="AJ283">
        <v>1103.395040948931</v>
      </c>
      <c r="AK283">
        <v>76017.070831727222</v>
      </c>
    </row>
    <row r="284" spans="1:37" x14ac:dyDescent="0.25">
      <c r="A284">
        <v>300</v>
      </c>
      <c r="B284" t="s">
        <v>3092</v>
      </c>
      <c r="C284" t="s">
        <v>376</v>
      </c>
      <c r="D284" t="s">
        <v>2604</v>
      </c>
      <c r="E284" t="s">
        <v>37</v>
      </c>
      <c r="F284" t="s">
        <v>38</v>
      </c>
      <c r="G284" s="2">
        <v>45846</v>
      </c>
      <c r="H284">
        <v>1.1000000000000001</v>
      </c>
      <c r="I284" t="s">
        <v>72</v>
      </c>
      <c r="J284" t="s">
        <v>40</v>
      </c>
      <c r="K284" t="s">
        <v>41</v>
      </c>
      <c r="L284" t="s">
        <v>2605</v>
      </c>
      <c r="M284" t="s">
        <v>2606</v>
      </c>
      <c r="O284" t="s">
        <v>62</v>
      </c>
      <c r="P284" t="s">
        <v>63</v>
      </c>
      <c r="Q284">
        <v>0.53737580687852116</v>
      </c>
      <c r="R284" t="s">
        <v>64</v>
      </c>
      <c r="S284" t="s">
        <v>65</v>
      </c>
      <c r="T284" t="s">
        <v>3089</v>
      </c>
      <c r="V284" t="s">
        <v>180</v>
      </c>
      <c r="X284" t="s">
        <v>3090</v>
      </c>
      <c r="Y284" t="s">
        <v>412</v>
      </c>
      <c r="Z284" t="s">
        <v>2623</v>
      </c>
      <c r="AA284" t="s">
        <v>554</v>
      </c>
      <c r="AB284" t="s">
        <v>41</v>
      </c>
      <c r="AD284" t="s">
        <v>224</v>
      </c>
      <c r="AF284" t="s">
        <v>3091</v>
      </c>
      <c r="AJ284">
        <v>213.75430662309611</v>
      </c>
      <c r="AK284">
        <v>2174.6914340657631</v>
      </c>
    </row>
    <row r="285" spans="1:37" x14ac:dyDescent="0.25">
      <c r="A285">
        <v>301</v>
      </c>
      <c r="B285" t="s">
        <v>3093</v>
      </c>
      <c r="C285" t="s">
        <v>376</v>
      </c>
      <c r="D285" t="s">
        <v>2604</v>
      </c>
      <c r="E285" t="s">
        <v>37</v>
      </c>
      <c r="F285" t="s">
        <v>38</v>
      </c>
      <c r="G285" s="2">
        <v>45846</v>
      </c>
      <c r="H285">
        <v>28.5</v>
      </c>
      <c r="I285" t="s">
        <v>72</v>
      </c>
      <c r="J285" t="s">
        <v>40</v>
      </c>
      <c r="K285" t="s">
        <v>41</v>
      </c>
      <c r="L285" t="s">
        <v>2605</v>
      </c>
      <c r="M285" t="s">
        <v>2606</v>
      </c>
      <c r="O285" t="s">
        <v>62</v>
      </c>
      <c r="P285" t="s">
        <v>63</v>
      </c>
      <c r="Q285">
        <v>14.51866646543985</v>
      </c>
      <c r="R285" t="s">
        <v>64</v>
      </c>
      <c r="S285" t="s">
        <v>65</v>
      </c>
      <c r="T285" t="s">
        <v>3094</v>
      </c>
      <c r="V285" t="s">
        <v>180</v>
      </c>
      <c r="X285" t="s">
        <v>3095</v>
      </c>
      <c r="Y285" t="s">
        <v>412</v>
      </c>
      <c r="Z285" t="s">
        <v>2623</v>
      </c>
      <c r="AA285" t="s">
        <v>858</v>
      </c>
      <c r="AB285" t="s">
        <v>41</v>
      </c>
      <c r="AD285" t="s">
        <v>224</v>
      </c>
      <c r="AF285" t="s">
        <v>3091</v>
      </c>
      <c r="AJ285">
        <v>1198.337152520133</v>
      </c>
      <c r="AK285">
        <v>58755.193650888359</v>
      </c>
    </row>
    <row r="286" spans="1:37" hidden="1" x14ac:dyDescent="0.25">
      <c r="A286">
        <v>292</v>
      </c>
      <c r="B286" t="s">
        <v>3080</v>
      </c>
      <c r="C286" t="s">
        <v>376</v>
      </c>
      <c r="D286" t="s">
        <v>2604</v>
      </c>
      <c r="E286" t="s">
        <v>37</v>
      </c>
      <c r="F286" t="s">
        <v>38</v>
      </c>
      <c r="G286" s="2">
        <v>45845</v>
      </c>
      <c r="H286">
        <v>5.9</v>
      </c>
      <c r="I286" t="s">
        <v>72</v>
      </c>
      <c r="J286" t="s">
        <v>40</v>
      </c>
      <c r="K286" t="s">
        <v>41</v>
      </c>
      <c r="L286" t="s">
        <v>2605</v>
      </c>
      <c r="M286" t="s">
        <v>2606</v>
      </c>
      <c r="N286" t="s">
        <v>2702</v>
      </c>
      <c r="O286" t="s">
        <v>113</v>
      </c>
      <c r="P286" t="s">
        <v>114</v>
      </c>
      <c r="Q286">
        <v>6.2685551187203643</v>
      </c>
      <c r="R286" t="s">
        <v>46</v>
      </c>
      <c r="S286" t="s">
        <v>47</v>
      </c>
      <c r="T286" t="s">
        <v>2883</v>
      </c>
      <c r="V286" t="s">
        <v>70</v>
      </c>
      <c r="X286" t="s">
        <v>2880</v>
      </c>
      <c r="Y286" t="s">
        <v>412</v>
      </c>
      <c r="Z286" t="s">
        <v>2623</v>
      </c>
      <c r="AA286" t="s">
        <v>452</v>
      </c>
      <c r="AB286" t="s">
        <v>41</v>
      </c>
      <c r="AD286" t="s">
        <v>620</v>
      </c>
      <c r="AF286" t="s">
        <v>3047</v>
      </c>
      <c r="AJ286">
        <v>753.99361599616213</v>
      </c>
      <c r="AK286">
        <v>25368.04401343648</v>
      </c>
    </row>
    <row r="287" spans="1:37" x14ac:dyDescent="0.25">
      <c r="A287">
        <v>302</v>
      </c>
      <c r="B287" t="s">
        <v>3096</v>
      </c>
      <c r="C287" t="s">
        <v>376</v>
      </c>
      <c r="D287" t="s">
        <v>2604</v>
      </c>
      <c r="E287" t="s">
        <v>37</v>
      </c>
      <c r="F287" t="s">
        <v>38</v>
      </c>
      <c r="G287" s="2">
        <v>45845</v>
      </c>
      <c r="H287">
        <v>19</v>
      </c>
      <c r="I287" t="s">
        <v>72</v>
      </c>
      <c r="J287" t="s">
        <v>40</v>
      </c>
      <c r="K287" t="s">
        <v>41</v>
      </c>
      <c r="L287" t="s">
        <v>2605</v>
      </c>
      <c r="M287" t="s">
        <v>2606</v>
      </c>
      <c r="N287" t="s">
        <v>3027</v>
      </c>
      <c r="O287" t="s">
        <v>62</v>
      </c>
      <c r="P287" t="s">
        <v>63</v>
      </c>
      <c r="Q287">
        <v>19.08498276699919</v>
      </c>
      <c r="R287" t="s">
        <v>64</v>
      </c>
      <c r="S287" t="s">
        <v>65</v>
      </c>
      <c r="T287" t="s">
        <v>3097</v>
      </c>
      <c r="V287" t="s">
        <v>70</v>
      </c>
      <c r="X287" t="s">
        <v>3029</v>
      </c>
      <c r="Y287" t="s">
        <v>412</v>
      </c>
      <c r="Z287" t="s">
        <v>2623</v>
      </c>
      <c r="AA287" t="s">
        <v>942</v>
      </c>
      <c r="AB287" t="s">
        <v>41</v>
      </c>
      <c r="AD287" t="s">
        <v>620</v>
      </c>
      <c r="AF287" t="s">
        <v>2667</v>
      </c>
      <c r="AJ287">
        <v>1277.381171409113</v>
      </c>
      <c r="AK287">
        <v>77234.494019691119</v>
      </c>
    </row>
    <row r="288" spans="1:37" x14ac:dyDescent="0.25">
      <c r="A288">
        <v>303</v>
      </c>
      <c r="B288" t="s">
        <v>3098</v>
      </c>
      <c r="C288" t="s">
        <v>376</v>
      </c>
      <c r="D288" t="s">
        <v>2604</v>
      </c>
      <c r="E288" t="s">
        <v>37</v>
      </c>
      <c r="F288" t="s">
        <v>38</v>
      </c>
      <c r="G288" s="2">
        <v>45846</v>
      </c>
      <c r="H288">
        <v>3.7</v>
      </c>
      <c r="I288" t="s">
        <v>72</v>
      </c>
      <c r="J288" t="s">
        <v>40</v>
      </c>
      <c r="K288" t="s">
        <v>41</v>
      </c>
      <c r="L288" t="s">
        <v>2605</v>
      </c>
      <c r="M288" t="s">
        <v>2606</v>
      </c>
      <c r="O288" t="s">
        <v>62</v>
      </c>
      <c r="P288" t="s">
        <v>63</v>
      </c>
      <c r="Q288">
        <v>3.483014488337552</v>
      </c>
      <c r="R288" t="s">
        <v>64</v>
      </c>
      <c r="S288" t="s">
        <v>65</v>
      </c>
      <c r="T288" t="s">
        <v>3094</v>
      </c>
      <c r="V288" t="s">
        <v>180</v>
      </c>
      <c r="X288" t="s">
        <v>3095</v>
      </c>
      <c r="Y288" t="s">
        <v>412</v>
      </c>
      <c r="Z288" t="s">
        <v>2623</v>
      </c>
      <c r="AA288" t="s">
        <v>858</v>
      </c>
      <c r="AB288" t="s">
        <v>41</v>
      </c>
      <c r="AD288" t="s">
        <v>224</v>
      </c>
      <c r="AF288" t="s">
        <v>3091</v>
      </c>
      <c r="AJ288">
        <v>785.12586054215512</v>
      </c>
      <c r="AK288">
        <v>14095.31593264842</v>
      </c>
    </row>
    <row r="289" spans="1:37" hidden="1" x14ac:dyDescent="0.25">
      <c r="A289">
        <v>296</v>
      </c>
      <c r="B289" t="s">
        <v>3084</v>
      </c>
      <c r="C289" t="s">
        <v>376</v>
      </c>
      <c r="D289" t="s">
        <v>2604</v>
      </c>
      <c r="E289" t="s">
        <v>37</v>
      </c>
      <c r="F289" t="s">
        <v>38</v>
      </c>
      <c r="G289" s="2">
        <v>45846</v>
      </c>
      <c r="H289">
        <v>7.6</v>
      </c>
      <c r="I289" t="s">
        <v>72</v>
      </c>
      <c r="J289" t="s">
        <v>40</v>
      </c>
      <c r="K289" t="s">
        <v>41</v>
      </c>
      <c r="L289" t="s">
        <v>2605</v>
      </c>
      <c r="M289" t="s">
        <v>2606</v>
      </c>
      <c r="N289" t="s">
        <v>2712</v>
      </c>
      <c r="O289" t="s">
        <v>79</v>
      </c>
      <c r="P289" t="s">
        <v>80</v>
      </c>
      <c r="Q289">
        <v>7.5358921914198982</v>
      </c>
      <c r="R289" t="s">
        <v>46</v>
      </c>
      <c r="S289" t="s">
        <v>47</v>
      </c>
      <c r="T289" t="s">
        <v>2846</v>
      </c>
      <c r="V289" t="s">
        <v>70</v>
      </c>
      <c r="X289" t="s">
        <v>2714</v>
      </c>
      <c r="Y289" t="s">
        <v>412</v>
      </c>
      <c r="Z289" t="s">
        <v>2623</v>
      </c>
      <c r="AA289" t="s">
        <v>942</v>
      </c>
      <c r="AB289" t="s">
        <v>41</v>
      </c>
      <c r="AD289" t="s">
        <v>620</v>
      </c>
      <c r="AF289" t="s">
        <v>2667</v>
      </c>
      <c r="AJ289">
        <v>740.52755619652294</v>
      </c>
      <c r="AK289">
        <v>30496.795700422441</v>
      </c>
    </row>
    <row r="290" spans="1:37" hidden="1" x14ac:dyDescent="0.25">
      <c r="A290">
        <v>297</v>
      </c>
      <c r="B290" t="s">
        <v>3085</v>
      </c>
      <c r="C290" t="s">
        <v>376</v>
      </c>
      <c r="D290" t="s">
        <v>2604</v>
      </c>
      <c r="E290" t="s">
        <v>37</v>
      </c>
      <c r="F290" t="s">
        <v>38</v>
      </c>
      <c r="G290" s="2">
        <v>45846</v>
      </c>
      <c r="H290">
        <v>0.6</v>
      </c>
      <c r="I290" t="s">
        <v>72</v>
      </c>
      <c r="J290" t="s">
        <v>40</v>
      </c>
      <c r="K290" t="s">
        <v>41</v>
      </c>
      <c r="L290" t="s">
        <v>2605</v>
      </c>
      <c r="M290" t="s">
        <v>2606</v>
      </c>
      <c r="N290" t="s">
        <v>2712</v>
      </c>
      <c r="O290" t="s">
        <v>115</v>
      </c>
      <c r="P290" t="s">
        <v>137</v>
      </c>
      <c r="Q290">
        <v>0.5588768311123038</v>
      </c>
      <c r="S290" t="s">
        <v>38</v>
      </c>
      <c r="T290" t="s">
        <v>3086</v>
      </c>
      <c r="V290" t="s">
        <v>70</v>
      </c>
      <c r="X290" t="s">
        <v>2714</v>
      </c>
      <c r="Y290" t="s">
        <v>412</v>
      </c>
      <c r="Z290" t="s">
        <v>2623</v>
      </c>
      <c r="AA290" t="s">
        <v>942</v>
      </c>
      <c r="AB290" t="s">
        <v>41</v>
      </c>
      <c r="AD290" t="s">
        <v>620</v>
      </c>
      <c r="AF290" t="s">
        <v>2667</v>
      </c>
      <c r="AJ290">
        <v>267.72653416722682</v>
      </c>
      <c r="AK290">
        <v>2261.7033401217</v>
      </c>
    </row>
    <row r="291" spans="1:37" x14ac:dyDescent="0.25">
      <c r="A291">
        <v>305</v>
      </c>
      <c r="B291" t="s">
        <v>3100</v>
      </c>
      <c r="C291" t="s">
        <v>376</v>
      </c>
      <c r="D291" t="s">
        <v>2604</v>
      </c>
      <c r="E291" t="s">
        <v>37</v>
      </c>
      <c r="F291" t="s">
        <v>38</v>
      </c>
      <c r="G291" s="2">
        <v>45846</v>
      </c>
      <c r="H291">
        <v>12</v>
      </c>
      <c r="I291" t="s">
        <v>72</v>
      </c>
      <c r="J291" t="s">
        <v>40</v>
      </c>
      <c r="K291" t="s">
        <v>41</v>
      </c>
      <c r="L291" t="s">
        <v>2605</v>
      </c>
      <c r="M291" t="s">
        <v>2606</v>
      </c>
      <c r="O291" t="s">
        <v>62</v>
      </c>
      <c r="P291" t="s">
        <v>63</v>
      </c>
      <c r="Q291">
        <v>11.9010576994001</v>
      </c>
      <c r="R291" t="s">
        <v>64</v>
      </c>
      <c r="S291" t="s">
        <v>65</v>
      </c>
      <c r="T291" t="s">
        <v>3094</v>
      </c>
      <c r="V291" t="s">
        <v>180</v>
      </c>
      <c r="X291" t="s">
        <v>3095</v>
      </c>
      <c r="Y291" t="s">
        <v>412</v>
      </c>
      <c r="Z291" t="s">
        <v>2623</v>
      </c>
      <c r="AA291" t="s">
        <v>858</v>
      </c>
      <c r="AB291" t="s">
        <v>41</v>
      </c>
      <c r="AD291" t="s">
        <v>224</v>
      </c>
      <c r="AF291" t="s">
        <v>3091</v>
      </c>
      <c r="AJ291">
        <v>1015.05965468109</v>
      </c>
      <c r="AK291">
        <v>48162.064432235347</v>
      </c>
    </row>
    <row r="292" spans="1:37" hidden="1" x14ac:dyDescent="0.25">
      <c r="A292">
        <v>299</v>
      </c>
      <c r="B292" t="s">
        <v>3088</v>
      </c>
      <c r="C292" t="s">
        <v>376</v>
      </c>
      <c r="D292" t="s">
        <v>2604</v>
      </c>
      <c r="E292" t="s">
        <v>37</v>
      </c>
      <c r="F292" t="s">
        <v>38</v>
      </c>
      <c r="G292" s="2">
        <v>45846</v>
      </c>
      <c r="H292">
        <v>10.91037673751693</v>
      </c>
      <c r="I292" t="s">
        <v>72</v>
      </c>
      <c r="J292" t="s">
        <v>40</v>
      </c>
      <c r="K292" t="s">
        <v>41</v>
      </c>
      <c r="L292" t="s">
        <v>2605</v>
      </c>
      <c r="M292" t="s">
        <v>2606</v>
      </c>
      <c r="O292" t="s">
        <v>79</v>
      </c>
      <c r="P292" t="s">
        <v>80</v>
      </c>
      <c r="Q292">
        <v>11.451945790960551</v>
      </c>
      <c r="R292" t="s">
        <v>60</v>
      </c>
      <c r="S292" t="s">
        <v>66</v>
      </c>
      <c r="T292" t="s">
        <v>3089</v>
      </c>
      <c r="V292" t="s">
        <v>180</v>
      </c>
      <c r="X292" t="s">
        <v>3090</v>
      </c>
      <c r="Y292" t="s">
        <v>412</v>
      </c>
      <c r="Z292" t="s">
        <v>2623</v>
      </c>
      <c r="AA292" t="s">
        <v>858</v>
      </c>
      <c r="AB292" t="s">
        <v>41</v>
      </c>
      <c r="AD292" t="s">
        <v>224</v>
      </c>
      <c r="AF292" t="s">
        <v>3091</v>
      </c>
      <c r="AJ292">
        <v>887.84330159097749</v>
      </c>
      <c r="AK292">
        <v>46344.565751202987</v>
      </c>
    </row>
    <row r="293" spans="1:37" x14ac:dyDescent="0.25">
      <c r="A293">
        <v>307</v>
      </c>
      <c r="B293" t="s">
        <v>3103</v>
      </c>
      <c r="C293" t="s">
        <v>376</v>
      </c>
      <c r="D293" t="s">
        <v>2604</v>
      </c>
      <c r="E293" t="s">
        <v>37</v>
      </c>
      <c r="F293" t="s">
        <v>38</v>
      </c>
      <c r="G293" s="2">
        <v>45846</v>
      </c>
      <c r="H293">
        <v>1.3</v>
      </c>
      <c r="I293" t="s">
        <v>72</v>
      </c>
      <c r="J293" t="s">
        <v>40</v>
      </c>
      <c r="K293" t="s">
        <v>41</v>
      </c>
      <c r="L293" t="s">
        <v>2605</v>
      </c>
      <c r="M293" t="s">
        <v>2606</v>
      </c>
      <c r="N293" t="s">
        <v>2712</v>
      </c>
      <c r="O293" t="s">
        <v>62</v>
      </c>
      <c r="P293" t="s">
        <v>63</v>
      </c>
      <c r="Q293">
        <v>1.3263504854022561</v>
      </c>
      <c r="R293" t="s">
        <v>64</v>
      </c>
      <c r="S293" t="s">
        <v>65</v>
      </c>
      <c r="T293" t="s">
        <v>2722</v>
      </c>
      <c r="V293" t="s">
        <v>70</v>
      </c>
      <c r="X293" t="s">
        <v>2714</v>
      </c>
      <c r="Y293" t="s">
        <v>412</v>
      </c>
      <c r="Z293" t="s">
        <v>2623</v>
      </c>
      <c r="AA293" t="s">
        <v>942</v>
      </c>
      <c r="AB293" t="s">
        <v>41</v>
      </c>
      <c r="AD293" t="s">
        <v>620</v>
      </c>
      <c r="AF293" t="s">
        <v>2667</v>
      </c>
      <c r="AJ293">
        <v>316.7039049081348</v>
      </c>
      <c r="AK293">
        <v>5367.571450467809</v>
      </c>
    </row>
    <row r="294" spans="1:37" x14ac:dyDescent="0.25">
      <c r="A294">
        <v>308</v>
      </c>
      <c r="B294" t="s">
        <v>3104</v>
      </c>
      <c r="C294" t="s">
        <v>376</v>
      </c>
      <c r="D294" t="s">
        <v>2604</v>
      </c>
      <c r="E294" t="s">
        <v>37</v>
      </c>
      <c r="F294" t="s">
        <v>38</v>
      </c>
      <c r="G294" s="2">
        <v>45846</v>
      </c>
      <c r="H294">
        <v>1.4</v>
      </c>
      <c r="I294" t="s">
        <v>72</v>
      </c>
      <c r="J294" t="s">
        <v>40</v>
      </c>
      <c r="K294" t="s">
        <v>41</v>
      </c>
      <c r="L294" t="s">
        <v>2605</v>
      </c>
      <c r="M294" t="s">
        <v>2606</v>
      </c>
      <c r="N294" t="s">
        <v>2712</v>
      </c>
      <c r="O294" t="s">
        <v>62</v>
      </c>
      <c r="P294" t="s">
        <v>63</v>
      </c>
      <c r="Q294">
        <v>1.3693946258133931</v>
      </c>
      <c r="R294" t="s">
        <v>64</v>
      </c>
      <c r="S294" t="s">
        <v>65</v>
      </c>
      <c r="T294" t="s">
        <v>2722</v>
      </c>
      <c r="V294" t="s">
        <v>70</v>
      </c>
      <c r="X294" t="s">
        <v>2714</v>
      </c>
      <c r="Y294" t="s">
        <v>412</v>
      </c>
      <c r="Z294" t="s">
        <v>2623</v>
      </c>
      <c r="AA294" t="s">
        <v>942</v>
      </c>
      <c r="AB294" t="s">
        <v>41</v>
      </c>
      <c r="AD294" t="s">
        <v>620</v>
      </c>
      <c r="AF294" t="s">
        <v>2667</v>
      </c>
      <c r="AJ294">
        <v>307.5973689846158</v>
      </c>
      <c r="AK294">
        <v>5541.7656033132207</v>
      </c>
    </row>
    <row r="295" spans="1:37" x14ac:dyDescent="0.25">
      <c r="A295">
        <v>311</v>
      </c>
      <c r="B295" t="s">
        <v>3108</v>
      </c>
      <c r="C295" t="s">
        <v>376</v>
      </c>
      <c r="D295" t="s">
        <v>2604</v>
      </c>
      <c r="E295" t="s">
        <v>37</v>
      </c>
      <c r="F295" t="s">
        <v>38</v>
      </c>
      <c r="G295" s="2">
        <v>45846</v>
      </c>
      <c r="H295">
        <v>1.2</v>
      </c>
      <c r="I295" t="s">
        <v>72</v>
      </c>
      <c r="J295" t="s">
        <v>40</v>
      </c>
      <c r="K295" t="s">
        <v>41</v>
      </c>
      <c r="L295" t="s">
        <v>2605</v>
      </c>
      <c r="M295" t="s">
        <v>2606</v>
      </c>
      <c r="N295" t="s">
        <v>2712</v>
      </c>
      <c r="O295" t="s">
        <v>62</v>
      </c>
      <c r="P295" t="s">
        <v>63</v>
      </c>
      <c r="Q295">
        <v>1.1605719707366771</v>
      </c>
      <c r="R295" t="s">
        <v>64</v>
      </c>
      <c r="S295" t="s">
        <v>65</v>
      </c>
      <c r="T295" t="s">
        <v>2722</v>
      </c>
      <c r="V295" t="s">
        <v>70</v>
      </c>
      <c r="X295" t="s">
        <v>2714</v>
      </c>
      <c r="Y295" t="s">
        <v>412</v>
      </c>
      <c r="Z295" t="s">
        <v>2623</v>
      </c>
      <c r="AA295" t="s">
        <v>942</v>
      </c>
      <c r="AB295" t="s">
        <v>41</v>
      </c>
      <c r="AD295" t="s">
        <v>620</v>
      </c>
      <c r="AF295" t="s">
        <v>2667</v>
      </c>
      <c r="AJ295">
        <v>279.34896518038948</v>
      </c>
      <c r="AK295">
        <v>4696.6869201620402</v>
      </c>
    </row>
    <row r="296" spans="1:37" x14ac:dyDescent="0.25">
      <c r="A296">
        <v>312</v>
      </c>
      <c r="B296" t="s">
        <v>3109</v>
      </c>
      <c r="C296" t="s">
        <v>376</v>
      </c>
      <c r="D296" t="s">
        <v>2604</v>
      </c>
      <c r="E296" t="s">
        <v>37</v>
      </c>
      <c r="F296" t="s">
        <v>38</v>
      </c>
      <c r="G296" s="2">
        <v>45846</v>
      </c>
      <c r="H296">
        <v>1.4</v>
      </c>
      <c r="I296" t="s">
        <v>72</v>
      </c>
      <c r="J296" t="s">
        <v>40</v>
      </c>
      <c r="K296" t="s">
        <v>41</v>
      </c>
      <c r="L296" t="s">
        <v>2605</v>
      </c>
      <c r="M296" t="s">
        <v>2606</v>
      </c>
      <c r="N296" t="s">
        <v>2712</v>
      </c>
      <c r="O296" t="s">
        <v>62</v>
      </c>
      <c r="P296" t="s">
        <v>63</v>
      </c>
      <c r="Q296">
        <v>1.37226259729671</v>
      </c>
      <c r="R296" t="s">
        <v>64</v>
      </c>
      <c r="S296" t="s">
        <v>65</v>
      </c>
      <c r="T296" t="s">
        <v>2722</v>
      </c>
      <c r="V296" t="s">
        <v>70</v>
      </c>
      <c r="X296" t="s">
        <v>2714</v>
      </c>
      <c r="Y296" t="s">
        <v>412</v>
      </c>
      <c r="Z296" t="s">
        <v>2623</v>
      </c>
      <c r="AA296" t="s">
        <v>860</v>
      </c>
      <c r="AB296" t="s">
        <v>41</v>
      </c>
      <c r="AD296" t="s">
        <v>620</v>
      </c>
      <c r="AF296" t="s">
        <v>2667</v>
      </c>
      <c r="AJ296">
        <v>381.76203943283218</v>
      </c>
      <c r="AK296">
        <v>5553.3719185549571</v>
      </c>
    </row>
    <row r="297" spans="1:37" hidden="1" x14ac:dyDescent="0.25">
      <c r="A297">
        <v>304</v>
      </c>
      <c r="B297" t="s">
        <v>3099</v>
      </c>
      <c r="C297" t="s">
        <v>376</v>
      </c>
      <c r="D297" t="s">
        <v>2604</v>
      </c>
      <c r="E297" t="s">
        <v>37</v>
      </c>
      <c r="F297" t="s">
        <v>38</v>
      </c>
      <c r="G297" s="2">
        <v>45845</v>
      </c>
      <c r="H297">
        <v>7</v>
      </c>
      <c r="I297" t="s">
        <v>72</v>
      </c>
      <c r="J297" t="s">
        <v>40</v>
      </c>
      <c r="K297" t="s">
        <v>41</v>
      </c>
      <c r="L297" t="s">
        <v>2605</v>
      </c>
      <c r="M297" t="s">
        <v>2606</v>
      </c>
      <c r="N297" t="s">
        <v>3027</v>
      </c>
      <c r="O297" t="s">
        <v>113</v>
      </c>
      <c r="P297" t="s">
        <v>114</v>
      </c>
      <c r="Q297">
        <v>6.7157972182133516</v>
      </c>
      <c r="R297" t="s">
        <v>46</v>
      </c>
      <c r="S297" t="s">
        <v>47</v>
      </c>
      <c r="T297" t="s">
        <v>3068</v>
      </c>
      <c r="V297" t="s">
        <v>70</v>
      </c>
      <c r="X297" t="s">
        <v>3069</v>
      </c>
      <c r="Y297" t="s">
        <v>412</v>
      </c>
      <c r="Z297" t="s">
        <v>2623</v>
      </c>
      <c r="AA297" t="s">
        <v>452</v>
      </c>
      <c r="AB297" t="s">
        <v>41</v>
      </c>
      <c r="AD297" t="s">
        <v>620</v>
      </c>
      <c r="AF297" t="s">
        <v>3070</v>
      </c>
      <c r="AJ297">
        <v>688.77884726221907</v>
      </c>
      <c r="AK297">
        <v>27177.975815857309</v>
      </c>
    </row>
    <row r="298" spans="1:37" x14ac:dyDescent="0.25">
      <c r="A298">
        <v>314</v>
      </c>
      <c r="B298" t="s">
        <v>3112</v>
      </c>
      <c r="C298" t="s">
        <v>376</v>
      </c>
      <c r="D298" t="s">
        <v>2604</v>
      </c>
      <c r="E298" t="s">
        <v>37</v>
      </c>
      <c r="F298" t="s">
        <v>38</v>
      </c>
      <c r="G298" s="2">
        <v>45845</v>
      </c>
      <c r="H298">
        <v>0.6</v>
      </c>
      <c r="I298" t="s">
        <v>72</v>
      </c>
      <c r="J298" t="s">
        <v>40</v>
      </c>
      <c r="K298" t="s">
        <v>41</v>
      </c>
      <c r="L298" t="s">
        <v>2605</v>
      </c>
      <c r="M298" t="s">
        <v>2606</v>
      </c>
      <c r="N298" t="s">
        <v>3027</v>
      </c>
      <c r="O298" t="s">
        <v>62</v>
      </c>
      <c r="P298" t="s">
        <v>63</v>
      </c>
      <c r="Q298">
        <v>0.58808412004186494</v>
      </c>
      <c r="R298" t="s">
        <v>64</v>
      </c>
      <c r="S298" t="s">
        <v>65</v>
      </c>
      <c r="T298" t="s">
        <v>3113</v>
      </c>
      <c r="V298" t="s">
        <v>70</v>
      </c>
      <c r="X298" t="s">
        <v>3069</v>
      </c>
      <c r="Y298" t="s">
        <v>412</v>
      </c>
      <c r="Z298" t="s">
        <v>2623</v>
      </c>
      <c r="AA298" t="s">
        <v>452</v>
      </c>
      <c r="AB298" t="s">
        <v>41</v>
      </c>
      <c r="AD298" t="s">
        <v>620</v>
      </c>
      <c r="AF298" t="s">
        <v>3070</v>
      </c>
      <c r="AJ298">
        <v>229.57326044881049</v>
      </c>
      <c r="AK298">
        <v>2379.9015176994249</v>
      </c>
    </row>
    <row r="299" spans="1:37" hidden="1" x14ac:dyDescent="0.25">
      <c r="A299">
        <v>306</v>
      </c>
      <c r="B299" t="s">
        <v>3101</v>
      </c>
      <c r="C299" t="s">
        <v>376</v>
      </c>
      <c r="D299" t="s">
        <v>2604</v>
      </c>
      <c r="E299" t="s">
        <v>37</v>
      </c>
      <c r="F299" t="s">
        <v>38</v>
      </c>
      <c r="G299" s="2">
        <v>45846</v>
      </c>
      <c r="H299">
        <v>1.8</v>
      </c>
      <c r="I299" t="s">
        <v>72</v>
      </c>
      <c r="J299" t="s">
        <v>40</v>
      </c>
      <c r="K299" t="s">
        <v>41</v>
      </c>
      <c r="L299" t="s">
        <v>2605</v>
      </c>
      <c r="M299" t="s">
        <v>2606</v>
      </c>
      <c r="N299" t="s">
        <v>2712</v>
      </c>
      <c r="O299" t="s">
        <v>79</v>
      </c>
      <c r="P299" t="s">
        <v>80</v>
      </c>
      <c r="Q299">
        <v>1.8479700883622909</v>
      </c>
      <c r="R299" t="s">
        <v>46</v>
      </c>
      <c r="S299" t="s">
        <v>47</v>
      </c>
      <c r="T299" t="s">
        <v>3102</v>
      </c>
      <c r="V299" t="s">
        <v>70</v>
      </c>
      <c r="X299" t="s">
        <v>2714</v>
      </c>
      <c r="Y299" t="s">
        <v>412</v>
      </c>
      <c r="Z299" t="s">
        <v>2623</v>
      </c>
      <c r="AA299" t="s">
        <v>942</v>
      </c>
      <c r="AB299" t="s">
        <v>41</v>
      </c>
      <c r="AD299" t="s">
        <v>620</v>
      </c>
      <c r="AF299" t="s">
        <v>2667</v>
      </c>
      <c r="AJ299">
        <v>367.16014586397341</v>
      </c>
      <c r="AK299">
        <v>7478.4995344602548</v>
      </c>
    </row>
    <row r="300" spans="1:37" x14ac:dyDescent="0.25">
      <c r="A300">
        <v>316</v>
      </c>
      <c r="B300" t="s">
        <v>3115</v>
      </c>
      <c r="C300" t="s">
        <v>376</v>
      </c>
      <c r="D300" t="s">
        <v>2604</v>
      </c>
      <c r="E300" t="s">
        <v>37</v>
      </c>
      <c r="F300" t="s">
        <v>38</v>
      </c>
      <c r="G300" s="2">
        <v>45845</v>
      </c>
      <c r="H300">
        <v>0.6</v>
      </c>
      <c r="I300" t="s">
        <v>72</v>
      </c>
      <c r="J300" t="s">
        <v>40</v>
      </c>
      <c r="K300" t="s">
        <v>41</v>
      </c>
      <c r="L300" t="s">
        <v>2605</v>
      </c>
      <c r="M300" t="s">
        <v>2606</v>
      </c>
      <c r="N300" t="s">
        <v>3027</v>
      </c>
      <c r="O300" t="s">
        <v>62</v>
      </c>
      <c r="P300" t="s">
        <v>63</v>
      </c>
      <c r="Q300">
        <v>0.75160924713985344</v>
      </c>
      <c r="R300" t="s">
        <v>64</v>
      </c>
      <c r="S300" t="s">
        <v>65</v>
      </c>
      <c r="T300" t="s">
        <v>3097</v>
      </c>
      <c r="V300" t="s">
        <v>70</v>
      </c>
      <c r="X300" t="s">
        <v>3029</v>
      </c>
      <c r="Y300" t="s">
        <v>412</v>
      </c>
      <c r="Z300" t="s">
        <v>2623</v>
      </c>
      <c r="AA300" t="s">
        <v>942</v>
      </c>
      <c r="AB300" t="s">
        <v>41</v>
      </c>
      <c r="AD300" t="s">
        <v>620</v>
      </c>
      <c r="AF300" t="s">
        <v>2667</v>
      </c>
      <c r="AJ300">
        <v>245.85583315046131</v>
      </c>
      <c r="AK300">
        <v>3041.6668755784799</v>
      </c>
    </row>
    <row r="301" spans="1:37" x14ac:dyDescent="0.25">
      <c r="A301">
        <v>318</v>
      </c>
      <c r="B301" t="s">
        <v>3117</v>
      </c>
      <c r="C301" t="s">
        <v>376</v>
      </c>
      <c r="D301" t="s">
        <v>2604</v>
      </c>
      <c r="E301" t="s">
        <v>37</v>
      </c>
      <c r="F301" t="s">
        <v>38</v>
      </c>
      <c r="G301" s="2">
        <v>45845</v>
      </c>
      <c r="H301">
        <v>3.5</v>
      </c>
      <c r="I301" t="s">
        <v>72</v>
      </c>
      <c r="J301" t="s">
        <v>40</v>
      </c>
      <c r="K301" t="s">
        <v>41</v>
      </c>
      <c r="L301" t="s">
        <v>2605</v>
      </c>
      <c r="M301" t="s">
        <v>2606</v>
      </c>
      <c r="N301" t="s">
        <v>3027</v>
      </c>
      <c r="O301" t="s">
        <v>62</v>
      </c>
      <c r="P301" t="s">
        <v>63</v>
      </c>
      <c r="Q301">
        <v>3.462824982886155</v>
      </c>
      <c r="R301" t="s">
        <v>64</v>
      </c>
      <c r="S301" t="s">
        <v>65</v>
      </c>
      <c r="T301" t="s">
        <v>3097</v>
      </c>
      <c r="V301" t="s">
        <v>70</v>
      </c>
      <c r="X301" t="s">
        <v>3029</v>
      </c>
      <c r="Y301" t="s">
        <v>412</v>
      </c>
      <c r="Z301" t="s">
        <v>2623</v>
      </c>
      <c r="AA301" t="s">
        <v>942</v>
      </c>
      <c r="AB301" t="s">
        <v>41</v>
      </c>
      <c r="AD301" t="s">
        <v>620</v>
      </c>
      <c r="AF301" t="s">
        <v>2667</v>
      </c>
      <c r="AJ301">
        <v>494.48208622476881</v>
      </c>
      <c r="AK301">
        <v>14013.611576030249</v>
      </c>
    </row>
    <row r="302" spans="1:37" hidden="1" x14ac:dyDescent="0.25">
      <c r="A302">
        <v>309</v>
      </c>
      <c r="B302" t="s">
        <v>3105</v>
      </c>
      <c r="C302" t="s">
        <v>376</v>
      </c>
      <c r="D302" t="s">
        <v>2604</v>
      </c>
      <c r="E302" t="s">
        <v>37</v>
      </c>
      <c r="F302" t="s">
        <v>38</v>
      </c>
      <c r="G302" s="2">
        <v>45847</v>
      </c>
      <c r="H302">
        <v>1.7</v>
      </c>
      <c r="I302" t="s">
        <v>72</v>
      </c>
      <c r="J302" t="s">
        <v>40</v>
      </c>
      <c r="K302" t="s">
        <v>41</v>
      </c>
      <c r="L302" t="s">
        <v>2605</v>
      </c>
      <c r="M302" t="s">
        <v>2606</v>
      </c>
      <c r="O302" t="s">
        <v>55</v>
      </c>
      <c r="P302" t="s">
        <v>56</v>
      </c>
      <c r="Q302">
        <v>1.3476868149060279</v>
      </c>
      <c r="R302" t="s">
        <v>60</v>
      </c>
      <c r="S302" t="s">
        <v>66</v>
      </c>
      <c r="T302" t="s">
        <v>3106</v>
      </c>
      <c r="V302" t="s">
        <v>180</v>
      </c>
      <c r="X302" t="s">
        <v>3106</v>
      </c>
      <c r="Y302" t="s">
        <v>412</v>
      </c>
      <c r="Z302" t="s">
        <v>2623</v>
      </c>
      <c r="AA302" t="s">
        <v>554</v>
      </c>
      <c r="AB302" t="s">
        <v>41</v>
      </c>
      <c r="AD302" t="s">
        <v>1067</v>
      </c>
      <c r="AF302" t="s">
        <v>3091</v>
      </c>
      <c r="AJ302">
        <v>432.56247383797762</v>
      </c>
      <c r="AK302">
        <v>5453.9168579318766</v>
      </c>
    </row>
    <row r="303" spans="1:37" hidden="1" x14ac:dyDescent="0.25">
      <c r="A303">
        <v>310</v>
      </c>
      <c r="B303" t="s">
        <v>3107</v>
      </c>
      <c r="C303" t="s">
        <v>376</v>
      </c>
      <c r="D303" t="s">
        <v>2604</v>
      </c>
      <c r="E303" t="s">
        <v>37</v>
      </c>
      <c r="F303" t="s">
        <v>38</v>
      </c>
      <c r="G303" s="2">
        <v>45847</v>
      </c>
      <c r="H303">
        <v>2.54</v>
      </c>
      <c r="I303" t="s">
        <v>72</v>
      </c>
      <c r="J303" t="s">
        <v>40</v>
      </c>
      <c r="K303" t="s">
        <v>41</v>
      </c>
      <c r="L303" t="s">
        <v>2605</v>
      </c>
      <c r="M303" t="s">
        <v>2606</v>
      </c>
      <c r="O303" t="s">
        <v>55</v>
      </c>
      <c r="P303" t="s">
        <v>56</v>
      </c>
      <c r="Q303">
        <v>0.88965336863194122</v>
      </c>
      <c r="R303" t="s">
        <v>60</v>
      </c>
      <c r="S303" t="s">
        <v>66</v>
      </c>
      <c r="T303" t="s">
        <v>3106</v>
      </c>
      <c r="V303" t="s">
        <v>180</v>
      </c>
      <c r="X303" t="s">
        <v>3106</v>
      </c>
      <c r="Y303" t="s">
        <v>412</v>
      </c>
      <c r="Z303" t="s">
        <v>2623</v>
      </c>
      <c r="AA303" t="s">
        <v>554</v>
      </c>
      <c r="AB303" t="s">
        <v>41</v>
      </c>
      <c r="AD303" t="s">
        <v>1067</v>
      </c>
      <c r="AF303" t="s">
        <v>3091</v>
      </c>
      <c r="AJ303">
        <v>447.64878473359209</v>
      </c>
      <c r="AK303">
        <v>3600.3138497989639</v>
      </c>
    </row>
    <row r="304" spans="1:37" x14ac:dyDescent="0.25">
      <c r="A304">
        <v>321</v>
      </c>
      <c r="B304" t="s">
        <v>3121</v>
      </c>
      <c r="C304" t="s">
        <v>376</v>
      </c>
      <c r="D304" t="s">
        <v>2604</v>
      </c>
      <c r="E304" t="s">
        <v>37</v>
      </c>
      <c r="F304" t="s">
        <v>38</v>
      </c>
      <c r="G304" s="2">
        <v>45845</v>
      </c>
      <c r="H304">
        <v>12.4</v>
      </c>
      <c r="I304" t="s">
        <v>72</v>
      </c>
      <c r="J304" t="s">
        <v>40</v>
      </c>
      <c r="K304" t="s">
        <v>41</v>
      </c>
      <c r="L304" t="s">
        <v>2605</v>
      </c>
      <c r="M304" t="s">
        <v>2606</v>
      </c>
      <c r="N304" t="s">
        <v>2702</v>
      </c>
      <c r="O304" t="s">
        <v>62</v>
      </c>
      <c r="P304" t="s">
        <v>63</v>
      </c>
      <c r="Q304">
        <v>12.35649924879433</v>
      </c>
      <c r="R304" t="s">
        <v>64</v>
      </c>
      <c r="S304" t="s">
        <v>65</v>
      </c>
      <c r="T304" t="s">
        <v>2883</v>
      </c>
      <c r="V304" t="s">
        <v>70</v>
      </c>
      <c r="X304" t="s">
        <v>2880</v>
      </c>
      <c r="Y304" t="s">
        <v>412</v>
      </c>
      <c r="Z304" t="s">
        <v>2623</v>
      </c>
      <c r="AA304" t="s">
        <v>942</v>
      </c>
      <c r="AB304" t="s">
        <v>41</v>
      </c>
      <c r="AD304" t="s">
        <v>620</v>
      </c>
      <c r="AF304" t="s">
        <v>2667</v>
      </c>
      <c r="AJ304">
        <v>1333.5117427643479</v>
      </c>
      <c r="AK304">
        <v>50005.17836387756</v>
      </c>
    </row>
    <row r="305" spans="1:37" x14ac:dyDescent="0.25">
      <c r="A305">
        <v>323</v>
      </c>
      <c r="B305" t="s">
        <v>3123</v>
      </c>
      <c r="C305" t="s">
        <v>376</v>
      </c>
      <c r="D305" t="s">
        <v>2604</v>
      </c>
      <c r="E305" t="s">
        <v>37</v>
      </c>
      <c r="F305" t="s">
        <v>38</v>
      </c>
      <c r="G305" s="2">
        <v>45845</v>
      </c>
      <c r="H305">
        <v>15.8</v>
      </c>
      <c r="I305" t="s">
        <v>72</v>
      </c>
      <c r="J305" t="s">
        <v>40</v>
      </c>
      <c r="K305" t="s">
        <v>41</v>
      </c>
      <c r="L305" t="s">
        <v>2605</v>
      </c>
      <c r="M305" t="s">
        <v>2606</v>
      </c>
      <c r="O305" t="s">
        <v>62</v>
      </c>
      <c r="P305" t="s">
        <v>63</v>
      </c>
      <c r="Q305">
        <v>15.7588016552574</v>
      </c>
      <c r="R305" t="s">
        <v>64</v>
      </c>
      <c r="S305" t="s">
        <v>65</v>
      </c>
      <c r="T305" t="s">
        <v>3078</v>
      </c>
      <c r="V305" t="s">
        <v>70</v>
      </c>
      <c r="X305" t="s">
        <v>3079</v>
      </c>
      <c r="Y305" t="s">
        <v>412</v>
      </c>
      <c r="Z305" t="s">
        <v>2623</v>
      </c>
      <c r="AA305" t="s">
        <v>942</v>
      </c>
      <c r="AB305" t="s">
        <v>41</v>
      </c>
      <c r="AD305" t="s">
        <v>620</v>
      </c>
      <c r="AF305" t="s">
        <v>2667</v>
      </c>
      <c r="AJ305">
        <v>1382.9287356082859</v>
      </c>
      <c r="AK305">
        <v>63773.862783102188</v>
      </c>
    </row>
    <row r="306" spans="1:37" hidden="1" x14ac:dyDescent="0.25">
      <c r="A306">
        <v>313</v>
      </c>
      <c r="B306" t="s">
        <v>3110</v>
      </c>
      <c r="C306" t="s">
        <v>376</v>
      </c>
      <c r="D306" t="s">
        <v>2604</v>
      </c>
      <c r="E306" t="s">
        <v>37</v>
      </c>
      <c r="F306" t="s">
        <v>38</v>
      </c>
      <c r="G306" s="2">
        <v>45846</v>
      </c>
      <c r="H306">
        <v>0.2</v>
      </c>
      <c r="I306" t="s">
        <v>72</v>
      </c>
      <c r="J306" t="s">
        <v>40</v>
      </c>
      <c r="K306" t="s">
        <v>41</v>
      </c>
      <c r="L306" t="s">
        <v>2605</v>
      </c>
      <c r="M306" t="s">
        <v>2606</v>
      </c>
      <c r="O306" t="s">
        <v>115</v>
      </c>
      <c r="P306" t="s">
        <v>137</v>
      </c>
      <c r="Q306">
        <v>8.3798010518288238E-2</v>
      </c>
      <c r="S306" t="s">
        <v>38</v>
      </c>
      <c r="T306" t="s">
        <v>3111</v>
      </c>
      <c r="V306" t="s">
        <v>180</v>
      </c>
      <c r="X306" t="s">
        <v>3106</v>
      </c>
      <c r="Y306" t="s">
        <v>412</v>
      </c>
      <c r="Z306" t="s">
        <v>2623</v>
      </c>
      <c r="AA306" t="s">
        <v>554</v>
      </c>
      <c r="AB306" t="s">
        <v>41</v>
      </c>
      <c r="AD306" t="s">
        <v>1067</v>
      </c>
      <c r="AF306" t="s">
        <v>3091</v>
      </c>
      <c r="AJ306">
        <v>68.061931166166445</v>
      </c>
      <c r="AK306">
        <v>339.1198735284151</v>
      </c>
    </row>
    <row r="307" spans="1:37" x14ac:dyDescent="0.25">
      <c r="A307">
        <v>324</v>
      </c>
      <c r="B307" t="s">
        <v>3124</v>
      </c>
      <c r="C307" t="s">
        <v>376</v>
      </c>
      <c r="D307" t="s">
        <v>2604</v>
      </c>
      <c r="E307" t="s">
        <v>37</v>
      </c>
      <c r="F307" t="s">
        <v>38</v>
      </c>
      <c r="G307" s="2">
        <v>45846</v>
      </c>
      <c r="H307">
        <v>1.4</v>
      </c>
      <c r="I307" t="s">
        <v>72</v>
      </c>
      <c r="J307" t="s">
        <v>40</v>
      </c>
      <c r="K307" t="s">
        <v>41</v>
      </c>
      <c r="L307" t="s">
        <v>2605</v>
      </c>
      <c r="M307" t="s">
        <v>2606</v>
      </c>
      <c r="N307" t="s">
        <v>2712</v>
      </c>
      <c r="O307" t="s">
        <v>62</v>
      </c>
      <c r="P307" t="s">
        <v>63</v>
      </c>
      <c r="Q307">
        <v>1.4113209230410351</v>
      </c>
      <c r="R307" t="s">
        <v>64</v>
      </c>
      <c r="S307" t="s">
        <v>65</v>
      </c>
      <c r="T307" t="s">
        <v>2722</v>
      </c>
      <c r="V307" t="s">
        <v>70</v>
      </c>
      <c r="X307" t="s">
        <v>2714</v>
      </c>
      <c r="Y307" t="s">
        <v>412</v>
      </c>
      <c r="Z307" t="s">
        <v>2623</v>
      </c>
      <c r="AA307" t="s">
        <v>860</v>
      </c>
      <c r="AB307" t="s">
        <v>41</v>
      </c>
      <c r="AD307" t="s">
        <v>620</v>
      </c>
      <c r="AF307" t="s">
        <v>2667</v>
      </c>
      <c r="AJ307">
        <v>651.87403625143509</v>
      </c>
      <c r="AK307">
        <v>5711.4359871972119</v>
      </c>
    </row>
    <row r="308" spans="1:37" hidden="1" x14ac:dyDescent="0.25">
      <c r="A308">
        <v>315</v>
      </c>
      <c r="B308" t="s">
        <v>3114</v>
      </c>
      <c r="C308" t="s">
        <v>376</v>
      </c>
      <c r="D308" t="s">
        <v>2604</v>
      </c>
      <c r="E308" t="s">
        <v>37</v>
      </c>
      <c r="F308" t="s">
        <v>38</v>
      </c>
      <c r="G308" s="2">
        <v>45846</v>
      </c>
      <c r="H308">
        <v>5.3</v>
      </c>
      <c r="I308" t="s">
        <v>72</v>
      </c>
      <c r="J308" t="s">
        <v>40</v>
      </c>
      <c r="K308" t="s">
        <v>41</v>
      </c>
      <c r="L308" t="s">
        <v>2605</v>
      </c>
      <c r="M308" t="s">
        <v>2606</v>
      </c>
      <c r="N308" t="s">
        <v>2712</v>
      </c>
      <c r="O308" t="s">
        <v>79</v>
      </c>
      <c r="P308" t="s">
        <v>80</v>
      </c>
      <c r="Q308">
        <v>5.212867914074601</v>
      </c>
      <c r="R308" t="s">
        <v>46</v>
      </c>
      <c r="S308" t="s">
        <v>47</v>
      </c>
      <c r="T308" t="s">
        <v>2722</v>
      </c>
      <c r="V308" t="s">
        <v>70</v>
      </c>
      <c r="X308" t="s">
        <v>2714</v>
      </c>
      <c r="Y308" t="s">
        <v>412</v>
      </c>
      <c r="Z308" t="s">
        <v>2623</v>
      </c>
      <c r="AA308" t="s">
        <v>942</v>
      </c>
      <c r="AB308" t="s">
        <v>41</v>
      </c>
      <c r="AD308" t="s">
        <v>620</v>
      </c>
      <c r="AF308" t="s">
        <v>2667</v>
      </c>
      <c r="AJ308">
        <v>687.53700416138031</v>
      </c>
      <c r="AK308">
        <v>21095.812380360829</v>
      </c>
    </row>
    <row r="309" spans="1:37" x14ac:dyDescent="0.25">
      <c r="A309">
        <v>326</v>
      </c>
      <c r="B309" t="s">
        <v>3126</v>
      </c>
      <c r="C309" t="s">
        <v>376</v>
      </c>
      <c r="D309" t="s">
        <v>2604</v>
      </c>
      <c r="E309" t="s">
        <v>37</v>
      </c>
      <c r="F309" t="s">
        <v>38</v>
      </c>
      <c r="G309" s="2">
        <v>45845</v>
      </c>
      <c r="H309">
        <v>7.7</v>
      </c>
      <c r="I309" t="s">
        <v>72</v>
      </c>
      <c r="J309" t="s">
        <v>40</v>
      </c>
      <c r="K309" t="s">
        <v>41</v>
      </c>
      <c r="L309" t="s">
        <v>2605</v>
      </c>
      <c r="M309" t="s">
        <v>2606</v>
      </c>
      <c r="O309" t="s">
        <v>62</v>
      </c>
      <c r="P309" t="s">
        <v>63</v>
      </c>
      <c r="Q309">
        <v>7.6736065240505527</v>
      </c>
      <c r="R309" t="s">
        <v>64</v>
      </c>
      <c r="S309" t="s">
        <v>65</v>
      </c>
      <c r="T309" t="s">
        <v>3038</v>
      </c>
      <c r="V309" t="s">
        <v>70</v>
      </c>
      <c r="X309" t="s">
        <v>3039</v>
      </c>
      <c r="Y309" t="s">
        <v>412</v>
      </c>
      <c r="Z309" t="s">
        <v>2623</v>
      </c>
      <c r="AA309" t="s">
        <v>942</v>
      </c>
      <c r="AB309" t="s">
        <v>41</v>
      </c>
      <c r="AD309" t="s">
        <v>620</v>
      </c>
      <c r="AF309" t="s">
        <v>2667</v>
      </c>
      <c r="AJ309">
        <v>973.51464246970841</v>
      </c>
      <c r="AK309">
        <v>31054.108061132549</v>
      </c>
    </row>
    <row r="310" spans="1:37" hidden="1" x14ac:dyDescent="0.25">
      <c r="A310">
        <v>317</v>
      </c>
      <c r="B310" t="s">
        <v>3116</v>
      </c>
      <c r="C310" t="s">
        <v>376</v>
      </c>
      <c r="D310" t="s">
        <v>2604</v>
      </c>
      <c r="E310" t="s">
        <v>37</v>
      </c>
      <c r="F310" t="s">
        <v>38</v>
      </c>
      <c r="G310" s="2">
        <v>45845</v>
      </c>
      <c r="H310">
        <v>10.1</v>
      </c>
      <c r="I310" t="s">
        <v>72</v>
      </c>
      <c r="J310" t="s">
        <v>40</v>
      </c>
      <c r="K310" t="s">
        <v>41</v>
      </c>
      <c r="L310" t="s">
        <v>2605</v>
      </c>
      <c r="M310" t="s">
        <v>2606</v>
      </c>
      <c r="N310" t="s">
        <v>2712</v>
      </c>
      <c r="O310" t="s">
        <v>79</v>
      </c>
      <c r="P310" t="s">
        <v>80</v>
      </c>
      <c r="Q310">
        <v>10.142711321076341</v>
      </c>
      <c r="R310" t="s">
        <v>46</v>
      </c>
      <c r="S310" t="s">
        <v>47</v>
      </c>
      <c r="T310" t="s">
        <v>2722</v>
      </c>
      <c r="V310" t="s">
        <v>70</v>
      </c>
      <c r="X310" t="s">
        <v>2714</v>
      </c>
      <c r="Y310" t="s">
        <v>412</v>
      </c>
      <c r="Z310" t="s">
        <v>2623</v>
      </c>
      <c r="AA310" t="s">
        <v>860</v>
      </c>
      <c r="AB310" t="s">
        <v>41</v>
      </c>
      <c r="AD310" t="s">
        <v>620</v>
      </c>
      <c r="AF310" t="s">
        <v>2667</v>
      </c>
      <c r="AJ310">
        <v>1170.2445761383131</v>
      </c>
      <c r="AK310">
        <v>41046.26063512532</v>
      </c>
    </row>
    <row r="311" spans="1:37" x14ac:dyDescent="0.25">
      <c r="A311">
        <v>330</v>
      </c>
      <c r="B311" t="s">
        <v>3133</v>
      </c>
      <c r="C311" t="s">
        <v>376</v>
      </c>
      <c r="D311" t="s">
        <v>2604</v>
      </c>
      <c r="E311" t="s">
        <v>37</v>
      </c>
      <c r="F311" t="s">
        <v>38</v>
      </c>
      <c r="G311" s="2">
        <v>45845</v>
      </c>
      <c r="H311">
        <v>4</v>
      </c>
      <c r="I311" t="s">
        <v>72</v>
      </c>
      <c r="J311" t="s">
        <v>40</v>
      </c>
      <c r="K311" t="s">
        <v>41</v>
      </c>
      <c r="L311" t="s">
        <v>2605</v>
      </c>
      <c r="M311" t="s">
        <v>2606</v>
      </c>
      <c r="N311" t="s">
        <v>3027</v>
      </c>
      <c r="O311" t="s">
        <v>62</v>
      </c>
      <c r="P311" t="s">
        <v>63</v>
      </c>
      <c r="Q311">
        <v>3.9143606364790191</v>
      </c>
      <c r="R311" t="s">
        <v>64</v>
      </c>
      <c r="S311" t="s">
        <v>65</v>
      </c>
      <c r="T311" t="s">
        <v>3097</v>
      </c>
      <c r="V311" t="s">
        <v>70</v>
      </c>
      <c r="X311" t="s">
        <v>3029</v>
      </c>
      <c r="Y311" t="s">
        <v>412</v>
      </c>
      <c r="Z311" t="s">
        <v>2623</v>
      </c>
      <c r="AA311" t="s">
        <v>942</v>
      </c>
      <c r="AB311" t="s">
        <v>41</v>
      </c>
      <c r="AD311" t="s">
        <v>620</v>
      </c>
      <c r="AF311" t="s">
        <v>2667</v>
      </c>
      <c r="AJ311">
        <v>501.82292084462739</v>
      </c>
      <c r="AK311">
        <v>15840.918844936879</v>
      </c>
    </row>
    <row r="312" spans="1:37" hidden="1" x14ac:dyDescent="0.25">
      <c r="A312">
        <v>319</v>
      </c>
      <c r="B312" t="s">
        <v>3118</v>
      </c>
      <c r="C312" t="s">
        <v>376</v>
      </c>
      <c r="D312" t="s">
        <v>2604</v>
      </c>
      <c r="E312" t="s">
        <v>37</v>
      </c>
      <c r="F312" t="s">
        <v>38</v>
      </c>
      <c r="G312" s="2">
        <v>45845</v>
      </c>
      <c r="H312">
        <v>7</v>
      </c>
      <c r="I312" t="s">
        <v>72</v>
      </c>
      <c r="J312" t="s">
        <v>40</v>
      </c>
      <c r="K312" t="s">
        <v>41</v>
      </c>
      <c r="L312" t="s">
        <v>2605</v>
      </c>
      <c r="M312" t="s">
        <v>2606</v>
      </c>
      <c r="N312" t="s">
        <v>2702</v>
      </c>
      <c r="O312" t="s">
        <v>79</v>
      </c>
      <c r="P312" t="s">
        <v>80</v>
      </c>
      <c r="Q312">
        <v>4.5149435542777177</v>
      </c>
      <c r="R312" t="s">
        <v>46</v>
      </c>
      <c r="S312" t="s">
        <v>47</v>
      </c>
      <c r="T312" t="s">
        <v>2883</v>
      </c>
      <c r="V312" t="s">
        <v>70</v>
      </c>
      <c r="X312" t="s">
        <v>2880</v>
      </c>
      <c r="Y312" t="s">
        <v>412</v>
      </c>
      <c r="Z312" t="s">
        <v>2623</v>
      </c>
      <c r="AA312" t="s">
        <v>452</v>
      </c>
      <c r="AB312" t="s">
        <v>41</v>
      </c>
      <c r="AD312" t="s">
        <v>620</v>
      </c>
      <c r="AF312" t="s">
        <v>3119</v>
      </c>
      <c r="AJ312">
        <v>548.00374280319807</v>
      </c>
      <c r="AK312">
        <v>18271.401404934801</v>
      </c>
    </row>
    <row r="313" spans="1:37" hidden="1" x14ac:dyDescent="0.25">
      <c r="A313">
        <v>320</v>
      </c>
      <c r="B313" t="s">
        <v>3120</v>
      </c>
      <c r="C313" t="s">
        <v>376</v>
      </c>
      <c r="D313" t="s">
        <v>2604</v>
      </c>
      <c r="E313" t="s">
        <v>37</v>
      </c>
      <c r="F313" t="s">
        <v>38</v>
      </c>
      <c r="G313" s="2">
        <v>45845</v>
      </c>
      <c r="H313">
        <v>3</v>
      </c>
      <c r="I313" t="s">
        <v>72</v>
      </c>
      <c r="J313" t="s">
        <v>40</v>
      </c>
      <c r="K313" t="s">
        <v>41</v>
      </c>
      <c r="L313" t="s">
        <v>2605</v>
      </c>
      <c r="M313" t="s">
        <v>2606</v>
      </c>
      <c r="N313" t="s">
        <v>2702</v>
      </c>
      <c r="O313" t="s">
        <v>113</v>
      </c>
      <c r="P313" t="s">
        <v>114</v>
      </c>
      <c r="Q313">
        <v>3.0575015631357001</v>
      </c>
      <c r="R313" t="s">
        <v>46</v>
      </c>
      <c r="S313" t="s">
        <v>47</v>
      </c>
      <c r="T313" t="s">
        <v>2883</v>
      </c>
      <c r="V313" t="s">
        <v>70</v>
      </c>
      <c r="X313" t="s">
        <v>2880</v>
      </c>
      <c r="Y313" t="s">
        <v>412</v>
      </c>
      <c r="Z313" t="s">
        <v>2623</v>
      </c>
      <c r="AA313" t="s">
        <v>942</v>
      </c>
      <c r="AB313" t="s">
        <v>41</v>
      </c>
      <c r="AD313" t="s">
        <v>620</v>
      </c>
      <c r="AF313" t="s">
        <v>3119</v>
      </c>
      <c r="AJ313">
        <v>468.04993898593023</v>
      </c>
      <c r="AK313">
        <v>12373.31933050157</v>
      </c>
    </row>
    <row r="314" spans="1:37" x14ac:dyDescent="0.25">
      <c r="A314">
        <v>333</v>
      </c>
      <c r="B314" t="s">
        <v>3139</v>
      </c>
      <c r="C314" t="s">
        <v>376</v>
      </c>
      <c r="D314" t="s">
        <v>2604</v>
      </c>
      <c r="E314" t="s">
        <v>37</v>
      </c>
      <c r="F314" t="s">
        <v>38</v>
      </c>
      <c r="G314" s="2">
        <v>45845</v>
      </c>
      <c r="H314">
        <v>1.5</v>
      </c>
      <c r="I314" t="s">
        <v>72</v>
      </c>
      <c r="J314" t="s">
        <v>40</v>
      </c>
      <c r="K314" t="s">
        <v>41</v>
      </c>
      <c r="L314" t="s">
        <v>2605</v>
      </c>
      <c r="M314" t="s">
        <v>2606</v>
      </c>
      <c r="N314" t="s">
        <v>2702</v>
      </c>
      <c r="O314" t="s">
        <v>62</v>
      </c>
      <c r="P314" t="s">
        <v>63</v>
      </c>
      <c r="Q314">
        <v>1.247328520104964</v>
      </c>
      <c r="R314" t="s">
        <v>64</v>
      </c>
      <c r="S314" t="s">
        <v>65</v>
      </c>
      <c r="T314" t="s">
        <v>3135</v>
      </c>
      <c r="V314" t="s">
        <v>70</v>
      </c>
      <c r="X314" t="s">
        <v>2880</v>
      </c>
      <c r="Y314" t="s">
        <v>412</v>
      </c>
      <c r="Z314" t="s">
        <v>2623</v>
      </c>
      <c r="AA314" t="s">
        <v>452</v>
      </c>
      <c r="AB314" t="s">
        <v>41</v>
      </c>
      <c r="AD314" t="s">
        <v>620</v>
      </c>
      <c r="AF314" t="s">
        <v>3119</v>
      </c>
      <c r="AJ314">
        <v>284.9688975637423</v>
      </c>
      <c r="AK314">
        <v>5047.7796235277656</v>
      </c>
    </row>
    <row r="315" spans="1:37" x14ac:dyDescent="0.25">
      <c r="A315">
        <v>334</v>
      </c>
      <c r="B315" t="s">
        <v>3140</v>
      </c>
      <c r="C315" t="s">
        <v>376</v>
      </c>
      <c r="D315" t="s">
        <v>2604</v>
      </c>
      <c r="E315" t="s">
        <v>37</v>
      </c>
      <c r="F315" t="s">
        <v>38</v>
      </c>
      <c r="G315" s="2">
        <v>45845</v>
      </c>
      <c r="H315">
        <v>9.6999999999999993</v>
      </c>
      <c r="I315" t="s">
        <v>72</v>
      </c>
      <c r="J315" t="s">
        <v>40</v>
      </c>
      <c r="K315" t="s">
        <v>41</v>
      </c>
      <c r="L315" t="s">
        <v>2605</v>
      </c>
      <c r="M315" t="s">
        <v>2606</v>
      </c>
      <c r="N315" t="s">
        <v>3027</v>
      </c>
      <c r="O315" t="s">
        <v>62</v>
      </c>
      <c r="P315" t="s">
        <v>63</v>
      </c>
      <c r="Q315">
        <v>9.6880059114173527</v>
      </c>
      <c r="R315" t="s">
        <v>64</v>
      </c>
      <c r="S315" t="s">
        <v>65</v>
      </c>
      <c r="T315" t="s">
        <v>3097</v>
      </c>
      <c r="V315" t="s">
        <v>70</v>
      </c>
      <c r="X315" t="s">
        <v>3029</v>
      </c>
      <c r="Y315" t="s">
        <v>412</v>
      </c>
      <c r="Z315" t="s">
        <v>2623</v>
      </c>
      <c r="AA315" t="s">
        <v>942</v>
      </c>
      <c r="AB315" t="s">
        <v>41</v>
      </c>
      <c r="AD315" t="s">
        <v>620</v>
      </c>
      <c r="AF315" t="s">
        <v>2667</v>
      </c>
      <c r="AJ315">
        <v>920.22046396094754</v>
      </c>
      <c r="AK315">
        <v>39206.125767214719</v>
      </c>
    </row>
    <row r="316" spans="1:37" x14ac:dyDescent="0.25">
      <c r="A316">
        <v>336</v>
      </c>
      <c r="B316" t="s">
        <v>3142</v>
      </c>
      <c r="C316" t="s">
        <v>376</v>
      </c>
      <c r="D316" t="s">
        <v>2604</v>
      </c>
      <c r="E316" t="s">
        <v>37</v>
      </c>
      <c r="F316" t="s">
        <v>38</v>
      </c>
      <c r="G316" s="2">
        <v>45846</v>
      </c>
      <c r="H316">
        <v>0.1</v>
      </c>
      <c r="I316" t="s">
        <v>72</v>
      </c>
      <c r="J316" t="s">
        <v>40</v>
      </c>
      <c r="K316" t="s">
        <v>41</v>
      </c>
      <c r="L316" t="s">
        <v>2605</v>
      </c>
      <c r="M316" t="s">
        <v>2606</v>
      </c>
      <c r="O316" t="s">
        <v>62</v>
      </c>
      <c r="P316" t="s">
        <v>63</v>
      </c>
      <c r="Q316">
        <v>0.1013200582679732</v>
      </c>
      <c r="R316" t="s">
        <v>64</v>
      </c>
      <c r="S316" t="s">
        <v>65</v>
      </c>
      <c r="T316" t="s">
        <v>3143</v>
      </c>
      <c r="V316" t="s">
        <v>554</v>
      </c>
      <c r="X316" t="s">
        <v>3144</v>
      </c>
      <c r="Y316" t="s">
        <v>412</v>
      </c>
      <c r="Z316" t="s">
        <v>2630</v>
      </c>
      <c r="AA316" t="s">
        <v>858</v>
      </c>
      <c r="AB316" t="s">
        <v>41</v>
      </c>
      <c r="AD316" t="s">
        <v>455</v>
      </c>
      <c r="AF316" t="s">
        <v>3145</v>
      </c>
      <c r="AJ316">
        <v>127.4043624957767</v>
      </c>
      <c r="AK316">
        <v>410.02936863552412</v>
      </c>
    </row>
    <row r="317" spans="1:37" hidden="1" x14ac:dyDescent="0.25">
      <c r="A317">
        <v>325</v>
      </c>
      <c r="B317" t="s">
        <v>3125</v>
      </c>
      <c r="C317" t="s">
        <v>376</v>
      </c>
      <c r="D317" t="s">
        <v>2604</v>
      </c>
      <c r="E317" t="s">
        <v>37</v>
      </c>
      <c r="F317" t="s">
        <v>38</v>
      </c>
      <c r="G317" s="2">
        <v>45845</v>
      </c>
      <c r="H317">
        <v>7.4</v>
      </c>
      <c r="I317" t="s">
        <v>72</v>
      </c>
      <c r="J317" t="s">
        <v>40</v>
      </c>
      <c r="K317" t="s">
        <v>41</v>
      </c>
      <c r="L317" t="s">
        <v>2605</v>
      </c>
      <c r="M317" t="s">
        <v>2606</v>
      </c>
      <c r="N317" t="s">
        <v>2712</v>
      </c>
      <c r="O317" t="s">
        <v>79</v>
      </c>
      <c r="P317" t="s">
        <v>80</v>
      </c>
      <c r="Q317">
        <v>7.3734020148357446</v>
      </c>
      <c r="R317" t="s">
        <v>46</v>
      </c>
      <c r="S317" t="s">
        <v>47</v>
      </c>
      <c r="T317" t="s">
        <v>2722</v>
      </c>
      <c r="V317" t="s">
        <v>70</v>
      </c>
      <c r="X317" t="s">
        <v>2714</v>
      </c>
      <c r="Y317" t="s">
        <v>412</v>
      </c>
      <c r="Z317" t="s">
        <v>2623</v>
      </c>
      <c r="AA317" t="s">
        <v>942</v>
      </c>
      <c r="AB317" t="s">
        <v>41</v>
      </c>
      <c r="AD317" t="s">
        <v>620</v>
      </c>
      <c r="AF317" t="s">
        <v>2667</v>
      </c>
      <c r="AJ317">
        <v>729.59720844581693</v>
      </c>
      <c r="AK317">
        <v>29839.218655430399</v>
      </c>
    </row>
    <row r="318" spans="1:37" x14ac:dyDescent="0.25">
      <c r="A318">
        <v>339</v>
      </c>
      <c r="B318" t="s">
        <v>3148</v>
      </c>
      <c r="C318" t="s">
        <v>376</v>
      </c>
      <c r="D318" t="s">
        <v>2604</v>
      </c>
      <c r="E318" t="s">
        <v>37</v>
      </c>
      <c r="F318" t="s">
        <v>38</v>
      </c>
      <c r="G318" s="2">
        <v>45845</v>
      </c>
      <c r="H318">
        <v>11.5</v>
      </c>
      <c r="I318" t="s">
        <v>72</v>
      </c>
      <c r="J318" t="s">
        <v>40</v>
      </c>
      <c r="K318" t="s">
        <v>41</v>
      </c>
      <c r="L318" t="s">
        <v>2605</v>
      </c>
      <c r="M318" t="s">
        <v>2606</v>
      </c>
      <c r="O318" t="s">
        <v>62</v>
      </c>
      <c r="P318" t="s">
        <v>63</v>
      </c>
      <c r="Q318">
        <v>11.4688980615819</v>
      </c>
      <c r="R318" t="s">
        <v>64</v>
      </c>
      <c r="S318" t="s">
        <v>65</v>
      </c>
      <c r="T318" t="s">
        <v>3078</v>
      </c>
      <c r="V318" t="s">
        <v>70</v>
      </c>
      <c r="X318" t="s">
        <v>3079</v>
      </c>
      <c r="Y318" t="s">
        <v>412</v>
      </c>
      <c r="Z318" t="s">
        <v>2623</v>
      </c>
      <c r="AA318" t="s">
        <v>942</v>
      </c>
      <c r="AB318" t="s">
        <v>41</v>
      </c>
      <c r="AD318" t="s">
        <v>620</v>
      </c>
      <c r="AF318" t="s">
        <v>2667</v>
      </c>
      <c r="AJ318">
        <v>869.41758092974305</v>
      </c>
      <c r="AK318">
        <v>46413.169430855698</v>
      </c>
    </row>
    <row r="319" spans="1:37" hidden="1" x14ac:dyDescent="0.25">
      <c r="A319">
        <v>327</v>
      </c>
      <c r="B319" t="s">
        <v>3127</v>
      </c>
      <c r="C319" t="s">
        <v>376</v>
      </c>
      <c r="D319" t="s">
        <v>2604</v>
      </c>
      <c r="E319" t="s">
        <v>37</v>
      </c>
      <c r="F319" t="s">
        <v>38</v>
      </c>
      <c r="G319" s="2">
        <v>45846</v>
      </c>
      <c r="H319">
        <v>0.4</v>
      </c>
      <c r="I319" t="s">
        <v>72</v>
      </c>
      <c r="J319" t="s">
        <v>40</v>
      </c>
      <c r="K319" t="s">
        <v>41</v>
      </c>
      <c r="L319" t="s">
        <v>2605</v>
      </c>
      <c r="M319" t="s">
        <v>2606</v>
      </c>
      <c r="N319" t="s">
        <v>2712</v>
      </c>
      <c r="O319" t="s">
        <v>79</v>
      </c>
      <c r="P319" t="s">
        <v>80</v>
      </c>
      <c r="Q319">
        <v>0.43293479363099407</v>
      </c>
      <c r="R319" t="s">
        <v>46</v>
      </c>
      <c r="S319" t="s">
        <v>47</v>
      </c>
      <c r="T319" t="s">
        <v>2722</v>
      </c>
      <c r="V319" t="s">
        <v>70</v>
      </c>
      <c r="X319" t="s">
        <v>2714</v>
      </c>
      <c r="Y319" t="s">
        <v>412</v>
      </c>
      <c r="Z319" t="s">
        <v>2623</v>
      </c>
      <c r="AA319" t="s">
        <v>942</v>
      </c>
      <c r="AB319" t="s">
        <v>41</v>
      </c>
      <c r="AD319" t="s">
        <v>620</v>
      </c>
      <c r="AF319" t="s">
        <v>2667</v>
      </c>
      <c r="AJ319">
        <v>172.94711065756431</v>
      </c>
      <c r="AK319">
        <v>1752.0319582068321</v>
      </c>
    </row>
    <row r="320" spans="1:37" hidden="1" x14ac:dyDescent="0.25">
      <c r="A320">
        <v>328</v>
      </c>
      <c r="B320" t="s">
        <v>3128</v>
      </c>
      <c r="C320" t="s">
        <v>376</v>
      </c>
      <c r="D320" t="s">
        <v>2604</v>
      </c>
      <c r="E320" t="s">
        <v>37</v>
      </c>
      <c r="F320" t="s">
        <v>38</v>
      </c>
      <c r="G320" s="2">
        <v>45845</v>
      </c>
      <c r="H320">
        <v>15.8</v>
      </c>
      <c r="I320" t="s">
        <v>72</v>
      </c>
      <c r="J320" t="s">
        <v>40</v>
      </c>
      <c r="K320" t="s">
        <v>41</v>
      </c>
      <c r="L320" t="s">
        <v>2605</v>
      </c>
      <c r="M320" t="s">
        <v>2606</v>
      </c>
      <c r="N320" t="s">
        <v>2712</v>
      </c>
      <c r="O320" t="s">
        <v>79</v>
      </c>
      <c r="P320" t="s">
        <v>80</v>
      </c>
      <c r="Q320">
        <v>15.34825621276412</v>
      </c>
      <c r="R320" t="s">
        <v>46</v>
      </c>
      <c r="S320" t="s">
        <v>47</v>
      </c>
      <c r="T320" t="s">
        <v>2722</v>
      </c>
      <c r="V320" t="s">
        <v>70</v>
      </c>
      <c r="X320" t="s">
        <v>2714</v>
      </c>
      <c r="Y320" t="s">
        <v>412</v>
      </c>
      <c r="Z320" t="s">
        <v>2623</v>
      </c>
      <c r="AA320" t="s">
        <v>942</v>
      </c>
      <c r="AB320" t="s">
        <v>41</v>
      </c>
      <c r="AD320" t="s">
        <v>620</v>
      </c>
      <c r="AF320" t="s">
        <v>2667</v>
      </c>
      <c r="AJ320">
        <v>1130.2991296654391</v>
      </c>
      <c r="AK320">
        <v>62112.437676767418</v>
      </c>
    </row>
    <row r="321" spans="1:37" hidden="1" x14ac:dyDescent="0.25">
      <c r="A321">
        <v>329</v>
      </c>
      <c r="B321" t="s">
        <v>3129</v>
      </c>
      <c r="C321" t="s">
        <v>376</v>
      </c>
      <c r="D321" t="s">
        <v>2604</v>
      </c>
      <c r="E321" t="s">
        <v>37</v>
      </c>
      <c r="F321" t="s">
        <v>38</v>
      </c>
      <c r="G321" s="2">
        <v>45846</v>
      </c>
      <c r="H321">
        <v>0.94</v>
      </c>
      <c r="I321" t="s">
        <v>72</v>
      </c>
      <c r="J321" t="s">
        <v>40</v>
      </c>
      <c r="K321" t="s">
        <v>41</v>
      </c>
      <c r="L321" t="s">
        <v>2605</v>
      </c>
      <c r="M321" t="s">
        <v>2606</v>
      </c>
      <c r="O321" t="s">
        <v>79</v>
      </c>
      <c r="P321" t="s">
        <v>80</v>
      </c>
      <c r="Q321">
        <v>1.177990513283012</v>
      </c>
      <c r="R321" t="s">
        <v>60</v>
      </c>
      <c r="S321" t="s">
        <v>66</v>
      </c>
      <c r="T321" t="s">
        <v>3130</v>
      </c>
      <c r="V321" t="s">
        <v>180</v>
      </c>
      <c r="X321" t="s">
        <v>3131</v>
      </c>
      <c r="Y321" t="s">
        <v>412</v>
      </c>
      <c r="Z321" t="s">
        <v>2623</v>
      </c>
      <c r="AA321" t="s">
        <v>858</v>
      </c>
      <c r="AB321" t="s">
        <v>41</v>
      </c>
      <c r="AF321" t="s">
        <v>3132</v>
      </c>
      <c r="AJ321">
        <v>310.49471559522078</v>
      </c>
      <c r="AK321">
        <v>4767.177542896733</v>
      </c>
    </row>
    <row r="322" spans="1:37" x14ac:dyDescent="0.25">
      <c r="A322">
        <v>340</v>
      </c>
      <c r="B322" t="s">
        <v>3149</v>
      </c>
      <c r="C322" t="s">
        <v>376</v>
      </c>
      <c r="D322" t="s">
        <v>2604</v>
      </c>
      <c r="E322" t="s">
        <v>37</v>
      </c>
      <c r="F322" t="s">
        <v>38</v>
      </c>
      <c r="G322" s="2">
        <v>45845</v>
      </c>
      <c r="H322">
        <v>2.1</v>
      </c>
      <c r="I322" t="s">
        <v>72</v>
      </c>
      <c r="J322" t="s">
        <v>40</v>
      </c>
      <c r="K322" t="s">
        <v>41</v>
      </c>
      <c r="L322" t="s">
        <v>2605</v>
      </c>
      <c r="M322" t="s">
        <v>2606</v>
      </c>
      <c r="O322" t="s">
        <v>62</v>
      </c>
      <c r="P322" t="s">
        <v>63</v>
      </c>
      <c r="Q322">
        <v>2.1594719813050269</v>
      </c>
      <c r="R322" t="s">
        <v>64</v>
      </c>
      <c r="S322" t="s">
        <v>65</v>
      </c>
      <c r="T322" t="s">
        <v>3038</v>
      </c>
      <c r="V322" t="s">
        <v>70</v>
      </c>
      <c r="X322" t="s">
        <v>3039</v>
      </c>
      <c r="Y322" t="s">
        <v>412</v>
      </c>
      <c r="Z322" t="s">
        <v>2623</v>
      </c>
      <c r="AA322" t="s">
        <v>942</v>
      </c>
      <c r="AB322" t="s">
        <v>41</v>
      </c>
      <c r="AD322" t="s">
        <v>620</v>
      </c>
      <c r="AF322" t="s">
        <v>2667</v>
      </c>
      <c r="AJ322">
        <v>434.36816280336512</v>
      </c>
      <c r="AK322">
        <v>8739.1080129341954</v>
      </c>
    </row>
    <row r="323" spans="1:37" hidden="1" x14ac:dyDescent="0.25">
      <c r="A323">
        <v>331</v>
      </c>
      <c r="B323" t="s">
        <v>3134</v>
      </c>
      <c r="C323" t="s">
        <v>376</v>
      </c>
      <c r="D323" t="s">
        <v>2604</v>
      </c>
      <c r="E323" t="s">
        <v>37</v>
      </c>
      <c r="F323" t="s">
        <v>38</v>
      </c>
      <c r="G323" s="2">
        <v>45845</v>
      </c>
      <c r="H323">
        <v>0.5</v>
      </c>
      <c r="I323" t="s">
        <v>72</v>
      </c>
      <c r="J323" t="s">
        <v>40</v>
      </c>
      <c r="K323" t="s">
        <v>41</v>
      </c>
      <c r="L323" t="s">
        <v>2605</v>
      </c>
      <c r="M323" t="s">
        <v>2606</v>
      </c>
      <c r="N323" t="s">
        <v>2702</v>
      </c>
      <c r="O323" t="s">
        <v>96</v>
      </c>
      <c r="P323" t="s">
        <v>97</v>
      </c>
      <c r="Q323">
        <v>0.65520748174206589</v>
      </c>
      <c r="R323" t="s">
        <v>46</v>
      </c>
      <c r="S323" t="s">
        <v>47</v>
      </c>
      <c r="T323" t="s">
        <v>3135</v>
      </c>
      <c r="V323" t="s">
        <v>70</v>
      </c>
      <c r="X323" t="s">
        <v>2880</v>
      </c>
      <c r="Y323" t="s">
        <v>412</v>
      </c>
      <c r="Z323" t="s">
        <v>2623</v>
      </c>
      <c r="AA323" t="s">
        <v>452</v>
      </c>
      <c r="AB323" t="s">
        <v>41</v>
      </c>
      <c r="AD323" t="s">
        <v>620</v>
      </c>
      <c r="AF323" t="s">
        <v>3119</v>
      </c>
      <c r="AJ323">
        <v>228.6354092622143</v>
      </c>
      <c r="AK323">
        <v>2651.54121164665</v>
      </c>
    </row>
    <row r="324" spans="1:37" hidden="1" x14ac:dyDescent="0.25">
      <c r="A324">
        <v>332</v>
      </c>
      <c r="B324" t="s">
        <v>3136</v>
      </c>
      <c r="C324" t="s">
        <v>376</v>
      </c>
      <c r="D324" t="s">
        <v>2604</v>
      </c>
      <c r="E324" t="s">
        <v>37</v>
      </c>
      <c r="F324" t="s">
        <v>38</v>
      </c>
      <c r="G324" s="2">
        <v>45845</v>
      </c>
      <c r="H324">
        <v>0.32</v>
      </c>
      <c r="I324" t="s">
        <v>72</v>
      </c>
      <c r="J324" t="s">
        <v>40</v>
      </c>
      <c r="K324" t="s">
        <v>41</v>
      </c>
      <c r="L324" t="s">
        <v>2605</v>
      </c>
      <c r="M324" t="s">
        <v>2606</v>
      </c>
      <c r="N324" t="s">
        <v>2702</v>
      </c>
      <c r="O324" t="s">
        <v>880</v>
      </c>
      <c r="P324" t="s">
        <v>881</v>
      </c>
      <c r="Q324">
        <v>0.31679035329605321</v>
      </c>
      <c r="T324" t="s">
        <v>3137</v>
      </c>
      <c r="V324" t="s">
        <v>70</v>
      </c>
      <c r="X324" t="s">
        <v>2880</v>
      </c>
      <c r="Y324" t="s">
        <v>412</v>
      </c>
      <c r="Z324" t="s">
        <v>2623</v>
      </c>
      <c r="AA324" t="s">
        <v>452</v>
      </c>
      <c r="AB324" t="s">
        <v>41</v>
      </c>
      <c r="AD324" t="s">
        <v>620</v>
      </c>
      <c r="AF324" t="s">
        <v>3138</v>
      </c>
      <c r="AJ324">
        <v>182.1594465349888</v>
      </c>
      <c r="AK324">
        <v>1282.010203826185</v>
      </c>
    </row>
    <row r="325" spans="1:37" x14ac:dyDescent="0.25">
      <c r="A325">
        <v>341</v>
      </c>
      <c r="B325" t="s">
        <v>3150</v>
      </c>
      <c r="C325" t="s">
        <v>376</v>
      </c>
      <c r="D325" t="s">
        <v>2604</v>
      </c>
      <c r="E325" t="s">
        <v>37</v>
      </c>
      <c r="F325" t="s">
        <v>38</v>
      </c>
      <c r="G325" s="2">
        <v>45845</v>
      </c>
      <c r="H325">
        <v>0.7</v>
      </c>
      <c r="I325" t="s">
        <v>72</v>
      </c>
      <c r="J325" t="s">
        <v>40</v>
      </c>
      <c r="K325" t="s">
        <v>41</v>
      </c>
      <c r="L325" t="s">
        <v>2605</v>
      </c>
      <c r="M325" t="s">
        <v>2606</v>
      </c>
      <c r="N325" t="s">
        <v>2702</v>
      </c>
      <c r="O325" t="s">
        <v>62</v>
      </c>
      <c r="P325" t="s">
        <v>63</v>
      </c>
      <c r="Q325">
        <v>0.62332842866255034</v>
      </c>
      <c r="R325" t="s">
        <v>64</v>
      </c>
      <c r="S325" t="s">
        <v>65</v>
      </c>
      <c r="T325" t="s">
        <v>2883</v>
      </c>
      <c r="V325" t="s">
        <v>70</v>
      </c>
      <c r="X325" t="s">
        <v>2880</v>
      </c>
      <c r="Y325" t="s">
        <v>412</v>
      </c>
      <c r="Z325" t="s">
        <v>2623</v>
      </c>
      <c r="AA325" t="s">
        <v>942</v>
      </c>
      <c r="AB325" t="s">
        <v>41</v>
      </c>
      <c r="AD325" t="s">
        <v>620</v>
      </c>
      <c r="AF325" t="s">
        <v>2667</v>
      </c>
      <c r="AJ325">
        <v>202.99860878618071</v>
      </c>
      <c r="AK325">
        <v>2522.5307449104321</v>
      </c>
    </row>
    <row r="326" spans="1:37" x14ac:dyDescent="0.25">
      <c r="A326">
        <v>342</v>
      </c>
      <c r="B326" t="s">
        <v>3151</v>
      </c>
      <c r="C326" t="s">
        <v>376</v>
      </c>
      <c r="D326" t="s">
        <v>2604</v>
      </c>
      <c r="E326" t="s">
        <v>37</v>
      </c>
      <c r="F326" t="s">
        <v>38</v>
      </c>
      <c r="G326" s="2">
        <v>45845</v>
      </c>
      <c r="H326">
        <v>4.3</v>
      </c>
      <c r="I326" t="s">
        <v>72</v>
      </c>
      <c r="J326" t="s">
        <v>40</v>
      </c>
      <c r="K326" t="s">
        <v>41</v>
      </c>
      <c r="L326" t="s">
        <v>2605</v>
      </c>
      <c r="M326" t="s">
        <v>2606</v>
      </c>
      <c r="N326" t="s">
        <v>2702</v>
      </c>
      <c r="O326" t="s">
        <v>62</v>
      </c>
      <c r="P326" t="s">
        <v>63</v>
      </c>
      <c r="Q326">
        <v>4.3332551994340669</v>
      </c>
      <c r="R326" t="s">
        <v>64</v>
      </c>
      <c r="S326" t="s">
        <v>65</v>
      </c>
      <c r="T326" t="s">
        <v>2883</v>
      </c>
      <c r="V326" t="s">
        <v>70</v>
      </c>
      <c r="X326" t="s">
        <v>2880</v>
      </c>
      <c r="Y326" t="s">
        <v>412</v>
      </c>
      <c r="Z326" t="s">
        <v>2623</v>
      </c>
      <c r="AA326" t="s">
        <v>942</v>
      </c>
      <c r="AB326" t="s">
        <v>41</v>
      </c>
      <c r="AD326" t="s">
        <v>620</v>
      </c>
      <c r="AF326" t="s">
        <v>2667</v>
      </c>
      <c r="AJ326">
        <v>712.6964302797827</v>
      </c>
      <c r="AK326">
        <v>17536.13177818491</v>
      </c>
    </row>
    <row r="327" spans="1:37" hidden="1" x14ac:dyDescent="0.25">
      <c r="A327">
        <v>335</v>
      </c>
      <c r="B327" t="s">
        <v>3141</v>
      </c>
      <c r="C327" t="s">
        <v>376</v>
      </c>
      <c r="D327" t="s">
        <v>2604</v>
      </c>
      <c r="E327" t="s">
        <v>37</v>
      </c>
      <c r="F327" t="s">
        <v>38</v>
      </c>
      <c r="G327" s="2">
        <v>45845</v>
      </c>
      <c r="H327">
        <v>7.6</v>
      </c>
      <c r="I327" t="s">
        <v>72</v>
      </c>
      <c r="J327" t="s">
        <v>40</v>
      </c>
      <c r="K327" t="s">
        <v>41</v>
      </c>
      <c r="L327" t="s">
        <v>2605</v>
      </c>
      <c r="M327" t="s">
        <v>2606</v>
      </c>
      <c r="N327" t="s">
        <v>2712</v>
      </c>
      <c r="O327" t="s">
        <v>79</v>
      </c>
      <c r="P327" t="s">
        <v>80</v>
      </c>
      <c r="Q327">
        <v>7.7985845048113092</v>
      </c>
      <c r="R327" t="s">
        <v>46</v>
      </c>
      <c r="S327" t="s">
        <v>47</v>
      </c>
      <c r="T327" t="s">
        <v>2722</v>
      </c>
      <c r="V327" t="s">
        <v>70</v>
      </c>
      <c r="X327" t="s">
        <v>2714</v>
      </c>
      <c r="Y327" t="s">
        <v>412</v>
      </c>
      <c r="Z327" t="s">
        <v>2623</v>
      </c>
      <c r="AA327" t="s">
        <v>860</v>
      </c>
      <c r="AB327" t="s">
        <v>41</v>
      </c>
      <c r="AD327" t="s">
        <v>620</v>
      </c>
      <c r="AF327" t="s">
        <v>2667</v>
      </c>
      <c r="AJ327">
        <v>825.04600472976563</v>
      </c>
      <c r="AK327">
        <v>31559.878028310639</v>
      </c>
    </row>
    <row r="328" spans="1:37" x14ac:dyDescent="0.25">
      <c r="A328">
        <v>343</v>
      </c>
      <c r="B328" t="s">
        <v>3152</v>
      </c>
      <c r="C328" t="s">
        <v>376</v>
      </c>
      <c r="D328" t="s">
        <v>2604</v>
      </c>
      <c r="E328" t="s">
        <v>37</v>
      </c>
      <c r="F328" t="s">
        <v>38</v>
      </c>
      <c r="G328" s="2">
        <v>45845</v>
      </c>
      <c r="H328">
        <v>0.5</v>
      </c>
      <c r="I328" t="s">
        <v>72</v>
      </c>
      <c r="J328" t="s">
        <v>40</v>
      </c>
      <c r="K328" t="s">
        <v>41</v>
      </c>
      <c r="L328" t="s">
        <v>2605</v>
      </c>
      <c r="M328" t="s">
        <v>2606</v>
      </c>
      <c r="N328" t="s">
        <v>2702</v>
      </c>
      <c r="O328" t="s">
        <v>62</v>
      </c>
      <c r="P328" t="s">
        <v>63</v>
      </c>
      <c r="Q328">
        <v>0.52381560656222603</v>
      </c>
      <c r="R328" t="s">
        <v>64</v>
      </c>
      <c r="S328" t="s">
        <v>65</v>
      </c>
      <c r="T328" t="s">
        <v>2883</v>
      </c>
      <c r="V328" t="s">
        <v>70</v>
      </c>
      <c r="X328" t="s">
        <v>2880</v>
      </c>
      <c r="Y328" t="s">
        <v>412</v>
      </c>
      <c r="Z328" t="s">
        <v>2623</v>
      </c>
      <c r="AA328" t="s">
        <v>452</v>
      </c>
      <c r="AB328" t="s">
        <v>41</v>
      </c>
      <c r="AD328" t="s">
        <v>620</v>
      </c>
      <c r="AF328" t="s">
        <v>3153</v>
      </c>
      <c r="AJ328">
        <v>194.10496710080909</v>
      </c>
      <c r="AK328">
        <v>2119.8150308213399</v>
      </c>
    </row>
    <row r="329" spans="1:37" hidden="1" x14ac:dyDescent="0.25">
      <c r="A329">
        <v>337</v>
      </c>
      <c r="B329" t="s">
        <v>3146</v>
      </c>
      <c r="C329" t="s">
        <v>376</v>
      </c>
      <c r="D329" t="s">
        <v>2604</v>
      </c>
      <c r="E329" t="s">
        <v>37</v>
      </c>
      <c r="F329" t="s">
        <v>38</v>
      </c>
      <c r="G329" s="2">
        <v>45846</v>
      </c>
      <c r="H329">
        <v>0.24</v>
      </c>
      <c r="I329" t="s">
        <v>72</v>
      </c>
      <c r="J329" t="s">
        <v>40</v>
      </c>
      <c r="K329" t="s">
        <v>41</v>
      </c>
      <c r="L329" t="s">
        <v>2605</v>
      </c>
      <c r="M329" t="s">
        <v>2606</v>
      </c>
      <c r="O329" t="s">
        <v>99</v>
      </c>
      <c r="P329" t="s">
        <v>100</v>
      </c>
      <c r="Q329">
        <v>0.34021063961584402</v>
      </c>
      <c r="R329" t="s">
        <v>60</v>
      </c>
      <c r="S329" t="s">
        <v>66</v>
      </c>
      <c r="T329" t="s">
        <v>57</v>
      </c>
      <c r="V329" t="s">
        <v>180</v>
      </c>
      <c r="X329" t="s">
        <v>3131</v>
      </c>
      <c r="Y329" t="s">
        <v>412</v>
      </c>
      <c r="Z329" t="s">
        <v>2623</v>
      </c>
      <c r="AA329" t="s">
        <v>858</v>
      </c>
      <c r="AB329" t="s">
        <v>41</v>
      </c>
      <c r="AF329" t="s">
        <v>3132</v>
      </c>
      <c r="AJ329">
        <v>175.48476302042411</v>
      </c>
      <c r="AK329">
        <v>1376.7891190491589</v>
      </c>
    </row>
    <row r="330" spans="1:37" x14ac:dyDescent="0.25">
      <c r="A330">
        <v>344</v>
      </c>
      <c r="B330" t="s">
        <v>3154</v>
      </c>
      <c r="C330" t="s">
        <v>376</v>
      </c>
      <c r="D330" t="s">
        <v>2604</v>
      </c>
      <c r="E330" t="s">
        <v>37</v>
      </c>
      <c r="F330" t="s">
        <v>38</v>
      </c>
      <c r="G330" s="2">
        <v>45846</v>
      </c>
      <c r="H330">
        <v>0.3</v>
      </c>
      <c r="I330" t="s">
        <v>72</v>
      </c>
      <c r="J330" t="s">
        <v>40</v>
      </c>
      <c r="K330" t="s">
        <v>41</v>
      </c>
      <c r="L330" t="s">
        <v>2605</v>
      </c>
      <c r="M330" t="s">
        <v>2606</v>
      </c>
      <c r="O330" t="s">
        <v>62</v>
      </c>
      <c r="P330" t="s">
        <v>63</v>
      </c>
      <c r="Q330">
        <v>0.22670103165309949</v>
      </c>
      <c r="R330" t="s">
        <v>64</v>
      </c>
      <c r="S330" t="s">
        <v>65</v>
      </c>
      <c r="T330" t="s">
        <v>3143</v>
      </c>
      <c r="V330" t="s">
        <v>554</v>
      </c>
      <c r="X330" t="s">
        <v>3144</v>
      </c>
      <c r="Y330" t="s">
        <v>412</v>
      </c>
      <c r="Z330" t="s">
        <v>2630</v>
      </c>
      <c r="AA330" t="s">
        <v>858</v>
      </c>
      <c r="AB330" t="s">
        <v>41</v>
      </c>
      <c r="AD330" t="s">
        <v>455</v>
      </c>
      <c r="AF330" t="s">
        <v>3155</v>
      </c>
      <c r="AJ330">
        <v>121.3678012379936</v>
      </c>
      <c r="AK330">
        <v>917.43019562716427</v>
      </c>
    </row>
    <row r="331" spans="1:37" x14ac:dyDescent="0.25">
      <c r="A331">
        <v>346</v>
      </c>
      <c r="B331" t="s">
        <v>3159</v>
      </c>
      <c r="C331" t="s">
        <v>376</v>
      </c>
      <c r="D331" t="s">
        <v>2604</v>
      </c>
      <c r="E331" t="s">
        <v>37</v>
      </c>
      <c r="F331" t="s">
        <v>38</v>
      </c>
      <c r="G331" s="2">
        <v>45846</v>
      </c>
      <c r="H331">
        <v>1.2</v>
      </c>
      <c r="I331" t="s">
        <v>72</v>
      </c>
      <c r="J331" t="s">
        <v>40</v>
      </c>
      <c r="K331" t="s">
        <v>41</v>
      </c>
      <c r="L331" t="s">
        <v>2605</v>
      </c>
      <c r="M331" t="s">
        <v>2606</v>
      </c>
      <c r="O331" t="s">
        <v>62</v>
      </c>
      <c r="P331" t="s">
        <v>63</v>
      </c>
      <c r="Q331">
        <v>1.4476947474099651</v>
      </c>
      <c r="R331" t="s">
        <v>64</v>
      </c>
      <c r="S331" t="s">
        <v>65</v>
      </c>
      <c r="T331" t="s">
        <v>3143</v>
      </c>
      <c r="V331" t="s">
        <v>554</v>
      </c>
      <c r="X331" t="s">
        <v>3144</v>
      </c>
      <c r="Y331" t="s">
        <v>412</v>
      </c>
      <c r="Z331" t="s">
        <v>2630</v>
      </c>
      <c r="AA331" t="s">
        <v>858</v>
      </c>
      <c r="AB331" t="s">
        <v>41</v>
      </c>
      <c r="AD331" t="s">
        <v>455</v>
      </c>
      <c r="AF331" t="s">
        <v>3155</v>
      </c>
      <c r="AJ331">
        <v>341.52522924208171</v>
      </c>
      <c r="AK331">
        <v>5858.6362207522097</v>
      </c>
    </row>
    <row r="332" spans="1:37" x14ac:dyDescent="0.25">
      <c r="A332">
        <v>349</v>
      </c>
      <c r="B332" t="s">
        <v>3162</v>
      </c>
      <c r="C332" t="s">
        <v>376</v>
      </c>
      <c r="D332" t="s">
        <v>2604</v>
      </c>
      <c r="E332" t="s">
        <v>37</v>
      </c>
      <c r="F332" t="s">
        <v>38</v>
      </c>
      <c r="G332" s="2">
        <v>45846</v>
      </c>
      <c r="H332">
        <v>1.9</v>
      </c>
      <c r="I332" t="s">
        <v>72</v>
      </c>
      <c r="J332" t="s">
        <v>40</v>
      </c>
      <c r="K332" t="s">
        <v>41</v>
      </c>
      <c r="L332" t="s">
        <v>2605</v>
      </c>
      <c r="M332" t="s">
        <v>2606</v>
      </c>
      <c r="O332" t="s">
        <v>62</v>
      </c>
      <c r="P332" t="s">
        <v>63</v>
      </c>
      <c r="Q332">
        <v>1.6890380957370319</v>
      </c>
      <c r="R332" t="s">
        <v>64</v>
      </c>
      <c r="S332" t="s">
        <v>65</v>
      </c>
      <c r="T332" t="s">
        <v>3143</v>
      </c>
      <c r="V332" t="s">
        <v>554</v>
      </c>
      <c r="X332" t="s">
        <v>3144</v>
      </c>
      <c r="Y332" t="s">
        <v>412</v>
      </c>
      <c r="Z332" t="s">
        <v>2630</v>
      </c>
      <c r="AA332" t="s">
        <v>554</v>
      </c>
      <c r="AB332" t="s">
        <v>41</v>
      </c>
      <c r="AD332" t="s">
        <v>455</v>
      </c>
      <c r="AF332" t="s">
        <v>3145</v>
      </c>
      <c r="AJ332">
        <v>386.03079200110642</v>
      </c>
      <c r="AK332">
        <v>6835.3220066723597</v>
      </c>
    </row>
    <row r="333" spans="1:37" x14ac:dyDescent="0.25">
      <c r="A333">
        <v>350</v>
      </c>
      <c r="B333" t="s">
        <v>3163</v>
      </c>
      <c r="C333" t="s">
        <v>376</v>
      </c>
      <c r="D333" t="s">
        <v>2604</v>
      </c>
      <c r="E333" t="s">
        <v>37</v>
      </c>
      <c r="F333" t="s">
        <v>38</v>
      </c>
      <c r="G333" s="2">
        <v>45845</v>
      </c>
      <c r="H333">
        <v>1.7</v>
      </c>
      <c r="I333" t="s">
        <v>72</v>
      </c>
      <c r="J333" t="s">
        <v>40</v>
      </c>
      <c r="K333" t="s">
        <v>41</v>
      </c>
      <c r="L333" t="s">
        <v>2605</v>
      </c>
      <c r="M333" t="s">
        <v>2606</v>
      </c>
      <c r="N333" t="s">
        <v>2702</v>
      </c>
      <c r="O333" t="s">
        <v>62</v>
      </c>
      <c r="P333" t="s">
        <v>63</v>
      </c>
      <c r="Q333">
        <v>1.6623034694740011</v>
      </c>
      <c r="R333" t="s">
        <v>64</v>
      </c>
      <c r="S333" t="s">
        <v>65</v>
      </c>
      <c r="T333" t="s">
        <v>2883</v>
      </c>
      <c r="V333" t="s">
        <v>70</v>
      </c>
      <c r="X333" t="s">
        <v>2880</v>
      </c>
      <c r="Y333" t="s">
        <v>412</v>
      </c>
      <c r="Z333" t="s">
        <v>2623</v>
      </c>
      <c r="AA333" t="s">
        <v>942</v>
      </c>
      <c r="AB333" t="s">
        <v>41</v>
      </c>
      <c r="AD333" t="s">
        <v>620</v>
      </c>
      <c r="AF333" t="s">
        <v>2667</v>
      </c>
      <c r="AJ333">
        <v>340.53355909114248</v>
      </c>
      <c r="AK333">
        <v>6727.1303799132729</v>
      </c>
    </row>
    <row r="334" spans="1:37" x14ac:dyDescent="0.25">
      <c r="A334">
        <v>351</v>
      </c>
      <c r="B334" t="s">
        <v>3164</v>
      </c>
      <c r="C334" t="s">
        <v>376</v>
      </c>
      <c r="D334" t="s">
        <v>2604</v>
      </c>
      <c r="E334" t="s">
        <v>37</v>
      </c>
      <c r="F334" t="s">
        <v>38</v>
      </c>
      <c r="G334" s="2">
        <v>45846</v>
      </c>
      <c r="H334">
        <v>2.2999999999999998</v>
      </c>
      <c r="I334" t="s">
        <v>72</v>
      </c>
      <c r="J334" t="s">
        <v>40</v>
      </c>
      <c r="K334" t="s">
        <v>41</v>
      </c>
      <c r="L334" t="s">
        <v>2605</v>
      </c>
      <c r="M334" t="s">
        <v>2606</v>
      </c>
      <c r="O334" t="s">
        <v>62</v>
      </c>
      <c r="P334" t="s">
        <v>63</v>
      </c>
      <c r="Q334">
        <v>2.4068608324680238</v>
      </c>
      <c r="R334" t="s">
        <v>64</v>
      </c>
      <c r="S334" t="s">
        <v>65</v>
      </c>
      <c r="T334" t="s">
        <v>3143</v>
      </c>
      <c r="V334" t="s">
        <v>554</v>
      </c>
      <c r="X334" t="s">
        <v>3144</v>
      </c>
      <c r="Y334" t="s">
        <v>412</v>
      </c>
      <c r="Z334" t="s">
        <v>2630</v>
      </c>
      <c r="AA334" t="s">
        <v>554</v>
      </c>
      <c r="AB334" t="s">
        <v>41</v>
      </c>
      <c r="AD334" t="s">
        <v>455</v>
      </c>
      <c r="AF334" t="s">
        <v>3145</v>
      </c>
      <c r="AJ334">
        <v>405.76592316450211</v>
      </c>
      <c r="AK334">
        <v>9740.2591786939865</v>
      </c>
    </row>
    <row r="335" spans="1:37" x14ac:dyDescent="0.25">
      <c r="A335">
        <v>352</v>
      </c>
      <c r="B335" t="s">
        <v>3165</v>
      </c>
      <c r="C335" t="s">
        <v>376</v>
      </c>
      <c r="D335" t="s">
        <v>2604</v>
      </c>
      <c r="E335" t="s">
        <v>37</v>
      </c>
      <c r="F335" t="s">
        <v>38</v>
      </c>
      <c r="G335" s="2">
        <v>45845</v>
      </c>
      <c r="H335">
        <v>16.8</v>
      </c>
      <c r="I335" t="s">
        <v>72</v>
      </c>
      <c r="J335" t="s">
        <v>40</v>
      </c>
      <c r="K335" t="s">
        <v>41</v>
      </c>
      <c r="L335" t="s">
        <v>2605</v>
      </c>
      <c r="M335" t="s">
        <v>2606</v>
      </c>
      <c r="O335" t="s">
        <v>62</v>
      </c>
      <c r="P335" t="s">
        <v>63</v>
      </c>
      <c r="Q335">
        <v>16.986108397482852</v>
      </c>
      <c r="R335" t="s">
        <v>64</v>
      </c>
      <c r="S335" t="s">
        <v>65</v>
      </c>
      <c r="T335" t="s">
        <v>3166</v>
      </c>
      <c r="V335" t="s">
        <v>119</v>
      </c>
      <c r="X335" t="s">
        <v>3167</v>
      </c>
      <c r="Y335" t="s">
        <v>412</v>
      </c>
      <c r="Z335" t="s">
        <v>2623</v>
      </c>
      <c r="AA335" t="s">
        <v>942</v>
      </c>
      <c r="AB335" t="s">
        <v>41</v>
      </c>
      <c r="AD335" t="s">
        <v>620</v>
      </c>
      <c r="AF335" t="s">
        <v>2667</v>
      </c>
      <c r="AJ335">
        <v>1029.9050434673709</v>
      </c>
      <c r="AK335">
        <v>68740.616822128359</v>
      </c>
    </row>
    <row r="336" spans="1:37" hidden="1" x14ac:dyDescent="0.25">
      <c r="A336">
        <v>345</v>
      </c>
      <c r="B336" t="s">
        <v>3156</v>
      </c>
      <c r="C336" t="s">
        <v>376</v>
      </c>
      <c r="D336" t="s">
        <v>2604</v>
      </c>
      <c r="E336" t="s">
        <v>37</v>
      </c>
      <c r="F336" t="s">
        <v>38</v>
      </c>
      <c r="G336" s="2">
        <v>45845</v>
      </c>
      <c r="H336">
        <v>18.5</v>
      </c>
      <c r="I336" t="s">
        <v>72</v>
      </c>
      <c r="J336" t="s">
        <v>40</v>
      </c>
      <c r="K336" t="s">
        <v>41</v>
      </c>
      <c r="L336" t="s">
        <v>2605</v>
      </c>
      <c r="M336" t="s">
        <v>2606</v>
      </c>
      <c r="N336" t="s">
        <v>3027</v>
      </c>
      <c r="O336" t="s">
        <v>79</v>
      </c>
      <c r="P336" t="s">
        <v>80</v>
      </c>
      <c r="Q336">
        <v>17.438259384982501</v>
      </c>
      <c r="R336" t="s">
        <v>46</v>
      </c>
      <c r="S336" t="s">
        <v>47</v>
      </c>
      <c r="T336" t="s">
        <v>3157</v>
      </c>
      <c r="V336" t="s">
        <v>70</v>
      </c>
      <c r="X336" t="s">
        <v>3158</v>
      </c>
      <c r="Y336" t="s">
        <v>412</v>
      </c>
      <c r="Z336" t="s">
        <v>2623</v>
      </c>
      <c r="AA336" t="s">
        <v>942</v>
      </c>
      <c r="AB336" t="s">
        <v>41</v>
      </c>
      <c r="AD336" t="s">
        <v>620</v>
      </c>
      <c r="AF336" t="s">
        <v>2667</v>
      </c>
      <c r="AJ336">
        <v>1060.3192487202621</v>
      </c>
      <c r="AK336">
        <v>70570.414268968292</v>
      </c>
    </row>
    <row r="337" spans="1:37" x14ac:dyDescent="0.25">
      <c r="A337">
        <v>353</v>
      </c>
      <c r="B337" t="s">
        <v>3168</v>
      </c>
      <c r="C337" t="s">
        <v>376</v>
      </c>
      <c r="D337" t="s">
        <v>2604</v>
      </c>
      <c r="E337" t="s">
        <v>37</v>
      </c>
      <c r="F337" t="s">
        <v>38</v>
      </c>
      <c r="G337" s="2">
        <v>45846</v>
      </c>
      <c r="H337">
        <v>2</v>
      </c>
      <c r="I337" t="s">
        <v>72</v>
      </c>
      <c r="J337" t="s">
        <v>40</v>
      </c>
      <c r="K337" t="s">
        <v>41</v>
      </c>
      <c r="L337" t="s">
        <v>2605</v>
      </c>
      <c r="M337" t="s">
        <v>2606</v>
      </c>
      <c r="O337" t="s">
        <v>62</v>
      </c>
      <c r="P337" t="s">
        <v>63</v>
      </c>
      <c r="Q337">
        <v>4.5603225343434639</v>
      </c>
      <c r="R337" t="s">
        <v>64</v>
      </c>
      <c r="S337" t="s">
        <v>65</v>
      </c>
      <c r="T337" t="s">
        <v>3169</v>
      </c>
      <c r="V337" t="s">
        <v>180</v>
      </c>
      <c r="X337" t="s">
        <v>3170</v>
      </c>
      <c r="Y337" t="s">
        <v>412</v>
      </c>
      <c r="Z337" t="s">
        <v>2623</v>
      </c>
      <c r="AA337" t="s">
        <v>858</v>
      </c>
      <c r="AB337" t="s">
        <v>41</v>
      </c>
      <c r="AD337" t="s">
        <v>245</v>
      </c>
      <c r="AF337" t="s">
        <v>2281</v>
      </c>
      <c r="AJ337">
        <v>536.67363985745681</v>
      </c>
      <c r="AK337">
        <v>18455.044356426901</v>
      </c>
    </row>
    <row r="338" spans="1:37" hidden="1" x14ac:dyDescent="0.25">
      <c r="A338">
        <v>347</v>
      </c>
      <c r="B338" t="s">
        <v>3160</v>
      </c>
      <c r="C338" t="s">
        <v>376</v>
      </c>
      <c r="D338" t="s">
        <v>2604</v>
      </c>
      <c r="E338" t="s">
        <v>37</v>
      </c>
      <c r="F338" t="s">
        <v>38</v>
      </c>
      <c r="G338" s="2">
        <v>45846</v>
      </c>
      <c r="H338">
        <v>0.1</v>
      </c>
      <c r="I338" t="s">
        <v>72</v>
      </c>
      <c r="J338" t="s">
        <v>40</v>
      </c>
      <c r="K338" t="s">
        <v>41</v>
      </c>
      <c r="L338" t="s">
        <v>2605</v>
      </c>
      <c r="M338" t="s">
        <v>2606</v>
      </c>
      <c r="O338" t="s">
        <v>96</v>
      </c>
      <c r="P338" t="s">
        <v>97</v>
      </c>
      <c r="Q338">
        <v>7.1065401030557029E-2</v>
      </c>
      <c r="R338" t="s">
        <v>60</v>
      </c>
      <c r="S338" t="s">
        <v>66</v>
      </c>
      <c r="T338" t="s">
        <v>583</v>
      </c>
      <c r="V338" t="s">
        <v>180</v>
      </c>
      <c r="X338" t="s">
        <v>583</v>
      </c>
      <c r="Y338" t="s">
        <v>412</v>
      </c>
      <c r="Z338" t="s">
        <v>2623</v>
      </c>
      <c r="AA338" t="s">
        <v>858</v>
      </c>
      <c r="AB338" t="s">
        <v>41</v>
      </c>
      <c r="AJ338">
        <v>81.723020910381308</v>
      </c>
      <c r="AK338">
        <v>287.59262494029059</v>
      </c>
    </row>
    <row r="339" spans="1:37" hidden="1" x14ac:dyDescent="0.25">
      <c r="A339">
        <v>348</v>
      </c>
      <c r="B339" t="s">
        <v>3161</v>
      </c>
      <c r="C339" t="s">
        <v>376</v>
      </c>
      <c r="D339" t="s">
        <v>2604</v>
      </c>
      <c r="E339" t="s">
        <v>37</v>
      </c>
      <c r="F339" t="s">
        <v>38</v>
      </c>
      <c r="G339" s="2">
        <v>45845</v>
      </c>
      <c r="H339">
        <v>2.2000000000000002</v>
      </c>
      <c r="I339" t="s">
        <v>72</v>
      </c>
      <c r="J339" t="s">
        <v>40</v>
      </c>
      <c r="K339" t="s">
        <v>41</v>
      </c>
      <c r="L339" t="s">
        <v>2605</v>
      </c>
      <c r="M339" t="s">
        <v>2606</v>
      </c>
      <c r="N339" t="s">
        <v>2712</v>
      </c>
      <c r="O339" t="s">
        <v>79</v>
      </c>
      <c r="P339" t="s">
        <v>80</v>
      </c>
      <c r="Q339">
        <v>2.1521524396400382</v>
      </c>
      <c r="R339" t="s">
        <v>46</v>
      </c>
      <c r="S339" t="s">
        <v>47</v>
      </c>
      <c r="T339" t="s">
        <v>2722</v>
      </c>
      <c r="V339" t="s">
        <v>70</v>
      </c>
      <c r="X339" t="s">
        <v>2714</v>
      </c>
      <c r="Y339" t="s">
        <v>412</v>
      </c>
      <c r="Z339" t="s">
        <v>2623</v>
      </c>
      <c r="AA339" t="s">
        <v>860</v>
      </c>
      <c r="AB339" t="s">
        <v>41</v>
      </c>
      <c r="AD339" t="s">
        <v>620</v>
      </c>
      <c r="AF339" t="s">
        <v>2667</v>
      </c>
      <c r="AJ339">
        <v>408.64652262022258</v>
      </c>
      <c r="AK339">
        <v>8709.4867602533177</v>
      </c>
    </row>
    <row r="340" spans="1:37" x14ac:dyDescent="0.25">
      <c r="A340">
        <v>354</v>
      </c>
      <c r="B340" t="s">
        <v>3171</v>
      </c>
      <c r="C340" t="s">
        <v>376</v>
      </c>
      <c r="D340" t="s">
        <v>2604</v>
      </c>
      <c r="E340" t="s">
        <v>37</v>
      </c>
      <c r="F340" t="s">
        <v>38</v>
      </c>
      <c r="G340" s="2">
        <v>45845</v>
      </c>
      <c r="H340">
        <v>0.4</v>
      </c>
      <c r="I340" t="s">
        <v>72</v>
      </c>
      <c r="J340" t="s">
        <v>40</v>
      </c>
      <c r="K340" t="s">
        <v>41</v>
      </c>
      <c r="L340" t="s">
        <v>2605</v>
      </c>
      <c r="M340" t="s">
        <v>2606</v>
      </c>
      <c r="N340" t="s">
        <v>2702</v>
      </c>
      <c r="O340" t="s">
        <v>62</v>
      </c>
      <c r="P340" t="s">
        <v>63</v>
      </c>
      <c r="Q340">
        <v>0.4150002928093649</v>
      </c>
      <c r="R340" t="s">
        <v>64</v>
      </c>
      <c r="S340" t="s">
        <v>65</v>
      </c>
      <c r="T340" t="s">
        <v>2883</v>
      </c>
      <c r="V340" t="s">
        <v>70</v>
      </c>
      <c r="X340" t="s">
        <v>2880</v>
      </c>
      <c r="Y340" t="s">
        <v>412</v>
      </c>
      <c r="Z340" t="s">
        <v>2623</v>
      </c>
      <c r="AA340" t="s">
        <v>942</v>
      </c>
      <c r="AB340" t="s">
        <v>41</v>
      </c>
      <c r="AD340" t="s">
        <v>620</v>
      </c>
      <c r="AF340" t="s">
        <v>2362</v>
      </c>
      <c r="AJ340">
        <v>218.5764483010806</v>
      </c>
      <c r="AK340">
        <v>1679.4533180600131</v>
      </c>
    </row>
    <row r="341" spans="1:37" x14ac:dyDescent="0.25">
      <c r="A341">
        <v>355</v>
      </c>
      <c r="B341" t="s">
        <v>3172</v>
      </c>
      <c r="C341" t="s">
        <v>376</v>
      </c>
      <c r="D341" t="s">
        <v>2604</v>
      </c>
      <c r="E341" t="s">
        <v>37</v>
      </c>
      <c r="F341" t="s">
        <v>38</v>
      </c>
      <c r="G341" s="2">
        <v>45845</v>
      </c>
      <c r="H341">
        <v>4.9000000000000004</v>
      </c>
      <c r="I341" t="s">
        <v>72</v>
      </c>
      <c r="J341" t="s">
        <v>40</v>
      </c>
      <c r="K341" t="s">
        <v>41</v>
      </c>
      <c r="L341" t="s">
        <v>2605</v>
      </c>
      <c r="M341" t="s">
        <v>2606</v>
      </c>
      <c r="O341" t="s">
        <v>62</v>
      </c>
      <c r="P341" t="s">
        <v>63</v>
      </c>
      <c r="Q341">
        <v>4.9730886174003519</v>
      </c>
      <c r="R341" t="s">
        <v>64</v>
      </c>
      <c r="S341" t="s">
        <v>65</v>
      </c>
      <c r="T341" t="s">
        <v>3038</v>
      </c>
      <c r="V341" t="s">
        <v>119</v>
      </c>
      <c r="X341" t="s">
        <v>3173</v>
      </c>
      <c r="Y341" t="s">
        <v>412</v>
      </c>
      <c r="Z341" t="s">
        <v>2623</v>
      </c>
      <c r="AA341" t="s">
        <v>942</v>
      </c>
      <c r="AB341" t="s">
        <v>41</v>
      </c>
      <c r="AD341" t="s">
        <v>620</v>
      </c>
      <c r="AF341" t="s">
        <v>3174</v>
      </c>
      <c r="AJ341">
        <v>682.16218865100245</v>
      </c>
      <c r="AK341">
        <v>20125.456112234901</v>
      </c>
    </row>
    <row r="342" spans="1:37" x14ac:dyDescent="0.25">
      <c r="A342">
        <v>356</v>
      </c>
      <c r="B342" t="s">
        <v>3175</v>
      </c>
      <c r="C342" t="s">
        <v>376</v>
      </c>
      <c r="D342" t="s">
        <v>2604</v>
      </c>
      <c r="E342" t="s">
        <v>37</v>
      </c>
      <c r="F342" t="s">
        <v>38</v>
      </c>
      <c r="G342" s="2">
        <v>45845</v>
      </c>
      <c r="H342">
        <v>4.4000000000000004</v>
      </c>
      <c r="I342" t="s">
        <v>72</v>
      </c>
      <c r="J342" t="s">
        <v>40</v>
      </c>
      <c r="K342" t="s">
        <v>41</v>
      </c>
      <c r="L342" t="s">
        <v>2605</v>
      </c>
      <c r="M342" t="s">
        <v>2606</v>
      </c>
      <c r="O342" t="s">
        <v>62</v>
      </c>
      <c r="P342" t="s">
        <v>63</v>
      </c>
      <c r="Q342">
        <v>4.4174974596362153</v>
      </c>
      <c r="R342" t="s">
        <v>64</v>
      </c>
      <c r="S342" t="s">
        <v>65</v>
      </c>
      <c r="T342" t="s">
        <v>3038</v>
      </c>
      <c r="V342" t="s">
        <v>119</v>
      </c>
      <c r="X342" t="s">
        <v>3173</v>
      </c>
      <c r="Y342" t="s">
        <v>412</v>
      </c>
      <c r="Z342" t="s">
        <v>2623</v>
      </c>
      <c r="AA342" t="s">
        <v>942</v>
      </c>
      <c r="AB342" t="s">
        <v>41</v>
      </c>
      <c r="AD342" t="s">
        <v>620</v>
      </c>
      <c r="AF342" t="s">
        <v>3174</v>
      </c>
      <c r="AJ342">
        <v>621.33526000782967</v>
      </c>
      <c r="AK342">
        <v>17877.049473590891</v>
      </c>
    </row>
    <row r="343" spans="1:37" x14ac:dyDescent="0.25">
      <c r="A343">
        <v>358</v>
      </c>
      <c r="B343" t="s">
        <v>3177</v>
      </c>
      <c r="C343" t="s">
        <v>376</v>
      </c>
      <c r="D343" t="s">
        <v>2604</v>
      </c>
      <c r="E343" t="s">
        <v>37</v>
      </c>
      <c r="F343" t="s">
        <v>38</v>
      </c>
      <c r="G343" s="2">
        <v>45845</v>
      </c>
      <c r="H343">
        <v>2.9</v>
      </c>
      <c r="I343" t="s">
        <v>72</v>
      </c>
      <c r="J343" t="s">
        <v>40</v>
      </c>
      <c r="K343" t="s">
        <v>41</v>
      </c>
      <c r="L343" t="s">
        <v>2605</v>
      </c>
      <c r="M343" t="s">
        <v>2606</v>
      </c>
      <c r="O343" t="s">
        <v>62</v>
      </c>
      <c r="P343" t="s">
        <v>63</v>
      </c>
      <c r="Q343">
        <v>2.8867122774907412</v>
      </c>
      <c r="R343" t="s">
        <v>64</v>
      </c>
      <c r="S343" t="s">
        <v>65</v>
      </c>
      <c r="T343" t="s">
        <v>3178</v>
      </c>
      <c r="V343" t="s">
        <v>70</v>
      </c>
      <c r="X343" t="s">
        <v>3179</v>
      </c>
      <c r="Y343" t="s">
        <v>412</v>
      </c>
      <c r="Z343" t="s">
        <v>2623</v>
      </c>
      <c r="AA343" t="s">
        <v>452</v>
      </c>
      <c r="AB343" t="s">
        <v>41</v>
      </c>
      <c r="AD343" t="s">
        <v>3018</v>
      </c>
      <c r="AF343" t="s">
        <v>3180</v>
      </c>
      <c r="AJ343">
        <v>454.30590559657531</v>
      </c>
      <c r="AK343">
        <v>11682.156848365001</v>
      </c>
    </row>
    <row r="344" spans="1:37" x14ac:dyDescent="0.25">
      <c r="A344">
        <v>359</v>
      </c>
      <c r="B344" t="s">
        <v>3181</v>
      </c>
      <c r="C344" t="s">
        <v>376</v>
      </c>
      <c r="D344" t="s">
        <v>2604</v>
      </c>
      <c r="E344" t="s">
        <v>37</v>
      </c>
      <c r="F344" t="s">
        <v>38</v>
      </c>
      <c r="G344" s="2">
        <v>45846</v>
      </c>
      <c r="H344">
        <v>2.5</v>
      </c>
      <c r="I344" t="s">
        <v>72</v>
      </c>
      <c r="J344" t="s">
        <v>40</v>
      </c>
      <c r="K344" t="s">
        <v>41</v>
      </c>
      <c r="L344" t="s">
        <v>2605</v>
      </c>
      <c r="M344" t="s">
        <v>2606</v>
      </c>
      <c r="O344" t="s">
        <v>62</v>
      </c>
      <c r="P344" t="s">
        <v>63</v>
      </c>
      <c r="Q344">
        <v>2.6426341703875398</v>
      </c>
      <c r="R344" t="s">
        <v>64</v>
      </c>
      <c r="S344" t="s">
        <v>65</v>
      </c>
      <c r="T344" t="s">
        <v>3166</v>
      </c>
      <c r="V344" t="s">
        <v>119</v>
      </c>
      <c r="X344" t="s">
        <v>3167</v>
      </c>
      <c r="Y344" t="s">
        <v>412</v>
      </c>
      <c r="Z344" t="s">
        <v>2623</v>
      </c>
      <c r="AA344" t="s">
        <v>942</v>
      </c>
      <c r="AB344" t="s">
        <v>41</v>
      </c>
      <c r="AD344" t="s">
        <v>620</v>
      </c>
      <c r="AF344" t="s">
        <v>2667</v>
      </c>
      <c r="AJ344">
        <v>501.70024254478147</v>
      </c>
      <c r="AK344">
        <v>10694.4038420591</v>
      </c>
    </row>
    <row r="345" spans="1:37" x14ac:dyDescent="0.25">
      <c r="A345">
        <v>360</v>
      </c>
      <c r="B345" t="s">
        <v>3182</v>
      </c>
      <c r="C345" t="s">
        <v>376</v>
      </c>
      <c r="D345" t="s">
        <v>2604</v>
      </c>
      <c r="E345" t="s">
        <v>37</v>
      </c>
      <c r="F345" t="s">
        <v>38</v>
      </c>
      <c r="G345" s="2">
        <v>45846</v>
      </c>
      <c r="H345">
        <v>0.6</v>
      </c>
      <c r="I345" t="s">
        <v>72</v>
      </c>
      <c r="J345" t="s">
        <v>40</v>
      </c>
      <c r="K345" t="s">
        <v>41</v>
      </c>
      <c r="L345" t="s">
        <v>2605</v>
      </c>
      <c r="M345" t="s">
        <v>2606</v>
      </c>
      <c r="O345" t="s">
        <v>62</v>
      </c>
      <c r="P345" t="s">
        <v>63</v>
      </c>
      <c r="Q345">
        <v>0.54608193519232651</v>
      </c>
      <c r="R345" t="s">
        <v>64</v>
      </c>
      <c r="S345" t="s">
        <v>65</v>
      </c>
      <c r="T345" t="s">
        <v>3166</v>
      </c>
      <c r="V345" t="s">
        <v>119</v>
      </c>
      <c r="X345" t="s">
        <v>3167</v>
      </c>
      <c r="Y345" t="s">
        <v>412</v>
      </c>
      <c r="Z345" t="s">
        <v>2623</v>
      </c>
      <c r="AA345" t="s">
        <v>942</v>
      </c>
      <c r="AB345" t="s">
        <v>41</v>
      </c>
      <c r="AD345" t="s">
        <v>620</v>
      </c>
      <c r="AF345" t="s">
        <v>2667</v>
      </c>
      <c r="AJ345">
        <v>219.1597122849401</v>
      </c>
      <c r="AK345">
        <v>2209.9240262769522</v>
      </c>
    </row>
    <row r="346" spans="1:37" x14ac:dyDescent="0.25">
      <c r="A346">
        <v>361</v>
      </c>
      <c r="B346" t="s">
        <v>3183</v>
      </c>
      <c r="C346" t="s">
        <v>376</v>
      </c>
      <c r="D346" t="s">
        <v>2604</v>
      </c>
      <c r="E346" t="s">
        <v>37</v>
      </c>
      <c r="F346" t="s">
        <v>38</v>
      </c>
      <c r="G346" s="2">
        <v>45846</v>
      </c>
      <c r="H346">
        <v>3.5</v>
      </c>
      <c r="I346" t="s">
        <v>72</v>
      </c>
      <c r="J346" t="s">
        <v>40</v>
      </c>
      <c r="K346" t="s">
        <v>41</v>
      </c>
      <c r="L346" t="s">
        <v>2605</v>
      </c>
      <c r="M346" t="s">
        <v>2606</v>
      </c>
      <c r="O346" t="s">
        <v>62</v>
      </c>
      <c r="P346" t="s">
        <v>63</v>
      </c>
      <c r="Q346">
        <v>3.526884605468481</v>
      </c>
      <c r="R346" t="s">
        <v>64</v>
      </c>
      <c r="S346" t="s">
        <v>65</v>
      </c>
      <c r="T346" t="s">
        <v>3166</v>
      </c>
      <c r="V346" t="s">
        <v>119</v>
      </c>
      <c r="X346" t="s">
        <v>3167</v>
      </c>
      <c r="Y346" t="s">
        <v>412</v>
      </c>
      <c r="Z346" t="s">
        <v>2623</v>
      </c>
      <c r="AA346" t="s">
        <v>860</v>
      </c>
      <c r="AB346" t="s">
        <v>41</v>
      </c>
      <c r="AD346" t="s">
        <v>620</v>
      </c>
      <c r="AF346" t="s">
        <v>2667</v>
      </c>
      <c r="AJ346">
        <v>492.53756431582099</v>
      </c>
      <c r="AK346">
        <v>14272.85270805755</v>
      </c>
    </row>
    <row r="347" spans="1:37" x14ac:dyDescent="0.25">
      <c r="A347">
        <v>362</v>
      </c>
      <c r="B347" t="s">
        <v>3184</v>
      </c>
      <c r="C347" t="s">
        <v>376</v>
      </c>
      <c r="D347" t="s">
        <v>2604</v>
      </c>
      <c r="E347" t="s">
        <v>37</v>
      </c>
      <c r="F347" t="s">
        <v>38</v>
      </c>
      <c r="G347" s="2">
        <v>45846</v>
      </c>
      <c r="H347">
        <v>23.5</v>
      </c>
      <c r="I347" t="s">
        <v>72</v>
      </c>
      <c r="J347" t="s">
        <v>40</v>
      </c>
      <c r="K347" t="s">
        <v>41</v>
      </c>
      <c r="L347" t="s">
        <v>2605</v>
      </c>
      <c r="M347" t="s">
        <v>2606</v>
      </c>
      <c r="O347" t="s">
        <v>62</v>
      </c>
      <c r="P347" t="s">
        <v>63</v>
      </c>
      <c r="Q347">
        <v>23.519536060811099</v>
      </c>
      <c r="R347" t="s">
        <v>64</v>
      </c>
      <c r="S347" t="s">
        <v>65</v>
      </c>
      <c r="T347" t="s">
        <v>3166</v>
      </c>
      <c r="V347" t="s">
        <v>119</v>
      </c>
      <c r="X347" t="s">
        <v>3167</v>
      </c>
      <c r="Y347" t="s">
        <v>412</v>
      </c>
      <c r="Z347" t="s">
        <v>2623</v>
      </c>
      <c r="AA347" t="s">
        <v>860</v>
      </c>
      <c r="AB347" t="s">
        <v>41</v>
      </c>
      <c r="AD347" t="s">
        <v>620</v>
      </c>
      <c r="AF347" t="s">
        <v>2667</v>
      </c>
      <c r="AJ347">
        <v>1252.344060928099</v>
      </c>
      <c r="AK347">
        <v>95180.566281446212</v>
      </c>
    </row>
    <row r="348" spans="1:37" hidden="1" x14ac:dyDescent="0.25">
      <c r="A348">
        <v>357</v>
      </c>
      <c r="B348" t="s">
        <v>3176</v>
      </c>
      <c r="C348" t="s">
        <v>376</v>
      </c>
      <c r="D348" t="s">
        <v>2604</v>
      </c>
      <c r="E348" t="s">
        <v>37</v>
      </c>
      <c r="F348" t="s">
        <v>38</v>
      </c>
      <c r="G348" s="2">
        <v>45845</v>
      </c>
      <c r="H348">
        <v>7.3</v>
      </c>
      <c r="I348" t="s">
        <v>72</v>
      </c>
      <c r="J348" t="s">
        <v>40</v>
      </c>
      <c r="K348" t="s">
        <v>41</v>
      </c>
      <c r="L348" t="s">
        <v>2605</v>
      </c>
      <c r="M348" t="s">
        <v>2606</v>
      </c>
      <c r="N348" t="s">
        <v>3027</v>
      </c>
      <c r="O348" t="s">
        <v>79</v>
      </c>
      <c r="P348" t="s">
        <v>80</v>
      </c>
      <c r="Q348">
        <v>7.7863894140215306</v>
      </c>
      <c r="R348" t="s">
        <v>46</v>
      </c>
      <c r="S348" t="s">
        <v>47</v>
      </c>
      <c r="T348" t="s">
        <v>3157</v>
      </c>
      <c r="V348" t="s">
        <v>70</v>
      </c>
      <c r="X348" t="s">
        <v>3158</v>
      </c>
      <c r="Y348" t="s">
        <v>412</v>
      </c>
      <c r="Z348" t="s">
        <v>2623</v>
      </c>
      <c r="AA348" t="s">
        <v>942</v>
      </c>
      <c r="AB348" t="s">
        <v>41</v>
      </c>
      <c r="AD348" t="s">
        <v>620</v>
      </c>
      <c r="AF348" t="s">
        <v>2667</v>
      </c>
      <c r="AJ348">
        <v>795.93250863017761</v>
      </c>
      <c r="AK348">
        <v>31510.52604941856</v>
      </c>
    </row>
    <row r="349" spans="1:37" x14ac:dyDescent="0.25">
      <c r="A349">
        <v>364</v>
      </c>
      <c r="B349" t="s">
        <v>3186</v>
      </c>
      <c r="C349" t="s">
        <v>376</v>
      </c>
      <c r="D349" t="s">
        <v>2604</v>
      </c>
      <c r="E349" t="s">
        <v>37</v>
      </c>
      <c r="F349" t="s">
        <v>38</v>
      </c>
      <c r="G349" s="2">
        <v>45845</v>
      </c>
      <c r="H349">
        <v>0.5</v>
      </c>
      <c r="I349" t="s">
        <v>72</v>
      </c>
      <c r="J349" t="s">
        <v>40</v>
      </c>
      <c r="K349" t="s">
        <v>41</v>
      </c>
      <c r="L349" t="s">
        <v>2605</v>
      </c>
      <c r="M349" t="s">
        <v>2606</v>
      </c>
      <c r="O349" t="s">
        <v>62</v>
      </c>
      <c r="P349" t="s">
        <v>63</v>
      </c>
      <c r="Q349">
        <v>0.50820001069644005</v>
      </c>
      <c r="R349" t="s">
        <v>64</v>
      </c>
      <c r="S349" t="s">
        <v>65</v>
      </c>
      <c r="T349" t="s">
        <v>3178</v>
      </c>
      <c r="V349" t="s">
        <v>70</v>
      </c>
      <c r="X349" t="s">
        <v>3179</v>
      </c>
      <c r="Y349" t="s">
        <v>412</v>
      </c>
      <c r="Z349" t="s">
        <v>2623</v>
      </c>
      <c r="AA349" t="s">
        <v>452</v>
      </c>
      <c r="AB349" t="s">
        <v>41</v>
      </c>
      <c r="AD349" t="s">
        <v>3018</v>
      </c>
      <c r="AF349" t="s">
        <v>3180</v>
      </c>
      <c r="AJ349">
        <v>187.47202302827219</v>
      </c>
      <c r="AK349">
        <v>2056.6207036252249</v>
      </c>
    </row>
    <row r="350" spans="1:37" x14ac:dyDescent="0.25">
      <c r="A350">
        <v>365</v>
      </c>
      <c r="B350" t="s">
        <v>3187</v>
      </c>
      <c r="C350" t="s">
        <v>376</v>
      </c>
      <c r="D350" t="s">
        <v>2604</v>
      </c>
      <c r="E350" t="s">
        <v>37</v>
      </c>
      <c r="F350" t="s">
        <v>38</v>
      </c>
      <c r="G350" s="2">
        <v>45845</v>
      </c>
      <c r="H350">
        <v>0.1</v>
      </c>
      <c r="I350" t="s">
        <v>72</v>
      </c>
      <c r="J350" t="s">
        <v>40</v>
      </c>
      <c r="K350" t="s">
        <v>41</v>
      </c>
      <c r="L350" t="s">
        <v>2605</v>
      </c>
      <c r="M350" t="s">
        <v>2606</v>
      </c>
      <c r="O350" t="s">
        <v>62</v>
      </c>
      <c r="P350" t="s">
        <v>63</v>
      </c>
      <c r="Q350">
        <v>8.7158547068556136E-2</v>
      </c>
      <c r="R350" t="s">
        <v>64</v>
      </c>
      <c r="S350" t="s">
        <v>65</v>
      </c>
      <c r="T350" t="s">
        <v>3188</v>
      </c>
      <c r="V350" t="s">
        <v>70</v>
      </c>
      <c r="X350" t="s">
        <v>3189</v>
      </c>
      <c r="Y350" t="s">
        <v>412</v>
      </c>
      <c r="Z350" t="s">
        <v>2623</v>
      </c>
      <c r="AA350" t="s">
        <v>942</v>
      </c>
      <c r="AB350" t="s">
        <v>41</v>
      </c>
      <c r="AJ350">
        <v>77.293379823221386</v>
      </c>
      <c r="AK350">
        <v>352.71953684817561</v>
      </c>
    </row>
    <row r="351" spans="1:37" x14ac:dyDescent="0.25">
      <c r="A351">
        <v>366</v>
      </c>
      <c r="B351" t="s">
        <v>3190</v>
      </c>
      <c r="C351" t="s">
        <v>376</v>
      </c>
      <c r="D351" t="s">
        <v>2604</v>
      </c>
      <c r="E351" t="s">
        <v>37</v>
      </c>
      <c r="F351" t="s">
        <v>38</v>
      </c>
      <c r="G351" s="2">
        <v>45846</v>
      </c>
      <c r="H351">
        <v>17.3</v>
      </c>
      <c r="I351" t="s">
        <v>72</v>
      </c>
      <c r="J351" t="s">
        <v>40</v>
      </c>
      <c r="K351" t="s">
        <v>41</v>
      </c>
      <c r="L351" t="s">
        <v>2605</v>
      </c>
      <c r="M351" t="s">
        <v>2606</v>
      </c>
      <c r="O351" t="s">
        <v>62</v>
      </c>
      <c r="P351" t="s">
        <v>63</v>
      </c>
      <c r="Q351">
        <v>17.40066975735964</v>
      </c>
      <c r="R351" t="s">
        <v>64</v>
      </c>
      <c r="S351" t="s">
        <v>65</v>
      </c>
      <c r="T351" t="s">
        <v>3191</v>
      </c>
      <c r="V351" t="s">
        <v>119</v>
      </c>
      <c r="X351" t="s">
        <v>3192</v>
      </c>
      <c r="Y351" t="s">
        <v>412</v>
      </c>
      <c r="Z351" t="s">
        <v>2623</v>
      </c>
      <c r="AA351" t="s">
        <v>860</v>
      </c>
      <c r="AB351" t="s">
        <v>41</v>
      </c>
      <c r="AD351" t="s">
        <v>620</v>
      </c>
      <c r="AF351" t="s">
        <v>2667</v>
      </c>
      <c r="AJ351">
        <v>1715.6902189724001</v>
      </c>
      <c r="AK351">
        <v>70418.29383452599</v>
      </c>
    </row>
    <row r="352" spans="1:37" x14ac:dyDescent="0.25">
      <c r="A352">
        <v>367</v>
      </c>
      <c r="B352" t="s">
        <v>3193</v>
      </c>
      <c r="C352" t="s">
        <v>376</v>
      </c>
      <c r="D352" t="s">
        <v>2604</v>
      </c>
      <c r="E352" t="s">
        <v>37</v>
      </c>
      <c r="F352" t="s">
        <v>38</v>
      </c>
      <c r="G352" s="2">
        <v>45845</v>
      </c>
      <c r="H352">
        <v>5</v>
      </c>
      <c r="I352" t="s">
        <v>72</v>
      </c>
      <c r="J352" t="s">
        <v>40</v>
      </c>
      <c r="K352" t="s">
        <v>41</v>
      </c>
      <c r="L352" t="s">
        <v>2605</v>
      </c>
      <c r="M352" t="s">
        <v>2606</v>
      </c>
      <c r="O352" t="s">
        <v>62</v>
      </c>
      <c r="P352" t="s">
        <v>63</v>
      </c>
      <c r="Q352">
        <v>5.0986702916814588</v>
      </c>
      <c r="R352" t="s">
        <v>64</v>
      </c>
      <c r="S352" t="s">
        <v>65</v>
      </c>
      <c r="T352" t="s">
        <v>3178</v>
      </c>
      <c r="V352" t="s">
        <v>70</v>
      </c>
      <c r="X352" t="s">
        <v>3179</v>
      </c>
      <c r="Y352" t="s">
        <v>412</v>
      </c>
      <c r="Z352" t="s">
        <v>2623</v>
      </c>
      <c r="AA352" t="s">
        <v>452</v>
      </c>
      <c r="AB352" t="s">
        <v>41</v>
      </c>
      <c r="AD352" t="s">
        <v>3018</v>
      </c>
      <c r="AF352" t="s">
        <v>3180</v>
      </c>
      <c r="AJ352">
        <v>655.63914799914426</v>
      </c>
      <c r="AK352">
        <v>20633.669150185258</v>
      </c>
    </row>
    <row r="353" spans="1:37" x14ac:dyDescent="0.25">
      <c r="A353">
        <v>368</v>
      </c>
      <c r="B353" t="s">
        <v>3194</v>
      </c>
      <c r="C353" t="s">
        <v>376</v>
      </c>
      <c r="D353" t="s">
        <v>2604</v>
      </c>
      <c r="E353" t="s">
        <v>37</v>
      </c>
      <c r="F353" t="s">
        <v>38</v>
      </c>
      <c r="G353" s="2">
        <v>45845</v>
      </c>
      <c r="H353">
        <v>3.2</v>
      </c>
      <c r="I353" t="s">
        <v>72</v>
      </c>
      <c r="J353" t="s">
        <v>40</v>
      </c>
      <c r="K353" t="s">
        <v>41</v>
      </c>
      <c r="L353" t="s">
        <v>2605</v>
      </c>
      <c r="M353" t="s">
        <v>2606</v>
      </c>
      <c r="N353" t="s">
        <v>2702</v>
      </c>
      <c r="O353" t="s">
        <v>62</v>
      </c>
      <c r="P353" t="s">
        <v>63</v>
      </c>
      <c r="Q353">
        <v>3.1729306331193881</v>
      </c>
      <c r="R353" t="s">
        <v>64</v>
      </c>
      <c r="S353" t="s">
        <v>65</v>
      </c>
      <c r="T353" t="s">
        <v>3135</v>
      </c>
      <c r="V353" t="s">
        <v>70</v>
      </c>
      <c r="X353" t="s">
        <v>2880</v>
      </c>
      <c r="Y353" t="s">
        <v>412</v>
      </c>
      <c r="Z353" t="s">
        <v>2623</v>
      </c>
      <c r="AA353" t="s">
        <v>942</v>
      </c>
      <c r="AB353" t="s">
        <v>41</v>
      </c>
      <c r="AD353" t="s">
        <v>620</v>
      </c>
      <c r="AF353" t="s">
        <v>2667</v>
      </c>
      <c r="AJ353">
        <v>531.13748204302738</v>
      </c>
      <c r="AK353">
        <v>12840.446072201819</v>
      </c>
    </row>
    <row r="354" spans="1:37" x14ac:dyDescent="0.25">
      <c r="A354">
        <v>370</v>
      </c>
      <c r="B354" t="s">
        <v>3198</v>
      </c>
      <c r="C354" t="s">
        <v>376</v>
      </c>
      <c r="D354" t="s">
        <v>2604</v>
      </c>
      <c r="E354" t="s">
        <v>37</v>
      </c>
      <c r="F354" t="s">
        <v>38</v>
      </c>
      <c r="G354" s="2">
        <v>45846</v>
      </c>
      <c r="H354">
        <v>15.3</v>
      </c>
      <c r="I354" t="s">
        <v>72</v>
      </c>
      <c r="J354" t="s">
        <v>40</v>
      </c>
      <c r="K354" t="s">
        <v>41</v>
      </c>
      <c r="L354" t="s">
        <v>2605</v>
      </c>
      <c r="M354" t="s">
        <v>2606</v>
      </c>
      <c r="N354" t="s">
        <v>3027</v>
      </c>
      <c r="O354" t="s">
        <v>62</v>
      </c>
      <c r="P354" t="s">
        <v>63</v>
      </c>
      <c r="Q354">
        <v>16.53020929026852</v>
      </c>
      <c r="R354" t="s">
        <v>64</v>
      </c>
      <c r="S354" t="s">
        <v>65</v>
      </c>
      <c r="T354" t="s">
        <v>3157</v>
      </c>
      <c r="V354" t="s">
        <v>119</v>
      </c>
      <c r="X354" t="s">
        <v>3197</v>
      </c>
      <c r="Y354" t="s">
        <v>412</v>
      </c>
      <c r="Z354" t="s">
        <v>2623</v>
      </c>
      <c r="AA354" t="s">
        <v>942</v>
      </c>
      <c r="AB354" t="s">
        <v>41</v>
      </c>
      <c r="AD354" t="s">
        <v>620</v>
      </c>
      <c r="AF354" t="s">
        <v>2667</v>
      </c>
      <c r="AJ354">
        <v>1480.8557430390069</v>
      </c>
      <c r="AK354">
        <v>66895.651212276571</v>
      </c>
    </row>
    <row r="355" spans="1:37" x14ac:dyDescent="0.25">
      <c r="A355">
        <v>371</v>
      </c>
      <c r="B355" t="s">
        <v>3199</v>
      </c>
      <c r="C355" t="s">
        <v>376</v>
      </c>
      <c r="D355" t="s">
        <v>2604</v>
      </c>
      <c r="E355" t="s">
        <v>37</v>
      </c>
      <c r="F355" t="s">
        <v>38</v>
      </c>
      <c r="G355" s="2">
        <v>45845</v>
      </c>
      <c r="H355">
        <v>2.7</v>
      </c>
      <c r="I355" t="s">
        <v>72</v>
      </c>
      <c r="J355" t="s">
        <v>40</v>
      </c>
      <c r="K355" t="s">
        <v>41</v>
      </c>
      <c r="L355" t="s">
        <v>2605</v>
      </c>
      <c r="M355" t="s">
        <v>2606</v>
      </c>
      <c r="N355" t="s">
        <v>2702</v>
      </c>
      <c r="O355" t="s">
        <v>62</v>
      </c>
      <c r="P355" t="s">
        <v>63</v>
      </c>
      <c r="Q355">
        <v>1.7834484219083631</v>
      </c>
      <c r="R355" t="s">
        <v>64</v>
      </c>
      <c r="S355" t="s">
        <v>65</v>
      </c>
      <c r="T355" t="s">
        <v>3135</v>
      </c>
      <c r="V355" t="s">
        <v>70</v>
      </c>
      <c r="X355" t="s">
        <v>2880</v>
      </c>
      <c r="Y355" t="s">
        <v>412</v>
      </c>
      <c r="Z355" t="s">
        <v>2623</v>
      </c>
      <c r="AA355" t="s">
        <v>942</v>
      </c>
      <c r="AB355" t="s">
        <v>41</v>
      </c>
      <c r="AD355" t="s">
        <v>620</v>
      </c>
      <c r="AF355" t="s">
        <v>2667</v>
      </c>
      <c r="AJ355">
        <v>533.44095210629484</v>
      </c>
      <c r="AK355">
        <v>7217.3885697444139</v>
      </c>
    </row>
    <row r="356" spans="1:37" x14ac:dyDescent="0.25">
      <c r="A356">
        <v>372</v>
      </c>
      <c r="B356" t="s">
        <v>3200</v>
      </c>
      <c r="C356" t="s">
        <v>376</v>
      </c>
      <c r="D356" t="s">
        <v>2604</v>
      </c>
      <c r="E356" t="s">
        <v>37</v>
      </c>
      <c r="F356" t="s">
        <v>38</v>
      </c>
      <c r="G356" s="2">
        <v>45846</v>
      </c>
      <c r="H356">
        <v>0.9</v>
      </c>
      <c r="I356" t="s">
        <v>72</v>
      </c>
      <c r="J356" t="s">
        <v>40</v>
      </c>
      <c r="K356" t="s">
        <v>41</v>
      </c>
      <c r="L356" t="s">
        <v>2605</v>
      </c>
      <c r="M356" t="s">
        <v>2606</v>
      </c>
      <c r="O356" t="s">
        <v>62</v>
      </c>
      <c r="P356" t="s">
        <v>63</v>
      </c>
      <c r="Q356">
        <v>0.82348898488924005</v>
      </c>
      <c r="R356" t="s">
        <v>64</v>
      </c>
      <c r="S356" t="s">
        <v>65</v>
      </c>
      <c r="T356" t="s">
        <v>3201</v>
      </c>
      <c r="V356" t="s">
        <v>180</v>
      </c>
      <c r="X356" t="s">
        <v>3202</v>
      </c>
      <c r="Y356" t="s">
        <v>412</v>
      </c>
      <c r="Z356" t="s">
        <v>2623</v>
      </c>
      <c r="AA356" t="s">
        <v>858</v>
      </c>
      <c r="AB356" t="s">
        <v>41</v>
      </c>
      <c r="AJ356">
        <v>236.3523373547643</v>
      </c>
      <c r="AK356">
        <v>3332.5550174814171</v>
      </c>
    </row>
    <row r="357" spans="1:37" x14ac:dyDescent="0.25">
      <c r="A357">
        <v>373</v>
      </c>
      <c r="B357" t="s">
        <v>3203</v>
      </c>
      <c r="C357" t="s">
        <v>376</v>
      </c>
      <c r="D357" t="s">
        <v>2604</v>
      </c>
      <c r="E357" t="s">
        <v>37</v>
      </c>
      <c r="F357" t="s">
        <v>38</v>
      </c>
      <c r="G357" s="2">
        <v>45846</v>
      </c>
      <c r="H357">
        <v>3</v>
      </c>
      <c r="I357" t="s">
        <v>72</v>
      </c>
      <c r="J357" t="s">
        <v>40</v>
      </c>
      <c r="K357" t="s">
        <v>41</v>
      </c>
      <c r="L357" t="s">
        <v>2605</v>
      </c>
      <c r="M357" t="s">
        <v>2606</v>
      </c>
      <c r="O357" t="s">
        <v>62</v>
      </c>
      <c r="P357" t="s">
        <v>63</v>
      </c>
      <c r="Q357">
        <v>3.186989935723143</v>
      </c>
      <c r="R357" t="s">
        <v>64</v>
      </c>
      <c r="S357" t="s">
        <v>65</v>
      </c>
      <c r="T357" t="s">
        <v>3204</v>
      </c>
      <c r="V357" t="s">
        <v>119</v>
      </c>
      <c r="X357" t="s">
        <v>3167</v>
      </c>
      <c r="Y357" t="s">
        <v>412</v>
      </c>
      <c r="Z357" t="s">
        <v>2623</v>
      </c>
      <c r="AA357" t="s">
        <v>860</v>
      </c>
      <c r="AB357" t="s">
        <v>41</v>
      </c>
      <c r="AD357" t="s">
        <v>620</v>
      </c>
      <c r="AF357" t="s">
        <v>2667</v>
      </c>
      <c r="AJ357">
        <v>1226.20336281805</v>
      </c>
      <c r="AK357">
        <v>12897.342278822891</v>
      </c>
    </row>
    <row r="358" spans="1:37" x14ac:dyDescent="0.25">
      <c r="A358">
        <v>374</v>
      </c>
      <c r="B358" t="s">
        <v>3205</v>
      </c>
      <c r="C358" t="s">
        <v>376</v>
      </c>
      <c r="D358" t="s">
        <v>2604</v>
      </c>
      <c r="E358" t="s">
        <v>37</v>
      </c>
      <c r="F358" t="s">
        <v>38</v>
      </c>
      <c r="G358" s="2">
        <v>45846</v>
      </c>
      <c r="H358">
        <v>32.9</v>
      </c>
      <c r="I358" t="s">
        <v>72</v>
      </c>
      <c r="J358" t="s">
        <v>40</v>
      </c>
      <c r="K358" t="s">
        <v>41</v>
      </c>
      <c r="L358" t="s">
        <v>2605</v>
      </c>
      <c r="M358" t="s">
        <v>2606</v>
      </c>
      <c r="O358" t="s">
        <v>62</v>
      </c>
      <c r="P358" t="s">
        <v>63</v>
      </c>
      <c r="Q358">
        <v>33.200444556128282</v>
      </c>
      <c r="R358" t="s">
        <v>64</v>
      </c>
      <c r="S358" t="s">
        <v>65</v>
      </c>
      <c r="T358" t="s">
        <v>3166</v>
      </c>
      <c r="V358" t="s">
        <v>119</v>
      </c>
      <c r="X358" t="s">
        <v>3167</v>
      </c>
      <c r="Y358" t="s">
        <v>412</v>
      </c>
      <c r="Z358" t="s">
        <v>2623</v>
      </c>
      <c r="AA358" t="s">
        <v>860</v>
      </c>
      <c r="AB358" t="s">
        <v>41</v>
      </c>
      <c r="AD358" t="s">
        <v>620</v>
      </c>
      <c r="AF358" t="s">
        <v>2667</v>
      </c>
      <c r="AJ358">
        <v>1805.05235172435</v>
      </c>
      <c r="AK358">
        <v>134357.96970984421</v>
      </c>
    </row>
    <row r="359" spans="1:37" hidden="1" x14ac:dyDescent="0.25">
      <c r="A359">
        <v>369</v>
      </c>
      <c r="B359" t="s">
        <v>3195</v>
      </c>
      <c r="C359" t="s">
        <v>376</v>
      </c>
      <c r="D359" t="s">
        <v>2604</v>
      </c>
      <c r="E359" t="s">
        <v>37</v>
      </c>
      <c r="F359" t="s">
        <v>38</v>
      </c>
      <c r="G359" s="2">
        <v>45825</v>
      </c>
      <c r="H359">
        <v>43.1</v>
      </c>
      <c r="I359" t="s">
        <v>72</v>
      </c>
      <c r="J359" t="s">
        <v>40</v>
      </c>
      <c r="K359" t="s">
        <v>41</v>
      </c>
      <c r="L359" t="s">
        <v>2605</v>
      </c>
      <c r="M359" t="s">
        <v>2606</v>
      </c>
      <c r="N359" t="s">
        <v>3027</v>
      </c>
      <c r="O359" t="s">
        <v>402</v>
      </c>
      <c r="P359" t="s">
        <v>403</v>
      </c>
      <c r="Q359">
        <v>42.1362457939547</v>
      </c>
      <c r="S359" t="s">
        <v>38</v>
      </c>
      <c r="T359" t="s">
        <v>3196</v>
      </c>
      <c r="V359" t="s">
        <v>119</v>
      </c>
      <c r="X359" t="s">
        <v>3197</v>
      </c>
      <c r="Y359" t="s">
        <v>412</v>
      </c>
      <c r="Z359" t="s">
        <v>2623</v>
      </c>
      <c r="AA359" t="s">
        <v>942</v>
      </c>
      <c r="AB359" t="s">
        <v>41</v>
      </c>
      <c r="AD359" t="s">
        <v>620</v>
      </c>
      <c r="AF359" t="s">
        <v>2667</v>
      </c>
      <c r="AJ359">
        <v>2576.2347031009422</v>
      </c>
      <c r="AK359">
        <v>170520.01898648441</v>
      </c>
    </row>
    <row r="360" spans="1:37" x14ac:dyDescent="0.25">
      <c r="A360">
        <v>375</v>
      </c>
      <c r="B360" t="s">
        <v>3206</v>
      </c>
      <c r="C360" t="s">
        <v>376</v>
      </c>
      <c r="D360" t="s">
        <v>2604</v>
      </c>
      <c r="E360" t="s">
        <v>37</v>
      </c>
      <c r="F360" t="s">
        <v>38</v>
      </c>
      <c r="G360" s="2">
        <v>45845</v>
      </c>
      <c r="H360">
        <v>5.2</v>
      </c>
      <c r="I360" t="s">
        <v>72</v>
      </c>
      <c r="J360" t="s">
        <v>40</v>
      </c>
      <c r="K360" t="s">
        <v>41</v>
      </c>
      <c r="L360" t="s">
        <v>2605</v>
      </c>
      <c r="M360" t="s">
        <v>2606</v>
      </c>
      <c r="O360" t="s">
        <v>62</v>
      </c>
      <c r="P360" t="s">
        <v>63</v>
      </c>
      <c r="Q360">
        <v>5.2556970070808537</v>
      </c>
      <c r="R360" t="s">
        <v>64</v>
      </c>
      <c r="S360" t="s">
        <v>65</v>
      </c>
      <c r="T360" t="s">
        <v>3204</v>
      </c>
      <c r="V360" t="s">
        <v>119</v>
      </c>
      <c r="X360" t="s">
        <v>3167</v>
      </c>
      <c r="Y360" t="s">
        <v>412</v>
      </c>
      <c r="Z360" t="s">
        <v>2623</v>
      </c>
      <c r="AA360" t="s">
        <v>942</v>
      </c>
      <c r="AB360" t="s">
        <v>41</v>
      </c>
      <c r="AD360" t="s">
        <v>620</v>
      </c>
      <c r="AF360" t="s">
        <v>2667</v>
      </c>
      <c r="AJ360">
        <v>800.63427262929656</v>
      </c>
      <c r="AK360">
        <v>21269.136263753589</v>
      </c>
    </row>
    <row r="361" spans="1:37" x14ac:dyDescent="0.25">
      <c r="A361">
        <v>377</v>
      </c>
      <c r="B361" t="s">
        <v>3208</v>
      </c>
      <c r="C361" t="s">
        <v>376</v>
      </c>
      <c r="D361" t="s">
        <v>2604</v>
      </c>
      <c r="E361" t="s">
        <v>37</v>
      </c>
      <c r="F361" t="s">
        <v>38</v>
      </c>
      <c r="G361" s="2">
        <v>45846</v>
      </c>
      <c r="H361">
        <v>0.3</v>
      </c>
      <c r="I361" t="s">
        <v>72</v>
      </c>
      <c r="J361" t="s">
        <v>40</v>
      </c>
      <c r="K361" t="s">
        <v>41</v>
      </c>
      <c r="L361" t="s">
        <v>2605</v>
      </c>
      <c r="M361" t="s">
        <v>2606</v>
      </c>
      <c r="O361" t="s">
        <v>62</v>
      </c>
      <c r="P361" t="s">
        <v>63</v>
      </c>
      <c r="Q361">
        <v>0.27865999842310268</v>
      </c>
      <c r="R361" t="s">
        <v>64</v>
      </c>
      <c r="S361" t="s">
        <v>65</v>
      </c>
      <c r="T361" t="s">
        <v>3201</v>
      </c>
      <c r="V361" t="s">
        <v>180</v>
      </c>
      <c r="X361" t="s">
        <v>3202</v>
      </c>
      <c r="Y361" t="s">
        <v>412</v>
      </c>
      <c r="Z361" t="s">
        <v>2623</v>
      </c>
      <c r="AA361" t="s">
        <v>858</v>
      </c>
      <c r="AB361" t="s">
        <v>41</v>
      </c>
      <c r="AJ361">
        <v>200.68160841266641</v>
      </c>
      <c r="AK361">
        <v>1127.7015150860559</v>
      </c>
    </row>
    <row r="362" spans="1:37" x14ac:dyDescent="0.25">
      <c r="A362">
        <v>378</v>
      </c>
      <c r="B362" t="s">
        <v>3209</v>
      </c>
      <c r="C362" t="s">
        <v>376</v>
      </c>
      <c r="D362" t="s">
        <v>2604</v>
      </c>
      <c r="E362" t="s">
        <v>37</v>
      </c>
      <c r="F362" t="s">
        <v>38</v>
      </c>
      <c r="G362" s="2">
        <v>45846</v>
      </c>
      <c r="H362">
        <v>0.2</v>
      </c>
      <c r="I362" t="s">
        <v>72</v>
      </c>
      <c r="J362" t="s">
        <v>40</v>
      </c>
      <c r="K362" t="s">
        <v>41</v>
      </c>
      <c r="L362" t="s">
        <v>2605</v>
      </c>
      <c r="M362" t="s">
        <v>2606</v>
      </c>
      <c r="O362" t="s">
        <v>62</v>
      </c>
      <c r="P362" t="s">
        <v>63</v>
      </c>
      <c r="Q362">
        <v>0.21469147634764341</v>
      </c>
      <c r="R362" t="s">
        <v>64</v>
      </c>
      <c r="S362" t="s">
        <v>65</v>
      </c>
      <c r="T362" t="s">
        <v>3201</v>
      </c>
      <c r="V362" t="s">
        <v>180</v>
      </c>
      <c r="X362" t="s">
        <v>3202</v>
      </c>
      <c r="Y362" t="s">
        <v>412</v>
      </c>
      <c r="Z362" t="s">
        <v>2623</v>
      </c>
      <c r="AA362" t="s">
        <v>858</v>
      </c>
      <c r="AB362" t="s">
        <v>41</v>
      </c>
      <c r="AJ362">
        <v>135.69335899088131</v>
      </c>
      <c r="AK362">
        <v>868.82905520474378</v>
      </c>
    </row>
    <row r="363" spans="1:37" x14ac:dyDescent="0.25">
      <c r="A363">
        <v>379</v>
      </c>
      <c r="B363" t="s">
        <v>3210</v>
      </c>
      <c r="C363" t="s">
        <v>376</v>
      </c>
      <c r="D363" t="s">
        <v>2604</v>
      </c>
      <c r="E363" t="s">
        <v>37</v>
      </c>
      <c r="F363" t="s">
        <v>38</v>
      </c>
      <c r="G363" s="2">
        <v>45846</v>
      </c>
      <c r="H363">
        <v>21.6</v>
      </c>
      <c r="I363" t="s">
        <v>72</v>
      </c>
      <c r="J363" t="s">
        <v>40</v>
      </c>
      <c r="K363" t="s">
        <v>41</v>
      </c>
      <c r="L363" t="s">
        <v>2605</v>
      </c>
      <c r="M363" t="s">
        <v>2606</v>
      </c>
      <c r="O363" t="s">
        <v>62</v>
      </c>
      <c r="P363" t="s">
        <v>63</v>
      </c>
      <c r="Q363">
        <v>22.154951976767499</v>
      </c>
      <c r="R363" t="s">
        <v>64</v>
      </c>
      <c r="S363" t="s">
        <v>65</v>
      </c>
      <c r="T363" t="s">
        <v>3211</v>
      </c>
      <c r="V363" t="s">
        <v>119</v>
      </c>
      <c r="X363" t="s">
        <v>3192</v>
      </c>
      <c r="Y363" t="s">
        <v>412</v>
      </c>
      <c r="Z363" t="s">
        <v>2623</v>
      </c>
      <c r="AA363" t="s">
        <v>860</v>
      </c>
      <c r="AB363" t="s">
        <v>41</v>
      </c>
      <c r="AD363" t="s">
        <v>620</v>
      </c>
      <c r="AF363" t="s">
        <v>2667</v>
      </c>
      <c r="AJ363">
        <v>1458.7675152616921</v>
      </c>
      <c r="AK363">
        <v>89658.268327859812</v>
      </c>
    </row>
    <row r="364" spans="1:37" x14ac:dyDescent="0.25">
      <c r="A364">
        <v>380</v>
      </c>
      <c r="B364" t="s">
        <v>3212</v>
      </c>
      <c r="C364" t="s">
        <v>376</v>
      </c>
      <c r="D364" t="s">
        <v>2604</v>
      </c>
      <c r="E364" t="s">
        <v>37</v>
      </c>
      <c r="F364" t="s">
        <v>38</v>
      </c>
      <c r="G364" s="2">
        <v>45846</v>
      </c>
      <c r="H364">
        <v>0.1</v>
      </c>
      <c r="I364" t="s">
        <v>72</v>
      </c>
      <c r="J364" t="s">
        <v>40</v>
      </c>
      <c r="K364" t="s">
        <v>41</v>
      </c>
      <c r="L364" t="s">
        <v>2605</v>
      </c>
      <c r="M364" t="s">
        <v>2606</v>
      </c>
      <c r="O364" t="s">
        <v>62</v>
      </c>
      <c r="P364" t="s">
        <v>63</v>
      </c>
      <c r="Q364">
        <v>9.9648763746970528E-2</v>
      </c>
      <c r="R364" t="s">
        <v>64</v>
      </c>
      <c r="S364" t="s">
        <v>65</v>
      </c>
      <c r="T364" t="s">
        <v>3213</v>
      </c>
      <c r="V364" t="s">
        <v>180</v>
      </c>
      <c r="X364" t="s">
        <v>3214</v>
      </c>
      <c r="Y364" t="s">
        <v>412</v>
      </c>
      <c r="Z364" t="s">
        <v>2623</v>
      </c>
      <c r="AA364" t="s">
        <v>858</v>
      </c>
      <c r="AB364" t="s">
        <v>41</v>
      </c>
      <c r="AJ364">
        <v>82.583544037441797</v>
      </c>
      <c r="AK364">
        <v>403.26585261544528</v>
      </c>
    </row>
    <row r="365" spans="1:37" x14ac:dyDescent="0.25">
      <c r="A365">
        <v>381</v>
      </c>
      <c r="B365" t="s">
        <v>3215</v>
      </c>
      <c r="C365" t="s">
        <v>376</v>
      </c>
      <c r="D365" t="s">
        <v>2604</v>
      </c>
      <c r="E365" t="s">
        <v>37</v>
      </c>
      <c r="F365" t="s">
        <v>38</v>
      </c>
      <c r="G365" s="2">
        <v>45845</v>
      </c>
      <c r="H365">
        <v>0.1</v>
      </c>
      <c r="I365" t="s">
        <v>72</v>
      </c>
      <c r="J365" t="s">
        <v>40</v>
      </c>
      <c r="K365" t="s">
        <v>41</v>
      </c>
      <c r="L365" t="s">
        <v>2605</v>
      </c>
      <c r="M365" t="s">
        <v>2606</v>
      </c>
      <c r="N365" t="s">
        <v>2702</v>
      </c>
      <c r="O365" t="s">
        <v>62</v>
      </c>
      <c r="P365" t="s">
        <v>63</v>
      </c>
      <c r="Q365">
        <v>4.6639883393469958E-2</v>
      </c>
      <c r="R365" t="s">
        <v>64</v>
      </c>
      <c r="S365" t="s">
        <v>65</v>
      </c>
      <c r="T365" t="s">
        <v>2883</v>
      </c>
      <c r="V365" t="s">
        <v>70</v>
      </c>
      <c r="X365" t="s">
        <v>2880</v>
      </c>
      <c r="Y365" t="s">
        <v>412</v>
      </c>
      <c r="Z365" t="s">
        <v>2623</v>
      </c>
      <c r="AA365" t="s">
        <v>942</v>
      </c>
      <c r="AB365" t="s">
        <v>41</v>
      </c>
      <c r="AD365" t="s">
        <v>620</v>
      </c>
      <c r="AF365" t="s">
        <v>2362</v>
      </c>
      <c r="AJ365">
        <v>82.052574052824696</v>
      </c>
      <c r="AK365">
        <v>188.74566663276249</v>
      </c>
    </row>
    <row r="366" spans="1:37" hidden="1" x14ac:dyDescent="0.25">
      <c r="A366">
        <v>376</v>
      </c>
      <c r="B366" t="s">
        <v>3207</v>
      </c>
      <c r="C366" t="s">
        <v>376</v>
      </c>
      <c r="D366" t="s">
        <v>2604</v>
      </c>
      <c r="E366" t="s">
        <v>37</v>
      </c>
      <c r="F366" t="s">
        <v>38</v>
      </c>
      <c r="G366" s="2">
        <v>45845</v>
      </c>
      <c r="H366">
        <v>0.2</v>
      </c>
      <c r="I366" t="s">
        <v>72</v>
      </c>
      <c r="J366" t="s">
        <v>40</v>
      </c>
      <c r="K366" t="s">
        <v>41</v>
      </c>
      <c r="L366" t="s">
        <v>2605</v>
      </c>
      <c r="M366" t="s">
        <v>2606</v>
      </c>
      <c r="N366" t="s">
        <v>2702</v>
      </c>
      <c r="O366" t="s">
        <v>79</v>
      </c>
      <c r="P366" t="s">
        <v>80</v>
      </c>
      <c r="Q366">
        <v>0.11491928392338251</v>
      </c>
      <c r="R366" t="s">
        <v>60</v>
      </c>
      <c r="S366" t="s">
        <v>66</v>
      </c>
      <c r="T366" t="s">
        <v>2883</v>
      </c>
      <c r="V366" t="s">
        <v>70</v>
      </c>
      <c r="X366" t="s">
        <v>2880</v>
      </c>
      <c r="Y366" t="s">
        <v>412</v>
      </c>
      <c r="Z366" t="s">
        <v>2623</v>
      </c>
      <c r="AA366" t="s">
        <v>942</v>
      </c>
      <c r="AB366" t="s">
        <v>41</v>
      </c>
      <c r="AD366" t="s">
        <v>620</v>
      </c>
      <c r="AF366" t="s">
        <v>3119</v>
      </c>
      <c r="AJ366">
        <v>94.778387943228239</v>
      </c>
      <c r="AK366">
        <v>465.06370245589892</v>
      </c>
    </row>
    <row r="367" spans="1:37" x14ac:dyDescent="0.25">
      <c r="A367">
        <v>382</v>
      </c>
      <c r="B367" t="s">
        <v>3216</v>
      </c>
      <c r="C367" t="s">
        <v>376</v>
      </c>
      <c r="D367" t="s">
        <v>2604</v>
      </c>
      <c r="E367" t="s">
        <v>37</v>
      </c>
      <c r="F367" t="s">
        <v>38</v>
      </c>
      <c r="G367" s="2">
        <v>45845</v>
      </c>
      <c r="H367">
        <v>0.2</v>
      </c>
      <c r="I367" t="s">
        <v>72</v>
      </c>
      <c r="J367" t="s">
        <v>40</v>
      </c>
      <c r="K367" t="s">
        <v>41</v>
      </c>
      <c r="L367" t="s">
        <v>2605</v>
      </c>
      <c r="M367" t="s">
        <v>2606</v>
      </c>
      <c r="N367" t="s">
        <v>2702</v>
      </c>
      <c r="O367" t="s">
        <v>62</v>
      </c>
      <c r="P367" t="s">
        <v>63</v>
      </c>
      <c r="Q367">
        <v>0.1110511674575566</v>
      </c>
      <c r="R367" t="s">
        <v>64</v>
      </c>
      <c r="S367" t="s">
        <v>65</v>
      </c>
      <c r="T367" t="s">
        <v>2883</v>
      </c>
      <c r="V367" t="s">
        <v>70</v>
      </c>
      <c r="X367" t="s">
        <v>2880</v>
      </c>
      <c r="Y367" t="s">
        <v>412</v>
      </c>
      <c r="Z367" t="s">
        <v>2623</v>
      </c>
      <c r="AA367" t="s">
        <v>942</v>
      </c>
      <c r="AB367" t="s">
        <v>41</v>
      </c>
      <c r="AD367" t="s">
        <v>620</v>
      </c>
      <c r="AF367" t="s">
        <v>2362</v>
      </c>
      <c r="AJ367">
        <v>110.2985478544786</v>
      </c>
      <c r="AK367">
        <v>449.40992787854452</v>
      </c>
    </row>
    <row r="368" spans="1:37" x14ac:dyDescent="0.25">
      <c r="A368">
        <v>383</v>
      </c>
      <c r="B368" t="s">
        <v>3217</v>
      </c>
      <c r="C368" t="s">
        <v>376</v>
      </c>
      <c r="D368" t="s">
        <v>2604</v>
      </c>
      <c r="E368" t="s">
        <v>37</v>
      </c>
      <c r="F368" t="s">
        <v>38</v>
      </c>
      <c r="G368" s="2">
        <v>45845</v>
      </c>
      <c r="H368">
        <v>0.1</v>
      </c>
      <c r="I368" t="s">
        <v>72</v>
      </c>
      <c r="J368" t="s">
        <v>40</v>
      </c>
      <c r="K368" t="s">
        <v>41</v>
      </c>
      <c r="L368" t="s">
        <v>2605</v>
      </c>
      <c r="M368" t="s">
        <v>2606</v>
      </c>
      <c r="O368" t="s">
        <v>62</v>
      </c>
      <c r="P368" t="s">
        <v>63</v>
      </c>
      <c r="Q368">
        <v>5.6543222272145262E-2</v>
      </c>
      <c r="R368" t="s">
        <v>64</v>
      </c>
      <c r="S368" t="s">
        <v>65</v>
      </c>
      <c r="T368" t="s">
        <v>3218</v>
      </c>
      <c r="V368" t="s">
        <v>70</v>
      </c>
      <c r="X368" t="s">
        <v>3219</v>
      </c>
      <c r="Y368" t="s">
        <v>412</v>
      </c>
      <c r="Z368" t="s">
        <v>2623</v>
      </c>
      <c r="AA368" t="s">
        <v>452</v>
      </c>
      <c r="AB368" t="s">
        <v>41</v>
      </c>
      <c r="AJ368">
        <v>72.15739788705514</v>
      </c>
      <c r="AK368">
        <v>228.82321748717641</v>
      </c>
    </row>
    <row r="369" spans="1:37" x14ac:dyDescent="0.25">
      <c r="A369">
        <v>385</v>
      </c>
      <c r="B369" t="s">
        <v>3221</v>
      </c>
      <c r="C369" t="s">
        <v>376</v>
      </c>
      <c r="D369" t="s">
        <v>2604</v>
      </c>
      <c r="E369" t="s">
        <v>37</v>
      </c>
      <c r="F369" t="s">
        <v>38</v>
      </c>
      <c r="G369" s="2">
        <v>45846</v>
      </c>
      <c r="H369">
        <v>0.1</v>
      </c>
      <c r="I369" t="s">
        <v>72</v>
      </c>
      <c r="J369" t="s">
        <v>40</v>
      </c>
      <c r="K369" t="s">
        <v>41</v>
      </c>
      <c r="L369" t="s">
        <v>2605</v>
      </c>
      <c r="M369" t="s">
        <v>2606</v>
      </c>
      <c r="O369" t="s">
        <v>62</v>
      </c>
      <c r="P369" t="s">
        <v>63</v>
      </c>
      <c r="Q369">
        <v>4.4044839662185427E-2</v>
      </c>
      <c r="R369" t="s">
        <v>64</v>
      </c>
      <c r="S369" t="s">
        <v>65</v>
      </c>
      <c r="T369" t="s">
        <v>3213</v>
      </c>
      <c r="V369" t="s">
        <v>180</v>
      </c>
      <c r="X369" t="s">
        <v>3214</v>
      </c>
      <c r="Y369" t="s">
        <v>412</v>
      </c>
      <c r="Z369" t="s">
        <v>2623</v>
      </c>
      <c r="AA369" t="s">
        <v>858</v>
      </c>
      <c r="AB369" t="s">
        <v>41</v>
      </c>
      <c r="AJ369">
        <v>56.130029000549321</v>
      </c>
      <c r="AK369">
        <v>178.24385523520129</v>
      </c>
    </row>
    <row r="370" spans="1:37" x14ac:dyDescent="0.25">
      <c r="A370">
        <v>386</v>
      </c>
      <c r="B370" t="s">
        <v>3222</v>
      </c>
      <c r="C370" t="s">
        <v>376</v>
      </c>
      <c r="D370" t="s">
        <v>2604</v>
      </c>
      <c r="E370" t="s">
        <v>37</v>
      </c>
      <c r="F370" t="s">
        <v>38</v>
      </c>
      <c r="G370" s="2">
        <v>45845</v>
      </c>
      <c r="H370">
        <v>0.1</v>
      </c>
      <c r="I370" t="s">
        <v>72</v>
      </c>
      <c r="J370" t="s">
        <v>40</v>
      </c>
      <c r="K370" t="s">
        <v>41</v>
      </c>
      <c r="L370" t="s">
        <v>2605</v>
      </c>
      <c r="M370" t="s">
        <v>2606</v>
      </c>
      <c r="O370" t="s">
        <v>62</v>
      </c>
      <c r="P370" t="s">
        <v>63</v>
      </c>
      <c r="Q370">
        <v>7.3011297682593415E-2</v>
      </c>
      <c r="R370" t="s">
        <v>64</v>
      </c>
      <c r="S370" t="s">
        <v>65</v>
      </c>
      <c r="T370" t="s">
        <v>3218</v>
      </c>
      <c r="V370" t="s">
        <v>70</v>
      </c>
      <c r="X370" t="s">
        <v>3219</v>
      </c>
      <c r="Y370" t="s">
        <v>412</v>
      </c>
      <c r="Z370" t="s">
        <v>2623</v>
      </c>
      <c r="AA370" t="s">
        <v>452</v>
      </c>
      <c r="AB370" t="s">
        <v>41</v>
      </c>
      <c r="AJ370">
        <v>72.172063552303939</v>
      </c>
      <c r="AK370">
        <v>295.46742080306268</v>
      </c>
    </row>
    <row r="371" spans="1:37" x14ac:dyDescent="0.25">
      <c r="A371">
        <v>388</v>
      </c>
      <c r="B371" t="s">
        <v>3224</v>
      </c>
      <c r="C371" t="s">
        <v>376</v>
      </c>
      <c r="D371" t="s">
        <v>2604</v>
      </c>
      <c r="E371" t="s">
        <v>37</v>
      </c>
      <c r="F371" t="s">
        <v>38</v>
      </c>
      <c r="G371" s="2">
        <v>45845</v>
      </c>
      <c r="H371">
        <v>3</v>
      </c>
      <c r="I371" t="s">
        <v>72</v>
      </c>
      <c r="J371" t="s">
        <v>40</v>
      </c>
      <c r="K371" t="s">
        <v>41</v>
      </c>
      <c r="L371" t="s">
        <v>2605</v>
      </c>
      <c r="M371" t="s">
        <v>2606</v>
      </c>
      <c r="N371" t="s">
        <v>2702</v>
      </c>
      <c r="O371" t="s">
        <v>62</v>
      </c>
      <c r="P371" t="s">
        <v>63</v>
      </c>
      <c r="Q371">
        <v>3.2022665407169639</v>
      </c>
      <c r="R371" t="s">
        <v>64</v>
      </c>
      <c r="S371" t="s">
        <v>65</v>
      </c>
      <c r="T371" t="s">
        <v>2883</v>
      </c>
      <c r="V371" t="s">
        <v>70</v>
      </c>
      <c r="X371" t="s">
        <v>2880</v>
      </c>
      <c r="Y371" t="s">
        <v>412</v>
      </c>
      <c r="Z371" t="s">
        <v>2623</v>
      </c>
      <c r="AA371" t="s">
        <v>942</v>
      </c>
      <c r="AB371" t="s">
        <v>41</v>
      </c>
      <c r="AD371" t="s">
        <v>620</v>
      </c>
      <c r="AF371" t="s">
        <v>2667</v>
      </c>
      <c r="AJ371">
        <v>469.88729884764808</v>
      </c>
      <c r="AK371">
        <v>12959.16475314425</v>
      </c>
    </row>
    <row r="372" spans="1:37" x14ac:dyDescent="0.25">
      <c r="A372">
        <v>389</v>
      </c>
      <c r="B372" t="s">
        <v>3225</v>
      </c>
      <c r="C372" t="s">
        <v>376</v>
      </c>
      <c r="D372" t="s">
        <v>2604</v>
      </c>
      <c r="E372" t="s">
        <v>37</v>
      </c>
      <c r="F372" t="s">
        <v>38</v>
      </c>
      <c r="G372" s="2">
        <v>45846</v>
      </c>
      <c r="H372">
        <v>1.2</v>
      </c>
      <c r="I372" t="s">
        <v>72</v>
      </c>
      <c r="J372" t="s">
        <v>40</v>
      </c>
      <c r="K372" t="s">
        <v>41</v>
      </c>
      <c r="L372" t="s">
        <v>2605</v>
      </c>
      <c r="M372" t="s">
        <v>2606</v>
      </c>
      <c r="N372" t="s">
        <v>2702</v>
      </c>
      <c r="O372" t="s">
        <v>62</v>
      </c>
      <c r="P372" t="s">
        <v>63</v>
      </c>
      <c r="Q372">
        <v>1.157422196439726</v>
      </c>
      <c r="R372" t="s">
        <v>64</v>
      </c>
      <c r="S372" t="s">
        <v>65</v>
      </c>
      <c r="T372" t="s">
        <v>2883</v>
      </c>
      <c r="V372" t="s">
        <v>119</v>
      </c>
      <c r="X372" t="s">
        <v>3226</v>
      </c>
      <c r="Y372" t="s">
        <v>412</v>
      </c>
      <c r="Z372" t="s">
        <v>2623</v>
      </c>
      <c r="AA372" t="s">
        <v>452</v>
      </c>
      <c r="AB372" t="s">
        <v>41</v>
      </c>
      <c r="AD372" t="s">
        <v>620</v>
      </c>
      <c r="AF372" t="s">
        <v>3227</v>
      </c>
      <c r="AJ372">
        <v>291.83231915528398</v>
      </c>
      <c r="AK372">
        <v>4683.9401848324214</v>
      </c>
    </row>
    <row r="373" spans="1:37" x14ac:dyDescent="0.25">
      <c r="A373">
        <v>392</v>
      </c>
      <c r="B373" t="s">
        <v>3231</v>
      </c>
      <c r="C373" t="s">
        <v>376</v>
      </c>
      <c r="D373" t="s">
        <v>2604</v>
      </c>
      <c r="E373" t="s">
        <v>37</v>
      </c>
      <c r="F373" t="s">
        <v>38</v>
      </c>
      <c r="G373" s="2">
        <v>45846</v>
      </c>
      <c r="H373">
        <v>1.7</v>
      </c>
      <c r="I373" t="s">
        <v>72</v>
      </c>
      <c r="J373" t="s">
        <v>40</v>
      </c>
      <c r="K373" t="s">
        <v>41</v>
      </c>
      <c r="L373" t="s">
        <v>2605</v>
      </c>
      <c r="M373" t="s">
        <v>2606</v>
      </c>
      <c r="N373" t="s">
        <v>2702</v>
      </c>
      <c r="O373" t="s">
        <v>62</v>
      </c>
      <c r="P373" t="s">
        <v>63</v>
      </c>
      <c r="Q373">
        <v>1.388632512170874</v>
      </c>
      <c r="R373" t="s">
        <v>64</v>
      </c>
      <c r="S373" t="s">
        <v>65</v>
      </c>
      <c r="T373" t="s">
        <v>2883</v>
      </c>
      <c r="V373" t="s">
        <v>860</v>
      </c>
      <c r="X373" t="s">
        <v>3226</v>
      </c>
      <c r="Y373" t="s">
        <v>412</v>
      </c>
      <c r="Z373" t="s">
        <v>2623</v>
      </c>
      <c r="AA373" t="s">
        <v>942</v>
      </c>
      <c r="AB373" t="s">
        <v>41</v>
      </c>
      <c r="AD373" t="s">
        <v>620</v>
      </c>
      <c r="AF373" t="s">
        <v>3232</v>
      </c>
      <c r="AJ373">
        <v>321.64890858193291</v>
      </c>
      <c r="AK373">
        <v>5619.6188786851853</v>
      </c>
    </row>
    <row r="374" spans="1:37" hidden="1" x14ac:dyDescent="0.25">
      <c r="A374">
        <v>384</v>
      </c>
      <c r="B374" t="s">
        <v>3220</v>
      </c>
      <c r="C374" t="s">
        <v>376</v>
      </c>
      <c r="D374" t="s">
        <v>2604</v>
      </c>
      <c r="E374" t="s">
        <v>37</v>
      </c>
      <c r="F374" t="s">
        <v>38</v>
      </c>
      <c r="G374" s="2">
        <v>45845</v>
      </c>
      <c r="H374">
        <v>5.2</v>
      </c>
      <c r="I374" t="s">
        <v>72</v>
      </c>
      <c r="J374" t="s">
        <v>40</v>
      </c>
      <c r="K374" t="s">
        <v>41</v>
      </c>
      <c r="L374" t="s">
        <v>2605</v>
      </c>
      <c r="M374" t="s">
        <v>2606</v>
      </c>
      <c r="N374" t="s">
        <v>2702</v>
      </c>
      <c r="O374" t="s">
        <v>79</v>
      </c>
      <c r="P374" t="s">
        <v>80</v>
      </c>
      <c r="Q374">
        <v>5.3003148711658143</v>
      </c>
      <c r="R374" t="s">
        <v>46</v>
      </c>
      <c r="S374" t="s">
        <v>47</v>
      </c>
      <c r="T374" t="s">
        <v>2883</v>
      </c>
      <c r="V374" t="s">
        <v>70</v>
      </c>
      <c r="X374" t="s">
        <v>2880</v>
      </c>
      <c r="Y374" t="s">
        <v>412</v>
      </c>
      <c r="Z374" t="s">
        <v>2623</v>
      </c>
      <c r="AA374" t="s">
        <v>942</v>
      </c>
      <c r="AB374" t="s">
        <v>41</v>
      </c>
      <c r="AD374" t="s">
        <v>620</v>
      </c>
      <c r="AF374" t="s">
        <v>2667</v>
      </c>
      <c r="AJ374">
        <v>588.49264232554663</v>
      </c>
      <c r="AK374">
        <v>21449.699075830111</v>
      </c>
    </row>
    <row r="375" spans="1:37" x14ac:dyDescent="0.25">
      <c r="A375">
        <v>395</v>
      </c>
      <c r="B375" t="s">
        <v>3235</v>
      </c>
      <c r="C375" t="s">
        <v>376</v>
      </c>
      <c r="D375" t="s">
        <v>2604</v>
      </c>
      <c r="E375" t="s">
        <v>37</v>
      </c>
      <c r="F375" t="s">
        <v>38</v>
      </c>
      <c r="G375" s="2">
        <v>45846</v>
      </c>
      <c r="H375">
        <v>0.9</v>
      </c>
      <c r="I375" t="s">
        <v>72</v>
      </c>
      <c r="J375" t="s">
        <v>40</v>
      </c>
      <c r="K375" t="s">
        <v>41</v>
      </c>
      <c r="L375" t="s">
        <v>2605</v>
      </c>
      <c r="M375" t="s">
        <v>2606</v>
      </c>
      <c r="N375" t="s">
        <v>2702</v>
      </c>
      <c r="O375" t="s">
        <v>62</v>
      </c>
      <c r="P375" t="s">
        <v>63</v>
      </c>
      <c r="Q375">
        <v>1.129935693970473</v>
      </c>
      <c r="R375" t="s">
        <v>64</v>
      </c>
      <c r="S375" t="s">
        <v>65</v>
      </c>
      <c r="T375" t="s">
        <v>2883</v>
      </c>
      <c r="V375" t="s">
        <v>3236</v>
      </c>
      <c r="X375" t="s">
        <v>3226</v>
      </c>
      <c r="Y375" t="s">
        <v>412</v>
      </c>
      <c r="Z375" t="s">
        <v>2623</v>
      </c>
      <c r="AA375" t="s">
        <v>942</v>
      </c>
      <c r="AB375" t="s">
        <v>41</v>
      </c>
      <c r="AD375" t="s">
        <v>620</v>
      </c>
      <c r="AF375" t="s">
        <v>1198</v>
      </c>
      <c r="AJ375">
        <v>381.25475665272688</v>
      </c>
      <c r="AK375">
        <v>4572.7058108483634</v>
      </c>
    </row>
    <row r="376" spans="1:37" x14ac:dyDescent="0.25">
      <c r="A376">
        <v>396</v>
      </c>
      <c r="B376" t="s">
        <v>3237</v>
      </c>
      <c r="C376" t="s">
        <v>376</v>
      </c>
      <c r="D376" t="s">
        <v>2604</v>
      </c>
      <c r="E376" t="s">
        <v>37</v>
      </c>
      <c r="F376" t="s">
        <v>38</v>
      </c>
      <c r="G376" s="2">
        <v>45845</v>
      </c>
      <c r="H376">
        <v>0.2</v>
      </c>
      <c r="I376" t="s">
        <v>72</v>
      </c>
      <c r="J376" t="s">
        <v>40</v>
      </c>
      <c r="K376" t="s">
        <v>41</v>
      </c>
      <c r="L376" t="s">
        <v>2605</v>
      </c>
      <c r="M376" t="s">
        <v>2606</v>
      </c>
      <c r="N376" t="s">
        <v>2702</v>
      </c>
      <c r="O376" t="s">
        <v>62</v>
      </c>
      <c r="P376" t="s">
        <v>63</v>
      </c>
      <c r="Q376">
        <v>0.2154452483135206</v>
      </c>
      <c r="R376" t="s">
        <v>64</v>
      </c>
      <c r="S376" t="s">
        <v>65</v>
      </c>
      <c r="T376" t="s">
        <v>2883</v>
      </c>
      <c r="V376" t="s">
        <v>860</v>
      </c>
      <c r="X376" t="s">
        <v>3226</v>
      </c>
      <c r="Y376" t="s">
        <v>412</v>
      </c>
      <c r="Z376" t="s">
        <v>2623</v>
      </c>
      <c r="AA376" t="s">
        <v>942</v>
      </c>
      <c r="AB376" t="s">
        <v>41</v>
      </c>
      <c r="AD376" t="s">
        <v>620</v>
      </c>
      <c r="AF376" t="s">
        <v>1246</v>
      </c>
      <c r="AJ376">
        <v>147.31571809355609</v>
      </c>
      <c r="AK376">
        <v>871.87947432754322</v>
      </c>
    </row>
    <row r="377" spans="1:37" x14ac:dyDescent="0.25">
      <c r="A377">
        <v>398</v>
      </c>
      <c r="B377" t="s">
        <v>3240</v>
      </c>
      <c r="C377" t="s">
        <v>376</v>
      </c>
      <c r="D377" t="s">
        <v>2604</v>
      </c>
      <c r="E377" t="s">
        <v>37</v>
      </c>
      <c r="F377" t="s">
        <v>38</v>
      </c>
      <c r="G377" s="2">
        <v>45846</v>
      </c>
      <c r="H377">
        <v>1.9</v>
      </c>
      <c r="I377" t="s">
        <v>72</v>
      </c>
      <c r="J377" t="s">
        <v>40</v>
      </c>
      <c r="K377" t="s">
        <v>41</v>
      </c>
      <c r="L377" t="s">
        <v>2605</v>
      </c>
      <c r="M377" t="s">
        <v>2606</v>
      </c>
      <c r="O377" t="s">
        <v>62</v>
      </c>
      <c r="P377" t="s">
        <v>63</v>
      </c>
      <c r="Q377">
        <v>1.9213507207973901</v>
      </c>
      <c r="R377" t="s">
        <v>64</v>
      </c>
      <c r="S377" t="s">
        <v>65</v>
      </c>
      <c r="T377" t="s">
        <v>3241</v>
      </c>
      <c r="V377" t="s">
        <v>860</v>
      </c>
      <c r="X377" t="s">
        <v>3242</v>
      </c>
      <c r="Y377" t="s">
        <v>412</v>
      </c>
      <c r="Z377" t="s">
        <v>2623</v>
      </c>
      <c r="AA377" t="s">
        <v>942</v>
      </c>
      <c r="AB377" t="s">
        <v>41</v>
      </c>
      <c r="AD377" t="s">
        <v>1382</v>
      </c>
      <c r="AF377" t="s">
        <v>3243</v>
      </c>
      <c r="AJ377">
        <v>512.89805541673286</v>
      </c>
      <c r="AK377">
        <v>7775.4616059571081</v>
      </c>
    </row>
    <row r="378" spans="1:37" x14ac:dyDescent="0.25">
      <c r="A378">
        <v>399</v>
      </c>
      <c r="B378" t="s">
        <v>3244</v>
      </c>
      <c r="C378" t="s">
        <v>376</v>
      </c>
      <c r="D378" t="s">
        <v>2604</v>
      </c>
      <c r="E378" t="s">
        <v>37</v>
      </c>
      <c r="F378" t="s">
        <v>38</v>
      </c>
      <c r="G378" s="2">
        <v>45846</v>
      </c>
      <c r="H378">
        <v>3.2</v>
      </c>
      <c r="I378" t="s">
        <v>72</v>
      </c>
      <c r="J378" t="s">
        <v>40</v>
      </c>
      <c r="K378" t="s">
        <v>41</v>
      </c>
      <c r="L378" t="s">
        <v>2605</v>
      </c>
      <c r="M378" t="s">
        <v>2606</v>
      </c>
      <c r="O378" t="s">
        <v>62</v>
      </c>
      <c r="P378" t="s">
        <v>63</v>
      </c>
      <c r="Q378">
        <v>4.2642857866191921</v>
      </c>
      <c r="R378" t="s">
        <v>60</v>
      </c>
      <c r="S378" t="s">
        <v>66</v>
      </c>
      <c r="T378" t="s">
        <v>3191</v>
      </c>
      <c r="V378" t="s">
        <v>119</v>
      </c>
      <c r="X378" t="s">
        <v>3192</v>
      </c>
      <c r="Y378" t="s">
        <v>412</v>
      </c>
      <c r="Z378" t="s">
        <v>2623</v>
      </c>
      <c r="AA378" t="s">
        <v>860</v>
      </c>
      <c r="AB378" t="s">
        <v>41</v>
      </c>
      <c r="AD378" t="s">
        <v>620</v>
      </c>
      <c r="AF378" t="s">
        <v>1123</v>
      </c>
      <c r="AJ378">
        <v>752.42894029630338</v>
      </c>
      <c r="AK378">
        <v>17257.021350545288</v>
      </c>
    </row>
    <row r="379" spans="1:37" hidden="1" x14ac:dyDescent="0.25">
      <c r="A379">
        <v>390</v>
      </c>
      <c r="B379" t="s">
        <v>3228</v>
      </c>
      <c r="C379" t="s">
        <v>376</v>
      </c>
      <c r="D379" t="s">
        <v>2604</v>
      </c>
      <c r="E379" t="s">
        <v>37</v>
      </c>
      <c r="F379" t="s">
        <v>38</v>
      </c>
      <c r="G379" s="2">
        <v>45845</v>
      </c>
      <c r="H379">
        <v>0.7</v>
      </c>
      <c r="I379" t="s">
        <v>72</v>
      </c>
      <c r="J379" t="s">
        <v>40</v>
      </c>
      <c r="K379" t="s">
        <v>41</v>
      </c>
      <c r="L379" t="s">
        <v>2605</v>
      </c>
      <c r="M379" t="s">
        <v>2606</v>
      </c>
      <c r="N379" t="s">
        <v>2702</v>
      </c>
      <c r="O379" t="s">
        <v>113</v>
      </c>
      <c r="P379" t="s">
        <v>114</v>
      </c>
      <c r="Q379">
        <v>0.6448133138354647</v>
      </c>
      <c r="R379" t="s">
        <v>46</v>
      </c>
      <c r="S379" t="s">
        <v>47</v>
      </c>
      <c r="T379" t="s">
        <v>2883</v>
      </c>
      <c r="V379" t="s">
        <v>119</v>
      </c>
      <c r="X379" t="s">
        <v>3226</v>
      </c>
      <c r="Y379" t="s">
        <v>412</v>
      </c>
      <c r="Z379" t="s">
        <v>2623</v>
      </c>
      <c r="AA379" t="s">
        <v>942</v>
      </c>
      <c r="AB379" t="s">
        <v>41</v>
      </c>
      <c r="AD379" t="s">
        <v>620</v>
      </c>
      <c r="AF379" t="s">
        <v>2373</v>
      </c>
      <c r="AJ379">
        <v>227.47504544028831</v>
      </c>
      <c r="AK379">
        <v>2609.4773382429921</v>
      </c>
    </row>
    <row r="380" spans="1:37" x14ac:dyDescent="0.25">
      <c r="A380">
        <v>400</v>
      </c>
      <c r="B380" t="s">
        <v>3245</v>
      </c>
      <c r="C380" t="s">
        <v>376</v>
      </c>
      <c r="D380" t="s">
        <v>2604</v>
      </c>
      <c r="E380" t="s">
        <v>37</v>
      </c>
      <c r="F380" t="s">
        <v>38</v>
      </c>
      <c r="G380" s="2">
        <v>45846</v>
      </c>
      <c r="H380">
        <v>9.6</v>
      </c>
      <c r="I380" t="s">
        <v>72</v>
      </c>
      <c r="J380" t="s">
        <v>40</v>
      </c>
      <c r="K380" t="s">
        <v>41</v>
      </c>
      <c r="L380" t="s">
        <v>2605</v>
      </c>
      <c r="M380" t="s">
        <v>2606</v>
      </c>
      <c r="O380" t="s">
        <v>62</v>
      </c>
      <c r="P380" t="s">
        <v>63</v>
      </c>
      <c r="Q380">
        <v>9.8339987104385127</v>
      </c>
      <c r="R380" t="s">
        <v>64</v>
      </c>
      <c r="S380" t="s">
        <v>65</v>
      </c>
      <c r="T380" t="s">
        <v>3191</v>
      </c>
      <c r="V380" t="s">
        <v>119</v>
      </c>
      <c r="X380" t="s">
        <v>3192</v>
      </c>
      <c r="Y380" t="s">
        <v>412</v>
      </c>
      <c r="Z380" t="s">
        <v>2623</v>
      </c>
      <c r="AA380" t="s">
        <v>860</v>
      </c>
      <c r="AB380" t="s">
        <v>41</v>
      </c>
      <c r="AD380" t="s">
        <v>620</v>
      </c>
      <c r="AF380" t="s">
        <v>1123</v>
      </c>
      <c r="AJ380">
        <v>879.99673809475848</v>
      </c>
      <c r="AK380">
        <v>39796.940026812328</v>
      </c>
    </row>
    <row r="381" spans="1:37" hidden="1" x14ac:dyDescent="0.25">
      <c r="A381">
        <v>393</v>
      </c>
      <c r="B381" t="s">
        <v>3233</v>
      </c>
      <c r="C381" t="s">
        <v>376</v>
      </c>
      <c r="D381" t="s">
        <v>2604</v>
      </c>
      <c r="E381" t="s">
        <v>37</v>
      </c>
      <c r="F381" t="s">
        <v>38</v>
      </c>
      <c r="G381" s="2">
        <v>45846</v>
      </c>
      <c r="H381">
        <v>0.5</v>
      </c>
      <c r="I381" t="s">
        <v>72</v>
      </c>
      <c r="J381" t="s">
        <v>40</v>
      </c>
      <c r="K381" t="s">
        <v>41</v>
      </c>
      <c r="L381" t="s">
        <v>2605</v>
      </c>
      <c r="M381" t="s">
        <v>2606</v>
      </c>
      <c r="N381" t="s">
        <v>2702</v>
      </c>
      <c r="O381" t="s">
        <v>96</v>
      </c>
      <c r="P381" t="s">
        <v>97</v>
      </c>
      <c r="Q381">
        <v>0.50585645365645959</v>
      </c>
      <c r="R381" t="s">
        <v>60</v>
      </c>
      <c r="S381" t="s">
        <v>66</v>
      </c>
      <c r="T381" t="s">
        <v>2883</v>
      </c>
      <c r="V381" t="s">
        <v>860</v>
      </c>
      <c r="X381" t="s">
        <v>3226</v>
      </c>
      <c r="Y381" t="s">
        <v>412</v>
      </c>
      <c r="Z381" t="s">
        <v>2623</v>
      </c>
      <c r="AA381" t="s">
        <v>942</v>
      </c>
      <c r="AB381" t="s">
        <v>41</v>
      </c>
      <c r="AD381" t="s">
        <v>620</v>
      </c>
      <c r="AF381" t="s">
        <v>3232</v>
      </c>
      <c r="AJ381">
        <v>377.98219275351471</v>
      </c>
      <c r="AK381">
        <v>2047.13662683045</v>
      </c>
    </row>
    <row r="382" spans="1:37" hidden="1" x14ac:dyDescent="0.25">
      <c r="A382">
        <v>394</v>
      </c>
      <c r="B382" t="s">
        <v>3234</v>
      </c>
      <c r="C382" t="s">
        <v>376</v>
      </c>
      <c r="D382" t="s">
        <v>2604</v>
      </c>
      <c r="E382" t="s">
        <v>37</v>
      </c>
      <c r="F382" t="s">
        <v>38</v>
      </c>
      <c r="G382" s="2">
        <v>45846</v>
      </c>
      <c r="H382">
        <v>1.3</v>
      </c>
      <c r="I382" t="s">
        <v>72</v>
      </c>
      <c r="J382" t="s">
        <v>40</v>
      </c>
      <c r="K382" t="s">
        <v>41</v>
      </c>
      <c r="L382" t="s">
        <v>2605</v>
      </c>
      <c r="M382" t="s">
        <v>2606</v>
      </c>
      <c r="N382" t="s">
        <v>2702</v>
      </c>
      <c r="O382" t="s">
        <v>96</v>
      </c>
      <c r="P382" t="s">
        <v>97</v>
      </c>
      <c r="Q382">
        <v>1.30769401245595</v>
      </c>
      <c r="R382" t="s">
        <v>60</v>
      </c>
      <c r="S382" t="s">
        <v>66</v>
      </c>
      <c r="T382" t="s">
        <v>2883</v>
      </c>
      <c r="V382" t="s">
        <v>860</v>
      </c>
      <c r="X382" t="s">
        <v>3226</v>
      </c>
      <c r="Y382" t="s">
        <v>412</v>
      </c>
      <c r="Z382" t="s">
        <v>2623</v>
      </c>
      <c r="AA382" t="s">
        <v>942</v>
      </c>
      <c r="AB382" t="s">
        <v>41</v>
      </c>
      <c r="AD382" t="s">
        <v>620</v>
      </c>
      <c r="AF382" t="s">
        <v>3232</v>
      </c>
      <c r="AJ382">
        <v>448.51729198219169</v>
      </c>
      <c r="AK382">
        <v>5292.0710811045419</v>
      </c>
    </row>
    <row r="383" spans="1:37" x14ac:dyDescent="0.25">
      <c r="A383">
        <v>402</v>
      </c>
      <c r="B383" t="s">
        <v>3247</v>
      </c>
      <c r="C383" t="s">
        <v>376</v>
      </c>
      <c r="D383" t="s">
        <v>2604</v>
      </c>
      <c r="E383" t="s">
        <v>37</v>
      </c>
      <c r="F383" t="s">
        <v>38</v>
      </c>
      <c r="G383" s="2">
        <v>45846</v>
      </c>
      <c r="H383">
        <v>0.8</v>
      </c>
      <c r="I383" t="s">
        <v>72</v>
      </c>
      <c r="J383" t="s">
        <v>40</v>
      </c>
      <c r="K383" t="s">
        <v>41</v>
      </c>
      <c r="L383" t="s">
        <v>2605</v>
      </c>
      <c r="M383" t="s">
        <v>2606</v>
      </c>
      <c r="O383" t="s">
        <v>62</v>
      </c>
      <c r="P383" t="s">
        <v>63</v>
      </c>
      <c r="Q383">
        <v>0.90047077971906375</v>
      </c>
      <c r="R383" t="s">
        <v>64</v>
      </c>
      <c r="S383" t="s">
        <v>65</v>
      </c>
      <c r="T383" t="s">
        <v>3241</v>
      </c>
      <c r="V383" t="s">
        <v>860</v>
      </c>
      <c r="X383" t="s">
        <v>3242</v>
      </c>
      <c r="Y383" t="s">
        <v>412</v>
      </c>
      <c r="Z383" t="s">
        <v>2623</v>
      </c>
      <c r="AA383" t="s">
        <v>942</v>
      </c>
      <c r="AB383" t="s">
        <v>41</v>
      </c>
      <c r="AD383" t="s">
        <v>1382</v>
      </c>
      <c r="AF383" t="s">
        <v>3243</v>
      </c>
      <c r="AJ383">
        <v>305.79347833372913</v>
      </c>
      <c r="AK383">
        <v>3644.0905344371899</v>
      </c>
    </row>
    <row r="384" spans="1:37" x14ac:dyDescent="0.25">
      <c r="A384">
        <v>403</v>
      </c>
      <c r="B384" t="s">
        <v>3248</v>
      </c>
      <c r="C384" t="s">
        <v>376</v>
      </c>
      <c r="D384" t="s">
        <v>2604</v>
      </c>
      <c r="E384" t="s">
        <v>37</v>
      </c>
      <c r="F384" t="s">
        <v>38</v>
      </c>
      <c r="G384" s="2">
        <v>45846</v>
      </c>
      <c r="H384">
        <v>0.3</v>
      </c>
      <c r="I384" t="s">
        <v>72</v>
      </c>
      <c r="J384" t="s">
        <v>40</v>
      </c>
      <c r="K384" t="s">
        <v>41</v>
      </c>
      <c r="L384" t="s">
        <v>2605</v>
      </c>
      <c r="M384" t="s">
        <v>2606</v>
      </c>
      <c r="N384" t="s">
        <v>2702</v>
      </c>
      <c r="O384" t="s">
        <v>62</v>
      </c>
      <c r="P384" t="s">
        <v>63</v>
      </c>
      <c r="Q384">
        <v>0.27080431433189373</v>
      </c>
      <c r="R384" t="s">
        <v>64</v>
      </c>
      <c r="S384" t="s">
        <v>65</v>
      </c>
      <c r="T384" t="s">
        <v>2883</v>
      </c>
      <c r="V384" t="s">
        <v>860</v>
      </c>
      <c r="X384" t="s">
        <v>3226</v>
      </c>
      <c r="Y384" t="s">
        <v>412</v>
      </c>
      <c r="Z384" t="s">
        <v>2623</v>
      </c>
      <c r="AA384" t="s">
        <v>942</v>
      </c>
      <c r="AB384" t="s">
        <v>41</v>
      </c>
      <c r="AD384" t="s">
        <v>620</v>
      </c>
      <c r="AF384" t="s">
        <v>2667</v>
      </c>
      <c r="AJ384">
        <v>138.17926034053059</v>
      </c>
      <c r="AK384">
        <v>1095.9105623055179</v>
      </c>
    </row>
    <row r="385" spans="1:37" hidden="1" x14ac:dyDescent="0.25">
      <c r="A385">
        <v>397</v>
      </c>
      <c r="B385" t="s">
        <v>3238</v>
      </c>
      <c r="C385" t="s">
        <v>376</v>
      </c>
      <c r="D385" t="s">
        <v>2604</v>
      </c>
      <c r="E385" t="s">
        <v>37</v>
      </c>
      <c r="F385" t="s">
        <v>38</v>
      </c>
      <c r="G385" s="2">
        <v>45825</v>
      </c>
      <c r="H385">
        <v>6.8</v>
      </c>
      <c r="I385" t="s">
        <v>72</v>
      </c>
      <c r="J385" t="s">
        <v>40</v>
      </c>
      <c r="K385" t="s">
        <v>41</v>
      </c>
      <c r="L385" t="s">
        <v>2605</v>
      </c>
      <c r="M385" t="s">
        <v>2606</v>
      </c>
      <c r="N385" t="s">
        <v>3027</v>
      </c>
      <c r="O385" t="s">
        <v>402</v>
      </c>
      <c r="P385" t="s">
        <v>403</v>
      </c>
      <c r="Q385">
        <v>6.5125450939155742</v>
      </c>
      <c r="S385" t="s">
        <v>38</v>
      </c>
      <c r="T385" t="s">
        <v>3239</v>
      </c>
      <c r="V385" t="s">
        <v>119</v>
      </c>
      <c r="X385" t="s">
        <v>3197</v>
      </c>
      <c r="Y385" t="s">
        <v>412</v>
      </c>
      <c r="Z385" t="s">
        <v>2623</v>
      </c>
      <c r="AA385" t="s">
        <v>942</v>
      </c>
      <c r="AB385" t="s">
        <v>41</v>
      </c>
      <c r="AD385" t="s">
        <v>620</v>
      </c>
      <c r="AF385" t="s">
        <v>2667</v>
      </c>
      <c r="AJ385">
        <v>830.59725739894566</v>
      </c>
      <c r="AK385">
        <v>26355.440361137869</v>
      </c>
    </row>
    <row r="386" spans="1:37" x14ac:dyDescent="0.25">
      <c r="A386">
        <v>405</v>
      </c>
      <c r="B386" t="s">
        <v>3250</v>
      </c>
      <c r="C386" t="s">
        <v>376</v>
      </c>
      <c r="D386" t="s">
        <v>2604</v>
      </c>
      <c r="E386" t="s">
        <v>37</v>
      </c>
      <c r="F386" t="s">
        <v>38</v>
      </c>
      <c r="G386" s="2">
        <v>45846</v>
      </c>
      <c r="H386">
        <v>2.5</v>
      </c>
      <c r="I386" t="s">
        <v>72</v>
      </c>
      <c r="J386" t="s">
        <v>40</v>
      </c>
      <c r="K386" t="s">
        <v>41</v>
      </c>
      <c r="L386" t="s">
        <v>2605</v>
      </c>
      <c r="M386" t="s">
        <v>2606</v>
      </c>
      <c r="O386" t="s">
        <v>62</v>
      </c>
      <c r="P386" t="s">
        <v>63</v>
      </c>
      <c r="Q386">
        <v>2.386580687330889</v>
      </c>
      <c r="R386" t="s">
        <v>64</v>
      </c>
      <c r="S386" t="s">
        <v>65</v>
      </c>
      <c r="T386" t="s">
        <v>3191</v>
      </c>
      <c r="V386" t="s">
        <v>119</v>
      </c>
      <c r="X386" t="s">
        <v>3192</v>
      </c>
      <c r="Y386" t="s">
        <v>412</v>
      </c>
      <c r="Z386" t="s">
        <v>2623</v>
      </c>
      <c r="AA386" t="s">
        <v>860</v>
      </c>
      <c r="AB386" t="s">
        <v>41</v>
      </c>
      <c r="AD386" t="s">
        <v>620</v>
      </c>
      <c r="AF386" t="s">
        <v>1123</v>
      </c>
      <c r="AJ386">
        <v>576.09867116231976</v>
      </c>
      <c r="AK386">
        <v>9658.1880148142391</v>
      </c>
    </row>
    <row r="387" spans="1:37" x14ac:dyDescent="0.25">
      <c r="A387">
        <v>406</v>
      </c>
      <c r="B387" t="s">
        <v>3251</v>
      </c>
      <c r="C387" t="s">
        <v>376</v>
      </c>
      <c r="D387" t="s">
        <v>2604</v>
      </c>
      <c r="E387" t="s">
        <v>37</v>
      </c>
      <c r="F387" t="s">
        <v>38</v>
      </c>
      <c r="G387" s="2">
        <v>45846</v>
      </c>
      <c r="H387">
        <v>4.3</v>
      </c>
      <c r="I387" t="s">
        <v>72</v>
      </c>
      <c r="J387" t="s">
        <v>40</v>
      </c>
      <c r="K387" t="s">
        <v>41</v>
      </c>
      <c r="L387" t="s">
        <v>2605</v>
      </c>
      <c r="M387" t="s">
        <v>2606</v>
      </c>
      <c r="O387" t="s">
        <v>62</v>
      </c>
      <c r="P387" t="s">
        <v>63</v>
      </c>
      <c r="Q387">
        <v>4.0801742571393342</v>
      </c>
      <c r="R387" t="s">
        <v>64</v>
      </c>
      <c r="S387" t="s">
        <v>65</v>
      </c>
      <c r="T387" t="s">
        <v>3252</v>
      </c>
      <c r="V387" t="s">
        <v>119</v>
      </c>
      <c r="X387" t="s">
        <v>3039</v>
      </c>
      <c r="Y387" t="s">
        <v>412</v>
      </c>
      <c r="Z387" t="s">
        <v>2623</v>
      </c>
      <c r="AA387" t="s">
        <v>860</v>
      </c>
      <c r="AB387" t="s">
        <v>41</v>
      </c>
      <c r="AD387" t="s">
        <v>620</v>
      </c>
      <c r="AF387" t="s">
        <v>2667</v>
      </c>
      <c r="AJ387">
        <v>592.73937836289281</v>
      </c>
      <c r="AK387">
        <v>16511.945444731191</v>
      </c>
    </row>
    <row r="388" spans="1:37" x14ac:dyDescent="0.25">
      <c r="A388">
        <v>407</v>
      </c>
      <c r="B388" t="s">
        <v>3253</v>
      </c>
      <c r="C388" t="s">
        <v>376</v>
      </c>
      <c r="D388" t="s">
        <v>2604</v>
      </c>
      <c r="E388" t="s">
        <v>37</v>
      </c>
      <c r="F388" t="s">
        <v>38</v>
      </c>
      <c r="G388" s="2">
        <v>45846</v>
      </c>
      <c r="H388">
        <v>0.1</v>
      </c>
      <c r="I388" t="s">
        <v>72</v>
      </c>
      <c r="J388" t="s">
        <v>40</v>
      </c>
      <c r="K388" t="s">
        <v>41</v>
      </c>
      <c r="L388" t="s">
        <v>2605</v>
      </c>
      <c r="M388" t="s">
        <v>2606</v>
      </c>
      <c r="O388" t="s">
        <v>62</v>
      </c>
      <c r="P388" t="s">
        <v>63</v>
      </c>
      <c r="Q388">
        <v>6.886788546706725E-2</v>
      </c>
      <c r="R388" t="s">
        <v>64</v>
      </c>
      <c r="S388" t="s">
        <v>65</v>
      </c>
      <c r="T388" t="s">
        <v>3254</v>
      </c>
      <c r="V388" t="s">
        <v>860</v>
      </c>
      <c r="X388" t="s">
        <v>3255</v>
      </c>
      <c r="Y388" t="s">
        <v>412</v>
      </c>
      <c r="Z388" t="s">
        <v>2623</v>
      </c>
      <c r="AA388" t="s">
        <v>452</v>
      </c>
      <c r="AB388" t="s">
        <v>41</v>
      </c>
      <c r="AJ388">
        <v>69.659898454683159</v>
      </c>
      <c r="AK388">
        <v>278.69955939663151</v>
      </c>
    </row>
    <row r="389" spans="1:37" hidden="1" x14ac:dyDescent="0.25">
      <c r="A389">
        <v>401</v>
      </c>
      <c r="B389" t="s">
        <v>3246</v>
      </c>
      <c r="C389" t="s">
        <v>376</v>
      </c>
      <c r="D389" t="s">
        <v>2604</v>
      </c>
      <c r="E389" t="s">
        <v>37</v>
      </c>
      <c r="F389" t="s">
        <v>38</v>
      </c>
      <c r="G389" s="2">
        <v>45825</v>
      </c>
      <c r="H389">
        <v>10.6</v>
      </c>
      <c r="I389" t="s">
        <v>72</v>
      </c>
      <c r="J389" t="s">
        <v>40</v>
      </c>
      <c r="K389" t="s">
        <v>41</v>
      </c>
      <c r="L389" t="s">
        <v>2605</v>
      </c>
      <c r="M389" t="s">
        <v>2606</v>
      </c>
      <c r="N389" t="s">
        <v>2702</v>
      </c>
      <c r="O389" t="s">
        <v>880</v>
      </c>
      <c r="P389" t="s">
        <v>881</v>
      </c>
      <c r="Q389">
        <v>10.25046623137915</v>
      </c>
      <c r="S389" t="s">
        <v>38</v>
      </c>
      <c r="T389" t="s">
        <v>2883</v>
      </c>
      <c r="V389" t="s">
        <v>860</v>
      </c>
      <c r="X389" t="s">
        <v>3226</v>
      </c>
      <c r="Y389" t="s">
        <v>412</v>
      </c>
      <c r="Z389" t="s">
        <v>2623</v>
      </c>
      <c r="AA389" t="s">
        <v>942</v>
      </c>
      <c r="AB389" t="s">
        <v>41</v>
      </c>
      <c r="AD389" t="s">
        <v>620</v>
      </c>
      <c r="AF389" t="s">
        <v>2667</v>
      </c>
      <c r="AJ389">
        <v>1025.5125981971071</v>
      </c>
      <c r="AK389">
        <v>41482.331030209207</v>
      </c>
    </row>
    <row r="390" spans="1:37" x14ac:dyDescent="0.25">
      <c r="A390">
        <v>409</v>
      </c>
      <c r="B390" t="s">
        <v>3258</v>
      </c>
      <c r="C390" t="s">
        <v>376</v>
      </c>
      <c r="D390" t="s">
        <v>2604</v>
      </c>
      <c r="E390" t="s">
        <v>37</v>
      </c>
      <c r="F390" t="s">
        <v>38</v>
      </c>
      <c r="G390" s="2">
        <v>45846</v>
      </c>
      <c r="H390">
        <v>4.2</v>
      </c>
      <c r="I390" t="s">
        <v>72</v>
      </c>
      <c r="J390" t="s">
        <v>40</v>
      </c>
      <c r="K390" t="s">
        <v>41</v>
      </c>
      <c r="L390" t="s">
        <v>2605</v>
      </c>
      <c r="M390" t="s">
        <v>2606</v>
      </c>
      <c r="O390" t="s">
        <v>62</v>
      </c>
      <c r="P390" t="s">
        <v>63</v>
      </c>
      <c r="Q390">
        <v>3.1902803857255448</v>
      </c>
      <c r="R390" t="s">
        <v>64</v>
      </c>
      <c r="S390" t="s">
        <v>65</v>
      </c>
      <c r="T390" t="s">
        <v>3191</v>
      </c>
      <c r="V390" t="s">
        <v>119</v>
      </c>
      <c r="X390" t="s">
        <v>3192</v>
      </c>
      <c r="Y390" t="s">
        <v>412</v>
      </c>
      <c r="Z390" t="s">
        <v>2623</v>
      </c>
      <c r="AA390" t="s">
        <v>860</v>
      </c>
      <c r="AB390" t="s">
        <v>41</v>
      </c>
      <c r="AD390" t="s">
        <v>620</v>
      </c>
      <c r="AF390" t="s">
        <v>1123</v>
      </c>
      <c r="AJ390">
        <v>485.47782068018421</v>
      </c>
      <c r="AK390">
        <v>12910.65831081177</v>
      </c>
    </row>
    <row r="391" spans="1:37" x14ac:dyDescent="0.25">
      <c r="A391">
        <v>411</v>
      </c>
      <c r="B391" t="s">
        <v>3260</v>
      </c>
      <c r="C391" t="s">
        <v>376</v>
      </c>
      <c r="D391" t="s">
        <v>2604</v>
      </c>
      <c r="E391" t="s">
        <v>37</v>
      </c>
      <c r="F391" t="s">
        <v>38</v>
      </c>
      <c r="G391" s="2">
        <v>45846</v>
      </c>
      <c r="H391">
        <v>4.0999999999999996</v>
      </c>
      <c r="I391" t="s">
        <v>72</v>
      </c>
      <c r="J391" t="s">
        <v>40</v>
      </c>
      <c r="K391" t="s">
        <v>41</v>
      </c>
      <c r="L391" t="s">
        <v>2605</v>
      </c>
      <c r="M391" t="s">
        <v>2606</v>
      </c>
      <c r="O391" t="s">
        <v>62</v>
      </c>
      <c r="P391" t="s">
        <v>63</v>
      </c>
      <c r="Q391">
        <v>3.8901607568859231</v>
      </c>
      <c r="R391" t="s">
        <v>64</v>
      </c>
      <c r="S391" t="s">
        <v>65</v>
      </c>
      <c r="T391" t="s">
        <v>3166</v>
      </c>
      <c r="V391" t="s">
        <v>119</v>
      </c>
      <c r="X391" t="s">
        <v>3167</v>
      </c>
      <c r="Y391" t="s">
        <v>412</v>
      </c>
      <c r="Z391" t="s">
        <v>2623</v>
      </c>
      <c r="AA391" t="s">
        <v>860</v>
      </c>
      <c r="AB391" t="s">
        <v>41</v>
      </c>
      <c r="AD391" t="s">
        <v>620</v>
      </c>
      <c r="AF391" t="s">
        <v>2667</v>
      </c>
      <c r="AJ391">
        <v>919.20297253023705</v>
      </c>
      <c r="AK391">
        <v>15742.985015049329</v>
      </c>
    </row>
    <row r="392" spans="1:37" hidden="1" x14ac:dyDescent="0.25">
      <c r="A392">
        <v>404</v>
      </c>
      <c r="B392" t="s">
        <v>3249</v>
      </c>
      <c r="C392" t="s">
        <v>376</v>
      </c>
      <c r="D392" t="s">
        <v>2604</v>
      </c>
      <c r="E392" t="s">
        <v>37</v>
      </c>
      <c r="F392" t="s">
        <v>38</v>
      </c>
      <c r="G392" s="2">
        <v>45846</v>
      </c>
      <c r="H392">
        <v>0.3</v>
      </c>
      <c r="I392" t="s">
        <v>72</v>
      </c>
      <c r="J392" t="s">
        <v>40</v>
      </c>
      <c r="K392" t="s">
        <v>41</v>
      </c>
      <c r="L392" t="s">
        <v>2605</v>
      </c>
      <c r="M392" t="s">
        <v>2606</v>
      </c>
      <c r="O392" t="s">
        <v>1045</v>
      </c>
      <c r="P392" t="s">
        <v>133</v>
      </c>
      <c r="Q392">
        <v>0.14387264151342391</v>
      </c>
      <c r="R392" t="s">
        <v>60</v>
      </c>
      <c r="S392" t="s">
        <v>66</v>
      </c>
      <c r="T392" t="s">
        <v>3241</v>
      </c>
      <c r="V392" t="s">
        <v>860</v>
      </c>
      <c r="X392" t="s">
        <v>3242</v>
      </c>
      <c r="Y392" t="s">
        <v>412</v>
      </c>
      <c r="Z392" t="s">
        <v>2623</v>
      </c>
      <c r="AA392" t="s">
        <v>942</v>
      </c>
      <c r="AB392" t="s">
        <v>41</v>
      </c>
      <c r="AD392" t="s">
        <v>1382</v>
      </c>
      <c r="AF392" t="s">
        <v>3243</v>
      </c>
      <c r="AJ392">
        <v>112.3543449012594</v>
      </c>
      <c r="AK392">
        <v>582.2342522509324</v>
      </c>
    </row>
    <row r="393" spans="1:37" x14ac:dyDescent="0.25">
      <c r="A393">
        <v>412</v>
      </c>
      <c r="B393" t="s">
        <v>3261</v>
      </c>
      <c r="C393" t="s">
        <v>376</v>
      </c>
      <c r="D393" t="s">
        <v>2604</v>
      </c>
      <c r="E393" t="s">
        <v>37</v>
      </c>
      <c r="F393" t="s">
        <v>38</v>
      </c>
      <c r="G393" s="2">
        <v>45846</v>
      </c>
      <c r="H393">
        <v>0.9</v>
      </c>
      <c r="I393" t="s">
        <v>72</v>
      </c>
      <c r="J393" t="s">
        <v>40</v>
      </c>
      <c r="K393" t="s">
        <v>41</v>
      </c>
      <c r="L393" t="s">
        <v>2605</v>
      </c>
      <c r="M393" t="s">
        <v>2606</v>
      </c>
      <c r="O393" t="s">
        <v>62</v>
      </c>
      <c r="P393" t="s">
        <v>63</v>
      </c>
      <c r="Q393">
        <v>0.77268717634835926</v>
      </c>
      <c r="R393" t="s">
        <v>64</v>
      </c>
      <c r="S393" t="s">
        <v>65</v>
      </c>
      <c r="T393" t="s">
        <v>3038</v>
      </c>
      <c r="V393" t="s">
        <v>119</v>
      </c>
      <c r="X393" t="s">
        <v>3173</v>
      </c>
      <c r="Y393" t="s">
        <v>412</v>
      </c>
      <c r="Z393" t="s">
        <v>2623</v>
      </c>
      <c r="AA393" t="s">
        <v>860</v>
      </c>
      <c r="AB393" t="s">
        <v>41</v>
      </c>
      <c r="AD393" t="s">
        <v>620</v>
      </c>
      <c r="AF393" t="s">
        <v>2667</v>
      </c>
      <c r="AJ393">
        <v>320.44804366847671</v>
      </c>
      <c r="AK393">
        <v>3126.966569965251</v>
      </c>
    </row>
    <row r="394" spans="1:37" x14ac:dyDescent="0.25">
      <c r="A394">
        <v>416</v>
      </c>
      <c r="B394" t="s">
        <v>3266</v>
      </c>
      <c r="C394" t="s">
        <v>376</v>
      </c>
      <c r="D394" t="s">
        <v>2604</v>
      </c>
      <c r="E394" t="s">
        <v>37</v>
      </c>
      <c r="F394" t="s">
        <v>38</v>
      </c>
      <c r="G394" s="2">
        <v>45846</v>
      </c>
      <c r="H394">
        <v>17.8</v>
      </c>
      <c r="I394" t="s">
        <v>72</v>
      </c>
      <c r="J394" t="s">
        <v>40</v>
      </c>
      <c r="K394" t="s">
        <v>41</v>
      </c>
      <c r="L394" t="s">
        <v>2605</v>
      </c>
      <c r="M394" t="s">
        <v>2606</v>
      </c>
      <c r="O394" t="s">
        <v>62</v>
      </c>
      <c r="P394" t="s">
        <v>63</v>
      </c>
      <c r="Q394">
        <v>17.989209305553821</v>
      </c>
      <c r="R394" t="s">
        <v>64</v>
      </c>
      <c r="S394" t="s">
        <v>65</v>
      </c>
      <c r="T394" t="s">
        <v>3166</v>
      </c>
      <c r="V394" t="s">
        <v>119</v>
      </c>
      <c r="X394" t="s">
        <v>3167</v>
      </c>
      <c r="Y394" t="s">
        <v>412</v>
      </c>
      <c r="Z394" t="s">
        <v>2623</v>
      </c>
      <c r="AA394" t="s">
        <v>121</v>
      </c>
      <c r="AB394" t="s">
        <v>41</v>
      </c>
      <c r="AD394" t="s">
        <v>620</v>
      </c>
      <c r="AF394" t="s">
        <v>2667</v>
      </c>
      <c r="AJ394">
        <v>1163.8192156493899</v>
      </c>
      <c r="AK394">
        <v>72800.038411940754</v>
      </c>
    </row>
    <row r="395" spans="1:37" x14ac:dyDescent="0.25">
      <c r="A395">
        <v>421</v>
      </c>
      <c r="B395" t="s">
        <v>3272</v>
      </c>
      <c r="C395" t="s">
        <v>376</v>
      </c>
      <c r="D395" t="s">
        <v>2604</v>
      </c>
      <c r="E395" t="s">
        <v>37</v>
      </c>
      <c r="F395" t="s">
        <v>38</v>
      </c>
      <c r="G395" s="2">
        <v>45846</v>
      </c>
      <c r="H395">
        <v>23.2</v>
      </c>
      <c r="I395" t="s">
        <v>72</v>
      </c>
      <c r="J395" t="s">
        <v>40</v>
      </c>
      <c r="K395" t="s">
        <v>41</v>
      </c>
      <c r="L395" t="s">
        <v>2605</v>
      </c>
      <c r="M395" t="s">
        <v>2606</v>
      </c>
      <c r="O395" t="s">
        <v>62</v>
      </c>
      <c r="P395" t="s">
        <v>63</v>
      </c>
      <c r="Q395">
        <v>23.586430537650699</v>
      </c>
      <c r="R395" t="s">
        <v>64</v>
      </c>
      <c r="S395" t="s">
        <v>65</v>
      </c>
      <c r="T395" t="s">
        <v>3038</v>
      </c>
      <c r="V395" t="s">
        <v>119</v>
      </c>
      <c r="X395" t="s">
        <v>3173</v>
      </c>
      <c r="Y395" t="s">
        <v>412</v>
      </c>
      <c r="Z395" t="s">
        <v>2623</v>
      </c>
      <c r="AA395" t="s">
        <v>121</v>
      </c>
      <c r="AB395" t="s">
        <v>41</v>
      </c>
      <c r="AD395" t="s">
        <v>620</v>
      </c>
      <c r="AF395" t="s">
        <v>2667</v>
      </c>
      <c r="AJ395">
        <v>1307.200755659215</v>
      </c>
      <c r="AK395">
        <v>95451.279707520254</v>
      </c>
    </row>
    <row r="396" spans="1:37" hidden="1" x14ac:dyDescent="0.25">
      <c r="A396">
        <v>408</v>
      </c>
      <c r="B396" t="s">
        <v>3256</v>
      </c>
      <c r="C396" t="s">
        <v>376</v>
      </c>
      <c r="D396" t="s">
        <v>2604</v>
      </c>
      <c r="E396" t="s">
        <v>37</v>
      </c>
      <c r="F396" t="s">
        <v>38</v>
      </c>
      <c r="G396" s="2">
        <v>45825</v>
      </c>
      <c r="H396">
        <v>4.0999999999999996</v>
      </c>
      <c r="I396" t="s">
        <v>72</v>
      </c>
      <c r="J396" t="s">
        <v>40</v>
      </c>
      <c r="K396" t="s">
        <v>41</v>
      </c>
      <c r="L396" t="s">
        <v>2605</v>
      </c>
      <c r="M396" t="s">
        <v>2606</v>
      </c>
      <c r="N396" t="s">
        <v>3027</v>
      </c>
      <c r="O396" t="s">
        <v>402</v>
      </c>
      <c r="P396" t="s">
        <v>403</v>
      </c>
      <c r="Q396">
        <v>4.3062369700512724</v>
      </c>
      <c r="S396" t="s">
        <v>38</v>
      </c>
      <c r="T396" t="s">
        <v>3097</v>
      </c>
      <c r="V396" t="s">
        <v>119</v>
      </c>
      <c r="X396" t="s">
        <v>3257</v>
      </c>
      <c r="Y396" t="s">
        <v>412</v>
      </c>
      <c r="Z396" t="s">
        <v>2623</v>
      </c>
      <c r="AA396" t="s">
        <v>942</v>
      </c>
      <c r="AB396" t="s">
        <v>41</v>
      </c>
      <c r="AD396" t="s">
        <v>620</v>
      </c>
      <c r="AF396" t="s">
        <v>2667</v>
      </c>
      <c r="AJ396">
        <v>689.71012123124081</v>
      </c>
      <c r="AK396">
        <v>17426.792445728381</v>
      </c>
    </row>
    <row r="397" spans="1:37" x14ac:dyDescent="0.25">
      <c r="A397">
        <v>422</v>
      </c>
      <c r="B397" t="s">
        <v>3273</v>
      </c>
      <c r="C397" t="s">
        <v>376</v>
      </c>
      <c r="D397" t="s">
        <v>2604</v>
      </c>
      <c r="E397" t="s">
        <v>37</v>
      </c>
      <c r="F397" t="s">
        <v>38</v>
      </c>
      <c r="G397" s="2">
        <v>45846</v>
      </c>
      <c r="H397">
        <v>1.8</v>
      </c>
      <c r="I397" t="s">
        <v>72</v>
      </c>
      <c r="J397" t="s">
        <v>40</v>
      </c>
      <c r="K397" t="s">
        <v>41</v>
      </c>
      <c r="L397" t="s">
        <v>2605</v>
      </c>
      <c r="M397" t="s">
        <v>2606</v>
      </c>
      <c r="O397" t="s">
        <v>62</v>
      </c>
      <c r="P397" t="s">
        <v>63</v>
      </c>
      <c r="Q397">
        <v>1.994293149352675</v>
      </c>
      <c r="R397" t="s">
        <v>64</v>
      </c>
      <c r="S397" t="s">
        <v>65</v>
      </c>
      <c r="T397" t="s">
        <v>3038</v>
      </c>
      <c r="V397" t="s">
        <v>119</v>
      </c>
      <c r="X397" t="s">
        <v>3173</v>
      </c>
      <c r="Y397" t="s">
        <v>412</v>
      </c>
      <c r="Z397" t="s">
        <v>2623</v>
      </c>
      <c r="AA397" t="s">
        <v>121</v>
      </c>
      <c r="AB397" t="s">
        <v>41</v>
      </c>
      <c r="AD397" t="s">
        <v>620</v>
      </c>
      <c r="AF397" t="s">
        <v>2667</v>
      </c>
      <c r="AJ397">
        <v>380.99035795779218</v>
      </c>
      <c r="AK397">
        <v>8070.6503221752</v>
      </c>
    </row>
    <row r="398" spans="1:37" hidden="1" x14ac:dyDescent="0.25">
      <c r="A398">
        <v>410</v>
      </c>
      <c r="B398" t="s">
        <v>3259</v>
      </c>
      <c r="C398" t="s">
        <v>376</v>
      </c>
      <c r="D398" t="s">
        <v>2604</v>
      </c>
      <c r="E398" t="s">
        <v>37</v>
      </c>
      <c r="F398" t="s">
        <v>38</v>
      </c>
      <c r="G398" s="2">
        <v>45846</v>
      </c>
      <c r="I398" t="s">
        <v>72</v>
      </c>
      <c r="J398" t="s">
        <v>40</v>
      </c>
      <c r="K398" t="s">
        <v>41</v>
      </c>
      <c r="L398" t="s">
        <v>2605</v>
      </c>
      <c r="M398" t="s">
        <v>2606</v>
      </c>
      <c r="O398" t="s">
        <v>906</v>
      </c>
      <c r="P398" t="s">
        <v>671</v>
      </c>
      <c r="Q398">
        <v>0.94950876986784694</v>
      </c>
      <c r="S398" t="s">
        <v>38</v>
      </c>
      <c r="T398" t="s">
        <v>1172</v>
      </c>
      <c r="V398" t="s">
        <v>860</v>
      </c>
      <c r="X398" t="s">
        <v>1172</v>
      </c>
      <c r="Y398" t="s">
        <v>412</v>
      </c>
      <c r="Z398" t="s">
        <v>2623</v>
      </c>
      <c r="AA398" t="s">
        <v>452</v>
      </c>
      <c r="AB398" t="s">
        <v>41</v>
      </c>
      <c r="AJ398">
        <v>252.820537822121</v>
      </c>
      <c r="AK398">
        <v>3842.5410336135842</v>
      </c>
    </row>
    <row r="399" spans="1:37" x14ac:dyDescent="0.25">
      <c r="A399">
        <v>423</v>
      </c>
      <c r="B399" t="s">
        <v>3274</v>
      </c>
      <c r="C399" t="s">
        <v>376</v>
      </c>
      <c r="D399" t="s">
        <v>2604</v>
      </c>
      <c r="E399" t="s">
        <v>37</v>
      </c>
      <c r="F399" t="s">
        <v>38</v>
      </c>
      <c r="G399" s="2">
        <v>45846</v>
      </c>
      <c r="H399">
        <v>0.2</v>
      </c>
      <c r="I399" t="s">
        <v>72</v>
      </c>
      <c r="J399" t="s">
        <v>40</v>
      </c>
      <c r="K399" t="s">
        <v>41</v>
      </c>
      <c r="L399" t="s">
        <v>2605</v>
      </c>
      <c r="M399" t="s">
        <v>2606</v>
      </c>
      <c r="O399" t="s">
        <v>62</v>
      </c>
      <c r="P399" t="s">
        <v>63</v>
      </c>
      <c r="Q399">
        <v>0.19027833535779201</v>
      </c>
      <c r="R399" t="s">
        <v>64</v>
      </c>
      <c r="S399" t="s">
        <v>65</v>
      </c>
      <c r="T399" t="s">
        <v>3211</v>
      </c>
      <c r="V399" t="s">
        <v>119</v>
      </c>
      <c r="X399" t="s">
        <v>3192</v>
      </c>
      <c r="Y399" t="s">
        <v>412</v>
      </c>
      <c r="Z399" t="s">
        <v>2623</v>
      </c>
      <c r="AA399" t="s">
        <v>121</v>
      </c>
      <c r="AB399" t="s">
        <v>41</v>
      </c>
      <c r="AD399" t="s">
        <v>620</v>
      </c>
      <c r="AF399" t="s">
        <v>2667</v>
      </c>
      <c r="AJ399">
        <v>131.83272911887491</v>
      </c>
      <c r="AK399">
        <v>770.03218361191591</v>
      </c>
    </row>
    <row r="400" spans="1:37" x14ac:dyDescent="0.25">
      <c r="A400">
        <v>425</v>
      </c>
      <c r="B400" t="s">
        <v>3276</v>
      </c>
      <c r="C400" t="s">
        <v>376</v>
      </c>
      <c r="D400" t="s">
        <v>2604</v>
      </c>
      <c r="E400" t="s">
        <v>37</v>
      </c>
      <c r="F400" t="s">
        <v>38</v>
      </c>
      <c r="G400" s="2">
        <v>45846</v>
      </c>
      <c r="H400">
        <v>0.5</v>
      </c>
      <c r="I400" t="s">
        <v>72</v>
      </c>
      <c r="J400" t="s">
        <v>40</v>
      </c>
      <c r="K400" t="s">
        <v>41</v>
      </c>
      <c r="L400" t="s">
        <v>2605</v>
      </c>
      <c r="M400" t="s">
        <v>2606</v>
      </c>
      <c r="O400" t="s">
        <v>62</v>
      </c>
      <c r="P400" t="s">
        <v>63</v>
      </c>
      <c r="Q400">
        <v>0.49925213779743799</v>
      </c>
      <c r="R400" t="s">
        <v>64</v>
      </c>
      <c r="S400" t="s">
        <v>65</v>
      </c>
      <c r="T400" t="s">
        <v>3191</v>
      </c>
      <c r="V400" t="s">
        <v>119</v>
      </c>
      <c r="X400" t="s">
        <v>3192</v>
      </c>
      <c r="Y400" t="s">
        <v>412</v>
      </c>
      <c r="Z400" t="s">
        <v>2623</v>
      </c>
      <c r="AA400" t="s">
        <v>121</v>
      </c>
      <c r="AB400" t="s">
        <v>41</v>
      </c>
      <c r="AD400" t="s">
        <v>620</v>
      </c>
      <c r="AF400" t="s">
        <v>2667</v>
      </c>
      <c r="AJ400">
        <v>235.59061674033379</v>
      </c>
      <c r="AK400">
        <v>2020.409801873617</v>
      </c>
    </row>
    <row r="401" spans="1:37" hidden="1" x14ac:dyDescent="0.25">
      <c r="A401">
        <v>413</v>
      </c>
      <c r="B401" t="s">
        <v>3262</v>
      </c>
      <c r="C401" t="s">
        <v>376</v>
      </c>
      <c r="D401" t="s">
        <v>2604</v>
      </c>
      <c r="E401" t="s">
        <v>37</v>
      </c>
      <c r="F401" t="s">
        <v>38</v>
      </c>
      <c r="G401" s="2">
        <v>45846</v>
      </c>
      <c r="I401" t="s">
        <v>72</v>
      </c>
      <c r="J401" t="s">
        <v>40</v>
      </c>
      <c r="K401" t="s">
        <v>41</v>
      </c>
      <c r="L401" t="s">
        <v>2605</v>
      </c>
      <c r="M401" t="s">
        <v>2606</v>
      </c>
      <c r="O401" t="s">
        <v>906</v>
      </c>
      <c r="P401" t="s">
        <v>671</v>
      </c>
      <c r="Q401">
        <v>1.2257453160396781</v>
      </c>
      <c r="S401" t="s">
        <v>38</v>
      </c>
      <c r="T401" t="s">
        <v>1172</v>
      </c>
      <c r="V401" t="s">
        <v>860</v>
      </c>
      <c r="X401" t="s">
        <v>1172</v>
      </c>
      <c r="Y401" t="s">
        <v>412</v>
      </c>
      <c r="Z401" t="s">
        <v>2623</v>
      </c>
      <c r="AA401" t="s">
        <v>2116</v>
      </c>
      <c r="AB401" t="s">
        <v>41</v>
      </c>
      <c r="AD401" t="s">
        <v>38</v>
      </c>
      <c r="AJ401">
        <v>337.57715814056382</v>
      </c>
      <c r="AK401">
        <v>4960.4351461626311</v>
      </c>
    </row>
    <row r="402" spans="1:37" hidden="1" x14ac:dyDescent="0.25">
      <c r="A402">
        <v>414</v>
      </c>
      <c r="B402" t="s">
        <v>3263</v>
      </c>
      <c r="C402" t="s">
        <v>376</v>
      </c>
      <c r="D402" t="s">
        <v>2604</v>
      </c>
      <c r="E402" t="s">
        <v>37</v>
      </c>
      <c r="F402" t="s">
        <v>38</v>
      </c>
      <c r="G402" s="2">
        <v>45846</v>
      </c>
      <c r="H402">
        <v>1.1000000000000001</v>
      </c>
      <c r="I402" t="s">
        <v>72</v>
      </c>
      <c r="J402" t="s">
        <v>40</v>
      </c>
      <c r="K402" t="s">
        <v>41</v>
      </c>
      <c r="L402" t="s">
        <v>2605</v>
      </c>
      <c r="M402" t="s">
        <v>2606</v>
      </c>
      <c r="O402" t="s">
        <v>96</v>
      </c>
      <c r="P402" t="s">
        <v>97</v>
      </c>
      <c r="Q402">
        <v>2.0444390756069128</v>
      </c>
      <c r="R402" t="s">
        <v>60</v>
      </c>
      <c r="S402" t="s">
        <v>66</v>
      </c>
      <c r="T402" t="s">
        <v>57</v>
      </c>
      <c r="V402" t="s">
        <v>119</v>
      </c>
      <c r="X402" t="s">
        <v>3192</v>
      </c>
      <c r="Y402" t="s">
        <v>412</v>
      </c>
      <c r="Z402" t="s">
        <v>2623</v>
      </c>
      <c r="AA402" t="s">
        <v>860</v>
      </c>
      <c r="AB402" t="s">
        <v>41</v>
      </c>
      <c r="AD402" t="s">
        <v>620</v>
      </c>
      <c r="AF402" t="s">
        <v>2667</v>
      </c>
      <c r="AJ402">
        <v>385.72251980577067</v>
      </c>
      <c r="AK402">
        <v>8273.5844976302506</v>
      </c>
    </row>
    <row r="403" spans="1:37" hidden="1" x14ac:dyDescent="0.25">
      <c r="A403">
        <v>415</v>
      </c>
      <c r="B403" t="s">
        <v>3264</v>
      </c>
      <c r="C403" t="s">
        <v>376</v>
      </c>
      <c r="D403" t="s">
        <v>2604</v>
      </c>
      <c r="E403" t="s">
        <v>37</v>
      </c>
      <c r="F403" t="s">
        <v>38</v>
      </c>
      <c r="G403" s="2">
        <v>45825</v>
      </c>
      <c r="H403">
        <v>4.8</v>
      </c>
      <c r="I403" t="s">
        <v>72</v>
      </c>
      <c r="J403" t="s">
        <v>40</v>
      </c>
      <c r="K403" t="s">
        <v>41</v>
      </c>
      <c r="L403" t="s">
        <v>2605</v>
      </c>
      <c r="M403" t="s">
        <v>2606</v>
      </c>
      <c r="N403" t="s">
        <v>3027</v>
      </c>
      <c r="O403" t="s">
        <v>402</v>
      </c>
      <c r="P403" t="s">
        <v>403</v>
      </c>
      <c r="Q403">
        <v>4.8975784442257826</v>
      </c>
      <c r="S403" t="s">
        <v>38</v>
      </c>
      <c r="T403" t="s">
        <v>3265</v>
      </c>
      <c r="V403" t="s">
        <v>119</v>
      </c>
      <c r="X403" t="s">
        <v>3197</v>
      </c>
      <c r="Y403" t="s">
        <v>412</v>
      </c>
      <c r="Z403" t="s">
        <v>2623</v>
      </c>
      <c r="AA403" t="s">
        <v>452</v>
      </c>
      <c r="AB403" t="s">
        <v>41</v>
      </c>
      <c r="AD403" t="s">
        <v>620</v>
      </c>
      <c r="AF403" t="s">
        <v>2667</v>
      </c>
      <c r="AJ403">
        <v>741.01742846173079</v>
      </c>
      <c r="AK403">
        <v>19819.876060647879</v>
      </c>
    </row>
    <row r="404" spans="1:37" x14ac:dyDescent="0.25">
      <c r="A404">
        <v>426</v>
      </c>
      <c r="B404" t="s">
        <v>3277</v>
      </c>
      <c r="C404" t="s">
        <v>376</v>
      </c>
      <c r="D404" t="s">
        <v>2604</v>
      </c>
      <c r="E404" t="s">
        <v>37</v>
      </c>
      <c r="F404" t="s">
        <v>38</v>
      </c>
      <c r="G404" s="2">
        <v>45846</v>
      </c>
      <c r="H404">
        <v>11.7</v>
      </c>
      <c r="I404" t="s">
        <v>72</v>
      </c>
      <c r="J404" t="s">
        <v>40</v>
      </c>
      <c r="K404" t="s">
        <v>41</v>
      </c>
      <c r="L404" t="s">
        <v>2605</v>
      </c>
      <c r="M404" t="s">
        <v>2606</v>
      </c>
      <c r="O404" t="s">
        <v>62</v>
      </c>
      <c r="P404" t="s">
        <v>63</v>
      </c>
      <c r="Q404">
        <v>11.76187882063171</v>
      </c>
      <c r="R404" t="s">
        <v>64</v>
      </c>
      <c r="S404" t="s">
        <v>65</v>
      </c>
      <c r="T404" t="s">
        <v>3191</v>
      </c>
      <c r="V404" t="s">
        <v>119</v>
      </c>
      <c r="X404" t="s">
        <v>3192</v>
      </c>
      <c r="Y404" t="s">
        <v>412</v>
      </c>
      <c r="Z404" t="s">
        <v>2623</v>
      </c>
      <c r="AA404" t="s">
        <v>121</v>
      </c>
      <c r="AB404" t="s">
        <v>41</v>
      </c>
      <c r="AD404" t="s">
        <v>620</v>
      </c>
      <c r="AF404" t="s">
        <v>2667</v>
      </c>
      <c r="AJ404">
        <v>1009.489259793719</v>
      </c>
      <c r="AK404">
        <v>47598.825239874539</v>
      </c>
    </row>
    <row r="405" spans="1:37" hidden="1" x14ac:dyDescent="0.25">
      <c r="A405">
        <v>417</v>
      </c>
      <c r="B405" t="s">
        <v>3267</v>
      </c>
      <c r="C405" t="s">
        <v>376</v>
      </c>
      <c r="D405" t="s">
        <v>2604</v>
      </c>
      <c r="E405" t="s">
        <v>37</v>
      </c>
      <c r="F405" t="s">
        <v>38</v>
      </c>
      <c r="G405" s="2">
        <v>45825</v>
      </c>
      <c r="H405">
        <v>0.4</v>
      </c>
      <c r="I405" t="s">
        <v>72</v>
      </c>
      <c r="J405" t="s">
        <v>40</v>
      </c>
      <c r="K405" t="s">
        <v>41</v>
      </c>
      <c r="L405" t="s">
        <v>2605</v>
      </c>
      <c r="M405" t="s">
        <v>2606</v>
      </c>
      <c r="N405" t="s">
        <v>3027</v>
      </c>
      <c r="O405" t="s">
        <v>79</v>
      </c>
      <c r="P405" t="s">
        <v>80</v>
      </c>
      <c r="Q405">
        <v>0.31700894388381018</v>
      </c>
      <c r="R405" t="s">
        <v>46</v>
      </c>
      <c r="S405" t="s">
        <v>47</v>
      </c>
      <c r="T405" t="s">
        <v>3097</v>
      </c>
      <c r="V405" t="s">
        <v>110</v>
      </c>
      <c r="X405" t="s">
        <v>3257</v>
      </c>
      <c r="Y405" t="s">
        <v>412</v>
      </c>
      <c r="Z405" t="s">
        <v>2623</v>
      </c>
      <c r="AA405" t="s">
        <v>576</v>
      </c>
      <c r="AB405" t="s">
        <v>41</v>
      </c>
      <c r="AC405" t="s">
        <v>3268</v>
      </c>
      <c r="AD405" t="s">
        <v>620</v>
      </c>
      <c r="AF405" t="s">
        <v>1397</v>
      </c>
      <c r="AJ405">
        <v>208.06972737578681</v>
      </c>
      <c r="AK405">
        <v>1282.894812088555</v>
      </c>
    </row>
    <row r="406" spans="1:37" hidden="1" x14ac:dyDescent="0.25">
      <c r="A406">
        <v>418</v>
      </c>
      <c r="B406" t="s">
        <v>3269</v>
      </c>
      <c r="C406" t="s">
        <v>376</v>
      </c>
      <c r="D406" t="s">
        <v>2604</v>
      </c>
      <c r="E406" t="s">
        <v>37</v>
      </c>
      <c r="F406" t="s">
        <v>38</v>
      </c>
      <c r="G406" s="2">
        <v>45825</v>
      </c>
      <c r="H406">
        <v>0.1</v>
      </c>
      <c r="I406" t="s">
        <v>72</v>
      </c>
      <c r="J406" t="s">
        <v>40</v>
      </c>
      <c r="K406" t="s">
        <v>41</v>
      </c>
      <c r="L406" t="s">
        <v>2605</v>
      </c>
      <c r="M406" t="s">
        <v>2606</v>
      </c>
      <c r="N406" t="s">
        <v>3027</v>
      </c>
      <c r="O406" t="s">
        <v>79</v>
      </c>
      <c r="P406" t="s">
        <v>80</v>
      </c>
      <c r="Q406">
        <v>8.9813413641293596E-2</v>
      </c>
      <c r="R406" t="s">
        <v>46</v>
      </c>
      <c r="S406" t="s">
        <v>47</v>
      </c>
      <c r="T406" t="s">
        <v>3097</v>
      </c>
      <c r="V406" t="s">
        <v>110</v>
      </c>
      <c r="X406" t="s">
        <v>3257</v>
      </c>
      <c r="Y406" t="s">
        <v>412</v>
      </c>
      <c r="Z406" t="s">
        <v>2623</v>
      </c>
      <c r="AA406" t="s">
        <v>576</v>
      </c>
      <c r="AB406" t="s">
        <v>41</v>
      </c>
      <c r="AC406" t="s">
        <v>3268</v>
      </c>
      <c r="AD406" t="s">
        <v>620</v>
      </c>
      <c r="AF406" t="s">
        <v>1397</v>
      </c>
      <c r="AJ406">
        <v>117.0080457681327</v>
      </c>
      <c r="AK406">
        <v>363.46344366425762</v>
      </c>
    </row>
    <row r="407" spans="1:37" hidden="1" x14ac:dyDescent="0.25">
      <c r="A407">
        <v>419</v>
      </c>
      <c r="B407" t="s">
        <v>3270</v>
      </c>
      <c r="C407" t="s">
        <v>376</v>
      </c>
      <c r="D407" t="s">
        <v>2604</v>
      </c>
      <c r="E407" t="s">
        <v>37</v>
      </c>
      <c r="F407" t="s">
        <v>38</v>
      </c>
      <c r="G407" s="2">
        <v>45825</v>
      </c>
      <c r="H407">
        <v>0.4</v>
      </c>
      <c r="I407" t="s">
        <v>72</v>
      </c>
      <c r="J407" t="s">
        <v>40</v>
      </c>
      <c r="K407" t="s">
        <v>41</v>
      </c>
      <c r="L407" t="s">
        <v>2605</v>
      </c>
      <c r="M407" t="s">
        <v>2606</v>
      </c>
      <c r="N407" t="s">
        <v>3027</v>
      </c>
      <c r="O407" t="s">
        <v>79</v>
      </c>
      <c r="P407" t="s">
        <v>80</v>
      </c>
      <c r="Q407">
        <v>0.33834727183830898</v>
      </c>
      <c r="R407" t="s">
        <v>46</v>
      </c>
      <c r="S407" t="s">
        <v>47</v>
      </c>
      <c r="T407" t="s">
        <v>3097</v>
      </c>
      <c r="V407" t="s">
        <v>110</v>
      </c>
      <c r="X407" t="s">
        <v>3257</v>
      </c>
      <c r="Y407" t="s">
        <v>412</v>
      </c>
      <c r="Z407" t="s">
        <v>2623</v>
      </c>
      <c r="AA407" t="s">
        <v>576</v>
      </c>
      <c r="AB407" t="s">
        <v>41</v>
      </c>
      <c r="AC407" t="s">
        <v>3268</v>
      </c>
      <c r="AD407" t="s">
        <v>620</v>
      </c>
      <c r="AF407" t="s">
        <v>1397</v>
      </c>
      <c r="AJ407">
        <v>182.57812250352529</v>
      </c>
      <c r="AK407">
        <v>1369.248307028131</v>
      </c>
    </row>
    <row r="408" spans="1:37" hidden="1" x14ac:dyDescent="0.25">
      <c r="A408">
        <v>420</v>
      </c>
      <c r="B408" t="s">
        <v>3271</v>
      </c>
      <c r="C408" t="s">
        <v>376</v>
      </c>
      <c r="D408" t="s">
        <v>2604</v>
      </c>
      <c r="E408" t="s">
        <v>37</v>
      </c>
      <c r="F408" t="s">
        <v>38</v>
      </c>
      <c r="G408" s="2">
        <v>45825</v>
      </c>
      <c r="H408">
        <v>0.5</v>
      </c>
      <c r="I408" t="s">
        <v>72</v>
      </c>
      <c r="J408" t="s">
        <v>40</v>
      </c>
      <c r="K408" t="s">
        <v>41</v>
      </c>
      <c r="L408" t="s">
        <v>2605</v>
      </c>
      <c r="M408" t="s">
        <v>2606</v>
      </c>
      <c r="N408" t="s">
        <v>3027</v>
      </c>
      <c r="O408" t="s">
        <v>79</v>
      </c>
      <c r="P408" t="s">
        <v>80</v>
      </c>
      <c r="Q408">
        <v>0.49045698347503802</v>
      </c>
      <c r="R408" t="s">
        <v>46</v>
      </c>
      <c r="S408" t="s">
        <v>47</v>
      </c>
      <c r="T408" t="s">
        <v>3097</v>
      </c>
      <c r="V408" t="s">
        <v>110</v>
      </c>
      <c r="X408" t="s">
        <v>3257</v>
      </c>
      <c r="Y408" t="s">
        <v>412</v>
      </c>
      <c r="Z408" t="s">
        <v>2623</v>
      </c>
      <c r="AA408" t="s">
        <v>576</v>
      </c>
      <c r="AB408" t="s">
        <v>41</v>
      </c>
      <c r="AC408" t="s">
        <v>3268</v>
      </c>
      <c r="AD408" t="s">
        <v>620</v>
      </c>
      <c r="AF408" t="s">
        <v>1397</v>
      </c>
      <c r="AJ408">
        <v>217.3183742044815</v>
      </c>
      <c r="AK408">
        <v>1984.8169327466801</v>
      </c>
    </row>
    <row r="409" spans="1:37" x14ac:dyDescent="0.25">
      <c r="A409">
        <v>427</v>
      </c>
      <c r="B409" t="s">
        <v>3278</v>
      </c>
      <c r="C409" t="s">
        <v>376</v>
      </c>
      <c r="D409" t="s">
        <v>2604</v>
      </c>
      <c r="E409" t="s">
        <v>37</v>
      </c>
      <c r="F409" t="s">
        <v>38</v>
      </c>
      <c r="G409" s="2">
        <v>45846</v>
      </c>
      <c r="H409">
        <v>16.899999999999999</v>
      </c>
      <c r="I409" t="s">
        <v>72</v>
      </c>
      <c r="J409" t="s">
        <v>40</v>
      </c>
      <c r="K409" t="s">
        <v>41</v>
      </c>
      <c r="L409" t="s">
        <v>2605</v>
      </c>
      <c r="M409" t="s">
        <v>2606</v>
      </c>
      <c r="O409" t="s">
        <v>62</v>
      </c>
      <c r="P409" t="s">
        <v>63</v>
      </c>
      <c r="Q409">
        <v>17.182348864412951</v>
      </c>
      <c r="R409" t="s">
        <v>64</v>
      </c>
      <c r="S409" t="s">
        <v>65</v>
      </c>
      <c r="T409" t="s">
        <v>3191</v>
      </c>
      <c r="V409" t="s">
        <v>119</v>
      </c>
      <c r="X409" t="s">
        <v>3192</v>
      </c>
      <c r="Y409" t="s">
        <v>412</v>
      </c>
      <c r="Z409" t="s">
        <v>2623</v>
      </c>
      <c r="AA409" t="s">
        <v>121</v>
      </c>
      <c r="AB409" t="s">
        <v>41</v>
      </c>
      <c r="AD409" t="s">
        <v>620</v>
      </c>
      <c r="AF409" t="s">
        <v>2667</v>
      </c>
      <c r="AJ409">
        <v>1358.8225811239899</v>
      </c>
      <c r="AK409">
        <v>69534.776992696716</v>
      </c>
    </row>
    <row r="410" spans="1:37" x14ac:dyDescent="0.25">
      <c r="A410">
        <v>428</v>
      </c>
      <c r="B410" t="s">
        <v>3279</v>
      </c>
      <c r="C410" t="s">
        <v>376</v>
      </c>
      <c r="D410" t="s">
        <v>2604</v>
      </c>
      <c r="E410" t="s">
        <v>37</v>
      </c>
      <c r="F410" t="s">
        <v>38</v>
      </c>
      <c r="G410" s="2">
        <v>45846</v>
      </c>
      <c r="H410">
        <v>2.5</v>
      </c>
      <c r="I410" t="s">
        <v>72</v>
      </c>
      <c r="J410" t="s">
        <v>40</v>
      </c>
      <c r="K410" t="s">
        <v>41</v>
      </c>
      <c r="L410" t="s">
        <v>2605</v>
      </c>
      <c r="M410" t="s">
        <v>2606</v>
      </c>
      <c r="O410" t="s">
        <v>62</v>
      </c>
      <c r="P410" t="s">
        <v>63</v>
      </c>
      <c r="Q410">
        <v>2.4879080914997811</v>
      </c>
      <c r="R410" t="s">
        <v>64</v>
      </c>
      <c r="S410" t="s">
        <v>65</v>
      </c>
      <c r="T410" t="s">
        <v>3211</v>
      </c>
      <c r="V410" t="s">
        <v>119</v>
      </c>
      <c r="X410" t="s">
        <v>3192</v>
      </c>
      <c r="Y410" t="s">
        <v>412</v>
      </c>
      <c r="Z410" t="s">
        <v>2623</v>
      </c>
      <c r="AA410" t="s">
        <v>121</v>
      </c>
      <c r="AB410" t="s">
        <v>41</v>
      </c>
      <c r="AD410" t="s">
        <v>620</v>
      </c>
      <c r="AF410" t="s">
        <v>1123</v>
      </c>
      <c r="AJ410">
        <v>439.20131010730739</v>
      </c>
      <c r="AK410">
        <v>10068.247111374991</v>
      </c>
    </row>
    <row r="411" spans="1:37" x14ac:dyDescent="0.25">
      <c r="A411">
        <v>429</v>
      </c>
      <c r="B411" t="s">
        <v>3280</v>
      </c>
      <c r="C411" t="s">
        <v>376</v>
      </c>
      <c r="D411" t="s">
        <v>2604</v>
      </c>
      <c r="E411" t="s">
        <v>37</v>
      </c>
      <c r="F411" t="s">
        <v>38</v>
      </c>
      <c r="G411" s="2">
        <v>45846</v>
      </c>
      <c r="H411">
        <v>0.4</v>
      </c>
      <c r="I411" t="s">
        <v>72</v>
      </c>
      <c r="J411" t="s">
        <v>40</v>
      </c>
      <c r="K411" t="s">
        <v>41</v>
      </c>
      <c r="L411" t="s">
        <v>2605</v>
      </c>
      <c r="M411" t="s">
        <v>2606</v>
      </c>
      <c r="O411" t="s">
        <v>62</v>
      </c>
      <c r="P411" t="s">
        <v>63</v>
      </c>
      <c r="Q411">
        <v>0.33763493400138561</v>
      </c>
      <c r="R411" t="s">
        <v>64</v>
      </c>
      <c r="S411" t="s">
        <v>65</v>
      </c>
      <c r="T411" t="s">
        <v>3211</v>
      </c>
      <c r="V411" t="s">
        <v>119</v>
      </c>
      <c r="X411" t="s">
        <v>3192</v>
      </c>
      <c r="Y411" t="s">
        <v>412</v>
      </c>
      <c r="Z411" t="s">
        <v>2623</v>
      </c>
      <c r="AA411" t="s">
        <v>121</v>
      </c>
      <c r="AB411" t="s">
        <v>41</v>
      </c>
      <c r="AD411" t="s">
        <v>620</v>
      </c>
      <c r="AF411" t="s">
        <v>1123</v>
      </c>
      <c r="AJ411">
        <v>190.69634510815891</v>
      </c>
      <c r="AK411">
        <v>1366.365566546908</v>
      </c>
    </row>
    <row r="412" spans="1:37" hidden="1" x14ac:dyDescent="0.25">
      <c r="A412">
        <v>424</v>
      </c>
      <c r="B412" t="s">
        <v>3275</v>
      </c>
      <c r="C412" t="s">
        <v>376</v>
      </c>
      <c r="D412" t="s">
        <v>2604</v>
      </c>
      <c r="E412" t="s">
        <v>37</v>
      </c>
      <c r="F412" t="s">
        <v>38</v>
      </c>
      <c r="G412" s="2">
        <v>45825</v>
      </c>
      <c r="H412">
        <v>8.5</v>
      </c>
      <c r="I412" t="s">
        <v>72</v>
      </c>
      <c r="J412" t="s">
        <v>40</v>
      </c>
      <c r="K412" t="s">
        <v>41</v>
      </c>
      <c r="L412" t="s">
        <v>2605</v>
      </c>
      <c r="M412" t="s">
        <v>2606</v>
      </c>
      <c r="N412" t="s">
        <v>3027</v>
      </c>
      <c r="O412" t="s">
        <v>402</v>
      </c>
      <c r="P412" t="s">
        <v>403</v>
      </c>
      <c r="Q412">
        <v>8.5946040412630342</v>
      </c>
      <c r="S412" t="s">
        <v>38</v>
      </c>
      <c r="T412" t="s">
        <v>3097</v>
      </c>
      <c r="V412" t="s">
        <v>110</v>
      </c>
      <c r="X412" t="s">
        <v>3257</v>
      </c>
      <c r="Y412" t="s">
        <v>412</v>
      </c>
      <c r="Z412" t="s">
        <v>2623</v>
      </c>
      <c r="AA412" t="s">
        <v>576</v>
      </c>
      <c r="AB412" t="s">
        <v>41</v>
      </c>
      <c r="AD412" t="s">
        <v>620</v>
      </c>
      <c r="AF412" t="s">
        <v>2667</v>
      </c>
      <c r="AJ412">
        <v>870.9815758602748</v>
      </c>
      <c r="AK412">
        <v>34781.26768730193</v>
      </c>
    </row>
    <row r="413" spans="1:37" x14ac:dyDescent="0.25">
      <c r="A413">
        <v>430</v>
      </c>
      <c r="B413" t="s">
        <v>3281</v>
      </c>
      <c r="C413" t="s">
        <v>376</v>
      </c>
      <c r="D413" t="s">
        <v>2604</v>
      </c>
      <c r="E413" t="s">
        <v>37</v>
      </c>
      <c r="F413" t="s">
        <v>38</v>
      </c>
      <c r="G413" s="2">
        <v>45846</v>
      </c>
      <c r="H413">
        <v>3.4</v>
      </c>
      <c r="I413" t="s">
        <v>72</v>
      </c>
      <c r="J413" t="s">
        <v>40</v>
      </c>
      <c r="K413" t="s">
        <v>41</v>
      </c>
      <c r="L413" t="s">
        <v>2605</v>
      </c>
      <c r="M413" t="s">
        <v>2606</v>
      </c>
      <c r="O413" t="s">
        <v>62</v>
      </c>
      <c r="P413" t="s">
        <v>63</v>
      </c>
      <c r="Q413">
        <v>3.413930618493044</v>
      </c>
      <c r="R413" t="s">
        <v>64</v>
      </c>
      <c r="S413" t="s">
        <v>65</v>
      </c>
      <c r="T413" t="s">
        <v>3191</v>
      </c>
      <c r="V413" t="s">
        <v>119</v>
      </c>
      <c r="X413" t="s">
        <v>3192</v>
      </c>
      <c r="Y413" t="s">
        <v>412</v>
      </c>
      <c r="Z413" t="s">
        <v>2623</v>
      </c>
      <c r="AA413" t="s">
        <v>121</v>
      </c>
      <c r="AB413" t="s">
        <v>41</v>
      </c>
      <c r="AD413" t="s">
        <v>620</v>
      </c>
      <c r="AF413" t="s">
        <v>2667</v>
      </c>
      <c r="AJ413">
        <v>579.52738484483314</v>
      </c>
      <c r="AK413">
        <v>13815.74231199056</v>
      </c>
    </row>
    <row r="414" spans="1:37" x14ac:dyDescent="0.25">
      <c r="A414">
        <v>431</v>
      </c>
      <c r="B414" t="s">
        <v>3282</v>
      </c>
      <c r="C414" t="s">
        <v>376</v>
      </c>
      <c r="D414" t="s">
        <v>2604</v>
      </c>
      <c r="E414" t="s">
        <v>37</v>
      </c>
      <c r="F414" t="s">
        <v>38</v>
      </c>
      <c r="G414" s="2">
        <v>45846</v>
      </c>
      <c r="H414">
        <v>0.6</v>
      </c>
      <c r="I414" t="s">
        <v>72</v>
      </c>
      <c r="J414" t="s">
        <v>40</v>
      </c>
      <c r="K414" t="s">
        <v>41</v>
      </c>
      <c r="L414" t="s">
        <v>2605</v>
      </c>
      <c r="M414" t="s">
        <v>2606</v>
      </c>
      <c r="O414" t="s">
        <v>62</v>
      </c>
      <c r="P414" t="s">
        <v>63</v>
      </c>
      <c r="Q414">
        <v>0.43309317533742681</v>
      </c>
      <c r="R414" t="s">
        <v>64</v>
      </c>
      <c r="S414" t="s">
        <v>65</v>
      </c>
      <c r="T414" t="s">
        <v>3038</v>
      </c>
      <c r="V414" t="s">
        <v>119</v>
      </c>
      <c r="X414" t="s">
        <v>3173</v>
      </c>
      <c r="Y414" t="s">
        <v>412</v>
      </c>
      <c r="Z414" t="s">
        <v>2623</v>
      </c>
      <c r="AA414" t="s">
        <v>121</v>
      </c>
      <c r="AB414" t="s">
        <v>41</v>
      </c>
      <c r="AD414" t="s">
        <v>399</v>
      </c>
      <c r="AF414" t="s">
        <v>1456</v>
      </c>
      <c r="AJ414">
        <v>178.97453135652569</v>
      </c>
      <c r="AK414">
        <v>1752.6729087964991</v>
      </c>
    </row>
    <row r="415" spans="1:37" x14ac:dyDescent="0.25">
      <c r="A415">
        <v>433</v>
      </c>
      <c r="B415" t="s">
        <v>3286</v>
      </c>
      <c r="C415" t="s">
        <v>376</v>
      </c>
      <c r="D415" t="s">
        <v>2604</v>
      </c>
      <c r="E415" t="s">
        <v>37</v>
      </c>
      <c r="F415" t="s">
        <v>38</v>
      </c>
      <c r="G415" s="2">
        <v>45846</v>
      </c>
      <c r="H415">
        <v>2.8</v>
      </c>
      <c r="I415" t="s">
        <v>72</v>
      </c>
      <c r="J415" t="s">
        <v>40</v>
      </c>
      <c r="K415" t="s">
        <v>41</v>
      </c>
      <c r="L415" t="s">
        <v>2605</v>
      </c>
      <c r="M415" t="s">
        <v>2606</v>
      </c>
      <c r="O415" t="s">
        <v>62</v>
      </c>
      <c r="P415" t="s">
        <v>63</v>
      </c>
      <c r="Q415">
        <v>1.3808113593551159</v>
      </c>
      <c r="R415" t="s">
        <v>64</v>
      </c>
      <c r="S415" t="s">
        <v>65</v>
      </c>
      <c r="T415" t="s">
        <v>3287</v>
      </c>
      <c r="V415" t="s">
        <v>858</v>
      </c>
      <c r="X415" t="s">
        <v>3288</v>
      </c>
      <c r="Y415" t="s">
        <v>412</v>
      </c>
      <c r="Z415" t="s">
        <v>2630</v>
      </c>
      <c r="AA415" t="s">
        <v>139</v>
      </c>
      <c r="AB415" t="s">
        <v>41</v>
      </c>
      <c r="AD415" t="s">
        <v>721</v>
      </c>
      <c r="AF415" t="s">
        <v>3119</v>
      </c>
      <c r="AJ415">
        <v>382.44021946093437</v>
      </c>
      <c r="AK415">
        <v>5587.9676695774506</v>
      </c>
    </row>
    <row r="416" spans="1:37" x14ac:dyDescent="0.25">
      <c r="A416">
        <v>435</v>
      </c>
      <c r="B416" t="s">
        <v>3290</v>
      </c>
      <c r="C416" t="s">
        <v>376</v>
      </c>
      <c r="D416" t="s">
        <v>2604</v>
      </c>
      <c r="E416" t="s">
        <v>37</v>
      </c>
      <c r="F416" t="s">
        <v>38</v>
      </c>
      <c r="G416" s="2">
        <v>45846</v>
      </c>
      <c r="H416">
        <v>0.3</v>
      </c>
      <c r="I416" t="s">
        <v>72</v>
      </c>
      <c r="J416" t="s">
        <v>40</v>
      </c>
      <c r="K416" t="s">
        <v>41</v>
      </c>
      <c r="L416" t="s">
        <v>2605</v>
      </c>
      <c r="M416" t="s">
        <v>2606</v>
      </c>
      <c r="O416" t="s">
        <v>62</v>
      </c>
      <c r="P416" t="s">
        <v>63</v>
      </c>
      <c r="Q416">
        <v>0.22985189341449311</v>
      </c>
      <c r="R416" t="s">
        <v>64</v>
      </c>
      <c r="S416" t="s">
        <v>65</v>
      </c>
      <c r="T416" t="s">
        <v>3191</v>
      </c>
      <c r="V416" t="s">
        <v>119</v>
      </c>
      <c r="X416" t="s">
        <v>3192</v>
      </c>
      <c r="Y416" t="s">
        <v>412</v>
      </c>
      <c r="Z416" t="s">
        <v>2623</v>
      </c>
      <c r="AA416" t="s">
        <v>121</v>
      </c>
      <c r="AB416" t="s">
        <v>41</v>
      </c>
      <c r="AD416" t="s">
        <v>620</v>
      </c>
      <c r="AF416" t="s">
        <v>1341</v>
      </c>
      <c r="AJ416">
        <v>200.6983087738183</v>
      </c>
      <c r="AK416">
        <v>930.1813317868482</v>
      </c>
    </row>
    <row r="417" spans="1:37" x14ac:dyDescent="0.25">
      <c r="A417">
        <v>438</v>
      </c>
      <c r="B417" t="s">
        <v>3293</v>
      </c>
      <c r="C417" t="s">
        <v>376</v>
      </c>
      <c r="D417" t="s">
        <v>2604</v>
      </c>
      <c r="E417" t="s">
        <v>37</v>
      </c>
      <c r="F417" t="s">
        <v>38</v>
      </c>
      <c r="G417" s="2">
        <v>45846</v>
      </c>
      <c r="H417">
        <v>3.6</v>
      </c>
      <c r="I417" t="s">
        <v>72</v>
      </c>
      <c r="J417" t="s">
        <v>40</v>
      </c>
      <c r="K417" t="s">
        <v>41</v>
      </c>
      <c r="L417" t="s">
        <v>2605</v>
      </c>
      <c r="M417" t="s">
        <v>2606</v>
      </c>
      <c r="O417" t="s">
        <v>62</v>
      </c>
      <c r="P417" t="s">
        <v>63</v>
      </c>
      <c r="Q417">
        <v>3.6440485887412</v>
      </c>
      <c r="R417" t="s">
        <v>64</v>
      </c>
      <c r="S417" t="s">
        <v>65</v>
      </c>
      <c r="T417" t="s">
        <v>3294</v>
      </c>
      <c r="V417" t="s">
        <v>858</v>
      </c>
      <c r="X417" t="s">
        <v>3288</v>
      </c>
      <c r="Y417" t="s">
        <v>412</v>
      </c>
      <c r="Z417" t="s">
        <v>2623</v>
      </c>
      <c r="AA417" t="s">
        <v>818</v>
      </c>
      <c r="AB417" t="s">
        <v>41</v>
      </c>
      <c r="AD417" t="s">
        <v>721</v>
      </c>
      <c r="AF417" t="s">
        <v>3119</v>
      </c>
      <c r="AJ417">
        <v>601.23807941840357</v>
      </c>
      <c r="AK417">
        <v>14747.000422827679</v>
      </c>
    </row>
    <row r="418" spans="1:37" x14ac:dyDescent="0.25">
      <c r="A418">
        <v>440</v>
      </c>
      <c r="B418" t="s">
        <v>3296</v>
      </c>
      <c r="C418" t="s">
        <v>376</v>
      </c>
      <c r="D418" t="s">
        <v>2604</v>
      </c>
      <c r="E418" t="s">
        <v>37</v>
      </c>
      <c r="F418" t="s">
        <v>38</v>
      </c>
      <c r="G418" s="2">
        <v>45846</v>
      </c>
      <c r="H418">
        <v>0.7</v>
      </c>
      <c r="I418" t="s">
        <v>72</v>
      </c>
      <c r="J418" t="s">
        <v>40</v>
      </c>
      <c r="K418" t="s">
        <v>41</v>
      </c>
      <c r="L418" t="s">
        <v>2605</v>
      </c>
      <c r="M418" t="s">
        <v>2606</v>
      </c>
      <c r="O418" t="s">
        <v>62</v>
      </c>
      <c r="P418" t="s">
        <v>63</v>
      </c>
      <c r="Q418">
        <v>0.65446169937189713</v>
      </c>
      <c r="R418" t="s">
        <v>64</v>
      </c>
      <c r="S418" t="s">
        <v>65</v>
      </c>
      <c r="T418" t="s">
        <v>3038</v>
      </c>
      <c r="V418" t="s">
        <v>119</v>
      </c>
      <c r="X418" t="s">
        <v>3173</v>
      </c>
      <c r="Y418" t="s">
        <v>412</v>
      </c>
      <c r="Z418" t="s">
        <v>2623</v>
      </c>
      <c r="AA418" t="s">
        <v>121</v>
      </c>
      <c r="AB418" t="s">
        <v>41</v>
      </c>
      <c r="AD418" t="s">
        <v>620</v>
      </c>
      <c r="AF418" t="s">
        <v>2667</v>
      </c>
      <c r="AJ418">
        <v>279.82258659115922</v>
      </c>
      <c r="AK418">
        <v>2648.5231253998868</v>
      </c>
    </row>
    <row r="419" spans="1:37" x14ac:dyDescent="0.25">
      <c r="A419">
        <v>441</v>
      </c>
      <c r="B419" t="s">
        <v>3297</v>
      </c>
      <c r="C419" t="s">
        <v>376</v>
      </c>
      <c r="D419" t="s">
        <v>2604</v>
      </c>
      <c r="E419" t="s">
        <v>37</v>
      </c>
      <c r="F419" t="s">
        <v>38</v>
      </c>
      <c r="G419" s="2">
        <v>45846</v>
      </c>
      <c r="H419">
        <v>3.5</v>
      </c>
      <c r="I419" t="s">
        <v>72</v>
      </c>
      <c r="J419" t="s">
        <v>40</v>
      </c>
      <c r="K419" t="s">
        <v>41</v>
      </c>
      <c r="L419" t="s">
        <v>2605</v>
      </c>
      <c r="M419" t="s">
        <v>2606</v>
      </c>
      <c r="O419" t="s">
        <v>62</v>
      </c>
      <c r="P419" t="s">
        <v>63</v>
      </c>
      <c r="Q419">
        <v>3.552944144982574</v>
      </c>
      <c r="R419" t="s">
        <v>64</v>
      </c>
      <c r="S419" t="s">
        <v>65</v>
      </c>
      <c r="T419" t="s">
        <v>3038</v>
      </c>
      <c r="V419" t="s">
        <v>119</v>
      </c>
      <c r="X419" t="s">
        <v>3173</v>
      </c>
      <c r="Y419" t="s">
        <v>412</v>
      </c>
      <c r="Z419" t="s">
        <v>2623</v>
      </c>
      <c r="AA419" t="s">
        <v>121</v>
      </c>
      <c r="AB419" t="s">
        <v>41</v>
      </c>
      <c r="AD419" t="s">
        <v>620</v>
      </c>
      <c r="AF419" t="s">
        <v>2667</v>
      </c>
      <c r="AJ419">
        <v>471.14227471373192</v>
      </c>
      <c r="AK419">
        <v>14378.31234474307</v>
      </c>
    </row>
    <row r="420" spans="1:37" hidden="1" x14ac:dyDescent="0.25">
      <c r="A420">
        <v>432</v>
      </c>
      <c r="B420" t="s">
        <v>3283</v>
      </c>
      <c r="C420" t="s">
        <v>376</v>
      </c>
      <c r="D420" t="s">
        <v>2604</v>
      </c>
      <c r="E420" t="s">
        <v>37</v>
      </c>
      <c r="F420" t="s">
        <v>38</v>
      </c>
      <c r="G420" s="2">
        <v>45825</v>
      </c>
      <c r="H420">
        <v>3.4</v>
      </c>
      <c r="I420" t="s">
        <v>72</v>
      </c>
      <c r="J420" t="s">
        <v>40</v>
      </c>
      <c r="K420" t="s">
        <v>41</v>
      </c>
      <c r="L420" t="s">
        <v>2605</v>
      </c>
      <c r="M420" t="s">
        <v>2606</v>
      </c>
      <c r="N420" t="s">
        <v>3027</v>
      </c>
      <c r="O420" t="s">
        <v>87</v>
      </c>
      <c r="P420" t="s">
        <v>88</v>
      </c>
      <c r="Q420">
        <v>1.677575333416512</v>
      </c>
      <c r="R420" t="s">
        <v>46</v>
      </c>
      <c r="S420" t="s">
        <v>47</v>
      </c>
      <c r="T420" t="s">
        <v>3097</v>
      </c>
      <c r="V420" t="s">
        <v>110</v>
      </c>
      <c r="X420" t="s">
        <v>3257</v>
      </c>
      <c r="Y420" t="s">
        <v>412</v>
      </c>
      <c r="Z420" t="s">
        <v>2630</v>
      </c>
      <c r="AA420" t="s">
        <v>576</v>
      </c>
      <c r="AB420" t="s">
        <v>41</v>
      </c>
      <c r="AC420" t="s">
        <v>3284</v>
      </c>
      <c r="AD420" t="s">
        <v>620</v>
      </c>
      <c r="AF420" t="s">
        <v>3285</v>
      </c>
      <c r="AJ420">
        <v>471.99808453587838</v>
      </c>
      <c r="AK420">
        <v>6788.9336678039481</v>
      </c>
    </row>
    <row r="421" spans="1:37" x14ac:dyDescent="0.25">
      <c r="A421">
        <v>442</v>
      </c>
      <c r="B421" t="s">
        <v>3298</v>
      </c>
      <c r="C421" t="s">
        <v>376</v>
      </c>
      <c r="D421" t="s">
        <v>2604</v>
      </c>
      <c r="E421" t="s">
        <v>37</v>
      </c>
      <c r="F421" t="s">
        <v>38</v>
      </c>
      <c r="G421" s="2">
        <v>45846</v>
      </c>
      <c r="H421">
        <v>3.7</v>
      </c>
      <c r="I421" t="s">
        <v>72</v>
      </c>
      <c r="J421" t="s">
        <v>40</v>
      </c>
      <c r="K421" t="s">
        <v>41</v>
      </c>
      <c r="L421" t="s">
        <v>2605</v>
      </c>
      <c r="M421" t="s">
        <v>2606</v>
      </c>
      <c r="O421" t="s">
        <v>62</v>
      </c>
      <c r="P421" t="s">
        <v>63</v>
      </c>
      <c r="Q421">
        <v>3.786044711207436</v>
      </c>
      <c r="R421" t="s">
        <v>64</v>
      </c>
      <c r="S421" t="s">
        <v>65</v>
      </c>
      <c r="T421" t="s">
        <v>3191</v>
      </c>
      <c r="V421" t="s">
        <v>119</v>
      </c>
      <c r="X421" t="s">
        <v>3192</v>
      </c>
      <c r="Y421" t="s">
        <v>412</v>
      </c>
      <c r="Z421" t="s">
        <v>2623</v>
      </c>
      <c r="AA421" t="s">
        <v>121</v>
      </c>
      <c r="AB421" t="s">
        <v>41</v>
      </c>
      <c r="AD421" t="s">
        <v>620</v>
      </c>
      <c r="AF421" t="s">
        <v>2667</v>
      </c>
      <c r="AJ421">
        <v>741.6391992026779</v>
      </c>
      <c r="AK421">
        <v>15321.640641544651</v>
      </c>
    </row>
    <row r="422" spans="1:37" hidden="1" x14ac:dyDescent="0.25">
      <c r="A422">
        <v>434</v>
      </c>
      <c r="B422" t="s">
        <v>3289</v>
      </c>
      <c r="C422" t="s">
        <v>376</v>
      </c>
      <c r="D422" t="s">
        <v>2604</v>
      </c>
      <c r="E422" t="s">
        <v>37</v>
      </c>
      <c r="F422" t="s">
        <v>38</v>
      </c>
      <c r="G422" s="2">
        <v>45825</v>
      </c>
      <c r="H422">
        <v>0.4</v>
      </c>
      <c r="I422" t="s">
        <v>72</v>
      </c>
      <c r="J422" t="s">
        <v>40</v>
      </c>
      <c r="K422" t="s">
        <v>41</v>
      </c>
      <c r="L422" t="s">
        <v>2605</v>
      </c>
      <c r="M422" t="s">
        <v>2606</v>
      </c>
      <c r="O422" t="s">
        <v>141</v>
      </c>
      <c r="P422" t="s">
        <v>142</v>
      </c>
      <c r="Q422">
        <v>0.32041022827862647</v>
      </c>
      <c r="S422" t="s">
        <v>38</v>
      </c>
      <c r="V422" t="s">
        <v>110</v>
      </c>
      <c r="X422" t="s">
        <v>1172</v>
      </c>
      <c r="Y422" t="s">
        <v>412</v>
      </c>
      <c r="Z422" t="s">
        <v>2623</v>
      </c>
      <c r="AA422" t="s">
        <v>576</v>
      </c>
      <c r="AB422" t="s">
        <v>41</v>
      </c>
      <c r="AJ422">
        <v>219.13077360296799</v>
      </c>
      <c r="AK422">
        <v>1296.6593767443301</v>
      </c>
    </row>
    <row r="423" spans="1:37" x14ac:dyDescent="0.25">
      <c r="A423">
        <v>443</v>
      </c>
      <c r="B423" t="s">
        <v>3299</v>
      </c>
      <c r="C423" t="s">
        <v>376</v>
      </c>
      <c r="D423" t="s">
        <v>2604</v>
      </c>
      <c r="E423" t="s">
        <v>37</v>
      </c>
      <c r="F423" t="s">
        <v>38</v>
      </c>
      <c r="G423" s="2">
        <v>45825</v>
      </c>
      <c r="H423">
        <v>0.6</v>
      </c>
      <c r="I423" t="s">
        <v>72</v>
      </c>
      <c r="J423" t="s">
        <v>40</v>
      </c>
      <c r="K423" t="s">
        <v>41</v>
      </c>
      <c r="L423" t="s">
        <v>2605</v>
      </c>
      <c r="M423" t="s">
        <v>2606</v>
      </c>
      <c r="N423" t="s">
        <v>3027</v>
      </c>
      <c r="O423" t="s">
        <v>62</v>
      </c>
      <c r="P423" t="s">
        <v>63</v>
      </c>
      <c r="Q423">
        <v>0.81403202429823207</v>
      </c>
      <c r="R423" t="s">
        <v>64</v>
      </c>
      <c r="S423" t="s">
        <v>65</v>
      </c>
      <c r="T423" t="s">
        <v>3097</v>
      </c>
      <c r="V423" t="s">
        <v>110</v>
      </c>
      <c r="X423" t="s">
        <v>3257</v>
      </c>
      <c r="Y423" t="s">
        <v>412</v>
      </c>
      <c r="Z423" t="s">
        <v>2623</v>
      </c>
      <c r="AA423" t="s">
        <v>576</v>
      </c>
      <c r="AB423" t="s">
        <v>41</v>
      </c>
      <c r="AD423" t="s">
        <v>620</v>
      </c>
      <c r="AF423" t="s">
        <v>2667</v>
      </c>
      <c r="AJ423">
        <v>236.27890946767269</v>
      </c>
      <c r="AK423">
        <v>3294.2839026930069</v>
      </c>
    </row>
    <row r="424" spans="1:37" hidden="1" x14ac:dyDescent="0.25">
      <c r="A424">
        <v>436</v>
      </c>
      <c r="B424" t="s">
        <v>3291</v>
      </c>
      <c r="C424" t="s">
        <v>376</v>
      </c>
      <c r="D424" t="s">
        <v>2604</v>
      </c>
      <c r="E424" t="s">
        <v>37</v>
      </c>
      <c r="F424" t="s">
        <v>38</v>
      </c>
      <c r="G424" s="2">
        <v>45825</v>
      </c>
      <c r="H424">
        <v>7.3</v>
      </c>
      <c r="I424" t="s">
        <v>72</v>
      </c>
      <c r="J424" t="s">
        <v>40</v>
      </c>
      <c r="K424" t="s">
        <v>41</v>
      </c>
      <c r="L424" t="s">
        <v>2605</v>
      </c>
      <c r="M424" t="s">
        <v>2606</v>
      </c>
      <c r="N424" t="s">
        <v>3027</v>
      </c>
      <c r="O424" t="s">
        <v>402</v>
      </c>
      <c r="P424" t="s">
        <v>403</v>
      </c>
      <c r="Q424">
        <v>7.4036612514770992</v>
      </c>
      <c r="S424" t="s">
        <v>38</v>
      </c>
      <c r="T424" t="s">
        <v>3097</v>
      </c>
      <c r="V424" t="s">
        <v>110</v>
      </c>
      <c r="X424" t="s">
        <v>3257</v>
      </c>
      <c r="Y424" t="s">
        <v>412</v>
      </c>
      <c r="Z424" t="s">
        <v>2623</v>
      </c>
      <c r="AA424" t="s">
        <v>576</v>
      </c>
      <c r="AB424" t="s">
        <v>41</v>
      </c>
      <c r="AD424" t="s">
        <v>620</v>
      </c>
      <c r="AF424" t="s">
        <v>2667</v>
      </c>
      <c r="AJ424">
        <v>803.22762481444306</v>
      </c>
      <c r="AK424">
        <v>29961.67393139</v>
      </c>
    </row>
    <row r="425" spans="1:37" hidden="1" x14ac:dyDescent="0.25">
      <c r="A425">
        <v>437</v>
      </c>
      <c r="B425" t="s">
        <v>3292</v>
      </c>
      <c r="C425" t="s">
        <v>376</v>
      </c>
      <c r="D425" t="s">
        <v>2604</v>
      </c>
      <c r="E425" t="s">
        <v>37</v>
      </c>
      <c r="F425" t="s">
        <v>38</v>
      </c>
      <c r="G425" s="2">
        <v>45825</v>
      </c>
      <c r="H425">
        <v>0.9</v>
      </c>
      <c r="I425" t="s">
        <v>72</v>
      </c>
      <c r="J425" t="s">
        <v>40</v>
      </c>
      <c r="K425" t="s">
        <v>41</v>
      </c>
      <c r="L425" t="s">
        <v>2605</v>
      </c>
      <c r="M425" t="s">
        <v>2606</v>
      </c>
      <c r="N425" t="s">
        <v>3027</v>
      </c>
      <c r="O425" t="s">
        <v>79</v>
      </c>
      <c r="P425" t="s">
        <v>80</v>
      </c>
      <c r="Q425">
        <v>0.68219261362576822</v>
      </c>
      <c r="R425" t="s">
        <v>46</v>
      </c>
      <c r="S425" t="s">
        <v>47</v>
      </c>
      <c r="T425" t="s">
        <v>3097</v>
      </c>
      <c r="V425" t="s">
        <v>110</v>
      </c>
      <c r="X425" t="s">
        <v>3257</v>
      </c>
      <c r="Y425" t="s">
        <v>412</v>
      </c>
      <c r="Z425" t="s">
        <v>2623</v>
      </c>
      <c r="AA425" t="s">
        <v>576</v>
      </c>
      <c r="AB425" t="s">
        <v>41</v>
      </c>
      <c r="AD425" t="s">
        <v>620</v>
      </c>
      <c r="AF425" t="s">
        <v>2667</v>
      </c>
      <c r="AJ425">
        <v>364.00462326705627</v>
      </c>
      <c r="AK425">
        <v>2760.7466027406499</v>
      </c>
    </row>
    <row r="426" spans="1:37" x14ac:dyDescent="0.25">
      <c r="A426">
        <v>444</v>
      </c>
      <c r="B426" t="s">
        <v>3300</v>
      </c>
      <c r="C426" t="s">
        <v>376</v>
      </c>
      <c r="D426" t="s">
        <v>2604</v>
      </c>
      <c r="E426" t="s">
        <v>37</v>
      </c>
      <c r="F426" t="s">
        <v>38</v>
      </c>
      <c r="G426" s="2">
        <v>45846</v>
      </c>
      <c r="H426">
        <v>10.8</v>
      </c>
      <c r="I426" t="s">
        <v>72</v>
      </c>
      <c r="J426" t="s">
        <v>40</v>
      </c>
      <c r="K426" t="s">
        <v>41</v>
      </c>
      <c r="L426" t="s">
        <v>2605</v>
      </c>
      <c r="M426" t="s">
        <v>2606</v>
      </c>
      <c r="O426" t="s">
        <v>62</v>
      </c>
      <c r="P426" t="s">
        <v>63</v>
      </c>
      <c r="Q426">
        <v>10.70954482705714</v>
      </c>
      <c r="R426" t="s">
        <v>64</v>
      </c>
      <c r="S426" t="s">
        <v>65</v>
      </c>
      <c r="T426" t="s">
        <v>3191</v>
      </c>
      <c r="V426" t="s">
        <v>119</v>
      </c>
      <c r="X426" t="s">
        <v>3192</v>
      </c>
      <c r="Y426" t="s">
        <v>412</v>
      </c>
      <c r="Z426" t="s">
        <v>2623</v>
      </c>
      <c r="AA426" t="s">
        <v>121</v>
      </c>
      <c r="AB426" t="s">
        <v>41</v>
      </c>
      <c r="AD426" t="s">
        <v>620</v>
      </c>
      <c r="AF426" t="s">
        <v>2667</v>
      </c>
      <c r="AJ426">
        <v>919.67350807615799</v>
      </c>
      <c r="AK426">
        <v>43340.163624838016</v>
      </c>
    </row>
    <row r="427" spans="1:37" hidden="1" x14ac:dyDescent="0.25">
      <c r="A427">
        <v>439</v>
      </c>
      <c r="B427" t="s">
        <v>3295</v>
      </c>
      <c r="C427" t="s">
        <v>376</v>
      </c>
      <c r="D427" t="s">
        <v>2604</v>
      </c>
      <c r="E427" t="s">
        <v>37</v>
      </c>
      <c r="F427" t="s">
        <v>38</v>
      </c>
      <c r="G427" s="2">
        <v>45825</v>
      </c>
      <c r="H427">
        <v>0.3</v>
      </c>
      <c r="I427" t="s">
        <v>72</v>
      </c>
      <c r="J427" t="s">
        <v>40</v>
      </c>
      <c r="K427" t="s">
        <v>41</v>
      </c>
      <c r="L427" t="s">
        <v>2605</v>
      </c>
      <c r="M427" t="s">
        <v>2606</v>
      </c>
      <c r="N427" t="s">
        <v>3027</v>
      </c>
      <c r="O427" t="s">
        <v>79</v>
      </c>
      <c r="P427" t="s">
        <v>80</v>
      </c>
      <c r="Q427">
        <v>0.21786909418506531</v>
      </c>
      <c r="R427" t="s">
        <v>46</v>
      </c>
      <c r="S427" t="s">
        <v>47</v>
      </c>
      <c r="T427" t="s">
        <v>3097</v>
      </c>
      <c r="V427" t="s">
        <v>110</v>
      </c>
      <c r="X427" t="s">
        <v>3257</v>
      </c>
      <c r="Y427" t="s">
        <v>412</v>
      </c>
      <c r="Z427" t="s">
        <v>2623</v>
      </c>
      <c r="AA427" t="s">
        <v>576</v>
      </c>
      <c r="AB427" t="s">
        <v>41</v>
      </c>
      <c r="AD427" t="s">
        <v>620</v>
      </c>
      <c r="AF427" t="s">
        <v>2667</v>
      </c>
      <c r="AJ427">
        <v>144.20427219258531</v>
      </c>
      <c r="AK427">
        <v>881.68846979565456</v>
      </c>
    </row>
    <row r="428" spans="1:37" x14ac:dyDescent="0.25">
      <c r="A428">
        <v>449</v>
      </c>
      <c r="B428" t="s">
        <v>3306</v>
      </c>
      <c r="C428" t="s">
        <v>376</v>
      </c>
      <c r="D428" t="s">
        <v>2604</v>
      </c>
      <c r="E428" t="s">
        <v>37</v>
      </c>
      <c r="F428" t="s">
        <v>38</v>
      </c>
      <c r="G428" s="2">
        <v>45846</v>
      </c>
      <c r="H428">
        <v>10.5</v>
      </c>
      <c r="I428" t="s">
        <v>72</v>
      </c>
      <c r="J428" t="s">
        <v>40</v>
      </c>
      <c r="K428" t="s">
        <v>41</v>
      </c>
      <c r="L428" t="s">
        <v>2605</v>
      </c>
      <c r="M428" t="s">
        <v>2606</v>
      </c>
      <c r="O428" t="s">
        <v>62</v>
      </c>
      <c r="P428" t="s">
        <v>63</v>
      </c>
      <c r="Q428">
        <v>10.68176714783676</v>
      </c>
      <c r="R428" t="s">
        <v>64</v>
      </c>
      <c r="S428" t="s">
        <v>65</v>
      </c>
      <c r="T428" t="s">
        <v>3307</v>
      </c>
      <c r="V428" t="s">
        <v>119</v>
      </c>
      <c r="X428" t="s">
        <v>3173</v>
      </c>
      <c r="Y428" t="s">
        <v>412</v>
      </c>
      <c r="Z428" t="s">
        <v>2623</v>
      </c>
      <c r="AA428" t="s">
        <v>121</v>
      </c>
      <c r="AB428" t="s">
        <v>41</v>
      </c>
      <c r="AD428" t="s">
        <v>620</v>
      </c>
      <c r="AF428" t="s">
        <v>3308</v>
      </c>
      <c r="AJ428">
        <v>1120.179922803942</v>
      </c>
      <c r="AK428">
        <v>43227.750895635188</v>
      </c>
    </row>
    <row r="429" spans="1:37" x14ac:dyDescent="0.25">
      <c r="A429">
        <v>451</v>
      </c>
      <c r="B429" t="s">
        <v>3310</v>
      </c>
      <c r="C429" t="s">
        <v>376</v>
      </c>
      <c r="D429" t="s">
        <v>2604</v>
      </c>
      <c r="E429" t="s">
        <v>37</v>
      </c>
      <c r="F429" t="s">
        <v>38</v>
      </c>
      <c r="G429" s="2">
        <v>45846</v>
      </c>
      <c r="H429">
        <v>7</v>
      </c>
      <c r="I429" t="s">
        <v>72</v>
      </c>
      <c r="J429" t="s">
        <v>40</v>
      </c>
      <c r="K429" t="s">
        <v>41</v>
      </c>
      <c r="L429" t="s">
        <v>2605</v>
      </c>
      <c r="M429" t="s">
        <v>2606</v>
      </c>
      <c r="O429" t="s">
        <v>62</v>
      </c>
      <c r="P429" t="s">
        <v>63</v>
      </c>
      <c r="Q429">
        <v>7.2572639764511573</v>
      </c>
      <c r="R429" t="s">
        <v>64</v>
      </c>
      <c r="S429" t="s">
        <v>65</v>
      </c>
      <c r="T429" t="s">
        <v>3311</v>
      </c>
      <c r="V429" t="s">
        <v>860</v>
      </c>
      <c r="X429" t="s">
        <v>3288</v>
      </c>
      <c r="Y429" t="s">
        <v>412</v>
      </c>
      <c r="Z429" t="s">
        <v>2623</v>
      </c>
      <c r="AA429" t="s">
        <v>818</v>
      </c>
      <c r="AB429" t="s">
        <v>41</v>
      </c>
      <c r="AD429" t="s">
        <v>721</v>
      </c>
      <c r="AF429" t="s">
        <v>3119</v>
      </c>
      <c r="AJ429">
        <v>730.01175424314681</v>
      </c>
      <c r="AK429">
        <v>29369.22280892729</v>
      </c>
    </row>
    <row r="430" spans="1:37" x14ac:dyDescent="0.25">
      <c r="A430">
        <v>452</v>
      </c>
      <c r="B430" t="s">
        <v>3312</v>
      </c>
      <c r="C430" t="s">
        <v>376</v>
      </c>
      <c r="D430" t="s">
        <v>2604</v>
      </c>
      <c r="E430" t="s">
        <v>37</v>
      </c>
      <c r="F430" t="s">
        <v>38</v>
      </c>
      <c r="G430" s="2">
        <v>45846</v>
      </c>
      <c r="H430">
        <v>5.4</v>
      </c>
      <c r="I430" t="s">
        <v>72</v>
      </c>
      <c r="J430" t="s">
        <v>40</v>
      </c>
      <c r="K430" t="s">
        <v>41</v>
      </c>
      <c r="L430" t="s">
        <v>2605</v>
      </c>
      <c r="M430" t="s">
        <v>2606</v>
      </c>
      <c r="O430" t="s">
        <v>62</v>
      </c>
      <c r="P430" t="s">
        <v>63</v>
      </c>
      <c r="Q430">
        <v>5.4485331683474767</v>
      </c>
      <c r="R430" t="s">
        <v>64</v>
      </c>
      <c r="S430" t="s">
        <v>65</v>
      </c>
      <c r="T430" t="s">
        <v>3313</v>
      </c>
      <c r="V430" t="s">
        <v>858</v>
      </c>
      <c r="X430" t="s">
        <v>3314</v>
      </c>
      <c r="Y430" t="s">
        <v>412</v>
      </c>
      <c r="Z430" t="s">
        <v>2623</v>
      </c>
      <c r="AA430" t="s">
        <v>818</v>
      </c>
      <c r="AB430" t="s">
        <v>41</v>
      </c>
      <c r="AD430" t="s">
        <v>3315</v>
      </c>
      <c r="AF430" t="s">
        <v>3119</v>
      </c>
      <c r="AJ430">
        <v>611.92385567466351</v>
      </c>
      <c r="AK430">
        <v>22049.519642976778</v>
      </c>
    </row>
    <row r="431" spans="1:37" x14ac:dyDescent="0.25">
      <c r="A431">
        <v>456</v>
      </c>
      <c r="B431" t="s">
        <v>3322</v>
      </c>
      <c r="C431" t="s">
        <v>376</v>
      </c>
      <c r="D431" t="s">
        <v>2604</v>
      </c>
      <c r="E431" t="s">
        <v>37</v>
      </c>
      <c r="F431" t="s">
        <v>38</v>
      </c>
      <c r="G431" s="2">
        <v>45846</v>
      </c>
      <c r="H431">
        <v>0.2</v>
      </c>
      <c r="I431" t="s">
        <v>72</v>
      </c>
      <c r="J431" t="s">
        <v>40</v>
      </c>
      <c r="K431" t="s">
        <v>41</v>
      </c>
      <c r="L431" t="s">
        <v>2605</v>
      </c>
      <c r="M431" t="s">
        <v>2606</v>
      </c>
      <c r="N431" t="s">
        <v>2702</v>
      </c>
      <c r="O431" t="s">
        <v>62</v>
      </c>
      <c r="P431" t="s">
        <v>63</v>
      </c>
      <c r="Q431">
        <v>0.1179315678526756</v>
      </c>
      <c r="R431" t="s">
        <v>64</v>
      </c>
      <c r="S431" t="s">
        <v>65</v>
      </c>
      <c r="T431" t="s">
        <v>2883</v>
      </c>
      <c r="V431" t="s">
        <v>110</v>
      </c>
      <c r="X431" t="s">
        <v>3323</v>
      </c>
      <c r="Y431" t="s">
        <v>412</v>
      </c>
      <c r="Z431" t="s">
        <v>2623</v>
      </c>
      <c r="AA431" t="s">
        <v>576</v>
      </c>
      <c r="AB431" t="s">
        <v>41</v>
      </c>
      <c r="AJ431">
        <v>106.8998000308287</v>
      </c>
      <c r="AK431">
        <v>477.25403178251969</v>
      </c>
    </row>
    <row r="432" spans="1:37" x14ac:dyDescent="0.25">
      <c r="A432">
        <v>458</v>
      </c>
      <c r="B432" t="s">
        <v>3325</v>
      </c>
      <c r="C432" t="s">
        <v>376</v>
      </c>
      <c r="D432" t="s">
        <v>2604</v>
      </c>
      <c r="E432" t="s">
        <v>37</v>
      </c>
      <c r="F432" t="s">
        <v>38</v>
      </c>
      <c r="G432" s="2">
        <v>45846</v>
      </c>
      <c r="H432">
        <v>0.9</v>
      </c>
      <c r="I432" t="s">
        <v>72</v>
      </c>
      <c r="J432" t="s">
        <v>40</v>
      </c>
      <c r="K432" t="s">
        <v>41</v>
      </c>
      <c r="L432" t="s">
        <v>2605</v>
      </c>
      <c r="M432" t="s">
        <v>2606</v>
      </c>
      <c r="O432" t="s">
        <v>62</v>
      </c>
      <c r="P432" t="s">
        <v>63</v>
      </c>
      <c r="Q432">
        <v>0.93886575820566476</v>
      </c>
      <c r="R432" t="s">
        <v>64</v>
      </c>
      <c r="S432" t="s">
        <v>65</v>
      </c>
      <c r="T432" t="s">
        <v>3313</v>
      </c>
      <c r="V432" t="s">
        <v>858</v>
      </c>
      <c r="X432" t="s">
        <v>3314</v>
      </c>
      <c r="Y432" t="s">
        <v>412</v>
      </c>
      <c r="Z432" t="s">
        <v>2623</v>
      </c>
      <c r="AA432" t="s">
        <v>818</v>
      </c>
      <c r="AB432" t="s">
        <v>41</v>
      </c>
      <c r="AD432" t="s">
        <v>3315</v>
      </c>
      <c r="AF432" t="s">
        <v>3119</v>
      </c>
      <c r="AJ432">
        <v>392.07926295501989</v>
      </c>
      <c r="AK432">
        <v>3799.4701212313271</v>
      </c>
    </row>
    <row r="433" spans="1:37" hidden="1" x14ac:dyDescent="0.25">
      <c r="A433">
        <v>445</v>
      </c>
      <c r="B433" t="s">
        <v>3301</v>
      </c>
      <c r="C433" t="s">
        <v>376</v>
      </c>
      <c r="D433" t="s">
        <v>2604</v>
      </c>
      <c r="E433" t="s">
        <v>37</v>
      </c>
      <c r="F433" t="s">
        <v>38</v>
      </c>
      <c r="G433" s="2">
        <v>45825</v>
      </c>
      <c r="H433">
        <v>14.7</v>
      </c>
      <c r="I433" t="s">
        <v>72</v>
      </c>
      <c r="J433" t="s">
        <v>40</v>
      </c>
      <c r="K433" t="s">
        <v>41</v>
      </c>
      <c r="L433" t="s">
        <v>2605</v>
      </c>
      <c r="M433" t="s">
        <v>2606</v>
      </c>
      <c r="N433" t="s">
        <v>2702</v>
      </c>
      <c r="O433" t="s">
        <v>402</v>
      </c>
      <c r="P433" t="s">
        <v>403</v>
      </c>
      <c r="Q433">
        <v>14.4632484633378</v>
      </c>
      <c r="S433" t="s">
        <v>38</v>
      </c>
      <c r="T433" t="s">
        <v>2883</v>
      </c>
      <c r="V433" t="s">
        <v>110</v>
      </c>
      <c r="X433" t="s">
        <v>3226</v>
      </c>
      <c r="Y433" t="s">
        <v>412</v>
      </c>
      <c r="Z433" t="s">
        <v>2623</v>
      </c>
      <c r="AA433" t="s">
        <v>576</v>
      </c>
      <c r="AB433" t="s">
        <v>41</v>
      </c>
      <c r="AF433" t="s">
        <v>2667</v>
      </c>
      <c r="AJ433">
        <v>1472.9206371178441</v>
      </c>
      <c r="AK433">
        <v>58530.924056087621</v>
      </c>
    </row>
    <row r="434" spans="1:37" hidden="1" x14ac:dyDescent="0.25">
      <c r="A434">
        <v>446</v>
      </c>
      <c r="B434" t="s">
        <v>3302</v>
      </c>
      <c r="C434" t="s">
        <v>376</v>
      </c>
      <c r="D434" t="s">
        <v>2604</v>
      </c>
      <c r="E434" t="s">
        <v>37</v>
      </c>
      <c r="F434" t="s">
        <v>38</v>
      </c>
      <c r="G434" s="2">
        <v>45825</v>
      </c>
      <c r="H434">
        <v>1.2</v>
      </c>
      <c r="I434" t="s">
        <v>72</v>
      </c>
      <c r="J434" t="s">
        <v>40</v>
      </c>
      <c r="K434" t="s">
        <v>41</v>
      </c>
      <c r="L434" t="s">
        <v>2605</v>
      </c>
      <c r="M434" t="s">
        <v>2606</v>
      </c>
      <c r="N434" t="s">
        <v>2702</v>
      </c>
      <c r="O434" t="s">
        <v>402</v>
      </c>
      <c r="P434" t="s">
        <v>403</v>
      </c>
      <c r="Q434">
        <v>1.2360828828634109</v>
      </c>
      <c r="S434" t="s">
        <v>38</v>
      </c>
      <c r="T434" t="s">
        <v>2883</v>
      </c>
      <c r="V434" t="s">
        <v>110</v>
      </c>
      <c r="X434" t="s">
        <v>3226</v>
      </c>
      <c r="Y434" t="s">
        <v>412</v>
      </c>
      <c r="Z434" t="s">
        <v>2623</v>
      </c>
      <c r="AA434" t="s">
        <v>576</v>
      </c>
      <c r="AB434" t="s">
        <v>41</v>
      </c>
      <c r="AD434" t="s">
        <v>620</v>
      </c>
      <c r="AF434" t="s">
        <v>2667</v>
      </c>
      <c r="AJ434">
        <v>296.35858554314831</v>
      </c>
      <c r="AK434">
        <v>5002.2699621943393</v>
      </c>
    </row>
    <row r="435" spans="1:37" hidden="1" x14ac:dyDescent="0.25">
      <c r="A435">
        <v>447</v>
      </c>
      <c r="B435" t="s">
        <v>3303</v>
      </c>
      <c r="C435" t="s">
        <v>376</v>
      </c>
      <c r="D435" t="s">
        <v>2604</v>
      </c>
      <c r="E435" t="s">
        <v>37</v>
      </c>
      <c r="F435" t="s">
        <v>38</v>
      </c>
      <c r="G435" s="2">
        <v>45825</v>
      </c>
      <c r="H435">
        <v>11.2</v>
      </c>
      <c r="I435" t="s">
        <v>72</v>
      </c>
      <c r="J435" t="s">
        <v>40</v>
      </c>
      <c r="K435" t="s">
        <v>41</v>
      </c>
      <c r="L435" t="s">
        <v>2605</v>
      </c>
      <c r="M435" t="s">
        <v>2606</v>
      </c>
      <c r="N435" t="s">
        <v>3027</v>
      </c>
      <c r="O435" t="s">
        <v>87</v>
      </c>
      <c r="P435" t="s">
        <v>88</v>
      </c>
      <c r="Q435">
        <v>17.060682143123071</v>
      </c>
      <c r="R435" t="s">
        <v>46</v>
      </c>
      <c r="S435" t="s">
        <v>47</v>
      </c>
      <c r="T435" t="s">
        <v>3097</v>
      </c>
      <c r="V435" t="s">
        <v>110</v>
      </c>
      <c r="X435" t="s">
        <v>3257</v>
      </c>
      <c r="Y435" t="s">
        <v>412</v>
      </c>
      <c r="Z435" t="s">
        <v>2623</v>
      </c>
      <c r="AA435" t="s">
        <v>576</v>
      </c>
      <c r="AB435" t="s">
        <v>41</v>
      </c>
      <c r="AD435" t="s">
        <v>620</v>
      </c>
      <c r="AF435" t="s">
        <v>3304</v>
      </c>
      <c r="AJ435">
        <v>1098.8840733700431</v>
      </c>
      <c r="AK435">
        <v>69042.407270775497</v>
      </c>
    </row>
    <row r="436" spans="1:37" hidden="1" x14ac:dyDescent="0.25">
      <c r="A436">
        <v>448</v>
      </c>
      <c r="B436" t="s">
        <v>3305</v>
      </c>
      <c r="C436" t="s">
        <v>376</v>
      </c>
      <c r="D436" t="s">
        <v>2604</v>
      </c>
      <c r="E436" t="s">
        <v>37</v>
      </c>
      <c r="F436" t="s">
        <v>38</v>
      </c>
      <c r="G436" s="2">
        <v>45825</v>
      </c>
      <c r="H436">
        <v>6.8</v>
      </c>
      <c r="I436" t="s">
        <v>72</v>
      </c>
      <c r="J436" t="s">
        <v>40</v>
      </c>
      <c r="K436" t="s">
        <v>41</v>
      </c>
      <c r="L436" t="s">
        <v>2605</v>
      </c>
      <c r="M436" t="s">
        <v>2606</v>
      </c>
      <c r="N436" t="s">
        <v>2702</v>
      </c>
      <c r="O436" t="s">
        <v>87</v>
      </c>
      <c r="P436" t="s">
        <v>88</v>
      </c>
      <c r="Q436">
        <v>6.8703461045977514</v>
      </c>
      <c r="R436" t="s">
        <v>46</v>
      </c>
      <c r="S436" t="s">
        <v>47</v>
      </c>
      <c r="T436" t="s">
        <v>2883</v>
      </c>
      <c r="V436" t="s">
        <v>110</v>
      </c>
      <c r="X436" t="s">
        <v>3226</v>
      </c>
      <c r="Y436" t="s">
        <v>412</v>
      </c>
      <c r="Z436" t="s">
        <v>2623</v>
      </c>
      <c r="AA436" t="s">
        <v>576</v>
      </c>
      <c r="AB436" t="s">
        <v>41</v>
      </c>
      <c r="AD436" t="s">
        <v>620</v>
      </c>
      <c r="AF436" t="s">
        <v>2667</v>
      </c>
      <c r="AJ436">
        <v>683.33794147606704</v>
      </c>
      <c r="AK436">
        <v>27803.4154710529</v>
      </c>
    </row>
    <row r="437" spans="1:37" x14ac:dyDescent="0.25">
      <c r="A437">
        <v>460</v>
      </c>
      <c r="B437" t="s">
        <v>3328</v>
      </c>
      <c r="C437" t="s">
        <v>376</v>
      </c>
      <c r="D437" t="s">
        <v>2604</v>
      </c>
      <c r="E437" t="s">
        <v>37</v>
      </c>
      <c r="F437" t="s">
        <v>38</v>
      </c>
      <c r="G437" s="2">
        <v>45846</v>
      </c>
      <c r="H437">
        <v>13.2</v>
      </c>
      <c r="I437" t="s">
        <v>72</v>
      </c>
      <c r="J437" t="s">
        <v>40</v>
      </c>
      <c r="K437" t="s">
        <v>41</v>
      </c>
      <c r="L437" t="s">
        <v>2605</v>
      </c>
      <c r="M437" t="s">
        <v>2606</v>
      </c>
      <c r="O437" t="s">
        <v>62</v>
      </c>
      <c r="P437" t="s">
        <v>63</v>
      </c>
      <c r="Q437">
        <v>13.33431203773014</v>
      </c>
      <c r="R437" t="s">
        <v>64</v>
      </c>
      <c r="S437" t="s">
        <v>65</v>
      </c>
      <c r="T437" t="s">
        <v>3191</v>
      </c>
      <c r="V437" t="s">
        <v>119</v>
      </c>
      <c r="X437" t="s">
        <v>3192</v>
      </c>
      <c r="Y437" t="s">
        <v>412</v>
      </c>
      <c r="Z437" t="s">
        <v>2623</v>
      </c>
      <c r="AA437" t="s">
        <v>121</v>
      </c>
      <c r="AB437" t="s">
        <v>41</v>
      </c>
      <c r="AD437" t="s">
        <v>620</v>
      </c>
      <c r="AF437" t="s">
        <v>2667</v>
      </c>
      <c r="AJ437">
        <v>1018.522700021615</v>
      </c>
      <c r="AK437">
        <v>53962.26215700664</v>
      </c>
    </row>
    <row r="438" spans="1:37" hidden="1" x14ac:dyDescent="0.25">
      <c r="A438">
        <v>450</v>
      </c>
      <c r="B438" t="s">
        <v>3309</v>
      </c>
      <c r="C438" t="s">
        <v>376</v>
      </c>
      <c r="D438" t="s">
        <v>2604</v>
      </c>
      <c r="E438" t="s">
        <v>37</v>
      </c>
      <c r="F438" t="s">
        <v>38</v>
      </c>
      <c r="G438" s="2">
        <v>45825</v>
      </c>
      <c r="H438">
        <v>5.3</v>
      </c>
      <c r="I438" t="s">
        <v>72</v>
      </c>
      <c r="J438" t="s">
        <v>40</v>
      </c>
      <c r="K438" t="s">
        <v>41</v>
      </c>
      <c r="L438" t="s">
        <v>2605</v>
      </c>
      <c r="M438" t="s">
        <v>2606</v>
      </c>
      <c r="N438" t="s">
        <v>3027</v>
      </c>
      <c r="O438" t="s">
        <v>87</v>
      </c>
      <c r="P438" t="s">
        <v>88</v>
      </c>
      <c r="Q438">
        <v>5.0698874957388513</v>
      </c>
      <c r="R438" t="s">
        <v>46</v>
      </c>
      <c r="S438" t="s">
        <v>47</v>
      </c>
      <c r="T438" t="s">
        <v>3097</v>
      </c>
      <c r="V438" t="s">
        <v>110</v>
      </c>
      <c r="X438" t="s">
        <v>3257</v>
      </c>
      <c r="Y438" t="s">
        <v>412</v>
      </c>
      <c r="Z438" t="s">
        <v>2623</v>
      </c>
      <c r="AA438" t="s">
        <v>121</v>
      </c>
      <c r="AB438" t="s">
        <v>41</v>
      </c>
      <c r="AD438" t="s">
        <v>620</v>
      </c>
      <c r="AF438" t="s">
        <v>3304</v>
      </c>
      <c r="AJ438">
        <v>626.11268569452523</v>
      </c>
      <c r="AK438">
        <v>20517.18884164952</v>
      </c>
    </row>
    <row r="439" spans="1:37" x14ac:dyDescent="0.25">
      <c r="A439">
        <v>463</v>
      </c>
      <c r="B439" t="s">
        <v>3331</v>
      </c>
      <c r="C439" t="s">
        <v>376</v>
      </c>
      <c r="D439" t="s">
        <v>2604</v>
      </c>
      <c r="E439" t="s">
        <v>37</v>
      </c>
      <c r="F439" t="s">
        <v>38</v>
      </c>
      <c r="G439" s="2">
        <v>45846</v>
      </c>
      <c r="H439">
        <v>10.9</v>
      </c>
      <c r="I439" t="s">
        <v>72</v>
      </c>
      <c r="J439" t="s">
        <v>40</v>
      </c>
      <c r="K439" t="s">
        <v>41</v>
      </c>
      <c r="L439" t="s">
        <v>2605</v>
      </c>
      <c r="M439" t="s">
        <v>2606</v>
      </c>
      <c r="O439" t="s">
        <v>62</v>
      </c>
      <c r="P439" t="s">
        <v>63</v>
      </c>
      <c r="Q439">
        <v>10.7470798614834</v>
      </c>
      <c r="R439" t="s">
        <v>64</v>
      </c>
      <c r="S439" t="s">
        <v>65</v>
      </c>
      <c r="T439" t="s">
        <v>3332</v>
      </c>
      <c r="V439" t="s">
        <v>858</v>
      </c>
      <c r="X439" t="s">
        <v>3314</v>
      </c>
      <c r="Y439" t="s">
        <v>412</v>
      </c>
      <c r="Z439" t="s">
        <v>2623</v>
      </c>
      <c r="AA439" t="s">
        <v>818</v>
      </c>
      <c r="AB439" t="s">
        <v>41</v>
      </c>
      <c r="AD439" t="s">
        <v>3315</v>
      </c>
      <c r="AF439" t="s">
        <v>3119</v>
      </c>
      <c r="AJ439">
        <v>854.2873315340039</v>
      </c>
      <c r="AK439">
        <v>43492.063127568334</v>
      </c>
    </row>
    <row r="440" spans="1:37" x14ac:dyDescent="0.25">
      <c r="A440">
        <v>465</v>
      </c>
      <c r="B440" t="s">
        <v>3336</v>
      </c>
      <c r="C440" t="s">
        <v>376</v>
      </c>
      <c r="D440" t="s">
        <v>2604</v>
      </c>
      <c r="E440" t="s">
        <v>37</v>
      </c>
      <c r="F440" t="s">
        <v>38</v>
      </c>
      <c r="G440" s="2">
        <v>45846</v>
      </c>
      <c r="H440">
        <v>7</v>
      </c>
      <c r="I440" t="s">
        <v>72</v>
      </c>
      <c r="J440" t="s">
        <v>40</v>
      </c>
      <c r="K440" t="s">
        <v>41</v>
      </c>
      <c r="L440" t="s">
        <v>2605</v>
      </c>
      <c r="M440" t="s">
        <v>2606</v>
      </c>
      <c r="O440" t="s">
        <v>62</v>
      </c>
      <c r="P440" t="s">
        <v>63</v>
      </c>
      <c r="Q440">
        <v>7.1606750112150053</v>
      </c>
      <c r="R440" t="s">
        <v>64</v>
      </c>
      <c r="S440" t="s">
        <v>65</v>
      </c>
      <c r="T440" t="s">
        <v>3311</v>
      </c>
      <c r="V440" t="s">
        <v>860</v>
      </c>
      <c r="X440" t="s">
        <v>3288</v>
      </c>
      <c r="Y440" t="s">
        <v>412</v>
      </c>
      <c r="Z440" t="s">
        <v>2623</v>
      </c>
      <c r="AA440" t="s">
        <v>818</v>
      </c>
      <c r="AB440" t="s">
        <v>41</v>
      </c>
      <c r="AD440" t="s">
        <v>721</v>
      </c>
      <c r="AF440" t="s">
        <v>3119</v>
      </c>
      <c r="AJ440">
        <v>813.45368643847064</v>
      </c>
      <c r="AK440">
        <v>28978.339571097011</v>
      </c>
    </row>
    <row r="441" spans="1:37" hidden="1" x14ac:dyDescent="0.25">
      <c r="A441">
        <v>453</v>
      </c>
      <c r="B441" t="s">
        <v>3316</v>
      </c>
      <c r="C441" t="s">
        <v>376</v>
      </c>
      <c r="D441" t="s">
        <v>2604</v>
      </c>
      <c r="E441" t="s">
        <v>37</v>
      </c>
      <c r="F441" t="s">
        <v>38</v>
      </c>
      <c r="G441" s="2">
        <v>45825</v>
      </c>
      <c r="H441">
        <v>7.4</v>
      </c>
      <c r="I441" t="s">
        <v>72</v>
      </c>
      <c r="J441" t="s">
        <v>40</v>
      </c>
      <c r="K441" t="s">
        <v>41</v>
      </c>
      <c r="L441" t="s">
        <v>2605</v>
      </c>
      <c r="M441" t="s">
        <v>2606</v>
      </c>
      <c r="O441" t="s">
        <v>402</v>
      </c>
      <c r="P441" t="s">
        <v>403</v>
      </c>
      <c r="Q441">
        <v>7.2020145005885938</v>
      </c>
      <c r="S441" t="s">
        <v>38</v>
      </c>
      <c r="T441" t="s">
        <v>3191</v>
      </c>
      <c r="V441" t="s">
        <v>110</v>
      </c>
      <c r="X441" t="s">
        <v>3317</v>
      </c>
      <c r="Y441" t="s">
        <v>412</v>
      </c>
      <c r="Z441" t="s">
        <v>2623</v>
      </c>
      <c r="AA441" t="s">
        <v>121</v>
      </c>
      <c r="AB441" t="s">
        <v>41</v>
      </c>
      <c r="AD441" t="s">
        <v>620</v>
      </c>
      <c r="AF441" t="s">
        <v>2667</v>
      </c>
      <c r="AJ441">
        <v>882.69084492910281</v>
      </c>
      <c r="AK441">
        <v>29145.635218349169</v>
      </c>
    </row>
    <row r="442" spans="1:37" hidden="1" x14ac:dyDescent="0.25">
      <c r="A442">
        <v>454</v>
      </c>
      <c r="B442" t="s">
        <v>3318</v>
      </c>
      <c r="C442" t="s">
        <v>376</v>
      </c>
      <c r="D442" t="s">
        <v>2604</v>
      </c>
      <c r="E442" t="s">
        <v>37</v>
      </c>
      <c r="F442" t="s">
        <v>38</v>
      </c>
      <c r="G442" s="2">
        <v>45846</v>
      </c>
      <c r="H442">
        <v>3.2</v>
      </c>
      <c r="I442" t="s">
        <v>72</v>
      </c>
      <c r="J442" t="s">
        <v>40</v>
      </c>
      <c r="K442" t="s">
        <v>41</v>
      </c>
      <c r="L442" t="s">
        <v>2605</v>
      </c>
      <c r="M442" t="s">
        <v>2606</v>
      </c>
      <c r="O442" t="s">
        <v>79</v>
      </c>
      <c r="P442" t="s">
        <v>80</v>
      </c>
      <c r="Q442">
        <v>3.646961994264021</v>
      </c>
      <c r="R442" t="s">
        <v>46</v>
      </c>
      <c r="S442" t="s">
        <v>47</v>
      </c>
      <c r="T442" t="s">
        <v>3319</v>
      </c>
      <c r="V442" t="s">
        <v>860</v>
      </c>
      <c r="X442" t="s">
        <v>3320</v>
      </c>
      <c r="Y442" t="s">
        <v>412</v>
      </c>
      <c r="Z442" t="s">
        <v>2623</v>
      </c>
      <c r="AA442" t="s">
        <v>2116</v>
      </c>
      <c r="AB442" t="s">
        <v>41</v>
      </c>
      <c r="AD442" t="s">
        <v>399</v>
      </c>
      <c r="AF442" t="s">
        <v>865</v>
      </c>
      <c r="AJ442">
        <v>525.68995978045746</v>
      </c>
      <c r="AK442">
        <v>14758.790603839439</v>
      </c>
    </row>
    <row r="443" spans="1:37" hidden="1" x14ac:dyDescent="0.25">
      <c r="A443">
        <v>455</v>
      </c>
      <c r="B443" t="s">
        <v>3321</v>
      </c>
      <c r="C443" t="s">
        <v>376</v>
      </c>
      <c r="D443" t="s">
        <v>2604</v>
      </c>
      <c r="E443" t="s">
        <v>37</v>
      </c>
      <c r="F443" t="s">
        <v>38</v>
      </c>
      <c r="G443" s="2">
        <v>45825</v>
      </c>
      <c r="H443">
        <v>13.4</v>
      </c>
      <c r="I443" t="s">
        <v>72</v>
      </c>
      <c r="J443" t="s">
        <v>40</v>
      </c>
      <c r="K443" t="s">
        <v>41</v>
      </c>
      <c r="L443" t="s">
        <v>2605</v>
      </c>
      <c r="M443" t="s">
        <v>2606</v>
      </c>
      <c r="N443" t="s">
        <v>3027</v>
      </c>
      <c r="O443" t="s">
        <v>402</v>
      </c>
      <c r="P443" t="s">
        <v>403</v>
      </c>
      <c r="Q443">
        <v>3.874996742807383</v>
      </c>
      <c r="S443" t="s">
        <v>38</v>
      </c>
      <c r="T443" t="s">
        <v>3097</v>
      </c>
      <c r="V443" t="s">
        <v>110</v>
      </c>
      <c r="X443" t="s">
        <v>3257</v>
      </c>
      <c r="Y443" t="s">
        <v>412</v>
      </c>
      <c r="Z443" t="s">
        <v>2623</v>
      </c>
      <c r="AA443" t="s">
        <v>576</v>
      </c>
      <c r="AB443" t="s">
        <v>41</v>
      </c>
      <c r="AD443" t="s">
        <v>620</v>
      </c>
      <c r="AF443" t="s">
        <v>3304</v>
      </c>
      <c r="AJ443">
        <v>624.31569159488424</v>
      </c>
      <c r="AK443">
        <v>15681.61818181914</v>
      </c>
    </row>
    <row r="444" spans="1:37" x14ac:dyDescent="0.25">
      <c r="A444">
        <v>467</v>
      </c>
      <c r="B444" t="s">
        <v>3338</v>
      </c>
      <c r="C444" t="s">
        <v>376</v>
      </c>
      <c r="D444" t="s">
        <v>2604</v>
      </c>
      <c r="E444" t="s">
        <v>37</v>
      </c>
      <c r="F444" t="s">
        <v>38</v>
      </c>
      <c r="G444" s="2">
        <v>45846</v>
      </c>
      <c r="H444">
        <v>6.5</v>
      </c>
      <c r="I444" t="s">
        <v>72</v>
      </c>
      <c r="J444" t="s">
        <v>40</v>
      </c>
      <c r="K444" t="s">
        <v>41</v>
      </c>
      <c r="L444" t="s">
        <v>2605</v>
      </c>
      <c r="M444" t="s">
        <v>2606</v>
      </c>
      <c r="O444" t="s">
        <v>62</v>
      </c>
      <c r="P444" t="s">
        <v>63</v>
      </c>
      <c r="Q444">
        <v>6.6026463670155788</v>
      </c>
      <c r="R444" t="s">
        <v>64</v>
      </c>
      <c r="S444" t="s">
        <v>65</v>
      </c>
      <c r="T444" t="s">
        <v>3339</v>
      </c>
      <c r="V444" t="s">
        <v>860</v>
      </c>
      <c r="X444" t="s">
        <v>3340</v>
      </c>
      <c r="Y444" t="s">
        <v>412</v>
      </c>
      <c r="Z444" t="s">
        <v>2623</v>
      </c>
      <c r="AA444" t="s">
        <v>2116</v>
      </c>
      <c r="AB444" t="s">
        <v>41</v>
      </c>
      <c r="AD444" t="s">
        <v>2656</v>
      </c>
      <c r="AF444" t="s">
        <v>2275</v>
      </c>
      <c r="AJ444">
        <v>1075.8512803625761</v>
      </c>
      <c r="AK444">
        <v>26720.068735361081</v>
      </c>
    </row>
    <row r="445" spans="1:37" hidden="1" x14ac:dyDescent="0.25">
      <c r="A445">
        <v>457</v>
      </c>
      <c r="B445" t="s">
        <v>3324</v>
      </c>
      <c r="C445" t="s">
        <v>376</v>
      </c>
      <c r="D445" t="s">
        <v>2604</v>
      </c>
      <c r="E445" t="s">
        <v>37</v>
      </c>
      <c r="F445" t="s">
        <v>38</v>
      </c>
      <c r="G445" s="2">
        <v>45825</v>
      </c>
      <c r="H445">
        <v>9.1999999999999993</v>
      </c>
      <c r="I445" t="s">
        <v>72</v>
      </c>
      <c r="J445" t="s">
        <v>40</v>
      </c>
      <c r="K445" t="s">
        <v>41</v>
      </c>
      <c r="L445" t="s">
        <v>2605</v>
      </c>
      <c r="M445" t="s">
        <v>2606</v>
      </c>
      <c r="N445" t="s">
        <v>3027</v>
      </c>
      <c r="O445" t="s">
        <v>87</v>
      </c>
      <c r="P445" t="s">
        <v>88</v>
      </c>
      <c r="Q445">
        <v>9.7540221485705878</v>
      </c>
      <c r="R445" t="s">
        <v>46</v>
      </c>
      <c r="S445" t="s">
        <v>47</v>
      </c>
      <c r="T445" t="s">
        <v>3097</v>
      </c>
      <c r="V445" t="s">
        <v>110</v>
      </c>
      <c r="X445" t="s">
        <v>3257</v>
      </c>
      <c r="Y445" t="s">
        <v>412</v>
      </c>
      <c r="Z445" t="s">
        <v>2623</v>
      </c>
      <c r="AA445" t="s">
        <v>121</v>
      </c>
      <c r="AB445" t="s">
        <v>41</v>
      </c>
      <c r="AD445" t="s">
        <v>620</v>
      </c>
      <c r="AF445" t="s">
        <v>3304</v>
      </c>
      <c r="AJ445">
        <v>887.27415936934835</v>
      </c>
      <c r="AK445">
        <v>39473.285069157108</v>
      </c>
    </row>
    <row r="446" spans="1:37" x14ac:dyDescent="0.25">
      <c r="A446">
        <v>471</v>
      </c>
      <c r="B446" t="s">
        <v>3344</v>
      </c>
      <c r="C446" t="s">
        <v>376</v>
      </c>
      <c r="D446" t="s">
        <v>2604</v>
      </c>
      <c r="E446" t="s">
        <v>37</v>
      </c>
      <c r="F446" t="s">
        <v>38</v>
      </c>
      <c r="G446" s="2">
        <v>45846</v>
      </c>
      <c r="H446">
        <v>0.2</v>
      </c>
      <c r="I446" t="s">
        <v>72</v>
      </c>
      <c r="J446" t="s">
        <v>40</v>
      </c>
      <c r="K446" t="s">
        <v>41</v>
      </c>
      <c r="L446" t="s">
        <v>2605</v>
      </c>
      <c r="M446" t="s">
        <v>2606</v>
      </c>
      <c r="O446" t="s">
        <v>62</v>
      </c>
      <c r="P446" t="s">
        <v>63</v>
      </c>
      <c r="Q446">
        <v>0.25503369891696642</v>
      </c>
      <c r="R446" t="s">
        <v>64</v>
      </c>
      <c r="S446" t="s">
        <v>65</v>
      </c>
      <c r="T446" t="s">
        <v>3339</v>
      </c>
      <c r="V446" t="s">
        <v>860</v>
      </c>
      <c r="X446" t="s">
        <v>3340</v>
      </c>
      <c r="Y446" t="s">
        <v>412</v>
      </c>
      <c r="Z446" t="s">
        <v>2623</v>
      </c>
      <c r="AA446" t="s">
        <v>2116</v>
      </c>
      <c r="AB446" t="s">
        <v>41</v>
      </c>
      <c r="AD446" t="s">
        <v>2656</v>
      </c>
      <c r="AF446" t="s">
        <v>2275</v>
      </c>
      <c r="AJ446">
        <v>134.74904007057731</v>
      </c>
      <c r="AK446">
        <v>1032.0888907419881</v>
      </c>
    </row>
    <row r="447" spans="1:37" hidden="1" x14ac:dyDescent="0.25">
      <c r="A447">
        <v>459</v>
      </c>
      <c r="B447" t="s">
        <v>3326</v>
      </c>
      <c r="C447" t="s">
        <v>376</v>
      </c>
      <c r="D447" t="s">
        <v>2604</v>
      </c>
      <c r="E447" t="s">
        <v>37</v>
      </c>
      <c r="F447" t="s">
        <v>38</v>
      </c>
      <c r="G447" s="2">
        <v>45825</v>
      </c>
      <c r="I447" t="s">
        <v>72</v>
      </c>
      <c r="J447" t="s">
        <v>40</v>
      </c>
      <c r="K447" t="s">
        <v>41</v>
      </c>
      <c r="L447" t="s">
        <v>2605</v>
      </c>
      <c r="M447" t="s">
        <v>2606</v>
      </c>
      <c r="O447" t="s">
        <v>402</v>
      </c>
      <c r="P447" t="s">
        <v>403</v>
      </c>
      <c r="Q447">
        <v>5.1840977310887189</v>
      </c>
      <c r="S447" t="s">
        <v>38</v>
      </c>
      <c r="T447" t="s">
        <v>673</v>
      </c>
      <c r="V447" t="s">
        <v>110</v>
      </c>
      <c r="X447" t="s">
        <v>673</v>
      </c>
      <c r="Y447" t="s">
        <v>412</v>
      </c>
      <c r="Z447" t="s">
        <v>2623</v>
      </c>
      <c r="AA447" t="s">
        <v>121</v>
      </c>
      <c r="AB447" t="s">
        <v>41</v>
      </c>
      <c r="AE447" t="s">
        <v>3327</v>
      </c>
      <c r="AF447" t="s">
        <v>38</v>
      </c>
      <c r="AJ447">
        <v>788.35897874923739</v>
      </c>
      <c r="AK447">
        <v>20979.38311485419</v>
      </c>
    </row>
    <row r="448" spans="1:37" x14ac:dyDescent="0.25">
      <c r="A448">
        <v>472</v>
      </c>
      <c r="B448" t="s">
        <v>3345</v>
      </c>
      <c r="C448" t="s">
        <v>376</v>
      </c>
      <c r="D448" t="s">
        <v>2604</v>
      </c>
      <c r="E448" t="s">
        <v>37</v>
      </c>
      <c r="F448" t="s">
        <v>38</v>
      </c>
      <c r="G448" s="2">
        <v>45846</v>
      </c>
      <c r="I448" t="s">
        <v>72</v>
      </c>
      <c r="J448" t="s">
        <v>40</v>
      </c>
      <c r="K448" t="s">
        <v>41</v>
      </c>
      <c r="L448" t="s">
        <v>2605</v>
      </c>
      <c r="M448" t="s">
        <v>2606</v>
      </c>
      <c r="O448" t="s">
        <v>62</v>
      </c>
      <c r="P448" t="s">
        <v>63</v>
      </c>
      <c r="Q448">
        <v>7.3381620440509678</v>
      </c>
      <c r="R448" t="s">
        <v>64</v>
      </c>
      <c r="S448" t="s">
        <v>65</v>
      </c>
      <c r="T448" t="s">
        <v>673</v>
      </c>
      <c r="V448" t="s">
        <v>860</v>
      </c>
      <c r="X448" t="s">
        <v>673</v>
      </c>
      <c r="Y448" t="s">
        <v>412</v>
      </c>
      <c r="Z448" t="s">
        <v>2623</v>
      </c>
      <c r="AA448" t="s">
        <v>2116</v>
      </c>
      <c r="AB448" t="s">
        <v>41</v>
      </c>
      <c r="AE448" t="s">
        <v>3346</v>
      </c>
      <c r="AJ448">
        <v>875.3985111427894</v>
      </c>
      <c r="AK448">
        <v>29696.606982888719</v>
      </c>
    </row>
    <row r="449" spans="1:37" hidden="1" x14ac:dyDescent="0.25">
      <c r="A449">
        <v>461</v>
      </c>
      <c r="B449" t="s">
        <v>3329</v>
      </c>
      <c r="C449" t="s">
        <v>376</v>
      </c>
      <c r="D449" t="s">
        <v>2604</v>
      </c>
      <c r="E449" t="s">
        <v>37</v>
      </c>
      <c r="F449" t="s">
        <v>38</v>
      </c>
      <c r="G449" s="2">
        <v>45825</v>
      </c>
      <c r="H449">
        <v>5</v>
      </c>
      <c r="I449" t="s">
        <v>72</v>
      </c>
      <c r="J449" t="s">
        <v>40</v>
      </c>
      <c r="K449" t="s">
        <v>41</v>
      </c>
      <c r="L449" t="s">
        <v>2605</v>
      </c>
      <c r="M449" t="s">
        <v>2606</v>
      </c>
      <c r="N449" t="s">
        <v>3027</v>
      </c>
      <c r="O449" t="s">
        <v>87</v>
      </c>
      <c r="P449" t="s">
        <v>88</v>
      </c>
      <c r="Q449">
        <v>11.99719093908994</v>
      </c>
      <c r="R449" t="s">
        <v>46</v>
      </c>
      <c r="S449" t="s">
        <v>47</v>
      </c>
      <c r="T449" t="s">
        <v>3097</v>
      </c>
      <c r="V449" t="s">
        <v>110</v>
      </c>
      <c r="X449" t="s">
        <v>3257</v>
      </c>
      <c r="Y449" t="s">
        <v>412</v>
      </c>
      <c r="Z449" t="s">
        <v>2623</v>
      </c>
      <c r="AA449" t="s">
        <v>121</v>
      </c>
      <c r="AB449" t="s">
        <v>41</v>
      </c>
      <c r="AD449" t="s">
        <v>620</v>
      </c>
      <c r="AF449" t="s">
        <v>3304</v>
      </c>
      <c r="AJ449">
        <v>875.656647959559</v>
      </c>
      <c r="AK449">
        <v>48551.103406834642</v>
      </c>
    </row>
    <row r="450" spans="1:37" hidden="1" x14ac:dyDescent="0.25">
      <c r="A450">
        <v>462</v>
      </c>
      <c r="B450" t="s">
        <v>3330</v>
      </c>
      <c r="C450" t="s">
        <v>376</v>
      </c>
      <c r="D450" t="s">
        <v>2604</v>
      </c>
      <c r="E450" t="s">
        <v>37</v>
      </c>
      <c r="F450" t="s">
        <v>38</v>
      </c>
      <c r="G450" s="2">
        <v>45825</v>
      </c>
      <c r="H450">
        <v>8.1999999999999993</v>
      </c>
      <c r="I450" t="s">
        <v>72</v>
      </c>
      <c r="J450" t="s">
        <v>40</v>
      </c>
      <c r="K450" t="s">
        <v>41</v>
      </c>
      <c r="L450" t="s">
        <v>2605</v>
      </c>
      <c r="M450" t="s">
        <v>2606</v>
      </c>
      <c r="N450" t="s">
        <v>3027</v>
      </c>
      <c r="O450" t="s">
        <v>87</v>
      </c>
      <c r="P450" t="s">
        <v>88</v>
      </c>
      <c r="Q450">
        <v>12.46207740667414</v>
      </c>
      <c r="R450" t="s">
        <v>46</v>
      </c>
      <c r="S450" t="s">
        <v>47</v>
      </c>
      <c r="T450" t="s">
        <v>3097</v>
      </c>
      <c r="V450" t="s">
        <v>110</v>
      </c>
      <c r="X450" t="s">
        <v>3257</v>
      </c>
      <c r="Y450" t="s">
        <v>412</v>
      </c>
      <c r="Z450" t="s">
        <v>2623</v>
      </c>
      <c r="AA450" t="s">
        <v>576</v>
      </c>
      <c r="AB450" t="s">
        <v>41</v>
      </c>
      <c r="AD450" t="s">
        <v>620</v>
      </c>
      <c r="AF450" t="s">
        <v>3304</v>
      </c>
      <c r="AJ450">
        <v>910.28079434243637</v>
      </c>
      <c r="AK450">
        <v>50432.439719202332</v>
      </c>
    </row>
    <row r="451" spans="1:37" x14ac:dyDescent="0.25">
      <c r="A451">
        <v>475</v>
      </c>
      <c r="B451" t="s">
        <v>3350</v>
      </c>
      <c r="C451" t="s">
        <v>376</v>
      </c>
      <c r="D451" t="s">
        <v>2604</v>
      </c>
      <c r="E451" t="s">
        <v>37</v>
      </c>
      <c r="F451" t="s">
        <v>38</v>
      </c>
      <c r="G451" s="2">
        <v>45846</v>
      </c>
      <c r="H451">
        <v>0.3</v>
      </c>
      <c r="I451" t="s">
        <v>72</v>
      </c>
      <c r="J451" t="s">
        <v>40</v>
      </c>
      <c r="K451" t="s">
        <v>41</v>
      </c>
      <c r="L451" t="s">
        <v>2605</v>
      </c>
      <c r="M451" t="s">
        <v>2606</v>
      </c>
      <c r="O451" t="s">
        <v>62</v>
      </c>
      <c r="P451" t="s">
        <v>63</v>
      </c>
      <c r="Q451">
        <v>0.26780151384968842</v>
      </c>
      <c r="R451" t="s">
        <v>64</v>
      </c>
      <c r="S451" t="s">
        <v>65</v>
      </c>
      <c r="T451" t="s">
        <v>3351</v>
      </c>
      <c r="V451" t="s">
        <v>860</v>
      </c>
      <c r="X451" t="s">
        <v>3352</v>
      </c>
      <c r="Y451" t="s">
        <v>412</v>
      </c>
      <c r="Z451" t="s">
        <v>2623</v>
      </c>
      <c r="AA451" t="s">
        <v>2116</v>
      </c>
      <c r="AB451" t="s">
        <v>41</v>
      </c>
      <c r="AJ451">
        <v>168.32376649217829</v>
      </c>
      <c r="AK451">
        <v>1083.7586112811639</v>
      </c>
    </row>
    <row r="452" spans="1:37" hidden="1" x14ac:dyDescent="0.25">
      <c r="A452">
        <v>464</v>
      </c>
      <c r="B452" t="s">
        <v>3333</v>
      </c>
      <c r="C452" t="s">
        <v>376</v>
      </c>
      <c r="D452" t="s">
        <v>2604</v>
      </c>
      <c r="E452" t="s">
        <v>37</v>
      </c>
      <c r="F452" t="s">
        <v>38</v>
      </c>
      <c r="G452" s="2">
        <v>45846</v>
      </c>
      <c r="H452">
        <v>0.3</v>
      </c>
      <c r="I452" t="s">
        <v>72</v>
      </c>
      <c r="J452" t="s">
        <v>40</v>
      </c>
      <c r="K452" t="s">
        <v>41</v>
      </c>
      <c r="L452" t="s">
        <v>2605</v>
      </c>
      <c r="M452" t="s">
        <v>2606</v>
      </c>
      <c r="O452" t="s">
        <v>96</v>
      </c>
      <c r="P452" t="s">
        <v>97</v>
      </c>
      <c r="Q452">
        <v>0.17950177771276929</v>
      </c>
      <c r="R452" t="s">
        <v>60</v>
      </c>
      <c r="S452" t="s">
        <v>66</v>
      </c>
      <c r="T452" t="s">
        <v>3334</v>
      </c>
      <c r="V452" t="s">
        <v>110</v>
      </c>
      <c r="X452" t="s">
        <v>3335</v>
      </c>
      <c r="Y452" t="s">
        <v>412</v>
      </c>
      <c r="Z452" t="s">
        <v>2623</v>
      </c>
      <c r="AA452" t="s">
        <v>576</v>
      </c>
      <c r="AB452" t="s">
        <v>41</v>
      </c>
      <c r="AJ452">
        <v>159.0806451512839</v>
      </c>
      <c r="AK452">
        <v>726.42082764954273</v>
      </c>
    </row>
    <row r="453" spans="1:37" x14ac:dyDescent="0.25">
      <c r="A453">
        <v>477</v>
      </c>
      <c r="B453" t="s">
        <v>3356</v>
      </c>
      <c r="C453" t="s">
        <v>376</v>
      </c>
      <c r="D453" t="s">
        <v>2604</v>
      </c>
      <c r="E453" t="s">
        <v>37</v>
      </c>
      <c r="F453" t="s">
        <v>38</v>
      </c>
      <c r="G453" s="2">
        <v>45846</v>
      </c>
      <c r="H453">
        <v>0.1</v>
      </c>
      <c r="I453" t="s">
        <v>72</v>
      </c>
      <c r="J453" t="s">
        <v>40</v>
      </c>
      <c r="K453" t="s">
        <v>41</v>
      </c>
      <c r="L453" t="s">
        <v>2605</v>
      </c>
      <c r="M453" t="s">
        <v>2606</v>
      </c>
      <c r="O453" t="s">
        <v>62</v>
      </c>
      <c r="P453" t="s">
        <v>63</v>
      </c>
      <c r="Q453">
        <v>9.1631467061028121E-2</v>
      </c>
      <c r="R453" t="s">
        <v>64</v>
      </c>
      <c r="S453" t="s">
        <v>65</v>
      </c>
      <c r="T453" t="s">
        <v>3357</v>
      </c>
      <c r="V453" t="s">
        <v>860</v>
      </c>
      <c r="X453" t="s">
        <v>3352</v>
      </c>
      <c r="Y453" t="s">
        <v>412</v>
      </c>
      <c r="Z453" t="s">
        <v>2623</v>
      </c>
      <c r="AA453" t="s">
        <v>2116</v>
      </c>
      <c r="AB453" t="s">
        <v>41</v>
      </c>
      <c r="AJ453">
        <v>146.83921874930061</v>
      </c>
      <c r="AK453">
        <v>370.82087425186938</v>
      </c>
    </row>
    <row r="454" spans="1:37" hidden="1" x14ac:dyDescent="0.25">
      <c r="A454">
        <v>466</v>
      </c>
      <c r="B454" t="s">
        <v>3337</v>
      </c>
      <c r="C454" t="s">
        <v>376</v>
      </c>
      <c r="D454" t="s">
        <v>2604</v>
      </c>
      <c r="E454" t="s">
        <v>37</v>
      </c>
      <c r="F454" t="s">
        <v>38</v>
      </c>
      <c r="G454" s="2">
        <v>45825</v>
      </c>
      <c r="H454">
        <v>5.9</v>
      </c>
      <c r="I454" t="s">
        <v>72</v>
      </c>
      <c r="J454" t="s">
        <v>40</v>
      </c>
      <c r="K454" t="s">
        <v>41</v>
      </c>
      <c r="L454" t="s">
        <v>2605</v>
      </c>
      <c r="M454" t="s">
        <v>2606</v>
      </c>
      <c r="N454" t="s">
        <v>2702</v>
      </c>
      <c r="O454" t="s">
        <v>402</v>
      </c>
      <c r="P454" t="s">
        <v>403</v>
      </c>
      <c r="Q454">
        <v>6.0929775533442871</v>
      </c>
      <c r="S454" t="s">
        <v>38</v>
      </c>
      <c r="T454" t="s">
        <v>2883</v>
      </c>
      <c r="V454" t="s">
        <v>110</v>
      </c>
      <c r="X454" t="s">
        <v>3226</v>
      </c>
      <c r="Y454" t="s">
        <v>412</v>
      </c>
      <c r="Z454" t="s">
        <v>2623</v>
      </c>
      <c r="AA454" t="s">
        <v>576</v>
      </c>
      <c r="AB454" t="s">
        <v>41</v>
      </c>
      <c r="AD454" t="s">
        <v>620</v>
      </c>
      <c r="AF454" t="s">
        <v>2667</v>
      </c>
      <c r="AJ454">
        <v>669.17731557530919</v>
      </c>
      <c r="AK454">
        <v>24657.503973207629</v>
      </c>
    </row>
    <row r="455" spans="1:37" x14ac:dyDescent="0.25">
      <c r="A455">
        <v>489</v>
      </c>
      <c r="B455" t="s">
        <v>3375</v>
      </c>
      <c r="C455" t="s">
        <v>376</v>
      </c>
      <c r="D455" t="s">
        <v>2604</v>
      </c>
      <c r="E455" t="s">
        <v>37</v>
      </c>
      <c r="F455" t="s">
        <v>38</v>
      </c>
      <c r="G455" s="2">
        <v>45825</v>
      </c>
      <c r="H455">
        <v>2</v>
      </c>
      <c r="I455" t="s">
        <v>72</v>
      </c>
      <c r="J455" t="s">
        <v>40</v>
      </c>
      <c r="K455" t="s">
        <v>41</v>
      </c>
      <c r="L455" t="s">
        <v>2605</v>
      </c>
      <c r="M455" t="s">
        <v>2606</v>
      </c>
      <c r="O455" t="s">
        <v>62</v>
      </c>
      <c r="P455" t="s">
        <v>63</v>
      </c>
      <c r="Q455">
        <v>2.0525894195526408</v>
      </c>
      <c r="R455" t="s">
        <v>64</v>
      </c>
      <c r="S455" t="s">
        <v>65</v>
      </c>
      <c r="T455" t="s">
        <v>3376</v>
      </c>
      <c r="V455" t="s">
        <v>860</v>
      </c>
      <c r="X455" t="s">
        <v>3377</v>
      </c>
      <c r="Y455" t="s">
        <v>412</v>
      </c>
      <c r="Z455" t="s">
        <v>2623</v>
      </c>
      <c r="AA455" t="s">
        <v>2116</v>
      </c>
      <c r="AB455" t="s">
        <v>41</v>
      </c>
      <c r="AD455" t="s">
        <v>3378</v>
      </c>
      <c r="AF455" t="s">
        <v>865</v>
      </c>
      <c r="AJ455">
        <v>461.86618479565908</v>
      </c>
      <c r="AK455">
        <v>8306.5679013052704</v>
      </c>
    </row>
    <row r="456" spans="1:37" hidden="1" x14ac:dyDescent="0.25">
      <c r="A456">
        <v>468</v>
      </c>
      <c r="B456" t="s">
        <v>3341</v>
      </c>
      <c r="C456" t="s">
        <v>376</v>
      </c>
      <c r="D456" t="s">
        <v>2604</v>
      </c>
      <c r="E456" t="s">
        <v>37</v>
      </c>
      <c r="F456" t="s">
        <v>38</v>
      </c>
      <c r="G456" s="2">
        <v>45825</v>
      </c>
      <c r="H456">
        <v>0.7</v>
      </c>
      <c r="I456" t="s">
        <v>72</v>
      </c>
      <c r="J456" t="s">
        <v>40</v>
      </c>
      <c r="K456" t="s">
        <v>41</v>
      </c>
      <c r="L456" t="s">
        <v>2605</v>
      </c>
      <c r="M456" t="s">
        <v>2606</v>
      </c>
      <c r="N456" t="s">
        <v>2702</v>
      </c>
      <c r="O456" t="s">
        <v>704</v>
      </c>
      <c r="P456" t="s">
        <v>705</v>
      </c>
      <c r="Q456">
        <v>0.66543953164830971</v>
      </c>
      <c r="R456" t="s">
        <v>46</v>
      </c>
      <c r="S456" t="s">
        <v>47</v>
      </c>
      <c r="T456" t="s">
        <v>2883</v>
      </c>
      <c r="V456" t="s">
        <v>110</v>
      </c>
      <c r="X456" t="s">
        <v>3226</v>
      </c>
      <c r="Y456" t="s">
        <v>412</v>
      </c>
      <c r="Z456" t="s">
        <v>2623</v>
      </c>
      <c r="AA456" t="s">
        <v>576</v>
      </c>
      <c r="AB456" t="s">
        <v>41</v>
      </c>
      <c r="AD456" t="s">
        <v>620</v>
      </c>
      <c r="AF456" t="s">
        <v>2667</v>
      </c>
      <c r="AJ456">
        <v>233.84209754253001</v>
      </c>
      <c r="AK456">
        <v>2692.949014155095</v>
      </c>
    </row>
    <row r="457" spans="1:37" hidden="1" x14ac:dyDescent="0.25">
      <c r="A457">
        <v>469</v>
      </c>
      <c r="B457" t="s">
        <v>3342</v>
      </c>
      <c r="C457" t="s">
        <v>376</v>
      </c>
      <c r="D457" t="s">
        <v>2604</v>
      </c>
      <c r="E457" t="s">
        <v>37</v>
      </c>
      <c r="F457" t="s">
        <v>38</v>
      </c>
      <c r="G457" s="2">
        <v>45825</v>
      </c>
      <c r="H457">
        <v>0.5</v>
      </c>
      <c r="I457" t="s">
        <v>72</v>
      </c>
      <c r="J457" t="s">
        <v>40</v>
      </c>
      <c r="K457" t="s">
        <v>41</v>
      </c>
      <c r="L457" t="s">
        <v>2605</v>
      </c>
      <c r="M457" t="s">
        <v>2606</v>
      </c>
      <c r="N457" t="s">
        <v>2702</v>
      </c>
      <c r="O457" t="s">
        <v>402</v>
      </c>
      <c r="P457" t="s">
        <v>403</v>
      </c>
      <c r="Q457">
        <v>0.53410596271961508</v>
      </c>
      <c r="S457" t="s">
        <v>38</v>
      </c>
      <c r="T457" t="s">
        <v>2883</v>
      </c>
      <c r="V457" t="s">
        <v>110</v>
      </c>
      <c r="X457" t="s">
        <v>3226</v>
      </c>
      <c r="Y457" t="s">
        <v>412</v>
      </c>
      <c r="Z457" t="s">
        <v>2623</v>
      </c>
      <c r="AA457" t="s">
        <v>576</v>
      </c>
      <c r="AB457" t="s">
        <v>41</v>
      </c>
      <c r="AD457" t="s">
        <v>620</v>
      </c>
      <c r="AF457" t="s">
        <v>2667</v>
      </c>
      <c r="AJ457">
        <v>301.6981339066482</v>
      </c>
      <c r="AK457">
        <v>2161.458791300528</v>
      </c>
    </row>
    <row r="458" spans="1:37" hidden="1" x14ac:dyDescent="0.25">
      <c r="A458">
        <v>470</v>
      </c>
      <c r="B458" t="s">
        <v>3343</v>
      </c>
      <c r="C458" t="s">
        <v>376</v>
      </c>
      <c r="D458" t="s">
        <v>2604</v>
      </c>
      <c r="E458" t="s">
        <v>37</v>
      </c>
      <c r="F458" t="s">
        <v>38</v>
      </c>
      <c r="G458" s="2">
        <v>45825</v>
      </c>
      <c r="H458">
        <v>1</v>
      </c>
      <c r="I458" t="s">
        <v>72</v>
      </c>
      <c r="J458" t="s">
        <v>40</v>
      </c>
      <c r="K458" t="s">
        <v>41</v>
      </c>
      <c r="L458" t="s">
        <v>2605</v>
      </c>
      <c r="M458" t="s">
        <v>2606</v>
      </c>
      <c r="N458" t="s">
        <v>2702</v>
      </c>
      <c r="O458" t="s">
        <v>402</v>
      </c>
      <c r="P458" t="s">
        <v>403</v>
      </c>
      <c r="Q458">
        <v>1.025523907746579</v>
      </c>
      <c r="S458" t="s">
        <v>38</v>
      </c>
      <c r="T458" t="s">
        <v>2883</v>
      </c>
      <c r="V458" t="s">
        <v>110</v>
      </c>
      <c r="X458" t="s">
        <v>3226</v>
      </c>
      <c r="Y458" t="s">
        <v>412</v>
      </c>
      <c r="Z458" t="s">
        <v>2623</v>
      </c>
      <c r="AA458" t="s">
        <v>576</v>
      </c>
      <c r="AB458" t="s">
        <v>41</v>
      </c>
      <c r="AD458" t="s">
        <v>620</v>
      </c>
      <c r="AF458" t="s">
        <v>2667</v>
      </c>
      <c r="AJ458">
        <v>407.78781173971402</v>
      </c>
      <c r="AK458">
        <v>4150.1646130308382</v>
      </c>
    </row>
    <row r="459" spans="1:37" x14ac:dyDescent="0.25">
      <c r="A459">
        <v>497</v>
      </c>
      <c r="B459" t="s">
        <v>3391</v>
      </c>
      <c r="C459" t="s">
        <v>376</v>
      </c>
      <c r="D459" t="s">
        <v>2604</v>
      </c>
      <c r="E459" t="s">
        <v>37</v>
      </c>
      <c r="F459" t="s">
        <v>38</v>
      </c>
      <c r="G459" s="2">
        <v>45825</v>
      </c>
      <c r="H459">
        <v>0.3</v>
      </c>
      <c r="I459" t="s">
        <v>72</v>
      </c>
      <c r="J459" t="s">
        <v>40</v>
      </c>
      <c r="K459" t="s">
        <v>41</v>
      </c>
      <c r="L459" t="s">
        <v>2605</v>
      </c>
      <c r="M459" t="s">
        <v>2606</v>
      </c>
      <c r="N459" t="s">
        <v>3027</v>
      </c>
      <c r="O459" t="s">
        <v>62</v>
      </c>
      <c r="P459" t="s">
        <v>63</v>
      </c>
      <c r="Q459">
        <v>0.30983276887955857</v>
      </c>
      <c r="R459" t="s">
        <v>64</v>
      </c>
      <c r="S459" t="s">
        <v>65</v>
      </c>
      <c r="T459" t="s">
        <v>3097</v>
      </c>
      <c r="V459" t="s">
        <v>110</v>
      </c>
      <c r="X459" t="s">
        <v>3029</v>
      </c>
      <c r="Y459" t="s">
        <v>412</v>
      </c>
      <c r="Z459" t="s">
        <v>2623</v>
      </c>
      <c r="AA459" t="s">
        <v>121</v>
      </c>
      <c r="AB459" t="s">
        <v>41</v>
      </c>
      <c r="AD459" t="s">
        <v>620</v>
      </c>
      <c r="AF459" t="s">
        <v>2667</v>
      </c>
      <c r="AJ459">
        <v>324.07080271833172</v>
      </c>
      <c r="AK459">
        <v>1253.8537460201851</v>
      </c>
    </row>
    <row r="460" spans="1:37" x14ac:dyDescent="0.25">
      <c r="A460">
        <v>498</v>
      </c>
      <c r="B460" t="s">
        <v>3392</v>
      </c>
      <c r="C460" t="s">
        <v>376</v>
      </c>
      <c r="D460" t="s">
        <v>2604</v>
      </c>
      <c r="E460" t="s">
        <v>37</v>
      </c>
      <c r="F460" t="s">
        <v>38</v>
      </c>
      <c r="G460" s="2">
        <v>45825</v>
      </c>
      <c r="H460">
        <v>0.9</v>
      </c>
      <c r="I460" t="s">
        <v>72</v>
      </c>
      <c r="J460" t="s">
        <v>40</v>
      </c>
      <c r="K460" t="s">
        <v>41</v>
      </c>
      <c r="L460" t="s">
        <v>2605</v>
      </c>
      <c r="M460" t="s">
        <v>2606</v>
      </c>
      <c r="N460" t="s">
        <v>3027</v>
      </c>
      <c r="O460" t="s">
        <v>62</v>
      </c>
      <c r="P460" t="s">
        <v>63</v>
      </c>
      <c r="Q460">
        <v>0.88821318214685818</v>
      </c>
      <c r="R460" t="s">
        <v>64</v>
      </c>
      <c r="S460" t="s">
        <v>65</v>
      </c>
      <c r="T460" t="s">
        <v>3097</v>
      </c>
      <c r="V460" t="s">
        <v>110</v>
      </c>
      <c r="X460" t="s">
        <v>3029</v>
      </c>
      <c r="Y460" t="s">
        <v>412</v>
      </c>
      <c r="Z460" t="s">
        <v>2623</v>
      </c>
      <c r="AA460" t="s">
        <v>121</v>
      </c>
      <c r="AB460" t="s">
        <v>41</v>
      </c>
      <c r="AD460" t="s">
        <v>620</v>
      </c>
      <c r="AF460" t="s">
        <v>2667</v>
      </c>
      <c r="AJ460">
        <v>559.09194752265012</v>
      </c>
      <c r="AK460">
        <v>3594.4855985593699</v>
      </c>
    </row>
    <row r="461" spans="1:37" hidden="1" x14ac:dyDescent="0.25">
      <c r="A461">
        <v>473</v>
      </c>
      <c r="B461" t="s">
        <v>3347</v>
      </c>
      <c r="C461" t="s">
        <v>376</v>
      </c>
      <c r="D461" t="s">
        <v>2604</v>
      </c>
      <c r="E461" t="s">
        <v>37</v>
      </c>
      <c r="F461" t="s">
        <v>38</v>
      </c>
      <c r="G461" s="2">
        <v>45825</v>
      </c>
      <c r="I461" t="s">
        <v>72</v>
      </c>
      <c r="J461" t="s">
        <v>40</v>
      </c>
      <c r="K461" t="s">
        <v>41</v>
      </c>
      <c r="L461" t="s">
        <v>2605</v>
      </c>
      <c r="M461" t="s">
        <v>2606</v>
      </c>
      <c r="O461" t="s">
        <v>402</v>
      </c>
      <c r="P461" t="s">
        <v>403</v>
      </c>
      <c r="Q461">
        <v>10.676713557851169</v>
      </c>
      <c r="S461" t="s">
        <v>38</v>
      </c>
      <c r="T461" t="s">
        <v>673</v>
      </c>
      <c r="V461" t="s">
        <v>110</v>
      </c>
      <c r="X461" t="s">
        <v>673</v>
      </c>
      <c r="Y461" t="s">
        <v>412</v>
      </c>
      <c r="Z461" t="s">
        <v>2623</v>
      </c>
      <c r="AA461" t="s">
        <v>121</v>
      </c>
      <c r="AB461" t="s">
        <v>41</v>
      </c>
      <c r="AE461" t="s">
        <v>3348</v>
      </c>
      <c r="AJ461">
        <v>1340.0590195298089</v>
      </c>
      <c r="AK461">
        <v>43207.299660740973</v>
      </c>
    </row>
    <row r="462" spans="1:37" hidden="1" x14ac:dyDescent="0.25">
      <c r="A462">
        <v>474</v>
      </c>
      <c r="B462" t="s">
        <v>3349</v>
      </c>
      <c r="C462" t="s">
        <v>376</v>
      </c>
      <c r="D462" t="s">
        <v>2604</v>
      </c>
      <c r="E462" t="s">
        <v>37</v>
      </c>
      <c r="F462" t="s">
        <v>38</v>
      </c>
      <c r="G462" s="2">
        <v>45825</v>
      </c>
      <c r="H462">
        <v>22.5</v>
      </c>
      <c r="I462" t="s">
        <v>72</v>
      </c>
      <c r="J462" t="s">
        <v>40</v>
      </c>
      <c r="K462" t="s">
        <v>41</v>
      </c>
      <c r="L462" t="s">
        <v>2605</v>
      </c>
      <c r="M462" t="s">
        <v>2606</v>
      </c>
      <c r="O462" t="s">
        <v>402</v>
      </c>
      <c r="P462" t="s">
        <v>403</v>
      </c>
      <c r="Q462">
        <v>22.636511031855861</v>
      </c>
      <c r="S462" t="s">
        <v>38</v>
      </c>
      <c r="T462" t="s">
        <v>3211</v>
      </c>
      <c r="V462" t="s">
        <v>110</v>
      </c>
      <c r="X462" t="s">
        <v>3317</v>
      </c>
      <c r="Y462" t="s">
        <v>412</v>
      </c>
      <c r="Z462" t="s">
        <v>2623</v>
      </c>
      <c r="AA462" t="s">
        <v>121</v>
      </c>
      <c r="AB462" t="s">
        <v>41</v>
      </c>
      <c r="AD462" t="s">
        <v>620</v>
      </c>
      <c r="AF462" t="s">
        <v>2667</v>
      </c>
      <c r="AJ462">
        <v>2331.8486416475498</v>
      </c>
      <c r="AK462">
        <v>91607.076477933821</v>
      </c>
    </row>
    <row r="463" spans="1:37" x14ac:dyDescent="0.25">
      <c r="A463">
        <v>500</v>
      </c>
      <c r="B463" t="s">
        <v>3394</v>
      </c>
      <c r="C463" t="s">
        <v>376</v>
      </c>
      <c r="D463" t="s">
        <v>2604</v>
      </c>
      <c r="E463" t="s">
        <v>37</v>
      </c>
      <c r="F463" t="s">
        <v>38</v>
      </c>
      <c r="G463" s="2">
        <v>45825</v>
      </c>
      <c r="H463">
        <v>2</v>
      </c>
      <c r="I463" t="s">
        <v>72</v>
      </c>
      <c r="J463" t="s">
        <v>40</v>
      </c>
      <c r="K463" t="s">
        <v>41</v>
      </c>
      <c r="L463" t="s">
        <v>2605</v>
      </c>
      <c r="M463" t="s">
        <v>2606</v>
      </c>
      <c r="N463" t="s">
        <v>3027</v>
      </c>
      <c r="O463" t="s">
        <v>62</v>
      </c>
      <c r="P463" t="s">
        <v>63</v>
      </c>
      <c r="Q463">
        <v>2.0498613352622601</v>
      </c>
      <c r="R463" t="s">
        <v>64</v>
      </c>
      <c r="S463" t="s">
        <v>65</v>
      </c>
      <c r="T463" t="s">
        <v>3097</v>
      </c>
      <c r="V463" t="s">
        <v>110</v>
      </c>
      <c r="X463" t="s">
        <v>3029</v>
      </c>
      <c r="Y463" t="s">
        <v>412</v>
      </c>
      <c r="Z463" t="s">
        <v>2623</v>
      </c>
      <c r="AA463" t="s">
        <v>121</v>
      </c>
      <c r="AB463" t="s">
        <v>41</v>
      </c>
      <c r="AD463" t="s">
        <v>620</v>
      </c>
      <c r="AF463" t="s">
        <v>2667</v>
      </c>
      <c r="AJ463">
        <v>592.58056801703583</v>
      </c>
      <c r="AK463">
        <v>8295.5276917130996</v>
      </c>
    </row>
    <row r="464" spans="1:37" hidden="1" x14ac:dyDescent="0.25">
      <c r="A464">
        <v>476</v>
      </c>
      <c r="B464" t="s">
        <v>3353</v>
      </c>
      <c r="C464" t="s">
        <v>376</v>
      </c>
      <c r="D464" t="s">
        <v>2604</v>
      </c>
      <c r="E464" t="s">
        <v>37</v>
      </c>
      <c r="F464" t="s">
        <v>38</v>
      </c>
      <c r="G464" s="2">
        <v>45825</v>
      </c>
      <c r="H464">
        <v>12.3</v>
      </c>
      <c r="I464" t="s">
        <v>72</v>
      </c>
      <c r="J464" t="s">
        <v>40</v>
      </c>
      <c r="K464" t="s">
        <v>41</v>
      </c>
      <c r="L464" t="s">
        <v>2605</v>
      </c>
      <c r="M464" t="s">
        <v>2606</v>
      </c>
      <c r="O464" t="s">
        <v>402</v>
      </c>
      <c r="P464" t="s">
        <v>403</v>
      </c>
      <c r="Q464">
        <v>12.763115280878541</v>
      </c>
      <c r="S464" t="s">
        <v>38</v>
      </c>
      <c r="T464" t="s">
        <v>3354</v>
      </c>
      <c r="V464" t="s">
        <v>860</v>
      </c>
      <c r="X464" t="s">
        <v>3355</v>
      </c>
      <c r="Y464" t="s">
        <v>412</v>
      </c>
      <c r="Z464" t="s">
        <v>2623</v>
      </c>
      <c r="AA464" t="s">
        <v>2116</v>
      </c>
      <c r="AB464" t="s">
        <v>41</v>
      </c>
      <c r="AD464" t="s">
        <v>250</v>
      </c>
      <c r="AF464" t="s">
        <v>1131</v>
      </c>
      <c r="AJ464">
        <v>1394.8551473192831</v>
      </c>
      <c r="AK464">
        <v>51650.701646854883</v>
      </c>
    </row>
    <row r="465" spans="1:37" x14ac:dyDescent="0.25">
      <c r="A465">
        <v>505</v>
      </c>
      <c r="B465" t="s">
        <v>3399</v>
      </c>
      <c r="C465" t="s">
        <v>376</v>
      </c>
      <c r="D465" t="s">
        <v>2604</v>
      </c>
      <c r="E465" t="s">
        <v>37</v>
      </c>
      <c r="F465" t="s">
        <v>38</v>
      </c>
      <c r="G465" s="2">
        <v>45825</v>
      </c>
      <c r="H465">
        <v>7.9</v>
      </c>
      <c r="I465" t="s">
        <v>72</v>
      </c>
      <c r="J465" t="s">
        <v>40</v>
      </c>
      <c r="K465" t="s">
        <v>41</v>
      </c>
      <c r="L465" t="s">
        <v>2605</v>
      </c>
      <c r="M465" t="s">
        <v>2606</v>
      </c>
      <c r="N465" t="s">
        <v>3027</v>
      </c>
      <c r="O465" t="s">
        <v>62</v>
      </c>
      <c r="P465" t="s">
        <v>63</v>
      </c>
      <c r="Q465">
        <v>5.2664030013816294</v>
      </c>
      <c r="R465" t="s">
        <v>64</v>
      </c>
      <c r="S465" t="s">
        <v>65</v>
      </c>
      <c r="T465" t="s">
        <v>3097</v>
      </c>
      <c r="V465" t="s">
        <v>110</v>
      </c>
      <c r="X465" t="s">
        <v>3029</v>
      </c>
      <c r="Y465" t="s">
        <v>412</v>
      </c>
      <c r="Z465" t="s">
        <v>2623</v>
      </c>
      <c r="AA465" t="s">
        <v>121</v>
      </c>
      <c r="AB465" t="s">
        <v>41</v>
      </c>
      <c r="AD465" t="s">
        <v>620</v>
      </c>
      <c r="AF465" t="s">
        <v>2667</v>
      </c>
      <c r="AJ465">
        <v>730.05244127482911</v>
      </c>
      <c r="AK465">
        <v>21312.46205885087</v>
      </c>
    </row>
    <row r="466" spans="1:37" hidden="1" x14ac:dyDescent="0.25">
      <c r="A466">
        <v>478</v>
      </c>
      <c r="B466" t="s">
        <v>3358</v>
      </c>
      <c r="C466" t="s">
        <v>376</v>
      </c>
      <c r="D466" t="s">
        <v>2604</v>
      </c>
      <c r="E466" t="s">
        <v>37</v>
      </c>
      <c r="F466" t="s">
        <v>38</v>
      </c>
      <c r="G466" s="2">
        <v>45825</v>
      </c>
      <c r="H466">
        <v>9.4</v>
      </c>
      <c r="I466" t="s">
        <v>72</v>
      </c>
      <c r="J466" t="s">
        <v>40</v>
      </c>
      <c r="K466" t="s">
        <v>41</v>
      </c>
      <c r="L466" t="s">
        <v>2605</v>
      </c>
      <c r="M466" t="s">
        <v>2606</v>
      </c>
      <c r="N466" t="s">
        <v>2702</v>
      </c>
      <c r="O466" t="s">
        <v>402</v>
      </c>
      <c r="P466" t="s">
        <v>403</v>
      </c>
      <c r="Q466">
        <v>9.5549387308762572</v>
      </c>
      <c r="S466" t="s">
        <v>38</v>
      </c>
      <c r="T466" t="s">
        <v>2883</v>
      </c>
      <c r="V466" t="s">
        <v>110</v>
      </c>
      <c r="X466" t="s">
        <v>2880</v>
      </c>
      <c r="Y466" t="s">
        <v>412</v>
      </c>
      <c r="Z466" t="s">
        <v>2623</v>
      </c>
      <c r="AA466" t="s">
        <v>576</v>
      </c>
      <c r="AB466" t="s">
        <v>41</v>
      </c>
      <c r="AD466" t="s">
        <v>620</v>
      </c>
      <c r="AF466" t="s">
        <v>2667</v>
      </c>
      <c r="AJ466">
        <v>972.64686343801975</v>
      </c>
      <c r="AK466">
        <v>38667.619839009771</v>
      </c>
    </row>
    <row r="467" spans="1:37" hidden="1" x14ac:dyDescent="0.25">
      <c r="A467">
        <v>479</v>
      </c>
      <c r="B467" t="s">
        <v>3359</v>
      </c>
      <c r="C467" t="s">
        <v>376</v>
      </c>
      <c r="D467" t="s">
        <v>2604</v>
      </c>
      <c r="E467" t="s">
        <v>37</v>
      </c>
      <c r="F467" t="s">
        <v>38</v>
      </c>
      <c r="G467" s="2">
        <v>45825</v>
      </c>
      <c r="H467">
        <v>25.3</v>
      </c>
      <c r="I467" t="s">
        <v>72</v>
      </c>
      <c r="J467" t="s">
        <v>40</v>
      </c>
      <c r="K467" t="s">
        <v>41</v>
      </c>
      <c r="L467" t="s">
        <v>2605</v>
      </c>
      <c r="M467" t="s">
        <v>2606</v>
      </c>
      <c r="N467" t="s">
        <v>2702</v>
      </c>
      <c r="O467" t="s">
        <v>402</v>
      </c>
      <c r="P467" t="s">
        <v>403</v>
      </c>
      <c r="Q467">
        <v>25.266088014213359</v>
      </c>
      <c r="S467" t="s">
        <v>38</v>
      </c>
      <c r="T467" t="s">
        <v>2883</v>
      </c>
      <c r="V467" t="s">
        <v>110</v>
      </c>
      <c r="X467" t="s">
        <v>2880</v>
      </c>
      <c r="Y467" t="s">
        <v>412</v>
      </c>
      <c r="Z467" t="s">
        <v>2623</v>
      </c>
      <c r="AA467" t="s">
        <v>576</v>
      </c>
      <c r="AB467" t="s">
        <v>41</v>
      </c>
      <c r="AD467" t="s">
        <v>620</v>
      </c>
      <c r="AF467" t="s">
        <v>2667</v>
      </c>
      <c r="AJ467">
        <v>1277.831583668177</v>
      </c>
      <c r="AK467">
        <v>102248.6395433922</v>
      </c>
    </row>
    <row r="468" spans="1:37" hidden="1" x14ac:dyDescent="0.25">
      <c r="A468">
        <v>480</v>
      </c>
      <c r="B468" t="s">
        <v>3360</v>
      </c>
      <c r="C468" t="s">
        <v>376</v>
      </c>
      <c r="D468" t="s">
        <v>2604</v>
      </c>
      <c r="E468" t="s">
        <v>37</v>
      </c>
      <c r="F468" t="s">
        <v>38</v>
      </c>
      <c r="G468" s="2">
        <v>45825</v>
      </c>
      <c r="H468">
        <v>14.2</v>
      </c>
      <c r="I468" t="s">
        <v>72</v>
      </c>
      <c r="J468" t="s">
        <v>40</v>
      </c>
      <c r="K468" t="s">
        <v>41</v>
      </c>
      <c r="L468" t="s">
        <v>2605</v>
      </c>
      <c r="M468" t="s">
        <v>2606</v>
      </c>
      <c r="N468" t="s">
        <v>3027</v>
      </c>
      <c r="O468" t="s">
        <v>77</v>
      </c>
      <c r="P468" t="s">
        <v>78</v>
      </c>
      <c r="Q468">
        <v>8.530605535235658</v>
      </c>
      <c r="R468" t="s">
        <v>46</v>
      </c>
      <c r="S468" t="s">
        <v>47</v>
      </c>
      <c r="T468" t="s">
        <v>3097</v>
      </c>
      <c r="V468" t="s">
        <v>110</v>
      </c>
      <c r="X468" t="s">
        <v>3029</v>
      </c>
      <c r="Y468" t="s">
        <v>412</v>
      </c>
      <c r="Z468" t="s">
        <v>2623</v>
      </c>
      <c r="AA468" t="s">
        <v>576</v>
      </c>
      <c r="AB468" t="s">
        <v>41</v>
      </c>
      <c r="AD468" t="s">
        <v>620</v>
      </c>
      <c r="AF468" t="s">
        <v>3361</v>
      </c>
      <c r="AJ468">
        <v>814.43569729951923</v>
      </c>
      <c r="AK468">
        <v>34522.273886186857</v>
      </c>
    </row>
    <row r="469" spans="1:37" hidden="1" x14ac:dyDescent="0.25">
      <c r="A469">
        <v>481</v>
      </c>
      <c r="B469" t="s">
        <v>3362</v>
      </c>
      <c r="C469" t="s">
        <v>376</v>
      </c>
      <c r="D469" t="s">
        <v>2604</v>
      </c>
      <c r="E469" t="s">
        <v>37</v>
      </c>
      <c r="F469" t="s">
        <v>38</v>
      </c>
      <c r="G469" s="2">
        <v>45825</v>
      </c>
      <c r="H469">
        <v>1.9</v>
      </c>
      <c r="I469" t="s">
        <v>72</v>
      </c>
      <c r="J469" t="s">
        <v>40</v>
      </c>
      <c r="K469" t="s">
        <v>41</v>
      </c>
      <c r="L469" t="s">
        <v>2605</v>
      </c>
      <c r="M469" t="s">
        <v>2606</v>
      </c>
      <c r="N469" t="s">
        <v>3027</v>
      </c>
      <c r="O469" t="s">
        <v>402</v>
      </c>
      <c r="P469" t="s">
        <v>403</v>
      </c>
      <c r="Q469">
        <v>1.854424903739285</v>
      </c>
      <c r="T469" t="s">
        <v>3097</v>
      </c>
      <c r="V469" t="s">
        <v>110</v>
      </c>
      <c r="X469" t="s">
        <v>3029</v>
      </c>
      <c r="Y469" t="s">
        <v>412</v>
      </c>
      <c r="Z469" t="s">
        <v>2623</v>
      </c>
      <c r="AA469" t="s">
        <v>121</v>
      </c>
      <c r="AB469" t="s">
        <v>41</v>
      </c>
      <c r="AD469" t="s">
        <v>620</v>
      </c>
      <c r="AF469" t="s">
        <v>2667</v>
      </c>
      <c r="AJ469">
        <v>347.73856410670601</v>
      </c>
      <c r="AK469">
        <v>7504.621350011209</v>
      </c>
    </row>
    <row r="470" spans="1:37" x14ac:dyDescent="0.25">
      <c r="A470">
        <v>522</v>
      </c>
      <c r="B470" t="s">
        <v>3418</v>
      </c>
      <c r="C470" t="s">
        <v>376</v>
      </c>
      <c r="D470" t="s">
        <v>2604</v>
      </c>
      <c r="E470" t="s">
        <v>37</v>
      </c>
      <c r="F470" t="s">
        <v>38</v>
      </c>
      <c r="G470" s="2">
        <v>45825</v>
      </c>
      <c r="H470">
        <v>3.3</v>
      </c>
      <c r="I470" t="s">
        <v>72</v>
      </c>
      <c r="J470" t="s">
        <v>40</v>
      </c>
      <c r="K470" t="s">
        <v>41</v>
      </c>
      <c r="L470" t="s">
        <v>2605</v>
      </c>
      <c r="M470" t="s">
        <v>2606</v>
      </c>
      <c r="N470" t="s">
        <v>2702</v>
      </c>
      <c r="O470" t="s">
        <v>62</v>
      </c>
      <c r="P470" t="s">
        <v>63</v>
      </c>
      <c r="Q470">
        <v>2.787129655040999</v>
      </c>
      <c r="R470" t="s">
        <v>64</v>
      </c>
      <c r="S470" t="s">
        <v>65</v>
      </c>
      <c r="T470" t="s">
        <v>3419</v>
      </c>
      <c r="V470" t="s">
        <v>110</v>
      </c>
      <c r="X470" t="s">
        <v>3420</v>
      </c>
      <c r="Y470" t="s">
        <v>412</v>
      </c>
      <c r="Z470" t="s">
        <v>2623</v>
      </c>
      <c r="AA470" t="s">
        <v>576</v>
      </c>
      <c r="AB470" t="s">
        <v>41</v>
      </c>
      <c r="AD470" t="s">
        <v>620</v>
      </c>
      <c r="AF470" t="s">
        <v>1288</v>
      </c>
      <c r="AJ470">
        <v>1146.858175940886</v>
      </c>
      <c r="AK470">
        <v>11279.15866115369</v>
      </c>
    </row>
    <row r="471" spans="1:37" hidden="1" x14ac:dyDescent="0.25">
      <c r="A471">
        <v>483</v>
      </c>
      <c r="B471" t="s">
        <v>3366</v>
      </c>
      <c r="C471" t="s">
        <v>376</v>
      </c>
      <c r="D471" t="s">
        <v>2604</v>
      </c>
      <c r="E471" t="s">
        <v>37</v>
      </c>
      <c r="F471" t="s">
        <v>38</v>
      </c>
      <c r="G471" s="2">
        <v>45825</v>
      </c>
      <c r="H471">
        <v>4.4000000000000004</v>
      </c>
      <c r="I471" t="s">
        <v>72</v>
      </c>
      <c r="J471" t="s">
        <v>40</v>
      </c>
      <c r="K471" t="s">
        <v>41</v>
      </c>
      <c r="L471" t="s">
        <v>2605</v>
      </c>
      <c r="M471" t="s">
        <v>2606</v>
      </c>
      <c r="N471" t="s">
        <v>3027</v>
      </c>
      <c r="O471" t="s">
        <v>402</v>
      </c>
      <c r="P471" t="s">
        <v>403</v>
      </c>
      <c r="Q471">
        <v>3.85724948131173</v>
      </c>
      <c r="T471" t="s">
        <v>3097</v>
      </c>
      <c r="V471" t="s">
        <v>110</v>
      </c>
      <c r="X471" t="s">
        <v>3029</v>
      </c>
      <c r="Y471" t="s">
        <v>412</v>
      </c>
      <c r="Z471" t="s">
        <v>2623</v>
      </c>
      <c r="AA471" t="s">
        <v>121</v>
      </c>
      <c r="AB471" t="s">
        <v>41</v>
      </c>
      <c r="AD471" t="s">
        <v>620</v>
      </c>
      <c r="AF471" t="s">
        <v>2667</v>
      </c>
      <c r="AJ471">
        <v>618.52819252241295</v>
      </c>
      <c r="AK471">
        <v>15609.797275372101</v>
      </c>
    </row>
    <row r="472" spans="1:37" hidden="1" x14ac:dyDescent="0.25">
      <c r="A472">
        <v>484</v>
      </c>
      <c r="B472" t="s">
        <v>3367</v>
      </c>
      <c r="C472" t="s">
        <v>376</v>
      </c>
      <c r="D472" t="s">
        <v>2604</v>
      </c>
      <c r="E472" t="s">
        <v>37</v>
      </c>
      <c r="F472" t="s">
        <v>38</v>
      </c>
      <c r="G472" s="2">
        <v>45825</v>
      </c>
      <c r="H472">
        <v>1.2</v>
      </c>
      <c r="I472" t="s">
        <v>72</v>
      </c>
      <c r="J472" t="s">
        <v>40</v>
      </c>
      <c r="K472" t="s">
        <v>41</v>
      </c>
      <c r="L472" t="s">
        <v>2605</v>
      </c>
      <c r="M472" t="s">
        <v>2606</v>
      </c>
      <c r="N472" t="s">
        <v>2702</v>
      </c>
      <c r="O472" t="s">
        <v>402</v>
      </c>
      <c r="P472" t="s">
        <v>403</v>
      </c>
      <c r="Q472">
        <v>1.101678032740804</v>
      </c>
      <c r="S472" t="s">
        <v>38</v>
      </c>
      <c r="T472" t="s">
        <v>2883</v>
      </c>
      <c r="V472" t="s">
        <v>110</v>
      </c>
      <c r="X472" t="s">
        <v>2880</v>
      </c>
      <c r="Y472" t="s">
        <v>412</v>
      </c>
      <c r="Z472" t="s">
        <v>2623</v>
      </c>
      <c r="AA472" t="s">
        <v>576</v>
      </c>
      <c r="AB472" t="s">
        <v>41</v>
      </c>
      <c r="AD472" t="s">
        <v>620</v>
      </c>
      <c r="AF472" t="s">
        <v>2667</v>
      </c>
      <c r="AJ472">
        <v>308.89787385497948</v>
      </c>
      <c r="AK472">
        <v>4458.3506555989079</v>
      </c>
    </row>
    <row r="473" spans="1:37" hidden="1" x14ac:dyDescent="0.25">
      <c r="A473">
        <v>485</v>
      </c>
      <c r="B473" t="s">
        <v>3368</v>
      </c>
      <c r="C473" t="s">
        <v>376</v>
      </c>
      <c r="D473" t="s">
        <v>2604</v>
      </c>
      <c r="E473" t="s">
        <v>37</v>
      </c>
      <c r="F473" t="s">
        <v>38</v>
      </c>
      <c r="G473" s="2">
        <v>45825</v>
      </c>
      <c r="H473">
        <v>9.6999999999999993</v>
      </c>
      <c r="I473" t="s">
        <v>72</v>
      </c>
      <c r="J473" t="s">
        <v>40</v>
      </c>
      <c r="K473" t="s">
        <v>41</v>
      </c>
      <c r="L473" t="s">
        <v>2605</v>
      </c>
      <c r="M473" t="s">
        <v>2606</v>
      </c>
      <c r="O473" t="s">
        <v>402</v>
      </c>
      <c r="P473" t="s">
        <v>403</v>
      </c>
      <c r="Q473">
        <v>7.6559592347834808</v>
      </c>
      <c r="S473" t="s">
        <v>38</v>
      </c>
      <c r="T473" t="s">
        <v>3369</v>
      </c>
      <c r="V473" t="s">
        <v>860</v>
      </c>
      <c r="X473" t="s">
        <v>3370</v>
      </c>
      <c r="Y473" t="s">
        <v>412</v>
      </c>
      <c r="Z473" t="s">
        <v>2623</v>
      </c>
      <c r="AA473" t="s">
        <v>2116</v>
      </c>
      <c r="AB473" t="s">
        <v>41</v>
      </c>
      <c r="AD473" t="s">
        <v>3371</v>
      </c>
      <c r="AF473" t="s">
        <v>2298</v>
      </c>
      <c r="AJ473">
        <v>699.58910680574672</v>
      </c>
      <c r="AK473">
        <v>30982.691729559101</v>
      </c>
    </row>
    <row r="474" spans="1:37" hidden="1" x14ac:dyDescent="0.25">
      <c r="A474">
        <v>486</v>
      </c>
      <c r="B474" t="s">
        <v>3372</v>
      </c>
      <c r="C474" t="s">
        <v>376</v>
      </c>
      <c r="D474" t="s">
        <v>2604</v>
      </c>
      <c r="E474" t="s">
        <v>37</v>
      </c>
      <c r="F474" t="s">
        <v>38</v>
      </c>
      <c r="G474" s="2">
        <v>45825</v>
      </c>
      <c r="H474">
        <v>7.8</v>
      </c>
      <c r="I474" t="s">
        <v>72</v>
      </c>
      <c r="J474" t="s">
        <v>40</v>
      </c>
      <c r="K474" t="s">
        <v>41</v>
      </c>
      <c r="L474" t="s">
        <v>2605</v>
      </c>
      <c r="M474" t="s">
        <v>2606</v>
      </c>
      <c r="N474" t="s">
        <v>3027</v>
      </c>
      <c r="O474" t="s">
        <v>402</v>
      </c>
      <c r="P474" t="s">
        <v>403</v>
      </c>
      <c r="Q474">
        <v>7.8316686243348324</v>
      </c>
      <c r="S474" t="s">
        <v>38</v>
      </c>
      <c r="T474" t="s">
        <v>3097</v>
      </c>
      <c r="V474" t="s">
        <v>110</v>
      </c>
      <c r="X474" t="s">
        <v>3029</v>
      </c>
      <c r="Y474" t="s">
        <v>412</v>
      </c>
      <c r="Z474" t="s">
        <v>2623</v>
      </c>
      <c r="AA474" t="s">
        <v>121</v>
      </c>
      <c r="AB474" t="s">
        <v>41</v>
      </c>
      <c r="AD474" t="s">
        <v>620</v>
      </c>
      <c r="AF474" t="s">
        <v>2667</v>
      </c>
      <c r="AJ474">
        <v>889.21000040310491</v>
      </c>
      <c r="AK474">
        <v>31693.765245432191</v>
      </c>
    </row>
    <row r="475" spans="1:37" hidden="1" x14ac:dyDescent="0.25">
      <c r="A475">
        <v>487</v>
      </c>
      <c r="B475" t="s">
        <v>3373</v>
      </c>
      <c r="C475" t="s">
        <v>376</v>
      </c>
      <c r="D475" t="s">
        <v>2604</v>
      </c>
      <c r="E475" t="s">
        <v>37</v>
      </c>
      <c r="F475" t="s">
        <v>38</v>
      </c>
      <c r="G475" s="2">
        <v>45825</v>
      </c>
      <c r="H475">
        <v>2.4</v>
      </c>
      <c r="I475" t="s">
        <v>72</v>
      </c>
      <c r="J475" t="s">
        <v>40</v>
      </c>
      <c r="K475" t="s">
        <v>41</v>
      </c>
      <c r="L475" t="s">
        <v>2605</v>
      </c>
      <c r="M475" t="s">
        <v>2606</v>
      </c>
      <c r="N475" t="s">
        <v>3027</v>
      </c>
      <c r="O475" t="s">
        <v>96</v>
      </c>
      <c r="P475" t="s">
        <v>97</v>
      </c>
      <c r="Q475">
        <v>0.1564327101511418</v>
      </c>
      <c r="R475" t="s">
        <v>46</v>
      </c>
      <c r="S475" t="s">
        <v>47</v>
      </c>
      <c r="T475" t="s">
        <v>3097</v>
      </c>
      <c r="V475" t="s">
        <v>110</v>
      </c>
      <c r="X475" t="s">
        <v>3029</v>
      </c>
      <c r="Y475" t="s">
        <v>412</v>
      </c>
      <c r="Z475" t="s">
        <v>2623</v>
      </c>
      <c r="AA475" t="s">
        <v>576</v>
      </c>
      <c r="AB475" t="s">
        <v>41</v>
      </c>
      <c r="AD475" t="s">
        <v>620</v>
      </c>
      <c r="AF475" t="s">
        <v>1128</v>
      </c>
      <c r="AJ475">
        <v>99.911181372362776</v>
      </c>
      <c r="AK475">
        <v>633.06324999905371</v>
      </c>
    </row>
    <row r="476" spans="1:37" hidden="1" x14ac:dyDescent="0.25">
      <c r="A476">
        <v>488</v>
      </c>
      <c r="B476" t="s">
        <v>3374</v>
      </c>
      <c r="C476" t="s">
        <v>376</v>
      </c>
      <c r="D476" t="s">
        <v>2604</v>
      </c>
      <c r="E476" t="s">
        <v>37</v>
      </c>
      <c r="F476" t="s">
        <v>38</v>
      </c>
      <c r="G476" s="2">
        <v>45825</v>
      </c>
      <c r="H476">
        <v>0.9</v>
      </c>
      <c r="I476" t="s">
        <v>72</v>
      </c>
      <c r="J476" t="s">
        <v>40</v>
      </c>
      <c r="K476" t="s">
        <v>41</v>
      </c>
      <c r="L476" t="s">
        <v>2605</v>
      </c>
      <c r="M476" t="s">
        <v>2606</v>
      </c>
      <c r="N476" t="s">
        <v>2702</v>
      </c>
      <c r="O476" t="s">
        <v>402</v>
      </c>
      <c r="P476" t="s">
        <v>403</v>
      </c>
      <c r="Q476">
        <v>0.8675371957664848</v>
      </c>
      <c r="S476" t="s">
        <v>38</v>
      </c>
      <c r="T476" t="s">
        <v>2883</v>
      </c>
      <c r="V476" t="s">
        <v>110</v>
      </c>
      <c r="X476" t="s">
        <v>2880</v>
      </c>
      <c r="Y476" t="s">
        <v>412</v>
      </c>
      <c r="Z476" t="s">
        <v>2623</v>
      </c>
      <c r="AA476" t="s">
        <v>576</v>
      </c>
      <c r="AB476" t="s">
        <v>41</v>
      </c>
      <c r="AD476" t="s">
        <v>620</v>
      </c>
      <c r="AF476" t="s">
        <v>2667</v>
      </c>
      <c r="AJ476">
        <v>272.84415504184449</v>
      </c>
      <c r="AK476">
        <v>3510.812515594504</v>
      </c>
    </row>
    <row r="477" spans="1:37" x14ac:dyDescent="0.25">
      <c r="A477">
        <v>525</v>
      </c>
      <c r="B477" t="s">
        <v>3423</v>
      </c>
      <c r="C477" t="s">
        <v>376</v>
      </c>
      <c r="D477" t="s">
        <v>2604</v>
      </c>
      <c r="E477" t="s">
        <v>37</v>
      </c>
      <c r="F477" t="s">
        <v>38</v>
      </c>
      <c r="G477" s="2">
        <v>45825</v>
      </c>
      <c r="H477">
        <v>0.6</v>
      </c>
      <c r="I477" t="s">
        <v>72</v>
      </c>
      <c r="J477" t="s">
        <v>40</v>
      </c>
      <c r="K477" t="s">
        <v>41</v>
      </c>
      <c r="L477" t="s">
        <v>2605</v>
      </c>
      <c r="M477" t="s">
        <v>2606</v>
      </c>
      <c r="O477" t="s">
        <v>62</v>
      </c>
      <c r="P477" t="s">
        <v>63</v>
      </c>
      <c r="Q477">
        <v>0.39020843677762063</v>
      </c>
      <c r="R477" t="s">
        <v>64</v>
      </c>
      <c r="S477" t="s">
        <v>65</v>
      </c>
      <c r="T477" t="s">
        <v>3424</v>
      </c>
      <c r="V477" t="s">
        <v>110</v>
      </c>
      <c r="X477" t="s">
        <v>3425</v>
      </c>
      <c r="Y477" t="s">
        <v>412</v>
      </c>
      <c r="Z477" t="s">
        <v>2623</v>
      </c>
      <c r="AA477" t="s">
        <v>121</v>
      </c>
      <c r="AB477" t="s">
        <v>41</v>
      </c>
      <c r="AD477" t="s">
        <v>2656</v>
      </c>
      <c r="AF477" t="s">
        <v>1128</v>
      </c>
      <c r="AJ477">
        <v>152.41459522853751</v>
      </c>
      <c r="AK477">
        <v>1579.1238349372011</v>
      </c>
    </row>
    <row r="478" spans="1:37" hidden="1" x14ac:dyDescent="0.25">
      <c r="A478">
        <v>490</v>
      </c>
      <c r="B478" t="s">
        <v>3379</v>
      </c>
      <c r="C478" t="s">
        <v>376</v>
      </c>
      <c r="D478" t="s">
        <v>2604</v>
      </c>
      <c r="E478" t="s">
        <v>37</v>
      </c>
      <c r="F478" t="s">
        <v>38</v>
      </c>
      <c r="G478" s="2">
        <v>45825</v>
      </c>
      <c r="H478">
        <v>3.5</v>
      </c>
      <c r="I478" t="s">
        <v>72</v>
      </c>
      <c r="J478" t="s">
        <v>40</v>
      </c>
      <c r="K478" t="s">
        <v>41</v>
      </c>
      <c r="L478" t="s">
        <v>2605</v>
      </c>
      <c r="M478" t="s">
        <v>2606</v>
      </c>
      <c r="O478" t="s">
        <v>402</v>
      </c>
      <c r="P478" t="s">
        <v>403</v>
      </c>
      <c r="Q478">
        <v>3.5292357135541019</v>
      </c>
      <c r="S478" t="s">
        <v>38</v>
      </c>
      <c r="T478" t="s">
        <v>3380</v>
      </c>
      <c r="V478" t="s">
        <v>860</v>
      </c>
      <c r="X478" t="s">
        <v>3381</v>
      </c>
      <c r="Y478" t="s">
        <v>412</v>
      </c>
      <c r="Z478" t="s">
        <v>2623</v>
      </c>
      <c r="AA478" t="s">
        <v>2116</v>
      </c>
      <c r="AB478" t="s">
        <v>41</v>
      </c>
      <c r="AD478" t="s">
        <v>399</v>
      </c>
      <c r="AF478" t="s">
        <v>3382</v>
      </c>
      <c r="AJ478">
        <v>502.35830231195348</v>
      </c>
      <c r="AK478">
        <v>14282.367342972109</v>
      </c>
    </row>
    <row r="479" spans="1:37" x14ac:dyDescent="0.25">
      <c r="A479">
        <v>526</v>
      </c>
      <c r="B479" t="s">
        <v>3426</v>
      </c>
      <c r="C479" t="s">
        <v>376</v>
      </c>
      <c r="D479" t="s">
        <v>2604</v>
      </c>
      <c r="E479" t="s">
        <v>37</v>
      </c>
      <c r="F479" t="s">
        <v>38</v>
      </c>
      <c r="G479" s="2">
        <v>45825</v>
      </c>
      <c r="H479">
        <v>3.4</v>
      </c>
      <c r="I479" t="s">
        <v>72</v>
      </c>
      <c r="J479" t="s">
        <v>40</v>
      </c>
      <c r="K479" t="s">
        <v>41</v>
      </c>
      <c r="L479" t="s">
        <v>2605</v>
      </c>
      <c r="M479" t="s">
        <v>2606</v>
      </c>
      <c r="O479" t="s">
        <v>62</v>
      </c>
      <c r="P479" t="s">
        <v>63</v>
      </c>
      <c r="Q479">
        <v>3.3851919347459472</v>
      </c>
      <c r="R479" t="s">
        <v>64</v>
      </c>
      <c r="S479" t="s">
        <v>65</v>
      </c>
      <c r="T479" t="s">
        <v>3427</v>
      </c>
      <c r="V479" t="s">
        <v>139</v>
      </c>
      <c r="X479" t="s">
        <v>3428</v>
      </c>
      <c r="Y479" t="s">
        <v>382</v>
      </c>
      <c r="Z479" t="s">
        <v>2623</v>
      </c>
      <c r="AA479" t="s">
        <v>75</v>
      </c>
      <c r="AB479" t="s">
        <v>41</v>
      </c>
      <c r="AD479" t="s">
        <v>3429</v>
      </c>
      <c r="AF479" t="s">
        <v>3430</v>
      </c>
      <c r="AJ479">
        <v>555.7204982915332</v>
      </c>
      <c r="AK479">
        <v>13699.440519890601</v>
      </c>
    </row>
    <row r="480" spans="1:37" hidden="1" x14ac:dyDescent="0.25">
      <c r="A480">
        <v>492</v>
      </c>
      <c r="B480" t="s">
        <v>3385</v>
      </c>
      <c r="C480" t="s">
        <v>376</v>
      </c>
      <c r="D480" t="s">
        <v>2604</v>
      </c>
      <c r="E480" t="s">
        <v>37</v>
      </c>
      <c r="F480" t="s">
        <v>38</v>
      </c>
      <c r="G480" s="2">
        <v>45825</v>
      </c>
      <c r="H480">
        <v>34.799999999999997</v>
      </c>
      <c r="I480" t="s">
        <v>72</v>
      </c>
      <c r="J480" t="s">
        <v>40</v>
      </c>
      <c r="K480" t="s">
        <v>41</v>
      </c>
      <c r="L480" t="s">
        <v>2605</v>
      </c>
      <c r="M480" t="s">
        <v>2606</v>
      </c>
      <c r="N480" t="s">
        <v>2702</v>
      </c>
      <c r="O480" t="s">
        <v>402</v>
      </c>
      <c r="P480" t="s">
        <v>403</v>
      </c>
      <c r="Q480">
        <v>32.547242879968607</v>
      </c>
      <c r="S480" t="s">
        <v>38</v>
      </c>
      <c r="T480" t="s">
        <v>2883</v>
      </c>
      <c r="V480" t="s">
        <v>110</v>
      </c>
      <c r="X480" t="s">
        <v>2880</v>
      </c>
      <c r="Y480" t="s">
        <v>412</v>
      </c>
      <c r="Z480" t="s">
        <v>2623</v>
      </c>
      <c r="AA480" t="s">
        <v>121</v>
      </c>
      <c r="AB480" t="s">
        <v>41</v>
      </c>
      <c r="AD480" t="s">
        <v>620</v>
      </c>
      <c r="AF480" t="s">
        <v>2667</v>
      </c>
      <c r="AJ480">
        <v>1444.4568853919629</v>
      </c>
      <c r="AK480">
        <v>131714.54573786969</v>
      </c>
    </row>
    <row r="481" spans="1:37" hidden="1" x14ac:dyDescent="0.25">
      <c r="A481">
        <v>493</v>
      </c>
      <c r="B481" t="s">
        <v>3386</v>
      </c>
      <c r="C481" t="s">
        <v>376</v>
      </c>
      <c r="D481" t="s">
        <v>2604</v>
      </c>
      <c r="E481" t="s">
        <v>37</v>
      </c>
      <c r="F481" t="s">
        <v>38</v>
      </c>
      <c r="G481" s="2">
        <v>45825</v>
      </c>
      <c r="H481">
        <v>1.4</v>
      </c>
      <c r="I481" t="s">
        <v>72</v>
      </c>
      <c r="J481" t="s">
        <v>40</v>
      </c>
      <c r="K481" t="s">
        <v>41</v>
      </c>
      <c r="L481" t="s">
        <v>2605</v>
      </c>
      <c r="M481" t="s">
        <v>2606</v>
      </c>
      <c r="N481" t="s">
        <v>3027</v>
      </c>
      <c r="O481" t="s">
        <v>402</v>
      </c>
      <c r="P481" t="s">
        <v>403</v>
      </c>
      <c r="Q481">
        <v>1.5084029334393081</v>
      </c>
      <c r="T481" t="s">
        <v>3097</v>
      </c>
      <c r="V481" t="s">
        <v>110</v>
      </c>
      <c r="X481" t="s">
        <v>3029</v>
      </c>
      <c r="Y481" t="s">
        <v>412</v>
      </c>
      <c r="Z481" t="s">
        <v>2623</v>
      </c>
      <c r="AA481" t="s">
        <v>121</v>
      </c>
      <c r="AB481" t="s">
        <v>41</v>
      </c>
      <c r="AD481" t="s">
        <v>620</v>
      </c>
      <c r="AF481" t="s">
        <v>2667</v>
      </c>
      <c r="AJ481">
        <v>330.99791899016009</v>
      </c>
      <c r="AK481">
        <v>6104.3145159895112</v>
      </c>
    </row>
    <row r="482" spans="1:37" hidden="1" x14ac:dyDescent="0.25">
      <c r="A482">
        <v>494</v>
      </c>
      <c r="B482" t="s">
        <v>3387</v>
      </c>
      <c r="C482" t="s">
        <v>376</v>
      </c>
      <c r="D482" t="s">
        <v>2604</v>
      </c>
      <c r="E482" t="s">
        <v>37</v>
      </c>
      <c r="F482" t="s">
        <v>38</v>
      </c>
      <c r="G482" s="2">
        <v>45825</v>
      </c>
      <c r="H482">
        <v>6.3</v>
      </c>
      <c r="I482" t="s">
        <v>72</v>
      </c>
      <c r="J482" t="s">
        <v>40</v>
      </c>
      <c r="K482" t="s">
        <v>41</v>
      </c>
      <c r="L482" t="s">
        <v>2605</v>
      </c>
      <c r="M482" t="s">
        <v>2606</v>
      </c>
      <c r="N482" t="s">
        <v>2702</v>
      </c>
      <c r="O482" t="s">
        <v>402</v>
      </c>
      <c r="P482" t="s">
        <v>403</v>
      </c>
      <c r="Q482">
        <v>6.2970173056150793</v>
      </c>
      <c r="S482" t="s">
        <v>38</v>
      </c>
      <c r="T482" t="s">
        <v>2883</v>
      </c>
      <c r="V482" t="s">
        <v>110</v>
      </c>
      <c r="X482" t="s">
        <v>2880</v>
      </c>
      <c r="Y482" t="s">
        <v>412</v>
      </c>
      <c r="Z482" t="s">
        <v>2623</v>
      </c>
      <c r="AA482" t="s">
        <v>576</v>
      </c>
      <c r="AB482" t="s">
        <v>41</v>
      </c>
      <c r="AD482" t="s">
        <v>620</v>
      </c>
      <c r="AF482" t="s">
        <v>2667</v>
      </c>
      <c r="AJ482">
        <v>736.27398584798379</v>
      </c>
      <c r="AK482">
        <v>25483.22685799783</v>
      </c>
    </row>
    <row r="483" spans="1:37" hidden="1" x14ac:dyDescent="0.25">
      <c r="A483">
        <v>495</v>
      </c>
      <c r="B483" t="s">
        <v>3388</v>
      </c>
      <c r="C483" t="s">
        <v>376</v>
      </c>
      <c r="D483" t="s">
        <v>2604</v>
      </c>
      <c r="E483" t="s">
        <v>37</v>
      </c>
      <c r="F483" t="s">
        <v>38</v>
      </c>
      <c r="G483" s="2">
        <v>45825</v>
      </c>
      <c r="H483">
        <v>11.1</v>
      </c>
      <c r="I483" t="s">
        <v>72</v>
      </c>
      <c r="J483" t="s">
        <v>40</v>
      </c>
      <c r="K483" t="s">
        <v>41</v>
      </c>
      <c r="L483" t="s">
        <v>2605</v>
      </c>
      <c r="M483" t="s">
        <v>2606</v>
      </c>
      <c r="N483" t="s">
        <v>2702</v>
      </c>
      <c r="O483" t="s">
        <v>79</v>
      </c>
      <c r="P483" t="s">
        <v>80</v>
      </c>
      <c r="Q483">
        <v>7.2852924326856652</v>
      </c>
      <c r="R483" t="s">
        <v>46</v>
      </c>
      <c r="S483" t="s">
        <v>47</v>
      </c>
      <c r="T483" t="s">
        <v>2883</v>
      </c>
      <c r="V483" t="s">
        <v>110</v>
      </c>
      <c r="X483" t="s">
        <v>2880</v>
      </c>
      <c r="Y483" t="s">
        <v>412</v>
      </c>
      <c r="Z483" t="s">
        <v>2623</v>
      </c>
      <c r="AA483" t="s">
        <v>576</v>
      </c>
      <c r="AB483" t="s">
        <v>41</v>
      </c>
      <c r="AD483" t="s">
        <v>620</v>
      </c>
      <c r="AF483" t="s">
        <v>3389</v>
      </c>
      <c r="AJ483">
        <v>752.00752967374319</v>
      </c>
      <c r="AK483">
        <v>29482.65040075978</v>
      </c>
    </row>
    <row r="484" spans="1:37" hidden="1" x14ac:dyDescent="0.25">
      <c r="A484">
        <v>496</v>
      </c>
      <c r="B484" t="s">
        <v>3390</v>
      </c>
      <c r="C484" t="s">
        <v>376</v>
      </c>
      <c r="D484" t="s">
        <v>2604</v>
      </c>
      <c r="E484" t="s">
        <v>37</v>
      </c>
      <c r="F484" t="s">
        <v>38</v>
      </c>
      <c r="G484" s="2">
        <v>45825</v>
      </c>
      <c r="H484">
        <v>4</v>
      </c>
      <c r="I484" t="s">
        <v>72</v>
      </c>
      <c r="J484" t="s">
        <v>40</v>
      </c>
      <c r="K484" t="s">
        <v>41</v>
      </c>
      <c r="L484" t="s">
        <v>2605</v>
      </c>
      <c r="M484" t="s">
        <v>2606</v>
      </c>
      <c r="O484" t="s">
        <v>402</v>
      </c>
      <c r="P484" t="s">
        <v>403</v>
      </c>
      <c r="Q484">
        <v>3.8751166284300389</v>
      </c>
      <c r="S484" t="s">
        <v>38</v>
      </c>
      <c r="T484" t="s">
        <v>3380</v>
      </c>
      <c r="V484" t="s">
        <v>860</v>
      </c>
      <c r="X484" t="s">
        <v>3381</v>
      </c>
      <c r="Y484" t="s">
        <v>412</v>
      </c>
      <c r="Z484" t="s">
        <v>2623</v>
      </c>
      <c r="AA484" t="s">
        <v>2116</v>
      </c>
      <c r="AB484" t="s">
        <v>41</v>
      </c>
      <c r="AD484" t="s">
        <v>721</v>
      </c>
      <c r="AF484" t="s">
        <v>865</v>
      </c>
      <c r="AJ484">
        <v>535.38049571560055</v>
      </c>
      <c r="AK484">
        <v>15682.10334366178</v>
      </c>
    </row>
    <row r="485" spans="1:37" x14ac:dyDescent="0.25">
      <c r="A485">
        <v>538</v>
      </c>
      <c r="B485" t="s">
        <v>3447</v>
      </c>
      <c r="C485" t="s">
        <v>376</v>
      </c>
      <c r="D485" t="s">
        <v>2604</v>
      </c>
      <c r="E485" t="s">
        <v>37</v>
      </c>
      <c r="F485" t="s">
        <v>38</v>
      </c>
      <c r="G485" s="2">
        <v>45825</v>
      </c>
      <c r="H485">
        <v>1.6</v>
      </c>
      <c r="I485" t="s">
        <v>72</v>
      </c>
      <c r="J485" t="s">
        <v>40</v>
      </c>
      <c r="K485" t="s">
        <v>41</v>
      </c>
      <c r="L485" t="s">
        <v>2605</v>
      </c>
      <c r="M485" t="s">
        <v>2606</v>
      </c>
      <c r="N485" t="s">
        <v>2702</v>
      </c>
      <c r="O485" t="s">
        <v>62</v>
      </c>
      <c r="P485" t="s">
        <v>63</v>
      </c>
      <c r="Q485">
        <v>0.81150314505986065</v>
      </c>
      <c r="R485" t="s">
        <v>64</v>
      </c>
      <c r="S485" t="s">
        <v>65</v>
      </c>
      <c r="T485" t="s">
        <v>2883</v>
      </c>
      <c r="V485" t="s">
        <v>110</v>
      </c>
      <c r="X485" t="s">
        <v>2880</v>
      </c>
      <c r="Y485" t="s">
        <v>382</v>
      </c>
      <c r="Z485" t="s">
        <v>2623</v>
      </c>
      <c r="AA485" t="s">
        <v>64</v>
      </c>
      <c r="AB485" t="s">
        <v>41</v>
      </c>
      <c r="AD485" t="s">
        <v>620</v>
      </c>
      <c r="AF485" t="s">
        <v>3444</v>
      </c>
      <c r="AJ485">
        <v>236.01317678227329</v>
      </c>
      <c r="AK485">
        <v>3284.0498505695618</v>
      </c>
    </row>
    <row r="486" spans="1:37" x14ac:dyDescent="0.25">
      <c r="A486">
        <v>541</v>
      </c>
      <c r="B486" t="s">
        <v>3451</v>
      </c>
      <c r="C486" t="s">
        <v>376</v>
      </c>
      <c r="D486" t="s">
        <v>2604</v>
      </c>
      <c r="E486" t="s">
        <v>37</v>
      </c>
      <c r="F486" t="s">
        <v>38</v>
      </c>
      <c r="G486" s="2">
        <v>45825</v>
      </c>
      <c r="H486">
        <v>0.4</v>
      </c>
      <c r="I486" t="s">
        <v>72</v>
      </c>
      <c r="J486" t="s">
        <v>40</v>
      </c>
      <c r="K486" t="s">
        <v>41</v>
      </c>
      <c r="L486" t="s">
        <v>2605</v>
      </c>
      <c r="M486" t="s">
        <v>2606</v>
      </c>
      <c r="O486" t="s">
        <v>62</v>
      </c>
      <c r="P486" t="s">
        <v>63</v>
      </c>
      <c r="Q486">
        <v>0.36842792115341488</v>
      </c>
      <c r="R486" t="s">
        <v>64</v>
      </c>
      <c r="S486" t="s">
        <v>65</v>
      </c>
      <c r="T486" t="s">
        <v>3452</v>
      </c>
      <c r="V486" t="s">
        <v>118</v>
      </c>
      <c r="X486" t="s">
        <v>3453</v>
      </c>
      <c r="Y486" t="s">
        <v>382</v>
      </c>
      <c r="Z486" t="s">
        <v>2623</v>
      </c>
      <c r="AA486" t="s">
        <v>64</v>
      </c>
      <c r="AB486" t="s">
        <v>41</v>
      </c>
      <c r="AD486" t="s">
        <v>620</v>
      </c>
      <c r="AF486" t="s">
        <v>2624</v>
      </c>
      <c r="AJ486">
        <v>182.0161016410978</v>
      </c>
      <c r="AK486">
        <v>1490.9808628286651</v>
      </c>
    </row>
    <row r="487" spans="1:37" hidden="1" x14ac:dyDescent="0.25">
      <c r="A487">
        <v>499</v>
      </c>
      <c r="B487" t="s">
        <v>3393</v>
      </c>
      <c r="C487" t="s">
        <v>376</v>
      </c>
      <c r="D487" t="s">
        <v>2604</v>
      </c>
      <c r="E487" t="s">
        <v>37</v>
      </c>
      <c r="F487" t="s">
        <v>38</v>
      </c>
      <c r="G487" s="2">
        <v>45825</v>
      </c>
      <c r="H487">
        <v>3.8</v>
      </c>
      <c r="I487" t="s">
        <v>72</v>
      </c>
      <c r="J487" t="s">
        <v>40</v>
      </c>
      <c r="K487" t="s">
        <v>41</v>
      </c>
      <c r="L487" t="s">
        <v>2605</v>
      </c>
      <c r="M487" t="s">
        <v>2606</v>
      </c>
      <c r="N487" t="s">
        <v>3027</v>
      </c>
      <c r="O487" t="s">
        <v>79</v>
      </c>
      <c r="P487" t="s">
        <v>80</v>
      </c>
      <c r="Q487">
        <v>6.8094509613177836</v>
      </c>
      <c r="R487" t="s">
        <v>46</v>
      </c>
      <c r="S487" t="s">
        <v>47</v>
      </c>
      <c r="T487" t="s">
        <v>3097</v>
      </c>
      <c r="V487" t="s">
        <v>110</v>
      </c>
      <c r="X487" t="s">
        <v>3029</v>
      </c>
      <c r="Y487" t="s">
        <v>412</v>
      </c>
      <c r="Z487" t="s">
        <v>2623</v>
      </c>
      <c r="AA487" t="s">
        <v>576</v>
      </c>
      <c r="AB487" t="s">
        <v>41</v>
      </c>
      <c r="AD487" t="s">
        <v>620</v>
      </c>
      <c r="AF487" t="s">
        <v>1128</v>
      </c>
      <c r="AJ487">
        <v>771.51911992903126</v>
      </c>
      <c r="AK487">
        <v>27556.98058363884</v>
      </c>
    </row>
    <row r="488" spans="1:37" x14ac:dyDescent="0.25">
      <c r="A488">
        <v>561</v>
      </c>
      <c r="B488" t="s">
        <v>3482</v>
      </c>
      <c r="C488" t="s">
        <v>376</v>
      </c>
      <c r="D488" t="s">
        <v>2604</v>
      </c>
      <c r="E488" t="s">
        <v>37</v>
      </c>
      <c r="F488" t="s">
        <v>38</v>
      </c>
      <c r="G488" s="2">
        <v>45825</v>
      </c>
      <c r="H488">
        <v>0.1</v>
      </c>
      <c r="I488" t="s">
        <v>72</v>
      </c>
      <c r="J488" t="s">
        <v>40</v>
      </c>
      <c r="K488" t="s">
        <v>41</v>
      </c>
      <c r="L488" t="s">
        <v>2605</v>
      </c>
      <c r="M488" t="s">
        <v>2606</v>
      </c>
      <c r="O488" t="s">
        <v>62</v>
      </c>
      <c r="P488" t="s">
        <v>63</v>
      </c>
      <c r="Q488">
        <v>0.13082422645899849</v>
      </c>
      <c r="R488" t="s">
        <v>64</v>
      </c>
      <c r="S488" t="s">
        <v>65</v>
      </c>
      <c r="T488" t="s">
        <v>2691</v>
      </c>
      <c r="V488" t="s">
        <v>3462</v>
      </c>
      <c r="X488" t="s">
        <v>1126</v>
      </c>
      <c r="Y488" t="s">
        <v>382</v>
      </c>
      <c r="Z488" t="s">
        <v>2623</v>
      </c>
      <c r="AA488" t="s">
        <v>118</v>
      </c>
      <c r="AB488" t="s">
        <v>41</v>
      </c>
      <c r="AJ488">
        <v>140.1447807149691</v>
      </c>
      <c r="AK488">
        <v>529.42897876490747</v>
      </c>
    </row>
    <row r="489" spans="1:37" hidden="1" x14ac:dyDescent="0.25">
      <c r="A489">
        <v>501</v>
      </c>
      <c r="B489" t="s">
        <v>3395</v>
      </c>
      <c r="C489" t="s">
        <v>376</v>
      </c>
      <c r="D489" t="s">
        <v>2604</v>
      </c>
      <c r="E489" t="s">
        <v>37</v>
      </c>
      <c r="F489" t="s">
        <v>38</v>
      </c>
      <c r="G489" s="2">
        <v>45825</v>
      </c>
      <c r="H489">
        <v>0.2</v>
      </c>
      <c r="I489" t="s">
        <v>72</v>
      </c>
      <c r="J489" t="s">
        <v>40</v>
      </c>
      <c r="K489" t="s">
        <v>41</v>
      </c>
      <c r="L489" t="s">
        <v>2605</v>
      </c>
      <c r="M489" t="s">
        <v>2606</v>
      </c>
      <c r="O489" t="s">
        <v>402</v>
      </c>
      <c r="P489" t="s">
        <v>403</v>
      </c>
      <c r="Q489">
        <v>0.13199358577843781</v>
      </c>
      <c r="S489" t="s">
        <v>38</v>
      </c>
      <c r="T489" t="s">
        <v>3354</v>
      </c>
      <c r="V489" t="s">
        <v>860</v>
      </c>
      <c r="X489" t="s">
        <v>3355</v>
      </c>
      <c r="Y489" t="s">
        <v>412</v>
      </c>
      <c r="Z489" t="s">
        <v>2623</v>
      </c>
      <c r="AA489" t="s">
        <v>2116</v>
      </c>
      <c r="AB489" t="s">
        <v>41</v>
      </c>
      <c r="AD489" t="s">
        <v>250</v>
      </c>
      <c r="AF489" t="s">
        <v>1131</v>
      </c>
      <c r="AJ489">
        <v>122.5420233617785</v>
      </c>
      <c r="AK489">
        <v>534.16122696584739</v>
      </c>
    </row>
    <row r="490" spans="1:37" hidden="1" x14ac:dyDescent="0.25">
      <c r="A490">
        <v>502</v>
      </c>
      <c r="B490" t="s">
        <v>3396</v>
      </c>
      <c r="C490" t="s">
        <v>376</v>
      </c>
      <c r="D490" t="s">
        <v>2604</v>
      </c>
      <c r="E490" t="s">
        <v>37</v>
      </c>
      <c r="F490" t="s">
        <v>38</v>
      </c>
      <c r="G490" s="2">
        <v>45825</v>
      </c>
      <c r="H490">
        <v>41.4</v>
      </c>
      <c r="I490" t="s">
        <v>72</v>
      </c>
      <c r="J490" t="s">
        <v>40</v>
      </c>
      <c r="K490" t="s">
        <v>41</v>
      </c>
      <c r="L490" t="s">
        <v>2605</v>
      </c>
      <c r="M490" t="s">
        <v>2606</v>
      </c>
      <c r="N490" t="s">
        <v>3027</v>
      </c>
      <c r="O490" t="s">
        <v>79</v>
      </c>
      <c r="P490" t="s">
        <v>80</v>
      </c>
      <c r="Q490">
        <v>45.976702252668218</v>
      </c>
      <c r="R490" t="s">
        <v>46</v>
      </c>
      <c r="S490" t="s">
        <v>47</v>
      </c>
      <c r="T490" t="s">
        <v>3097</v>
      </c>
      <c r="V490" t="s">
        <v>110</v>
      </c>
      <c r="X490" t="s">
        <v>3029</v>
      </c>
      <c r="Y490" t="s">
        <v>412</v>
      </c>
      <c r="Z490" t="s">
        <v>2623</v>
      </c>
      <c r="AA490" t="s">
        <v>121</v>
      </c>
      <c r="AB490" t="s">
        <v>41</v>
      </c>
      <c r="AD490" t="s">
        <v>620</v>
      </c>
      <c r="AF490" t="s">
        <v>2667</v>
      </c>
      <c r="AJ490">
        <v>1788.553798792824</v>
      </c>
      <c r="AK490">
        <v>186061.85703866681</v>
      </c>
    </row>
    <row r="491" spans="1:37" hidden="1" x14ac:dyDescent="0.25">
      <c r="A491">
        <v>503</v>
      </c>
      <c r="B491" t="s">
        <v>3397</v>
      </c>
      <c r="C491" t="s">
        <v>376</v>
      </c>
      <c r="D491" t="s">
        <v>2604</v>
      </c>
      <c r="E491" t="s">
        <v>37</v>
      </c>
      <c r="F491" t="s">
        <v>38</v>
      </c>
      <c r="G491" s="2">
        <v>45825</v>
      </c>
      <c r="H491">
        <v>0.3</v>
      </c>
      <c r="I491" t="s">
        <v>72</v>
      </c>
      <c r="J491" t="s">
        <v>40</v>
      </c>
      <c r="K491" t="s">
        <v>41</v>
      </c>
      <c r="L491" t="s">
        <v>2605</v>
      </c>
      <c r="M491" t="s">
        <v>2606</v>
      </c>
      <c r="O491" t="s">
        <v>402</v>
      </c>
      <c r="P491" t="s">
        <v>403</v>
      </c>
      <c r="Q491">
        <v>0.34635125558740237</v>
      </c>
      <c r="S491" t="s">
        <v>38</v>
      </c>
      <c r="T491" t="s">
        <v>3354</v>
      </c>
      <c r="V491" t="s">
        <v>860</v>
      </c>
      <c r="X491" t="s">
        <v>3355</v>
      </c>
      <c r="Y491" t="s">
        <v>412</v>
      </c>
      <c r="Z491" t="s">
        <v>2623</v>
      </c>
      <c r="AA491" t="s">
        <v>2116</v>
      </c>
      <c r="AB491" t="s">
        <v>41</v>
      </c>
      <c r="AD491" t="s">
        <v>250</v>
      </c>
      <c r="AF491" t="s">
        <v>1131</v>
      </c>
      <c r="AJ491">
        <v>179.40097928846831</v>
      </c>
      <c r="AK491">
        <v>1401.6394096322149</v>
      </c>
    </row>
    <row r="492" spans="1:37" hidden="1" x14ac:dyDescent="0.25">
      <c r="A492">
        <v>504</v>
      </c>
      <c r="B492" t="s">
        <v>3398</v>
      </c>
      <c r="C492" t="s">
        <v>376</v>
      </c>
      <c r="D492" t="s">
        <v>2604</v>
      </c>
      <c r="E492" t="s">
        <v>37</v>
      </c>
      <c r="F492" t="s">
        <v>38</v>
      </c>
      <c r="G492" s="2">
        <v>45825</v>
      </c>
      <c r="H492">
        <v>0.4</v>
      </c>
      <c r="I492" t="s">
        <v>72</v>
      </c>
      <c r="J492" t="s">
        <v>40</v>
      </c>
      <c r="K492" t="s">
        <v>41</v>
      </c>
      <c r="L492" t="s">
        <v>2605</v>
      </c>
      <c r="M492" t="s">
        <v>2606</v>
      </c>
      <c r="O492" t="s">
        <v>402</v>
      </c>
      <c r="P492" t="s">
        <v>403</v>
      </c>
      <c r="Q492">
        <v>0.34514927466305151</v>
      </c>
      <c r="S492" t="s">
        <v>38</v>
      </c>
      <c r="T492" t="s">
        <v>3354</v>
      </c>
      <c r="V492" t="s">
        <v>860</v>
      </c>
      <c r="X492" t="s">
        <v>3355</v>
      </c>
      <c r="Y492" t="s">
        <v>412</v>
      </c>
      <c r="Z492" t="s">
        <v>2623</v>
      </c>
      <c r="AA492" t="s">
        <v>2116</v>
      </c>
      <c r="AB492" t="s">
        <v>41</v>
      </c>
      <c r="AD492" t="s">
        <v>250</v>
      </c>
      <c r="AF492" t="s">
        <v>1131</v>
      </c>
      <c r="AJ492">
        <v>171.05777363411829</v>
      </c>
      <c r="AK492">
        <v>1396.7751459518679</v>
      </c>
    </row>
    <row r="493" spans="1:37" x14ac:dyDescent="0.25">
      <c r="A493">
        <v>564</v>
      </c>
      <c r="B493" t="s">
        <v>3487</v>
      </c>
      <c r="C493" t="s">
        <v>376</v>
      </c>
      <c r="D493" t="s">
        <v>2604</v>
      </c>
      <c r="E493" t="s">
        <v>37</v>
      </c>
      <c r="F493" t="s">
        <v>38</v>
      </c>
      <c r="G493" s="2">
        <v>45825</v>
      </c>
      <c r="H493">
        <v>0.1</v>
      </c>
      <c r="I493" t="s">
        <v>72</v>
      </c>
      <c r="J493" t="s">
        <v>40</v>
      </c>
      <c r="K493" t="s">
        <v>41</v>
      </c>
      <c r="L493" t="s">
        <v>2605</v>
      </c>
      <c r="M493" t="s">
        <v>2606</v>
      </c>
      <c r="O493" t="s">
        <v>62</v>
      </c>
      <c r="P493" t="s">
        <v>63</v>
      </c>
      <c r="Q493">
        <v>2.7880875697230429E-2</v>
      </c>
      <c r="R493" t="s">
        <v>64</v>
      </c>
      <c r="S493" t="s">
        <v>65</v>
      </c>
      <c r="T493" t="s">
        <v>2691</v>
      </c>
      <c r="V493" t="s">
        <v>118</v>
      </c>
      <c r="X493" t="s">
        <v>1126</v>
      </c>
      <c r="Y493" t="s">
        <v>382</v>
      </c>
      <c r="Z493" t="s">
        <v>2623</v>
      </c>
      <c r="AA493" t="s">
        <v>118</v>
      </c>
      <c r="AB493" t="s">
        <v>41</v>
      </c>
      <c r="AJ493">
        <v>42.676888221726969</v>
      </c>
      <c r="AK493">
        <v>112.8303521984305</v>
      </c>
    </row>
    <row r="494" spans="1:37" hidden="1" x14ac:dyDescent="0.25">
      <c r="A494">
        <v>506</v>
      </c>
      <c r="B494" t="s">
        <v>3400</v>
      </c>
      <c r="C494" t="s">
        <v>376</v>
      </c>
      <c r="D494" t="s">
        <v>2604</v>
      </c>
      <c r="E494" t="s">
        <v>37</v>
      </c>
      <c r="F494" t="s">
        <v>38</v>
      </c>
      <c r="G494" s="2">
        <v>45825</v>
      </c>
      <c r="I494" t="s">
        <v>72</v>
      </c>
      <c r="J494" t="s">
        <v>40</v>
      </c>
      <c r="K494" t="s">
        <v>41</v>
      </c>
      <c r="L494" t="s">
        <v>2605</v>
      </c>
      <c r="M494" t="s">
        <v>2606</v>
      </c>
      <c r="O494" t="s">
        <v>402</v>
      </c>
      <c r="P494" t="s">
        <v>403</v>
      </c>
      <c r="Q494">
        <v>4.5101426538976064</v>
      </c>
      <c r="S494" t="s">
        <v>38</v>
      </c>
      <c r="T494" t="s">
        <v>3380</v>
      </c>
      <c r="V494" t="s">
        <v>860</v>
      </c>
      <c r="X494" t="s">
        <v>3381</v>
      </c>
      <c r="Y494" t="s">
        <v>412</v>
      </c>
      <c r="Z494" t="s">
        <v>2623</v>
      </c>
      <c r="AA494" t="s">
        <v>2116</v>
      </c>
      <c r="AB494" t="s">
        <v>41</v>
      </c>
      <c r="AD494" t="s">
        <v>399</v>
      </c>
      <c r="AE494" t="s">
        <v>3327</v>
      </c>
      <c r="AF494" t="s">
        <v>3401</v>
      </c>
      <c r="AJ494">
        <v>728.18818020359799</v>
      </c>
      <c r="AK494">
        <v>18251.972772683788</v>
      </c>
    </row>
    <row r="495" spans="1:37" hidden="1" x14ac:dyDescent="0.25">
      <c r="A495">
        <v>507</v>
      </c>
      <c r="B495" t="s">
        <v>3402</v>
      </c>
      <c r="C495" t="s">
        <v>376</v>
      </c>
      <c r="D495" t="s">
        <v>2604</v>
      </c>
      <c r="E495" t="s">
        <v>37</v>
      </c>
      <c r="F495" t="s">
        <v>38</v>
      </c>
      <c r="G495" s="2">
        <v>45825</v>
      </c>
      <c r="H495">
        <v>2.2000000000000002</v>
      </c>
      <c r="I495" t="s">
        <v>72</v>
      </c>
      <c r="J495" t="s">
        <v>40</v>
      </c>
      <c r="K495" t="s">
        <v>41</v>
      </c>
      <c r="L495" t="s">
        <v>2605</v>
      </c>
      <c r="M495" t="s">
        <v>2606</v>
      </c>
      <c r="O495" t="s">
        <v>402</v>
      </c>
      <c r="P495" t="s">
        <v>403</v>
      </c>
      <c r="Q495">
        <v>2.5552318474718621</v>
      </c>
      <c r="S495" t="s">
        <v>38</v>
      </c>
      <c r="T495" t="s">
        <v>3376</v>
      </c>
      <c r="V495" t="s">
        <v>860</v>
      </c>
      <c r="X495" t="s">
        <v>3377</v>
      </c>
      <c r="Y495" t="s">
        <v>412</v>
      </c>
      <c r="Z495" t="s">
        <v>2623</v>
      </c>
      <c r="AA495" t="s">
        <v>2116</v>
      </c>
      <c r="AB495" t="s">
        <v>41</v>
      </c>
      <c r="AD495" t="s">
        <v>701</v>
      </c>
      <c r="AF495" t="s">
        <v>865</v>
      </c>
      <c r="AJ495">
        <v>601.32296429537848</v>
      </c>
      <c r="AK495">
        <v>10340.69777541226</v>
      </c>
    </row>
    <row r="496" spans="1:37" hidden="1" x14ac:dyDescent="0.25">
      <c r="A496">
        <v>508</v>
      </c>
      <c r="B496" t="s">
        <v>3403</v>
      </c>
      <c r="C496" t="s">
        <v>376</v>
      </c>
      <c r="D496" t="s">
        <v>2604</v>
      </c>
      <c r="E496" t="s">
        <v>37</v>
      </c>
      <c r="F496" t="s">
        <v>38</v>
      </c>
      <c r="G496" s="2">
        <v>45825</v>
      </c>
      <c r="H496">
        <v>11.1</v>
      </c>
      <c r="I496" t="s">
        <v>72</v>
      </c>
      <c r="J496" t="s">
        <v>40</v>
      </c>
      <c r="K496" t="s">
        <v>41</v>
      </c>
      <c r="L496" t="s">
        <v>2605</v>
      </c>
      <c r="M496" t="s">
        <v>2606</v>
      </c>
      <c r="N496" t="s">
        <v>3027</v>
      </c>
      <c r="O496" t="s">
        <v>44</v>
      </c>
      <c r="P496" t="s">
        <v>45</v>
      </c>
      <c r="Q496">
        <v>10.80749445788433</v>
      </c>
      <c r="R496" t="s">
        <v>46</v>
      </c>
      <c r="S496" t="s">
        <v>47</v>
      </c>
      <c r="T496" t="s">
        <v>3364</v>
      </c>
      <c r="V496" t="s">
        <v>110</v>
      </c>
      <c r="X496" t="s">
        <v>3365</v>
      </c>
      <c r="Y496" t="s">
        <v>412</v>
      </c>
      <c r="Z496" t="s">
        <v>2623</v>
      </c>
      <c r="AA496" t="s">
        <v>121</v>
      </c>
      <c r="AB496" t="s">
        <v>41</v>
      </c>
      <c r="AD496" t="s">
        <v>620</v>
      </c>
      <c r="AF496" t="s">
        <v>3304</v>
      </c>
      <c r="AJ496">
        <v>838.76846297578322</v>
      </c>
      <c r="AK496">
        <v>43736.553302979883</v>
      </c>
    </row>
    <row r="497" spans="1:37" hidden="1" x14ac:dyDescent="0.25">
      <c r="A497">
        <v>509</v>
      </c>
      <c r="B497" t="s">
        <v>3404</v>
      </c>
      <c r="C497" t="s">
        <v>376</v>
      </c>
      <c r="D497" t="s">
        <v>2604</v>
      </c>
      <c r="E497" t="s">
        <v>37</v>
      </c>
      <c r="F497" t="s">
        <v>38</v>
      </c>
      <c r="G497" s="2">
        <v>45825</v>
      </c>
      <c r="H497">
        <v>3.6</v>
      </c>
      <c r="I497" t="s">
        <v>72</v>
      </c>
      <c r="J497" t="s">
        <v>40</v>
      </c>
      <c r="K497" t="s">
        <v>41</v>
      </c>
      <c r="L497" t="s">
        <v>2605</v>
      </c>
      <c r="M497" t="s">
        <v>2606</v>
      </c>
      <c r="O497" t="s">
        <v>402</v>
      </c>
      <c r="P497" t="s">
        <v>403</v>
      </c>
      <c r="Q497">
        <v>1.687331180828709</v>
      </c>
      <c r="S497" t="s">
        <v>38</v>
      </c>
      <c r="T497" t="s">
        <v>3405</v>
      </c>
      <c r="V497" t="s">
        <v>860</v>
      </c>
      <c r="X497" t="s">
        <v>3381</v>
      </c>
      <c r="Y497" t="s">
        <v>412</v>
      </c>
      <c r="Z497" t="s">
        <v>2623</v>
      </c>
      <c r="AA497" t="s">
        <v>2116</v>
      </c>
      <c r="AB497" t="s">
        <v>41</v>
      </c>
      <c r="AD497" t="s">
        <v>399</v>
      </c>
      <c r="AF497" t="s">
        <v>3401</v>
      </c>
      <c r="AJ497">
        <v>335.40060243198837</v>
      </c>
      <c r="AK497">
        <v>6828.4143394824814</v>
      </c>
    </row>
    <row r="498" spans="1:37" hidden="1" x14ac:dyDescent="0.25">
      <c r="A498">
        <v>510</v>
      </c>
      <c r="B498" t="s">
        <v>3406</v>
      </c>
      <c r="C498" t="s">
        <v>376</v>
      </c>
      <c r="D498" t="s">
        <v>2604</v>
      </c>
      <c r="E498" t="s">
        <v>37</v>
      </c>
      <c r="F498" t="s">
        <v>38</v>
      </c>
      <c r="G498" s="2">
        <v>45825</v>
      </c>
      <c r="H498">
        <v>3.6</v>
      </c>
      <c r="I498" t="s">
        <v>72</v>
      </c>
      <c r="J498" t="s">
        <v>40</v>
      </c>
      <c r="K498" t="s">
        <v>41</v>
      </c>
      <c r="L498" t="s">
        <v>2605</v>
      </c>
      <c r="M498" t="s">
        <v>2606</v>
      </c>
      <c r="N498" t="s">
        <v>3027</v>
      </c>
      <c r="O498" t="s">
        <v>402</v>
      </c>
      <c r="P498" t="s">
        <v>403</v>
      </c>
      <c r="Q498">
        <v>3.5746988347540758</v>
      </c>
      <c r="S498" t="s">
        <v>38</v>
      </c>
      <c r="T498" t="s">
        <v>3364</v>
      </c>
      <c r="V498" t="s">
        <v>110</v>
      </c>
      <c r="X498" t="s">
        <v>3365</v>
      </c>
      <c r="Y498" t="s">
        <v>412</v>
      </c>
      <c r="Z498" t="s">
        <v>2623</v>
      </c>
      <c r="AA498" t="s">
        <v>121</v>
      </c>
      <c r="AB498" t="s">
        <v>41</v>
      </c>
      <c r="AD498" t="s">
        <v>620</v>
      </c>
      <c r="AF498" t="s">
        <v>3304</v>
      </c>
      <c r="AJ498">
        <v>690.18998649880496</v>
      </c>
      <c r="AK498">
        <v>14466.350802915669</v>
      </c>
    </row>
    <row r="499" spans="1:37" hidden="1" x14ac:dyDescent="0.25">
      <c r="A499">
        <v>511</v>
      </c>
      <c r="B499" t="s">
        <v>3407</v>
      </c>
      <c r="C499" t="s">
        <v>376</v>
      </c>
      <c r="D499" t="s">
        <v>2604</v>
      </c>
      <c r="E499" t="s">
        <v>37</v>
      </c>
      <c r="F499" t="s">
        <v>38</v>
      </c>
      <c r="G499" s="2">
        <v>45825</v>
      </c>
      <c r="H499">
        <v>0.1</v>
      </c>
      <c r="I499" t="s">
        <v>72</v>
      </c>
      <c r="J499" t="s">
        <v>40</v>
      </c>
      <c r="K499" t="s">
        <v>41</v>
      </c>
      <c r="L499" t="s">
        <v>2605</v>
      </c>
      <c r="M499" t="s">
        <v>2606</v>
      </c>
      <c r="O499" t="s">
        <v>402</v>
      </c>
      <c r="P499" t="s">
        <v>403</v>
      </c>
      <c r="Q499">
        <v>0.1358869115846246</v>
      </c>
      <c r="S499" t="s">
        <v>38</v>
      </c>
      <c r="T499" t="s">
        <v>3376</v>
      </c>
      <c r="V499" t="s">
        <v>860</v>
      </c>
      <c r="X499" t="s">
        <v>3377</v>
      </c>
      <c r="Y499" t="s">
        <v>412</v>
      </c>
      <c r="Z499" t="s">
        <v>2623</v>
      </c>
      <c r="AA499" t="s">
        <v>2116</v>
      </c>
      <c r="AB499" t="s">
        <v>41</v>
      </c>
      <c r="AD499" t="s">
        <v>701</v>
      </c>
      <c r="AF499" t="s">
        <v>865</v>
      </c>
      <c r="AJ499">
        <v>112.9169666697056</v>
      </c>
      <c r="AK499">
        <v>549.91702053222161</v>
      </c>
    </row>
    <row r="500" spans="1:37" hidden="1" x14ac:dyDescent="0.25">
      <c r="A500">
        <v>512</v>
      </c>
      <c r="B500" t="s">
        <v>3408</v>
      </c>
      <c r="C500" t="s">
        <v>376</v>
      </c>
      <c r="D500" t="s">
        <v>2604</v>
      </c>
      <c r="E500" t="s">
        <v>37</v>
      </c>
      <c r="F500" t="s">
        <v>38</v>
      </c>
      <c r="G500" s="2">
        <v>45825</v>
      </c>
      <c r="I500" t="s">
        <v>72</v>
      </c>
      <c r="J500" t="s">
        <v>40</v>
      </c>
      <c r="K500" t="s">
        <v>41</v>
      </c>
      <c r="L500" t="s">
        <v>2605</v>
      </c>
      <c r="M500" t="s">
        <v>2606</v>
      </c>
      <c r="O500" t="s">
        <v>402</v>
      </c>
      <c r="P500" t="s">
        <v>403</v>
      </c>
      <c r="Q500">
        <v>0.44792109047337852</v>
      </c>
      <c r="S500" t="s">
        <v>38</v>
      </c>
      <c r="T500" t="s">
        <v>495</v>
      </c>
      <c r="V500" t="s">
        <v>860</v>
      </c>
      <c r="X500" t="s">
        <v>495</v>
      </c>
      <c r="Y500" t="s">
        <v>412</v>
      </c>
      <c r="Z500" t="s">
        <v>2623</v>
      </c>
      <c r="AA500" t="s">
        <v>2116</v>
      </c>
      <c r="AB500" t="s">
        <v>41</v>
      </c>
      <c r="AJ500">
        <v>171.23031735965279</v>
      </c>
      <c r="AK500">
        <v>1812.679592421722</v>
      </c>
    </row>
    <row r="501" spans="1:37" hidden="1" x14ac:dyDescent="0.25">
      <c r="A501">
        <v>513</v>
      </c>
      <c r="B501" t="s">
        <v>3409</v>
      </c>
      <c r="C501" t="s">
        <v>376</v>
      </c>
      <c r="D501" t="s">
        <v>2604</v>
      </c>
      <c r="E501" t="s">
        <v>37</v>
      </c>
      <c r="F501" t="s">
        <v>38</v>
      </c>
      <c r="G501" s="2">
        <v>45825</v>
      </c>
      <c r="H501">
        <v>1.5</v>
      </c>
      <c r="I501" t="s">
        <v>72</v>
      </c>
      <c r="J501" t="s">
        <v>40</v>
      </c>
      <c r="K501" t="s">
        <v>41</v>
      </c>
      <c r="L501" t="s">
        <v>2605</v>
      </c>
      <c r="M501" t="s">
        <v>2606</v>
      </c>
      <c r="O501" t="s">
        <v>402</v>
      </c>
      <c r="P501" t="s">
        <v>403</v>
      </c>
      <c r="Q501">
        <v>1.441254085838003</v>
      </c>
      <c r="S501" t="s">
        <v>38</v>
      </c>
      <c r="T501" t="s">
        <v>3376</v>
      </c>
      <c r="V501" t="s">
        <v>860</v>
      </c>
      <c r="X501" t="s">
        <v>3377</v>
      </c>
      <c r="Y501" t="s">
        <v>412</v>
      </c>
      <c r="Z501" t="s">
        <v>2623</v>
      </c>
      <c r="AA501" t="s">
        <v>2116</v>
      </c>
      <c r="AB501" t="s">
        <v>41</v>
      </c>
      <c r="AD501" t="s">
        <v>701</v>
      </c>
      <c r="AF501" t="s">
        <v>865</v>
      </c>
      <c r="AJ501">
        <v>391.78196875939972</v>
      </c>
      <c r="AK501">
        <v>5832.5716838471672</v>
      </c>
    </row>
    <row r="502" spans="1:37" hidden="1" x14ac:dyDescent="0.25">
      <c r="A502">
        <v>514</v>
      </c>
      <c r="B502" t="s">
        <v>3410</v>
      </c>
      <c r="C502" t="s">
        <v>376</v>
      </c>
      <c r="D502" t="s">
        <v>2604</v>
      </c>
      <c r="E502" t="s">
        <v>37</v>
      </c>
      <c r="F502" t="s">
        <v>38</v>
      </c>
      <c r="G502" s="2">
        <v>45825</v>
      </c>
      <c r="H502">
        <v>16.2</v>
      </c>
      <c r="I502" t="s">
        <v>72</v>
      </c>
      <c r="J502" t="s">
        <v>40</v>
      </c>
      <c r="K502" t="s">
        <v>41</v>
      </c>
      <c r="L502" t="s">
        <v>2605</v>
      </c>
      <c r="M502" t="s">
        <v>2606</v>
      </c>
      <c r="N502" t="s">
        <v>3027</v>
      </c>
      <c r="O502" t="s">
        <v>77</v>
      </c>
      <c r="P502" t="s">
        <v>78</v>
      </c>
      <c r="Q502">
        <v>16.737187145344802</v>
      </c>
      <c r="R502" t="s">
        <v>46</v>
      </c>
      <c r="S502" t="s">
        <v>47</v>
      </c>
      <c r="T502" t="s">
        <v>3097</v>
      </c>
      <c r="V502" t="s">
        <v>110</v>
      </c>
      <c r="X502" t="s">
        <v>3029</v>
      </c>
      <c r="Y502" t="s">
        <v>412</v>
      </c>
      <c r="Z502" t="s">
        <v>2623</v>
      </c>
      <c r="AA502" t="s">
        <v>121</v>
      </c>
      <c r="AB502" t="s">
        <v>41</v>
      </c>
      <c r="AD502" t="s">
        <v>620</v>
      </c>
      <c r="AF502" t="s">
        <v>2667</v>
      </c>
      <c r="AJ502">
        <v>1041.385701278844</v>
      </c>
      <c r="AK502">
        <v>67733.264224835279</v>
      </c>
    </row>
    <row r="503" spans="1:37" hidden="1" x14ac:dyDescent="0.25">
      <c r="A503">
        <v>515</v>
      </c>
      <c r="B503" t="s">
        <v>3411</v>
      </c>
      <c r="C503" t="s">
        <v>376</v>
      </c>
      <c r="D503" t="s">
        <v>2604</v>
      </c>
      <c r="E503" t="s">
        <v>37</v>
      </c>
      <c r="F503" t="s">
        <v>38</v>
      </c>
      <c r="G503" s="2">
        <v>45825</v>
      </c>
      <c r="H503">
        <v>11.8</v>
      </c>
      <c r="I503" t="s">
        <v>72</v>
      </c>
      <c r="J503" t="s">
        <v>40</v>
      </c>
      <c r="K503" t="s">
        <v>41</v>
      </c>
      <c r="L503" t="s">
        <v>2605</v>
      </c>
      <c r="M503" t="s">
        <v>2606</v>
      </c>
      <c r="N503" t="s">
        <v>3027</v>
      </c>
      <c r="O503" t="s">
        <v>44</v>
      </c>
      <c r="P503" t="s">
        <v>45</v>
      </c>
      <c r="Q503">
        <v>9.5732770409614929</v>
      </c>
      <c r="R503" t="s">
        <v>46</v>
      </c>
      <c r="S503" t="s">
        <v>47</v>
      </c>
      <c r="T503" t="s">
        <v>3364</v>
      </c>
      <c r="V503" t="s">
        <v>110</v>
      </c>
      <c r="X503" t="s">
        <v>3384</v>
      </c>
      <c r="Y503" t="s">
        <v>412</v>
      </c>
      <c r="Z503" t="s">
        <v>2623</v>
      </c>
      <c r="AA503" t="s">
        <v>121</v>
      </c>
      <c r="AB503" t="s">
        <v>41</v>
      </c>
      <c r="AD503" t="s">
        <v>620</v>
      </c>
      <c r="AF503" t="s">
        <v>3304</v>
      </c>
      <c r="AJ503">
        <v>790.04188970765495</v>
      </c>
      <c r="AK503">
        <v>38741.832643805094</v>
      </c>
    </row>
    <row r="504" spans="1:37" hidden="1" x14ac:dyDescent="0.25">
      <c r="A504">
        <v>516</v>
      </c>
      <c r="B504" t="s">
        <v>3412</v>
      </c>
      <c r="C504" t="s">
        <v>376</v>
      </c>
      <c r="D504" t="s">
        <v>2604</v>
      </c>
      <c r="E504" t="s">
        <v>37</v>
      </c>
      <c r="F504" t="s">
        <v>38</v>
      </c>
      <c r="G504" s="2">
        <v>45825</v>
      </c>
      <c r="H504">
        <v>3.6</v>
      </c>
      <c r="I504" t="s">
        <v>72</v>
      </c>
      <c r="J504" t="s">
        <v>40</v>
      </c>
      <c r="K504" t="s">
        <v>41</v>
      </c>
      <c r="L504" t="s">
        <v>2605</v>
      </c>
      <c r="M504" t="s">
        <v>2606</v>
      </c>
      <c r="N504" t="s">
        <v>3027</v>
      </c>
      <c r="O504" t="s">
        <v>44</v>
      </c>
      <c r="P504" t="s">
        <v>45</v>
      </c>
      <c r="Q504">
        <v>2.2629051755329801</v>
      </c>
      <c r="R504" t="s">
        <v>46</v>
      </c>
      <c r="S504" t="s">
        <v>47</v>
      </c>
      <c r="T504" t="s">
        <v>3097</v>
      </c>
      <c r="V504" t="s">
        <v>110</v>
      </c>
      <c r="X504" t="s">
        <v>3029</v>
      </c>
      <c r="Y504" t="s">
        <v>412</v>
      </c>
      <c r="Z504" t="s">
        <v>2623</v>
      </c>
      <c r="AA504" t="s">
        <v>576</v>
      </c>
      <c r="AB504" t="s">
        <v>41</v>
      </c>
      <c r="AD504" t="s">
        <v>620</v>
      </c>
      <c r="AF504" t="s">
        <v>3361</v>
      </c>
      <c r="AJ504">
        <v>394.75856195462279</v>
      </c>
      <c r="AK504">
        <v>9157.6889736071025</v>
      </c>
    </row>
    <row r="505" spans="1:37" hidden="1" x14ac:dyDescent="0.25">
      <c r="A505">
        <v>517</v>
      </c>
      <c r="B505" t="s">
        <v>3413</v>
      </c>
      <c r="C505" t="s">
        <v>376</v>
      </c>
      <c r="D505" t="s">
        <v>2604</v>
      </c>
      <c r="E505" t="s">
        <v>37</v>
      </c>
      <c r="F505" t="s">
        <v>38</v>
      </c>
      <c r="G505" s="2">
        <v>45825</v>
      </c>
      <c r="H505">
        <v>0.8</v>
      </c>
      <c r="I505" t="s">
        <v>72</v>
      </c>
      <c r="J505" t="s">
        <v>40</v>
      </c>
      <c r="K505" t="s">
        <v>41</v>
      </c>
      <c r="L505" t="s">
        <v>2605</v>
      </c>
      <c r="M505" t="s">
        <v>2606</v>
      </c>
      <c r="N505" t="s">
        <v>2702</v>
      </c>
      <c r="O505" t="s">
        <v>402</v>
      </c>
      <c r="P505" t="s">
        <v>403</v>
      </c>
      <c r="Q505">
        <v>0.77659093723021477</v>
      </c>
      <c r="S505" t="s">
        <v>38</v>
      </c>
      <c r="T505" t="s">
        <v>2883</v>
      </c>
      <c r="V505" t="s">
        <v>110</v>
      </c>
      <c r="X505" t="s">
        <v>2880</v>
      </c>
      <c r="Y505" t="s">
        <v>412</v>
      </c>
      <c r="Z505" t="s">
        <v>2623</v>
      </c>
      <c r="AA505" t="s">
        <v>576</v>
      </c>
      <c r="AB505" t="s">
        <v>41</v>
      </c>
      <c r="AD505" t="s">
        <v>620</v>
      </c>
      <c r="AF505" t="s">
        <v>2667</v>
      </c>
      <c r="AJ505">
        <v>326.97216935748361</v>
      </c>
      <c r="AK505">
        <v>3142.7645929535311</v>
      </c>
    </row>
    <row r="506" spans="1:37" hidden="1" x14ac:dyDescent="0.25">
      <c r="A506">
        <v>518</v>
      </c>
      <c r="B506" t="s">
        <v>3414</v>
      </c>
      <c r="C506" t="s">
        <v>376</v>
      </c>
      <c r="D506" t="s">
        <v>2604</v>
      </c>
      <c r="E506" t="s">
        <v>37</v>
      </c>
      <c r="F506" t="s">
        <v>38</v>
      </c>
      <c r="G506" s="2">
        <v>45825</v>
      </c>
      <c r="H506">
        <v>0.2</v>
      </c>
      <c r="I506" t="s">
        <v>72</v>
      </c>
      <c r="J506" t="s">
        <v>40</v>
      </c>
      <c r="K506" t="s">
        <v>41</v>
      </c>
      <c r="L506" t="s">
        <v>2605</v>
      </c>
      <c r="M506" t="s">
        <v>2606</v>
      </c>
      <c r="O506" t="s">
        <v>141</v>
      </c>
      <c r="P506" t="s">
        <v>142</v>
      </c>
      <c r="Q506">
        <v>0.1132018990203684</v>
      </c>
      <c r="S506" t="s">
        <v>38</v>
      </c>
      <c r="T506" t="s">
        <v>3376</v>
      </c>
      <c r="V506" t="s">
        <v>860</v>
      </c>
      <c r="X506" t="s">
        <v>3377</v>
      </c>
      <c r="Y506" t="s">
        <v>412</v>
      </c>
      <c r="Z506" t="s">
        <v>2623</v>
      </c>
      <c r="AA506" t="s">
        <v>2116</v>
      </c>
      <c r="AB506" t="s">
        <v>41</v>
      </c>
      <c r="AD506" t="s">
        <v>701</v>
      </c>
      <c r="AF506" t="s">
        <v>865</v>
      </c>
      <c r="AJ506">
        <v>91.073204960110019</v>
      </c>
      <c r="AK506">
        <v>458.11366453127971</v>
      </c>
    </row>
    <row r="507" spans="1:37" hidden="1" x14ac:dyDescent="0.25">
      <c r="A507">
        <v>519</v>
      </c>
      <c r="B507" t="s">
        <v>3415</v>
      </c>
      <c r="C507" t="s">
        <v>376</v>
      </c>
      <c r="D507" t="s">
        <v>2604</v>
      </c>
      <c r="E507" t="s">
        <v>37</v>
      </c>
      <c r="F507" t="s">
        <v>38</v>
      </c>
      <c r="G507" s="2">
        <v>45825</v>
      </c>
      <c r="H507">
        <v>0.8</v>
      </c>
      <c r="I507" t="s">
        <v>72</v>
      </c>
      <c r="J507" t="s">
        <v>40</v>
      </c>
      <c r="K507" t="s">
        <v>41</v>
      </c>
      <c r="L507" t="s">
        <v>2605</v>
      </c>
      <c r="M507" t="s">
        <v>2606</v>
      </c>
      <c r="N507" t="s">
        <v>2702</v>
      </c>
      <c r="O507" t="s">
        <v>146</v>
      </c>
      <c r="P507" t="s">
        <v>147</v>
      </c>
      <c r="Q507">
        <v>0.97456050283772588</v>
      </c>
      <c r="R507" t="s">
        <v>46</v>
      </c>
      <c r="S507" t="s">
        <v>47</v>
      </c>
      <c r="T507" t="s">
        <v>2883</v>
      </c>
      <c r="V507" t="s">
        <v>110</v>
      </c>
      <c r="X507" t="s">
        <v>2880</v>
      </c>
      <c r="Y507" t="s">
        <v>412</v>
      </c>
      <c r="Z507" t="s">
        <v>2623</v>
      </c>
      <c r="AA507" t="s">
        <v>576</v>
      </c>
      <c r="AB507" t="s">
        <v>41</v>
      </c>
      <c r="AD507" t="s">
        <v>620</v>
      </c>
      <c r="AF507" t="s">
        <v>3389</v>
      </c>
      <c r="AJ507">
        <v>271.97341264688731</v>
      </c>
      <c r="AK507">
        <v>3943.9222055992709</v>
      </c>
    </row>
    <row r="508" spans="1:37" hidden="1" x14ac:dyDescent="0.25">
      <c r="A508">
        <v>520</v>
      </c>
      <c r="B508" t="s">
        <v>3416</v>
      </c>
      <c r="C508" t="s">
        <v>376</v>
      </c>
      <c r="D508" t="s">
        <v>2604</v>
      </c>
      <c r="E508" t="s">
        <v>37</v>
      </c>
      <c r="F508" t="s">
        <v>38</v>
      </c>
      <c r="G508" s="2">
        <v>45825</v>
      </c>
      <c r="H508">
        <v>3.5</v>
      </c>
      <c r="I508" t="s">
        <v>72</v>
      </c>
      <c r="J508" t="s">
        <v>40</v>
      </c>
      <c r="K508" t="s">
        <v>41</v>
      </c>
      <c r="L508" t="s">
        <v>2605</v>
      </c>
      <c r="M508" t="s">
        <v>2606</v>
      </c>
      <c r="N508" t="s">
        <v>3027</v>
      </c>
      <c r="O508" t="s">
        <v>79</v>
      </c>
      <c r="P508" t="s">
        <v>80</v>
      </c>
      <c r="Q508">
        <v>1.765099441092804</v>
      </c>
      <c r="R508" t="s">
        <v>46</v>
      </c>
      <c r="S508" t="s">
        <v>47</v>
      </c>
      <c r="T508" t="s">
        <v>3097</v>
      </c>
      <c r="V508" t="s">
        <v>110</v>
      </c>
      <c r="X508" t="s">
        <v>3029</v>
      </c>
      <c r="Y508" t="s">
        <v>412</v>
      </c>
      <c r="Z508" t="s">
        <v>2623</v>
      </c>
      <c r="AA508" t="s">
        <v>576</v>
      </c>
      <c r="AB508" t="s">
        <v>41</v>
      </c>
      <c r="AD508" t="s">
        <v>620</v>
      </c>
      <c r="AF508" t="s">
        <v>1128</v>
      </c>
      <c r="AJ508">
        <v>370.67860397459191</v>
      </c>
      <c r="AK508">
        <v>7143.1325818628184</v>
      </c>
    </row>
    <row r="509" spans="1:37" x14ac:dyDescent="0.25">
      <c r="A509">
        <v>567</v>
      </c>
      <c r="B509" t="s">
        <v>3490</v>
      </c>
      <c r="C509" t="s">
        <v>376</v>
      </c>
      <c r="D509" t="s">
        <v>2604</v>
      </c>
      <c r="E509" t="s">
        <v>37</v>
      </c>
      <c r="F509" t="s">
        <v>38</v>
      </c>
      <c r="G509" s="2">
        <v>45825</v>
      </c>
      <c r="H509">
        <v>0.1</v>
      </c>
      <c r="I509" t="s">
        <v>72</v>
      </c>
      <c r="J509" t="s">
        <v>40</v>
      </c>
      <c r="K509" t="s">
        <v>41</v>
      </c>
      <c r="L509" t="s">
        <v>2605</v>
      </c>
      <c r="M509" t="s">
        <v>2606</v>
      </c>
      <c r="O509" t="s">
        <v>62</v>
      </c>
      <c r="P509" t="s">
        <v>63</v>
      </c>
      <c r="Q509">
        <v>4.113812294368082E-2</v>
      </c>
      <c r="R509" t="s">
        <v>64</v>
      </c>
      <c r="S509" t="s">
        <v>65</v>
      </c>
      <c r="T509" t="s">
        <v>2747</v>
      </c>
      <c r="V509" t="s">
        <v>118</v>
      </c>
      <c r="X509" t="s">
        <v>1126</v>
      </c>
      <c r="Y509" t="s">
        <v>382</v>
      </c>
      <c r="Z509" t="s">
        <v>2623</v>
      </c>
      <c r="AA509" t="s">
        <v>118</v>
      </c>
      <c r="AB509" t="s">
        <v>41</v>
      </c>
      <c r="AJ509">
        <v>58.70667188529049</v>
      </c>
      <c r="AK509">
        <v>166.4807429624214</v>
      </c>
    </row>
    <row r="510" spans="1:37" x14ac:dyDescent="0.25">
      <c r="A510">
        <v>568</v>
      </c>
      <c r="B510" t="s">
        <v>3491</v>
      </c>
      <c r="C510" t="s">
        <v>376</v>
      </c>
      <c r="D510" t="s">
        <v>2604</v>
      </c>
      <c r="E510" t="s">
        <v>37</v>
      </c>
      <c r="F510" t="s">
        <v>38</v>
      </c>
      <c r="G510" s="2">
        <v>45825</v>
      </c>
      <c r="H510">
        <v>0.1</v>
      </c>
      <c r="I510" t="s">
        <v>72</v>
      </c>
      <c r="J510" t="s">
        <v>40</v>
      </c>
      <c r="K510" t="s">
        <v>41</v>
      </c>
      <c r="L510" t="s">
        <v>2605</v>
      </c>
      <c r="M510" t="s">
        <v>2606</v>
      </c>
      <c r="O510" t="s">
        <v>62</v>
      </c>
      <c r="P510" t="s">
        <v>63</v>
      </c>
      <c r="Q510">
        <v>0.15787708684806059</v>
      </c>
      <c r="R510" t="s">
        <v>64</v>
      </c>
      <c r="S510" t="s">
        <v>65</v>
      </c>
      <c r="T510" t="s">
        <v>2747</v>
      </c>
      <c r="V510" t="s">
        <v>3462</v>
      </c>
      <c r="X510" t="s">
        <v>1126</v>
      </c>
      <c r="Y510" t="s">
        <v>382</v>
      </c>
      <c r="Z510" t="s">
        <v>2623</v>
      </c>
      <c r="AA510" t="s">
        <v>118</v>
      </c>
      <c r="AB510" t="s">
        <v>41</v>
      </c>
      <c r="AJ510">
        <v>134.24465729928309</v>
      </c>
      <c r="AK510">
        <v>638.90845849215475</v>
      </c>
    </row>
    <row r="511" spans="1:37" hidden="1" x14ac:dyDescent="0.25">
      <c r="A511">
        <v>523</v>
      </c>
      <c r="B511" t="s">
        <v>3421</v>
      </c>
      <c r="C511" t="s">
        <v>376</v>
      </c>
      <c r="D511" t="s">
        <v>2604</v>
      </c>
      <c r="E511" t="s">
        <v>37</v>
      </c>
      <c r="F511" t="s">
        <v>38</v>
      </c>
      <c r="G511" s="2">
        <v>45825</v>
      </c>
      <c r="H511">
        <v>9.1</v>
      </c>
      <c r="I511" t="s">
        <v>72</v>
      </c>
      <c r="J511" t="s">
        <v>40</v>
      </c>
      <c r="K511" t="s">
        <v>41</v>
      </c>
      <c r="L511" t="s">
        <v>2605</v>
      </c>
      <c r="M511" t="s">
        <v>2606</v>
      </c>
      <c r="N511" t="s">
        <v>3027</v>
      </c>
      <c r="O511" t="s">
        <v>44</v>
      </c>
      <c r="P511" t="s">
        <v>45</v>
      </c>
      <c r="Q511">
        <v>9.9646902975911384</v>
      </c>
      <c r="R511" t="s">
        <v>46</v>
      </c>
      <c r="S511" t="s">
        <v>47</v>
      </c>
      <c r="T511" t="s">
        <v>3364</v>
      </c>
      <c r="V511" t="s">
        <v>110</v>
      </c>
      <c r="X511" t="s">
        <v>3384</v>
      </c>
      <c r="Y511" t="s">
        <v>412</v>
      </c>
      <c r="Z511" t="s">
        <v>2623</v>
      </c>
      <c r="AA511" t="s">
        <v>121</v>
      </c>
      <c r="AB511" t="s">
        <v>41</v>
      </c>
      <c r="AD511" t="s">
        <v>620</v>
      </c>
      <c r="AF511" t="s">
        <v>3304</v>
      </c>
      <c r="AJ511">
        <v>796.16895606686955</v>
      </c>
      <c r="AK511">
        <v>40325.832231201282</v>
      </c>
    </row>
    <row r="512" spans="1:37" hidden="1" x14ac:dyDescent="0.25">
      <c r="A512">
        <v>524</v>
      </c>
      <c r="B512" t="s">
        <v>3422</v>
      </c>
      <c r="C512" t="s">
        <v>376</v>
      </c>
      <c r="D512" t="s">
        <v>2604</v>
      </c>
      <c r="E512" t="s">
        <v>37</v>
      </c>
      <c r="F512" t="s">
        <v>38</v>
      </c>
      <c r="G512" s="2">
        <v>45825</v>
      </c>
      <c r="H512">
        <v>5.0999999999999996</v>
      </c>
      <c r="I512" t="s">
        <v>72</v>
      </c>
      <c r="J512" t="s">
        <v>40</v>
      </c>
      <c r="K512" t="s">
        <v>41</v>
      </c>
      <c r="L512" t="s">
        <v>2605</v>
      </c>
      <c r="M512" t="s">
        <v>2606</v>
      </c>
      <c r="N512" t="s">
        <v>3027</v>
      </c>
      <c r="O512" t="s">
        <v>87</v>
      </c>
      <c r="P512" t="s">
        <v>88</v>
      </c>
      <c r="Q512">
        <v>1.6433358384518191</v>
      </c>
      <c r="R512" t="s">
        <v>46</v>
      </c>
      <c r="S512" t="s">
        <v>47</v>
      </c>
      <c r="T512" t="s">
        <v>3097</v>
      </c>
      <c r="V512" t="s">
        <v>110</v>
      </c>
      <c r="X512" t="s">
        <v>3029</v>
      </c>
      <c r="Y512" t="s">
        <v>412</v>
      </c>
      <c r="Z512" t="s">
        <v>2623</v>
      </c>
      <c r="AA512" t="s">
        <v>121</v>
      </c>
      <c r="AB512" t="s">
        <v>41</v>
      </c>
      <c r="AD512" t="s">
        <v>620</v>
      </c>
      <c r="AF512" t="s">
        <v>2667</v>
      </c>
      <c r="AJ512">
        <v>574.24700332208636</v>
      </c>
      <c r="AK512">
        <v>6650.3707934554059</v>
      </c>
    </row>
    <row r="513" spans="1:37" x14ac:dyDescent="0.25">
      <c r="A513">
        <v>569</v>
      </c>
      <c r="B513" t="s">
        <v>3492</v>
      </c>
      <c r="C513" t="s">
        <v>376</v>
      </c>
      <c r="D513" t="s">
        <v>2604</v>
      </c>
      <c r="E513" t="s">
        <v>37</v>
      </c>
      <c r="F513" t="s">
        <v>38</v>
      </c>
      <c r="G513" s="2">
        <v>45825</v>
      </c>
      <c r="H513">
        <v>0.2</v>
      </c>
      <c r="I513" t="s">
        <v>72</v>
      </c>
      <c r="J513" t="s">
        <v>40</v>
      </c>
      <c r="K513" t="s">
        <v>41</v>
      </c>
      <c r="L513" t="s">
        <v>2605</v>
      </c>
      <c r="M513" t="s">
        <v>2606</v>
      </c>
      <c r="O513" t="s">
        <v>62</v>
      </c>
      <c r="P513" t="s">
        <v>63</v>
      </c>
      <c r="Q513">
        <v>0.20456178930830099</v>
      </c>
      <c r="R513" t="s">
        <v>64</v>
      </c>
      <c r="S513" t="s">
        <v>65</v>
      </c>
      <c r="T513" t="s">
        <v>2691</v>
      </c>
      <c r="V513" t="s">
        <v>3462</v>
      </c>
      <c r="X513" t="s">
        <v>1126</v>
      </c>
      <c r="Y513" t="s">
        <v>382</v>
      </c>
      <c r="Z513" t="s">
        <v>2623</v>
      </c>
      <c r="AA513" t="s">
        <v>118</v>
      </c>
      <c r="AB513" t="s">
        <v>41</v>
      </c>
      <c r="AJ513">
        <v>128.6611343466632</v>
      </c>
      <c r="AK513">
        <v>827.8355021786308</v>
      </c>
    </row>
    <row r="514" spans="1:37" x14ac:dyDescent="0.25">
      <c r="A514">
        <v>574</v>
      </c>
      <c r="B514" t="s">
        <v>3499</v>
      </c>
      <c r="C514" t="s">
        <v>376</v>
      </c>
      <c r="D514" t="s">
        <v>2604</v>
      </c>
      <c r="E514" t="s">
        <v>37</v>
      </c>
      <c r="F514" t="s">
        <v>38</v>
      </c>
      <c r="G514" s="2">
        <v>45825</v>
      </c>
      <c r="H514">
        <v>0.1</v>
      </c>
      <c r="I514" t="s">
        <v>72</v>
      </c>
      <c r="J514" t="s">
        <v>40</v>
      </c>
      <c r="K514" t="s">
        <v>41</v>
      </c>
      <c r="L514" t="s">
        <v>2605</v>
      </c>
      <c r="M514" t="s">
        <v>2606</v>
      </c>
      <c r="O514" t="s">
        <v>62</v>
      </c>
      <c r="P514" t="s">
        <v>63</v>
      </c>
      <c r="Q514">
        <v>5.6107737798405131E-2</v>
      </c>
      <c r="R514" t="s">
        <v>64</v>
      </c>
      <c r="S514" t="s">
        <v>65</v>
      </c>
      <c r="T514" t="s">
        <v>2747</v>
      </c>
      <c r="V514" t="s">
        <v>3496</v>
      </c>
      <c r="X514" t="s">
        <v>3453</v>
      </c>
      <c r="Y514" t="s">
        <v>382</v>
      </c>
      <c r="Z514" t="s">
        <v>2623</v>
      </c>
      <c r="AA514" t="s">
        <v>110</v>
      </c>
      <c r="AB514" t="s">
        <v>41</v>
      </c>
      <c r="AF514" t="s">
        <v>2423</v>
      </c>
      <c r="AJ514">
        <v>69.044794576813302</v>
      </c>
      <c r="AK514">
        <v>227.06086729837199</v>
      </c>
    </row>
    <row r="515" spans="1:37" hidden="1" x14ac:dyDescent="0.25">
      <c r="A515">
        <v>527</v>
      </c>
      <c r="B515" t="s">
        <v>3431</v>
      </c>
      <c r="C515" t="s">
        <v>376</v>
      </c>
      <c r="D515" t="s">
        <v>2604</v>
      </c>
      <c r="E515" t="s">
        <v>37</v>
      </c>
      <c r="F515" t="s">
        <v>38</v>
      </c>
      <c r="G515" s="2">
        <v>45825</v>
      </c>
      <c r="H515">
        <v>1</v>
      </c>
      <c r="I515" t="s">
        <v>72</v>
      </c>
      <c r="J515" t="s">
        <v>40</v>
      </c>
      <c r="K515" t="s">
        <v>41</v>
      </c>
      <c r="L515" t="s">
        <v>2605</v>
      </c>
      <c r="M515" t="s">
        <v>2606</v>
      </c>
      <c r="O515" t="s">
        <v>402</v>
      </c>
      <c r="P515" t="s">
        <v>403</v>
      </c>
      <c r="Q515">
        <v>1.0037523706996889</v>
      </c>
      <c r="S515" t="s">
        <v>38</v>
      </c>
      <c r="T515" t="s">
        <v>3191</v>
      </c>
      <c r="V515" t="s">
        <v>110</v>
      </c>
      <c r="X515" t="s">
        <v>3317</v>
      </c>
      <c r="Y515" t="s">
        <v>412</v>
      </c>
      <c r="Z515" t="s">
        <v>2623</v>
      </c>
      <c r="AA515" t="s">
        <v>121</v>
      </c>
      <c r="AB515" t="s">
        <v>41</v>
      </c>
      <c r="AD515" t="s">
        <v>620</v>
      </c>
      <c r="AF515" t="s">
        <v>2667</v>
      </c>
      <c r="AJ515">
        <v>268.88871781060323</v>
      </c>
      <c r="AK515">
        <v>4062.0579760809192</v>
      </c>
    </row>
    <row r="516" spans="1:37" hidden="1" x14ac:dyDescent="0.25">
      <c r="A516">
        <v>528</v>
      </c>
      <c r="B516" t="s">
        <v>3432</v>
      </c>
      <c r="C516" t="s">
        <v>376</v>
      </c>
      <c r="D516" t="s">
        <v>2604</v>
      </c>
      <c r="E516" t="s">
        <v>37</v>
      </c>
      <c r="F516" t="s">
        <v>38</v>
      </c>
      <c r="G516" s="2">
        <v>45825</v>
      </c>
      <c r="H516">
        <v>4.2</v>
      </c>
      <c r="I516" t="s">
        <v>72</v>
      </c>
      <c r="J516" t="s">
        <v>40</v>
      </c>
      <c r="K516" t="s">
        <v>41</v>
      </c>
      <c r="L516" t="s">
        <v>2605</v>
      </c>
      <c r="M516" t="s">
        <v>2606</v>
      </c>
      <c r="N516" t="s">
        <v>2702</v>
      </c>
      <c r="O516" t="s">
        <v>55</v>
      </c>
      <c r="P516" t="s">
        <v>56</v>
      </c>
      <c r="Q516">
        <v>5.8890647857511418</v>
      </c>
      <c r="R516" t="s">
        <v>46</v>
      </c>
      <c r="S516" t="s">
        <v>47</v>
      </c>
      <c r="T516" t="s">
        <v>2883</v>
      </c>
      <c r="V516" t="s">
        <v>110</v>
      </c>
      <c r="X516" t="s">
        <v>2880</v>
      </c>
      <c r="Y516" t="s">
        <v>382</v>
      </c>
      <c r="Z516" t="s">
        <v>2623</v>
      </c>
      <c r="AA516" t="s">
        <v>64</v>
      </c>
      <c r="AB516" t="s">
        <v>41</v>
      </c>
      <c r="AD516" t="s">
        <v>620</v>
      </c>
      <c r="AF516" t="s">
        <v>3433</v>
      </c>
      <c r="AJ516">
        <v>927.08749934953551</v>
      </c>
      <c r="AK516">
        <v>23832.294979231279</v>
      </c>
    </row>
    <row r="517" spans="1:37" hidden="1" x14ac:dyDescent="0.25">
      <c r="A517">
        <v>529</v>
      </c>
      <c r="B517" t="s">
        <v>3434</v>
      </c>
      <c r="C517" t="s">
        <v>376</v>
      </c>
      <c r="D517" t="s">
        <v>2604</v>
      </c>
      <c r="E517" t="s">
        <v>37</v>
      </c>
      <c r="F517" t="s">
        <v>38</v>
      </c>
      <c r="G517" s="2">
        <v>45825</v>
      </c>
      <c r="H517">
        <v>0.1</v>
      </c>
      <c r="I517" t="s">
        <v>72</v>
      </c>
      <c r="J517" t="s">
        <v>40</v>
      </c>
      <c r="K517" t="s">
        <v>41</v>
      </c>
      <c r="L517" t="s">
        <v>2605</v>
      </c>
      <c r="M517" t="s">
        <v>2606</v>
      </c>
      <c r="O517" t="s">
        <v>402</v>
      </c>
      <c r="P517" t="s">
        <v>403</v>
      </c>
      <c r="Q517">
        <v>3.4189001258497782E-2</v>
      </c>
      <c r="S517" t="s">
        <v>38</v>
      </c>
      <c r="T517" t="s">
        <v>3191</v>
      </c>
      <c r="V517" t="s">
        <v>110</v>
      </c>
      <c r="X517" t="s">
        <v>3317</v>
      </c>
      <c r="Y517" t="s">
        <v>412</v>
      </c>
      <c r="Z517" t="s">
        <v>2623</v>
      </c>
      <c r="AA517" t="s">
        <v>121</v>
      </c>
      <c r="AB517" t="s">
        <v>41</v>
      </c>
      <c r="AD517" t="s">
        <v>620</v>
      </c>
      <c r="AF517" t="s">
        <v>2667</v>
      </c>
      <c r="AJ517">
        <v>79.348748819288943</v>
      </c>
      <c r="AK517">
        <v>138.35853275197101</v>
      </c>
    </row>
    <row r="518" spans="1:37" hidden="1" x14ac:dyDescent="0.25">
      <c r="A518">
        <v>530</v>
      </c>
      <c r="B518" t="s">
        <v>3435</v>
      </c>
      <c r="C518" t="s">
        <v>376</v>
      </c>
      <c r="D518" t="s">
        <v>2604</v>
      </c>
      <c r="E518" t="s">
        <v>37</v>
      </c>
      <c r="F518" t="s">
        <v>38</v>
      </c>
      <c r="G518" s="2">
        <v>45825</v>
      </c>
      <c r="H518">
        <v>1.8</v>
      </c>
      <c r="I518" t="s">
        <v>72</v>
      </c>
      <c r="J518" t="s">
        <v>40</v>
      </c>
      <c r="K518" t="s">
        <v>41</v>
      </c>
      <c r="L518" t="s">
        <v>2605</v>
      </c>
      <c r="M518" t="s">
        <v>2606</v>
      </c>
      <c r="O518" t="s">
        <v>402</v>
      </c>
      <c r="P518" t="s">
        <v>403</v>
      </c>
      <c r="Q518">
        <v>1.736788971235933</v>
      </c>
      <c r="S518" t="s">
        <v>38</v>
      </c>
      <c r="T518" t="s">
        <v>3191</v>
      </c>
      <c r="V518" t="s">
        <v>110</v>
      </c>
      <c r="X518" t="s">
        <v>3317</v>
      </c>
      <c r="Y518" t="s">
        <v>382</v>
      </c>
      <c r="Z518" t="s">
        <v>2623</v>
      </c>
      <c r="AA518" t="s">
        <v>64</v>
      </c>
      <c r="AB518" t="s">
        <v>41</v>
      </c>
      <c r="AD518" t="s">
        <v>620</v>
      </c>
      <c r="AF518" t="s">
        <v>2667</v>
      </c>
      <c r="AJ518">
        <v>540.40102922414121</v>
      </c>
      <c r="AK518">
        <v>7028.5637168263793</v>
      </c>
    </row>
    <row r="519" spans="1:37" hidden="1" x14ac:dyDescent="0.25">
      <c r="A519">
        <v>531</v>
      </c>
      <c r="B519" t="s">
        <v>3436</v>
      </c>
      <c r="C519" t="s">
        <v>376</v>
      </c>
      <c r="D519" t="s">
        <v>2604</v>
      </c>
      <c r="E519" t="s">
        <v>37</v>
      </c>
      <c r="F519" t="s">
        <v>38</v>
      </c>
      <c r="G519" s="2">
        <v>45825</v>
      </c>
      <c r="H519">
        <v>4</v>
      </c>
      <c r="I519" t="s">
        <v>72</v>
      </c>
      <c r="J519" t="s">
        <v>40</v>
      </c>
      <c r="K519" t="s">
        <v>41</v>
      </c>
      <c r="L519" t="s">
        <v>2605</v>
      </c>
      <c r="M519" t="s">
        <v>2606</v>
      </c>
      <c r="O519" t="s">
        <v>402</v>
      </c>
      <c r="P519" t="s">
        <v>403</v>
      </c>
      <c r="Q519">
        <v>4.1218569023293457</v>
      </c>
      <c r="S519" t="s">
        <v>38</v>
      </c>
      <c r="T519" t="s">
        <v>3191</v>
      </c>
      <c r="V519" t="s">
        <v>110</v>
      </c>
      <c r="X519" t="s">
        <v>3317</v>
      </c>
      <c r="Y519" t="s">
        <v>382</v>
      </c>
      <c r="Z519" t="s">
        <v>2623</v>
      </c>
      <c r="AA519" t="s">
        <v>64</v>
      </c>
      <c r="AB519" t="s">
        <v>41</v>
      </c>
      <c r="AD519" t="s">
        <v>620</v>
      </c>
      <c r="AF519" t="s">
        <v>2667</v>
      </c>
      <c r="AJ519">
        <v>678.55195547094297</v>
      </c>
      <c r="AK519">
        <v>16680.629799857761</v>
      </c>
    </row>
    <row r="520" spans="1:37" hidden="1" x14ac:dyDescent="0.25">
      <c r="A520">
        <v>532</v>
      </c>
      <c r="B520" t="s">
        <v>3437</v>
      </c>
      <c r="C520" t="s">
        <v>376</v>
      </c>
      <c r="D520" t="s">
        <v>2604</v>
      </c>
      <c r="E520" t="s">
        <v>37</v>
      </c>
      <c r="F520" t="s">
        <v>38</v>
      </c>
      <c r="G520" s="2">
        <v>45825</v>
      </c>
      <c r="I520" t="s">
        <v>72</v>
      </c>
      <c r="J520" t="s">
        <v>40</v>
      </c>
      <c r="K520" t="s">
        <v>41</v>
      </c>
      <c r="L520" t="s">
        <v>2605</v>
      </c>
      <c r="M520" t="s">
        <v>2606</v>
      </c>
      <c r="O520" t="s">
        <v>402</v>
      </c>
      <c r="P520" t="s">
        <v>403</v>
      </c>
      <c r="Q520">
        <v>3.6170695929053949</v>
      </c>
      <c r="T520" t="s">
        <v>673</v>
      </c>
      <c r="V520" t="s">
        <v>110</v>
      </c>
      <c r="X520" t="s">
        <v>673</v>
      </c>
      <c r="Y520" t="s">
        <v>382</v>
      </c>
      <c r="Z520" t="s">
        <v>2623</v>
      </c>
      <c r="AA520" t="s">
        <v>64</v>
      </c>
      <c r="AB520" t="s">
        <v>41</v>
      </c>
      <c r="AE520" t="s">
        <v>1564</v>
      </c>
      <c r="AJ520">
        <v>581.96264617795009</v>
      </c>
      <c r="AK520">
        <v>14637.81986353785</v>
      </c>
    </row>
    <row r="521" spans="1:37" hidden="1" x14ac:dyDescent="0.25">
      <c r="A521">
        <v>533</v>
      </c>
      <c r="B521" t="s">
        <v>3438</v>
      </c>
      <c r="C521" t="s">
        <v>376</v>
      </c>
      <c r="D521" t="s">
        <v>2604</v>
      </c>
      <c r="E521" t="s">
        <v>37</v>
      </c>
      <c r="F521" t="s">
        <v>38</v>
      </c>
      <c r="G521" s="2">
        <v>45825</v>
      </c>
      <c r="H521">
        <v>0.3</v>
      </c>
      <c r="I521" t="s">
        <v>72</v>
      </c>
      <c r="J521" t="s">
        <v>40</v>
      </c>
      <c r="K521" t="s">
        <v>41</v>
      </c>
      <c r="L521" t="s">
        <v>2605</v>
      </c>
      <c r="M521" t="s">
        <v>2606</v>
      </c>
      <c r="O521" t="s">
        <v>141</v>
      </c>
      <c r="P521" t="s">
        <v>142</v>
      </c>
      <c r="Q521">
        <v>0.42522762609196768</v>
      </c>
      <c r="S521" t="s">
        <v>38</v>
      </c>
      <c r="T521" t="s">
        <v>3439</v>
      </c>
      <c r="V521" t="s">
        <v>139</v>
      </c>
      <c r="X521" t="s">
        <v>3428</v>
      </c>
      <c r="Y521" t="s">
        <v>382</v>
      </c>
      <c r="Z521" t="s">
        <v>2623</v>
      </c>
      <c r="AA521" t="s">
        <v>76</v>
      </c>
      <c r="AB521" t="s">
        <v>41</v>
      </c>
      <c r="AD521" t="s">
        <v>3429</v>
      </c>
      <c r="AF521" t="s">
        <v>3430</v>
      </c>
      <c r="AJ521">
        <v>170.43223507926521</v>
      </c>
      <c r="AK521">
        <v>1720.842032993434</v>
      </c>
    </row>
    <row r="522" spans="1:37" hidden="1" x14ac:dyDescent="0.25">
      <c r="A522">
        <v>535</v>
      </c>
      <c r="B522" t="s">
        <v>3441</v>
      </c>
      <c r="C522" t="s">
        <v>376</v>
      </c>
      <c r="D522" t="s">
        <v>2604</v>
      </c>
      <c r="E522" t="s">
        <v>37</v>
      </c>
      <c r="F522" t="s">
        <v>38</v>
      </c>
      <c r="G522" s="2">
        <v>45825</v>
      </c>
      <c r="I522" t="s">
        <v>72</v>
      </c>
      <c r="J522" t="s">
        <v>40</v>
      </c>
      <c r="K522" t="s">
        <v>41</v>
      </c>
      <c r="L522" t="s">
        <v>2605</v>
      </c>
      <c r="M522" t="s">
        <v>2606</v>
      </c>
      <c r="O522" t="s">
        <v>402</v>
      </c>
      <c r="P522" t="s">
        <v>403</v>
      </c>
      <c r="Q522">
        <v>3.0635442699815258</v>
      </c>
      <c r="T522" t="s">
        <v>673</v>
      </c>
      <c r="V522" t="s">
        <v>110</v>
      </c>
      <c r="X522" t="s">
        <v>673</v>
      </c>
      <c r="Y522" t="s">
        <v>382</v>
      </c>
      <c r="Z522" t="s">
        <v>2623</v>
      </c>
      <c r="AA522" t="s">
        <v>64</v>
      </c>
      <c r="AB522" t="s">
        <v>41</v>
      </c>
      <c r="AE522" t="s">
        <v>3442</v>
      </c>
      <c r="AJ522">
        <v>463.10649365798429</v>
      </c>
      <c r="AK522">
        <v>12397.77339532545</v>
      </c>
    </row>
    <row r="523" spans="1:37" hidden="1" x14ac:dyDescent="0.25">
      <c r="A523">
        <v>536</v>
      </c>
      <c r="B523" t="s">
        <v>3443</v>
      </c>
      <c r="C523" t="s">
        <v>376</v>
      </c>
      <c r="D523" t="s">
        <v>2604</v>
      </c>
      <c r="E523" t="s">
        <v>37</v>
      </c>
      <c r="F523" t="s">
        <v>38</v>
      </c>
      <c r="G523" s="2">
        <v>45825</v>
      </c>
      <c r="H523">
        <v>0.5</v>
      </c>
      <c r="I523" t="s">
        <v>72</v>
      </c>
      <c r="J523" t="s">
        <v>40</v>
      </c>
      <c r="K523" t="s">
        <v>41</v>
      </c>
      <c r="L523" t="s">
        <v>2605</v>
      </c>
      <c r="M523" t="s">
        <v>2606</v>
      </c>
      <c r="N523" t="s">
        <v>2702</v>
      </c>
      <c r="O523" t="s">
        <v>79</v>
      </c>
      <c r="P523" t="s">
        <v>80</v>
      </c>
      <c r="Q523">
        <v>0.55452951138817386</v>
      </c>
      <c r="R523" t="s">
        <v>46</v>
      </c>
      <c r="S523" t="s">
        <v>47</v>
      </c>
      <c r="T523" t="s">
        <v>2883</v>
      </c>
      <c r="V523" t="s">
        <v>110</v>
      </c>
      <c r="X523" t="s">
        <v>2880</v>
      </c>
      <c r="Y523" t="s">
        <v>382</v>
      </c>
      <c r="Z523" t="s">
        <v>2623</v>
      </c>
      <c r="AA523" t="s">
        <v>64</v>
      </c>
      <c r="AB523" t="s">
        <v>41</v>
      </c>
      <c r="AD523" t="s">
        <v>620</v>
      </c>
      <c r="AF523" t="s">
        <v>3444</v>
      </c>
      <c r="AJ523">
        <v>214.40747084938269</v>
      </c>
      <c r="AK523">
        <v>2244.110291003753</v>
      </c>
    </row>
    <row r="524" spans="1:37" x14ac:dyDescent="0.25">
      <c r="A524">
        <v>576</v>
      </c>
      <c r="B524" t="s">
        <v>3501</v>
      </c>
      <c r="C524" t="s">
        <v>376</v>
      </c>
      <c r="D524" t="s">
        <v>2604</v>
      </c>
      <c r="E524" t="s">
        <v>37</v>
      </c>
      <c r="F524" t="s">
        <v>38</v>
      </c>
      <c r="G524" s="2">
        <v>45825</v>
      </c>
      <c r="H524">
        <v>0.3</v>
      </c>
      <c r="I524" t="s">
        <v>72</v>
      </c>
      <c r="J524" t="s">
        <v>40</v>
      </c>
      <c r="K524" t="s">
        <v>41</v>
      </c>
      <c r="L524" t="s">
        <v>2605</v>
      </c>
      <c r="M524" t="s">
        <v>2606</v>
      </c>
      <c r="O524" t="s">
        <v>62</v>
      </c>
      <c r="P524" t="s">
        <v>63</v>
      </c>
      <c r="Q524">
        <v>0.32300182204741262</v>
      </c>
      <c r="R524" t="s">
        <v>64</v>
      </c>
      <c r="S524" t="s">
        <v>65</v>
      </c>
      <c r="T524" t="s">
        <v>57</v>
      </c>
      <c r="V524" t="s">
        <v>86</v>
      </c>
      <c r="X524" t="s">
        <v>3453</v>
      </c>
      <c r="Y524" t="s">
        <v>382</v>
      </c>
      <c r="Z524" t="s">
        <v>2623</v>
      </c>
      <c r="AA524" t="s">
        <v>110</v>
      </c>
      <c r="AB524" t="s">
        <v>41</v>
      </c>
      <c r="AD524" t="s">
        <v>620</v>
      </c>
      <c r="AF524" t="s">
        <v>3497</v>
      </c>
      <c r="AJ524">
        <v>155.07329336161979</v>
      </c>
      <c r="AK524">
        <v>1307.147226583151</v>
      </c>
    </row>
    <row r="525" spans="1:37" hidden="1" x14ac:dyDescent="0.25">
      <c r="A525">
        <v>539</v>
      </c>
      <c r="B525" t="s">
        <v>3448</v>
      </c>
      <c r="C525" t="s">
        <v>376</v>
      </c>
      <c r="D525" t="s">
        <v>2604</v>
      </c>
      <c r="E525" t="s">
        <v>37</v>
      </c>
      <c r="F525" t="s">
        <v>38</v>
      </c>
      <c r="G525" s="2">
        <v>45825</v>
      </c>
      <c r="H525">
        <v>29</v>
      </c>
      <c r="I525" t="s">
        <v>72</v>
      </c>
      <c r="J525" t="s">
        <v>40</v>
      </c>
      <c r="K525" t="s">
        <v>41</v>
      </c>
      <c r="L525" t="s">
        <v>2605</v>
      </c>
      <c r="M525" t="s">
        <v>2606</v>
      </c>
      <c r="O525" t="s">
        <v>402</v>
      </c>
      <c r="P525" t="s">
        <v>403</v>
      </c>
      <c r="Q525">
        <v>28.499217393765122</v>
      </c>
      <c r="S525" t="s">
        <v>38</v>
      </c>
      <c r="T525" t="s">
        <v>3191</v>
      </c>
      <c r="V525" t="s">
        <v>118</v>
      </c>
      <c r="X525" t="s">
        <v>3317</v>
      </c>
      <c r="Y525" t="s">
        <v>382</v>
      </c>
      <c r="Z525" t="s">
        <v>2623</v>
      </c>
      <c r="AA525" t="s">
        <v>64</v>
      </c>
      <c r="AB525" t="s">
        <v>41</v>
      </c>
      <c r="AD525" t="s">
        <v>620</v>
      </c>
      <c r="AF525" t="s">
        <v>2667</v>
      </c>
      <c r="AJ525">
        <v>1405.6964186196119</v>
      </c>
      <c r="AK525">
        <v>115332.7022736799</v>
      </c>
    </row>
    <row r="526" spans="1:37" hidden="1" x14ac:dyDescent="0.25">
      <c r="A526">
        <v>540</v>
      </c>
      <c r="B526" t="s">
        <v>3449</v>
      </c>
      <c r="C526" t="s">
        <v>376</v>
      </c>
      <c r="D526" t="s">
        <v>2604</v>
      </c>
      <c r="E526" t="s">
        <v>37</v>
      </c>
      <c r="F526" t="s">
        <v>38</v>
      </c>
      <c r="G526" s="2">
        <v>45825</v>
      </c>
      <c r="H526">
        <v>0.3</v>
      </c>
      <c r="I526" t="s">
        <v>72</v>
      </c>
      <c r="J526" t="s">
        <v>40</v>
      </c>
      <c r="K526" t="s">
        <v>41</v>
      </c>
      <c r="L526" t="s">
        <v>2605</v>
      </c>
      <c r="M526" t="s">
        <v>2606</v>
      </c>
      <c r="O526" t="s">
        <v>402</v>
      </c>
      <c r="P526" t="s">
        <v>403</v>
      </c>
      <c r="Q526">
        <v>0.18580043624902251</v>
      </c>
      <c r="S526" t="s">
        <v>38</v>
      </c>
      <c r="T526" t="s">
        <v>3450</v>
      </c>
      <c r="V526" t="s">
        <v>118</v>
      </c>
      <c r="X526" t="s">
        <v>3317</v>
      </c>
      <c r="Y526" t="s">
        <v>382</v>
      </c>
      <c r="Z526" t="s">
        <v>2623</v>
      </c>
      <c r="AA526" t="s">
        <v>64</v>
      </c>
      <c r="AB526" t="s">
        <v>41</v>
      </c>
      <c r="AD526" t="s">
        <v>620</v>
      </c>
      <c r="AF526" t="s">
        <v>2667</v>
      </c>
      <c r="AJ526">
        <v>114.9152343635988</v>
      </c>
      <c r="AK526">
        <v>751.9106963588564</v>
      </c>
    </row>
    <row r="527" spans="1:37" x14ac:dyDescent="0.25">
      <c r="A527">
        <v>577</v>
      </c>
      <c r="B527" t="s">
        <v>3502</v>
      </c>
      <c r="C527" t="s">
        <v>376</v>
      </c>
      <c r="D527" t="s">
        <v>2604</v>
      </c>
      <c r="E527" t="s">
        <v>37</v>
      </c>
      <c r="F527" t="s">
        <v>38</v>
      </c>
      <c r="G527" s="2">
        <v>45825</v>
      </c>
      <c r="H527">
        <v>0.4</v>
      </c>
      <c r="I527" t="s">
        <v>72</v>
      </c>
      <c r="J527" t="s">
        <v>40</v>
      </c>
      <c r="K527" t="s">
        <v>41</v>
      </c>
      <c r="L527" t="s">
        <v>2605</v>
      </c>
      <c r="M527" t="s">
        <v>2606</v>
      </c>
      <c r="O527" t="s">
        <v>62</v>
      </c>
      <c r="P527" t="s">
        <v>63</v>
      </c>
      <c r="Q527">
        <v>0.34918882885584029</v>
      </c>
      <c r="R527" t="s">
        <v>64</v>
      </c>
      <c r="S527" t="s">
        <v>65</v>
      </c>
      <c r="T527" t="s">
        <v>57</v>
      </c>
      <c r="V527" t="s">
        <v>3496</v>
      </c>
      <c r="X527" t="s">
        <v>3453</v>
      </c>
      <c r="Y527" t="s">
        <v>382</v>
      </c>
      <c r="Z527" t="s">
        <v>2623</v>
      </c>
      <c r="AA527" t="s">
        <v>110</v>
      </c>
      <c r="AB527" t="s">
        <v>41</v>
      </c>
      <c r="AD527" t="s">
        <v>620</v>
      </c>
      <c r="AF527" t="s">
        <v>3497</v>
      </c>
      <c r="AJ527">
        <v>146.01162595455301</v>
      </c>
      <c r="AK527">
        <v>1413.1227071707681</v>
      </c>
    </row>
    <row r="528" spans="1:37" hidden="1" x14ac:dyDescent="0.25">
      <c r="A528">
        <v>542</v>
      </c>
      <c r="B528" t="s">
        <v>3454</v>
      </c>
      <c r="C528" t="s">
        <v>376</v>
      </c>
      <c r="D528" t="s">
        <v>2604</v>
      </c>
      <c r="E528" t="s">
        <v>37</v>
      </c>
      <c r="F528" t="s">
        <v>38</v>
      </c>
      <c r="G528" s="2">
        <v>45825</v>
      </c>
      <c r="H528">
        <v>3.5</v>
      </c>
      <c r="I528" t="s">
        <v>72</v>
      </c>
      <c r="J528" t="s">
        <v>40</v>
      </c>
      <c r="K528" t="s">
        <v>41</v>
      </c>
      <c r="L528" t="s">
        <v>2605</v>
      </c>
      <c r="M528" t="s">
        <v>2606</v>
      </c>
      <c r="O528" t="s">
        <v>402</v>
      </c>
      <c r="P528" t="s">
        <v>403</v>
      </c>
      <c r="Q528">
        <v>3.39564402346008</v>
      </c>
      <c r="S528" t="s">
        <v>38</v>
      </c>
      <c r="T528" t="s">
        <v>3452</v>
      </c>
      <c r="V528" t="s">
        <v>118</v>
      </c>
      <c r="X528" t="s">
        <v>3453</v>
      </c>
      <c r="Y528" t="s">
        <v>382</v>
      </c>
      <c r="Z528" t="s">
        <v>2623</v>
      </c>
      <c r="AA528" t="s">
        <v>64</v>
      </c>
      <c r="AB528" t="s">
        <v>41</v>
      </c>
      <c r="AD528" t="s">
        <v>620</v>
      </c>
      <c r="AF528" t="s">
        <v>2624</v>
      </c>
      <c r="AJ528">
        <v>506.25910505492391</v>
      </c>
      <c r="AK528">
        <v>13741.738791423801</v>
      </c>
    </row>
    <row r="529" spans="1:37" hidden="1" x14ac:dyDescent="0.25">
      <c r="A529">
        <v>543</v>
      </c>
      <c r="B529" t="s">
        <v>3455</v>
      </c>
      <c r="C529" t="s">
        <v>376</v>
      </c>
      <c r="D529" t="s">
        <v>2604</v>
      </c>
      <c r="E529" t="s">
        <v>37</v>
      </c>
      <c r="F529" t="s">
        <v>38</v>
      </c>
      <c r="G529" s="2">
        <v>45825</v>
      </c>
      <c r="H529">
        <v>14.2</v>
      </c>
      <c r="I529" t="s">
        <v>72</v>
      </c>
      <c r="J529" t="s">
        <v>40</v>
      </c>
      <c r="K529" t="s">
        <v>41</v>
      </c>
      <c r="L529" t="s">
        <v>2605</v>
      </c>
      <c r="M529" t="s">
        <v>2606</v>
      </c>
      <c r="O529" t="s">
        <v>402</v>
      </c>
      <c r="P529" t="s">
        <v>403</v>
      </c>
      <c r="Q529">
        <v>14.060807408603051</v>
      </c>
      <c r="S529" t="s">
        <v>38</v>
      </c>
      <c r="T529" t="s">
        <v>3456</v>
      </c>
      <c r="V529" t="s">
        <v>118</v>
      </c>
      <c r="X529" t="s">
        <v>3457</v>
      </c>
      <c r="Y529" t="s">
        <v>382</v>
      </c>
      <c r="Z529" t="s">
        <v>2623</v>
      </c>
      <c r="AA529" t="s">
        <v>64</v>
      </c>
      <c r="AB529" t="s">
        <v>41</v>
      </c>
      <c r="AD529" t="s">
        <v>620</v>
      </c>
      <c r="AF529" t="s">
        <v>2667</v>
      </c>
      <c r="AJ529">
        <v>1064.6925726550071</v>
      </c>
      <c r="AK529">
        <v>56902.296374592617</v>
      </c>
    </row>
    <row r="530" spans="1:37" hidden="1" x14ac:dyDescent="0.25">
      <c r="A530">
        <v>544</v>
      </c>
      <c r="B530" t="s">
        <v>3458</v>
      </c>
      <c r="C530" t="s">
        <v>376</v>
      </c>
      <c r="D530" t="s">
        <v>2604</v>
      </c>
      <c r="E530" t="s">
        <v>37</v>
      </c>
      <c r="F530" t="s">
        <v>38</v>
      </c>
      <c r="G530" s="2">
        <v>45825</v>
      </c>
      <c r="H530">
        <v>9.1</v>
      </c>
      <c r="I530" t="s">
        <v>72</v>
      </c>
      <c r="J530" t="s">
        <v>40</v>
      </c>
      <c r="K530" t="s">
        <v>41</v>
      </c>
      <c r="L530" t="s">
        <v>2605</v>
      </c>
      <c r="M530" t="s">
        <v>2606</v>
      </c>
      <c r="O530" t="s">
        <v>402</v>
      </c>
      <c r="P530" t="s">
        <v>403</v>
      </c>
      <c r="Q530">
        <v>8.8815298742826165</v>
      </c>
      <c r="S530" t="s">
        <v>38</v>
      </c>
      <c r="T530" t="s">
        <v>3191</v>
      </c>
      <c r="V530" t="s">
        <v>118</v>
      </c>
      <c r="X530" t="s">
        <v>3317</v>
      </c>
      <c r="Y530" t="s">
        <v>382</v>
      </c>
      <c r="Z530" t="s">
        <v>2623</v>
      </c>
      <c r="AA530" t="s">
        <v>64</v>
      </c>
      <c r="AB530" t="s">
        <v>41</v>
      </c>
      <c r="AD530" t="s">
        <v>620</v>
      </c>
      <c r="AF530" t="s">
        <v>3459</v>
      </c>
      <c r="AJ530">
        <v>1108.704984004271</v>
      </c>
      <c r="AK530">
        <v>35942.419982014231</v>
      </c>
    </row>
    <row r="531" spans="1:37" hidden="1" x14ac:dyDescent="0.25">
      <c r="A531">
        <v>545</v>
      </c>
      <c r="B531" t="s">
        <v>3460</v>
      </c>
      <c r="C531" t="s">
        <v>376</v>
      </c>
      <c r="D531" t="s">
        <v>2604</v>
      </c>
      <c r="E531" t="s">
        <v>37</v>
      </c>
      <c r="F531" t="s">
        <v>38</v>
      </c>
      <c r="G531" s="2">
        <v>45825</v>
      </c>
      <c r="H531">
        <v>8.5</v>
      </c>
      <c r="I531" t="s">
        <v>72</v>
      </c>
      <c r="J531" t="s">
        <v>40</v>
      </c>
      <c r="K531" t="s">
        <v>41</v>
      </c>
      <c r="L531" t="s">
        <v>2605</v>
      </c>
      <c r="M531" t="s">
        <v>2606</v>
      </c>
      <c r="O531" t="s">
        <v>402</v>
      </c>
      <c r="P531" t="s">
        <v>403</v>
      </c>
      <c r="Q531">
        <v>8.3199064458772298</v>
      </c>
      <c r="S531" t="s">
        <v>38</v>
      </c>
      <c r="T531" t="s">
        <v>3461</v>
      </c>
      <c r="V531" t="s">
        <v>3462</v>
      </c>
      <c r="X531" t="s">
        <v>3463</v>
      </c>
      <c r="Y531" t="s">
        <v>382</v>
      </c>
      <c r="Z531" t="s">
        <v>2623</v>
      </c>
      <c r="AA531" t="s">
        <v>64</v>
      </c>
      <c r="AB531" t="s">
        <v>41</v>
      </c>
      <c r="AD531" t="s">
        <v>620</v>
      </c>
      <c r="AF531" t="s">
        <v>1216</v>
      </c>
      <c r="AJ531">
        <v>807.69840907199261</v>
      </c>
      <c r="AK531">
        <v>33669.601512536792</v>
      </c>
    </row>
    <row r="532" spans="1:37" hidden="1" x14ac:dyDescent="0.25">
      <c r="A532">
        <v>546</v>
      </c>
      <c r="B532" t="s">
        <v>3464</v>
      </c>
      <c r="C532" t="s">
        <v>376</v>
      </c>
      <c r="D532" t="s">
        <v>2604</v>
      </c>
      <c r="E532" t="s">
        <v>37</v>
      </c>
      <c r="F532" t="s">
        <v>38</v>
      </c>
      <c r="G532" s="2">
        <v>45825</v>
      </c>
      <c r="H532">
        <v>9.1999999999999993</v>
      </c>
      <c r="I532" t="s">
        <v>72</v>
      </c>
      <c r="J532" t="s">
        <v>40</v>
      </c>
      <c r="K532" t="s">
        <v>41</v>
      </c>
      <c r="L532" t="s">
        <v>2605</v>
      </c>
      <c r="M532" t="s">
        <v>2606</v>
      </c>
      <c r="O532" t="s">
        <v>402</v>
      </c>
      <c r="P532" t="s">
        <v>403</v>
      </c>
      <c r="Q532">
        <v>9.0294573146373782</v>
      </c>
      <c r="S532" t="s">
        <v>38</v>
      </c>
      <c r="T532" t="s">
        <v>3456</v>
      </c>
      <c r="V532" t="s">
        <v>118</v>
      </c>
      <c r="X532" t="s">
        <v>3457</v>
      </c>
      <c r="Y532" t="s">
        <v>382</v>
      </c>
      <c r="Z532" t="s">
        <v>2623</v>
      </c>
      <c r="AA532" t="s">
        <v>64</v>
      </c>
      <c r="AB532" t="s">
        <v>41</v>
      </c>
      <c r="AD532" t="s">
        <v>620</v>
      </c>
      <c r="AF532" t="s">
        <v>2667</v>
      </c>
      <c r="AJ532">
        <v>731.23599095979409</v>
      </c>
      <c r="AK532">
        <v>36541.063488634718</v>
      </c>
    </row>
    <row r="533" spans="1:37" hidden="1" x14ac:dyDescent="0.25">
      <c r="A533">
        <v>547</v>
      </c>
      <c r="B533" t="s">
        <v>3465</v>
      </c>
      <c r="C533" t="s">
        <v>376</v>
      </c>
      <c r="D533" t="s">
        <v>2604</v>
      </c>
      <c r="E533" t="s">
        <v>37</v>
      </c>
      <c r="F533" t="s">
        <v>38</v>
      </c>
      <c r="G533" s="2">
        <v>45825</v>
      </c>
      <c r="H533">
        <v>0.4</v>
      </c>
      <c r="I533" t="s">
        <v>72</v>
      </c>
      <c r="J533" t="s">
        <v>40</v>
      </c>
      <c r="K533" t="s">
        <v>41</v>
      </c>
      <c r="L533" t="s">
        <v>2605</v>
      </c>
      <c r="M533" t="s">
        <v>2606</v>
      </c>
      <c r="O533" t="s">
        <v>402</v>
      </c>
      <c r="P533" t="s">
        <v>403</v>
      </c>
      <c r="Q533">
        <v>0.46618316566474782</v>
      </c>
      <c r="S533" t="s">
        <v>38</v>
      </c>
      <c r="T533" t="s">
        <v>3456</v>
      </c>
      <c r="V533" t="s">
        <v>118</v>
      </c>
      <c r="X533" t="s">
        <v>3457</v>
      </c>
      <c r="Y533" t="s">
        <v>382</v>
      </c>
      <c r="Z533" t="s">
        <v>2623</v>
      </c>
      <c r="AA533" t="s">
        <v>64</v>
      </c>
      <c r="AB533" t="s">
        <v>41</v>
      </c>
      <c r="AD533" t="s">
        <v>620</v>
      </c>
      <c r="AF533" t="s">
        <v>2667</v>
      </c>
      <c r="AJ533">
        <v>286.07201122666362</v>
      </c>
      <c r="AK533">
        <v>1886.583884313138</v>
      </c>
    </row>
    <row r="534" spans="1:37" hidden="1" x14ac:dyDescent="0.25">
      <c r="A534">
        <v>548</v>
      </c>
      <c r="B534" t="s">
        <v>3466</v>
      </c>
      <c r="C534" t="s">
        <v>376</v>
      </c>
      <c r="D534" t="s">
        <v>2604</v>
      </c>
      <c r="E534" t="s">
        <v>37</v>
      </c>
      <c r="F534" t="s">
        <v>38</v>
      </c>
      <c r="G534" s="2">
        <v>45825</v>
      </c>
      <c r="H534">
        <v>2.2000000000000002</v>
      </c>
      <c r="I534" t="s">
        <v>72</v>
      </c>
      <c r="J534" t="s">
        <v>40</v>
      </c>
      <c r="K534" t="s">
        <v>41</v>
      </c>
      <c r="L534" t="s">
        <v>2605</v>
      </c>
      <c r="M534" t="s">
        <v>2606</v>
      </c>
      <c r="O534" t="s">
        <v>402</v>
      </c>
      <c r="P534" t="s">
        <v>403</v>
      </c>
      <c r="Q534">
        <v>2.2142575861454659</v>
      </c>
      <c r="S534" t="s">
        <v>38</v>
      </c>
      <c r="T534" t="s">
        <v>3456</v>
      </c>
      <c r="V534" t="s">
        <v>118</v>
      </c>
      <c r="X534" t="s">
        <v>3457</v>
      </c>
      <c r="Y534" t="s">
        <v>382</v>
      </c>
      <c r="Z534" t="s">
        <v>2623</v>
      </c>
      <c r="AA534" t="s">
        <v>64</v>
      </c>
      <c r="AB534" t="s">
        <v>41</v>
      </c>
      <c r="AD534" t="s">
        <v>620</v>
      </c>
      <c r="AF534" t="s">
        <v>2667</v>
      </c>
      <c r="AJ534">
        <v>435.94586200761381</v>
      </c>
      <c r="AK534">
        <v>8960.8183765783615</v>
      </c>
    </row>
    <row r="535" spans="1:37" hidden="1" x14ac:dyDescent="0.25">
      <c r="A535">
        <v>549</v>
      </c>
      <c r="B535" t="s">
        <v>3467</v>
      </c>
      <c r="C535" t="s">
        <v>376</v>
      </c>
      <c r="D535" t="s">
        <v>2604</v>
      </c>
      <c r="E535" t="s">
        <v>37</v>
      </c>
      <c r="F535" t="s">
        <v>38</v>
      </c>
      <c r="G535" s="2">
        <v>45825</v>
      </c>
      <c r="H535">
        <v>0.2</v>
      </c>
      <c r="I535" t="s">
        <v>72</v>
      </c>
      <c r="J535" t="s">
        <v>40</v>
      </c>
      <c r="K535" t="s">
        <v>41</v>
      </c>
      <c r="L535" t="s">
        <v>2605</v>
      </c>
      <c r="M535" t="s">
        <v>2606</v>
      </c>
      <c r="O535" t="s">
        <v>402</v>
      </c>
      <c r="P535" t="s">
        <v>403</v>
      </c>
      <c r="Q535">
        <v>0.25432626028804828</v>
      </c>
      <c r="S535" t="s">
        <v>38</v>
      </c>
      <c r="T535" t="s">
        <v>3461</v>
      </c>
      <c r="V535" t="s">
        <v>118</v>
      </c>
      <c r="X535" t="s">
        <v>3463</v>
      </c>
      <c r="Y535" t="s">
        <v>382</v>
      </c>
      <c r="Z535" t="s">
        <v>2623</v>
      </c>
      <c r="AA535" t="s">
        <v>64</v>
      </c>
      <c r="AB535" t="s">
        <v>41</v>
      </c>
      <c r="AD535" t="s">
        <v>620</v>
      </c>
      <c r="AF535" t="s">
        <v>1216</v>
      </c>
      <c r="AJ535">
        <v>150.8940315529631</v>
      </c>
      <c r="AK535">
        <v>1029.225976731452</v>
      </c>
    </row>
    <row r="536" spans="1:37" hidden="1" x14ac:dyDescent="0.25">
      <c r="A536">
        <v>550</v>
      </c>
      <c r="B536" t="s">
        <v>3468</v>
      </c>
      <c r="C536" t="s">
        <v>376</v>
      </c>
      <c r="D536" t="s">
        <v>2604</v>
      </c>
      <c r="E536" t="s">
        <v>37</v>
      </c>
      <c r="F536" t="s">
        <v>38</v>
      </c>
      <c r="G536" s="2">
        <v>45825</v>
      </c>
      <c r="H536">
        <v>0.5</v>
      </c>
      <c r="I536" t="s">
        <v>72</v>
      </c>
      <c r="J536" t="s">
        <v>40</v>
      </c>
      <c r="K536" t="s">
        <v>41</v>
      </c>
      <c r="L536" t="s">
        <v>2605</v>
      </c>
      <c r="M536" t="s">
        <v>2606</v>
      </c>
      <c r="O536" t="s">
        <v>402</v>
      </c>
      <c r="P536" t="s">
        <v>403</v>
      </c>
      <c r="Q536">
        <v>0.5173477623974041</v>
      </c>
      <c r="S536" t="s">
        <v>38</v>
      </c>
      <c r="T536" t="s">
        <v>3191</v>
      </c>
      <c r="V536" t="s">
        <v>118</v>
      </c>
      <c r="X536" t="s">
        <v>3317</v>
      </c>
      <c r="Y536" t="s">
        <v>382</v>
      </c>
      <c r="Z536" t="s">
        <v>2623</v>
      </c>
      <c r="AA536" t="s">
        <v>64</v>
      </c>
      <c r="AB536" t="s">
        <v>41</v>
      </c>
      <c r="AD536" t="s">
        <v>620</v>
      </c>
      <c r="AF536" t="s">
        <v>3459</v>
      </c>
      <c r="AJ536">
        <v>304.78073128463922</v>
      </c>
      <c r="AK536">
        <v>2093.6404894257871</v>
      </c>
    </row>
    <row r="537" spans="1:37" hidden="1" x14ac:dyDescent="0.25">
      <c r="A537">
        <v>551</v>
      </c>
      <c r="B537" t="s">
        <v>3469</v>
      </c>
      <c r="C537" t="s">
        <v>376</v>
      </c>
      <c r="D537" t="s">
        <v>2604</v>
      </c>
      <c r="E537" t="s">
        <v>37</v>
      </c>
      <c r="F537" t="s">
        <v>38</v>
      </c>
      <c r="G537" s="2">
        <v>45825</v>
      </c>
      <c r="H537">
        <v>29.5</v>
      </c>
      <c r="I537" t="s">
        <v>72</v>
      </c>
      <c r="J537" t="s">
        <v>40</v>
      </c>
      <c r="K537" t="s">
        <v>41</v>
      </c>
      <c r="L537" t="s">
        <v>2605</v>
      </c>
      <c r="M537" t="s">
        <v>2606</v>
      </c>
      <c r="O537" t="s">
        <v>402</v>
      </c>
      <c r="P537" t="s">
        <v>403</v>
      </c>
      <c r="Q537">
        <v>29.21160669264528</v>
      </c>
      <c r="S537" t="s">
        <v>38</v>
      </c>
      <c r="T537" t="s">
        <v>3191</v>
      </c>
      <c r="V537" t="s">
        <v>118</v>
      </c>
      <c r="X537" t="s">
        <v>3317</v>
      </c>
      <c r="Y537" t="s">
        <v>382</v>
      </c>
      <c r="Z537" t="s">
        <v>2623</v>
      </c>
      <c r="AA537" t="s">
        <v>118</v>
      </c>
      <c r="AB537" t="s">
        <v>41</v>
      </c>
      <c r="AD537" t="s">
        <v>620</v>
      </c>
      <c r="AF537" t="s">
        <v>3459</v>
      </c>
      <c r="AJ537">
        <v>1420.4359555445531</v>
      </c>
      <c r="AK537">
        <v>118215.6510148856</v>
      </c>
    </row>
    <row r="538" spans="1:37" hidden="1" x14ac:dyDescent="0.25">
      <c r="A538">
        <v>552</v>
      </c>
      <c r="B538" t="s">
        <v>3470</v>
      </c>
      <c r="C538" t="s">
        <v>376</v>
      </c>
      <c r="D538" t="s">
        <v>2604</v>
      </c>
      <c r="E538" t="s">
        <v>37</v>
      </c>
      <c r="F538" t="s">
        <v>38</v>
      </c>
      <c r="G538" s="2">
        <v>45825</v>
      </c>
      <c r="H538">
        <v>7.7</v>
      </c>
      <c r="I538" t="s">
        <v>72</v>
      </c>
      <c r="J538" t="s">
        <v>40</v>
      </c>
      <c r="K538" t="s">
        <v>41</v>
      </c>
      <c r="L538" t="s">
        <v>2605</v>
      </c>
      <c r="M538" t="s">
        <v>2606</v>
      </c>
      <c r="O538" t="s">
        <v>402</v>
      </c>
      <c r="P538" t="s">
        <v>403</v>
      </c>
      <c r="Q538">
        <v>7.5089219009971604</v>
      </c>
      <c r="S538" t="s">
        <v>38</v>
      </c>
      <c r="T538" t="s">
        <v>3456</v>
      </c>
      <c r="V538" t="s">
        <v>118</v>
      </c>
      <c r="X538" t="s">
        <v>3457</v>
      </c>
      <c r="Y538" t="s">
        <v>382</v>
      </c>
      <c r="Z538" t="s">
        <v>2623</v>
      </c>
      <c r="AA538" t="s">
        <v>118</v>
      </c>
      <c r="AB538" t="s">
        <v>41</v>
      </c>
      <c r="AD538" t="s">
        <v>620</v>
      </c>
      <c r="AF538" t="s">
        <v>2667</v>
      </c>
      <c r="AJ538">
        <v>707.44896002987264</v>
      </c>
      <c r="AK538">
        <v>30387.65037083031</v>
      </c>
    </row>
    <row r="539" spans="1:37" hidden="1" x14ac:dyDescent="0.25">
      <c r="A539">
        <v>553</v>
      </c>
      <c r="B539" t="s">
        <v>3471</v>
      </c>
      <c r="C539" t="s">
        <v>376</v>
      </c>
      <c r="D539" t="s">
        <v>2604</v>
      </c>
      <c r="E539" t="s">
        <v>37</v>
      </c>
      <c r="F539" t="s">
        <v>38</v>
      </c>
      <c r="G539" s="2">
        <v>45825</v>
      </c>
      <c r="H539">
        <v>10.9</v>
      </c>
      <c r="I539" t="s">
        <v>72</v>
      </c>
      <c r="J539" t="s">
        <v>40</v>
      </c>
      <c r="K539" t="s">
        <v>41</v>
      </c>
      <c r="L539" t="s">
        <v>2605</v>
      </c>
      <c r="M539" t="s">
        <v>2606</v>
      </c>
      <c r="O539" t="s">
        <v>402</v>
      </c>
      <c r="P539" t="s">
        <v>403</v>
      </c>
      <c r="Q539">
        <v>10.33384398040976</v>
      </c>
      <c r="S539" t="s">
        <v>38</v>
      </c>
      <c r="T539" t="s">
        <v>3461</v>
      </c>
      <c r="V539" t="s">
        <v>3462</v>
      </c>
      <c r="X539" t="s">
        <v>3463</v>
      </c>
      <c r="Y539" t="s">
        <v>382</v>
      </c>
      <c r="Z539" t="s">
        <v>2623</v>
      </c>
      <c r="AA539" t="s">
        <v>118</v>
      </c>
      <c r="AB539" t="s">
        <v>41</v>
      </c>
      <c r="AD539" t="s">
        <v>620</v>
      </c>
      <c r="AF539" t="s">
        <v>1216</v>
      </c>
      <c r="AJ539">
        <v>1074.531928134242</v>
      </c>
      <c r="AK539">
        <v>41819.750159034164</v>
      </c>
    </row>
    <row r="540" spans="1:37" hidden="1" x14ac:dyDescent="0.25">
      <c r="A540">
        <v>554</v>
      </c>
      <c r="B540" t="s">
        <v>3472</v>
      </c>
      <c r="C540" t="s">
        <v>376</v>
      </c>
      <c r="D540" t="s">
        <v>2604</v>
      </c>
      <c r="E540" t="s">
        <v>37</v>
      </c>
      <c r="F540" t="s">
        <v>38</v>
      </c>
      <c r="G540" s="2">
        <v>45825</v>
      </c>
      <c r="H540">
        <v>2.2000000000000002</v>
      </c>
      <c r="I540" t="s">
        <v>72</v>
      </c>
      <c r="J540" t="s">
        <v>40</v>
      </c>
      <c r="K540" t="s">
        <v>41</v>
      </c>
      <c r="L540" t="s">
        <v>2605</v>
      </c>
      <c r="M540" t="s">
        <v>2606</v>
      </c>
      <c r="O540" t="s">
        <v>402</v>
      </c>
      <c r="P540" t="s">
        <v>403</v>
      </c>
      <c r="Q540">
        <v>2.1202198388874338</v>
      </c>
      <c r="S540" t="s">
        <v>38</v>
      </c>
      <c r="T540" t="s">
        <v>3456</v>
      </c>
      <c r="V540" t="s">
        <v>118</v>
      </c>
      <c r="X540" t="s">
        <v>3457</v>
      </c>
      <c r="Y540" t="s">
        <v>382</v>
      </c>
      <c r="Z540" t="s">
        <v>2623</v>
      </c>
      <c r="AA540" t="s">
        <v>118</v>
      </c>
      <c r="AB540" t="s">
        <v>41</v>
      </c>
      <c r="AD540" t="s">
        <v>620</v>
      </c>
      <c r="AF540" t="s">
        <v>2667</v>
      </c>
      <c r="AJ540">
        <v>397.84931103662052</v>
      </c>
      <c r="AK540">
        <v>8580.2595929055551</v>
      </c>
    </row>
    <row r="541" spans="1:37" hidden="1" x14ac:dyDescent="0.25">
      <c r="A541">
        <v>555</v>
      </c>
      <c r="B541" t="s">
        <v>3473</v>
      </c>
      <c r="C541" t="s">
        <v>376</v>
      </c>
      <c r="D541" t="s">
        <v>2604</v>
      </c>
      <c r="E541" t="s">
        <v>37</v>
      </c>
      <c r="F541" t="s">
        <v>38</v>
      </c>
      <c r="G541" s="2">
        <v>45825</v>
      </c>
      <c r="I541" t="s">
        <v>72</v>
      </c>
      <c r="J541" t="s">
        <v>40</v>
      </c>
      <c r="K541" t="s">
        <v>41</v>
      </c>
      <c r="L541" t="s">
        <v>2605</v>
      </c>
      <c r="M541" t="s">
        <v>2606</v>
      </c>
      <c r="O541" t="s">
        <v>402</v>
      </c>
      <c r="P541" t="s">
        <v>403</v>
      </c>
      <c r="Q541">
        <v>6.9051870945262754</v>
      </c>
      <c r="S541" t="s">
        <v>38</v>
      </c>
      <c r="T541" t="s">
        <v>673</v>
      </c>
      <c r="V541" t="s">
        <v>118</v>
      </c>
      <c r="X541" t="s">
        <v>673</v>
      </c>
      <c r="Y541" t="s">
        <v>382</v>
      </c>
      <c r="Z541" t="s">
        <v>2623</v>
      </c>
      <c r="AA541" t="s">
        <v>118</v>
      </c>
      <c r="AB541" t="s">
        <v>41</v>
      </c>
      <c r="AE541" t="s">
        <v>3346</v>
      </c>
      <c r="AJ541">
        <v>840.19268145009357</v>
      </c>
      <c r="AK541">
        <v>27944.412518895551</v>
      </c>
    </row>
    <row r="542" spans="1:37" hidden="1" x14ac:dyDescent="0.25">
      <c r="A542">
        <v>556</v>
      </c>
      <c r="B542" t="s">
        <v>3474</v>
      </c>
      <c r="C542" t="s">
        <v>376</v>
      </c>
      <c r="D542" t="s">
        <v>2604</v>
      </c>
      <c r="E542" t="s">
        <v>37</v>
      </c>
      <c r="F542" t="s">
        <v>38</v>
      </c>
      <c r="G542" s="2">
        <v>45825</v>
      </c>
      <c r="I542" t="s">
        <v>72</v>
      </c>
      <c r="J542" t="s">
        <v>40</v>
      </c>
      <c r="K542" t="s">
        <v>41</v>
      </c>
      <c r="L542" t="s">
        <v>2605</v>
      </c>
      <c r="M542" t="s">
        <v>2606</v>
      </c>
      <c r="O542" t="s">
        <v>402</v>
      </c>
      <c r="P542" t="s">
        <v>403</v>
      </c>
      <c r="Q542">
        <v>1.243841261383555</v>
      </c>
      <c r="S542" t="s">
        <v>38</v>
      </c>
      <c r="T542" t="s">
        <v>673</v>
      </c>
      <c r="V542" t="s">
        <v>118</v>
      </c>
      <c r="X542" t="s">
        <v>673</v>
      </c>
      <c r="Y542" t="s">
        <v>382</v>
      </c>
      <c r="Z542" t="s">
        <v>2623</v>
      </c>
      <c r="AA542" t="s">
        <v>118</v>
      </c>
      <c r="AB542" t="s">
        <v>41</v>
      </c>
      <c r="AE542" t="s">
        <v>1279</v>
      </c>
      <c r="AJ542">
        <v>313.29189597557109</v>
      </c>
      <c r="AK542">
        <v>5033.66713172455</v>
      </c>
    </row>
    <row r="543" spans="1:37" hidden="1" x14ac:dyDescent="0.25">
      <c r="A543">
        <v>557</v>
      </c>
      <c r="B543" t="s">
        <v>3475</v>
      </c>
      <c r="C543" t="s">
        <v>376</v>
      </c>
      <c r="D543" t="s">
        <v>2604</v>
      </c>
      <c r="E543" t="s">
        <v>37</v>
      </c>
      <c r="F543" t="s">
        <v>38</v>
      </c>
      <c r="G543" s="2">
        <v>45825</v>
      </c>
      <c r="I543" t="s">
        <v>72</v>
      </c>
      <c r="J543" t="s">
        <v>40</v>
      </c>
      <c r="K543" t="s">
        <v>41</v>
      </c>
      <c r="L543" t="s">
        <v>2605</v>
      </c>
      <c r="M543" t="s">
        <v>2606</v>
      </c>
      <c r="O543" t="s">
        <v>402</v>
      </c>
      <c r="P543" t="s">
        <v>403</v>
      </c>
      <c r="Q543">
        <v>5.1160250885258343</v>
      </c>
      <c r="S543" t="s">
        <v>38</v>
      </c>
      <c r="T543" t="s">
        <v>673</v>
      </c>
      <c r="V543" t="s">
        <v>118</v>
      </c>
      <c r="X543" t="s">
        <v>673</v>
      </c>
      <c r="Y543" t="s">
        <v>382</v>
      </c>
      <c r="Z543" t="s">
        <v>2623</v>
      </c>
      <c r="AA543" t="s">
        <v>118</v>
      </c>
      <c r="AB543" t="s">
        <v>41</v>
      </c>
      <c r="AE543" t="s">
        <v>3327</v>
      </c>
      <c r="AJ543">
        <v>688.15369181315543</v>
      </c>
      <c r="AK543">
        <v>20703.90180218469</v>
      </c>
    </row>
    <row r="544" spans="1:37" hidden="1" x14ac:dyDescent="0.25">
      <c r="A544">
        <v>558</v>
      </c>
      <c r="B544" t="s">
        <v>3476</v>
      </c>
      <c r="C544" t="s">
        <v>376</v>
      </c>
      <c r="D544" t="s">
        <v>2604</v>
      </c>
      <c r="E544" t="s">
        <v>37</v>
      </c>
      <c r="F544" t="s">
        <v>38</v>
      </c>
      <c r="G544" s="2">
        <v>45825</v>
      </c>
      <c r="H544">
        <v>3.1</v>
      </c>
      <c r="I544" t="s">
        <v>72</v>
      </c>
      <c r="J544" t="s">
        <v>40</v>
      </c>
      <c r="K544" t="s">
        <v>41</v>
      </c>
      <c r="L544" t="s">
        <v>2605</v>
      </c>
      <c r="M544" t="s">
        <v>2606</v>
      </c>
      <c r="O544" t="s">
        <v>402</v>
      </c>
      <c r="P544" t="s">
        <v>403</v>
      </c>
      <c r="Q544">
        <v>3.1024516737323098</v>
      </c>
      <c r="S544" t="s">
        <v>38</v>
      </c>
      <c r="T544" t="s">
        <v>3477</v>
      </c>
      <c r="V544" t="s">
        <v>3462</v>
      </c>
      <c r="X544" t="s">
        <v>3478</v>
      </c>
      <c r="Y544" t="s">
        <v>382</v>
      </c>
      <c r="Z544" t="s">
        <v>2623</v>
      </c>
      <c r="AA544" t="s">
        <v>118</v>
      </c>
      <c r="AB544" t="s">
        <v>41</v>
      </c>
      <c r="AD544" t="s">
        <v>620</v>
      </c>
      <c r="AF544" t="s">
        <v>2667</v>
      </c>
      <c r="AJ544">
        <v>477.07227561986031</v>
      </c>
      <c r="AK544">
        <v>12555.226701885809</v>
      </c>
    </row>
    <row r="545" spans="1:37" hidden="1" x14ac:dyDescent="0.25">
      <c r="A545">
        <v>559</v>
      </c>
      <c r="B545" t="s">
        <v>3479</v>
      </c>
      <c r="C545" t="s">
        <v>376</v>
      </c>
      <c r="D545" t="s">
        <v>2604</v>
      </c>
      <c r="E545" t="s">
        <v>37</v>
      </c>
      <c r="F545" t="s">
        <v>38</v>
      </c>
      <c r="G545" s="2">
        <v>45825</v>
      </c>
      <c r="H545">
        <v>2.5950000000000002</v>
      </c>
      <c r="I545" t="s">
        <v>72</v>
      </c>
      <c r="J545" t="s">
        <v>40</v>
      </c>
      <c r="K545" t="s">
        <v>41</v>
      </c>
      <c r="L545" t="s">
        <v>2605</v>
      </c>
      <c r="M545" t="s">
        <v>2606</v>
      </c>
      <c r="O545" t="s">
        <v>402</v>
      </c>
      <c r="P545" t="s">
        <v>403</v>
      </c>
      <c r="Q545">
        <v>1.771956615333365</v>
      </c>
      <c r="S545" t="s">
        <v>38</v>
      </c>
      <c r="T545" t="s">
        <v>3452</v>
      </c>
      <c r="V545" t="s">
        <v>3462</v>
      </c>
      <c r="X545" t="s">
        <v>3453</v>
      </c>
      <c r="Y545" t="s">
        <v>382</v>
      </c>
      <c r="Z545" t="s">
        <v>2623</v>
      </c>
      <c r="AA545" t="s">
        <v>118</v>
      </c>
      <c r="AB545" t="s">
        <v>41</v>
      </c>
      <c r="AD545" t="s">
        <v>620</v>
      </c>
      <c r="AF545" t="s">
        <v>3480</v>
      </c>
      <c r="AJ545">
        <v>484.169103559794</v>
      </c>
      <c r="AK545">
        <v>7170.8826924780788</v>
      </c>
    </row>
    <row r="546" spans="1:37" hidden="1" x14ac:dyDescent="0.25">
      <c r="A546">
        <v>560</v>
      </c>
      <c r="B546" t="s">
        <v>3481</v>
      </c>
      <c r="C546" t="s">
        <v>376</v>
      </c>
      <c r="D546" t="s">
        <v>2604</v>
      </c>
      <c r="E546" t="s">
        <v>37</v>
      </c>
      <c r="F546" t="s">
        <v>38</v>
      </c>
      <c r="G546" s="2">
        <v>45825</v>
      </c>
      <c r="H546">
        <v>17.600000000000001</v>
      </c>
      <c r="I546" t="s">
        <v>72</v>
      </c>
      <c r="J546" t="s">
        <v>40</v>
      </c>
      <c r="K546" t="s">
        <v>41</v>
      </c>
      <c r="L546" t="s">
        <v>2605</v>
      </c>
      <c r="M546" t="s">
        <v>2606</v>
      </c>
      <c r="O546" t="s">
        <v>402</v>
      </c>
      <c r="P546" t="s">
        <v>403</v>
      </c>
      <c r="Q546">
        <v>16.903226307428302</v>
      </c>
      <c r="S546" t="s">
        <v>38</v>
      </c>
      <c r="T546" t="s">
        <v>3477</v>
      </c>
      <c r="V546" t="s">
        <v>3462</v>
      </c>
      <c r="X546" t="s">
        <v>3478</v>
      </c>
      <c r="Y546" t="s">
        <v>382</v>
      </c>
      <c r="Z546" t="s">
        <v>2623</v>
      </c>
      <c r="AA546" t="s">
        <v>118</v>
      </c>
      <c r="AB546" t="s">
        <v>41</v>
      </c>
      <c r="AD546" t="s">
        <v>620</v>
      </c>
      <c r="AF546" t="s">
        <v>2667</v>
      </c>
      <c r="AJ546">
        <v>1275.279431936465</v>
      </c>
      <c r="AK546">
        <v>68405.203562037481</v>
      </c>
    </row>
    <row r="547" spans="1:37" x14ac:dyDescent="0.25">
      <c r="A547">
        <v>578</v>
      </c>
      <c r="B547" t="s">
        <v>3503</v>
      </c>
      <c r="C547" t="s">
        <v>376</v>
      </c>
      <c r="D547" t="s">
        <v>2604</v>
      </c>
      <c r="E547" t="s">
        <v>37</v>
      </c>
      <c r="F547" t="s">
        <v>38</v>
      </c>
      <c r="G547" s="2">
        <v>45825</v>
      </c>
      <c r="H547">
        <v>0.1</v>
      </c>
      <c r="I547" t="s">
        <v>72</v>
      </c>
      <c r="J547" t="s">
        <v>40</v>
      </c>
      <c r="K547" t="s">
        <v>41</v>
      </c>
      <c r="L547" t="s">
        <v>2605</v>
      </c>
      <c r="M547" t="s">
        <v>2606</v>
      </c>
      <c r="O547" t="s">
        <v>62</v>
      </c>
      <c r="P547" t="s">
        <v>63</v>
      </c>
      <c r="Q547">
        <v>0.1049554422442264</v>
      </c>
      <c r="R547" t="s">
        <v>64</v>
      </c>
      <c r="S547" t="s">
        <v>65</v>
      </c>
      <c r="T547" t="s">
        <v>2747</v>
      </c>
      <c r="V547" t="s">
        <v>3496</v>
      </c>
      <c r="X547" t="s">
        <v>3504</v>
      </c>
      <c r="Y547" t="s">
        <v>382</v>
      </c>
      <c r="Z547" t="s">
        <v>2623</v>
      </c>
      <c r="AA547" t="s">
        <v>110</v>
      </c>
      <c r="AB547" t="s">
        <v>41</v>
      </c>
      <c r="AJ547">
        <v>93.860791330036022</v>
      </c>
      <c r="AK547">
        <v>424.74130447539869</v>
      </c>
    </row>
    <row r="548" spans="1:37" hidden="1" x14ac:dyDescent="0.25">
      <c r="A548">
        <v>562</v>
      </c>
      <c r="B548" t="s">
        <v>3483</v>
      </c>
      <c r="C548" t="s">
        <v>376</v>
      </c>
      <c r="D548" t="s">
        <v>2604</v>
      </c>
      <c r="E548" t="s">
        <v>37</v>
      </c>
      <c r="F548" t="s">
        <v>38</v>
      </c>
      <c r="G548" s="2">
        <v>45825</v>
      </c>
      <c r="H548">
        <v>0.1</v>
      </c>
      <c r="I548" t="s">
        <v>72</v>
      </c>
      <c r="J548" t="s">
        <v>40</v>
      </c>
      <c r="K548" t="s">
        <v>41</v>
      </c>
      <c r="L548" t="s">
        <v>2605</v>
      </c>
      <c r="M548" t="s">
        <v>2606</v>
      </c>
      <c r="O548" t="s">
        <v>96</v>
      </c>
      <c r="P548" t="s">
        <v>97</v>
      </c>
      <c r="Q548">
        <v>2.688722538242978E-2</v>
      </c>
      <c r="R548" t="s">
        <v>60</v>
      </c>
      <c r="S548" t="s">
        <v>66</v>
      </c>
      <c r="T548" t="s">
        <v>2691</v>
      </c>
      <c r="V548" t="s">
        <v>118</v>
      </c>
      <c r="X548" t="s">
        <v>1126</v>
      </c>
      <c r="Y548" t="s">
        <v>382</v>
      </c>
      <c r="Z548" t="s">
        <v>2623</v>
      </c>
      <c r="AA548" t="s">
        <v>118</v>
      </c>
      <c r="AB548" t="s">
        <v>41</v>
      </c>
      <c r="AJ548">
        <v>47.894542603034509</v>
      </c>
      <c r="AK548">
        <v>108.8091759556708</v>
      </c>
    </row>
    <row r="549" spans="1:37" hidden="1" x14ac:dyDescent="0.25">
      <c r="A549">
        <v>563</v>
      </c>
      <c r="B549" t="s">
        <v>3484</v>
      </c>
      <c r="C549" t="s">
        <v>376</v>
      </c>
      <c r="D549" t="s">
        <v>2604</v>
      </c>
      <c r="E549" t="s">
        <v>37</v>
      </c>
      <c r="F549" t="s">
        <v>38</v>
      </c>
      <c r="G549" s="2">
        <v>45825</v>
      </c>
      <c r="H549">
        <v>6.1</v>
      </c>
      <c r="I549" t="s">
        <v>72</v>
      </c>
      <c r="J549" t="s">
        <v>40</v>
      </c>
      <c r="K549" t="s">
        <v>41</v>
      </c>
      <c r="L549" t="s">
        <v>2605</v>
      </c>
      <c r="M549" t="s">
        <v>2606</v>
      </c>
      <c r="O549" t="s">
        <v>402</v>
      </c>
      <c r="P549" t="s">
        <v>403</v>
      </c>
      <c r="Q549">
        <v>5.7395755927117227</v>
      </c>
      <c r="S549" t="s">
        <v>38</v>
      </c>
      <c r="T549" t="s">
        <v>3485</v>
      </c>
      <c r="V549" t="s">
        <v>118</v>
      </c>
      <c r="X549" t="s">
        <v>3486</v>
      </c>
      <c r="Y549" t="s">
        <v>382</v>
      </c>
      <c r="Z549" t="s">
        <v>2623</v>
      </c>
      <c r="AA549" t="s">
        <v>118</v>
      </c>
      <c r="AB549" t="s">
        <v>41</v>
      </c>
      <c r="AD549" t="s">
        <v>2656</v>
      </c>
      <c r="AF549" t="s">
        <v>2667</v>
      </c>
      <c r="AJ549">
        <v>631.29228686991667</v>
      </c>
      <c r="AK549">
        <v>23227.331258447841</v>
      </c>
    </row>
    <row r="550" spans="1:37" x14ac:dyDescent="0.25">
      <c r="A550">
        <v>579</v>
      </c>
      <c r="B550" t="s">
        <v>3505</v>
      </c>
      <c r="C550" t="s">
        <v>376</v>
      </c>
      <c r="D550" t="s">
        <v>2604</v>
      </c>
      <c r="E550" t="s">
        <v>37</v>
      </c>
      <c r="F550" t="s">
        <v>38</v>
      </c>
      <c r="G550" s="2">
        <v>45825</v>
      </c>
      <c r="H550">
        <v>0.1</v>
      </c>
      <c r="I550" t="s">
        <v>72</v>
      </c>
      <c r="J550" t="s">
        <v>40</v>
      </c>
      <c r="K550" t="s">
        <v>41</v>
      </c>
      <c r="L550" t="s">
        <v>2605</v>
      </c>
      <c r="M550" t="s">
        <v>2606</v>
      </c>
      <c r="O550" t="s">
        <v>62</v>
      </c>
      <c r="P550" t="s">
        <v>63</v>
      </c>
      <c r="Q550">
        <v>2.1836567221366499E-2</v>
      </c>
      <c r="R550" t="s">
        <v>64</v>
      </c>
      <c r="S550" t="s">
        <v>65</v>
      </c>
      <c r="T550" t="s">
        <v>2747</v>
      </c>
      <c r="V550" t="s">
        <v>3496</v>
      </c>
      <c r="X550" t="s">
        <v>3504</v>
      </c>
      <c r="Y550" t="s">
        <v>382</v>
      </c>
      <c r="Z550" t="s">
        <v>2623</v>
      </c>
      <c r="AA550" t="s">
        <v>110</v>
      </c>
      <c r="AB550" t="s">
        <v>41</v>
      </c>
      <c r="AJ550">
        <v>44.401758280998941</v>
      </c>
      <c r="AK550">
        <v>88.369805781825974</v>
      </c>
    </row>
    <row r="551" spans="1:37" hidden="1" x14ac:dyDescent="0.25">
      <c r="A551">
        <v>565</v>
      </c>
      <c r="B551" t="s">
        <v>3488</v>
      </c>
      <c r="C551" t="s">
        <v>376</v>
      </c>
      <c r="D551" t="s">
        <v>2604</v>
      </c>
      <c r="E551" t="s">
        <v>37</v>
      </c>
      <c r="F551" t="s">
        <v>38</v>
      </c>
      <c r="G551" s="2">
        <v>45825</v>
      </c>
      <c r="H551">
        <v>3.7</v>
      </c>
      <c r="I551" t="s">
        <v>72</v>
      </c>
      <c r="J551" t="s">
        <v>40</v>
      </c>
      <c r="K551" t="s">
        <v>41</v>
      </c>
      <c r="L551" t="s">
        <v>2605</v>
      </c>
      <c r="M551" t="s">
        <v>2606</v>
      </c>
      <c r="O551" t="s">
        <v>402</v>
      </c>
      <c r="P551" t="s">
        <v>403</v>
      </c>
      <c r="Q551">
        <v>3.5946881931101942</v>
      </c>
      <c r="S551" t="s">
        <v>38</v>
      </c>
      <c r="T551" t="s">
        <v>3485</v>
      </c>
      <c r="V551" t="s">
        <v>118</v>
      </c>
      <c r="X551" t="s">
        <v>3486</v>
      </c>
      <c r="Y551" t="s">
        <v>382</v>
      </c>
      <c r="Z551" t="s">
        <v>2623</v>
      </c>
      <c r="AA551" t="s">
        <v>118</v>
      </c>
      <c r="AB551" t="s">
        <v>41</v>
      </c>
      <c r="AD551" t="s">
        <v>2656</v>
      </c>
      <c r="AF551" t="s">
        <v>2667</v>
      </c>
      <c r="AJ551">
        <v>774.32758914969418</v>
      </c>
      <c r="AK551">
        <v>14547.24518973601</v>
      </c>
    </row>
    <row r="552" spans="1:37" hidden="1" x14ac:dyDescent="0.25">
      <c r="A552">
        <v>566</v>
      </c>
      <c r="B552" t="s">
        <v>3489</v>
      </c>
      <c r="C552" t="s">
        <v>376</v>
      </c>
      <c r="D552" t="s">
        <v>2604</v>
      </c>
      <c r="E552" t="s">
        <v>37</v>
      </c>
      <c r="F552" t="s">
        <v>38</v>
      </c>
      <c r="G552" s="2">
        <v>45825</v>
      </c>
      <c r="H552">
        <v>20.100000000000001</v>
      </c>
      <c r="I552" t="s">
        <v>72</v>
      </c>
      <c r="J552" t="s">
        <v>40</v>
      </c>
      <c r="K552" t="s">
        <v>41</v>
      </c>
      <c r="L552" t="s">
        <v>2605</v>
      </c>
      <c r="M552" t="s">
        <v>2606</v>
      </c>
      <c r="O552" t="s">
        <v>402</v>
      </c>
      <c r="P552" t="s">
        <v>403</v>
      </c>
      <c r="Q552">
        <v>19.938934946350521</v>
      </c>
      <c r="S552" t="s">
        <v>38</v>
      </c>
      <c r="T552" t="s">
        <v>3477</v>
      </c>
      <c r="V552" t="s">
        <v>118</v>
      </c>
      <c r="X552" t="s">
        <v>3478</v>
      </c>
      <c r="Y552" t="s">
        <v>382</v>
      </c>
      <c r="Z552" t="s">
        <v>2623</v>
      </c>
      <c r="AA552" t="s">
        <v>118</v>
      </c>
      <c r="AB552" t="s">
        <v>41</v>
      </c>
      <c r="AD552" t="s">
        <v>620</v>
      </c>
      <c r="AF552" t="s">
        <v>2667</v>
      </c>
      <c r="AJ552">
        <v>1294.9163550789949</v>
      </c>
      <c r="AK552">
        <v>80690.329704450443</v>
      </c>
    </row>
    <row r="553" spans="1:37" x14ac:dyDescent="0.25">
      <c r="A553">
        <v>581</v>
      </c>
      <c r="B553" t="s">
        <v>3508</v>
      </c>
      <c r="C553" t="s">
        <v>376</v>
      </c>
      <c r="D553" t="s">
        <v>2604</v>
      </c>
      <c r="E553" t="s">
        <v>37</v>
      </c>
      <c r="F553" t="s">
        <v>38</v>
      </c>
      <c r="G553" s="2">
        <v>45825</v>
      </c>
      <c r="H553">
        <v>0.2</v>
      </c>
      <c r="I553" t="s">
        <v>72</v>
      </c>
      <c r="J553" t="s">
        <v>40</v>
      </c>
      <c r="K553" t="s">
        <v>41</v>
      </c>
      <c r="L553" t="s">
        <v>2605</v>
      </c>
      <c r="M553" t="s">
        <v>2606</v>
      </c>
      <c r="O553" t="s">
        <v>62</v>
      </c>
      <c r="P553" t="s">
        <v>63</v>
      </c>
      <c r="Q553">
        <v>0.190808281817446</v>
      </c>
      <c r="R553" t="s">
        <v>64</v>
      </c>
      <c r="S553" t="s">
        <v>65</v>
      </c>
      <c r="T553" t="s">
        <v>2691</v>
      </c>
      <c r="V553" t="s">
        <v>86</v>
      </c>
      <c r="X553" t="s">
        <v>1126</v>
      </c>
      <c r="Y553" t="s">
        <v>382</v>
      </c>
      <c r="Z553" t="s">
        <v>2623</v>
      </c>
      <c r="AA553" t="s">
        <v>110</v>
      </c>
      <c r="AB553" t="s">
        <v>41</v>
      </c>
      <c r="AJ553">
        <v>112.97530535328779</v>
      </c>
      <c r="AK553">
        <v>772.17680942418951</v>
      </c>
    </row>
    <row r="554" spans="1:37" x14ac:dyDescent="0.25">
      <c r="A554">
        <v>590</v>
      </c>
      <c r="B554" t="s">
        <v>3519</v>
      </c>
      <c r="C554" t="s">
        <v>376</v>
      </c>
      <c r="D554" t="s">
        <v>2604</v>
      </c>
      <c r="E554" t="s">
        <v>37</v>
      </c>
      <c r="F554" t="s">
        <v>38</v>
      </c>
      <c r="G554" s="2">
        <v>45825</v>
      </c>
      <c r="H554">
        <v>0.4</v>
      </c>
      <c r="I554" t="s">
        <v>72</v>
      </c>
      <c r="J554" t="s">
        <v>40</v>
      </c>
      <c r="K554" t="s">
        <v>41</v>
      </c>
      <c r="L554" t="s">
        <v>2605</v>
      </c>
      <c r="M554" t="s">
        <v>2606</v>
      </c>
      <c r="O554" t="s">
        <v>62</v>
      </c>
      <c r="P554" t="s">
        <v>63</v>
      </c>
      <c r="Q554">
        <v>0.43139925563939602</v>
      </c>
      <c r="R554" t="s">
        <v>64</v>
      </c>
      <c r="S554" t="s">
        <v>65</v>
      </c>
      <c r="T554" t="s">
        <v>3452</v>
      </c>
      <c r="V554" t="s">
        <v>86</v>
      </c>
      <c r="X554" t="s">
        <v>3453</v>
      </c>
      <c r="Y554" t="s">
        <v>382</v>
      </c>
      <c r="Z554" t="s">
        <v>2623</v>
      </c>
      <c r="AA554" t="s">
        <v>110</v>
      </c>
      <c r="AB554" t="s">
        <v>41</v>
      </c>
      <c r="AD554" t="s">
        <v>620</v>
      </c>
      <c r="AF554" t="s">
        <v>3513</v>
      </c>
      <c r="AJ554">
        <v>173.15670501002819</v>
      </c>
      <c r="AK554">
        <v>1745.8178315672119</v>
      </c>
    </row>
    <row r="555" spans="1:37" x14ac:dyDescent="0.25">
      <c r="A555">
        <v>591</v>
      </c>
      <c r="B555" t="s">
        <v>3520</v>
      </c>
      <c r="C555" t="s">
        <v>376</v>
      </c>
      <c r="D555" t="s">
        <v>2604</v>
      </c>
      <c r="E555" t="s">
        <v>37</v>
      </c>
      <c r="F555" t="s">
        <v>38</v>
      </c>
      <c r="G555" s="2">
        <v>45825</v>
      </c>
      <c r="H555">
        <v>0.1</v>
      </c>
      <c r="I555" t="s">
        <v>72</v>
      </c>
      <c r="J555" t="s">
        <v>40</v>
      </c>
      <c r="K555" t="s">
        <v>41</v>
      </c>
      <c r="L555" t="s">
        <v>2605</v>
      </c>
      <c r="M555" t="s">
        <v>2606</v>
      </c>
      <c r="O555" t="s">
        <v>62</v>
      </c>
      <c r="P555" t="s">
        <v>63</v>
      </c>
      <c r="Q555">
        <v>0.1043814188467742</v>
      </c>
      <c r="R555" t="s">
        <v>64</v>
      </c>
      <c r="S555" t="s">
        <v>65</v>
      </c>
      <c r="T555" t="s">
        <v>3452</v>
      </c>
      <c r="V555" t="s">
        <v>86</v>
      </c>
      <c r="X555" t="s">
        <v>3453</v>
      </c>
      <c r="Y555" t="s">
        <v>382</v>
      </c>
      <c r="Z555" t="s">
        <v>2623</v>
      </c>
      <c r="AA555" t="s">
        <v>618</v>
      </c>
      <c r="AB555" t="s">
        <v>41</v>
      </c>
      <c r="AD555" t="s">
        <v>620</v>
      </c>
      <c r="AF555" t="s">
        <v>3513</v>
      </c>
      <c r="AJ555">
        <v>126.133430774256</v>
      </c>
      <c r="AK555">
        <v>422.41830491082231</v>
      </c>
    </row>
    <row r="556" spans="1:37" hidden="1" x14ac:dyDescent="0.25">
      <c r="A556">
        <v>570</v>
      </c>
      <c r="B556" t="s">
        <v>3493</v>
      </c>
      <c r="C556" t="s">
        <v>376</v>
      </c>
      <c r="D556" t="s">
        <v>2604</v>
      </c>
      <c r="E556" t="s">
        <v>37</v>
      </c>
      <c r="F556" t="s">
        <v>38</v>
      </c>
      <c r="G556" s="2">
        <v>45825</v>
      </c>
      <c r="H556">
        <v>2.6</v>
      </c>
      <c r="I556" t="s">
        <v>72</v>
      </c>
      <c r="J556" t="s">
        <v>40</v>
      </c>
      <c r="K556" t="s">
        <v>41</v>
      </c>
      <c r="L556" t="s">
        <v>2605</v>
      </c>
      <c r="M556" t="s">
        <v>2606</v>
      </c>
      <c r="O556" t="s">
        <v>402</v>
      </c>
      <c r="P556" t="s">
        <v>403</v>
      </c>
      <c r="Q556">
        <v>2.5454829725831769</v>
      </c>
      <c r="S556" t="s">
        <v>38</v>
      </c>
      <c r="T556" t="s">
        <v>3452</v>
      </c>
      <c r="V556" t="s">
        <v>118</v>
      </c>
      <c r="X556" t="s">
        <v>3453</v>
      </c>
      <c r="Y556" t="s">
        <v>382</v>
      </c>
      <c r="Z556" t="s">
        <v>2623</v>
      </c>
      <c r="AA556" t="s">
        <v>118</v>
      </c>
      <c r="AB556" t="s">
        <v>41</v>
      </c>
      <c r="AD556" t="s">
        <v>620</v>
      </c>
      <c r="AF556" t="s">
        <v>1268</v>
      </c>
      <c r="AJ556">
        <v>432.67519543898118</v>
      </c>
      <c r="AK556">
        <v>10301.24532064815</v>
      </c>
    </row>
    <row r="557" spans="1:37" hidden="1" x14ac:dyDescent="0.25">
      <c r="A557">
        <v>571</v>
      </c>
      <c r="B557" t="s">
        <v>3494</v>
      </c>
      <c r="C557" t="s">
        <v>376</v>
      </c>
      <c r="D557" t="s">
        <v>2604</v>
      </c>
      <c r="E557" t="s">
        <v>37</v>
      </c>
      <c r="F557" t="s">
        <v>38</v>
      </c>
      <c r="G557" s="2">
        <v>45825</v>
      </c>
      <c r="H557">
        <v>0.5</v>
      </c>
      <c r="I557" t="s">
        <v>72</v>
      </c>
      <c r="J557" t="s">
        <v>40</v>
      </c>
      <c r="K557" t="s">
        <v>41</v>
      </c>
      <c r="L557" t="s">
        <v>2605</v>
      </c>
      <c r="M557" t="s">
        <v>2606</v>
      </c>
      <c r="O557" t="s">
        <v>402</v>
      </c>
      <c r="P557" t="s">
        <v>403</v>
      </c>
      <c r="Q557">
        <v>0.44666859411313642</v>
      </c>
      <c r="S557" t="s">
        <v>38</v>
      </c>
      <c r="T557" t="s">
        <v>3452</v>
      </c>
      <c r="V557" t="s">
        <v>3462</v>
      </c>
      <c r="X557" t="s">
        <v>3453</v>
      </c>
      <c r="Y557" t="s">
        <v>382</v>
      </c>
      <c r="Z557" t="s">
        <v>2623</v>
      </c>
      <c r="AA557" t="s">
        <v>110</v>
      </c>
      <c r="AB557" t="s">
        <v>41</v>
      </c>
      <c r="AD557" t="s">
        <v>620</v>
      </c>
      <c r="AF557" t="s">
        <v>2307</v>
      </c>
      <c r="AJ557">
        <v>185.6232040356978</v>
      </c>
      <c r="AK557">
        <v>1807.610899207491</v>
      </c>
    </row>
    <row r="558" spans="1:37" hidden="1" x14ac:dyDescent="0.25">
      <c r="A558">
        <v>572</v>
      </c>
      <c r="B558" t="s">
        <v>3495</v>
      </c>
      <c r="C558" t="s">
        <v>376</v>
      </c>
      <c r="D558" t="s">
        <v>2604</v>
      </c>
      <c r="E558" t="s">
        <v>37</v>
      </c>
      <c r="F558" t="s">
        <v>38</v>
      </c>
      <c r="G558" s="2">
        <v>45825</v>
      </c>
      <c r="H558">
        <v>1.2</v>
      </c>
      <c r="I558" t="s">
        <v>72</v>
      </c>
      <c r="J558" t="s">
        <v>40</v>
      </c>
      <c r="K558" t="s">
        <v>41</v>
      </c>
      <c r="L558" t="s">
        <v>2605</v>
      </c>
      <c r="M558" t="s">
        <v>2606</v>
      </c>
      <c r="O558" t="s">
        <v>402</v>
      </c>
      <c r="P558" t="s">
        <v>403</v>
      </c>
      <c r="Q558">
        <v>1.1439024367641779</v>
      </c>
      <c r="S558" t="s">
        <v>38</v>
      </c>
      <c r="T558" t="s">
        <v>3452</v>
      </c>
      <c r="V558" t="s">
        <v>3496</v>
      </c>
      <c r="X558" t="s">
        <v>3453</v>
      </c>
      <c r="Y558" t="s">
        <v>382</v>
      </c>
      <c r="Z558" t="s">
        <v>2623</v>
      </c>
      <c r="AA558" t="s">
        <v>110</v>
      </c>
      <c r="AB558" t="s">
        <v>41</v>
      </c>
      <c r="AD558" t="s">
        <v>620</v>
      </c>
      <c r="AF558" t="s">
        <v>3497</v>
      </c>
      <c r="AJ558">
        <v>453.25921186928798</v>
      </c>
      <c r="AK558">
        <v>4629.2274397093652</v>
      </c>
    </row>
    <row r="559" spans="1:37" hidden="1" x14ac:dyDescent="0.25">
      <c r="A559">
        <v>573</v>
      </c>
      <c r="B559" t="s">
        <v>3498</v>
      </c>
      <c r="C559" t="s">
        <v>376</v>
      </c>
      <c r="D559" t="s">
        <v>2604</v>
      </c>
      <c r="E559" t="s">
        <v>37</v>
      </c>
      <c r="F559" t="s">
        <v>38</v>
      </c>
      <c r="G559" s="2">
        <v>45825</v>
      </c>
      <c r="H559">
        <v>8.86</v>
      </c>
      <c r="I559" t="s">
        <v>72</v>
      </c>
      <c r="J559" t="s">
        <v>40</v>
      </c>
      <c r="K559" t="s">
        <v>41</v>
      </c>
      <c r="L559" t="s">
        <v>2605</v>
      </c>
      <c r="M559" t="s">
        <v>2606</v>
      </c>
      <c r="O559" t="s">
        <v>402</v>
      </c>
      <c r="P559" t="s">
        <v>403</v>
      </c>
      <c r="Q559">
        <v>8.4033176252664603</v>
      </c>
      <c r="S559" t="s">
        <v>38</v>
      </c>
      <c r="T559" t="s">
        <v>3452</v>
      </c>
      <c r="V559" t="s">
        <v>86</v>
      </c>
      <c r="X559" t="s">
        <v>3453</v>
      </c>
      <c r="Y559" t="s">
        <v>382</v>
      </c>
      <c r="Z559" t="s">
        <v>2623</v>
      </c>
      <c r="AA559" t="s">
        <v>110</v>
      </c>
      <c r="AB559" t="s">
        <v>41</v>
      </c>
      <c r="AD559" t="s">
        <v>620</v>
      </c>
      <c r="AF559" t="s">
        <v>2423</v>
      </c>
      <c r="AJ559">
        <v>972.02453008570581</v>
      </c>
      <c r="AK559">
        <v>34007.155929764383</v>
      </c>
    </row>
    <row r="560" spans="1:37" x14ac:dyDescent="0.25">
      <c r="A560">
        <v>601</v>
      </c>
      <c r="B560" t="s">
        <v>3533</v>
      </c>
      <c r="C560" t="s">
        <v>376</v>
      </c>
      <c r="D560" t="s">
        <v>2604</v>
      </c>
      <c r="E560" t="s">
        <v>37</v>
      </c>
      <c r="F560" t="s">
        <v>38</v>
      </c>
      <c r="G560" s="2">
        <v>45825</v>
      </c>
      <c r="H560">
        <v>1.1000000000000001</v>
      </c>
      <c r="I560" t="s">
        <v>72</v>
      </c>
      <c r="J560" t="s">
        <v>40</v>
      </c>
      <c r="K560" t="s">
        <v>41</v>
      </c>
      <c r="L560" t="s">
        <v>2605</v>
      </c>
      <c r="M560" t="s">
        <v>2606</v>
      </c>
      <c r="O560" t="s">
        <v>62</v>
      </c>
      <c r="P560" t="s">
        <v>63</v>
      </c>
      <c r="Q560">
        <v>1.3170247552631571</v>
      </c>
      <c r="R560" t="s">
        <v>64</v>
      </c>
      <c r="S560" t="s">
        <v>65</v>
      </c>
      <c r="T560" t="s">
        <v>3534</v>
      </c>
      <c r="V560" t="s">
        <v>61</v>
      </c>
      <c r="X560" t="s">
        <v>3535</v>
      </c>
      <c r="Y560" t="s">
        <v>382</v>
      </c>
      <c r="Z560" t="s">
        <v>2623</v>
      </c>
      <c r="AA560" t="s">
        <v>50</v>
      </c>
      <c r="AB560" t="s">
        <v>41</v>
      </c>
      <c r="AD560" t="s">
        <v>3536</v>
      </c>
      <c r="AF560" t="s">
        <v>3537</v>
      </c>
      <c r="AJ560">
        <v>398.79743684393821</v>
      </c>
      <c r="AK560">
        <v>5329.8314086008086</v>
      </c>
    </row>
    <row r="561" spans="1:37" hidden="1" x14ac:dyDescent="0.25">
      <c r="A561">
        <v>575</v>
      </c>
      <c r="B561" t="s">
        <v>3500</v>
      </c>
      <c r="C561" t="s">
        <v>376</v>
      </c>
      <c r="D561" t="s">
        <v>2604</v>
      </c>
      <c r="E561" t="s">
        <v>37</v>
      </c>
      <c r="F561" t="s">
        <v>38</v>
      </c>
      <c r="G561" s="2">
        <v>45825</v>
      </c>
      <c r="H561">
        <v>16.600000000000001</v>
      </c>
      <c r="I561" t="s">
        <v>72</v>
      </c>
      <c r="J561" t="s">
        <v>40</v>
      </c>
      <c r="K561" t="s">
        <v>41</v>
      </c>
      <c r="L561" t="s">
        <v>2605</v>
      </c>
      <c r="M561" t="s">
        <v>2606</v>
      </c>
      <c r="O561" t="s">
        <v>402</v>
      </c>
      <c r="P561" t="s">
        <v>403</v>
      </c>
      <c r="Q561">
        <v>14.330293720940929</v>
      </c>
      <c r="S561" t="s">
        <v>38</v>
      </c>
      <c r="T561" t="s">
        <v>57</v>
      </c>
      <c r="V561" t="s">
        <v>3496</v>
      </c>
      <c r="X561" t="s">
        <v>3453</v>
      </c>
      <c r="Y561" t="s">
        <v>382</v>
      </c>
      <c r="Z561" t="s">
        <v>2623</v>
      </c>
      <c r="AA561" t="s">
        <v>110</v>
      </c>
      <c r="AB561" t="s">
        <v>41</v>
      </c>
      <c r="AD561" t="s">
        <v>620</v>
      </c>
      <c r="AF561" t="s">
        <v>3497</v>
      </c>
      <c r="AJ561">
        <v>1363.999012575548</v>
      </c>
      <c r="AK561">
        <v>57992.87315072881</v>
      </c>
    </row>
    <row r="562" spans="1:37" x14ac:dyDescent="0.25">
      <c r="A562">
        <v>602</v>
      </c>
      <c r="B562" t="s">
        <v>3538</v>
      </c>
      <c r="C562" t="s">
        <v>376</v>
      </c>
      <c r="D562" t="s">
        <v>2604</v>
      </c>
      <c r="E562" t="s">
        <v>37</v>
      </c>
      <c r="F562" t="s">
        <v>38</v>
      </c>
      <c r="G562" s="2">
        <v>45825</v>
      </c>
      <c r="H562">
        <v>0.1</v>
      </c>
      <c r="I562" t="s">
        <v>72</v>
      </c>
      <c r="J562" t="s">
        <v>40</v>
      </c>
      <c r="K562" t="s">
        <v>41</v>
      </c>
      <c r="L562" t="s">
        <v>2605</v>
      </c>
      <c r="M562" t="s">
        <v>2606</v>
      </c>
      <c r="O562" t="s">
        <v>62</v>
      </c>
      <c r="P562" t="s">
        <v>63</v>
      </c>
      <c r="Q562">
        <v>0.1181844548074578</v>
      </c>
      <c r="R562" t="s">
        <v>64</v>
      </c>
      <c r="S562" t="s">
        <v>65</v>
      </c>
      <c r="T562" t="s">
        <v>3534</v>
      </c>
      <c r="V562" t="s">
        <v>61</v>
      </c>
      <c r="X562" t="s">
        <v>3535</v>
      </c>
      <c r="Y562" t="s">
        <v>382</v>
      </c>
      <c r="Z562" t="s">
        <v>2623</v>
      </c>
      <c r="AA562" t="s">
        <v>681</v>
      </c>
      <c r="AB562" t="s">
        <v>41</v>
      </c>
      <c r="AD562" t="s">
        <v>3536</v>
      </c>
      <c r="AF562" t="s">
        <v>3537</v>
      </c>
      <c r="AJ562">
        <v>101.10855878730619</v>
      </c>
      <c r="AK562">
        <v>478.27743307322231</v>
      </c>
    </row>
    <row r="563" spans="1:37" x14ac:dyDescent="0.25">
      <c r="A563">
        <v>603</v>
      </c>
      <c r="B563" t="s">
        <v>3539</v>
      </c>
      <c r="C563" t="s">
        <v>376</v>
      </c>
      <c r="D563" t="s">
        <v>2604</v>
      </c>
      <c r="E563" t="s">
        <v>37</v>
      </c>
      <c r="F563" t="s">
        <v>38</v>
      </c>
      <c r="G563" s="2">
        <v>45825</v>
      </c>
      <c r="H563">
        <v>6.2</v>
      </c>
      <c r="I563" t="s">
        <v>72</v>
      </c>
      <c r="J563" t="s">
        <v>40</v>
      </c>
      <c r="K563" t="s">
        <v>41</v>
      </c>
      <c r="L563" t="s">
        <v>2605</v>
      </c>
      <c r="M563" t="s">
        <v>2606</v>
      </c>
      <c r="O563" t="s">
        <v>62</v>
      </c>
      <c r="P563" t="s">
        <v>63</v>
      </c>
      <c r="Q563">
        <v>6.4825441400073096</v>
      </c>
      <c r="R563" t="s">
        <v>64</v>
      </c>
      <c r="S563" t="s">
        <v>65</v>
      </c>
      <c r="T563" t="s">
        <v>3534</v>
      </c>
      <c r="V563" t="s">
        <v>3540</v>
      </c>
      <c r="X563" t="s">
        <v>3535</v>
      </c>
      <c r="Y563" t="s">
        <v>382</v>
      </c>
      <c r="Z563" t="s">
        <v>2623</v>
      </c>
      <c r="AA563" t="s">
        <v>712</v>
      </c>
      <c r="AB563" t="s">
        <v>41</v>
      </c>
      <c r="AD563" t="s">
        <v>3536</v>
      </c>
      <c r="AF563" t="s">
        <v>3537</v>
      </c>
      <c r="AJ563">
        <v>682.44568790910546</v>
      </c>
      <c r="AK563">
        <v>26234.030322496419</v>
      </c>
    </row>
    <row r="564" spans="1:37" x14ac:dyDescent="0.25">
      <c r="A564">
        <v>604</v>
      </c>
      <c r="B564" t="s">
        <v>3541</v>
      </c>
      <c r="C564" t="s">
        <v>376</v>
      </c>
      <c r="D564" t="s">
        <v>2604</v>
      </c>
      <c r="E564" t="s">
        <v>37</v>
      </c>
      <c r="F564" t="s">
        <v>38</v>
      </c>
      <c r="G564" s="2">
        <v>45825</v>
      </c>
      <c r="H564">
        <v>4.2</v>
      </c>
      <c r="I564" t="s">
        <v>72</v>
      </c>
      <c r="J564" t="s">
        <v>40</v>
      </c>
      <c r="K564" t="s">
        <v>41</v>
      </c>
      <c r="L564" t="s">
        <v>2605</v>
      </c>
      <c r="M564" t="s">
        <v>2606</v>
      </c>
      <c r="O564" t="s">
        <v>62</v>
      </c>
      <c r="P564" t="s">
        <v>63</v>
      </c>
      <c r="Q564">
        <v>4.5142251903331863</v>
      </c>
      <c r="R564" t="s">
        <v>64</v>
      </c>
      <c r="S564" t="s">
        <v>65</v>
      </c>
      <c r="T564" t="s">
        <v>3534</v>
      </c>
      <c r="V564" t="s">
        <v>3540</v>
      </c>
      <c r="X564" t="s">
        <v>3535</v>
      </c>
      <c r="Y564" t="s">
        <v>382</v>
      </c>
      <c r="Z564" t="s">
        <v>2623</v>
      </c>
      <c r="AA564" t="s">
        <v>563</v>
      </c>
      <c r="AB564" t="s">
        <v>41</v>
      </c>
      <c r="AD564" t="s">
        <v>3536</v>
      </c>
      <c r="AF564" t="s">
        <v>3537</v>
      </c>
      <c r="AJ564">
        <v>637.53567203466037</v>
      </c>
      <c r="AK564">
        <v>18268.49427756375</v>
      </c>
    </row>
    <row r="565" spans="1:37" x14ac:dyDescent="0.25">
      <c r="A565">
        <v>605</v>
      </c>
      <c r="B565" t="s">
        <v>3542</v>
      </c>
      <c r="C565" t="s">
        <v>376</v>
      </c>
      <c r="D565" t="s">
        <v>2604</v>
      </c>
      <c r="E565" t="s">
        <v>37</v>
      </c>
      <c r="F565" t="s">
        <v>38</v>
      </c>
      <c r="G565" s="2">
        <v>45825</v>
      </c>
      <c r="H565">
        <v>0.2</v>
      </c>
      <c r="I565" t="s">
        <v>72</v>
      </c>
      <c r="J565" t="s">
        <v>40</v>
      </c>
      <c r="K565" t="s">
        <v>41</v>
      </c>
      <c r="L565" t="s">
        <v>2605</v>
      </c>
      <c r="M565" t="s">
        <v>2606</v>
      </c>
      <c r="O565" t="s">
        <v>62</v>
      </c>
      <c r="P565" t="s">
        <v>63</v>
      </c>
      <c r="Q565">
        <v>0.22160148054204601</v>
      </c>
      <c r="R565" t="s">
        <v>64</v>
      </c>
      <c r="S565" t="s">
        <v>65</v>
      </c>
      <c r="T565" t="s">
        <v>3534</v>
      </c>
      <c r="V565" t="s">
        <v>3540</v>
      </c>
      <c r="X565" t="s">
        <v>3535</v>
      </c>
      <c r="Y565" t="s">
        <v>382</v>
      </c>
      <c r="Z565" t="s">
        <v>2623</v>
      </c>
      <c r="AA565" t="s">
        <v>563</v>
      </c>
      <c r="AB565" t="s">
        <v>41</v>
      </c>
      <c r="AD565" t="s">
        <v>3536</v>
      </c>
      <c r="AF565" t="s">
        <v>3537</v>
      </c>
      <c r="AJ565">
        <v>249.32260586932739</v>
      </c>
      <c r="AK565">
        <v>896.79296191318792</v>
      </c>
    </row>
    <row r="566" spans="1:37" hidden="1" x14ac:dyDescent="0.25">
      <c r="A566">
        <v>580</v>
      </c>
      <c r="B566" t="s">
        <v>3506</v>
      </c>
      <c r="C566" t="s">
        <v>376</v>
      </c>
      <c r="D566" t="s">
        <v>2604</v>
      </c>
      <c r="E566" t="s">
        <v>37</v>
      </c>
      <c r="F566" t="s">
        <v>38</v>
      </c>
      <c r="G566" s="2">
        <v>45825</v>
      </c>
      <c r="H566">
        <v>17.399999999999999</v>
      </c>
      <c r="I566" t="s">
        <v>72</v>
      </c>
      <c r="J566" t="s">
        <v>40</v>
      </c>
      <c r="K566" t="s">
        <v>41</v>
      </c>
      <c r="L566" t="s">
        <v>2605</v>
      </c>
      <c r="M566" t="s">
        <v>2606</v>
      </c>
      <c r="O566" t="s">
        <v>402</v>
      </c>
      <c r="P566" t="s">
        <v>403</v>
      </c>
      <c r="Q566">
        <v>17.19666773275566</v>
      </c>
      <c r="S566" t="s">
        <v>38</v>
      </c>
      <c r="T566" t="s">
        <v>3452</v>
      </c>
      <c r="V566" t="s">
        <v>3496</v>
      </c>
      <c r="X566" t="s">
        <v>3453</v>
      </c>
      <c r="Y566" t="s">
        <v>382</v>
      </c>
      <c r="Z566" t="s">
        <v>2623</v>
      </c>
      <c r="AA566" t="s">
        <v>110</v>
      </c>
      <c r="AB566" t="s">
        <v>41</v>
      </c>
      <c r="AD566" t="s">
        <v>620</v>
      </c>
      <c r="AF566" t="s">
        <v>3507</v>
      </c>
      <c r="AJ566">
        <v>1449.811003036378</v>
      </c>
      <c r="AK566">
        <v>69592.723628797234</v>
      </c>
    </row>
    <row r="567" spans="1:37" x14ac:dyDescent="0.25">
      <c r="A567">
        <v>607</v>
      </c>
      <c r="B567" t="s">
        <v>3545</v>
      </c>
      <c r="C567" t="s">
        <v>376</v>
      </c>
      <c r="D567" t="s">
        <v>2604</v>
      </c>
      <c r="E567" t="s">
        <v>37</v>
      </c>
      <c r="F567" t="s">
        <v>38</v>
      </c>
      <c r="G567" s="2">
        <v>45825</v>
      </c>
      <c r="H567">
        <v>0.6</v>
      </c>
      <c r="I567" t="s">
        <v>72</v>
      </c>
      <c r="J567" t="s">
        <v>40</v>
      </c>
      <c r="K567" t="s">
        <v>41</v>
      </c>
      <c r="L567" t="s">
        <v>2605</v>
      </c>
      <c r="M567" t="s">
        <v>2606</v>
      </c>
      <c r="O567" t="s">
        <v>62</v>
      </c>
      <c r="P567" t="s">
        <v>63</v>
      </c>
      <c r="Q567">
        <v>0.69625699931942331</v>
      </c>
      <c r="R567" t="s">
        <v>64</v>
      </c>
      <c r="S567" t="s">
        <v>65</v>
      </c>
      <c r="T567" t="s">
        <v>3534</v>
      </c>
      <c r="V567" t="s">
        <v>61</v>
      </c>
      <c r="X567" t="s">
        <v>3546</v>
      </c>
      <c r="Y567" t="s">
        <v>382</v>
      </c>
      <c r="Z567" t="s">
        <v>2623</v>
      </c>
      <c r="AA567" t="s">
        <v>712</v>
      </c>
      <c r="AB567" t="s">
        <v>41</v>
      </c>
      <c r="AJ567">
        <v>216.1628883000316</v>
      </c>
      <c r="AK567">
        <v>2817.6633799790102</v>
      </c>
    </row>
    <row r="568" spans="1:37" hidden="1" x14ac:dyDescent="0.25">
      <c r="A568">
        <v>582</v>
      </c>
      <c r="B568" t="s">
        <v>3509</v>
      </c>
      <c r="C568" t="s">
        <v>376</v>
      </c>
      <c r="D568" t="s">
        <v>2604</v>
      </c>
      <c r="E568" t="s">
        <v>37</v>
      </c>
      <c r="F568" t="s">
        <v>38</v>
      </c>
      <c r="G568" s="2">
        <v>45825</v>
      </c>
      <c r="H568">
        <v>0.4</v>
      </c>
      <c r="I568" t="s">
        <v>72</v>
      </c>
      <c r="J568" t="s">
        <v>40</v>
      </c>
      <c r="K568" t="s">
        <v>41</v>
      </c>
      <c r="L568" t="s">
        <v>2605</v>
      </c>
      <c r="M568" t="s">
        <v>2606</v>
      </c>
      <c r="O568" t="s">
        <v>402</v>
      </c>
      <c r="P568" t="s">
        <v>403</v>
      </c>
      <c r="Q568">
        <v>0.40828575920802462</v>
      </c>
      <c r="S568" t="s">
        <v>38</v>
      </c>
      <c r="T568" t="s">
        <v>3452</v>
      </c>
      <c r="V568" t="s">
        <v>3496</v>
      </c>
      <c r="X568" t="s">
        <v>3453</v>
      </c>
      <c r="Y568" t="s">
        <v>382</v>
      </c>
      <c r="Z568" t="s">
        <v>2623</v>
      </c>
      <c r="AA568" t="s">
        <v>110</v>
      </c>
      <c r="AB568" t="s">
        <v>41</v>
      </c>
      <c r="AD568" t="s">
        <v>620</v>
      </c>
      <c r="AF568" t="s">
        <v>3510</v>
      </c>
      <c r="AJ568">
        <v>180.90832694283719</v>
      </c>
      <c r="AK568">
        <v>1652.2804559406691</v>
      </c>
    </row>
    <row r="569" spans="1:37" hidden="1" x14ac:dyDescent="0.25">
      <c r="A569">
        <v>583</v>
      </c>
      <c r="B569" t="s">
        <v>3511</v>
      </c>
      <c r="C569" t="s">
        <v>376</v>
      </c>
      <c r="D569" t="s">
        <v>2604</v>
      </c>
      <c r="E569" t="s">
        <v>37</v>
      </c>
      <c r="F569" t="s">
        <v>38</v>
      </c>
      <c r="G569" s="2">
        <v>45825</v>
      </c>
      <c r="H569">
        <v>8.6</v>
      </c>
      <c r="I569" t="s">
        <v>72</v>
      </c>
      <c r="J569" t="s">
        <v>40</v>
      </c>
      <c r="K569" t="s">
        <v>41</v>
      </c>
      <c r="L569" t="s">
        <v>2605</v>
      </c>
      <c r="M569" t="s">
        <v>2606</v>
      </c>
      <c r="O569" t="s">
        <v>402</v>
      </c>
      <c r="P569" t="s">
        <v>403</v>
      </c>
      <c r="Q569">
        <v>8.5129235510971402</v>
      </c>
      <c r="S569" t="s">
        <v>38</v>
      </c>
      <c r="T569" t="s">
        <v>3452</v>
      </c>
      <c r="V569" t="s">
        <v>3496</v>
      </c>
      <c r="X569" t="s">
        <v>3453</v>
      </c>
      <c r="Y569" t="s">
        <v>382</v>
      </c>
      <c r="Z569" t="s">
        <v>2623</v>
      </c>
      <c r="AA569" t="s">
        <v>110</v>
      </c>
      <c r="AB569" t="s">
        <v>41</v>
      </c>
      <c r="AD569" t="s">
        <v>620</v>
      </c>
      <c r="AF569" t="s">
        <v>3510</v>
      </c>
      <c r="AJ569">
        <v>780.03705625517989</v>
      </c>
      <c r="AK569">
        <v>34450.717148888471</v>
      </c>
    </row>
    <row r="570" spans="1:37" hidden="1" x14ac:dyDescent="0.25">
      <c r="A570">
        <v>584</v>
      </c>
      <c r="B570" t="s">
        <v>3512</v>
      </c>
      <c r="C570" t="s">
        <v>376</v>
      </c>
      <c r="D570" t="s">
        <v>2604</v>
      </c>
      <c r="E570" t="s">
        <v>37</v>
      </c>
      <c r="F570" t="s">
        <v>38</v>
      </c>
      <c r="G570" s="2">
        <v>45825</v>
      </c>
      <c r="H570">
        <v>0.6</v>
      </c>
      <c r="I570" t="s">
        <v>72</v>
      </c>
      <c r="J570" t="s">
        <v>40</v>
      </c>
      <c r="K570" t="s">
        <v>41</v>
      </c>
      <c r="L570" t="s">
        <v>2605</v>
      </c>
      <c r="M570" t="s">
        <v>2606</v>
      </c>
      <c r="O570" t="s">
        <v>402</v>
      </c>
      <c r="P570" t="s">
        <v>403</v>
      </c>
      <c r="Q570">
        <v>0.58423582785256489</v>
      </c>
      <c r="S570" t="s">
        <v>38</v>
      </c>
      <c r="T570" t="s">
        <v>3452</v>
      </c>
      <c r="V570" t="s">
        <v>3496</v>
      </c>
      <c r="X570" t="s">
        <v>3453</v>
      </c>
      <c r="Y570" t="s">
        <v>382</v>
      </c>
      <c r="Z570" t="s">
        <v>2623</v>
      </c>
      <c r="AA570" t="s">
        <v>110</v>
      </c>
      <c r="AB570" t="s">
        <v>41</v>
      </c>
      <c r="AD570" t="s">
        <v>620</v>
      </c>
      <c r="AF570" t="s">
        <v>3513</v>
      </c>
      <c r="AJ570">
        <v>187.93499536614351</v>
      </c>
      <c r="AK570">
        <v>2364.3279694437529</v>
      </c>
    </row>
    <row r="571" spans="1:37" hidden="1" x14ac:dyDescent="0.25">
      <c r="A571">
        <v>585</v>
      </c>
      <c r="B571" t="s">
        <v>3514</v>
      </c>
      <c r="C571" t="s">
        <v>376</v>
      </c>
      <c r="D571" t="s">
        <v>2604</v>
      </c>
      <c r="E571" t="s">
        <v>37</v>
      </c>
      <c r="F571" t="s">
        <v>38</v>
      </c>
      <c r="G571" s="2">
        <v>45825</v>
      </c>
      <c r="H571">
        <v>2.7</v>
      </c>
      <c r="I571" t="s">
        <v>72</v>
      </c>
      <c r="J571" t="s">
        <v>40</v>
      </c>
      <c r="K571" t="s">
        <v>41</v>
      </c>
      <c r="L571" t="s">
        <v>2605</v>
      </c>
      <c r="M571" t="s">
        <v>2606</v>
      </c>
      <c r="O571" t="s">
        <v>402</v>
      </c>
      <c r="P571" t="s">
        <v>403</v>
      </c>
      <c r="Q571">
        <v>2.7163183473142429</v>
      </c>
      <c r="S571" t="s">
        <v>38</v>
      </c>
      <c r="T571" t="s">
        <v>3456</v>
      </c>
      <c r="V571" t="s">
        <v>86</v>
      </c>
      <c r="X571" t="s">
        <v>3457</v>
      </c>
      <c r="Y571" t="s">
        <v>382</v>
      </c>
      <c r="Z571" t="s">
        <v>2623</v>
      </c>
      <c r="AA571" t="s">
        <v>110</v>
      </c>
      <c r="AB571" t="s">
        <v>41</v>
      </c>
      <c r="AD571" t="s">
        <v>620</v>
      </c>
      <c r="AF571" t="s">
        <v>2667</v>
      </c>
      <c r="AJ571">
        <v>509.89475561540212</v>
      </c>
      <c r="AK571">
        <v>10992.594319444899</v>
      </c>
    </row>
    <row r="572" spans="1:37" hidden="1" x14ac:dyDescent="0.25">
      <c r="A572">
        <v>586</v>
      </c>
      <c r="B572" t="s">
        <v>3515</v>
      </c>
      <c r="C572" t="s">
        <v>376</v>
      </c>
      <c r="D572" t="s">
        <v>2604</v>
      </c>
      <c r="E572" t="s">
        <v>37</v>
      </c>
      <c r="F572" t="s">
        <v>38</v>
      </c>
      <c r="G572" s="2">
        <v>45825</v>
      </c>
      <c r="H572">
        <v>4.2</v>
      </c>
      <c r="I572" t="s">
        <v>72</v>
      </c>
      <c r="J572" t="s">
        <v>40</v>
      </c>
      <c r="K572" t="s">
        <v>41</v>
      </c>
      <c r="L572" t="s">
        <v>2605</v>
      </c>
      <c r="M572" t="s">
        <v>2606</v>
      </c>
      <c r="O572" t="s">
        <v>402</v>
      </c>
      <c r="P572" t="s">
        <v>403</v>
      </c>
      <c r="Q572">
        <v>4.1321578155676164</v>
      </c>
      <c r="S572" t="s">
        <v>38</v>
      </c>
      <c r="T572" t="s">
        <v>3456</v>
      </c>
      <c r="V572" t="s">
        <v>86</v>
      </c>
      <c r="X572" t="s">
        <v>3457</v>
      </c>
      <c r="Y572" t="s">
        <v>382</v>
      </c>
      <c r="Z572" t="s">
        <v>2623</v>
      </c>
      <c r="AA572" t="s">
        <v>110</v>
      </c>
      <c r="AB572" t="s">
        <v>41</v>
      </c>
      <c r="AD572" t="s">
        <v>620</v>
      </c>
      <c r="AF572" t="s">
        <v>2667</v>
      </c>
      <c r="AJ572">
        <v>570.55457272788055</v>
      </c>
      <c r="AK572">
        <v>16722.3162834984</v>
      </c>
    </row>
    <row r="573" spans="1:37" hidden="1" x14ac:dyDescent="0.25">
      <c r="A573">
        <v>587</v>
      </c>
      <c r="B573" t="s">
        <v>3516</v>
      </c>
      <c r="C573" t="s">
        <v>376</v>
      </c>
      <c r="D573" t="s">
        <v>2604</v>
      </c>
      <c r="E573" t="s">
        <v>37</v>
      </c>
      <c r="F573" t="s">
        <v>38</v>
      </c>
      <c r="G573" s="2">
        <v>45825</v>
      </c>
      <c r="H573">
        <v>1.7</v>
      </c>
      <c r="I573" t="s">
        <v>72</v>
      </c>
      <c r="J573" t="s">
        <v>40</v>
      </c>
      <c r="K573" t="s">
        <v>41</v>
      </c>
      <c r="L573" t="s">
        <v>2605</v>
      </c>
      <c r="M573" t="s">
        <v>2606</v>
      </c>
      <c r="O573" t="s">
        <v>402</v>
      </c>
      <c r="P573" t="s">
        <v>403</v>
      </c>
      <c r="Q573">
        <v>1.712189146421861</v>
      </c>
      <c r="S573" t="s">
        <v>38</v>
      </c>
      <c r="T573" t="s">
        <v>3452</v>
      </c>
      <c r="V573" t="s">
        <v>86</v>
      </c>
      <c r="X573" t="s">
        <v>3453</v>
      </c>
      <c r="Y573" t="s">
        <v>382</v>
      </c>
      <c r="Z573" t="s">
        <v>2623</v>
      </c>
      <c r="AA573" t="s">
        <v>110</v>
      </c>
      <c r="AB573" t="s">
        <v>41</v>
      </c>
      <c r="AD573" t="s">
        <v>620</v>
      </c>
      <c r="AF573" t="s">
        <v>3513</v>
      </c>
      <c r="AJ573">
        <v>349.20282554155818</v>
      </c>
      <c r="AK573">
        <v>6929.0113595786061</v>
      </c>
    </row>
    <row r="574" spans="1:37" hidden="1" x14ac:dyDescent="0.25">
      <c r="A574">
        <v>588</v>
      </c>
      <c r="B574" t="s">
        <v>3517</v>
      </c>
      <c r="C574" t="s">
        <v>376</v>
      </c>
      <c r="D574" t="s">
        <v>2604</v>
      </c>
      <c r="E574" t="s">
        <v>37</v>
      </c>
      <c r="F574" t="s">
        <v>38</v>
      </c>
      <c r="G574" s="2">
        <v>45825</v>
      </c>
      <c r="H574">
        <v>3.8</v>
      </c>
      <c r="I574" t="s">
        <v>72</v>
      </c>
      <c r="J574" t="s">
        <v>40</v>
      </c>
      <c r="K574" t="s">
        <v>41</v>
      </c>
      <c r="L574" t="s">
        <v>2605</v>
      </c>
      <c r="M574" t="s">
        <v>2606</v>
      </c>
      <c r="O574" t="s">
        <v>402</v>
      </c>
      <c r="P574" t="s">
        <v>403</v>
      </c>
      <c r="Q574">
        <v>3.7187237166992708</v>
      </c>
      <c r="S574" t="s">
        <v>38</v>
      </c>
      <c r="T574" t="s">
        <v>3456</v>
      </c>
      <c r="V574" t="s">
        <v>86</v>
      </c>
      <c r="X574" t="s">
        <v>3457</v>
      </c>
      <c r="Y574" t="s">
        <v>382</v>
      </c>
      <c r="Z574" t="s">
        <v>2623</v>
      </c>
      <c r="AA574" t="s">
        <v>110</v>
      </c>
      <c r="AB574" t="s">
        <v>41</v>
      </c>
      <c r="AD574" t="s">
        <v>620</v>
      </c>
      <c r="AF574" t="s">
        <v>2667</v>
      </c>
      <c r="AJ574">
        <v>520.2664934827983</v>
      </c>
      <c r="AK574">
        <v>15049.20115280006</v>
      </c>
    </row>
    <row r="575" spans="1:37" hidden="1" x14ac:dyDescent="0.25">
      <c r="A575">
        <v>589</v>
      </c>
      <c r="B575" t="s">
        <v>3518</v>
      </c>
      <c r="C575" t="s">
        <v>376</v>
      </c>
      <c r="D575" t="s">
        <v>2604</v>
      </c>
      <c r="E575" t="s">
        <v>37</v>
      </c>
      <c r="F575" t="s">
        <v>38</v>
      </c>
      <c r="G575" s="2">
        <v>45825</v>
      </c>
      <c r="H575">
        <v>1</v>
      </c>
      <c r="I575" t="s">
        <v>72</v>
      </c>
      <c r="J575" t="s">
        <v>40</v>
      </c>
      <c r="K575" t="s">
        <v>41</v>
      </c>
      <c r="L575" t="s">
        <v>2605</v>
      </c>
      <c r="M575" t="s">
        <v>2606</v>
      </c>
      <c r="O575" t="s">
        <v>402</v>
      </c>
      <c r="P575" t="s">
        <v>403</v>
      </c>
      <c r="Q575">
        <v>1.0400087598529251</v>
      </c>
      <c r="S575" t="s">
        <v>38</v>
      </c>
      <c r="T575" t="s">
        <v>3456</v>
      </c>
      <c r="V575" t="s">
        <v>86</v>
      </c>
      <c r="X575" t="s">
        <v>3457</v>
      </c>
      <c r="Y575" t="s">
        <v>382</v>
      </c>
      <c r="Z575" t="s">
        <v>2623</v>
      </c>
      <c r="AA575" t="s">
        <v>110</v>
      </c>
      <c r="AB575" t="s">
        <v>41</v>
      </c>
      <c r="AD575" t="s">
        <v>620</v>
      </c>
      <c r="AF575" t="s">
        <v>2667</v>
      </c>
      <c r="AJ575">
        <v>319.07001967318553</v>
      </c>
      <c r="AK575">
        <v>4208.7829642780907</v>
      </c>
    </row>
    <row r="576" spans="1:37" x14ac:dyDescent="0.25">
      <c r="A576">
        <v>608</v>
      </c>
      <c r="B576" t="s">
        <v>3547</v>
      </c>
      <c r="C576" t="s">
        <v>376</v>
      </c>
      <c r="D576" t="s">
        <v>2604</v>
      </c>
      <c r="E576" t="s">
        <v>37</v>
      </c>
      <c r="F576" t="s">
        <v>38</v>
      </c>
      <c r="G576" s="2">
        <v>45825</v>
      </c>
      <c r="H576">
        <v>11.8</v>
      </c>
      <c r="I576" t="s">
        <v>72</v>
      </c>
      <c r="J576" t="s">
        <v>40</v>
      </c>
      <c r="K576" t="s">
        <v>41</v>
      </c>
      <c r="L576" t="s">
        <v>2605</v>
      </c>
      <c r="M576" t="s">
        <v>2606</v>
      </c>
      <c r="O576" t="s">
        <v>62</v>
      </c>
      <c r="P576" t="s">
        <v>63</v>
      </c>
      <c r="Q576">
        <v>8.6185524779047302</v>
      </c>
      <c r="R576" t="s">
        <v>64</v>
      </c>
      <c r="S576" t="s">
        <v>65</v>
      </c>
      <c r="T576" t="s">
        <v>3548</v>
      </c>
      <c r="V576" t="s">
        <v>61</v>
      </c>
      <c r="X576" t="s">
        <v>3549</v>
      </c>
      <c r="Y576" t="s">
        <v>382</v>
      </c>
      <c r="Z576" t="s">
        <v>2623</v>
      </c>
      <c r="AA576" t="s">
        <v>712</v>
      </c>
      <c r="AB576" t="s">
        <v>41</v>
      </c>
      <c r="AD576" t="s">
        <v>620</v>
      </c>
      <c r="AF576" t="s">
        <v>3550</v>
      </c>
      <c r="AJ576">
        <v>754.46483675648574</v>
      </c>
      <c r="AK576">
        <v>34878.183959596507</v>
      </c>
    </row>
    <row r="577" spans="1:37" x14ac:dyDescent="0.25">
      <c r="A577">
        <v>612</v>
      </c>
      <c r="B577" t="s">
        <v>3556</v>
      </c>
      <c r="C577" t="s">
        <v>376</v>
      </c>
      <c r="D577" t="s">
        <v>2604</v>
      </c>
      <c r="E577" t="s">
        <v>37</v>
      </c>
      <c r="F577" t="s">
        <v>38</v>
      </c>
      <c r="G577" s="2">
        <v>45825</v>
      </c>
      <c r="H577">
        <v>2.8</v>
      </c>
      <c r="I577" t="s">
        <v>72</v>
      </c>
      <c r="J577" t="s">
        <v>40</v>
      </c>
      <c r="K577" t="s">
        <v>41</v>
      </c>
      <c r="L577" t="s">
        <v>2605</v>
      </c>
      <c r="M577" t="s">
        <v>2606</v>
      </c>
      <c r="O577" t="s">
        <v>62</v>
      </c>
      <c r="P577" t="s">
        <v>63</v>
      </c>
      <c r="Q577">
        <v>3.2648976745083762</v>
      </c>
      <c r="R577" t="s">
        <v>64</v>
      </c>
      <c r="S577" t="s">
        <v>65</v>
      </c>
      <c r="T577" t="s">
        <v>3548</v>
      </c>
      <c r="V577" t="s">
        <v>61</v>
      </c>
      <c r="X577" t="s">
        <v>3549</v>
      </c>
      <c r="Y577" t="s">
        <v>382</v>
      </c>
      <c r="Z577" t="s">
        <v>2623</v>
      </c>
      <c r="AA577" t="s">
        <v>860</v>
      </c>
      <c r="AB577" t="s">
        <v>41</v>
      </c>
      <c r="AD577" t="s">
        <v>620</v>
      </c>
      <c r="AF577" t="s">
        <v>3550</v>
      </c>
      <c r="AJ577">
        <v>551.28462640470752</v>
      </c>
      <c r="AK577">
        <v>13212.62497301009</v>
      </c>
    </row>
    <row r="578" spans="1:37" hidden="1" x14ac:dyDescent="0.25">
      <c r="A578">
        <v>592</v>
      </c>
      <c r="B578" t="s">
        <v>3521</v>
      </c>
      <c r="C578" t="s">
        <v>376</v>
      </c>
      <c r="D578" t="s">
        <v>2604</v>
      </c>
      <c r="E578" t="s">
        <v>37</v>
      </c>
      <c r="F578" t="s">
        <v>38</v>
      </c>
      <c r="G578" s="2">
        <v>45825</v>
      </c>
      <c r="H578">
        <v>9.1999999999999993</v>
      </c>
      <c r="I578" t="s">
        <v>72</v>
      </c>
      <c r="J578" t="s">
        <v>40</v>
      </c>
      <c r="K578" t="s">
        <v>41</v>
      </c>
      <c r="L578" t="s">
        <v>2605</v>
      </c>
      <c r="M578" t="s">
        <v>2606</v>
      </c>
      <c r="O578" t="s">
        <v>402</v>
      </c>
      <c r="P578" t="s">
        <v>403</v>
      </c>
      <c r="Q578">
        <v>9.3421843826068898</v>
      </c>
      <c r="S578" t="s">
        <v>38</v>
      </c>
      <c r="T578" t="s">
        <v>3456</v>
      </c>
      <c r="V578" t="s">
        <v>86</v>
      </c>
      <c r="X578" t="s">
        <v>3457</v>
      </c>
      <c r="Y578" t="s">
        <v>382</v>
      </c>
      <c r="Z578" t="s">
        <v>2623</v>
      </c>
      <c r="AA578" t="s">
        <v>618</v>
      </c>
      <c r="AB578" t="s">
        <v>41</v>
      </c>
      <c r="AD578" t="s">
        <v>620</v>
      </c>
      <c r="AF578" t="s">
        <v>2667</v>
      </c>
      <c r="AJ578">
        <v>827.70363931018392</v>
      </c>
      <c r="AK578">
        <v>37806.630094366818</v>
      </c>
    </row>
    <row r="579" spans="1:37" hidden="1" x14ac:dyDescent="0.25">
      <c r="A579">
        <v>593</v>
      </c>
      <c r="B579" t="s">
        <v>3522</v>
      </c>
      <c r="C579" t="s">
        <v>376</v>
      </c>
      <c r="D579" t="s">
        <v>2604</v>
      </c>
      <c r="E579" t="s">
        <v>37</v>
      </c>
      <c r="F579" t="s">
        <v>38</v>
      </c>
      <c r="G579" s="2">
        <v>45825</v>
      </c>
      <c r="H579">
        <v>14.7</v>
      </c>
      <c r="I579" t="s">
        <v>72</v>
      </c>
      <c r="J579" t="s">
        <v>40</v>
      </c>
      <c r="K579" t="s">
        <v>41</v>
      </c>
      <c r="L579" t="s">
        <v>2605</v>
      </c>
      <c r="M579" t="s">
        <v>2606</v>
      </c>
      <c r="O579" t="s">
        <v>402</v>
      </c>
      <c r="P579" t="s">
        <v>403</v>
      </c>
      <c r="Q579">
        <v>14.735051158957541</v>
      </c>
      <c r="S579" t="s">
        <v>38</v>
      </c>
      <c r="T579" t="s">
        <v>3456</v>
      </c>
      <c r="V579" t="s">
        <v>86</v>
      </c>
      <c r="X579" t="s">
        <v>3457</v>
      </c>
      <c r="Y579" t="s">
        <v>382</v>
      </c>
      <c r="Z579" t="s">
        <v>2623</v>
      </c>
      <c r="AA579" t="s">
        <v>618</v>
      </c>
      <c r="AB579" t="s">
        <v>41</v>
      </c>
      <c r="AD579" t="s">
        <v>620</v>
      </c>
      <c r="AF579" t="s">
        <v>2667</v>
      </c>
      <c r="AJ579">
        <v>1024.362962366569</v>
      </c>
      <c r="AK579">
        <v>59630.874940281101</v>
      </c>
    </row>
    <row r="580" spans="1:37" hidden="1" x14ac:dyDescent="0.25">
      <c r="A580">
        <v>594</v>
      </c>
      <c r="B580" t="s">
        <v>3523</v>
      </c>
      <c r="C580" t="s">
        <v>376</v>
      </c>
      <c r="D580" t="s">
        <v>2604</v>
      </c>
      <c r="E580" t="s">
        <v>37</v>
      </c>
      <c r="F580" t="s">
        <v>38</v>
      </c>
      <c r="G580" s="2">
        <v>45825</v>
      </c>
      <c r="H580">
        <v>18</v>
      </c>
      <c r="I580" t="s">
        <v>72</v>
      </c>
      <c r="J580" t="s">
        <v>40</v>
      </c>
      <c r="K580" t="s">
        <v>41</v>
      </c>
      <c r="L580" t="s">
        <v>2605</v>
      </c>
      <c r="M580" t="s">
        <v>2606</v>
      </c>
      <c r="O580" t="s">
        <v>79</v>
      </c>
      <c r="P580" t="s">
        <v>80</v>
      </c>
      <c r="Q580">
        <v>17.951143464973029</v>
      </c>
      <c r="R580" t="s">
        <v>46</v>
      </c>
      <c r="S580" t="s">
        <v>47</v>
      </c>
      <c r="T580" t="s">
        <v>3524</v>
      </c>
      <c r="V580" t="s">
        <v>3496</v>
      </c>
      <c r="X580" t="s">
        <v>3525</v>
      </c>
      <c r="Y580" t="s">
        <v>382</v>
      </c>
      <c r="Z580" t="s">
        <v>2623</v>
      </c>
      <c r="AA580" t="s">
        <v>618</v>
      </c>
      <c r="AB580" t="s">
        <v>41</v>
      </c>
      <c r="AD580" t="s">
        <v>620</v>
      </c>
      <c r="AF580" t="s">
        <v>3526</v>
      </c>
      <c r="AJ580">
        <v>1338.3090559316911</v>
      </c>
      <c r="AK580">
        <v>72645.9908043225</v>
      </c>
    </row>
    <row r="581" spans="1:37" hidden="1" x14ac:dyDescent="0.25">
      <c r="A581">
        <v>595</v>
      </c>
      <c r="B581" t="s">
        <v>3527</v>
      </c>
      <c r="C581" t="s">
        <v>376</v>
      </c>
      <c r="D581" t="s">
        <v>2604</v>
      </c>
      <c r="E581" t="s">
        <v>37</v>
      </c>
      <c r="F581" t="s">
        <v>38</v>
      </c>
      <c r="G581" s="2">
        <v>45825</v>
      </c>
      <c r="H581">
        <v>2.7</v>
      </c>
      <c r="I581" t="s">
        <v>72</v>
      </c>
      <c r="J581" t="s">
        <v>40</v>
      </c>
      <c r="K581" t="s">
        <v>41</v>
      </c>
      <c r="L581" t="s">
        <v>2605</v>
      </c>
      <c r="M581" t="s">
        <v>2606</v>
      </c>
      <c r="O581" t="s">
        <v>402</v>
      </c>
      <c r="P581" t="s">
        <v>403</v>
      </c>
      <c r="Q581">
        <v>2.7472725669799249</v>
      </c>
      <c r="S581" t="s">
        <v>38</v>
      </c>
      <c r="T581" t="s">
        <v>3456</v>
      </c>
      <c r="V581" t="s">
        <v>86</v>
      </c>
      <c r="X581" t="s">
        <v>3457</v>
      </c>
      <c r="Y581" t="s">
        <v>382</v>
      </c>
      <c r="Z581" t="s">
        <v>2623</v>
      </c>
      <c r="AA581" t="s">
        <v>618</v>
      </c>
      <c r="AB581" t="s">
        <v>41</v>
      </c>
      <c r="AD581" t="s">
        <v>620</v>
      </c>
      <c r="AF581" t="s">
        <v>2667</v>
      </c>
      <c r="AJ581">
        <v>498.14703641279522</v>
      </c>
      <c r="AK581">
        <v>11117.86210316998</v>
      </c>
    </row>
    <row r="582" spans="1:37" hidden="1" x14ac:dyDescent="0.25">
      <c r="A582">
        <v>596</v>
      </c>
      <c r="B582" t="s">
        <v>3528</v>
      </c>
      <c r="C582" t="s">
        <v>376</v>
      </c>
      <c r="D582" t="s">
        <v>2604</v>
      </c>
      <c r="E582" t="s">
        <v>37</v>
      </c>
      <c r="F582" t="s">
        <v>38</v>
      </c>
      <c r="G582" s="2">
        <v>45825</v>
      </c>
      <c r="H582">
        <v>21.4</v>
      </c>
      <c r="I582" t="s">
        <v>72</v>
      </c>
      <c r="J582" t="s">
        <v>40</v>
      </c>
      <c r="K582" t="s">
        <v>41</v>
      </c>
      <c r="L582" t="s">
        <v>2605</v>
      </c>
      <c r="M582" t="s">
        <v>2606</v>
      </c>
      <c r="O582" t="s">
        <v>402</v>
      </c>
      <c r="P582" t="s">
        <v>403</v>
      </c>
      <c r="Q582">
        <v>21.35383405329803</v>
      </c>
      <c r="S582" t="s">
        <v>38</v>
      </c>
      <c r="T582" t="s">
        <v>3456</v>
      </c>
      <c r="V582" t="s">
        <v>86</v>
      </c>
      <c r="X582" t="s">
        <v>3457</v>
      </c>
      <c r="Y582" t="s">
        <v>382</v>
      </c>
      <c r="Z582" t="s">
        <v>2623</v>
      </c>
      <c r="AA582" t="s">
        <v>618</v>
      </c>
      <c r="AB582" t="s">
        <v>41</v>
      </c>
      <c r="AD582" t="s">
        <v>620</v>
      </c>
      <c r="AF582" t="s">
        <v>2667</v>
      </c>
      <c r="AJ582">
        <v>1507.3564125746129</v>
      </c>
      <c r="AK582">
        <v>86416.246146091871</v>
      </c>
    </row>
    <row r="583" spans="1:37" hidden="1" x14ac:dyDescent="0.25">
      <c r="A583">
        <v>597</v>
      </c>
      <c r="B583" t="s">
        <v>3529</v>
      </c>
      <c r="C583" t="s">
        <v>376</v>
      </c>
      <c r="D583" t="s">
        <v>2604</v>
      </c>
      <c r="E583" t="s">
        <v>37</v>
      </c>
      <c r="F583" t="s">
        <v>38</v>
      </c>
      <c r="G583" s="2">
        <v>45825</v>
      </c>
      <c r="H583">
        <v>3</v>
      </c>
      <c r="I583" t="s">
        <v>72</v>
      </c>
      <c r="J583" t="s">
        <v>40</v>
      </c>
      <c r="K583" t="s">
        <v>41</v>
      </c>
      <c r="L583" t="s">
        <v>2605</v>
      </c>
      <c r="M583" t="s">
        <v>2606</v>
      </c>
      <c r="O583" t="s">
        <v>402</v>
      </c>
      <c r="P583" t="s">
        <v>403</v>
      </c>
      <c r="Q583">
        <v>2.8535874240587629</v>
      </c>
      <c r="S583" t="s">
        <v>38</v>
      </c>
      <c r="T583" t="s">
        <v>3456</v>
      </c>
      <c r="V583" t="s">
        <v>86</v>
      </c>
      <c r="X583" t="s">
        <v>3457</v>
      </c>
      <c r="Y583" t="s">
        <v>382</v>
      </c>
      <c r="Z583" t="s">
        <v>2623</v>
      </c>
      <c r="AA583" t="s">
        <v>618</v>
      </c>
      <c r="AB583" t="s">
        <v>41</v>
      </c>
      <c r="AD583" t="s">
        <v>620</v>
      </c>
      <c r="AF583" t="s">
        <v>2667</v>
      </c>
      <c r="AJ583">
        <v>603.73046637911909</v>
      </c>
      <c r="AK583">
        <v>11548.10478630503</v>
      </c>
    </row>
    <row r="584" spans="1:37" hidden="1" x14ac:dyDescent="0.25">
      <c r="A584">
        <v>598</v>
      </c>
      <c r="B584" t="s">
        <v>3530</v>
      </c>
      <c r="C584" t="s">
        <v>376</v>
      </c>
      <c r="D584" t="s">
        <v>2604</v>
      </c>
      <c r="E584" t="s">
        <v>37</v>
      </c>
      <c r="F584" t="s">
        <v>38</v>
      </c>
      <c r="G584" s="2">
        <v>45825</v>
      </c>
      <c r="H584">
        <v>3.7</v>
      </c>
      <c r="I584" t="s">
        <v>72</v>
      </c>
      <c r="J584" t="s">
        <v>40</v>
      </c>
      <c r="K584" t="s">
        <v>41</v>
      </c>
      <c r="L584" t="s">
        <v>2605</v>
      </c>
      <c r="M584" t="s">
        <v>2606</v>
      </c>
      <c r="O584" t="s">
        <v>402</v>
      </c>
      <c r="P584" t="s">
        <v>403</v>
      </c>
      <c r="Q584">
        <v>3.676268684859326</v>
      </c>
      <c r="S584" t="s">
        <v>38</v>
      </c>
      <c r="T584" t="s">
        <v>3456</v>
      </c>
      <c r="V584" t="s">
        <v>86</v>
      </c>
      <c r="X584" t="s">
        <v>3457</v>
      </c>
      <c r="Y584" t="s">
        <v>382</v>
      </c>
      <c r="Z584" t="s">
        <v>2623</v>
      </c>
      <c r="AA584" t="s">
        <v>618</v>
      </c>
      <c r="AB584" t="s">
        <v>41</v>
      </c>
      <c r="AD584" t="s">
        <v>620</v>
      </c>
      <c r="AF584" t="s">
        <v>2667</v>
      </c>
      <c r="AJ584">
        <v>531.28401451712273</v>
      </c>
      <c r="AK584">
        <v>14877.39104729564</v>
      </c>
    </row>
    <row r="585" spans="1:37" hidden="1" x14ac:dyDescent="0.25">
      <c r="A585">
        <v>599</v>
      </c>
      <c r="B585" t="s">
        <v>3531</v>
      </c>
      <c r="C585" t="s">
        <v>376</v>
      </c>
      <c r="D585" t="s">
        <v>2604</v>
      </c>
      <c r="E585" t="s">
        <v>37</v>
      </c>
      <c r="F585" t="s">
        <v>38</v>
      </c>
      <c r="G585" s="2">
        <v>45825</v>
      </c>
      <c r="H585">
        <v>4.7</v>
      </c>
      <c r="I585" t="s">
        <v>72</v>
      </c>
      <c r="J585" t="s">
        <v>40</v>
      </c>
      <c r="K585" t="s">
        <v>41</v>
      </c>
      <c r="L585" t="s">
        <v>2605</v>
      </c>
      <c r="M585" t="s">
        <v>2606</v>
      </c>
      <c r="O585" t="s">
        <v>402</v>
      </c>
      <c r="P585" t="s">
        <v>403</v>
      </c>
      <c r="Q585">
        <v>4.6749205553790709</v>
      </c>
      <c r="S585" t="s">
        <v>38</v>
      </c>
      <c r="T585" t="s">
        <v>3456</v>
      </c>
      <c r="V585" t="s">
        <v>86</v>
      </c>
      <c r="X585" t="s">
        <v>3457</v>
      </c>
      <c r="Y585" t="s">
        <v>382</v>
      </c>
      <c r="Z585" t="s">
        <v>2623</v>
      </c>
      <c r="AA585" t="s">
        <v>618</v>
      </c>
      <c r="AB585" t="s">
        <v>41</v>
      </c>
      <c r="AD585" t="s">
        <v>620</v>
      </c>
      <c r="AF585" t="s">
        <v>2667</v>
      </c>
      <c r="AJ585">
        <v>636.86858770775609</v>
      </c>
      <c r="AK585">
        <v>18918.807948901689</v>
      </c>
    </row>
    <row r="586" spans="1:37" hidden="1" x14ac:dyDescent="0.25">
      <c r="A586">
        <v>600</v>
      </c>
      <c r="B586" t="s">
        <v>3532</v>
      </c>
      <c r="C586" t="s">
        <v>376</v>
      </c>
      <c r="D586" t="s">
        <v>2604</v>
      </c>
      <c r="E586" t="s">
        <v>37</v>
      </c>
      <c r="F586" t="s">
        <v>38</v>
      </c>
      <c r="G586" s="2">
        <v>45825</v>
      </c>
      <c r="H586">
        <v>22.8</v>
      </c>
      <c r="I586" t="s">
        <v>72</v>
      </c>
      <c r="J586" t="s">
        <v>40</v>
      </c>
      <c r="K586" t="s">
        <v>41</v>
      </c>
      <c r="L586" t="s">
        <v>2605</v>
      </c>
      <c r="M586" t="s">
        <v>2606</v>
      </c>
      <c r="O586" t="s">
        <v>79</v>
      </c>
      <c r="P586" t="s">
        <v>80</v>
      </c>
      <c r="Q586">
        <v>19.958048426777051</v>
      </c>
      <c r="R586" t="s">
        <v>46</v>
      </c>
      <c r="S586" t="s">
        <v>47</v>
      </c>
      <c r="T586" t="s">
        <v>3524</v>
      </c>
      <c r="V586" t="s">
        <v>3496</v>
      </c>
      <c r="X586" t="s">
        <v>3525</v>
      </c>
      <c r="Y586" t="s">
        <v>382</v>
      </c>
      <c r="Z586" t="s">
        <v>2623</v>
      </c>
      <c r="AA586" t="s">
        <v>618</v>
      </c>
      <c r="AB586" t="s">
        <v>41</v>
      </c>
      <c r="AD586" t="s">
        <v>620</v>
      </c>
      <c r="AF586" t="s">
        <v>3526</v>
      </c>
      <c r="AJ586">
        <v>1209.9834033152661</v>
      </c>
      <c r="AK586">
        <v>80767.67952486797</v>
      </c>
    </row>
    <row r="587" spans="1:37" x14ac:dyDescent="0.25">
      <c r="A587">
        <v>635</v>
      </c>
      <c r="B587" t="s">
        <v>3591</v>
      </c>
      <c r="C587" t="s">
        <v>376</v>
      </c>
      <c r="D587" t="s">
        <v>2604</v>
      </c>
      <c r="E587" t="s">
        <v>37</v>
      </c>
      <c r="F587" t="s">
        <v>38</v>
      </c>
      <c r="G587" s="2">
        <v>45825</v>
      </c>
      <c r="H587">
        <v>0.7</v>
      </c>
      <c r="I587" t="s">
        <v>72</v>
      </c>
      <c r="J587" t="s">
        <v>40</v>
      </c>
      <c r="K587" t="s">
        <v>41</v>
      </c>
      <c r="L587" t="s">
        <v>2605</v>
      </c>
      <c r="M587" t="s">
        <v>2606</v>
      </c>
      <c r="O587" t="s">
        <v>62</v>
      </c>
      <c r="P587" t="s">
        <v>63</v>
      </c>
      <c r="Q587">
        <v>0.7464142260702763</v>
      </c>
      <c r="R587" t="s">
        <v>64</v>
      </c>
      <c r="S587" t="s">
        <v>65</v>
      </c>
      <c r="T587" t="s">
        <v>3592</v>
      </c>
      <c r="V587" t="s">
        <v>76</v>
      </c>
      <c r="X587" t="s">
        <v>3572</v>
      </c>
      <c r="Y587" t="s">
        <v>382</v>
      </c>
      <c r="Z587" t="s">
        <v>2623</v>
      </c>
      <c r="AA587" t="s">
        <v>942</v>
      </c>
      <c r="AB587" t="s">
        <v>41</v>
      </c>
      <c r="AD587" t="s">
        <v>656</v>
      </c>
      <c r="AF587" t="s">
        <v>2667</v>
      </c>
      <c r="AJ587">
        <v>272.54354634599991</v>
      </c>
      <c r="AK587">
        <v>3020.6432871042889</v>
      </c>
    </row>
    <row r="588" spans="1:37" x14ac:dyDescent="0.25">
      <c r="A588">
        <v>654</v>
      </c>
      <c r="B588" t="s">
        <v>3619</v>
      </c>
      <c r="C588" t="s">
        <v>376</v>
      </c>
      <c r="D588" t="s">
        <v>2604</v>
      </c>
      <c r="E588" t="s">
        <v>37</v>
      </c>
      <c r="F588" t="s">
        <v>38</v>
      </c>
      <c r="G588" s="2">
        <v>45825</v>
      </c>
      <c r="H588">
        <v>5.0999999999999996</v>
      </c>
      <c r="I588" t="s">
        <v>72</v>
      </c>
      <c r="J588" t="s">
        <v>40</v>
      </c>
      <c r="K588" t="s">
        <v>41</v>
      </c>
      <c r="L588" t="s">
        <v>2605</v>
      </c>
      <c r="M588" t="s">
        <v>2606</v>
      </c>
      <c r="O588" t="s">
        <v>62</v>
      </c>
      <c r="P588" t="s">
        <v>63</v>
      </c>
      <c r="Q588">
        <v>5.4896551483624592</v>
      </c>
      <c r="R588" t="s">
        <v>64</v>
      </c>
      <c r="S588" t="s">
        <v>65</v>
      </c>
      <c r="T588" t="s">
        <v>3548</v>
      </c>
      <c r="V588" t="s">
        <v>3596</v>
      </c>
      <c r="X588" t="s">
        <v>3587</v>
      </c>
      <c r="Y588" t="s">
        <v>382</v>
      </c>
      <c r="Z588" t="s">
        <v>2623</v>
      </c>
      <c r="AA588" t="s">
        <v>121</v>
      </c>
      <c r="AB588" t="s">
        <v>41</v>
      </c>
      <c r="AD588" t="s">
        <v>620</v>
      </c>
      <c r="AF588" t="s">
        <v>3550</v>
      </c>
      <c r="AJ588">
        <v>746.04217419008728</v>
      </c>
      <c r="AK588">
        <v>22215.935057563209</v>
      </c>
    </row>
    <row r="589" spans="1:37" x14ac:dyDescent="0.25">
      <c r="A589">
        <v>667</v>
      </c>
      <c r="B589" t="s">
        <v>3641</v>
      </c>
      <c r="C589" t="s">
        <v>376</v>
      </c>
      <c r="D589" t="s">
        <v>2604</v>
      </c>
      <c r="E589" t="s">
        <v>37</v>
      </c>
      <c r="F589" t="s">
        <v>38</v>
      </c>
      <c r="G589" s="2">
        <v>45825</v>
      </c>
      <c r="H589">
        <v>0.3</v>
      </c>
      <c r="I589" t="s">
        <v>72</v>
      </c>
      <c r="J589" t="s">
        <v>40</v>
      </c>
      <c r="K589" t="s">
        <v>41</v>
      </c>
      <c r="L589" t="s">
        <v>2605</v>
      </c>
      <c r="M589" t="s">
        <v>2606</v>
      </c>
      <c r="O589" t="s">
        <v>62</v>
      </c>
      <c r="P589" t="s">
        <v>63</v>
      </c>
      <c r="Q589">
        <v>0.4382150288226645</v>
      </c>
      <c r="R589" t="s">
        <v>64</v>
      </c>
      <c r="S589" t="s">
        <v>65</v>
      </c>
      <c r="T589" t="s">
        <v>3638</v>
      </c>
      <c r="V589" t="s">
        <v>3625</v>
      </c>
      <c r="X589" t="s">
        <v>3624</v>
      </c>
      <c r="Y589" t="s">
        <v>698</v>
      </c>
      <c r="Z589" t="s">
        <v>2623</v>
      </c>
      <c r="AA589" t="s">
        <v>73</v>
      </c>
      <c r="AB589" t="s">
        <v>41</v>
      </c>
      <c r="AD589" t="s">
        <v>3626</v>
      </c>
      <c r="AF589" t="s">
        <v>3613</v>
      </c>
      <c r="AJ589">
        <v>182.31360882475079</v>
      </c>
      <c r="AK589">
        <v>1773.4003973776969</v>
      </c>
    </row>
    <row r="590" spans="1:37" x14ac:dyDescent="0.25">
      <c r="A590">
        <v>669</v>
      </c>
      <c r="B590" t="s">
        <v>3643</v>
      </c>
      <c r="C590" t="s">
        <v>376</v>
      </c>
      <c r="D590" t="s">
        <v>2604</v>
      </c>
      <c r="E590" t="s">
        <v>37</v>
      </c>
      <c r="F590" t="s">
        <v>38</v>
      </c>
      <c r="G590" s="2">
        <v>45825</v>
      </c>
      <c r="H590">
        <v>3.9</v>
      </c>
      <c r="I590" t="s">
        <v>72</v>
      </c>
      <c r="J590" t="s">
        <v>40</v>
      </c>
      <c r="K590" t="s">
        <v>41</v>
      </c>
      <c r="L590" t="s">
        <v>2605</v>
      </c>
      <c r="M590" t="s">
        <v>2606</v>
      </c>
      <c r="O590" t="s">
        <v>62</v>
      </c>
      <c r="P590" t="s">
        <v>63</v>
      </c>
      <c r="Q590">
        <v>3.671230275755494</v>
      </c>
      <c r="R590" t="s">
        <v>64</v>
      </c>
      <c r="S590" t="s">
        <v>65</v>
      </c>
      <c r="T590" t="s">
        <v>3644</v>
      </c>
      <c r="V590" t="s">
        <v>942</v>
      </c>
      <c r="X590" t="s">
        <v>3645</v>
      </c>
      <c r="Y590" t="s">
        <v>698</v>
      </c>
      <c r="Z590" t="s">
        <v>2630</v>
      </c>
      <c r="AA590" t="s">
        <v>75</v>
      </c>
      <c r="AB590" t="s">
        <v>41</v>
      </c>
      <c r="AD590" t="s">
        <v>1382</v>
      </c>
      <c r="AF590" t="s">
        <v>3646</v>
      </c>
      <c r="AJ590">
        <v>549.18714127685575</v>
      </c>
      <c r="AK590">
        <v>14857.001247496</v>
      </c>
    </row>
    <row r="591" spans="1:37" x14ac:dyDescent="0.25">
      <c r="A591">
        <v>670</v>
      </c>
      <c r="B591" t="s">
        <v>3647</v>
      </c>
      <c r="C591" t="s">
        <v>376</v>
      </c>
      <c r="D591" t="s">
        <v>2604</v>
      </c>
      <c r="E591" t="s">
        <v>37</v>
      </c>
      <c r="F591" t="s">
        <v>38</v>
      </c>
      <c r="G591" s="2">
        <v>45825</v>
      </c>
      <c r="H591">
        <v>2.8</v>
      </c>
      <c r="I591" t="s">
        <v>72</v>
      </c>
      <c r="J591" t="s">
        <v>40</v>
      </c>
      <c r="K591" t="s">
        <v>41</v>
      </c>
      <c r="L591" t="s">
        <v>2605</v>
      </c>
      <c r="M591" t="s">
        <v>2606</v>
      </c>
      <c r="O591" t="s">
        <v>62</v>
      </c>
      <c r="P591" t="s">
        <v>63</v>
      </c>
      <c r="Q591">
        <v>2.930526931403544</v>
      </c>
      <c r="R591" t="s">
        <v>64</v>
      </c>
      <c r="S591" t="s">
        <v>65</v>
      </c>
      <c r="T591" t="s">
        <v>3644</v>
      </c>
      <c r="V591" t="s">
        <v>942</v>
      </c>
      <c r="X591" t="s">
        <v>3645</v>
      </c>
      <c r="Y591" t="s">
        <v>698</v>
      </c>
      <c r="Z591" t="s">
        <v>2630</v>
      </c>
      <c r="AA591" t="s">
        <v>75</v>
      </c>
      <c r="AB591" t="s">
        <v>41</v>
      </c>
      <c r="AD591" t="s">
        <v>1382</v>
      </c>
      <c r="AF591" t="s">
        <v>3646</v>
      </c>
      <c r="AJ591">
        <v>504.05926749338158</v>
      </c>
      <c r="AK591">
        <v>11859.46917119584</v>
      </c>
    </row>
    <row r="592" spans="1:37" hidden="1" x14ac:dyDescent="0.25">
      <c r="A592">
        <v>606</v>
      </c>
      <c r="B592" t="s">
        <v>3543</v>
      </c>
      <c r="C592" t="s">
        <v>376</v>
      </c>
      <c r="D592" t="s">
        <v>2604</v>
      </c>
      <c r="E592" t="s">
        <v>37</v>
      </c>
      <c r="F592" t="s">
        <v>38</v>
      </c>
      <c r="G592" s="2">
        <v>45825</v>
      </c>
      <c r="H592">
        <v>0.6</v>
      </c>
      <c r="I592" t="s">
        <v>72</v>
      </c>
      <c r="J592" t="s">
        <v>40</v>
      </c>
      <c r="K592" t="s">
        <v>41</v>
      </c>
      <c r="L592" t="s">
        <v>2605</v>
      </c>
      <c r="M592" t="s">
        <v>2606</v>
      </c>
      <c r="O592" t="s">
        <v>115</v>
      </c>
      <c r="P592" t="s">
        <v>137</v>
      </c>
      <c r="Q592">
        <v>0.53890176271035573</v>
      </c>
      <c r="S592" t="s">
        <v>38</v>
      </c>
      <c r="T592" t="s">
        <v>3544</v>
      </c>
      <c r="V592" t="s">
        <v>3540</v>
      </c>
      <c r="X592" t="s">
        <v>3535</v>
      </c>
      <c r="Y592" t="s">
        <v>382</v>
      </c>
      <c r="Z592" t="s">
        <v>2623</v>
      </c>
      <c r="AA592" t="s">
        <v>563</v>
      </c>
      <c r="AB592" t="s">
        <v>41</v>
      </c>
      <c r="AD592" t="s">
        <v>3536</v>
      </c>
      <c r="AF592" t="s">
        <v>3537</v>
      </c>
      <c r="AJ592">
        <v>191.45953258826401</v>
      </c>
      <c r="AK592">
        <v>2180.8667829254919</v>
      </c>
    </row>
    <row r="593" spans="1:37" x14ac:dyDescent="0.25">
      <c r="A593">
        <v>671</v>
      </c>
      <c r="B593" t="s">
        <v>3648</v>
      </c>
      <c r="C593" t="s">
        <v>376</v>
      </c>
      <c r="D593" t="s">
        <v>2604</v>
      </c>
      <c r="E593" t="s">
        <v>37</v>
      </c>
      <c r="F593" t="s">
        <v>38</v>
      </c>
      <c r="G593" s="2">
        <v>45825</v>
      </c>
      <c r="H593">
        <v>4.5999999999999996</v>
      </c>
      <c r="I593" t="s">
        <v>72</v>
      </c>
      <c r="J593" t="s">
        <v>40</v>
      </c>
      <c r="K593" t="s">
        <v>41</v>
      </c>
      <c r="L593" t="s">
        <v>2605</v>
      </c>
      <c r="M593" t="s">
        <v>2606</v>
      </c>
      <c r="O593" t="s">
        <v>62</v>
      </c>
      <c r="P593" t="s">
        <v>63</v>
      </c>
      <c r="Q593">
        <v>3.845887653755224</v>
      </c>
      <c r="R593" t="s">
        <v>64</v>
      </c>
      <c r="S593" t="s">
        <v>65</v>
      </c>
      <c r="T593" t="s">
        <v>3644</v>
      </c>
      <c r="V593" t="s">
        <v>942</v>
      </c>
      <c r="X593" t="s">
        <v>3645</v>
      </c>
      <c r="Y593" t="s">
        <v>698</v>
      </c>
      <c r="Z593" t="s">
        <v>2630</v>
      </c>
      <c r="AA593" t="s">
        <v>86</v>
      </c>
      <c r="AB593" t="s">
        <v>41</v>
      </c>
      <c r="AD593" t="s">
        <v>1382</v>
      </c>
      <c r="AF593" t="s">
        <v>3646</v>
      </c>
      <c r="AJ593">
        <v>584.63852858023358</v>
      </c>
      <c r="AK593">
        <v>15563.81740663556</v>
      </c>
    </row>
    <row r="594" spans="1:37" x14ac:dyDescent="0.25">
      <c r="A594">
        <v>673</v>
      </c>
      <c r="B594" t="s">
        <v>3652</v>
      </c>
      <c r="C594" t="s">
        <v>376</v>
      </c>
      <c r="D594" t="s">
        <v>2604</v>
      </c>
      <c r="E594" t="s">
        <v>37</v>
      </c>
      <c r="F594" t="s">
        <v>38</v>
      </c>
      <c r="G594" s="2">
        <v>45826</v>
      </c>
      <c r="H594">
        <v>0.3</v>
      </c>
      <c r="I594" t="s">
        <v>72</v>
      </c>
      <c r="J594" t="s">
        <v>40</v>
      </c>
      <c r="K594" t="s">
        <v>41</v>
      </c>
      <c r="L594" t="s">
        <v>2605</v>
      </c>
      <c r="M594" t="s">
        <v>2606</v>
      </c>
      <c r="O594" t="s">
        <v>62</v>
      </c>
      <c r="P594" t="s">
        <v>63</v>
      </c>
      <c r="Q594">
        <v>0.34056698602290308</v>
      </c>
      <c r="R594" t="s">
        <v>64</v>
      </c>
      <c r="S594" t="s">
        <v>65</v>
      </c>
      <c r="T594" t="s">
        <v>3653</v>
      </c>
      <c r="V594" t="s">
        <v>942</v>
      </c>
      <c r="X594" t="s">
        <v>3654</v>
      </c>
      <c r="Y594" t="s">
        <v>698</v>
      </c>
      <c r="Z594" t="s">
        <v>2630</v>
      </c>
      <c r="AA594" t="s">
        <v>86</v>
      </c>
      <c r="AB594" t="s">
        <v>41</v>
      </c>
      <c r="AJ594">
        <v>155.95880955042699</v>
      </c>
      <c r="AK594">
        <v>1378.2312075635141</v>
      </c>
    </row>
    <row r="595" spans="1:37" hidden="1" x14ac:dyDescent="0.25">
      <c r="A595">
        <v>609</v>
      </c>
      <c r="B595" t="s">
        <v>3551</v>
      </c>
      <c r="C595" t="s">
        <v>376</v>
      </c>
      <c r="D595" t="s">
        <v>2604</v>
      </c>
      <c r="E595" t="s">
        <v>37</v>
      </c>
      <c r="F595" t="s">
        <v>38</v>
      </c>
      <c r="G595" s="2">
        <v>45825</v>
      </c>
      <c r="H595">
        <v>0.6</v>
      </c>
      <c r="I595" t="s">
        <v>72</v>
      </c>
      <c r="J595" t="s">
        <v>40</v>
      </c>
      <c r="K595" t="s">
        <v>41</v>
      </c>
      <c r="L595" t="s">
        <v>2605</v>
      </c>
      <c r="M595" t="s">
        <v>2606</v>
      </c>
      <c r="O595" t="s">
        <v>402</v>
      </c>
      <c r="P595" t="s">
        <v>403</v>
      </c>
      <c r="Q595">
        <v>0.56731533992156558</v>
      </c>
      <c r="S595" t="s">
        <v>38</v>
      </c>
      <c r="T595" t="s">
        <v>3548</v>
      </c>
      <c r="V595" t="s">
        <v>3540</v>
      </c>
      <c r="X595" t="s">
        <v>3549</v>
      </c>
      <c r="Y595" t="s">
        <v>382</v>
      </c>
      <c r="Z595" t="s">
        <v>2623</v>
      </c>
      <c r="AA595" t="s">
        <v>712</v>
      </c>
      <c r="AB595" t="s">
        <v>41</v>
      </c>
      <c r="AD595" t="s">
        <v>620</v>
      </c>
      <c r="AF595" t="s">
        <v>3550</v>
      </c>
      <c r="AJ595">
        <v>336.07670982651899</v>
      </c>
      <c r="AK595">
        <v>2295.8529102900839</v>
      </c>
    </row>
    <row r="596" spans="1:37" hidden="1" x14ac:dyDescent="0.25">
      <c r="A596">
        <v>610</v>
      </c>
      <c r="B596" t="s">
        <v>3552</v>
      </c>
      <c r="C596" t="s">
        <v>376</v>
      </c>
      <c r="D596" t="s">
        <v>2604</v>
      </c>
      <c r="E596" t="s">
        <v>37</v>
      </c>
      <c r="F596" t="s">
        <v>38</v>
      </c>
      <c r="G596" s="2">
        <v>45825</v>
      </c>
      <c r="H596">
        <v>0.4</v>
      </c>
      <c r="I596" t="s">
        <v>72</v>
      </c>
      <c r="J596" t="s">
        <v>40</v>
      </c>
      <c r="K596" t="s">
        <v>41</v>
      </c>
      <c r="L596" t="s">
        <v>2605</v>
      </c>
      <c r="M596" t="s">
        <v>2606</v>
      </c>
      <c r="O596" t="s">
        <v>402</v>
      </c>
      <c r="P596" t="s">
        <v>403</v>
      </c>
      <c r="Q596">
        <v>0.42718574319414349</v>
      </c>
      <c r="S596" t="s">
        <v>38</v>
      </c>
      <c r="T596" t="s">
        <v>3553</v>
      </c>
      <c r="V596" t="s">
        <v>76</v>
      </c>
      <c r="X596" t="s">
        <v>3554</v>
      </c>
      <c r="Y596" t="s">
        <v>382</v>
      </c>
      <c r="Z596" t="s">
        <v>2623</v>
      </c>
      <c r="AA596" t="s">
        <v>896</v>
      </c>
      <c r="AB596" t="s">
        <v>41</v>
      </c>
      <c r="AD596" t="s">
        <v>656</v>
      </c>
      <c r="AF596" t="s">
        <v>2667</v>
      </c>
      <c r="AJ596">
        <v>171.3273400578675</v>
      </c>
      <c r="AK596">
        <v>1728.7662834611549</v>
      </c>
    </row>
    <row r="597" spans="1:37" hidden="1" x14ac:dyDescent="0.25">
      <c r="A597">
        <v>611</v>
      </c>
      <c r="B597" t="s">
        <v>3555</v>
      </c>
      <c r="C597" t="s">
        <v>376</v>
      </c>
      <c r="D597" t="s">
        <v>2604</v>
      </c>
      <c r="E597" t="s">
        <v>37</v>
      </c>
      <c r="F597" t="s">
        <v>38</v>
      </c>
      <c r="G597" s="2">
        <v>45825</v>
      </c>
      <c r="H597">
        <v>0.7</v>
      </c>
      <c r="I597" t="s">
        <v>72</v>
      </c>
      <c r="J597" t="s">
        <v>40</v>
      </c>
      <c r="K597" t="s">
        <v>41</v>
      </c>
      <c r="L597" t="s">
        <v>2605</v>
      </c>
      <c r="M597" t="s">
        <v>2606</v>
      </c>
      <c r="O597" t="s">
        <v>402</v>
      </c>
      <c r="P597" t="s">
        <v>403</v>
      </c>
      <c r="Q597">
        <v>0.72504421799278462</v>
      </c>
      <c r="S597" t="s">
        <v>38</v>
      </c>
      <c r="T597" t="s">
        <v>3548</v>
      </c>
      <c r="V597" t="s">
        <v>61</v>
      </c>
      <c r="X597" t="s">
        <v>3549</v>
      </c>
      <c r="Y597" t="s">
        <v>382</v>
      </c>
      <c r="Z597" t="s">
        <v>2623</v>
      </c>
      <c r="AA597" t="s">
        <v>860</v>
      </c>
      <c r="AB597" t="s">
        <v>41</v>
      </c>
      <c r="AD597" t="s">
        <v>620</v>
      </c>
      <c r="AF597" t="s">
        <v>3550</v>
      </c>
      <c r="AJ597">
        <v>235.93085097613931</v>
      </c>
      <c r="AK597">
        <v>2934.1615867426958</v>
      </c>
    </row>
    <row r="598" spans="1:37" x14ac:dyDescent="0.25">
      <c r="A598">
        <v>729</v>
      </c>
      <c r="B598" t="s">
        <v>3724</v>
      </c>
      <c r="C598" t="s">
        <v>376</v>
      </c>
      <c r="D598" t="s">
        <v>2604</v>
      </c>
      <c r="E598" t="s">
        <v>37</v>
      </c>
      <c r="F598" t="s">
        <v>38</v>
      </c>
      <c r="G598" s="2">
        <v>45869</v>
      </c>
      <c r="H598">
        <v>1.6</v>
      </c>
      <c r="I598" t="s">
        <v>72</v>
      </c>
      <c r="J598" t="s">
        <v>40</v>
      </c>
      <c r="K598" t="s">
        <v>41</v>
      </c>
      <c r="L598" t="s">
        <v>2605</v>
      </c>
      <c r="M598" t="s">
        <v>2606</v>
      </c>
      <c r="O598" t="s">
        <v>62</v>
      </c>
      <c r="P598" t="s">
        <v>63</v>
      </c>
      <c r="Q598">
        <v>1.80637809508494</v>
      </c>
      <c r="R598" t="s">
        <v>64</v>
      </c>
      <c r="S598" t="s">
        <v>65</v>
      </c>
      <c r="T598" t="s">
        <v>3725</v>
      </c>
      <c r="V598" t="s">
        <v>121</v>
      </c>
      <c r="X598" t="s">
        <v>3726</v>
      </c>
      <c r="Y598" t="s">
        <v>120</v>
      </c>
      <c r="Z598" t="s">
        <v>2630</v>
      </c>
      <c r="AA598" t="s">
        <v>71</v>
      </c>
      <c r="AB598" t="s">
        <v>41</v>
      </c>
      <c r="AD598" t="s">
        <v>3727</v>
      </c>
      <c r="AF598" t="s">
        <v>3728</v>
      </c>
      <c r="AJ598">
        <v>355.13540078312388</v>
      </c>
      <c r="AK598">
        <v>7310.1820360760703</v>
      </c>
    </row>
    <row r="599" spans="1:37" hidden="1" x14ac:dyDescent="0.25">
      <c r="A599">
        <v>613</v>
      </c>
      <c r="B599" t="s">
        <v>3557</v>
      </c>
      <c r="C599" t="s">
        <v>376</v>
      </c>
      <c r="D599" t="s">
        <v>2604</v>
      </c>
      <c r="E599" t="s">
        <v>37</v>
      </c>
      <c r="F599" t="s">
        <v>38</v>
      </c>
      <c r="G599" s="2">
        <v>45825</v>
      </c>
      <c r="H599">
        <v>30.4</v>
      </c>
      <c r="I599" t="s">
        <v>72</v>
      </c>
      <c r="J599" t="s">
        <v>40</v>
      </c>
      <c r="K599" t="s">
        <v>41</v>
      </c>
      <c r="L599" t="s">
        <v>2605</v>
      </c>
      <c r="M599" t="s">
        <v>2606</v>
      </c>
      <c r="O599" t="s">
        <v>79</v>
      </c>
      <c r="P599" t="s">
        <v>80</v>
      </c>
      <c r="Q599">
        <v>20.32139120762497</v>
      </c>
      <c r="R599" t="s">
        <v>46</v>
      </c>
      <c r="S599" t="s">
        <v>47</v>
      </c>
      <c r="T599" t="s">
        <v>3553</v>
      </c>
      <c r="V599" t="s">
        <v>76</v>
      </c>
      <c r="X599" t="s">
        <v>3554</v>
      </c>
      <c r="Y599" t="s">
        <v>382</v>
      </c>
      <c r="Z599" t="s">
        <v>2623</v>
      </c>
      <c r="AA599" t="s">
        <v>942</v>
      </c>
      <c r="AB599" t="s">
        <v>41</v>
      </c>
      <c r="AD599" t="s">
        <v>656</v>
      </c>
      <c r="AF599" t="s">
        <v>2667</v>
      </c>
      <c r="AJ599">
        <v>1395.882900784407</v>
      </c>
      <c r="AK599">
        <v>82238.081472676917</v>
      </c>
    </row>
    <row r="600" spans="1:37" hidden="1" x14ac:dyDescent="0.25">
      <c r="A600">
        <v>614</v>
      </c>
      <c r="B600" t="s">
        <v>3558</v>
      </c>
      <c r="C600" t="s">
        <v>376</v>
      </c>
      <c r="D600" t="s">
        <v>2604</v>
      </c>
      <c r="E600" t="s">
        <v>37</v>
      </c>
      <c r="F600" t="s">
        <v>38</v>
      </c>
      <c r="G600" s="2">
        <v>45825</v>
      </c>
      <c r="H600">
        <v>4.8</v>
      </c>
      <c r="I600" t="s">
        <v>72</v>
      </c>
      <c r="J600" t="s">
        <v>40</v>
      </c>
      <c r="K600" t="s">
        <v>41</v>
      </c>
      <c r="L600" t="s">
        <v>2605</v>
      </c>
      <c r="M600" t="s">
        <v>2606</v>
      </c>
      <c r="O600" t="s">
        <v>44</v>
      </c>
      <c r="P600" t="s">
        <v>45</v>
      </c>
      <c r="Q600">
        <v>24.47045100514277</v>
      </c>
      <c r="R600" t="s">
        <v>46</v>
      </c>
      <c r="S600" t="s">
        <v>47</v>
      </c>
      <c r="T600" t="s">
        <v>3548</v>
      </c>
      <c r="V600" t="s">
        <v>3559</v>
      </c>
      <c r="X600" t="s">
        <v>3549</v>
      </c>
      <c r="Y600" t="s">
        <v>382</v>
      </c>
      <c r="Z600" t="s">
        <v>2623</v>
      </c>
      <c r="AA600" t="s">
        <v>860</v>
      </c>
      <c r="AB600" t="s">
        <v>41</v>
      </c>
      <c r="AD600" t="s">
        <v>620</v>
      </c>
      <c r="AF600" t="s">
        <v>3550</v>
      </c>
      <c r="AJ600">
        <v>1212.763602642556</v>
      </c>
      <c r="AK600">
        <v>99028.797923982129</v>
      </c>
    </row>
    <row r="601" spans="1:37" hidden="1" x14ac:dyDescent="0.25">
      <c r="A601">
        <v>615</v>
      </c>
      <c r="B601" t="s">
        <v>3560</v>
      </c>
      <c r="C601" t="s">
        <v>376</v>
      </c>
      <c r="D601" t="s">
        <v>2604</v>
      </c>
      <c r="E601" t="s">
        <v>37</v>
      </c>
      <c r="F601" t="s">
        <v>38</v>
      </c>
      <c r="G601" s="2">
        <v>45825</v>
      </c>
      <c r="H601">
        <v>0.1</v>
      </c>
      <c r="I601" t="s">
        <v>72</v>
      </c>
      <c r="J601" t="s">
        <v>40</v>
      </c>
      <c r="K601" t="s">
        <v>41</v>
      </c>
      <c r="L601" t="s">
        <v>2605</v>
      </c>
      <c r="M601" t="s">
        <v>2606</v>
      </c>
      <c r="O601" t="s">
        <v>402</v>
      </c>
      <c r="P601" t="s">
        <v>403</v>
      </c>
      <c r="Q601">
        <v>3.1995248335786132E-2</v>
      </c>
      <c r="S601" t="s">
        <v>38</v>
      </c>
      <c r="T601" t="s">
        <v>3561</v>
      </c>
      <c r="V601" t="s">
        <v>76</v>
      </c>
      <c r="X601" t="s">
        <v>3562</v>
      </c>
      <c r="Y601" t="s">
        <v>382</v>
      </c>
      <c r="Z601" t="s">
        <v>2623</v>
      </c>
      <c r="AA601" t="s">
        <v>942</v>
      </c>
      <c r="AB601" t="s">
        <v>41</v>
      </c>
      <c r="AJ601">
        <v>46.636462482250607</v>
      </c>
      <c r="AK601">
        <v>129.48069413621761</v>
      </c>
    </row>
    <row r="602" spans="1:37" hidden="1" x14ac:dyDescent="0.25">
      <c r="A602">
        <v>616</v>
      </c>
      <c r="B602" t="s">
        <v>3563</v>
      </c>
      <c r="C602" t="s">
        <v>376</v>
      </c>
      <c r="D602" t="s">
        <v>2604</v>
      </c>
      <c r="E602" t="s">
        <v>37</v>
      </c>
      <c r="F602" t="s">
        <v>38</v>
      </c>
      <c r="G602" s="2">
        <v>45825</v>
      </c>
      <c r="H602">
        <v>14</v>
      </c>
      <c r="I602" t="s">
        <v>72</v>
      </c>
      <c r="J602" t="s">
        <v>40</v>
      </c>
      <c r="K602" t="s">
        <v>41</v>
      </c>
      <c r="L602" t="s">
        <v>2605</v>
      </c>
      <c r="M602" t="s">
        <v>2606</v>
      </c>
      <c r="O602" t="s">
        <v>402</v>
      </c>
      <c r="P602" t="s">
        <v>403</v>
      </c>
      <c r="Q602">
        <v>16.913319645366521</v>
      </c>
      <c r="S602" t="s">
        <v>38</v>
      </c>
      <c r="T602" t="s">
        <v>3548</v>
      </c>
      <c r="V602" t="s">
        <v>3559</v>
      </c>
      <c r="X602" t="s">
        <v>3549</v>
      </c>
      <c r="Y602" t="s">
        <v>382</v>
      </c>
      <c r="Z602" t="s">
        <v>2623</v>
      </c>
      <c r="AA602" t="s">
        <v>860</v>
      </c>
      <c r="AB602" t="s">
        <v>41</v>
      </c>
      <c r="AD602" t="s">
        <v>620</v>
      </c>
      <c r="AF602" t="s">
        <v>3550</v>
      </c>
      <c r="AJ602">
        <v>1296.254541399403</v>
      </c>
      <c r="AK602">
        <v>68446.050014881868</v>
      </c>
    </row>
    <row r="603" spans="1:37" hidden="1" x14ac:dyDescent="0.25">
      <c r="A603">
        <v>617</v>
      </c>
      <c r="B603" t="s">
        <v>3564</v>
      </c>
      <c r="C603" t="s">
        <v>376</v>
      </c>
      <c r="D603" t="s">
        <v>2604</v>
      </c>
      <c r="E603" t="s">
        <v>37</v>
      </c>
      <c r="F603" t="s">
        <v>38</v>
      </c>
      <c r="G603" s="2">
        <v>45825</v>
      </c>
      <c r="I603" t="s">
        <v>72</v>
      </c>
      <c r="J603" t="s">
        <v>40</v>
      </c>
      <c r="K603" t="s">
        <v>41</v>
      </c>
      <c r="L603" t="s">
        <v>2605</v>
      </c>
      <c r="M603" t="s">
        <v>2606</v>
      </c>
      <c r="O603" t="s">
        <v>402</v>
      </c>
      <c r="P603" t="s">
        <v>403</v>
      </c>
      <c r="Q603">
        <v>1.9049424678288489</v>
      </c>
      <c r="S603" t="s">
        <v>38</v>
      </c>
      <c r="T603" t="s">
        <v>673</v>
      </c>
      <c r="V603" t="s">
        <v>3559</v>
      </c>
      <c r="X603" t="s">
        <v>673</v>
      </c>
      <c r="Y603" t="s">
        <v>382</v>
      </c>
      <c r="Z603" t="s">
        <v>2623</v>
      </c>
      <c r="AA603" t="s">
        <v>860</v>
      </c>
      <c r="AB603" t="s">
        <v>41</v>
      </c>
      <c r="AE603" t="s">
        <v>3565</v>
      </c>
      <c r="AF603" t="s">
        <v>38</v>
      </c>
      <c r="AJ603">
        <v>552.32022234734859</v>
      </c>
      <c r="AK603">
        <v>7709.0594964428328</v>
      </c>
    </row>
    <row r="604" spans="1:37" hidden="1" x14ac:dyDescent="0.25">
      <c r="A604">
        <v>618</v>
      </c>
      <c r="B604" t="s">
        <v>3566</v>
      </c>
      <c r="C604" t="s">
        <v>376</v>
      </c>
      <c r="D604" t="s">
        <v>2604</v>
      </c>
      <c r="E604" t="s">
        <v>37</v>
      </c>
      <c r="F604" t="s">
        <v>38</v>
      </c>
      <c r="G604" s="2">
        <v>45825</v>
      </c>
      <c r="I604" t="s">
        <v>72</v>
      </c>
      <c r="J604" t="s">
        <v>40</v>
      </c>
      <c r="K604" t="s">
        <v>41</v>
      </c>
      <c r="L604" t="s">
        <v>2605</v>
      </c>
      <c r="M604" t="s">
        <v>2606</v>
      </c>
      <c r="O604" t="s">
        <v>402</v>
      </c>
      <c r="P604" t="s">
        <v>403</v>
      </c>
      <c r="Q604">
        <v>2.6249801266908799</v>
      </c>
      <c r="S604" t="s">
        <v>38</v>
      </c>
      <c r="T604" t="s">
        <v>673</v>
      </c>
      <c r="V604" t="s">
        <v>76</v>
      </c>
      <c r="X604" t="s">
        <v>673</v>
      </c>
      <c r="Y604" t="s">
        <v>382</v>
      </c>
      <c r="Z604" t="s">
        <v>2623</v>
      </c>
      <c r="AA604" t="s">
        <v>860</v>
      </c>
      <c r="AB604" t="s">
        <v>41</v>
      </c>
      <c r="AE604" t="s">
        <v>3567</v>
      </c>
      <c r="AJ604">
        <v>419.29260038392852</v>
      </c>
      <c r="AK604">
        <v>10622.960176169559</v>
      </c>
    </row>
    <row r="605" spans="1:37" hidden="1" x14ac:dyDescent="0.25">
      <c r="A605">
        <v>619</v>
      </c>
      <c r="B605" t="s">
        <v>3568</v>
      </c>
      <c r="C605" t="s">
        <v>376</v>
      </c>
      <c r="D605" t="s">
        <v>2604</v>
      </c>
      <c r="E605" t="s">
        <v>37</v>
      </c>
      <c r="F605" t="s">
        <v>38</v>
      </c>
      <c r="G605" s="2">
        <v>45825</v>
      </c>
      <c r="I605" t="s">
        <v>72</v>
      </c>
      <c r="J605" t="s">
        <v>40</v>
      </c>
      <c r="K605" t="s">
        <v>41</v>
      </c>
      <c r="L605" t="s">
        <v>2605</v>
      </c>
      <c r="M605" t="s">
        <v>2606</v>
      </c>
      <c r="O605" t="s">
        <v>402</v>
      </c>
      <c r="P605" t="s">
        <v>403</v>
      </c>
      <c r="Q605">
        <v>10.86141340046462</v>
      </c>
      <c r="S605" t="s">
        <v>38</v>
      </c>
      <c r="T605" t="s">
        <v>673</v>
      </c>
      <c r="V605" t="s">
        <v>3559</v>
      </c>
      <c r="X605" t="s">
        <v>673</v>
      </c>
      <c r="Y605" t="s">
        <v>382</v>
      </c>
      <c r="Z605" t="s">
        <v>2623</v>
      </c>
      <c r="AA605" t="s">
        <v>860</v>
      </c>
      <c r="AB605" t="s">
        <v>41</v>
      </c>
      <c r="AE605" t="s">
        <v>3569</v>
      </c>
      <c r="AJ605">
        <v>1409.6602044980509</v>
      </c>
      <c r="AK605">
        <v>43954.756394861412</v>
      </c>
    </row>
    <row r="606" spans="1:37" hidden="1" x14ac:dyDescent="0.25">
      <c r="A606">
        <v>620</v>
      </c>
      <c r="B606" t="s">
        <v>3570</v>
      </c>
      <c r="C606" t="s">
        <v>376</v>
      </c>
      <c r="D606" t="s">
        <v>2604</v>
      </c>
      <c r="E606" t="s">
        <v>37</v>
      </c>
      <c r="F606" t="s">
        <v>38</v>
      </c>
      <c r="G606" s="2">
        <v>45825</v>
      </c>
      <c r="H606">
        <v>61.9</v>
      </c>
      <c r="I606" t="s">
        <v>72</v>
      </c>
      <c r="J606" t="s">
        <v>40</v>
      </c>
      <c r="K606" t="s">
        <v>41</v>
      </c>
      <c r="L606" t="s">
        <v>2605</v>
      </c>
      <c r="M606" t="s">
        <v>2606</v>
      </c>
      <c r="O606" t="s">
        <v>79</v>
      </c>
      <c r="P606" t="s">
        <v>80</v>
      </c>
      <c r="Q606">
        <v>59.021948607521793</v>
      </c>
      <c r="R606" t="s">
        <v>46</v>
      </c>
      <c r="S606" t="s">
        <v>47</v>
      </c>
      <c r="T606" t="s">
        <v>3571</v>
      </c>
      <c r="V606" t="s">
        <v>76</v>
      </c>
      <c r="X606" t="s">
        <v>3572</v>
      </c>
      <c r="Y606" t="s">
        <v>382</v>
      </c>
      <c r="Z606" t="s">
        <v>2623</v>
      </c>
      <c r="AA606" t="s">
        <v>942</v>
      </c>
      <c r="AB606" t="s">
        <v>41</v>
      </c>
      <c r="AD606" t="s">
        <v>656</v>
      </c>
      <c r="AF606" t="s">
        <v>2667</v>
      </c>
      <c r="AJ606">
        <v>2040.8770846271871</v>
      </c>
      <c r="AK606">
        <v>238854.30720118561</v>
      </c>
    </row>
    <row r="607" spans="1:37" hidden="1" x14ac:dyDescent="0.25">
      <c r="A607">
        <v>621</v>
      </c>
      <c r="B607" t="s">
        <v>3573</v>
      </c>
      <c r="C607" t="s">
        <v>376</v>
      </c>
      <c r="D607" t="s">
        <v>2604</v>
      </c>
      <c r="E607" t="s">
        <v>37</v>
      </c>
      <c r="F607" t="s">
        <v>38</v>
      </c>
      <c r="G607" s="2">
        <v>45825</v>
      </c>
      <c r="H607">
        <v>1.6</v>
      </c>
      <c r="I607" t="s">
        <v>72</v>
      </c>
      <c r="J607" t="s">
        <v>40</v>
      </c>
      <c r="K607" t="s">
        <v>41</v>
      </c>
      <c r="L607" t="s">
        <v>2605</v>
      </c>
      <c r="M607" t="s">
        <v>2606</v>
      </c>
      <c r="O607" t="s">
        <v>402</v>
      </c>
      <c r="P607" t="s">
        <v>403</v>
      </c>
      <c r="Q607">
        <v>1.6207360898480441</v>
      </c>
      <c r="S607" t="s">
        <v>38</v>
      </c>
      <c r="T607" t="s">
        <v>3571</v>
      </c>
      <c r="V607" t="s">
        <v>3559</v>
      </c>
      <c r="X607" t="s">
        <v>3572</v>
      </c>
      <c r="Y607" t="s">
        <v>382</v>
      </c>
      <c r="Z607" t="s">
        <v>2623</v>
      </c>
      <c r="AA607" t="s">
        <v>942</v>
      </c>
      <c r="AB607" t="s">
        <v>41</v>
      </c>
      <c r="AD607" t="s">
        <v>656</v>
      </c>
      <c r="AF607" t="s">
        <v>3550</v>
      </c>
      <c r="AJ607">
        <v>433.26570182763561</v>
      </c>
      <c r="AK607">
        <v>6558.9124898407426</v>
      </c>
    </row>
    <row r="608" spans="1:37" hidden="1" x14ac:dyDescent="0.25">
      <c r="A608">
        <v>622</v>
      </c>
      <c r="B608" t="s">
        <v>3574</v>
      </c>
      <c r="C608" t="s">
        <v>376</v>
      </c>
      <c r="D608" t="s">
        <v>2604</v>
      </c>
      <c r="E608" t="s">
        <v>37</v>
      </c>
      <c r="F608" t="s">
        <v>38</v>
      </c>
      <c r="G608" s="2">
        <v>45825</v>
      </c>
      <c r="H608">
        <v>0.2</v>
      </c>
      <c r="I608" t="s">
        <v>72</v>
      </c>
      <c r="J608" t="s">
        <v>40</v>
      </c>
      <c r="K608" t="s">
        <v>41</v>
      </c>
      <c r="L608" t="s">
        <v>2605</v>
      </c>
      <c r="M608" t="s">
        <v>2606</v>
      </c>
      <c r="O608" t="s">
        <v>402</v>
      </c>
      <c r="P608" t="s">
        <v>403</v>
      </c>
      <c r="Q608">
        <v>0.1920141524820394</v>
      </c>
      <c r="S608" t="s">
        <v>38</v>
      </c>
      <c r="T608" t="s">
        <v>3548</v>
      </c>
      <c r="V608" t="s">
        <v>3559</v>
      </c>
      <c r="X608" t="s">
        <v>3549</v>
      </c>
      <c r="Y608" t="s">
        <v>382</v>
      </c>
      <c r="Z608" t="s">
        <v>2623</v>
      </c>
      <c r="AA608" t="s">
        <v>860</v>
      </c>
      <c r="AB608" t="s">
        <v>41</v>
      </c>
      <c r="AD608" t="s">
        <v>620</v>
      </c>
      <c r="AF608" t="s">
        <v>3550</v>
      </c>
      <c r="AJ608">
        <v>134.68170223744519</v>
      </c>
      <c r="AK608">
        <v>777.05681438778345</v>
      </c>
    </row>
    <row r="609" spans="1:37" hidden="1" x14ac:dyDescent="0.25">
      <c r="A609">
        <v>623</v>
      </c>
      <c r="B609" t="s">
        <v>3575</v>
      </c>
      <c r="C609" t="s">
        <v>376</v>
      </c>
      <c r="D609" t="s">
        <v>2604</v>
      </c>
      <c r="E609" t="s">
        <v>37</v>
      </c>
      <c r="F609" t="s">
        <v>38</v>
      </c>
      <c r="G609" s="2">
        <v>45825</v>
      </c>
      <c r="H609">
        <v>18.5</v>
      </c>
      <c r="I609" t="s">
        <v>72</v>
      </c>
      <c r="J609" t="s">
        <v>40</v>
      </c>
      <c r="K609" t="s">
        <v>41</v>
      </c>
      <c r="L609" t="s">
        <v>2605</v>
      </c>
      <c r="M609" t="s">
        <v>2606</v>
      </c>
      <c r="O609" t="s">
        <v>402</v>
      </c>
      <c r="P609" t="s">
        <v>403</v>
      </c>
      <c r="Q609">
        <v>18.52411218504572</v>
      </c>
      <c r="S609" t="s">
        <v>38</v>
      </c>
      <c r="T609" t="s">
        <v>3571</v>
      </c>
      <c r="V609" t="s">
        <v>76</v>
      </c>
      <c r="X609" t="s">
        <v>3572</v>
      </c>
      <c r="Y609" t="s">
        <v>382</v>
      </c>
      <c r="Z609" t="s">
        <v>2623</v>
      </c>
      <c r="AA609" t="s">
        <v>942</v>
      </c>
      <c r="AB609" t="s">
        <v>41</v>
      </c>
      <c r="AD609" t="s">
        <v>656</v>
      </c>
      <c r="AF609" t="s">
        <v>3550</v>
      </c>
      <c r="AJ609">
        <v>1369.4010058290551</v>
      </c>
      <c r="AK609">
        <v>74964.7222238994</v>
      </c>
    </row>
    <row r="610" spans="1:37" hidden="1" x14ac:dyDescent="0.25">
      <c r="A610">
        <v>624</v>
      </c>
      <c r="B610" t="s">
        <v>3576</v>
      </c>
      <c r="C610" t="s">
        <v>376</v>
      </c>
      <c r="D610" t="s">
        <v>2604</v>
      </c>
      <c r="E610" t="s">
        <v>37</v>
      </c>
      <c r="F610" t="s">
        <v>38</v>
      </c>
      <c r="G610" s="2">
        <v>45825</v>
      </c>
      <c r="H610">
        <v>1.1000000000000001</v>
      </c>
      <c r="I610" t="s">
        <v>72</v>
      </c>
      <c r="J610" t="s">
        <v>40</v>
      </c>
      <c r="K610" t="s">
        <v>41</v>
      </c>
      <c r="L610" t="s">
        <v>2605</v>
      </c>
      <c r="M610" t="s">
        <v>2606</v>
      </c>
      <c r="O610" t="s">
        <v>402</v>
      </c>
      <c r="P610" t="s">
        <v>403</v>
      </c>
      <c r="Q610">
        <v>1.0629196310028439</v>
      </c>
      <c r="T610" t="s">
        <v>1172</v>
      </c>
      <c r="V610" t="s">
        <v>3559</v>
      </c>
      <c r="X610" t="s">
        <v>1172</v>
      </c>
      <c r="Y610" t="s">
        <v>382</v>
      </c>
      <c r="Z610" t="s">
        <v>2623</v>
      </c>
      <c r="AA610" t="s">
        <v>860</v>
      </c>
      <c r="AB610" t="s">
        <v>41</v>
      </c>
      <c r="AJ610">
        <v>359.26051002573598</v>
      </c>
      <c r="AK610">
        <v>4301.5003412030574</v>
      </c>
    </row>
    <row r="611" spans="1:37" hidden="1" x14ac:dyDescent="0.25">
      <c r="A611">
        <v>625</v>
      </c>
      <c r="B611" t="s">
        <v>3577</v>
      </c>
      <c r="C611" t="s">
        <v>376</v>
      </c>
      <c r="D611" t="s">
        <v>2604</v>
      </c>
      <c r="E611" t="s">
        <v>37</v>
      </c>
      <c r="F611" t="s">
        <v>38</v>
      </c>
      <c r="G611" s="2">
        <v>45825</v>
      </c>
      <c r="I611" t="s">
        <v>72</v>
      </c>
      <c r="J611" t="s">
        <v>40</v>
      </c>
      <c r="K611" t="s">
        <v>41</v>
      </c>
      <c r="L611" t="s">
        <v>2605</v>
      </c>
      <c r="M611" t="s">
        <v>2606</v>
      </c>
      <c r="O611" t="s">
        <v>402</v>
      </c>
      <c r="P611" t="s">
        <v>403</v>
      </c>
      <c r="Q611">
        <v>17.310285434684051</v>
      </c>
      <c r="T611" t="s">
        <v>673</v>
      </c>
      <c r="V611" t="s">
        <v>3559</v>
      </c>
      <c r="X611" t="s">
        <v>673</v>
      </c>
      <c r="Y611" t="s">
        <v>382</v>
      </c>
      <c r="Z611" t="s">
        <v>2623</v>
      </c>
      <c r="AA611" t="s">
        <v>860</v>
      </c>
      <c r="AB611" t="s">
        <v>41</v>
      </c>
      <c r="AE611" t="s">
        <v>3578</v>
      </c>
      <c r="AJ611">
        <v>1148.3766098612859</v>
      </c>
      <c r="AK611">
        <v>70052.519994728107</v>
      </c>
    </row>
    <row r="612" spans="1:37" hidden="1" x14ac:dyDescent="0.25">
      <c r="A612">
        <v>626</v>
      </c>
      <c r="B612" t="s">
        <v>3579</v>
      </c>
      <c r="C612" t="s">
        <v>376</v>
      </c>
      <c r="D612" t="s">
        <v>2604</v>
      </c>
      <c r="E612" t="s">
        <v>37</v>
      </c>
      <c r="F612" t="s">
        <v>38</v>
      </c>
      <c r="G612" s="2">
        <v>45825</v>
      </c>
      <c r="H612">
        <v>0.3</v>
      </c>
      <c r="I612" t="s">
        <v>72</v>
      </c>
      <c r="J612" t="s">
        <v>40</v>
      </c>
      <c r="K612" t="s">
        <v>41</v>
      </c>
      <c r="L612" t="s">
        <v>2605</v>
      </c>
      <c r="M612" t="s">
        <v>2606</v>
      </c>
      <c r="O612" t="s">
        <v>402</v>
      </c>
      <c r="P612" t="s">
        <v>403</v>
      </c>
      <c r="Q612">
        <v>0.26587761507303481</v>
      </c>
      <c r="T612" t="s">
        <v>3548</v>
      </c>
      <c r="V612" t="s">
        <v>3559</v>
      </c>
      <c r="Y612" t="s">
        <v>382</v>
      </c>
      <c r="Z612" t="s">
        <v>2623</v>
      </c>
      <c r="AA612" t="s">
        <v>860</v>
      </c>
      <c r="AB612" t="s">
        <v>41</v>
      </c>
      <c r="AD612" t="s">
        <v>620</v>
      </c>
      <c r="AJ612">
        <v>154.20654374496129</v>
      </c>
      <c r="AK612">
        <v>1075.9728380177539</v>
      </c>
    </row>
    <row r="613" spans="1:37" hidden="1" x14ac:dyDescent="0.25">
      <c r="A613">
        <v>627</v>
      </c>
      <c r="B613" t="s">
        <v>3580</v>
      </c>
      <c r="C613" t="s">
        <v>376</v>
      </c>
      <c r="D613" t="s">
        <v>2604</v>
      </c>
      <c r="E613" t="s">
        <v>37</v>
      </c>
      <c r="F613" t="s">
        <v>38</v>
      </c>
      <c r="G613" s="2">
        <v>45825</v>
      </c>
      <c r="H613">
        <v>0.9</v>
      </c>
      <c r="I613" t="s">
        <v>72</v>
      </c>
      <c r="J613" t="s">
        <v>40</v>
      </c>
      <c r="K613" t="s">
        <v>41</v>
      </c>
      <c r="L613" t="s">
        <v>2605</v>
      </c>
      <c r="M613" t="s">
        <v>2606</v>
      </c>
      <c r="O613" t="s">
        <v>402</v>
      </c>
      <c r="P613" t="s">
        <v>403</v>
      </c>
      <c r="Q613">
        <v>0.95680739494453493</v>
      </c>
      <c r="T613" t="s">
        <v>1172</v>
      </c>
      <c r="V613" t="s">
        <v>3559</v>
      </c>
      <c r="X613" t="s">
        <v>1172</v>
      </c>
      <c r="Y613" t="s">
        <v>382</v>
      </c>
      <c r="Z613" t="s">
        <v>2623</v>
      </c>
      <c r="AA613" t="s">
        <v>860</v>
      </c>
      <c r="AB613" t="s">
        <v>41</v>
      </c>
      <c r="AJ613">
        <v>247.93937965945489</v>
      </c>
      <c r="AK613">
        <v>3872.0776395261742</v>
      </c>
    </row>
    <row r="614" spans="1:37" hidden="1" x14ac:dyDescent="0.25">
      <c r="A614">
        <v>628</v>
      </c>
      <c r="B614" t="s">
        <v>3581</v>
      </c>
      <c r="C614" t="s">
        <v>376</v>
      </c>
      <c r="D614" t="s">
        <v>2604</v>
      </c>
      <c r="E614" t="s">
        <v>37</v>
      </c>
      <c r="F614" t="s">
        <v>38</v>
      </c>
      <c r="G614" s="2">
        <v>45825</v>
      </c>
      <c r="H614">
        <v>1.1000000000000001</v>
      </c>
      <c r="I614" t="s">
        <v>72</v>
      </c>
      <c r="J614" t="s">
        <v>40</v>
      </c>
      <c r="K614" t="s">
        <v>41</v>
      </c>
      <c r="L614" t="s">
        <v>2605</v>
      </c>
      <c r="M614" t="s">
        <v>2606</v>
      </c>
      <c r="O614" t="s">
        <v>402</v>
      </c>
      <c r="P614" t="s">
        <v>403</v>
      </c>
      <c r="Q614">
        <v>1.0387899635560449</v>
      </c>
      <c r="T614" t="s">
        <v>3582</v>
      </c>
      <c r="V614" t="s">
        <v>3559</v>
      </c>
      <c r="X614" t="s">
        <v>3549</v>
      </c>
      <c r="Y614" t="s">
        <v>382</v>
      </c>
      <c r="Z614" t="s">
        <v>2623</v>
      </c>
      <c r="AA614" t="s">
        <v>942</v>
      </c>
      <c r="AB614" t="s">
        <v>41</v>
      </c>
      <c r="AD614" t="s">
        <v>620</v>
      </c>
      <c r="AF614" t="s">
        <v>3550</v>
      </c>
      <c r="AJ614">
        <v>287.87181149955308</v>
      </c>
      <c r="AK614">
        <v>4203.8506509272302</v>
      </c>
    </row>
    <row r="615" spans="1:37" hidden="1" x14ac:dyDescent="0.25">
      <c r="A615">
        <v>629</v>
      </c>
      <c r="B615" t="s">
        <v>3583</v>
      </c>
      <c r="C615" t="s">
        <v>376</v>
      </c>
      <c r="D615" t="s">
        <v>2604</v>
      </c>
      <c r="E615" t="s">
        <v>37</v>
      </c>
      <c r="F615" t="s">
        <v>38</v>
      </c>
      <c r="G615" s="2">
        <v>45825</v>
      </c>
      <c r="H615">
        <v>0.1</v>
      </c>
      <c r="I615" t="s">
        <v>72</v>
      </c>
      <c r="J615" t="s">
        <v>40</v>
      </c>
      <c r="K615" t="s">
        <v>41</v>
      </c>
      <c r="L615" t="s">
        <v>2605</v>
      </c>
      <c r="M615" t="s">
        <v>2606</v>
      </c>
      <c r="O615" t="s">
        <v>402</v>
      </c>
      <c r="P615" t="s">
        <v>403</v>
      </c>
      <c r="Q615">
        <v>7.1086726605489051E-2</v>
      </c>
      <c r="T615" t="s">
        <v>2691</v>
      </c>
      <c r="V615" t="s">
        <v>76</v>
      </c>
      <c r="X615" t="s">
        <v>1126</v>
      </c>
      <c r="Y615" t="s">
        <v>382</v>
      </c>
      <c r="Z615" t="s">
        <v>2623</v>
      </c>
      <c r="AA615" t="s">
        <v>860</v>
      </c>
      <c r="AB615" t="s">
        <v>41</v>
      </c>
      <c r="AJ615">
        <v>70.17124624439306</v>
      </c>
      <c r="AK615">
        <v>287.67892682537291</v>
      </c>
    </row>
    <row r="616" spans="1:37" hidden="1" x14ac:dyDescent="0.25">
      <c r="A616">
        <v>630</v>
      </c>
      <c r="B616" t="s">
        <v>3584</v>
      </c>
      <c r="C616" t="s">
        <v>376</v>
      </c>
      <c r="D616" t="s">
        <v>2604</v>
      </c>
      <c r="E616" t="s">
        <v>37</v>
      </c>
      <c r="F616" t="s">
        <v>38</v>
      </c>
      <c r="G616" s="2">
        <v>45825</v>
      </c>
      <c r="H616">
        <v>0.5</v>
      </c>
      <c r="I616" t="s">
        <v>72</v>
      </c>
      <c r="J616" t="s">
        <v>40</v>
      </c>
      <c r="K616" t="s">
        <v>41</v>
      </c>
      <c r="L616" t="s">
        <v>2605</v>
      </c>
      <c r="M616" t="s">
        <v>2606</v>
      </c>
      <c r="O616" t="s">
        <v>402</v>
      </c>
      <c r="P616" t="s">
        <v>403</v>
      </c>
      <c r="Q616">
        <v>0.56803155848526077</v>
      </c>
      <c r="T616" t="s">
        <v>3582</v>
      </c>
      <c r="V616" t="s">
        <v>3559</v>
      </c>
      <c r="X616" t="s">
        <v>3549</v>
      </c>
      <c r="Y616" t="s">
        <v>382</v>
      </c>
      <c r="Z616" t="s">
        <v>2623</v>
      </c>
      <c r="AA616" t="s">
        <v>860</v>
      </c>
      <c r="AB616" t="s">
        <v>41</v>
      </c>
      <c r="AD616" t="s">
        <v>620</v>
      </c>
      <c r="AF616" t="s">
        <v>3550</v>
      </c>
      <c r="AJ616">
        <v>204.58629593726141</v>
      </c>
      <c r="AK616">
        <v>2298.7513555781861</v>
      </c>
    </row>
    <row r="617" spans="1:37" hidden="1" x14ac:dyDescent="0.25">
      <c r="A617">
        <v>631</v>
      </c>
      <c r="B617" t="s">
        <v>3585</v>
      </c>
      <c r="C617" t="s">
        <v>376</v>
      </c>
      <c r="D617" t="s">
        <v>2604</v>
      </c>
      <c r="E617" t="s">
        <v>37</v>
      </c>
      <c r="F617" t="s">
        <v>38</v>
      </c>
      <c r="G617" s="2">
        <v>45825</v>
      </c>
      <c r="H617">
        <v>0.5</v>
      </c>
      <c r="I617" t="s">
        <v>72</v>
      </c>
      <c r="J617" t="s">
        <v>40</v>
      </c>
      <c r="K617" t="s">
        <v>41</v>
      </c>
      <c r="L617" t="s">
        <v>2605</v>
      </c>
      <c r="M617" t="s">
        <v>2606</v>
      </c>
      <c r="O617" t="s">
        <v>402</v>
      </c>
      <c r="P617" t="s">
        <v>403</v>
      </c>
      <c r="Q617">
        <v>0.11132979938177889</v>
      </c>
      <c r="T617" t="s">
        <v>3586</v>
      </c>
      <c r="V617" t="s">
        <v>76</v>
      </c>
      <c r="X617" t="s">
        <v>3587</v>
      </c>
      <c r="Y617" t="s">
        <v>382</v>
      </c>
      <c r="Z617" t="s">
        <v>2623</v>
      </c>
      <c r="AA617" t="s">
        <v>860</v>
      </c>
      <c r="AB617" t="s">
        <v>41</v>
      </c>
      <c r="AD617" t="s">
        <v>620</v>
      </c>
      <c r="AF617" t="s">
        <v>3550</v>
      </c>
      <c r="AJ617">
        <v>103.6186407142032</v>
      </c>
      <c r="AK617">
        <v>450.53751578091641</v>
      </c>
    </row>
    <row r="618" spans="1:37" hidden="1" x14ac:dyDescent="0.25">
      <c r="A618">
        <v>632</v>
      </c>
      <c r="B618" t="s">
        <v>3588</v>
      </c>
      <c r="C618" t="s">
        <v>376</v>
      </c>
      <c r="D618" t="s">
        <v>2604</v>
      </c>
      <c r="E618" t="s">
        <v>37</v>
      </c>
      <c r="F618" t="s">
        <v>38</v>
      </c>
      <c r="G618" s="2">
        <v>45825</v>
      </c>
      <c r="H618">
        <v>5.4</v>
      </c>
      <c r="I618" t="s">
        <v>72</v>
      </c>
      <c r="J618" t="s">
        <v>40</v>
      </c>
      <c r="K618" t="s">
        <v>41</v>
      </c>
      <c r="L618" t="s">
        <v>2605</v>
      </c>
      <c r="M618" t="s">
        <v>2606</v>
      </c>
      <c r="O618" t="s">
        <v>402</v>
      </c>
      <c r="P618" t="s">
        <v>403</v>
      </c>
      <c r="Q618">
        <v>5.4759695036996856</v>
      </c>
      <c r="T618" t="s">
        <v>3548</v>
      </c>
      <c r="V618" t="s">
        <v>3559</v>
      </c>
      <c r="X618" t="s">
        <v>3549</v>
      </c>
      <c r="Y618" t="s">
        <v>382</v>
      </c>
      <c r="Z618" t="s">
        <v>2623</v>
      </c>
      <c r="AA618" t="s">
        <v>860</v>
      </c>
      <c r="AB618" t="s">
        <v>41</v>
      </c>
      <c r="AD618" t="s">
        <v>620</v>
      </c>
      <c r="AF618" t="s">
        <v>3550</v>
      </c>
      <c r="AJ618">
        <v>761.37175252776819</v>
      </c>
      <c r="AK618">
        <v>22160.55099702896</v>
      </c>
    </row>
    <row r="619" spans="1:37" hidden="1" x14ac:dyDescent="0.25">
      <c r="A619">
        <v>633</v>
      </c>
      <c r="B619" t="s">
        <v>3589</v>
      </c>
      <c r="C619" t="s">
        <v>376</v>
      </c>
      <c r="D619" t="s">
        <v>2604</v>
      </c>
      <c r="E619" t="s">
        <v>37</v>
      </c>
      <c r="F619" t="s">
        <v>38</v>
      </c>
      <c r="G619" s="2">
        <v>45825</v>
      </c>
      <c r="H619">
        <v>1.4</v>
      </c>
      <c r="I619" t="s">
        <v>72</v>
      </c>
      <c r="J619" t="s">
        <v>40</v>
      </c>
      <c r="K619" t="s">
        <v>41</v>
      </c>
      <c r="L619" t="s">
        <v>2605</v>
      </c>
      <c r="M619" t="s">
        <v>2606</v>
      </c>
      <c r="O619" t="s">
        <v>402</v>
      </c>
      <c r="P619" t="s">
        <v>403</v>
      </c>
      <c r="Q619">
        <v>1.409945815697609</v>
      </c>
      <c r="T619" t="s">
        <v>3548</v>
      </c>
      <c r="V619" t="s">
        <v>3559</v>
      </c>
      <c r="X619" t="s">
        <v>3549</v>
      </c>
      <c r="Y619" t="s">
        <v>382</v>
      </c>
      <c r="Z619" t="s">
        <v>2623</v>
      </c>
      <c r="AA619" t="s">
        <v>942</v>
      </c>
      <c r="AB619" t="s">
        <v>41</v>
      </c>
      <c r="AD619" t="s">
        <v>620</v>
      </c>
      <c r="AF619" t="s">
        <v>3550</v>
      </c>
      <c r="AJ619">
        <v>634.1171983120272</v>
      </c>
      <c r="AK619">
        <v>5705.8711029534652</v>
      </c>
    </row>
    <row r="620" spans="1:37" hidden="1" x14ac:dyDescent="0.25">
      <c r="A620">
        <v>634</v>
      </c>
      <c r="B620" t="s">
        <v>3590</v>
      </c>
      <c r="C620" t="s">
        <v>376</v>
      </c>
      <c r="D620" t="s">
        <v>2604</v>
      </c>
      <c r="E620" t="s">
        <v>37</v>
      </c>
      <c r="F620" t="s">
        <v>38</v>
      </c>
      <c r="G620" s="2">
        <v>45825</v>
      </c>
      <c r="H620">
        <v>0.9</v>
      </c>
      <c r="I620" t="s">
        <v>72</v>
      </c>
      <c r="J620" t="s">
        <v>40</v>
      </c>
      <c r="K620" t="s">
        <v>41</v>
      </c>
      <c r="L620" t="s">
        <v>2605</v>
      </c>
      <c r="M620" t="s">
        <v>2606</v>
      </c>
      <c r="O620" t="s">
        <v>402</v>
      </c>
      <c r="P620" t="s">
        <v>403</v>
      </c>
      <c r="Q620">
        <v>0.89061443110914951</v>
      </c>
      <c r="T620" t="s">
        <v>1172</v>
      </c>
      <c r="V620" t="s">
        <v>3559</v>
      </c>
      <c r="X620" t="s">
        <v>1172</v>
      </c>
      <c r="Y620" t="s">
        <v>382</v>
      </c>
      <c r="Z620" t="s">
        <v>2623</v>
      </c>
      <c r="AA620" t="s">
        <v>860</v>
      </c>
      <c r="AB620" t="s">
        <v>41</v>
      </c>
      <c r="AJ620">
        <v>251.38040769333159</v>
      </c>
      <c r="AK620">
        <v>3604.2031472143558</v>
      </c>
    </row>
    <row r="621" spans="1:37" x14ac:dyDescent="0.25">
      <c r="A621">
        <v>730</v>
      </c>
      <c r="B621" t="s">
        <v>3729</v>
      </c>
      <c r="C621" t="s">
        <v>376</v>
      </c>
      <c r="D621" t="s">
        <v>2604</v>
      </c>
      <c r="E621" t="s">
        <v>37</v>
      </c>
      <c r="F621" t="s">
        <v>38</v>
      </c>
      <c r="G621" s="2">
        <v>45869</v>
      </c>
      <c r="H621">
        <v>1.1000000000000001</v>
      </c>
      <c r="I621" t="s">
        <v>72</v>
      </c>
      <c r="J621" t="s">
        <v>40</v>
      </c>
      <c r="K621" t="s">
        <v>41</v>
      </c>
      <c r="L621" t="s">
        <v>2605</v>
      </c>
      <c r="M621" t="s">
        <v>2606</v>
      </c>
      <c r="O621" t="s">
        <v>62</v>
      </c>
      <c r="P621" t="s">
        <v>63</v>
      </c>
      <c r="Q621">
        <v>1.976115375512872</v>
      </c>
      <c r="R621" t="s">
        <v>64</v>
      </c>
      <c r="S621" t="s">
        <v>65</v>
      </c>
      <c r="T621" t="s">
        <v>3725</v>
      </c>
      <c r="V621" t="s">
        <v>121</v>
      </c>
      <c r="X621" t="s">
        <v>3726</v>
      </c>
      <c r="Y621" t="s">
        <v>120</v>
      </c>
      <c r="Z621" t="s">
        <v>2630</v>
      </c>
      <c r="AA621" t="s">
        <v>71</v>
      </c>
      <c r="AB621" t="s">
        <v>41</v>
      </c>
      <c r="AD621" t="s">
        <v>3727</v>
      </c>
      <c r="AF621" t="s">
        <v>3728</v>
      </c>
      <c r="AJ621">
        <v>430.07446990140647</v>
      </c>
      <c r="AK621">
        <v>7997.0871871144136</v>
      </c>
    </row>
    <row r="622" spans="1:37" hidden="1" x14ac:dyDescent="0.25">
      <c r="A622">
        <v>636</v>
      </c>
      <c r="B622" t="s">
        <v>3593</v>
      </c>
      <c r="C622" t="s">
        <v>376</v>
      </c>
      <c r="D622" t="s">
        <v>2604</v>
      </c>
      <c r="E622" t="s">
        <v>37</v>
      </c>
      <c r="F622" t="s">
        <v>38</v>
      </c>
      <c r="G622" s="2">
        <v>45825</v>
      </c>
      <c r="H622">
        <v>6.5</v>
      </c>
      <c r="I622" t="s">
        <v>72</v>
      </c>
      <c r="J622" t="s">
        <v>40</v>
      </c>
      <c r="K622" t="s">
        <v>41</v>
      </c>
      <c r="L622" t="s">
        <v>2605</v>
      </c>
      <c r="M622" t="s">
        <v>2606</v>
      </c>
      <c r="O622" t="s">
        <v>402</v>
      </c>
      <c r="P622" t="s">
        <v>403</v>
      </c>
      <c r="Q622">
        <v>6.323932871531242</v>
      </c>
      <c r="S622" t="s">
        <v>38</v>
      </c>
      <c r="T622" t="s">
        <v>3592</v>
      </c>
      <c r="V622" t="s">
        <v>75</v>
      </c>
      <c r="X622" t="s">
        <v>3572</v>
      </c>
      <c r="Y622" t="s">
        <v>382</v>
      </c>
      <c r="Z622" t="s">
        <v>2623</v>
      </c>
      <c r="AA622" t="s">
        <v>942</v>
      </c>
      <c r="AB622" t="s">
        <v>41</v>
      </c>
      <c r="AD622" t="s">
        <v>656</v>
      </c>
      <c r="AF622" t="s">
        <v>3550</v>
      </c>
      <c r="AJ622">
        <v>647.49181770038194</v>
      </c>
      <c r="AK622">
        <v>25592.15072448321</v>
      </c>
    </row>
    <row r="623" spans="1:37" hidden="1" x14ac:dyDescent="0.25">
      <c r="A623">
        <v>637</v>
      </c>
      <c r="B623" t="s">
        <v>3594</v>
      </c>
      <c r="C623" t="s">
        <v>376</v>
      </c>
      <c r="D623" t="s">
        <v>2604</v>
      </c>
      <c r="E623" t="s">
        <v>37</v>
      </c>
      <c r="F623" t="s">
        <v>38</v>
      </c>
      <c r="G623" s="2">
        <v>45825</v>
      </c>
      <c r="H623">
        <v>5.5</v>
      </c>
      <c r="I623" t="s">
        <v>72</v>
      </c>
      <c r="J623" t="s">
        <v>40</v>
      </c>
      <c r="K623" t="s">
        <v>41</v>
      </c>
      <c r="L623" t="s">
        <v>2605</v>
      </c>
      <c r="M623" t="s">
        <v>2606</v>
      </c>
      <c r="O623" t="s">
        <v>402</v>
      </c>
      <c r="P623" t="s">
        <v>403</v>
      </c>
      <c r="Q623">
        <v>5.6772538463390712</v>
      </c>
      <c r="S623" t="s">
        <v>38</v>
      </c>
      <c r="T623" t="s">
        <v>3592</v>
      </c>
      <c r="V623" t="s">
        <v>75</v>
      </c>
      <c r="X623" t="s">
        <v>3572</v>
      </c>
      <c r="Y623" t="s">
        <v>382</v>
      </c>
      <c r="Z623" t="s">
        <v>2623</v>
      </c>
      <c r="AA623" t="s">
        <v>942</v>
      </c>
      <c r="AB623" t="s">
        <v>41</v>
      </c>
      <c r="AD623" t="s">
        <v>656</v>
      </c>
      <c r="AF623" t="s">
        <v>2667</v>
      </c>
      <c r="AJ623">
        <v>690.33445473191728</v>
      </c>
      <c r="AK623">
        <v>22975.123090052832</v>
      </c>
    </row>
    <row r="624" spans="1:37" x14ac:dyDescent="0.25">
      <c r="A624">
        <v>732</v>
      </c>
      <c r="B624" t="s">
        <v>3731</v>
      </c>
      <c r="C624" t="s">
        <v>376</v>
      </c>
      <c r="D624" t="s">
        <v>2604</v>
      </c>
      <c r="E624" t="s">
        <v>37</v>
      </c>
      <c r="F624" t="s">
        <v>38</v>
      </c>
      <c r="G624" s="2">
        <v>45869</v>
      </c>
      <c r="H624">
        <v>0.5</v>
      </c>
      <c r="I624" t="s">
        <v>72</v>
      </c>
      <c r="J624" t="s">
        <v>40</v>
      </c>
      <c r="K624" t="s">
        <v>41</v>
      </c>
      <c r="L624" t="s">
        <v>2605</v>
      </c>
      <c r="M624" t="s">
        <v>2606</v>
      </c>
      <c r="O624" t="s">
        <v>62</v>
      </c>
      <c r="P624" t="s">
        <v>63</v>
      </c>
      <c r="Q624">
        <v>0.84934428452920774</v>
      </c>
      <c r="R624" t="s">
        <v>64</v>
      </c>
      <c r="S624" t="s">
        <v>65</v>
      </c>
      <c r="T624" t="s">
        <v>3725</v>
      </c>
      <c r="V624" t="s">
        <v>121</v>
      </c>
      <c r="X624" t="s">
        <v>3726</v>
      </c>
      <c r="Y624" t="s">
        <v>120</v>
      </c>
      <c r="Z624" t="s">
        <v>2630</v>
      </c>
      <c r="AA624" t="s">
        <v>71</v>
      </c>
      <c r="AB624" t="s">
        <v>41</v>
      </c>
      <c r="AD624" t="s">
        <v>3727</v>
      </c>
      <c r="AF624" t="s">
        <v>3728</v>
      </c>
      <c r="AJ624">
        <v>338.72970156077503</v>
      </c>
      <c r="AK624">
        <v>3437.1881214144942</v>
      </c>
    </row>
    <row r="625" spans="1:37" hidden="1" x14ac:dyDescent="0.25">
      <c r="A625">
        <v>639</v>
      </c>
      <c r="B625" t="s">
        <v>3597</v>
      </c>
      <c r="C625" t="s">
        <v>376</v>
      </c>
      <c r="D625" t="s">
        <v>2604</v>
      </c>
      <c r="E625" t="s">
        <v>37</v>
      </c>
      <c r="F625" t="s">
        <v>38</v>
      </c>
      <c r="G625" s="2">
        <v>45825</v>
      </c>
      <c r="H625">
        <v>1.3</v>
      </c>
      <c r="I625" t="s">
        <v>72</v>
      </c>
      <c r="J625" t="s">
        <v>40</v>
      </c>
      <c r="K625" t="s">
        <v>41</v>
      </c>
      <c r="L625" t="s">
        <v>2605</v>
      </c>
      <c r="M625" t="s">
        <v>2606</v>
      </c>
      <c r="O625" t="s">
        <v>402</v>
      </c>
      <c r="P625" t="s">
        <v>403</v>
      </c>
      <c r="Q625">
        <v>1.3827454463318589</v>
      </c>
      <c r="S625" t="s">
        <v>38</v>
      </c>
      <c r="T625" t="s">
        <v>3548</v>
      </c>
      <c r="V625" t="s">
        <v>76</v>
      </c>
      <c r="X625" t="s">
        <v>3549</v>
      </c>
      <c r="Y625" t="s">
        <v>382</v>
      </c>
      <c r="Z625" t="s">
        <v>2623</v>
      </c>
      <c r="AA625" t="s">
        <v>121</v>
      </c>
      <c r="AB625" t="s">
        <v>41</v>
      </c>
      <c r="AD625" t="s">
        <v>620</v>
      </c>
      <c r="AF625" t="s">
        <v>3550</v>
      </c>
      <c r="AJ625">
        <v>333.1105410774021</v>
      </c>
      <c r="AK625">
        <v>5595.7946731887459</v>
      </c>
    </row>
    <row r="626" spans="1:37" hidden="1" x14ac:dyDescent="0.25">
      <c r="A626">
        <v>640</v>
      </c>
      <c r="B626" t="s">
        <v>3598</v>
      </c>
      <c r="C626" t="s">
        <v>376</v>
      </c>
      <c r="D626" t="s">
        <v>2604</v>
      </c>
      <c r="E626" t="s">
        <v>37</v>
      </c>
      <c r="F626" t="s">
        <v>38</v>
      </c>
      <c r="G626" s="2">
        <v>45825</v>
      </c>
      <c r="H626">
        <v>0.3</v>
      </c>
      <c r="I626" t="s">
        <v>72</v>
      </c>
      <c r="J626" t="s">
        <v>40</v>
      </c>
      <c r="K626" t="s">
        <v>41</v>
      </c>
      <c r="L626" t="s">
        <v>2605</v>
      </c>
      <c r="M626" t="s">
        <v>2606</v>
      </c>
      <c r="O626" t="s">
        <v>402</v>
      </c>
      <c r="P626" t="s">
        <v>403</v>
      </c>
      <c r="Q626">
        <v>0.33199429133540648</v>
      </c>
      <c r="S626" t="s">
        <v>38</v>
      </c>
      <c r="T626" t="s">
        <v>3548</v>
      </c>
      <c r="V626" t="s">
        <v>3559</v>
      </c>
      <c r="X626" t="s">
        <v>3549</v>
      </c>
      <c r="Y626" t="s">
        <v>382</v>
      </c>
      <c r="Z626" t="s">
        <v>2623</v>
      </c>
      <c r="AA626" t="s">
        <v>576</v>
      </c>
      <c r="AB626" t="s">
        <v>41</v>
      </c>
      <c r="AD626" t="s">
        <v>620</v>
      </c>
      <c r="AF626" t="s">
        <v>3550</v>
      </c>
      <c r="AJ626">
        <v>216.33768578298441</v>
      </c>
      <c r="AK626">
        <v>1343.5386042398691</v>
      </c>
    </row>
    <row r="627" spans="1:37" hidden="1" x14ac:dyDescent="0.25">
      <c r="A627">
        <v>641</v>
      </c>
      <c r="B627" t="s">
        <v>3599</v>
      </c>
      <c r="C627" t="s">
        <v>376</v>
      </c>
      <c r="D627" t="s">
        <v>2604</v>
      </c>
      <c r="E627" t="s">
        <v>37</v>
      </c>
      <c r="F627" t="s">
        <v>38</v>
      </c>
      <c r="G627" s="2">
        <v>45825</v>
      </c>
      <c r="H627">
        <v>11.8</v>
      </c>
      <c r="I627" t="s">
        <v>72</v>
      </c>
      <c r="J627" t="s">
        <v>40</v>
      </c>
      <c r="K627" t="s">
        <v>41</v>
      </c>
      <c r="L627" t="s">
        <v>2605</v>
      </c>
      <c r="M627" t="s">
        <v>2606</v>
      </c>
      <c r="O627" t="s">
        <v>402</v>
      </c>
      <c r="P627" t="s">
        <v>403</v>
      </c>
      <c r="Q627">
        <v>11.85616190906506</v>
      </c>
      <c r="S627" t="s">
        <v>38</v>
      </c>
      <c r="T627" t="s">
        <v>3592</v>
      </c>
      <c r="V627" t="s">
        <v>3596</v>
      </c>
      <c r="X627" t="s">
        <v>3572</v>
      </c>
      <c r="Y627" t="s">
        <v>382</v>
      </c>
      <c r="Z627" t="s">
        <v>2623</v>
      </c>
      <c r="AA627" t="s">
        <v>576</v>
      </c>
      <c r="AB627" t="s">
        <v>41</v>
      </c>
      <c r="AD627" t="s">
        <v>656</v>
      </c>
      <c r="AF627" t="s">
        <v>3550</v>
      </c>
      <c r="AJ627">
        <v>876.58846778438885</v>
      </c>
      <c r="AK627">
        <v>47980.376888029801</v>
      </c>
    </row>
    <row r="628" spans="1:37" hidden="1" x14ac:dyDescent="0.25">
      <c r="A628">
        <v>642</v>
      </c>
      <c r="B628" t="s">
        <v>3600</v>
      </c>
      <c r="C628" t="s">
        <v>376</v>
      </c>
      <c r="D628" t="s">
        <v>2604</v>
      </c>
      <c r="E628" t="s">
        <v>37</v>
      </c>
      <c r="F628" t="s">
        <v>38</v>
      </c>
      <c r="G628" s="2">
        <v>45825</v>
      </c>
      <c r="H628">
        <v>28.9</v>
      </c>
      <c r="I628" t="s">
        <v>72</v>
      </c>
      <c r="J628" t="s">
        <v>40</v>
      </c>
      <c r="K628" t="s">
        <v>41</v>
      </c>
      <c r="L628" t="s">
        <v>2605</v>
      </c>
      <c r="M628" t="s">
        <v>2606</v>
      </c>
      <c r="O628" t="s">
        <v>402</v>
      </c>
      <c r="P628" t="s">
        <v>403</v>
      </c>
      <c r="Q628">
        <v>29.238148523685169</v>
      </c>
      <c r="S628" t="s">
        <v>38</v>
      </c>
      <c r="T628" t="s">
        <v>3592</v>
      </c>
      <c r="V628" t="s">
        <v>75</v>
      </c>
      <c r="X628" t="s">
        <v>3572</v>
      </c>
      <c r="Y628" t="s">
        <v>382</v>
      </c>
      <c r="Z628" t="s">
        <v>2623</v>
      </c>
      <c r="AA628" t="s">
        <v>576</v>
      </c>
      <c r="AB628" t="s">
        <v>41</v>
      </c>
      <c r="AD628" t="s">
        <v>656</v>
      </c>
      <c r="AF628" t="s">
        <v>2667</v>
      </c>
      <c r="AJ628">
        <v>1440.6924613140991</v>
      </c>
      <c r="AK628">
        <v>118323.0624239368</v>
      </c>
    </row>
    <row r="629" spans="1:37" hidden="1" x14ac:dyDescent="0.25">
      <c r="A629">
        <v>643</v>
      </c>
      <c r="B629" t="s">
        <v>3601</v>
      </c>
      <c r="C629" t="s">
        <v>376</v>
      </c>
      <c r="D629" t="s">
        <v>2604</v>
      </c>
      <c r="E629" t="s">
        <v>37</v>
      </c>
      <c r="F629" t="s">
        <v>38</v>
      </c>
      <c r="G629" s="2">
        <v>45825</v>
      </c>
      <c r="I629" t="s">
        <v>72</v>
      </c>
      <c r="J629" t="s">
        <v>40</v>
      </c>
      <c r="K629" t="s">
        <v>41</v>
      </c>
      <c r="L629" t="s">
        <v>2605</v>
      </c>
      <c r="M629" t="s">
        <v>2606</v>
      </c>
      <c r="O629" t="s">
        <v>402</v>
      </c>
      <c r="P629" t="s">
        <v>403</v>
      </c>
      <c r="Q629">
        <v>37.265087669594799</v>
      </c>
      <c r="S629" t="s">
        <v>38</v>
      </c>
      <c r="T629" t="s">
        <v>673</v>
      </c>
      <c r="V629" t="s">
        <v>3596</v>
      </c>
      <c r="X629" t="s">
        <v>673</v>
      </c>
      <c r="Y629" t="s">
        <v>382</v>
      </c>
      <c r="Z629" t="s">
        <v>2623</v>
      </c>
      <c r="AA629" t="s">
        <v>576</v>
      </c>
      <c r="AB629" t="s">
        <v>41</v>
      </c>
      <c r="AE629" t="s">
        <v>3602</v>
      </c>
      <c r="AJ629">
        <v>2202.8175339953982</v>
      </c>
      <c r="AK629">
        <v>150807.06259464589</v>
      </c>
    </row>
    <row r="630" spans="1:37" hidden="1" x14ac:dyDescent="0.25">
      <c r="A630">
        <v>644</v>
      </c>
      <c r="B630" t="s">
        <v>3603</v>
      </c>
      <c r="C630" t="s">
        <v>376</v>
      </c>
      <c r="D630" t="s">
        <v>2604</v>
      </c>
      <c r="E630" t="s">
        <v>37</v>
      </c>
      <c r="F630" t="s">
        <v>38</v>
      </c>
      <c r="G630" s="2">
        <v>45825</v>
      </c>
      <c r="H630">
        <v>11.3</v>
      </c>
      <c r="I630" t="s">
        <v>72</v>
      </c>
      <c r="J630" t="s">
        <v>40</v>
      </c>
      <c r="K630" t="s">
        <v>41</v>
      </c>
      <c r="L630" t="s">
        <v>2605</v>
      </c>
      <c r="M630" t="s">
        <v>2606</v>
      </c>
      <c r="O630" t="s">
        <v>402</v>
      </c>
      <c r="P630" t="s">
        <v>403</v>
      </c>
      <c r="Q630">
        <v>11.518014177184391</v>
      </c>
      <c r="S630" t="s">
        <v>38</v>
      </c>
      <c r="T630" t="s">
        <v>3592</v>
      </c>
      <c r="V630" t="s">
        <v>3596</v>
      </c>
      <c r="X630" t="s">
        <v>3572</v>
      </c>
      <c r="Y630" t="s">
        <v>382</v>
      </c>
      <c r="Z630" t="s">
        <v>2623</v>
      </c>
      <c r="AA630" t="s">
        <v>576</v>
      </c>
      <c r="AB630" t="s">
        <v>41</v>
      </c>
      <c r="AD630" t="s">
        <v>656</v>
      </c>
      <c r="AF630" t="s">
        <v>3550</v>
      </c>
      <c r="AJ630">
        <v>857.34359754751756</v>
      </c>
      <c r="AK630">
        <v>46611.93609379082</v>
      </c>
    </row>
    <row r="631" spans="1:37" hidden="1" x14ac:dyDescent="0.25">
      <c r="A631">
        <v>645</v>
      </c>
      <c r="B631" t="s">
        <v>3604</v>
      </c>
      <c r="C631" t="s">
        <v>376</v>
      </c>
      <c r="D631" t="s">
        <v>2604</v>
      </c>
      <c r="E631" t="s">
        <v>37</v>
      </c>
      <c r="F631" t="s">
        <v>38</v>
      </c>
      <c r="G631" s="2">
        <v>45825</v>
      </c>
      <c r="I631" t="s">
        <v>72</v>
      </c>
      <c r="J631" t="s">
        <v>40</v>
      </c>
      <c r="K631" t="s">
        <v>41</v>
      </c>
      <c r="L631" t="s">
        <v>2605</v>
      </c>
      <c r="M631" t="s">
        <v>2606</v>
      </c>
      <c r="O631" t="s">
        <v>402</v>
      </c>
      <c r="P631" t="s">
        <v>403</v>
      </c>
      <c r="Q631">
        <v>24.058559763760439</v>
      </c>
      <c r="S631" t="s">
        <v>38</v>
      </c>
      <c r="T631" t="s">
        <v>673</v>
      </c>
      <c r="V631" t="s">
        <v>3596</v>
      </c>
      <c r="X631" t="s">
        <v>673</v>
      </c>
      <c r="Y631" t="s">
        <v>382</v>
      </c>
      <c r="Z631" t="s">
        <v>2623</v>
      </c>
      <c r="AA631" t="s">
        <v>576</v>
      </c>
      <c r="AB631" t="s">
        <v>41</v>
      </c>
      <c r="AE631" t="s">
        <v>3605</v>
      </c>
      <c r="AJ631">
        <v>1726.612612413111</v>
      </c>
      <c r="AK631">
        <v>97361.926540984889</v>
      </c>
    </row>
    <row r="632" spans="1:37" hidden="1" x14ac:dyDescent="0.25">
      <c r="A632">
        <v>646</v>
      </c>
      <c r="B632" t="s">
        <v>3606</v>
      </c>
      <c r="C632" t="s">
        <v>376</v>
      </c>
      <c r="D632" t="s">
        <v>2604</v>
      </c>
      <c r="E632" t="s">
        <v>37</v>
      </c>
      <c r="F632" t="s">
        <v>38</v>
      </c>
      <c r="G632" s="2">
        <v>45825</v>
      </c>
      <c r="H632">
        <v>0.3</v>
      </c>
      <c r="I632" t="s">
        <v>72</v>
      </c>
      <c r="J632" t="s">
        <v>40</v>
      </c>
      <c r="K632" t="s">
        <v>41</v>
      </c>
      <c r="L632" t="s">
        <v>2605</v>
      </c>
      <c r="M632" t="s">
        <v>2606</v>
      </c>
      <c r="O632" t="s">
        <v>402</v>
      </c>
      <c r="P632" t="s">
        <v>403</v>
      </c>
      <c r="Q632">
        <v>0.28612021589724129</v>
      </c>
      <c r="S632" t="s">
        <v>38</v>
      </c>
      <c r="T632" t="s">
        <v>57</v>
      </c>
      <c r="V632" t="s">
        <v>3596</v>
      </c>
      <c r="Y632" t="s">
        <v>382</v>
      </c>
      <c r="Z632" t="s">
        <v>2623</v>
      </c>
      <c r="AA632" t="s">
        <v>576</v>
      </c>
      <c r="AB632" t="s">
        <v>41</v>
      </c>
      <c r="AJ632">
        <v>149.5023597441745</v>
      </c>
      <c r="AK632">
        <v>1157.8920648458529</v>
      </c>
    </row>
    <row r="633" spans="1:37" hidden="1" x14ac:dyDescent="0.25">
      <c r="A633">
        <v>647</v>
      </c>
      <c r="B633" t="s">
        <v>3607</v>
      </c>
      <c r="C633" t="s">
        <v>376</v>
      </c>
      <c r="D633" t="s">
        <v>2604</v>
      </c>
      <c r="E633" t="s">
        <v>37</v>
      </c>
      <c r="F633" t="s">
        <v>38</v>
      </c>
      <c r="G633" s="2">
        <v>45825</v>
      </c>
      <c r="H633">
        <v>0.3</v>
      </c>
      <c r="I633" t="s">
        <v>72</v>
      </c>
      <c r="J633" t="s">
        <v>40</v>
      </c>
      <c r="K633" t="s">
        <v>41</v>
      </c>
      <c r="L633" t="s">
        <v>2605</v>
      </c>
      <c r="M633" t="s">
        <v>2606</v>
      </c>
      <c r="O633" t="s">
        <v>402</v>
      </c>
      <c r="P633" t="s">
        <v>403</v>
      </c>
      <c r="Q633">
        <v>0.30972401772237301</v>
      </c>
      <c r="S633" t="s">
        <v>38</v>
      </c>
      <c r="V633" t="s">
        <v>75</v>
      </c>
      <c r="Y633" t="s">
        <v>382</v>
      </c>
      <c r="Z633" t="s">
        <v>2623</v>
      </c>
      <c r="AA633" t="s">
        <v>576</v>
      </c>
      <c r="AB633" t="s">
        <v>41</v>
      </c>
      <c r="AJ633">
        <v>138.29504991698971</v>
      </c>
      <c r="AK633">
        <v>1253.413643940879</v>
      </c>
    </row>
    <row r="634" spans="1:37" hidden="1" x14ac:dyDescent="0.25">
      <c r="A634">
        <v>648</v>
      </c>
      <c r="B634" t="s">
        <v>3608</v>
      </c>
      <c r="C634" t="s">
        <v>376</v>
      </c>
      <c r="D634" t="s">
        <v>2604</v>
      </c>
      <c r="E634" t="s">
        <v>37</v>
      </c>
      <c r="F634" t="s">
        <v>38</v>
      </c>
      <c r="G634" s="2">
        <v>45825</v>
      </c>
      <c r="H634">
        <v>1.1000000000000001</v>
      </c>
      <c r="I634" t="s">
        <v>72</v>
      </c>
      <c r="J634" t="s">
        <v>40</v>
      </c>
      <c r="K634" t="s">
        <v>41</v>
      </c>
      <c r="L634" t="s">
        <v>2605</v>
      </c>
      <c r="M634" t="s">
        <v>2606</v>
      </c>
      <c r="O634" t="s">
        <v>402</v>
      </c>
      <c r="P634" t="s">
        <v>403</v>
      </c>
      <c r="Q634">
        <v>0.99382058391626182</v>
      </c>
      <c r="S634" t="s">
        <v>38</v>
      </c>
      <c r="T634" t="s">
        <v>3609</v>
      </c>
      <c r="V634" t="s">
        <v>75</v>
      </c>
      <c r="X634" t="s">
        <v>3572</v>
      </c>
      <c r="Y634" t="s">
        <v>382</v>
      </c>
      <c r="Z634" t="s">
        <v>2623</v>
      </c>
      <c r="AA634" t="s">
        <v>576</v>
      </c>
      <c r="AB634" t="s">
        <v>41</v>
      </c>
      <c r="AD634" t="s">
        <v>3610</v>
      </c>
      <c r="AF634" t="s">
        <v>3550</v>
      </c>
      <c r="AJ634">
        <v>368.50215488626611</v>
      </c>
      <c r="AK634">
        <v>4021.8653001799548</v>
      </c>
    </row>
    <row r="635" spans="1:37" hidden="1" x14ac:dyDescent="0.25">
      <c r="A635">
        <v>649</v>
      </c>
      <c r="B635" t="s">
        <v>3611</v>
      </c>
      <c r="C635" t="s">
        <v>376</v>
      </c>
      <c r="D635" t="s">
        <v>2604</v>
      </c>
      <c r="E635" t="s">
        <v>37</v>
      </c>
      <c r="F635" t="s">
        <v>38</v>
      </c>
      <c r="G635" s="2">
        <v>45825</v>
      </c>
      <c r="H635">
        <v>20.8</v>
      </c>
      <c r="I635" t="s">
        <v>72</v>
      </c>
      <c r="J635" t="s">
        <v>40</v>
      </c>
      <c r="K635" t="s">
        <v>41</v>
      </c>
      <c r="L635" t="s">
        <v>2605</v>
      </c>
      <c r="M635" t="s">
        <v>2606</v>
      </c>
      <c r="O635" t="s">
        <v>402</v>
      </c>
      <c r="P635" t="s">
        <v>403</v>
      </c>
      <c r="Q635">
        <v>20.965159849896299</v>
      </c>
      <c r="S635" t="s">
        <v>38</v>
      </c>
      <c r="T635" t="s">
        <v>3609</v>
      </c>
      <c r="V635" t="s">
        <v>3596</v>
      </c>
      <c r="X635" t="s">
        <v>3612</v>
      </c>
      <c r="Y635" t="s">
        <v>382</v>
      </c>
      <c r="Z635" t="s">
        <v>2623</v>
      </c>
      <c r="AA635" t="s">
        <v>576</v>
      </c>
      <c r="AB635" t="s">
        <v>41</v>
      </c>
      <c r="AD635" t="s">
        <v>3610</v>
      </c>
      <c r="AF635" t="s">
        <v>3613</v>
      </c>
      <c r="AJ635">
        <v>1199.689285408474</v>
      </c>
      <c r="AK635">
        <v>84843.331158180692</v>
      </c>
    </row>
    <row r="636" spans="1:37" hidden="1" x14ac:dyDescent="0.25">
      <c r="A636">
        <v>650</v>
      </c>
      <c r="B636" t="s">
        <v>3614</v>
      </c>
      <c r="C636" t="s">
        <v>376</v>
      </c>
      <c r="D636" t="s">
        <v>2604</v>
      </c>
      <c r="E636" t="s">
        <v>37</v>
      </c>
      <c r="F636" t="s">
        <v>38</v>
      </c>
      <c r="G636" s="2">
        <v>45825</v>
      </c>
      <c r="H636">
        <v>16.3</v>
      </c>
      <c r="I636" t="s">
        <v>72</v>
      </c>
      <c r="J636" t="s">
        <v>40</v>
      </c>
      <c r="K636" t="s">
        <v>41</v>
      </c>
      <c r="L636" t="s">
        <v>2605</v>
      </c>
      <c r="M636" t="s">
        <v>2606</v>
      </c>
      <c r="O636" t="s">
        <v>402</v>
      </c>
      <c r="P636" t="s">
        <v>403</v>
      </c>
      <c r="Q636">
        <v>16.397759036641109</v>
      </c>
      <c r="S636" t="s">
        <v>38</v>
      </c>
      <c r="T636" t="s">
        <v>3609</v>
      </c>
      <c r="V636" t="s">
        <v>3596</v>
      </c>
      <c r="X636" t="s">
        <v>3612</v>
      </c>
      <c r="Y636" t="s">
        <v>382</v>
      </c>
      <c r="Z636" t="s">
        <v>2623</v>
      </c>
      <c r="AA636" t="s">
        <v>576</v>
      </c>
      <c r="AB636" t="s">
        <v>41</v>
      </c>
      <c r="AD636" t="s">
        <v>3610</v>
      </c>
      <c r="AF636" t="s">
        <v>3613</v>
      </c>
      <c r="AJ636">
        <v>1175.284147183917</v>
      </c>
      <c r="AK636">
        <v>66359.641908700898</v>
      </c>
    </row>
    <row r="637" spans="1:37" hidden="1" x14ac:dyDescent="0.25">
      <c r="A637">
        <v>651</v>
      </c>
      <c r="B637" t="s">
        <v>3615</v>
      </c>
      <c r="C637" t="s">
        <v>376</v>
      </c>
      <c r="D637" t="s">
        <v>2604</v>
      </c>
      <c r="E637" t="s">
        <v>37</v>
      </c>
      <c r="F637" t="s">
        <v>38</v>
      </c>
      <c r="G637" s="2">
        <v>45825</v>
      </c>
      <c r="H637">
        <v>19.7</v>
      </c>
      <c r="I637" t="s">
        <v>72</v>
      </c>
      <c r="J637" t="s">
        <v>40</v>
      </c>
      <c r="K637" t="s">
        <v>41</v>
      </c>
      <c r="L637" t="s">
        <v>2605</v>
      </c>
      <c r="M637" t="s">
        <v>2606</v>
      </c>
      <c r="O637" t="s">
        <v>55</v>
      </c>
      <c r="P637" t="s">
        <v>56</v>
      </c>
      <c r="Q637">
        <v>16.11023084567206</v>
      </c>
      <c r="R637" t="s">
        <v>46</v>
      </c>
      <c r="S637" t="s">
        <v>47</v>
      </c>
      <c r="T637" t="s">
        <v>3548</v>
      </c>
      <c r="V637" t="s">
        <v>75</v>
      </c>
      <c r="X637" t="s">
        <v>3587</v>
      </c>
      <c r="Y637" t="s">
        <v>382</v>
      </c>
      <c r="Z637" t="s">
        <v>2623</v>
      </c>
      <c r="AA637" t="s">
        <v>121</v>
      </c>
      <c r="AB637" t="s">
        <v>41</v>
      </c>
      <c r="AD637" t="s">
        <v>620</v>
      </c>
      <c r="AF637" t="s">
        <v>3550</v>
      </c>
      <c r="AJ637">
        <v>1047.6807628752549</v>
      </c>
      <c r="AK637">
        <v>65196.051948101544</v>
      </c>
    </row>
    <row r="638" spans="1:37" hidden="1" x14ac:dyDescent="0.25">
      <c r="A638">
        <v>652</v>
      </c>
      <c r="B638" t="s">
        <v>3616</v>
      </c>
      <c r="C638" t="s">
        <v>376</v>
      </c>
      <c r="D638" t="s">
        <v>2604</v>
      </c>
      <c r="E638" t="s">
        <v>37</v>
      </c>
      <c r="F638" t="s">
        <v>38</v>
      </c>
      <c r="G638" s="2">
        <v>45825</v>
      </c>
      <c r="H638">
        <v>19.3</v>
      </c>
      <c r="I638" t="s">
        <v>72</v>
      </c>
      <c r="J638" t="s">
        <v>40</v>
      </c>
      <c r="K638" t="s">
        <v>41</v>
      </c>
      <c r="L638" t="s">
        <v>2605</v>
      </c>
      <c r="M638" t="s">
        <v>2606</v>
      </c>
      <c r="O638" t="s">
        <v>402</v>
      </c>
      <c r="P638" t="s">
        <v>403</v>
      </c>
      <c r="Q638">
        <v>19.628733558330651</v>
      </c>
      <c r="S638" t="s">
        <v>38</v>
      </c>
      <c r="T638" t="s">
        <v>3609</v>
      </c>
      <c r="V638" t="s">
        <v>3596</v>
      </c>
      <c r="X638" t="s">
        <v>3612</v>
      </c>
      <c r="Y638" t="s">
        <v>382</v>
      </c>
      <c r="Z638" t="s">
        <v>2623</v>
      </c>
      <c r="AA638" t="s">
        <v>576</v>
      </c>
      <c r="AB638" t="s">
        <v>41</v>
      </c>
      <c r="AD638" t="s">
        <v>3610</v>
      </c>
      <c r="AF638" t="s">
        <v>3613</v>
      </c>
      <c r="AJ638">
        <v>1207.47710504576</v>
      </c>
      <c r="AK638">
        <v>79434.984203727858</v>
      </c>
    </row>
    <row r="639" spans="1:37" hidden="1" x14ac:dyDescent="0.25">
      <c r="A639">
        <v>653</v>
      </c>
      <c r="B639" t="s">
        <v>3617</v>
      </c>
      <c r="C639" t="s">
        <v>376</v>
      </c>
      <c r="D639" t="s">
        <v>2604</v>
      </c>
      <c r="E639" t="s">
        <v>37</v>
      </c>
      <c r="F639" t="s">
        <v>38</v>
      </c>
      <c r="G639" s="2">
        <v>45825</v>
      </c>
      <c r="H639">
        <v>9</v>
      </c>
      <c r="I639" t="s">
        <v>72</v>
      </c>
      <c r="J639" t="s">
        <v>40</v>
      </c>
      <c r="K639" t="s">
        <v>41</v>
      </c>
      <c r="L639" t="s">
        <v>2605</v>
      </c>
      <c r="M639" t="s">
        <v>2606</v>
      </c>
      <c r="O639" t="s">
        <v>402</v>
      </c>
      <c r="P639" t="s">
        <v>403</v>
      </c>
      <c r="Q639">
        <v>9.0580476052849548</v>
      </c>
      <c r="S639" t="s">
        <v>38</v>
      </c>
      <c r="T639" t="s">
        <v>3618</v>
      </c>
      <c r="V639" t="s">
        <v>3596</v>
      </c>
      <c r="X639" t="s">
        <v>3612</v>
      </c>
      <c r="Y639" t="s">
        <v>382</v>
      </c>
      <c r="Z639" t="s">
        <v>2623</v>
      </c>
      <c r="AA639" t="s">
        <v>576</v>
      </c>
      <c r="AB639" t="s">
        <v>41</v>
      </c>
      <c r="AD639" t="s">
        <v>3610</v>
      </c>
      <c r="AF639" t="s">
        <v>3613</v>
      </c>
      <c r="AJ639">
        <v>872.6690789804602</v>
      </c>
      <c r="AK639">
        <v>36656.764752764742</v>
      </c>
    </row>
    <row r="640" spans="1:37" x14ac:dyDescent="0.25">
      <c r="A640">
        <v>741</v>
      </c>
      <c r="B640" t="s">
        <v>3743</v>
      </c>
      <c r="C640" t="s">
        <v>376</v>
      </c>
      <c r="D640" t="s">
        <v>2604</v>
      </c>
      <c r="E640" t="s">
        <v>37</v>
      </c>
      <c r="F640" t="s">
        <v>38</v>
      </c>
      <c r="G640" s="2">
        <v>45846</v>
      </c>
      <c r="H640">
        <v>4.5</v>
      </c>
      <c r="I640" t="s">
        <v>72</v>
      </c>
      <c r="J640" t="s">
        <v>40</v>
      </c>
      <c r="K640" t="s">
        <v>41</v>
      </c>
      <c r="L640" t="s">
        <v>2605</v>
      </c>
      <c r="M640" t="s">
        <v>2606</v>
      </c>
      <c r="O640" t="s">
        <v>62</v>
      </c>
      <c r="P640" t="s">
        <v>63</v>
      </c>
      <c r="Q640">
        <v>4.936070332822502</v>
      </c>
      <c r="R640" t="s">
        <v>64</v>
      </c>
      <c r="S640" t="s">
        <v>65</v>
      </c>
      <c r="T640" t="s">
        <v>3319</v>
      </c>
      <c r="V640" t="s">
        <v>860</v>
      </c>
      <c r="X640" t="s">
        <v>3320</v>
      </c>
      <c r="Y640" t="s">
        <v>412</v>
      </c>
      <c r="Z640" t="s">
        <v>2623</v>
      </c>
      <c r="AA640" t="s">
        <v>2116</v>
      </c>
      <c r="AB640" t="s">
        <v>41</v>
      </c>
      <c r="AD640" t="s">
        <v>399</v>
      </c>
      <c r="AF640" t="s">
        <v>865</v>
      </c>
      <c r="AJ640">
        <v>613.54986531233135</v>
      </c>
      <c r="AK640">
        <v>19975.64783031226</v>
      </c>
    </row>
    <row r="641" spans="1:37" hidden="1" x14ac:dyDescent="0.25">
      <c r="A641">
        <v>655</v>
      </c>
      <c r="B641" t="s">
        <v>3620</v>
      </c>
      <c r="C641" t="s">
        <v>376</v>
      </c>
      <c r="D641" t="s">
        <v>2604</v>
      </c>
      <c r="E641" t="s">
        <v>37</v>
      </c>
      <c r="F641" t="s">
        <v>38</v>
      </c>
      <c r="G641" s="2">
        <v>45825</v>
      </c>
      <c r="H641">
        <v>32.4</v>
      </c>
      <c r="I641" t="s">
        <v>72</v>
      </c>
      <c r="J641" t="s">
        <v>40</v>
      </c>
      <c r="K641" t="s">
        <v>41</v>
      </c>
      <c r="L641" t="s">
        <v>2605</v>
      </c>
      <c r="M641" t="s">
        <v>2606</v>
      </c>
      <c r="O641" t="s">
        <v>402</v>
      </c>
      <c r="P641" t="s">
        <v>403</v>
      </c>
      <c r="Q641">
        <v>32.681913174344047</v>
      </c>
      <c r="S641" t="s">
        <v>38</v>
      </c>
      <c r="T641" t="s">
        <v>3618</v>
      </c>
      <c r="V641" t="s">
        <v>3596</v>
      </c>
      <c r="X641" t="s">
        <v>3612</v>
      </c>
      <c r="Y641" t="s">
        <v>382</v>
      </c>
      <c r="Z641" t="s">
        <v>2623</v>
      </c>
      <c r="AA641" t="s">
        <v>576</v>
      </c>
      <c r="AB641" t="s">
        <v>41</v>
      </c>
      <c r="AD641" t="s">
        <v>3610</v>
      </c>
      <c r="AF641" t="s">
        <v>3613</v>
      </c>
      <c r="AJ641">
        <v>1468.445186388971</v>
      </c>
      <c r="AK641">
        <v>132259.5392635414</v>
      </c>
    </row>
    <row r="642" spans="1:37" hidden="1" x14ac:dyDescent="0.25">
      <c r="A642">
        <v>656</v>
      </c>
      <c r="B642" t="s">
        <v>3621</v>
      </c>
      <c r="C642" t="s">
        <v>376</v>
      </c>
      <c r="D642" t="s">
        <v>2604</v>
      </c>
      <c r="E642" t="s">
        <v>37</v>
      </c>
      <c r="F642" t="s">
        <v>38</v>
      </c>
      <c r="G642" s="2">
        <v>45825</v>
      </c>
      <c r="H642">
        <v>13.3</v>
      </c>
      <c r="I642" t="s">
        <v>72</v>
      </c>
      <c r="J642" t="s">
        <v>40</v>
      </c>
      <c r="K642" t="s">
        <v>41</v>
      </c>
      <c r="L642" t="s">
        <v>2605</v>
      </c>
      <c r="M642" t="s">
        <v>2606</v>
      </c>
      <c r="O642" t="s">
        <v>402</v>
      </c>
      <c r="P642" t="s">
        <v>403</v>
      </c>
      <c r="Q642">
        <v>13.156088410388319</v>
      </c>
      <c r="S642" t="s">
        <v>38</v>
      </c>
      <c r="T642" t="s">
        <v>3618</v>
      </c>
      <c r="V642" t="s">
        <v>75</v>
      </c>
      <c r="X642" t="s">
        <v>3612</v>
      </c>
      <c r="Y642" t="s">
        <v>382</v>
      </c>
      <c r="Z642" t="s">
        <v>2623</v>
      </c>
      <c r="AA642" t="s">
        <v>576</v>
      </c>
      <c r="AB642" t="s">
        <v>41</v>
      </c>
      <c r="AD642" t="s">
        <v>3610</v>
      </c>
      <c r="AF642" t="s">
        <v>3613</v>
      </c>
      <c r="AJ642">
        <v>1039.5074477644171</v>
      </c>
      <c r="AK642">
        <v>53241.013841084568</v>
      </c>
    </row>
    <row r="643" spans="1:37" hidden="1" x14ac:dyDescent="0.25">
      <c r="A643">
        <v>657</v>
      </c>
      <c r="B643" t="s">
        <v>3622</v>
      </c>
      <c r="C643" t="s">
        <v>376</v>
      </c>
      <c r="D643" t="s">
        <v>2604</v>
      </c>
      <c r="E643" t="s">
        <v>37</v>
      </c>
      <c r="F643" t="s">
        <v>38</v>
      </c>
      <c r="G643" s="2">
        <v>45825</v>
      </c>
      <c r="H643">
        <v>2.5</v>
      </c>
      <c r="I643" t="s">
        <v>72</v>
      </c>
      <c r="J643" t="s">
        <v>40</v>
      </c>
      <c r="K643" t="s">
        <v>41</v>
      </c>
      <c r="L643" t="s">
        <v>2605</v>
      </c>
      <c r="M643" t="s">
        <v>2606</v>
      </c>
      <c r="O643" t="s">
        <v>402</v>
      </c>
      <c r="P643" t="s">
        <v>403</v>
      </c>
      <c r="Q643">
        <v>2.470014735765282</v>
      </c>
      <c r="S643" t="s">
        <v>38</v>
      </c>
      <c r="T643" t="s">
        <v>3618</v>
      </c>
      <c r="V643" t="s">
        <v>3596</v>
      </c>
      <c r="X643" t="s">
        <v>3612</v>
      </c>
      <c r="Y643" t="s">
        <v>698</v>
      </c>
      <c r="Z643" t="s">
        <v>2623</v>
      </c>
      <c r="AA643" t="s">
        <v>73</v>
      </c>
      <c r="AB643" t="s">
        <v>41</v>
      </c>
      <c r="AD643" t="s">
        <v>3610</v>
      </c>
      <c r="AF643" t="s">
        <v>3613</v>
      </c>
      <c r="AJ643">
        <v>604.01398949400084</v>
      </c>
      <c r="AK643">
        <v>9995.8349801543045</v>
      </c>
    </row>
    <row r="644" spans="1:37" hidden="1" x14ac:dyDescent="0.25">
      <c r="A644">
        <v>658</v>
      </c>
      <c r="B644" t="s">
        <v>3623</v>
      </c>
      <c r="C644" t="s">
        <v>376</v>
      </c>
      <c r="D644" t="s">
        <v>2604</v>
      </c>
      <c r="E644" t="s">
        <v>37</v>
      </c>
      <c r="F644" t="s">
        <v>38</v>
      </c>
      <c r="G644" s="2">
        <v>45825</v>
      </c>
      <c r="H644">
        <v>22.4</v>
      </c>
      <c r="I644" t="s">
        <v>72</v>
      </c>
      <c r="J644" t="s">
        <v>40</v>
      </c>
      <c r="K644" t="s">
        <v>41</v>
      </c>
      <c r="L644" t="s">
        <v>2605</v>
      </c>
      <c r="M644" t="s">
        <v>2606</v>
      </c>
      <c r="O644" t="s">
        <v>402</v>
      </c>
      <c r="P644" t="s">
        <v>403</v>
      </c>
      <c r="Q644">
        <v>28.157223500085681</v>
      </c>
      <c r="S644" t="s">
        <v>38</v>
      </c>
      <c r="T644" t="s">
        <v>3624</v>
      </c>
      <c r="V644" t="s">
        <v>3625</v>
      </c>
      <c r="X644" t="s">
        <v>3624</v>
      </c>
      <c r="Y644" t="s">
        <v>698</v>
      </c>
      <c r="Z644" t="s">
        <v>2623</v>
      </c>
      <c r="AA644" t="s">
        <v>73</v>
      </c>
      <c r="AB644" t="s">
        <v>41</v>
      </c>
      <c r="AD644" t="s">
        <v>3626</v>
      </c>
      <c r="AF644" t="s">
        <v>3613</v>
      </c>
      <c r="AJ644">
        <v>1589.6659588701359</v>
      </c>
      <c r="AK644">
        <v>113948.69655260439</v>
      </c>
    </row>
    <row r="645" spans="1:37" hidden="1" x14ac:dyDescent="0.25">
      <c r="A645">
        <v>659</v>
      </c>
      <c r="B645" t="s">
        <v>3627</v>
      </c>
      <c r="C645" t="s">
        <v>376</v>
      </c>
      <c r="D645" t="s">
        <v>2604</v>
      </c>
      <c r="E645" t="s">
        <v>37</v>
      </c>
      <c r="F645" t="s">
        <v>38</v>
      </c>
      <c r="G645" s="2">
        <v>45825</v>
      </c>
      <c r="H645">
        <v>11.5</v>
      </c>
      <c r="I645" t="s">
        <v>72</v>
      </c>
      <c r="J645" t="s">
        <v>40</v>
      </c>
      <c r="K645" t="s">
        <v>41</v>
      </c>
      <c r="L645" t="s">
        <v>2605</v>
      </c>
      <c r="M645" t="s">
        <v>2606</v>
      </c>
      <c r="O645" t="s">
        <v>402</v>
      </c>
      <c r="P645" t="s">
        <v>403</v>
      </c>
      <c r="Q645">
        <v>11.169938933348901</v>
      </c>
      <c r="S645" t="s">
        <v>38</v>
      </c>
      <c r="T645" t="s">
        <v>3628</v>
      </c>
      <c r="V645" t="s">
        <v>3629</v>
      </c>
      <c r="X645" t="s">
        <v>3630</v>
      </c>
      <c r="Y645" t="s">
        <v>698</v>
      </c>
      <c r="Z645" t="s">
        <v>2623</v>
      </c>
      <c r="AA645" t="s">
        <v>60</v>
      </c>
      <c r="AB645" t="s">
        <v>41</v>
      </c>
      <c r="AD645" t="s">
        <v>3631</v>
      </c>
      <c r="AF645" t="s">
        <v>3632</v>
      </c>
      <c r="AJ645">
        <v>1278.766962782784</v>
      </c>
      <c r="AK645">
        <v>45203.319923337673</v>
      </c>
    </row>
    <row r="646" spans="1:37" hidden="1" x14ac:dyDescent="0.25">
      <c r="A646">
        <v>660</v>
      </c>
      <c r="B646" t="s">
        <v>3633</v>
      </c>
      <c r="C646" t="s">
        <v>376</v>
      </c>
      <c r="D646" t="s">
        <v>2604</v>
      </c>
      <c r="E646" t="s">
        <v>37</v>
      </c>
      <c r="F646" t="s">
        <v>38</v>
      </c>
      <c r="G646" s="2">
        <v>45825</v>
      </c>
      <c r="H646">
        <v>8.5</v>
      </c>
      <c r="I646" t="s">
        <v>72</v>
      </c>
      <c r="J646" t="s">
        <v>40</v>
      </c>
      <c r="K646" t="s">
        <v>41</v>
      </c>
      <c r="L646" t="s">
        <v>2605</v>
      </c>
      <c r="M646" t="s">
        <v>2606</v>
      </c>
      <c r="O646" t="s">
        <v>402</v>
      </c>
      <c r="P646" t="s">
        <v>403</v>
      </c>
      <c r="Q646">
        <v>9.8671073143476864</v>
      </c>
      <c r="S646" t="s">
        <v>38</v>
      </c>
      <c r="T646" t="s">
        <v>3634</v>
      </c>
      <c r="V646" t="s">
        <v>3625</v>
      </c>
      <c r="X646" t="s">
        <v>3624</v>
      </c>
      <c r="Y646" t="s">
        <v>698</v>
      </c>
      <c r="Z646" t="s">
        <v>2623</v>
      </c>
      <c r="AA646" t="s">
        <v>73</v>
      </c>
      <c r="AB646" t="s">
        <v>41</v>
      </c>
      <c r="AD646" t="s">
        <v>3626</v>
      </c>
      <c r="AF646" t="s">
        <v>3613</v>
      </c>
      <c r="AJ646">
        <v>873.23717859181238</v>
      </c>
      <c r="AK646">
        <v>39930.92632912354</v>
      </c>
    </row>
    <row r="647" spans="1:37" hidden="1" x14ac:dyDescent="0.25">
      <c r="A647">
        <v>661</v>
      </c>
      <c r="B647" t="s">
        <v>3635</v>
      </c>
      <c r="C647" t="s">
        <v>376</v>
      </c>
      <c r="D647" t="s">
        <v>2604</v>
      </c>
      <c r="E647" t="s">
        <v>37</v>
      </c>
      <c r="F647" t="s">
        <v>38</v>
      </c>
      <c r="G647" s="2">
        <v>45825</v>
      </c>
      <c r="H647">
        <v>22.8</v>
      </c>
      <c r="I647" t="s">
        <v>72</v>
      </c>
      <c r="J647" t="s">
        <v>40</v>
      </c>
      <c r="K647" t="s">
        <v>41</v>
      </c>
      <c r="L647" t="s">
        <v>2605</v>
      </c>
      <c r="M647" t="s">
        <v>2606</v>
      </c>
      <c r="O647" t="s">
        <v>402</v>
      </c>
      <c r="P647" t="s">
        <v>403</v>
      </c>
      <c r="Q647">
        <v>26.408112733753399</v>
      </c>
      <c r="S647" t="s">
        <v>38</v>
      </c>
      <c r="T647" t="s">
        <v>3624</v>
      </c>
      <c r="V647" t="s">
        <v>3625</v>
      </c>
      <c r="X647" t="s">
        <v>3624</v>
      </c>
      <c r="Y647" t="s">
        <v>698</v>
      </c>
      <c r="Z647" t="s">
        <v>2623</v>
      </c>
      <c r="AA647" t="s">
        <v>73</v>
      </c>
      <c r="AB647" t="s">
        <v>41</v>
      </c>
      <c r="AD647" t="s">
        <v>3626</v>
      </c>
      <c r="AF647" t="s">
        <v>3613</v>
      </c>
      <c r="AJ647">
        <v>1292.870730266922</v>
      </c>
      <c r="AK647">
        <v>106870.2681006981</v>
      </c>
    </row>
    <row r="648" spans="1:37" hidden="1" x14ac:dyDescent="0.25">
      <c r="A648">
        <v>662</v>
      </c>
      <c r="B648" t="s">
        <v>3636</v>
      </c>
      <c r="C648" t="s">
        <v>376</v>
      </c>
      <c r="D648" t="s">
        <v>2604</v>
      </c>
      <c r="E648" t="s">
        <v>37</v>
      </c>
      <c r="F648" t="s">
        <v>38</v>
      </c>
      <c r="G648" s="2">
        <v>45825</v>
      </c>
      <c r="H648">
        <v>0.2</v>
      </c>
      <c r="I648" t="s">
        <v>72</v>
      </c>
      <c r="J648" t="s">
        <v>40</v>
      </c>
      <c r="K648" t="s">
        <v>41</v>
      </c>
      <c r="L648" t="s">
        <v>2605</v>
      </c>
      <c r="M648" t="s">
        <v>2606</v>
      </c>
      <c r="O648" t="s">
        <v>402</v>
      </c>
      <c r="P648" t="s">
        <v>403</v>
      </c>
      <c r="Q648">
        <v>0.30599875394043469</v>
      </c>
      <c r="S648" t="s">
        <v>38</v>
      </c>
      <c r="T648" t="s">
        <v>3634</v>
      </c>
      <c r="V648" t="s">
        <v>3625</v>
      </c>
      <c r="X648" t="s">
        <v>3624</v>
      </c>
      <c r="Y648" t="s">
        <v>698</v>
      </c>
      <c r="Z648" t="s">
        <v>2623</v>
      </c>
      <c r="AA648" t="s">
        <v>73</v>
      </c>
      <c r="AB648" t="s">
        <v>41</v>
      </c>
      <c r="AD648" t="s">
        <v>3626</v>
      </c>
      <c r="AF648" t="s">
        <v>3613</v>
      </c>
      <c r="AJ648">
        <v>211.4457900042008</v>
      </c>
      <c r="AK648">
        <v>1238.337975977196</v>
      </c>
    </row>
    <row r="649" spans="1:37" hidden="1" x14ac:dyDescent="0.25">
      <c r="A649">
        <v>664</v>
      </c>
      <c r="B649" t="s">
        <v>3637</v>
      </c>
      <c r="C649" t="s">
        <v>376</v>
      </c>
      <c r="D649" t="s">
        <v>2604</v>
      </c>
      <c r="E649" t="s">
        <v>37</v>
      </c>
      <c r="F649" t="s">
        <v>38</v>
      </c>
      <c r="G649" s="2">
        <v>45825</v>
      </c>
      <c r="H649">
        <v>1.1000000000000001</v>
      </c>
      <c r="I649" t="s">
        <v>72</v>
      </c>
      <c r="J649" t="s">
        <v>40</v>
      </c>
      <c r="K649" t="s">
        <v>41</v>
      </c>
      <c r="L649" t="s">
        <v>2605</v>
      </c>
      <c r="M649" t="s">
        <v>2606</v>
      </c>
      <c r="O649" t="s">
        <v>141</v>
      </c>
      <c r="P649" t="s">
        <v>142</v>
      </c>
      <c r="Q649">
        <v>1.387984195503793</v>
      </c>
      <c r="S649" t="s">
        <v>38</v>
      </c>
      <c r="T649" t="s">
        <v>3638</v>
      </c>
      <c r="V649" t="s">
        <v>3625</v>
      </c>
      <c r="X649" t="s">
        <v>3624</v>
      </c>
      <c r="Y649" t="s">
        <v>698</v>
      </c>
      <c r="Z649" t="s">
        <v>2623</v>
      </c>
      <c r="AA649" t="s">
        <v>73</v>
      </c>
      <c r="AB649" t="s">
        <v>41</v>
      </c>
      <c r="AD649" t="s">
        <v>3626</v>
      </c>
      <c r="AF649" t="s">
        <v>3613</v>
      </c>
      <c r="AJ649">
        <v>289.70870753676809</v>
      </c>
      <c r="AK649">
        <v>5616.9952237226471</v>
      </c>
    </row>
    <row r="650" spans="1:37" hidden="1" x14ac:dyDescent="0.25">
      <c r="A650">
        <v>665</v>
      </c>
      <c r="B650" t="s">
        <v>3639</v>
      </c>
      <c r="C650" t="s">
        <v>376</v>
      </c>
      <c r="D650" t="s">
        <v>2604</v>
      </c>
      <c r="E650" t="s">
        <v>37</v>
      </c>
      <c r="F650" t="s">
        <v>38</v>
      </c>
      <c r="G650" s="2">
        <v>45825</v>
      </c>
      <c r="H650">
        <v>13.6</v>
      </c>
      <c r="I650" t="s">
        <v>72</v>
      </c>
      <c r="J650" t="s">
        <v>40</v>
      </c>
      <c r="K650" t="s">
        <v>41</v>
      </c>
      <c r="L650" t="s">
        <v>2605</v>
      </c>
      <c r="M650" t="s">
        <v>2606</v>
      </c>
      <c r="O650" t="s">
        <v>402</v>
      </c>
      <c r="P650" t="s">
        <v>403</v>
      </c>
      <c r="Q650">
        <v>15.53833768187588</v>
      </c>
      <c r="S650" t="s">
        <v>38</v>
      </c>
      <c r="T650" t="s">
        <v>3624</v>
      </c>
      <c r="V650" t="s">
        <v>3625</v>
      </c>
      <c r="X650" t="s">
        <v>3624</v>
      </c>
      <c r="Y650" t="s">
        <v>698</v>
      </c>
      <c r="Z650" t="s">
        <v>2623</v>
      </c>
      <c r="AA650" t="s">
        <v>73</v>
      </c>
      <c r="AB650" t="s">
        <v>41</v>
      </c>
      <c r="AD650" t="s">
        <v>3626</v>
      </c>
      <c r="AF650" t="s">
        <v>3613</v>
      </c>
      <c r="AJ650">
        <v>1853.048569418208</v>
      </c>
      <c r="AK650">
        <v>62881.673167760491</v>
      </c>
    </row>
    <row r="651" spans="1:37" hidden="1" x14ac:dyDescent="0.25">
      <c r="A651">
        <v>666</v>
      </c>
      <c r="B651" t="s">
        <v>3640</v>
      </c>
      <c r="C651" t="s">
        <v>376</v>
      </c>
      <c r="D651" t="s">
        <v>2604</v>
      </c>
      <c r="E651" t="s">
        <v>37</v>
      </c>
      <c r="F651" t="s">
        <v>38</v>
      </c>
      <c r="G651" s="2">
        <v>45825</v>
      </c>
      <c r="H651">
        <v>10.3</v>
      </c>
      <c r="I651" t="s">
        <v>72</v>
      </c>
      <c r="J651" t="s">
        <v>40</v>
      </c>
      <c r="K651" t="s">
        <v>41</v>
      </c>
      <c r="L651" t="s">
        <v>2605</v>
      </c>
      <c r="M651" t="s">
        <v>2606</v>
      </c>
      <c r="O651" t="s">
        <v>402</v>
      </c>
      <c r="P651" t="s">
        <v>403</v>
      </c>
      <c r="Q651">
        <v>11.65142752529931</v>
      </c>
      <c r="S651" t="s">
        <v>38</v>
      </c>
      <c r="T651" t="s">
        <v>3624</v>
      </c>
      <c r="V651" t="s">
        <v>64</v>
      </c>
      <c r="X651" t="s">
        <v>3624</v>
      </c>
      <c r="Y651" t="s">
        <v>698</v>
      </c>
      <c r="Z651" t="s">
        <v>2623</v>
      </c>
      <c r="AA651" t="s">
        <v>73</v>
      </c>
      <c r="AB651" t="s">
        <v>41</v>
      </c>
      <c r="AD651" t="s">
        <v>3626</v>
      </c>
      <c r="AF651" t="s">
        <v>3613</v>
      </c>
      <c r="AJ651">
        <v>927.2004322143315</v>
      </c>
      <c r="AK651">
        <v>47151.842918068724</v>
      </c>
    </row>
    <row r="652" spans="1:37" x14ac:dyDescent="0.25">
      <c r="A652">
        <v>748</v>
      </c>
      <c r="B652" t="s">
        <v>3750</v>
      </c>
      <c r="C652" t="s">
        <v>376</v>
      </c>
      <c r="D652" t="s">
        <v>2604</v>
      </c>
      <c r="E652" t="s">
        <v>37</v>
      </c>
      <c r="F652" t="s">
        <v>38</v>
      </c>
      <c r="G652" s="2">
        <v>45845</v>
      </c>
      <c r="H652">
        <v>15</v>
      </c>
      <c r="I652" t="s">
        <v>72</v>
      </c>
      <c r="J652" t="s">
        <v>40</v>
      </c>
      <c r="K652" t="s">
        <v>41</v>
      </c>
      <c r="L652" t="s">
        <v>2605</v>
      </c>
      <c r="M652" t="s">
        <v>2606</v>
      </c>
      <c r="N652" t="s">
        <v>2702</v>
      </c>
      <c r="O652" t="s">
        <v>62</v>
      </c>
      <c r="P652" t="s">
        <v>63</v>
      </c>
      <c r="Q652">
        <v>14.2143131065879</v>
      </c>
      <c r="R652" t="s">
        <v>64</v>
      </c>
      <c r="S652" t="s">
        <v>65</v>
      </c>
      <c r="T652" t="s">
        <v>57</v>
      </c>
      <c r="V652" t="s">
        <v>125</v>
      </c>
      <c r="X652" t="s">
        <v>2880</v>
      </c>
      <c r="Y652" t="s">
        <v>412</v>
      </c>
      <c r="Z652" t="s">
        <v>2623</v>
      </c>
      <c r="AA652" t="s">
        <v>71</v>
      </c>
      <c r="AB652" t="s">
        <v>41</v>
      </c>
      <c r="AD652" t="s">
        <v>620</v>
      </c>
      <c r="AF652" t="s">
        <v>2667</v>
      </c>
      <c r="AJ652">
        <v>986.60139502560776</v>
      </c>
      <c r="AK652">
        <v>57523.514379227141</v>
      </c>
    </row>
    <row r="653" spans="1:37" hidden="1" x14ac:dyDescent="0.25">
      <c r="A653">
        <v>668</v>
      </c>
      <c r="B653" t="s">
        <v>3642</v>
      </c>
      <c r="C653" t="s">
        <v>376</v>
      </c>
      <c r="D653" t="s">
        <v>2604</v>
      </c>
      <c r="E653" t="s">
        <v>37</v>
      </c>
      <c r="F653" t="s">
        <v>38</v>
      </c>
      <c r="G653" s="2">
        <v>45825</v>
      </c>
      <c r="H653">
        <v>12.3</v>
      </c>
      <c r="I653" t="s">
        <v>72</v>
      </c>
      <c r="J653" t="s">
        <v>40</v>
      </c>
      <c r="K653" t="s">
        <v>41</v>
      </c>
      <c r="L653" t="s">
        <v>2605</v>
      </c>
      <c r="M653" t="s">
        <v>2606</v>
      </c>
      <c r="O653" t="s">
        <v>402</v>
      </c>
      <c r="P653" t="s">
        <v>403</v>
      </c>
      <c r="Q653">
        <v>14.460018374664051</v>
      </c>
      <c r="S653" t="s">
        <v>38</v>
      </c>
      <c r="T653" t="s">
        <v>3624</v>
      </c>
      <c r="V653" t="s">
        <v>3625</v>
      </c>
      <c r="X653" t="s">
        <v>3624</v>
      </c>
      <c r="Y653" t="s">
        <v>698</v>
      </c>
      <c r="Z653" t="s">
        <v>2623</v>
      </c>
      <c r="AA653" t="s">
        <v>73</v>
      </c>
      <c r="AB653" t="s">
        <v>41</v>
      </c>
      <c r="AD653" t="s">
        <v>3626</v>
      </c>
      <c r="AF653" t="s">
        <v>3613</v>
      </c>
      <c r="AJ653">
        <v>1172.285040933411</v>
      </c>
      <c r="AK653">
        <v>58517.852298706333</v>
      </c>
    </row>
    <row r="654" spans="1:37" x14ac:dyDescent="0.25">
      <c r="A654">
        <v>783</v>
      </c>
      <c r="B654" t="s">
        <v>3796</v>
      </c>
      <c r="C654" t="s">
        <v>376</v>
      </c>
      <c r="D654" t="s">
        <v>2604</v>
      </c>
      <c r="E654" t="s">
        <v>37</v>
      </c>
      <c r="F654" t="s">
        <v>38</v>
      </c>
      <c r="G654" s="2">
        <v>45846</v>
      </c>
      <c r="H654">
        <v>20.5</v>
      </c>
      <c r="I654" t="s">
        <v>72</v>
      </c>
      <c r="J654" t="s">
        <v>40</v>
      </c>
      <c r="K654" t="s">
        <v>41</v>
      </c>
      <c r="L654" t="s">
        <v>2605</v>
      </c>
      <c r="M654" t="s">
        <v>2606</v>
      </c>
      <c r="O654" t="s">
        <v>62</v>
      </c>
      <c r="P654" t="s">
        <v>63</v>
      </c>
      <c r="Q654">
        <v>20.801784613283768</v>
      </c>
      <c r="R654" t="s">
        <v>64</v>
      </c>
      <c r="S654" t="s">
        <v>65</v>
      </c>
      <c r="T654" t="s">
        <v>3797</v>
      </c>
      <c r="V654" t="s">
        <v>54</v>
      </c>
      <c r="X654" t="s">
        <v>2629</v>
      </c>
      <c r="Y654" t="s">
        <v>420</v>
      </c>
      <c r="Z654" t="s">
        <v>2630</v>
      </c>
      <c r="AA654" t="s">
        <v>554</v>
      </c>
      <c r="AB654" t="s">
        <v>41</v>
      </c>
      <c r="AD654" t="s">
        <v>620</v>
      </c>
      <c r="AF654" t="s">
        <v>2631</v>
      </c>
      <c r="AJ654">
        <v>2133.5811599040808</v>
      </c>
      <c r="AK654">
        <v>84182.172388001738</v>
      </c>
    </row>
    <row r="655" spans="1:37" x14ac:dyDescent="0.25">
      <c r="A655">
        <v>790</v>
      </c>
      <c r="B655" t="s">
        <v>2604</v>
      </c>
      <c r="C655" t="s">
        <v>376</v>
      </c>
      <c r="D655" t="s">
        <v>2604</v>
      </c>
      <c r="E655" t="s">
        <v>37</v>
      </c>
      <c r="F655" t="s">
        <v>38</v>
      </c>
      <c r="G655" s="2">
        <v>45825</v>
      </c>
      <c r="H655">
        <v>3.1</v>
      </c>
      <c r="I655" t="s">
        <v>72</v>
      </c>
      <c r="J655" t="s">
        <v>40</v>
      </c>
      <c r="K655" t="s">
        <v>41</v>
      </c>
      <c r="L655" t="s">
        <v>2605</v>
      </c>
      <c r="M655" t="s">
        <v>2606</v>
      </c>
      <c r="O655" t="s">
        <v>62</v>
      </c>
      <c r="P655" t="s">
        <v>63</v>
      </c>
      <c r="Q655">
        <v>3.0035801197351448</v>
      </c>
      <c r="R655" t="s">
        <v>64</v>
      </c>
      <c r="S655" t="s">
        <v>65</v>
      </c>
      <c r="T655" t="s">
        <v>3380</v>
      </c>
      <c r="V655" t="s">
        <v>860</v>
      </c>
      <c r="X655" t="s">
        <v>3370</v>
      </c>
      <c r="Y655" t="s">
        <v>412</v>
      </c>
      <c r="Z655" t="s">
        <v>2623</v>
      </c>
      <c r="AA655" t="s">
        <v>2116</v>
      </c>
      <c r="AB655" t="s">
        <v>41</v>
      </c>
      <c r="AD655" t="s">
        <v>399</v>
      </c>
      <c r="AF655" t="s">
        <v>3401</v>
      </c>
      <c r="AJ655">
        <v>638.65061026252511</v>
      </c>
      <c r="AK655">
        <v>12155.106118118991</v>
      </c>
    </row>
    <row r="656" spans="1:37" x14ac:dyDescent="0.25">
      <c r="A656">
        <v>793</v>
      </c>
      <c r="B656" t="s">
        <v>2604</v>
      </c>
      <c r="C656" t="s">
        <v>376</v>
      </c>
      <c r="D656" t="s">
        <v>2604</v>
      </c>
      <c r="E656" t="s">
        <v>37</v>
      </c>
      <c r="F656" t="s">
        <v>38</v>
      </c>
      <c r="G656" s="2">
        <v>45825</v>
      </c>
      <c r="H656">
        <v>0.6</v>
      </c>
      <c r="I656" t="s">
        <v>72</v>
      </c>
      <c r="J656" t="s">
        <v>40</v>
      </c>
      <c r="K656" t="s">
        <v>41</v>
      </c>
      <c r="L656" t="s">
        <v>2605</v>
      </c>
      <c r="M656" t="s">
        <v>2606</v>
      </c>
      <c r="N656" t="s">
        <v>3027</v>
      </c>
      <c r="O656" t="s">
        <v>62</v>
      </c>
      <c r="P656" t="s">
        <v>63</v>
      </c>
      <c r="Q656">
        <v>0.66158767366183424</v>
      </c>
      <c r="R656" t="s">
        <v>64</v>
      </c>
      <c r="S656" t="s">
        <v>65</v>
      </c>
      <c r="T656" t="s">
        <v>3097</v>
      </c>
      <c r="V656" t="s">
        <v>110</v>
      </c>
      <c r="X656" t="s">
        <v>3257</v>
      </c>
      <c r="Y656" t="s">
        <v>412</v>
      </c>
      <c r="Z656" t="s">
        <v>2623</v>
      </c>
      <c r="AA656" t="s">
        <v>576</v>
      </c>
      <c r="AB656" t="s">
        <v>41</v>
      </c>
      <c r="AD656" t="s">
        <v>620</v>
      </c>
      <c r="AF656" t="s">
        <v>3304</v>
      </c>
      <c r="AJ656">
        <v>218.02003993194791</v>
      </c>
      <c r="AK656">
        <v>2677.3610355725018</v>
      </c>
    </row>
    <row r="657" spans="1:37" hidden="1" x14ac:dyDescent="0.25">
      <c r="A657">
        <v>672</v>
      </c>
      <c r="B657" t="s">
        <v>3649</v>
      </c>
      <c r="C657" t="s">
        <v>376</v>
      </c>
      <c r="D657" t="s">
        <v>2604</v>
      </c>
      <c r="E657" t="s">
        <v>37</v>
      </c>
      <c r="F657" t="s">
        <v>38</v>
      </c>
      <c r="G657" s="2">
        <v>45825</v>
      </c>
      <c r="I657" t="s">
        <v>72</v>
      </c>
      <c r="J657" t="s">
        <v>40</v>
      </c>
      <c r="K657" t="s">
        <v>41</v>
      </c>
      <c r="L657" t="s">
        <v>2605</v>
      </c>
      <c r="M657" t="s">
        <v>2606</v>
      </c>
      <c r="O657" t="s">
        <v>402</v>
      </c>
      <c r="P657" t="s">
        <v>403</v>
      </c>
      <c r="Q657">
        <v>3.9134749073097721</v>
      </c>
      <c r="S657" t="s">
        <v>38</v>
      </c>
      <c r="T657" t="s">
        <v>673</v>
      </c>
      <c r="V657" t="s">
        <v>3650</v>
      </c>
      <c r="X657" t="s">
        <v>673</v>
      </c>
      <c r="Y657" t="s">
        <v>698</v>
      </c>
      <c r="Z657" t="s">
        <v>2623</v>
      </c>
      <c r="AA657" t="s">
        <v>118</v>
      </c>
      <c r="AB657" t="s">
        <v>41</v>
      </c>
      <c r="AE657" t="s">
        <v>3651</v>
      </c>
      <c r="AJ657">
        <v>692.42398146798496</v>
      </c>
      <c r="AK657">
        <v>15837.33441182209</v>
      </c>
    </row>
    <row r="658" spans="1:37" x14ac:dyDescent="0.25">
      <c r="A658">
        <v>795</v>
      </c>
      <c r="B658" t="s">
        <v>2604</v>
      </c>
      <c r="C658" t="s">
        <v>376</v>
      </c>
      <c r="D658" t="s">
        <v>2604</v>
      </c>
      <c r="E658" t="s">
        <v>37</v>
      </c>
      <c r="F658" t="s">
        <v>38</v>
      </c>
      <c r="G658" s="2">
        <v>45846</v>
      </c>
      <c r="I658" t="s">
        <v>72</v>
      </c>
      <c r="J658" t="s">
        <v>40</v>
      </c>
      <c r="K658" t="s">
        <v>41</v>
      </c>
      <c r="L658" t="s">
        <v>2605</v>
      </c>
      <c r="M658" t="s">
        <v>2606</v>
      </c>
      <c r="O658" t="s">
        <v>62</v>
      </c>
      <c r="P658" t="s">
        <v>63</v>
      </c>
      <c r="Q658">
        <v>0.1037307373271308</v>
      </c>
      <c r="R658" t="s">
        <v>64</v>
      </c>
      <c r="S658" t="s">
        <v>65</v>
      </c>
      <c r="T658" t="s">
        <v>1172</v>
      </c>
      <c r="V658" t="s">
        <v>860</v>
      </c>
      <c r="X658" t="s">
        <v>1172</v>
      </c>
      <c r="Y658" t="s">
        <v>412</v>
      </c>
      <c r="Z658" t="s">
        <v>2623</v>
      </c>
      <c r="AA658" t="s">
        <v>2116</v>
      </c>
      <c r="AB658" t="s">
        <v>41</v>
      </c>
      <c r="AJ658">
        <v>77.931079880555501</v>
      </c>
      <c r="AK658">
        <v>419.78507969122637</v>
      </c>
    </row>
    <row r="659" spans="1:37" hidden="1" x14ac:dyDescent="0.25">
      <c r="A659">
        <v>674</v>
      </c>
      <c r="B659" t="s">
        <v>3655</v>
      </c>
      <c r="C659" t="s">
        <v>376</v>
      </c>
      <c r="D659" t="s">
        <v>2604</v>
      </c>
      <c r="E659" t="s">
        <v>37</v>
      </c>
      <c r="F659" t="s">
        <v>38</v>
      </c>
      <c r="G659" s="2">
        <v>45826</v>
      </c>
      <c r="H659">
        <v>13.8</v>
      </c>
      <c r="I659" t="s">
        <v>72</v>
      </c>
      <c r="J659" t="s">
        <v>40</v>
      </c>
      <c r="K659" t="s">
        <v>41</v>
      </c>
      <c r="L659" t="s">
        <v>2605</v>
      </c>
      <c r="M659" t="s">
        <v>2606</v>
      </c>
      <c r="O659" t="s">
        <v>3656</v>
      </c>
      <c r="P659" t="s">
        <v>3657</v>
      </c>
      <c r="Q659">
        <v>14.20322626339169</v>
      </c>
      <c r="R659" t="s">
        <v>75</v>
      </c>
      <c r="S659" t="s">
        <v>83</v>
      </c>
      <c r="T659" t="s">
        <v>3658</v>
      </c>
      <c r="V659" t="s">
        <v>942</v>
      </c>
      <c r="X659" t="s">
        <v>3659</v>
      </c>
      <c r="Y659" t="s">
        <v>698</v>
      </c>
      <c r="Z659" t="s">
        <v>2630</v>
      </c>
      <c r="AA659" t="s">
        <v>86</v>
      </c>
      <c r="AB659" t="s">
        <v>41</v>
      </c>
      <c r="AD659" t="s">
        <v>260</v>
      </c>
      <c r="AF659" t="s">
        <v>3660</v>
      </c>
      <c r="AJ659">
        <v>1350.0724170775429</v>
      </c>
      <c r="AK659">
        <v>57478.647337166447</v>
      </c>
    </row>
    <row r="660" spans="1:37" hidden="1" x14ac:dyDescent="0.25">
      <c r="A660">
        <v>675</v>
      </c>
      <c r="B660" t="s">
        <v>3661</v>
      </c>
      <c r="C660" t="s">
        <v>376</v>
      </c>
      <c r="D660" t="s">
        <v>2604</v>
      </c>
      <c r="E660" t="s">
        <v>37</v>
      </c>
      <c r="F660" t="s">
        <v>38</v>
      </c>
      <c r="G660" s="2">
        <v>45825</v>
      </c>
      <c r="H660">
        <v>1.2</v>
      </c>
      <c r="I660" t="s">
        <v>72</v>
      </c>
      <c r="J660" t="s">
        <v>40</v>
      </c>
      <c r="K660" t="s">
        <v>41</v>
      </c>
      <c r="L660" t="s">
        <v>2605</v>
      </c>
      <c r="M660" t="s">
        <v>2606</v>
      </c>
      <c r="O660" t="s">
        <v>402</v>
      </c>
      <c r="P660" t="s">
        <v>403</v>
      </c>
      <c r="Q660">
        <v>1.4925073574329779</v>
      </c>
      <c r="S660" t="s">
        <v>38</v>
      </c>
      <c r="T660" t="s">
        <v>3662</v>
      </c>
      <c r="V660" t="s">
        <v>73</v>
      </c>
      <c r="X660" t="s">
        <v>3663</v>
      </c>
      <c r="Y660" t="s">
        <v>698</v>
      </c>
      <c r="Z660" t="s">
        <v>2623</v>
      </c>
      <c r="AA660" t="s">
        <v>118</v>
      </c>
      <c r="AB660" t="s">
        <v>41</v>
      </c>
      <c r="AD660" t="s">
        <v>911</v>
      </c>
      <c r="AF660" t="s">
        <v>2667</v>
      </c>
      <c r="AJ660">
        <v>481.57192337053863</v>
      </c>
      <c r="AK660">
        <v>6039.9871448313197</v>
      </c>
    </row>
    <row r="661" spans="1:37" hidden="1" x14ac:dyDescent="0.25">
      <c r="A661">
        <v>676</v>
      </c>
      <c r="B661" t="s">
        <v>3664</v>
      </c>
      <c r="C661" t="s">
        <v>376</v>
      </c>
      <c r="D661" t="s">
        <v>2604</v>
      </c>
      <c r="E661" t="s">
        <v>37</v>
      </c>
      <c r="F661" t="s">
        <v>38</v>
      </c>
      <c r="G661" s="2">
        <v>45825</v>
      </c>
      <c r="H661">
        <v>1.6</v>
      </c>
      <c r="I661" t="s">
        <v>72</v>
      </c>
      <c r="J661" t="s">
        <v>40</v>
      </c>
      <c r="K661" t="s">
        <v>41</v>
      </c>
      <c r="L661" t="s">
        <v>2605</v>
      </c>
      <c r="M661" t="s">
        <v>2606</v>
      </c>
      <c r="O661" t="s">
        <v>402</v>
      </c>
      <c r="P661" t="s">
        <v>403</v>
      </c>
      <c r="Q661">
        <v>2.0746343227768831</v>
      </c>
      <c r="S661" t="s">
        <v>38</v>
      </c>
      <c r="T661" t="s">
        <v>3662</v>
      </c>
      <c r="V661" t="s">
        <v>73</v>
      </c>
      <c r="X661" t="s">
        <v>3663</v>
      </c>
      <c r="Y661" t="s">
        <v>698</v>
      </c>
      <c r="Z661" t="s">
        <v>2623</v>
      </c>
      <c r="AA661" t="s">
        <v>118</v>
      </c>
      <c r="AB661" t="s">
        <v>41</v>
      </c>
      <c r="AD661" t="s">
        <v>911</v>
      </c>
      <c r="AF661" t="s">
        <v>2667</v>
      </c>
      <c r="AJ661">
        <v>468.82032456607237</v>
      </c>
      <c r="AK661">
        <v>8395.7808163507834</v>
      </c>
    </row>
    <row r="662" spans="1:37" hidden="1" x14ac:dyDescent="0.25">
      <c r="A662">
        <v>677</v>
      </c>
      <c r="B662" t="s">
        <v>3665</v>
      </c>
      <c r="C662" t="s">
        <v>376</v>
      </c>
      <c r="D662" t="s">
        <v>2604</v>
      </c>
      <c r="E662" t="s">
        <v>37</v>
      </c>
      <c r="F662" t="s">
        <v>38</v>
      </c>
      <c r="G662" s="2">
        <v>45826</v>
      </c>
      <c r="H662">
        <v>2.1</v>
      </c>
      <c r="I662" t="s">
        <v>72</v>
      </c>
      <c r="J662" t="s">
        <v>40</v>
      </c>
      <c r="K662" t="s">
        <v>41</v>
      </c>
      <c r="L662" t="s">
        <v>2605</v>
      </c>
      <c r="M662" t="s">
        <v>2606</v>
      </c>
      <c r="O662" t="s">
        <v>3656</v>
      </c>
      <c r="P662" t="s">
        <v>3657</v>
      </c>
      <c r="Q662">
        <v>2.2222111450656659</v>
      </c>
      <c r="R662" t="s">
        <v>75</v>
      </c>
      <c r="S662" t="s">
        <v>83</v>
      </c>
      <c r="T662" t="s">
        <v>3658</v>
      </c>
      <c r="V662" t="s">
        <v>942</v>
      </c>
      <c r="X662" t="s">
        <v>3659</v>
      </c>
      <c r="Y662" t="s">
        <v>698</v>
      </c>
      <c r="Z662" t="s">
        <v>2630</v>
      </c>
      <c r="AA662" t="s">
        <v>86</v>
      </c>
      <c r="AB662" t="s">
        <v>41</v>
      </c>
      <c r="AD662" t="s">
        <v>260</v>
      </c>
      <c r="AF662" t="s">
        <v>3660</v>
      </c>
      <c r="AJ662">
        <v>526.7874372163443</v>
      </c>
      <c r="AK662">
        <v>8993.00541632354</v>
      </c>
    </row>
    <row r="663" spans="1:37" hidden="1" x14ac:dyDescent="0.25">
      <c r="A663">
        <v>678</v>
      </c>
      <c r="B663" t="s">
        <v>3666</v>
      </c>
      <c r="C663" t="s">
        <v>376</v>
      </c>
      <c r="D663" t="s">
        <v>2604</v>
      </c>
      <c r="E663" t="s">
        <v>37</v>
      </c>
      <c r="F663" t="s">
        <v>38</v>
      </c>
      <c r="G663" s="2">
        <v>45825</v>
      </c>
      <c r="H663">
        <v>1.8</v>
      </c>
      <c r="I663" t="s">
        <v>72</v>
      </c>
      <c r="J663" t="s">
        <v>40</v>
      </c>
      <c r="K663" t="s">
        <v>41</v>
      </c>
      <c r="L663" t="s">
        <v>2605</v>
      </c>
      <c r="M663" t="s">
        <v>2606</v>
      </c>
      <c r="O663" t="s">
        <v>402</v>
      </c>
      <c r="P663" t="s">
        <v>403</v>
      </c>
      <c r="Q663">
        <v>2.393683663832924</v>
      </c>
      <c r="S663" t="s">
        <v>38</v>
      </c>
      <c r="T663" t="s">
        <v>3667</v>
      </c>
      <c r="V663" t="s">
        <v>73</v>
      </c>
      <c r="X663" t="s">
        <v>3663</v>
      </c>
      <c r="Y663" t="s">
        <v>698</v>
      </c>
      <c r="Z663" t="s">
        <v>2623</v>
      </c>
      <c r="AA663" t="s">
        <v>118</v>
      </c>
      <c r="AB663" t="s">
        <v>41</v>
      </c>
      <c r="AD663" t="s">
        <v>911</v>
      </c>
      <c r="AF663" t="s">
        <v>2667</v>
      </c>
      <c r="AJ663">
        <v>416.80721910966861</v>
      </c>
      <c r="AK663">
        <v>9686.9328558689049</v>
      </c>
    </row>
    <row r="664" spans="1:37" hidden="1" x14ac:dyDescent="0.25">
      <c r="A664">
        <v>679</v>
      </c>
      <c r="B664" t="s">
        <v>3668</v>
      </c>
      <c r="C664" t="s">
        <v>376</v>
      </c>
      <c r="D664" t="s">
        <v>2604</v>
      </c>
      <c r="E664" t="s">
        <v>37</v>
      </c>
      <c r="F664" t="s">
        <v>38</v>
      </c>
      <c r="G664" s="2">
        <v>45825</v>
      </c>
      <c r="H664">
        <v>2.5</v>
      </c>
      <c r="I664" t="s">
        <v>72</v>
      </c>
      <c r="J664" t="s">
        <v>40</v>
      </c>
      <c r="K664" t="s">
        <v>41</v>
      </c>
      <c r="L664" t="s">
        <v>2605</v>
      </c>
      <c r="M664" t="s">
        <v>2606</v>
      </c>
      <c r="O664" t="s">
        <v>402</v>
      </c>
      <c r="P664" t="s">
        <v>403</v>
      </c>
      <c r="Q664">
        <v>3.48453047268741</v>
      </c>
      <c r="S664" t="s">
        <v>38</v>
      </c>
      <c r="T664" t="s">
        <v>3662</v>
      </c>
      <c r="V664" t="s">
        <v>3650</v>
      </c>
      <c r="X664" t="s">
        <v>3663</v>
      </c>
      <c r="Y664" t="s">
        <v>698</v>
      </c>
      <c r="Z664" t="s">
        <v>2623</v>
      </c>
      <c r="AA664" t="s">
        <v>118</v>
      </c>
      <c r="AB664" t="s">
        <v>41</v>
      </c>
      <c r="AD664" t="s">
        <v>911</v>
      </c>
      <c r="AF664" t="s">
        <v>2667</v>
      </c>
      <c r="AJ664">
        <v>687.9681098990884</v>
      </c>
      <c r="AK664">
        <v>14101.450928190859</v>
      </c>
    </row>
    <row r="665" spans="1:37" hidden="1" x14ac:dyDescent="0.25">
      <c r="A665">
        <v>680</v>
      </c>
      <c r="B665" t="s">
        <v>3669</v>
      </c>
      <c r="C665" t="s">
        <v>376</v>
      </c>
      <c r="D665" t="s">
        <v>2604</v>
      </c>
      <c r="E665" t="s">
        <v>37</v>
      </c>
      <c r="F665" t="s">
        <v>38</v>
      </c>
      <c r="G665" s="2">
        <v>45825</v>
      </c>
      <c r="H665">
        <v>0.2</v>
      </c>
      <c r="I665" t="s">
        <v>72</v>
      </c>
      <c r="J665" t="s">
        <v>40</v>
      </c>
      <c r="K665" t="s">
        <v>41</v>
      </c>
      <c r="L665" t="s">
        <v>2605</v>
      </c>
      <c r="M665" t="s">
        <v>2606</v>
      </c>
      <c r="O665" t="s">
        <v>402</v>
      </c>
      <c r="P665" t="s">
        <v>403</v>
      </c>
      <c r="Q665">
        <v>0.2244917378176606</v>
      </c>
      <c r="S665" t="s">
        <v>38</v>
      </c>
      <c r="T665" t="s">
        <v>3662</v>
      </c>
      <c r="V665" t="s">
        <v>73</v>
      </c>
      <c r="X665" t="s">
        <v>3663</v>
      </c>
      <c r="Y665" t="s">
        <v>698</v>
      </c>
      <c r="Z665" t="s">
        <v>2623</v>
      </c>
      <c r="AA665" t="s">
        <v>118</v>
      </c>
      <c r="AB665" t="s">
        <v>41</v>
      </c>
      <c r="AD665" t="s">
        <v>911</v>
      </c>
      <c r="AF665" t="s">
        <v>2667</v>
      </c>
      <c r="AJ665">
        <v>145.03040015549271</v>
      </c>
      <c r="AK665">
        <v>908.48946491736251</v>
      </c>
    </row>
    <row r="666" spans="1:37" hidden="1" x14ac:dyDescent="0.25">
      <c r="A666">
        <v>681</v>
      </c>
      <c r="B666" t="s">
        <v>3670</v>
      </c>
      <c r="C666" t="s">
        <v>376</v>
      </c>
      <c r="D666" t="s">
        <v>2604</v>
      </c>
      <c r="E666" t="s">
        <v>37</v>
      </c>
      <c r="F666" t="s">
        <v>38</v>
      </c>
      <c r="G666" s="2">
        <v>45826</v>
      </c>
      <c r="H666">
        <v>2.7</v>
      </c>
      <c r="I666" t="s">
        <v>72</v>
      </c>
      <c r="J666" t="s">
        <v>40</v>
      </c>
      <c r="K666" t="s">
        <v>41</v>
      </c>
      <c r="L666" t="s">
        <v>2605</v>
      </c>
      <c r="M666" t="s">
        <v>2606</v>
      </c>
      <c r="O666" t="s">
        <v>3656</v>
      </c>
      <c r="P666" t="s">
        <v>3657</v>
      </c>
      <c r="Q666">
        <v>2.7803230177001241</v>
      </c>
      <c r="R666" t="s">
        <v>75</v>
      </c>
      <c r="S666" t="s">
        <v>83</v>
      </c>
      <c r="T666" t="s">
        <v>3658</v>
      </c>
      <c r="V666" t="s">
        <v>942</v>
      </c>
      <c r="X666" t="s">
        <v>3659</v>
      </c>
      <c r="Y666" t="s">
        <v>698</v>
      </c>
      <c r="Z666" t="s">
        <v>2630</v>
      </c>
      <c r="AA666" t="s">
        <v>118</v>
      </c>
      <c r="AB666" t="s">
        <v>41</v>
      </c>
      <c r="AD666" t="s">
        <v>260</v>
      </c>
      <c r="AF666" t="s">
        <v>3660</v>
      </c>
      <c r="AJ666">
        <v>747.92146172594437</v>
      </c>
      <c r="AK666">
        <v>11251.61306693356</v>
      </c>
    </row>
    <row r="667" spans="1:37" hidden="1" x14ac:dyDescent="0.25">
      <c r="A667">
        <v>682</v>
      </c>
      <c r="B667" t="s">
        <v>3671</v>
      </c>
      <c r="C667" t="s">
        <v>376</v>
      </c>
      <c r="D667" t="s">
        <v>2604</v>
      </c>
      <c r="E667" t="s">
        <v>37</v>
      </c>
      <c r="F667" t="s">
        <v>38</v>
      </c>
      <c r="G667" s="2">
        <v>45825</v>
      </c>
      <c r="H667">
        <v>1.8</v>
      </c>
      <c r="I667" t="s">
        <v>72</v>
      </c>
      <c r="J667" t="s">
        <v>40</v>
      </c>
      <c r="K667" t="s">
        <v>41</v>
      </c>
      <c r="L667" t="s">
        <v>2605</v>
      </c>
      <c r="M667" t="s">
        <v>2606</v>
      </c>
      <c r="O667" t="s">
        <v>402</v>
      </c>
      <c r="P667" t="s">
        <v>403</v>
      </c>
      <c r="Q667">
        <v>2.3617688564384181</v>
      </c>
      <c r="S667" t="s">
        <v>38</v>
      </c>
      <c r="T667" t="s">
        <v>3662</v>
      </c>
      <c r="V667" t="s">
        <v>73</v>
      </c>
      <c r="X667" t="s">
        <v>3663</v>
      </c>
      <c r="Y667" t="s">
        <v>698</v>
      </c>
      <c r="Z667" t="s">
        <v>2623</v>
      </c>
      <c r="AA667" t="s">
        <v>118</v>
      </c>
      <c r="AB667" t="s">
        <v>41</v>
      </c>
      <c r="AD667" t="s">
        <v>911</v>
      </c>
      <c r="AF667" t="s">
        <v>2667</v>
      </c>
      <c r="AJ667">
        <v>992.13002949706981</v>
      </c>
      <c r="AK667">
        <v>9557.7776959746661</v>
      </c>
    </row>
    <row r="668" spans="1:37" hidden="1" x14ac:dyDescent="0.25">
      <c r="A668">
        <v>683</v>
      </c>
      <c r="B668" t="s">
        <v>3672</v>
      </c>
      <c r="C668" t="s">
        <v>376</v>
      </c>
      <c r="D668" t="s">
        <v>2604</v>
      </c>
      <c r="E668" t="s">
        <v>37</v>
      </c>
      <c r="F668" t="s">
        <v>38</v>
      </c>
      <c r="G668" s="2">
        <v>45825</v>
      </c>
      <c r="H668">
        <v>15.6</v>
      </c>
      <c r="I668" t="s">
        <v>72</v>
      </c>
      <c r="J668" t="s">
        <v>40</v>
      </c>
      <c r="K668" t="s">
        <v>41</v>
      </c>
      <c r="L668" t="s">
        <v>2605</v>
      </c>
      <c r="M668" t="s">
        <v>2606</v>
      </c>
      <c r="O668" t="s">
        <v>402</v>
      </c>
      <c r="P668" t="s">
        <v>403</v>
      </c>
      <c r="Q668">
        <v>18.18967074412242</v>
      </c>
      <c r="S668" t="s">
        <v>38</v>
      </c>
      <c r="T668" t="s">
        <v>3662</v>
      </c>
      <c r="V668" t="s">
        <v>3650</v>
      </c>
      <c r="X668" t="s">
        <v>3663</v>
      </c>
      <c r="Y668" t="s">
        <v>698</v>
      </c>
      <c r="Z668" t="s">
        <v>2623</v>
      </c>
      <c r="AA668" t="s">
        <v>118</v>
      </c>
      <c r="AB668" t="s">
        <v>41</v>
      </c>
      <c r="AD668" t="s">
        <v>911</v>
      </c>
      <c r="AF668" t="s">
        <v>2667</v>
      </c>
      <c r="AJ668">
        <v>1246.9475155747939</v>
      </c>
      <c r="AK668">
        <v>73611.280317020006</v>
      </c>
    </row>
    <row r="669" spans="1:37" hidden="1" x14ac:dyDescent="0.25">
      <c r="A669">
        <v>684</v>
      </c>
      <c r="B669" t="s">
        <v>3673</v>
      </c>
      <c r="C669" t="s">
        <v>376</v>
      </c>
      <c r="D669" t="s">
        <v>2604</v>
      </c>
      <c r="E669" t="s">
        <v>37</v>
      </c>
      <c r="F669" t="s">
        <v>38</v>
      </c>
      <c r="G669" s="2">
        <v>45826</v>
      </c>
      <c r="H669">
        <v>3.8</v>
      </c>
      <c r="I669" t="s">
        <v>72</v>
      </c>
      <c r="J669" t="s">
        <v>40</v>
      </c>
      <c r="K669" t="s">
        <v>41</v>
      </c>
      <c r="L669" t="s">
        <v>2605</v>
      </c>
      <c r="M669" t="s">
        <v>2606</v>
      </c>
      <c r="O669" t="s">
        <v>3656</v>
      </c>
      <c r="P669" t="s">
        <v>3657</v>
      </c>
      <c r="Q669">
        <v>3.9185488041410359</v>
      </c>
      <c r="R669" t="s">
        <v>75</v>
      </c>
      <c r="S669" t="s">
        <v>83</v>
      </c>
      <c r="T669" t="s">
        <v>3658</v>
      </c>
      <c r="V669" t="s">
        <v>942</v>
      </c>
      <c r="X669" t="s">
        <v>3659</v>
      </c>
      <c r="Y669" t="s">
        <v>698</v>
      </c>
      <c r="Z669" t="s">
        <v>2630</v>
      </c>
      <c r="AA669" t="s">
        <v>118</v>
      </c>
      <c r="AB669" t="s">
        <v>41</v>
      </c>
      <c r="AD669" t="s">
        <v>260</v>
      </c>
      <c r="AF669" t="s">
        <v>3660</v>
      </c>
      <c r="AJ669">
        <v>596.90481436798382</v>
      </c>
      <c r="AK669">
        <v>15857.867825933859</v>
      </c>
    </row>
    <row r="670" spans="1:37" hidden="1" x14ac:dyDescent="0.25">
      <c r="A670">
        <v>685</v>
      </c>
      <c r="B670" t="s">
        <v>3674</v>
      </c>
      <c r="C670" t="s">
        <v>376</v>
      </c>
      <c r="D670" t="s">
        <v>2604</v>
      </c>
      <c r="E670" t="s">
        <v>37</v>
      </c>
      <c r="F670" t="s">
        <v>38</v>
      </c>
      <c r="G670" s="2">
        <v>45826</v>
      </c>
      <c r="H670">
        <v>4.2</v>
      </c>
      <c r="I670" t="s">
        <v>72</v>
      </c>
      <c r="J670" t="s">
        <v>40</v>
      </c>
      <c r="K670" t="s">
        <v>41</v>
      </c>
      <c r="L670" t="s">
        <v>2605</v>
      </c>
      <c r="M670" t="s">
        <v>2606</v>
      </c>
      <c r="O670" t="s">
        <v>3656</v>
      </c>
      <c r="P670" t="s">
        <v>3657</v>
      </c>
      <c r="Q670">
        <v>5.0412738197742719</v>
      </c>
      <c r="R670" t="s">
        <v>75</v>
      </c>
      <c r="S670" t="s">
        <v>83</v>
      </c>
      <c r="T670" t="s">
        <v>3658</v>
      </c>
      <c r="V670" t="s">
        <v>942</v>
      </c>
      <c r="X670" t="s">
        <v>3659</v>
      </c>
      <c r="Y670" t="s">
        <v>698</v>
      </c>
      <c r="Z670" t="s">
        <v>2630</v>
      </c>
      <c r="AA670" t="s">
        <v>118</v>
      </c>
      <c r="AB670" t="s">
        <v>41</v>
      </c>
      <c r="AD670" t="s">
        <v>260</v>
      </c>
      <c r="AF670" t="s">
        <v>3660</v>
      </c>
      <c r="AJ670">
        <v>587.45278792172462</v>
      </c>
      <c r="AK670">
        <v>20401.392940120651</v>
      </c>
    </row>
    <row r="671" spans="1:37" hidden="1" x14ac:dyDescent="0.25">
      <c r="A671">
        <v>686</v>
      </c>
      <c r="B671" t="s">
        <v>3675</v>
      </c>
      <c r="C671" t="s">
        <v>376</v>
      </c>
      <c r="D671" t="s">
        <v>2604</v>
      </c>
      <c r="E671" t="s">
        <v>37</v>
      </c>
      <c r="F671" t="s">
        <v>38</v>
      </c>
      <c r="G671" s="2">
        <v>45825</v>
      </c>
      <c r="H671">
        <v>14.7</v>
      </c>
      <c r="I671" t="s">
        <v>72</v>
      </c>
      <c r="J671" t="s">
        <v>40</v>
      </c>
      <c r="K671" t="s">
        <v>41</v>
      </c>
      <c r="L671" t="s">
        <v>2605</v>
      </c>
      <c r="M671" t="s">
        <v>2606</v>
      </c>
      <c r="O671" t="s">
        <v>402</v>
      </c>
      <c r="P671" t="s">
        <v>403</v>
      </c>
      <c r="Q671">
        <v>22.172261142259249</v>
      </c>
      <c r="S671" t="s">
        <v>38</v>
      </c>
      <c r="T671" t="s">
        <v>3662</v>
      </c>
      <c r="V671" t="s">
        <v>3650</v>
      </c>
      <c r="X671" t="s">
        <v>3663</v>
      </c>
      <c r="Y671" t="s">
        <v>698</v>
      </c>
      <c r="Z671" t="s">
        <v>2623</v>
      </c>
      <c r="AA671" t="s">
        <v>118</v>
      </c>
      <c r="AB671" t="s">
        <v>41</v>
      </c>
      <c r="AD671" t="s">
        <v>911</v>
      </c>
      <c r="AF671" t="s">
        <v>2667</v>
      </c>
      <c r="AJ671">
        <v>1347.240732313425</v>
      </c>
      <c r="AK671">
        <v>89728.316315588134</v>
      </c>
    </row>
    <row r="672" spans="1:37" hidden="1" x14ac:dyDescent="0.25">
      <c r="A672">
        <v>687</v>
      </c>
      <c r="B672" t="s">
        <v>3676</v>
      </c>
      <c r="C672" t="s">
        <v>376</v>
      </c>
      <c r="D672" t="s">
        <v>2604</v>
      </c>
      <c r="E672" t="s">
        <v>37</v>
      </c>
      <c r="F672" t="s">
        <v>38</v>
      </c>
      <c r="G672" s="2">
        <v>45826</v>
      </c>
      <c r="H672">
        <v>7.7</v>
      </c>
      <c r="I672" t="s">
        <v>72</v>
      </c>
      <c r="J672" t="s">
        <v>40</v>
      </c>
      <c r="K672" t="s">
        <v>41</v>
      </c>
      <c r="L672" t="s">
        <v>2605</v>
      </c>
      <c r="M672" t="s">
        <v>2606</v>
      </c>
      <c r="O672" t="s">
        <v>3656</v>
      </c>
      <c r="P672" t="s">
        <v>3657</v>
      </c>
      <c r="Q672">
        <v>7.0406833035849274</v>
      </c>
      <c r="R672" t="s">
        <v>75</v>
      </c>
      <c r="S672" t="s">
        <v>83</v>
      </c>
      <c r="T672" t="s">
        <v>3658</v>
      </c>
      <c r="V672" t="s">
        <v>942</v>
      </c>
      <c r="X672" t="s">
        <v>3659</v>
      </c>
      <c r="Y672" t="s">
        <v>698</v>
      </c>
      <c r="Z672" t="s">
        <v>2630</v>
      </c>
      <c r="AA672" t="s">
        <v>118</v>
      </c>
      <c r="AB672" t="s">
        <v>41</v>
      </c>
      <c r="AD672" t="s">
        <v>260</v>
      </c>
      <c r="AF672" t="s">
        <v>3660</v>
      </c>
      <c r="AJ672">
        <v>691.27527293121545</v>
      </c>
      <c r="AK672">
        <v>28492.7484160768</v>
      </c>
    </row>
    <row r="673" spans="1:37" hidden="1" x14ac:dyDescent="0.25">
      <c r="A673">
        <v>688</v>
      </c>
      <c r="B673" t="s">
        <v>3677</v>
      </c>
      <c r="C673" t="s">
        <v>376</v>
      </c>
      <c r="D673" t="s">
        <v>2604</v>
      </c>
      <c r="E673" t="s">
        <v>37</v>
      </c>
      <c r="F673" t="s">
        <v>38</v>
      </c>
      <c r="G673" s="2">
        <v>45826</v>
      </c>
      <c r="H673">
        <v>3.7</v>
      </c>
      <c r="I673" t="s">
        <v>72</v>
      </c>
      <c r="J673" t="s">
        <v>40</v>
      </c>
      <c r="K673" t="s">
        <v>41</v>
      </c>
      <c r="L673" t="s">
        <v>2605</v>
      </c>
      <c r="M673" t="s">
        <v>2606</v>
      </c>
      <c r="O673" t="s">
        <v>3656</v>
      </c>
      <c r="P673" t="s">
        <v>3657</v>
      </c>
      <c r="Q673">
        <v>3.6825911875775348</v>
      </c>
      <c r="R673" t="s">
        <v>75</v>
      </c>
      <c r="S673" t="s">
        <v>83</v>
      </c>
      <c r="T673" t="s">
        <v>3658</v>
      </c>
      <c r="V673" t="s">
        <v>942</v>
      </c>
      <c r="X673" t="s">
        <v>3659</v>
      </c>
      <c r="Y673" t="s">
        <v>698</v>
      </c>
      <c r="Z673" t="s">
        <v>2630</v>
      </c>
      <c r="AA673" t="s">
        <v>118</v>
      </c>
      <c r="AB673" t="s">
        <v>41</v>
      </c>
      <c r="AD673" t="s">
        <v>260</v>
      </c>
      <c r="AF673" t="s">
        <v>3660</v>
      </c>
      <c r="AJ673">
        <v>641.38876879336658</v>
      </c>
      <c r="AK673">
        <v>14902.977410371819</v>
      </c>
    </row>
    <row r="674" spans="1:37" hidden="1" x14ac:dyDescent="0.25">
      <c r="A674">
        <v>689</v>
      </c>
      <c r="B674" t="s">
        <v>3678</v>
      </c>
      <c r="C674" t="s">
        <v>376</v>
      </c>
      <c r="D674" t="s">
        <v>2604</v>
      </c>
      <c r="E674" t="s">
        <v>37</v>
      </c>
      <c r="F674" t="s">
        <v>38</v>
      </c>
      <c r="G674" s="2">
        <v>45826</v>
      </c>
      <c r="H674">
        <v>2.2000000000000002</v>
      </c>
      <c r="I674" t="s">
        <v>72</v>
      </c>
      <c r="J674" t="s">
        <v>40</v>
      </c>
      <c r="K674" t="s">
        <v>41</v>
      </c>
      <c r="L674" t="s">
        <v>2605</v>
      </c>
      <c r="M674" t="s">
        <v>2606</v>
      </c>
      <c r="O674" t="s">
        <v>87</v>
      </c>
      <c r="P674" t="s">
        <v>88</v>
      </c>
      <c r="Q674">
        <v>2.1603643181798251</v>
      </c>
      <c r="R674" t="s">
        <v>46</v>
      </c>
      <c r="S674" t="s">
        <v>47</v>
      </c>
      <c r="T674" t="s">
        <v>3658</v>
      </c>
      <c r="V674" t="s">
        <v>942</v>
      </c>
      <c r="X674" t="s">
        <v>3659</v>
      </c>
      <c r="Y674" t="s">
        <v>698</v>
      </c>
      <c r="Z674" t="s">
        <v>2630</v>
      </c>
      <c r="AA674" t="s">
        <v>118</v>
      </c>
      <c r="AB674" t="s">
        <v>41</v>
      </c>
      <c r="AD674" t="s">
        <v>260</v>
      </c>
      <c r="AF674" t="s">
        <v>3660</v>
      </c>
      <c r="AJ674">
        <v>616.75487171079669</v>
      </c>
      <c r="AK674">
        <v>8742.7191865915975</v>
      </c>
    </row>
    <row r="675" spans="1:37" hidden="1" x14ac:dyDescent="0.25">
      <c r="A675">
        <v>690</v>
      </c>
      <c r="B675" t="s">
        <v>3679</v>
      </c>
      <c r="C675" t="s">
        <v>376</v>
      </c>
      <c r="D675" t="s">
        <v>2604</v>
      </c>
      <c r="E675" t="s">
        <v>37</v>
      </c>
      <c r="F675" t="s">
        <v>38</v>
      </c>
      <c r="G675" s="2">
        <v>45825</v>
      </c>
      <c r="H675">
        <v>20</v>
      </c>
      <c r="I675" t="s">
        <v>72</v>
      </c>
      <c r="J675" t="s">
        <v>40</v>
      </c>
      <c r="K675" t="s">
        <v>41</v>
      </c>
      <c r="L675" t="s">
        <v>2605</v>
      </c>
      <c r="M675" t="s">
        <v>2606</v>
      </c>
      <c r="O675" t="s">
        <v>402</v>
      </c>
      <c r="P675" t="s">
        <v>403</v>
      </c>
      <c r="Q675">
        <v>24.031222293949629</v>
      </c>
      <c r="S675" t="s">
        <v>38</v>
      </c>
      <c r="T675" t="s">
        <v>3680</v>
      </c>
      <c r="V675" t="s">
        <v>3650</v>
      </c>
      <c r="X675" t="s">
        <v>3663</v>
      </c>
      <c r="Y675" t="s">
        <v>698</v>
      </c>
      <c r="Z675" t="s">
        <v>2623</v>
      </c>
      <c r="AA675" t="s">
        <v>118</v>
      </c>
      <c r="AB675" t="s">
        <v>41</v>
      </c>
      <c r="AD675" t="s">
        <v>911</v>
      </c>
      <c r="AF675" t="s">
        <v>2667</v>
      </c>
      <c r="AJ675">
        <v>1678.1216464887191</v>
      </c>
      <c r="AK675">
        <v>97251.295283184256</v>
      </c>
    </row>
    <row r="676" spans="1:37" hidden="1" x14ac:dyDescent="0.25">
      <c r="A676">
        <v>691</v>
      </c>
      <c r="B676" t="s">
        <v>3681</v>
      </c>
      <c r="C676" t="s">
        <v>376</v>
      </c>
      <c r="D676" t="s">
        <v>2604</v>
      </c>
      <c r="E676" t="s">
        <v>37</v>
      </c>
      <c r="F676" t="s">
        <v>38</v>
      </c>
      <c r="G676" s="2">
        <v>45826</v>
      </c>
      <c r="H676">
        <v>1.7</v>
      </c>
      <c r="I676" t="s">
        <v>72</v>
      </c>
      <c r="J676" t="s">
        <v>40</v>
      </c>
      <c r="K676" t="s">
        <v>41</v>
      </c>
      <c r="L676" t="s">
        <v>2605</v>
      </c>
      <c r="M676" t="s">
        <v>2606</v>
      </c>
      <c r="O676" t="s">
        <v>87</v>
      </c>
      <c r="P676" t="s">
        <v>88</v>
      </c>
      <c r="Q676">
        <v>1.7518650870910371</v>
      </c>
      <c r="R676" t="s">
        <v>46</v>
      </c>
      <c r="S676" t="s">
        <v>47</v>
      </c>
      <c r="T676" t="s">
        <v>3658</v>
      </c>
      <c r="V676" t="s">
        <v>942</v>
      </c>
      <c r="X676" t="s">
        <v>3659</v>
      </c>
      <c r="Y676" t="s">
        <v>698</v>
      </c>
      <c r="Z676" t="s">
        <v>2630</v>
      </c>
      <c r="AA676" t="s">
        <v>118</v>
      </c>
      <c r="AB676" t="s">
        <v>41</v>
      </c>
      <c r="AD676" t="s">
        <v>260</v>
      </c>
      <c r="AF676" t="s">
        <v>3660</v>
      </c>
      <c r="AJ676">
        <v>535.05031073026282</v>
      </c>
      <c r="AK676">
        <v>7089.5748371436894</v>
      </c>
    </row>
    <row r="677" spans="1:37" hidden="1" x14ac:dyDescent="0.25">
      <c r="A677">
        <v>692</v>
      </c>
      <c r="B677" t="s">
        <v>3682</v>
      </c>
      <c r="C677" t="s">
        <v>376</v>
      </c>
      <c r="D677" t="s">
        <v>2604</v>
      </c>
      <c r="E677" t="s">
        <v>37</v>
      </c>
      <c r="F677" t="s">
        <v>38</v>
      </c>
      <c r="G677" s="2">
        <v>45826</v>
      </c>
      <c r="H677">
        <v>0.9</v>
      </c>
      <c r="I677" t="s">
        <v>72</v>
      </c>
      <c r="J677" t="s">
        <v>40</v>
      </c>
      <c r="K677" t="s">
        <v>41</v>
      </c>
      <c r="L677" t="s">
        <v>2605</v>
      </c>
      <c r="M677" t="s">
        <v>2606</v>
      </c>
      <c r="O677" t="s">
        <v>87</v>
      </c>
      <c r="P677" t="s">
        <v>88</v>
      </c>
      <c r="Q677">
        <v>1.520202296722621</v>
      </c>
      <c r="R677" t="s">
        <v>46</v>
      </c>
      <c r="S677" t="s">
        <v>47</v>
      </c>
      <c r="T677" t="s">
        <v>3658</v>
      </c>
      <c r="V677" t="s">
        <v>942</v>
      </c>
      <c r="X677" t="s">
        <v>3659</v>
      </c>
      <c r="Y677" t="s">
        <v>698</v>
      </c>
      <c r="Z677" t="s">
        <v>2630</v>
      </c>
      <c r="AA677" t="s">
        <v>118</v>
      </c>
      <c r="AB677" t="s">
        <v>41</v>
      </c>
      <c r="AD677" t="s">
        <v>260</v>
      </c>
      <c r="AF677" t="s">
        <v>3660</v>
      </c>
      <c r="AJ677">
        <v>451.25688081418377</v>
      </c>
      <c r="AK677">
        <v>6152.0650360747049</v>
      </c>
    </row>
    <row r="678" spans="1:37" hidden="1" x14ac:dyDescent="0.25">
      <c r="A678">
        <v>693</v>
      </c>
      <c r="B678" t="s">
        <v>3683</v>
      </c>
      <c r="C678" t="s">
        <v>376</v>
      </c>
      <c r="D678" t="s">
        <v>2604</v>
      </c>
      <c r="E678" t="s">
        <v>37</v>
      </c>
      <c r="F678" t="s">
        <v>38</v>
      </c>
      <c r="G678" s="2">
        <v>45826</v>
      </c>
      <c r="H678">
        <v>1.3</v>
      </c>
      <c r="I678" t="s">
        <v>72</v>
      </c>
      <c r="J678" t="s">
        <v>40</v>
      </c>
      <c r="K678" t="s">
        <v>41</v>
      </c>
      <c r="L678" t="s">
        <v>2605</v>
      </c>
      <c r="M678" t="s">
        <v>2606</v>
      </c>
      <c r="O678" t="s">
        <v>87</v>
      </c>
      <c r="P678" t="s">
        <v>88</v>
      </c>
      <c r="Q678">
        <v>1.289498095308264</v>
      </c>
      <c r="R678" t="s">
        <v>46</v>
      </c>
      <c r="S678" t="s">
        <v>47</v>
      </c>
      <c r="T678" t="s">
        <v>57</v>
      </c>
      <c r="V678" t="s">
        <v>942</v>
      </c>
      <c r="X678" t="s">
        <v>3659</v>
      </c>
      <c r="Y678" t="s">
        <v>698</v>
      </c>
      <c r="Z678" t="s">
        <v>2630</v>
      </c>
      <c r="AA678" t="s">
        <v>118</v>
      </c>
      <c r="AB678" t="s">
        <v>41</v>
      </c>
      <c r="AF678" t="s">
        <v>3660</v>
      </c>
      <c r="AJ678">
        <v>434.71862824144682</v>
      </c>
      <c r="AK678">
        <v>5218.4345223880327</v>
      </c>
    </row>
    <row r="679" spans="1:37" hidden="1" x14ac:dyDescent="0.25">
      <c r="A679">
        <v>694</v>
      </c>
      <c r="B679" t="s">
        <v>3684</v>
      </c>
      <c r="C679" t="s">
        <v>376</v>
      </c>
      <c r="D679" t="s">
        <v>2604</v>
      </c>
      <c r="E679" t="s">
        <v>37</v>
      </c>
      <c r="F679" t="s">
        <v>38</v>
      </c>
      <c r="G679" s="2">
        <v>45826</v>
      </c>
      <c r="H679">
        <v>0.6</v>
      </c>
      <c r="I679" t="s">
        <v>72</v>
      </c>
      <c r="J679" t="s">
        <v>40</v>
      </c>
      <c r="K679" t="s">
        <v>41</v>
      </c>
      <c r="L679" t="s">
        <v>2605</v>
      </c>
      <c r="M679" t="s">
        <v>2606</v>
      </c>
      <c r="O679" t="s">
        <v>141</v>
      </c>
      <c r="P679" t="s">
        <v>142</v>
      </c>
      <c r="Q679">
        <v>0.54699553000646051</v>
      </c>
      <c r="T679" t="s">
        <v>3658</v>
      </c>
      <c r="V679" t="s">
        <v>942</v>
      </c>
      <c r="X679" t="s">
        <v>3659</v>
      </c>
      <c r="Y679" t="s">
        <v>698</v>
      </c>
      <c r="Z679" t="s">
        <v>2630</v>
      </c>
      <c r="AA679" t="s">
        <v>118</v>
      </c>
      <c r="AB679" t="s">
        <v>41</v>
      </c>
      <c r="AD679" t="s">
        <v>260</v>
      </c>
      <c r="AF679" t="s">
        <v>3660</v>
      </c>
      <c r="AJ679">
        <v>208.45804127818209</v>
      </c>
      <c r="AK679">
        <v>2213.6212281067951</v>
      </c>
    </row>
    <row r="680" spans="1:37" hidden="1" x14ac:dyDescent="0.25">
      <c r="A680">
        <v>695</v>
      </c>
      <c r="B680" t="s">
        <v>3685</v>
      </c>
      <c r="C680" t="s">
        <v>376</v>
      </c>
      <c r="D680" t="s">
        <v>2604</v>
      </c>
      <c r="E680" t="s">
        <v>37</v>
      </c>
      <c r="F680" t="s">
        <v>38</v>
      </c>
      <c r="G680" s="2">
        <v>45825</v>
      </c>
      <c r="H680">
        <v>4.2</v>
      </c>
      <c r="I680" t="s">
        <v>72</v>
      </c>
      <c r="J680" t="s">
        <v>40</v>
      </c>
      <c r="K680" t="s">
        <v>41</v>
      </c>
      <c r="L680" t="s">
        <v>2605</v>
      </c>
      <c r="M680" t="s">
        <v>2606</v>
      </c>
      <c r="O680" t="s">
        <v>402</v>
      </c>
      <c r="P680" t="s">
        <v>403</v>
      </c>
      <c r="Q680">
        <v>4.762489602516272</v>
      </c>
      <c r="S680" t="s">
        <v>38</v>
      </c>
      <c r="T680" t="s">
        <v>3680</v>
      </c>
      <c r="V680" t="s">
        <v>3650</v>
      </c>
      <c r="X680" t="s">
        <v>3663</v>
      </c>
      <c r="Y680" t="s">
        <v>698</v>
      </c>
      <c r="Z680" t="s">
        <v>2623</v>
      </c>
      <c r="AA680" t="s">
        <v>86</v>
      </c>
      <c r="AB680" t="s">
        <v>41</v>
      </c>
      <c r="AD680" t="s">
        <v>911</v>
      </c>
      <c r="AF680" t="s">
        <v>2667</v>
      </c>
      <c r="AJ680">
        <v>605.38954967915618</v>
      </c>
      <c r="AK680">
        <v>19273.18872723401</v>
      </c>
    </row>
    <row r="681" spans="1:37" hidden="1" x14ac:dyDescent="0.25">
      <c r="A681">
        <v>696</v>
      </c>
      <c r="B681" t="s">
        <v>3686</v>
      </c>
      <c r="C681" t="s">
        <v>376</v>
      </c>
      <c r="D681" t="s">
        <v>2604</v>
      </c>
      <c r="E681" t="s">
        <v>37</v>
      </c>
      <c r="F681" t="s">
        <v>38</v>
      </c>
      <c r="G681" s="2">
        <v>45825</v>
      </c>
      <c r="H681">
        <v>4</v>
      </c>
      <c r="I681" t="s">
        <v>72</v>
      </c>
      <c r="J681" t="s">
        <v>40</v>
      </c>
      <c r="K681" t="s">
        <v>41</v>
      </c>
      <c r="L681" t="s">
        <v>2605</v>
      </c>
      <c r="M681" t="s">
        <v>2606</v>
      </c>
      <c r="O681" t="s">
        <v>402</v>
      </c>
      <c r="P681" t="s">
        <v>403</v>
      </c>
      <c r="Q681">
        <v>2.547278063761282</v>
      </c>
      <c r="S681" t="s">
        <v>38</v>
      </c>
      <c r="T681" t="s">
        <v>3680</v>
      </c>
      <c r="V681" t="s">
        <v>3650</v>
      </c>
      <c r="X681" t="s">
        <v>3663</v>
      </c>
      <c r="Y681" t="s">
        <v>698</v>
      </c>
      <c r="Z681" t="s">
        <v>2623</v>
      </c>
      <c r="AA681" t="s">
        <v>681</v>
      </c>
      <c r="AB681" t="s">
        <v>41</v>
      </c>
      <c r="AD681" t="s">
        <v>911</v>
      </c>
      <c r="AF681" t="s">
        <v>2667</v>
      </c>
      <c r="AJ681">
        <v>408.87737640985199</v>
      </c>
      <c r="AK681">
        <v>10308.509825969049</v>
      </c>
    </row>
    <row r="682" spans="1:37" hidden="1" x14ac:dyDescent="0.25">
      <c r="A682">
        <v>697</v>
      </c>
      <c r="B682" t="s">
        <v>3687</v>
      </c>
      <c r="C682" t="s">
        <v>376</v>
      </c>
      <c r="D682" t="s">
        <v>2604</v>
      </c>
      <c r="E682" t="s">
        <v>37</v>
      </c>
      <c r="F682" t="s">
        <v>38</v>
      </c>
      <c r="G682" s="2">
        <v>45825</v>
      </c>
      <c r="H682">
        <v>3.2</v>
      </c>
      <c r="I682" t="s">
        <v>72</v>
      </c>
      <c r="J682" t="s">
        <v>40</v>
      </c>
      <c r="K682" t="s">
        <v>41</v>
      </c>
      <c r="L682" t="s">
        <v>2605</v>
      </c>
      <c r="M682" t="s">
        <v>2606</v>
      </c>
      <c r="O682" t="s">
        <v>402</v>
      </c>
      <c r="P682" t="s">
        <v>403</v>
      </c>
      <c r="Q682">
        <v>2.8903779302879959</v>
      </c>
      <c r="S682" t="s">
        <v>38</v>
      </c>
      <c r="T682" t="s">
        <v>3680</v>
      </c>
      <c r="V682" t="s">
        <v>73</v>
      </c>
      <c r="X682" t="s">
        <v>3663</v>
      </c>
      <c r="Y682" t="s">
        <v>698</v>
      </c>
      <c r="Z682" t="s">
        <v>2623</v>
      </c>
      <c r="AA682" t="s">
        <v>50</v>
      </c>
      <c r="AB682" t="s">
        <v>41</v>
      </c>
      <c r="AD682" t="s">
        <v>911</v>
      </c>
      <c r="AF682" t="s">
        <v>2667</v>
      </c>
      <c r="AJ682">
        <v>444.01610333826278</v>
      </c>
      <c r="AK682">
        <v>11696.99127826752</v>
      </c>
    </row>
    <row r="683" spans="1:37" hidden="1" x14ac:dyDescent="0.25">
      <c r="A683">
        <v>698</v>
      </c>
      <c r="B683" t="s">
        <v>3688</v>
      </c>
      <c r="C683" t="s">
        <v>376</v>
      </c>
      <c r="D683" t="s">
        <v>2604</v>
      </c>
      <c r="E683" t="s">
        <v>37</v>
      </c>
      <c r="F683" t="s">
        <v>38</v>
      </c>
      <c r="G683" s="2">
        <v>45825</v>
      </c>
      <c r="H683">
        <v>17.399999999999999</v>
      </c>
      <c r="I683" t="s">
        <v>72</v>
      </c>
      <c r="J683" t="s">
        <v>40</v>
      </c>
      <c r="K683" t="s">
        <v>41</v>
      </c>
      <c r="L683" t="s">
        <v>2605</v>
      </c>
      <c r="M683" t="s">
        <v>2606</v>
      </c>
      <c r="O683" t="s">
        <v>402</v>
      </c>
      <c r="P683" t="s">
        <v>403</v>
      </c>
      <c r="Q683">
        <v>17.591728228892691</v>
      </c>
      <c r="S683" t="s">
        <v>38</v>
      </c>
      <c r="T683" t="s">
        <v>3680</v>
      </c>
      <c r="V683" t="s">
        <v>60</v>
      </c>
      <c r="X683" t="s">
        <v>3663</v>
      </c>
      <c r="Y683" t="s">
        <v>698</v>
      </c>
      <c r="Z683" t="s">
        <v>2623</v>
      </c>
      <c r="AA683" t="s">
        <v>50</v>
      </c>
      <c r="AB683" t="s">
        <v>41</v>
      </c>
      <c r="AD683" t="s">
        <v>911</v>
      </c>
      <c r="AF683" t="s">
        <v>2667</v>
      </c>
      <c r="AJ683">
        <v>1177.353383997701</v>
      </c>
      <c r="AK683">
        <v>71191.483129857501</v>
      </c>
    </row>
    <row r="684" spans="1:37" hidden="1" x14ac:dyDescent="0.25">
      <c r="A684">
        <v>699</v>
      </c>
      <c r="B684" t="s">
        <v>3689</v>
      </c>
      <c r="C684" t="s">
        <v>376</v>
      </c>
      <c r="D684" t="s">
        <v>2604</v>
      </c>
      <c r="E684" t="s">
        <v>37</v>
      </c>
      <c r="F684" t="s">
        <v>38</v>
      </c>
      <c r="G684" s="2">
        <v>45825</v>
      </c>
      <c r="H684">
        <v>4.2</v>
      </c>
      <c r="I684" t="s">
        <v>72</v>
      </c>
      <c r="J684" t="s">
        <v>40</v>
      </c>
      <c r="K684" t="s">
        <v>41</v>
      </c>
      <c r="L684" t="s">
        <v>2605</v>
      </c>
      <c r="M684" t="s">
        <v>2606</v>
      </c>
      <c r="O684" t="s">
        <v>402</v>
      </c>
      <c r="P684" t="s">
        <v>403</v>
      </c>
      <c r="Q684">
        <v>3.334823949777999</v>
      </c>
      <c r="S684" t="s">
        <v>38</v>
      </c>
      <c r="T684" t="s">
        <v>3680</v>
      </c>
      <c r="V684" t="s">
        <v>3690</v>
      </c>
      <c r="X684" t="s">
        <v>3663</v>
      </c>
      <c r="Y684" t="s">
        <v>698</v>
      </c>
      <c r="Z684" t="s">
        <v>2623</v>
      </c>
      <c r="AA684" t="s">
        <v>681</v>
      </c>
      <c r="AB684" t="s">
        <v>41</v>
      </c>
      <c r="AD684" t="s">
        <v>911</v>
      </c>
      <c r="AF684" t="s">
        <v>2667</v>
      </c>
      <c r="AJ684">
        <v>901.58273472841199</v>
      </c>
      <c r="AK684">
        <v>13495.607701109249</v>
      </c>
    </row>
    <row r="685" spans="1:37" hidden="1" x14ac:dyDescent="0.25">
      <c r="A685">
        <v>700</v>
      </c>
      <c r="B685" t="s">
        <v>3691</v>
      </c>
      <c r="C685" t="s">
        <v>376</v>
      </c>
      <c r="D685" t="s">
        <v>2604</v>
      </c>
      <c r="E685" t="s">
        <v>37</v>
      </c>
      <c r="F685" t="s">
        <v>38</v>
      </c>
      <c r="G685" s="2">
        <v>45825</v>
      </c>
      <c r="H685">
        <v>1.7</v>
      </c>
      <c r="I685" t="s">
        <v>72</v>
      </c>
      <c r="J685" t="s">
        <v>40</v>
      </c>
      <c r="K685" t="s">
        <v>41</v>
      </c>
      <c r="L685" t="s">
        <v>2605</v>
      </c>
      <c r="M685" t="s">
        <v>2606</v>
      </c>
      <c r="O685" t="s">
        <v>402</v>
      </c>
      <c r="P685" t="s">
        <v>403</v>
      </c>
      <c r="Q685">
        <v>1.532446395556059</v>
      </c>
      <c r="S685" t="s">
        <v>38</v>
      </c>
      <c r="T685" t="s">
        <v>3680</v>
      </c>
      <c r="V685" t="s">
        <v>3690</v>
      </c>
      <c r="X685" t="s">
        <v>3663</v>
      </c>
      <c r="Y685" t="s">
        <v>698</v>
      </c>
      <c r="Z685" t="s">
        <v>2623</v>
      </c>
      <c r="AA685" t="s">
        <v>681</v>
      </c>
      <c r="AB685" t="s">
        <v>41</v>
      </c>
      <c r="AD685" t="s">
        <v>911</v>
      </c>
      <c r="AF685" t="s">
        <v>2667</v>
      </c>
      <c r="AJ685">
        <v>734.35445111372201</v>
      </c>
      <c r="AK685">
        <v>6201.615344276338</v>
      </c>
    </row>
    <row r="686" spans="1:37" hidden="1" x14ac:dyDescent="0.25">
      <c r="A686">
        <v>701</v>
      </c>
      <c r="B686" t="s">
        <v>3692</v>
      </c>
      <c r="C686" t="s">
        <v>376</v>
      </c>
      <c r="D686" t="s">
        <v>2604</v>
      </c>
      <c r="E686" t="s">
        <v>37</v>
      </c>
      <c r="F686" t="s">
        <v>38</v>
      </c>
      <c r="G686" s="2">
        <v>45825</v>
      </c>
      <c r="H686">
        <v>17.3</v>
      </c>
      <c r="I686" t="s">
        <v>72</v>
      </c>
      <c r="J686" t="s">
        <v>40</v>
      </c>
      <c r="K686" t="s">
        <v>41</v>
      </c>
      <c r="L686" t="s">
        <v>2605</v>
      </c>
      <c r="M686" t="s">
        <v>2606</v>
      </c>
      <c r="O686" t="s">
        <v>402</v>
      </c>
      <c r="P686" t="s">
        <v>403</v>
      </c>
      <c r="Q686">
        <v>16.775707617791632</v>
      </c>
      <c r="S686" t="s">
        <v>38</v>
      </c>
      <c r="T686" t="s">
        <v>3693</v>
      </c>
      <c r="V686" t="s">
        <v>60</v>
      </c>
      <c r="X686" t="s">
        <v>3694</v>
      </c>
      <c r="Y686" t="s">
        <v>698</v>
      </c>
      <c r="Z686" t="s">
        <v>2623</v>
      </c>
      <c r="AA686" t="s">
        <v>681</v>
      </c>
      <c r="AB686" t="s">
        <v>41</v>
      </c>
      <c r="AD686" t="s">
        <v>733</v>
      </c>
      <c r="AF686" t="s">
        <v>2667</v>
      </c>
      <c r="AJ686">
        <v>2077.0400708813472</v>
      </c>
      <c r="AK686">
        <v>67889.151669699771</v>
      </c>
    </row>
    <row r="687" spans="1:37" hidden="1" x14ac:dyDescent="0.25">
      <c r="A687">
        <v>702</v>
      </c>
      <c r="B687" t="s">
        <v>3695</v>
      </c>
      <c r="C687" t="s">
        <v>376</v>
      </c>
      <c r="D687" t="s">
        <v>2604</v>
      </c>
      <c r="E687" t="s">
        <v>37</v>
      </c>
      <c r="F687" t="s">
        <v>38</v>
      </c>
      <c r="G687" s="2">
        <v>45825</v>
      </c>
      <c r="H687">
        <v>12.5</v>
      </c>
      <c r="I687" t="s">
        <v>72</v>
      </c>
      <c r="J687" t="s">
        <v>40</v>
      </c>
      <c r="K687" t="s">
        <v>41</v>
      </c>
      <c r="L687" t="s">
        <v>2605</v>
      </c>
      <c r="M687" t="s">
        <v>2606</v>
      </c>
      <c r="O687" t="s">
        <v>402</v>
      </c>
      <c r="P687" t="s">
        <v>403</v>
      </c>
      <c r="Q687">
        <v>12.108349591006821</v>
      </c>
      <c r="S687" t="s">
        <v>38</v>
      </c>
      <c r="T687" t="s">
        <v>3693</v>
      </c>
      <c r="V687" t="s">
        <v>3690</v>
      </c>
      <c r="X687" t="s">
        <v>3694</v>
      </c>
      <c r="Y687" t="s">
        <v>698</v>
      </c>
      <c r="Z687" t="s">
        <v>2623</v>
      </c>
      <c r="AA687" t="s">
        <v>681</v>
      </c>
      <c r="AB687" t="s">
        <v>41</v>
      </c>
      <c r="AD687" t="s">
        <v>733</v>
      </c>
      <c r="AF687" t="s">
        <v>2667</v>
      </c>
      <c r="AJ687">
        <v>1182.405136391973</v>
      </c>
      <c r="AK687">
        <v>49000.948310627587</v>
      </c>
    </row>
    <row r="688" spans="1:37" hidden="1" x14ac:dyDescent="0.25">
      <c r="A688">
        <v>703</v>
      </c>
      <c r="B688" t="s">
        <v>3696</v>
      </c>
      <c r="C688" t="s">
        <v>376</v>
      </c>
      <c r="D688" t="s">
        <v>2604</v>
      </c>
      <c r="E688" t="s">
        <v>37</v>
      </c>
      <c r="F688" t="s">
        <v>38</v>
      </c>
      <c r="G688" s="2">
        <v>45825</v>
      </c>
      <c r="H688">
        <v>2.6</v>
      </c>
      <c r="I688" t="s">
        <v>72</v>
      </c>
      <c r="J688" t="s">
        <v>40</v>
      </c>
      <c r="K688" t="s">
        <v>41</v>
      </c>
      <c r="L688" t="s">
        <v>2605</v>
      </c>
      <c r="M688" t="s">
        <v>2606</v>
      </c>
      <c r="O688" t="s">
        <v>402</v>
      </c>
      <c r="P688" t="s">
        <v>403</v>
      </c>
      <c r="Q688">
        <v>2.2737725650293639</v>
      </c>
      <c r="S688" t="s">
        <v>38</v>
      </c>
      <c r="T688" t="s">
        <v>3693</v>
      </c>
      <c r="V688" t="s">
        <v>3690</v>
      </c>
      <c r="X688" t="s">
        <v>3694</v>
      </c>
      <c r="Y688" t="s">
        <v>698</v>
      </c>
      <c r="Z688" t="s">
        <v>2623</v>
      </c>
      <c r="AA688" t="s">
        <v>681</v>
      </c>
      <c r="AB688" t="s">
        <v>41</v>
      </c>
      <c r="AD688" t="s">
        <v>733</v>
      </c>
      <c r="AF688" t="s">
        <v>2667</v>
      </c>
      <c r="AJ688">
        <v>594.87921774962695</v>
      </c>
      <c r="AK688">
        <v>9201.6679145008547</v>
      </c>
    </row>
    <row r="689" spans="1:37" hidden="1" x14ac:dyDescent="0.25">
      <c r="A689">
        <v>704</v>
      </c>
      <c r="B689" t="s">
        <v>3697</v>
      </c>
      <c r="C689" t="s">
        <v>376</v>
      </c>
      <c r="D689" t="s">
        <v>2604</v>
      </c>
      <c r="E689" t="s">
        <v>37</v>
      </c>
      <c r="F689" t="s">
        <v>38</v>
      </c>
      <c r="G689" s="2">
        <v>45825</v>
      </c>
      <c r="H689">
        <v>13.5</v>
      </c>
      <c r="I689" t="s">
        <v>72</v>
      </c>
      <c r="J689" t="s">
        <v>40</v>
      </c>
      <c r="K689" t="s">
        <v>41</v>
      </c>
      <c r="L689" t="s">
        <v>2605</v>
      </c>
      <c r="M689" t="s">
        <v>2606</v>
      </c>
      <c r="O689" t="s">
        <v>402</v>
      </c>
      <c r="P689" t="s">
        <v>403</v>
      </c>
      <c r="Q689">
        <v>13.10586610285503</v>
      </c>
      <c r="S689" t="s">
        <v>38</v>
      </c>
      <c r="T689" t="s">
        <v>3693</v>
      </c>
      <c r="V689" t="s">
        <v>3690</v>
      </c>
      <c r="X689" t="s">
        <v>3694</v>
      </c>
      <c r="Y689" t="s">
        <v>698</v>
      </c>
      <c r="Z689" t="s">
        <v>2623</v>
      </c>
      <c r="AA689" t="s">
        <v>681</v>
      </c>
      <c r="AB689" t="s">
        <v>41</v>
      </c>
      <c r="AD689" t="s">
        <v>733</v>
      </c>
      <c r="AF689" t="s">
        <v>2667</v>
      </c>
      <c r="AJ689">
        <v>1243.59149954449</v>
      </c>
      <c r="AK689">
        <v>53037.770560323421</v>
      </c>
    </row>
    <row r="690" spans="1:37" hidden="1" x14ac:dyDescent="0.25">
      <c r="A690">
        <v>705</v>
      </c>
      <c r="B690" t="s">
        <v>3698</v>
      </c>
      <c r="C690" t="s">
        <v>376</v>
      </c>
      <c r="D690" t="s">
        <v>2604</v>
      </c>
      <c r="E690" t="s">
        <v>37</v>
      </c>
      <c r="F690" t="s">
        <v>38</v>
      </c>
      <c r="G690" s="2">
        <v>45825</v>
      </c>
      <c r="H690">
        <v>1.2</v>
      </c>
      <c r="I690" t="s">
        <v>72</v>
      </c>
      <c r="J690" t="s">
        <v>40</v>
      </c>
      <c r="K690" t="s">
        <v>41</v>
      </c>
      <c r="L690" t="s">
        <v>2605</v>
      </c>
      <c r="M690" t="s">
        <v>2606</v>
      </c>
      <c r="O690" t="s">
        <v>402</v>
      </c>
      <c r="P690" t="s">
        <v>403</v>
      </c>
      <c r="Q690">
        <v>1.357712504403384</v>
      </c>
      <c r="S690" t="s">
        <v>38</v>
      </c>
      <c r="T690" t="s">
        <v>3693</v>
      </c>
      <c r="V690" t="s">
        <v>3690</v>
      </c>
      <c r="X690" t="s">
        <v>3694</v>
      </c>
      <c r="Y690" t="s">
        <v>698</v>
      </c>
      <c r="Z690" t="s">
        <v>2623</v>
      </c>
      <c r="AA690" t="s">
        <v>681</v>
      </c>
      <c r="AB690" t="s">
        <v>41</v>
      </c>
      <c r="AD690" t="s">
        <v>733</v>
      </c>
      <c r="AF690" t="s">
        <v>2667</v>
      </c>
      <c r="AJ690">
        <v>297.74521463650319</v>
      </c>
      <c r="AK690">
        <v>5494.4895461538281</v>
      </c>
    </row>
    <row r="691" spans="1:37" hidden="1" x14ac:dyDescent="0.25">
      <c r="A691">
        <v>706</v>
      </c>
      <c r="B691" t="s">
        <v>3699</v>
      </c>
      <c r="C691" t="s">
        <v>376</v>
      </c>
      <c r="D691" t="s">
        <v>2604</v>
      </c>
      <c r="E691" t="s">
        <v>37</v>
      </c>
      <c r="F691" t="s">
        <v>38</v>
      </c>
      <c r="G691" s="2">
        <v>45825</v>
      </c>
      <c r="H691">
        <v>7.5</v>
      </c>
      <c r="I691" t="s">
        <v>72</v>
      </c>
      <c r="J691" t="s">
        <v>40</v>
      </c>
      <c r="K691" t="s">
        <v>41</v>
      </c>
      <c r="L691" t="s">
        <v>2605</v>
      </c>
      <c r="M691" t="s">
        <v>2606</v>
      </c>
      <c r="O691" t="s">
        <v>402</v>
      </c>
      <c r="P691" t="s">
        <v>403</v>
      </c>
      <c r="Q691">
        <v>7.3184223145907898</v>
      </c>
      <c r="S691" t="s">
        <v>38</v>
      </c>
      <c r="T691" t="s">
        <v>3693</v>
      </c>
      <c r="V691" t="s">
        <v>3690</v>
      </c>
      <c r="X691" t="s">
        <v>3694</v>
      </c>
      <c r="Y691" t="s">
        <v>698</v>
      </c>
      <c r="Z691" t="s">
        <v>2623</v>
      </c>
      <c r="AA691" t="s">
        <v>681</v>
      </c>
      <c r="AB691" t="s">
        <v>41</v>
      </c>
      <c r="AD691" t="s">
        <v>733</v>
      </c>
      <c r="AF691" t="s">
        <v>2667</v>
      </c>
      <c r="AJ691">
        <v>749.9270068693653</v>
      </c>
      <c r="AK691">
        <v>29616.722812409989</v>
      </c>
    </row>
    <row r="692" spans="1:37" hidden="1" x14ac:dyDescent="0.25">
      <c r="A692">
        <v>707</v>
      </c>
      <c r="B692" t="s">
        <v>3700</v>
      </c>
      <c r="C692" t="s">
        <v>376</v>
      </c>
      <c r="D692" t="s">
        <v>2604</v>
      </c>
      <c r="E692" t="s">
        <v>37</v>
      </c>
      <c r="F692" t="s">
        <v>38</v>
      </c>
      <c r="G692" s="2">
        <v>45825</v>
      </c>
      <c r="H692">
        <v>25.3</v>
      </c>
      <c r="I692" t="s">
        <v>72</v>
      </c>
      <c r="J692" t="s">
        <v>40</v>
      </c>
      <c r="K692" t="s">
        <v>41</v>
      </c>
      <c r="L692" t="s">
        <v>2605</v>
      </c>
      <c r="M692" t="s">
        <v>2606</v>
      </c>
      <c r="O692" t="s">
        <v>402</v>
      </c>
      <c r="P692" t="s">
        <v>403</v>
      </c>
      <c r="Q692">
        <v>24.499298987242099</v>
      </c>
      <c r="S692" t="s">
        <v>38</v>
      </c>
      <c r="T692" t="s">
        <v>3693</v>
      </c>
      <c r="V692" t="s">
        <v>3690</v>
      </c>
      <c r="X692" t="s">
        <v>3694</v>
      </c>
      <c r="Y692" t="s">
        <v>698</v>
      </c>
      <c r="Z692" t="s">
        <v>2623</v>
      </c>
      <c r="AA692" t="s">
        <v>681</v>
      </c>
      <c r="AB692" t="s">
        <v>41</v>
      </c>
      <c r="AD692" t="s">
        <v>733</v>
      </c>
      <c r="AF692" t="s">
        <v>2667</v>
      </c>
      <c r="AJ692">
        <v>2718.8378456773112</v>
      </c>
      <c r="AK692">
        <v>99145.542032590049</v>
      </c>
    </row>
    <row r="693" spans="1:37" hidden="1" x14ac:dyDescent="0.25">
      <c r="A693">
        <v>708</v>
      </c>
      <c r="B693" t="s">
        <v>3701</v>
      </c>
      <c r="C693" t="s">
        <v>376</v>
      </c>
      <c r="D693" t="s">
        <v>2604</v>
      </c>
      <c r="E693" t="s">
        <v>37</v>
      </c>
      <c r="F693" t="s">
        <v>38</v>
      </c>
      <c r="G693" s="2">
        <v>45825</v>
      </c>
      <c r="H693">
        <v>30.7</v>
      </c>
      <c r="I693" t="s">
        <v>72</v>
      </c>
      <c r="J693" t="s">
        <v>40</v>
      </c>
      <c r="K693" t="s">
        <v>41</v>
      </c>
      <c r="L693" t="s">
        <v>2605</v>
      </c>
      <c r="M693" t="s">
        <v>2606</v>
      </c>
      <c r="O693" t="s">
        <v>402</v>
      </c>
      <c r="P693" t="s">
        <v>403</v>
      </c>
      <c r="Q693">
        <v>28.721150875824911</v>
      </c>
      <c r="S693" t="s">
        <v>38</v>
      </c>
      <c r="T693" t="s">
        <v>3693</v>
      </c>
      <c r="V693" t="s">
        <v>60</v>
      </c>
      <c r="X693" t="s">
        <v>3694</v>
      </c>
      <c r="Y693" t="s">
        <v>698</v>
      </c>
      <c r="Z693" t="s">
        <v>2623</v>
      </c>
      <c r="AA693" t="s">
        <v>681</v>
      </c>
      <c r="AB693" t="s">
        <v>41</v>
      </c>
      <c r="AD693" t="s">
        <v>733</v>
      </c>
      <c r="AF693" t="s">
        <v>2667</v>
      </c>
      <c r="AJ693">
        <v>2202.9608860570988</v>
      </c>
      <c r="AK693">
        <v>116230.8388034417</v>
      </c>
    </row>
    <row r="694" spans="1:37" hidden="1" x14ac:dyDescent="0.25">
      <c r="A694">
        <v>709</v>
      </c>
      <c r="B694" t="s">
        <v>3702</v>
      </c>
      <c r="C694" t="s">
        <v>376</v>
      </c>
      <c r="D694" t="s">
        <v>2604</v>
      </c>
      <c r="E694" t="s">
        <v>37</v>
      </c>
      <c r="F694" t="s">
        <v>38</v>
      </c>
      <c r="G694" s="2">
        <v>45825</v>
      </c>
      <c r="H694">
        <v>16</v>
      </c>
      <c r="I694" t="s">
        <v>72</v>
      </c>
      <c r="J694" t="s">
        <v>40</v>
      </c>
      <c r="K694" t="s">
        <v>41</v>
      </c>
      <c r="L694" t="s">
        <v>2605</v>
      </c>
      <c r="M694" t="s">
        <v>2606</v>
      </c>
      <c r="O694" t="s">
        <v>402</v>
      </c>
      <c r="P694" t="s">
        <v>403</v>
      </c>
      <c r="Q694">
        <v>15.503408181889389</v>
      </c>
      <c r="S694" t="s">
        <v>38</v>
      </c>
      <c r="T694" t="s">
        <v>3693</v>
      </c>
      <c r="V694" t="s">
        <v>60</v>
      </c>
      <c r="X694" t="s">
        <v>3694</v>
      </c>
      <c r="Y694" t="s">
        <v>698</v>
      </c>
      <c r="Z694" t="s">
        <v>2623</v>
      </c>
      <c r="AA694" t="s">
        <v>681</v>
      </c>
      <c r="AB694" t="s">
        <v>41</v>
      </c>
      <c r="AD694" t="s">
        <v>733</v>
      </c>
      <c r="AF694" t="s">
        <v>2667</v>
      </c>
      <c r="AJ694">
        <v>1783.0221838576849</v>
      </c>
      <c r="AK694">
        <v>62740.317930988538</v>
      </c>
    </row>
    <row r="695" spans="1:37" hidden="1" x14ac:dyDescent="0.25">
      <c r="A695">
        <v>710</v>
      </c>
      <c r="B695" t="s">
        <v>3703</v>
      </c>
      <c r="C695" t="s">
        <v>376</v>
      </c>
      <c r="D695" t="s">
        <v>2604</v>
      </c>
      <c r="E695" t="s">
        <v>37</v>
      </c>
      <c r="F695" t="s">
        <v>38</v>
      </c>
      <c r="G695" s="2">
        <v>45825</v>
      </c>
      <c r="H695">
        <v>3.6</v>
      </c>
      <c r="I695" t="s">
        <v>72</v>
      </c>
      <c r="J695" t="s">
        <v>40</v>
      </c>
      <c r="K695" t="s">
        <v>41</v>
      </c>
      <c r="L695" t="s">
        <v>2605</v>
      </c>
      <c r="M695" t="s">
        <v>2606</v>
      </c>
      <c r="O695" t="s">
        <v>402</v>
      </c>
      <c r="P695" t="s">
        <v>403</v>
      </c>
      <c r="Q695">
        <v>1.9707696409998701</v>
      </c>
      <c r="S695" t="s">
        <v>38</v>
      </c>
      <c r="T695" t="s">
        <v>3693</v>
      </c>
      <c r="V695" t="s">
        <v>3704</v>
      </c>
      <c r="X695" t="s">
        <v>3694</v>
      </c>
      <c r="Y695" t="s">
        <v>698</v>
      </c>
      <c r="Z695" t="s">
        <v>2623</v>
      </c>
      <c r="AA695" t="s">
        <v>681</v>
      </c>
      <c r="AB695" t="s">
        <v>41</v>
      </c>
      <c r="AD695" t="s">
        <v>733</v>
      </c>
      <c r="AF695" t="s">
        <v>2667</v>
      </c>
      <c r="AJ695">
        <v>470.65903673631612</v>
      </c>
      <c r="AK695">
        <v>7975.4536805340849</v>
      </c>
    </row>
    <row r="696" spans="1:37" hidden="1" x14ac:dyDescent="0.25">
      <c r="A696">
        <v>711</v>
      </c>
      <c r="B696" t="s">
        <v>3705</v>
      </c>
      <c r="C696" t="s">
        <v>376</v>
      </c>
      <c r="D696" t="s">
        <v>2604</v>
      </c>
      <c r="E696" t="s">
        <v>37</v>
      </c>
      <c r="F696" t="s">
        <v>38</v>
      </c>
      <c r="G696" s="2">
        <v>45825</v>
      </c>
      <c r="H696">
        <v>1.2</v>
      </c>
      <c r="I696" t="s">
        <v>72</v>
      </c>
      <c r="J696" t="s">
        <v>40</v>
      </c>
      <c r="K696" t="s">
        <v>41</v>
      </c>
      <c r="L696" t="s">
        <v>2605</v>
      </c>
      <c r="M696" t="s">
        <v>2606</v>
      </c>
      <c r="O696" t="s">
        <v>402</v>
      </c>
      <c r="P696" t="s">
        <v>403</v>
      </c>
      <c r="Q696">
        <v>1.0763401761766229</v>
      </c>
      <c r="S696" t="s">
        <v>38</v>
      </c>
      <c r="T696" t="s">
        <v>3693</v>
      </c>
      <c r="V696" t="s">
        <v>3704</v>
      </c>
      <c r="X696" t="s">
        <v>3694</v>
      </c>
      <c r="Y696" t="s">
        <v>698</v>
      </c>
      <c r="Z696" t="s">
        <v>2623</v>
      </c>
      <c r="AA696" t="s">
        <v>681</v>
      </c>
      <c r="AB696" t="s">
        <v>41</v>
      </c>
      <c r="AD696" t="s">
        <v>733</v>
      </c>
      <c r="AF696" t="s">
        <v>2667</v>
      </c>
      <c r="AJ696">
        <v>278.48387409966222</v>
      </c>
      <c r="AK696">
        <v>4355.811577876404</v>
      </c>
    </row>
    <row r="697" spans="1:37" hidden="1" x14ac:dyDescent="0.25">
      <c r="A697">
        <v>712</v>
      </c>
      <c r="B697" t="s">
        <v>3706</v>
      </c>
      <c r="C697" t="s">
        <v>376</v>
      </c>
      <c r="D697" t="s">
        <v>2604</v>
      </c>
      <c r="E697" t="s">
        <v>37</v>
      </c>
      <c r="F697" t="s">
        <v>38</v>
      </c>
      <c r="G697" s="2">
        <v>45825</v>
      </c>
      <c r="H697">
        <v>15.3</v>
      </c>
      <c r="I697" t="s">
        <v>72</v>
      </c>
      <c r="J697" t="s">
        <v>40</v>
      </c>
      <c r="K697" t="s">
        <v>41</v>
      </c>
      <c r="L697" t="s">
        <v>2605</v>
      </c>
      <c r="M697" t="s">
        <v>2606</v>
      </c>
      <c r="O697" t="s">
        <v>402</v>
      </c>
      <c r="P697" t="s">
        <v>403</v>
      </c>
      <c r="Q697">
        <v>13.91706599032733</v>
      </c>
      <c r="S697" t="s">
        <v>38</v>
      </c>
      <c r="T697" t="s">
        <v>3693</v>
      </c>
      <c r="V697" t="s">
        <v>3704</v>
      </c>
      <c r="X697" t="s">
        <v>3694</v>
      </c>
      <c r="Y697" t="s">
        <v>698</v>
      </c>
      <c r="Z697" t="s">
        <v>2623</v>
      </c>
      <c r="AA697" t="s">
        <v>712</v>
      </c>
      <c r="AB697" t="s">
        <v>41</v>
      </c>
      <c r="AD697" t="s">
        <v>733</v>
      </c>
      <c r="AF697" t="s">
        <v>2667</v>
      </c>
      <c r="AJ697">
        <v>1081.646512405576</v>
      </c>
      <c r="AK697">
        <v>56320.593166068131</v>
      </c>
    </row>
    <row r="698" spans="1:37" hidden="1" x14ac:dyDescent="0.25">
      <c r="A698">
        <v>713</v>
      </c>
      <c r="B698" t="s">
        <v>3707</v>
      </c>
      <c r="C698" t="s">
        <v>376</v>
      </c>
      <c r="D698" t="s">
        <v>2604</v>
      </c>
      <c r="E698" t="s">
        <v>37</v>
      </c>
      <c r="F698" t="s">
        <v>38</v>
      </c>
      <c r="G698" s="2">
        <v>45825</v>
      </c>
      <c r="H698">
        <v>7</v>
      </c>
      <c r="I698" t="s">
        <v>72</v>
      </c>
      <c r="J698" t="s">
        <v>40</v>
      </c>
      <c r="K698" t="s">
        <v>41</v>
      </c>
      <c r="L698" t="s">
        <v>2605</v>
      </c>
      <c r="M698" t="s">
        <v>2606</v>
      </c>
      <c r="O698" t="s">
        <v>402</v>
      </c>
      <c r="P698" t="s">
        <v>403</v>
      </c>
      <c r="Q698">
        <v>6.4082475096472198</v>
      </c>
      <c r="S698" t="s">
        <v>38</v>
      </c>
      <c r="T698" t="s">
        <v>3693</v>
      </c>
      <c r="V698" t="s">
        <v>3704</v>
      </c>
      <c r="X698" t="s">
        <v>3694</v>
      </c>
      <c r="Y698" t="s">
        <v>698</v>
      </c>
      <c r="Z698" t="s">
        <v>2630</v>
      </c>
      <c r="AA698" t="s">
        <v>712</v>
      </c>
      <c r="AB698" t="s">
        <v>41</v>
      </c>
      <c r="AD698" t="s">
        <v>733</v>
      </c>
      <c r="AF698" t="s">
        <v>2667</v>
      </c>
      <c r="AJ698">
        <v>905.02669423433974</v>
      </c>
      <c r="AK698">
        <v>25933.361324086221</v>
      </c>
    </row>
    <row r="699" spans="1:37" hidden="1" x14ac:dyDescent="0.25">
      <c r="A699">
        <v>714</v>
      </c>
      <c r="B699" t="s">
        <v>3708</v>
      </c>
      <c r="C699" t="s">
        <v>376</v>
      </c>
      <c r="D699" t="s">
        <v>2604</v>
      </c>
      <c r="E699" t="s">
        <v>37</v>
      </c>
      <c r="F699" t="s">
        <v>38</v>
      </c>
      <c r="G699" s="2">
        <v>45825</v>
      </c>
      <c r="H699">
        <v>7.5</v>
      </c>
      <c r="I699" t="s">
        <v>72</v>
      </c>
      <c r="J699" t="s">
        <v>40</v>
      </c>
      <c r="K699" t="s">
        <v>41</v>
      </c>
      <c r="L699" t="s">
        <v>2605</v>
      </c>
      <c r="M699" t="s">
        <v>2606</v>
      </c>
      <c r="O699" t="s">
        <v>402</v>
      </c>
      <c r="P699" t="s">
        <v>403</v>
      </c>
      <c r="Q699">
        <v>7.0601792755795749</v>
      </c>
      <c r="S699" t="s">
        <v>38</v>
      </c>
      <c r="T699" t="s">
        <v>3693</v>
      </c>
      <c r="V699" t="s">
        <v>3704</v>
      </c>
      <c r="X699" t="s">
        <v>3694</v>
      </c>
      <c r="Y699" t="s">
        <v>698</v>
      </c>
      <c r="Z699" t="s">
        <v>2623</v>
      </c>
      <c r="AA699" t="s">
        <v>712</v>
      </c>
      <c r="AB699" t="s">
        <v>41</v>
      </c>
      <c r="AD699" t="s">
        <v>733</v>
      </c>
      <c r="AF699" t="s">
        <v>2667</v>
      </c>
      <c r="AJ699">
        <v>895.73737220153828</v>
      </c>
      <c r="AK699">
        <v>28571.646131144818</v>
      </c>
    </row>
    <row r="700" spans="1:37" hidden="1" x14ac:dyDescent="0.25">
      <c r="A700">
        <v>715</v>
      </c>
      <c r="B700" t="s">
        <v>3709</v>
      </c>
      <c r="C700" t="s">
        <v>376</v>
      </c>
      <c r="D700" t="s">
        <v>2604</v>
      </c>
      <c r="E700" t="s">
        <v>37</v>
      </c>
      <c r="F700" t="s">
        <v>38</v>
      </c>
      <c r="G700" s="2">
        <v>45825</v>
      </c>
      <c r="H700">
        <v>1.9</v>
      </c>
      <c r="I700" t="s">
        <v>72</v>
      </c>
      <c r="J700" t="s">
        <v>40</v>
      </c>
      <c r="K700" t="s">
        <v>41</v>
      </c>
      <c r="L700" t="s">
        <v>2605</v>
      </c>
      <c r="M700" t="s">
        <v>2606</v>
      </c>
      <c r="O700" t="s">
        <v>402</v>
      </c>
      <c r="P700" t="s">
        <v>403</v>
      </c>
      <c r="Q700">
        <v>1.882505595091444</v>
      </c>
      <c r="S700" t="s">
        <v>38</v>
      </c>
      <c r="T700" t="s">
        <v>3693</v>
      </c>
      <c r="V700" t="s">
        <v>60</v>
      </c>
      <c r="X700" t="s">
        <v>3694</v>
      </c>
      <c r="Y700" t="s">
        <v>698</v>
      </c>
      <c r="Z700" t="s">
        <v>2623</v>
      </c>
      <c r="AA700" t="s">
        <v>712</v>
      </c>
      <c r="AB700" t="s">
        <v>41</v>
      </c>
      <c r="AD700" t="s">
        <v>733</v>
      </c>
      <c r="AF700" t="s">
        <v>2667</v>
      </c>
      <c r="AJ700">
        <v>431.96205308852001</v>
      </c>
      <c r="AK700">
        <v>7618.2603307105946</v>
      </c>
    </row>
    <row r="701" spans="1:37" hidden="1" x14ac:dyDescent="0.25">
      <c r="A701">
        <v>716</v>
      </c>
      <c r="B701" t="s">
        <v>3710</v>
      </c>
      <c r="C701" t="s">
        <v>376</v>
      </c>
      <c r="D701" t="s">
        <v>2604</v>
      </c>
      <c r="E701" t="s">
        <v>37</v>
      </c>
      <c r="F701" t="s">
        <v>38</v>
      </c>
      <c r="G701" s="2">
        <v>45825</v>
      </c>
      <c r="H701">
        <v>0.3</v>
      </c>
      <c r="I701" t="s">
        <v>72</v>
      </c>
      <c r="J701" t="s">
        <v>40</v>
      </c>
      <c r="K701" t="s">
        <v>41</v>
      </c>
      <c r="L701" t="s">
        <v>2605</v>
      </c>
      <c r="M701" t="s">
        <v>2606</v>
      </c>
      <c r="O701" t="s">
        <v>402</v>
      </c>
      <c r="P701" t="s">
        <v>403</v>
      </c>
      <c r="Q701">
        <v>0.24828815811021979</v>
      </c>
      <c r="S701" t="s">
        <v>38</v>
      </c>
      <c r="T701" t="s">
        <v>3693</v>
      </c>
      <c r="V701" t="s">
        <v>3704</v>
      </c>
      <c r="X701" t="s">
        <v>3694</v>
      </c>
      <c r="Y701" t="s">
        <v>698</v>
      </c>
      <c r="Z701" t="s">
        <v>2623</v>
      </c>
      <c r="AA701" t="s">
        <v>712</v>
      </c>
      <c r="AB701" t="s">
        <v>41</v>
      </c>
      <c r="AD701" t="s">
        <v>733</v>
      </c>
      <c r="AF701" t="s">
        <v>2667</v>
      </c>
      <c r="AJ701">
        <v>260.13154638977358</v>
      </c>
      <c r="AK701">
        <v>1004.790546412376</v>
      </c>
    </row>
    <row r="702" spans="1:37" hidden="1" x14ac:dyDescent="0.25">
      <c r="A702">
        <v>717</v>
      </c>
      <c r="B702" t="s">
        <v>3711</v>
      </c>
      <c r="C702" t="s">
        <v>376</v>
      </c>
      <c r="D702" t="s">
        <v>2604</v>
      </c>
      <c r="E702" t="s">
        <v>37</v>
      </c>
      <c r="F702" t="s">
        <v>38</v>
      </c>
      <c r="G702" s="2">
        <v>45825</v>
      </c>
      <c r="H702">
        <v>9.6999999999999993</v>
      </c>
      <c r="I702" t="s">
        <v>72</v>
      </c>
      <c r="J702" t="s">
        <v>40</v>
      </c>
      <c r="K702" t="s">
        <v>41</v>
      </c>
      <c r="L702" t="s">
        <v>2605</v>
      </c>
      <c r="M702" t="s">
        <v>2606</v>
      </c>
      <c r="O702" t="s">
        <v>402</v>
      </c>
      <c r="P702" t="s">
        <v>403</v>
      </c>
      <c r="Q702">
        <v>8.6329633971116575</v>
      </c>
      <c r="S702" t="s">
        <v>38</v>
      </c>
      <c r="T702" t="s">
        <v>3693</v>
      </c>
      <c r="V702" t="s">
        <v>3704</v>
      </c>
      <c r="X702" t="s">
        <v>3694</v>
      </c>
      <c r="Y702" t="s">
        <v>698</v>
      </c>
      <c r="Z702" t="s">
        <v>2623</v>
      </c>
      <c r="AA702" t="s">
        <v>712</v>
      </c>
      <c r="AB702" t="s">
        <v>41</v>
      </c>
      <c r="AD702" t="s">
        <v>733</v>
      </c>
      <c r="AF702" t="s">
        <v>2667</v>
      </c>
      <c r="AJ702">
        <v>737.35495086947378</v>
      </c>
      <c r="AK702">
        <v>34936.503113818137</v>
      </c>
    </row>
    <row r="703" spans="1:37" hidden="1" x14ac:dyDescent="0.25">
      <c r="A703">
        <v>718</v>
      </c>
      <c r="B703" t="s">
        <v>3712</v>
      </c>
      <c r="C703" t="s">
        <v>376</v>
      </c>
      <c r="D703" t="s">
        <v>2604</v>
      </c>
      <c r="E703" t="s">
        <v>37</v>
      </c>
      <c r="F703" t="s">
        <v>38</v>
      </c>
      <c r="G703" s="2">
        <v>45825</v>
      </c>
      <c r="H703">
        <v>1.8</v>
      </c>
      <c r="I703" t="s">
        <v>72</v>
      </c>
      <c r="J703" t="s">
        <v>40</v>
      </c>
      <c r="K703" t="s">
        <v>41</v>
      </c>
      <c r="L703" t="s">
        <v>2605</v>
      </c>
      <c r="M703" t="s">
        <v>2606</v>
      </c>
      <c r="O703" t="s">
        <v>402</v>
      </c>
      <c r="P703" t="s">
        <v>403</v>
      </c>
      <c r="Q703">
        <v>1.684931871857027</v>
      </c>
      <c r="S703" t="s">
        <v>38</v>
      </c>
      <c r="T703" t="s">
        <v>3693</v>
      </c>
      <c r="V703" t="s">
        <v>46</v>
      </c>
      <c r="X703" t="s">
        <v>3694</v>
      </c>
      <c r="Y703" t="s">
        <v>698</v>
      </c>
      <c r="Z703" t="s">
        <v>2623</v>
      </c>
      <c r="AA703" t="s">
        <v>712</v>
      </c>
      <c r="AB703" t="s">
        <v>41</v>
      </c>
      <c r="AD703" t="s">
        <v>733</v>
      </c>
      <c r="AF703" t="s">
        <v>2667</v>
      </c>
      <c r="AJ703">
        <v>430.27489445566789</v>
      </c>
      <c r="AK703">
        <v>6818.7046417223564</v>
      </c>
    </row>
    <row r="704" spans="1:37" hidden="1" x14ac:dyDescent="0.25">
      <c r="A704">
        <v>719</v>
      </c>
      <c r="B704" t="s">
        <v>3713</v>
      </c>
      <c r="C704" t="s">
        <v>376</v>
      </c>
      <c r="D704" t="s">
        <v>2604</v>
      </c>
      <c r="E704" t="s">
        <v>37</v>
      </c>
      <c r="F704" t="s">
        <v>38</v>
      </c>
      <c r="G704" s="2">
        <v>45825</v>
      </c>
      <c r="H704">
        <v>6.3</v>
      </c>
      <c r="I704" t="s">
        <v>72</v>
      </c>
      <c r="J704" t="s">
        <v>40</v>
      </c>
      <c r="K704" t="s">
        <v>41</v>
      </c>
      <c r="L704" t="s">
        <v>2605</v>
      </c>
      <c r="M704" t="s">
        <v>2606</v>
      </c>
      <c r="O704" t="s">
        <v>402</v>
      </c>
      <c r="P704" t="s">
        <v>403</v>
      </c>
      <c r="Q704">
        <v>6.1574785757058477</v>
      </c>
      <c r="S704" t="s">
        <v>38</v>
      </c>
      <c r="T704" t="s">
        <v>3693</v>
      </c>
      <c r="V704" t="s">
        <v>3704</v>
      </c>
      <c r="X704" t="s">
        <v>3694</v>
      </c>
      <c r="Y704" t="s">
        <v>698</v>
      </c>
      <c r="Z704" t="s">
        <v>2623</v>
      </c>
      <c r="AA704" t="s">
        <v>712</v>
      </c>
      <c r="AB704" t="s">
        <v>41</v>
      </c>
      <c r="AD704" t="s">
        <v>701</v>
      </c>
      <c r="AF704" t="s">
        <v>2667</v>
      </c>
      <c r="AJ704">
        <v>795.64243566701771</v>
      </c>
      <c r="AK704">
        <v>24918.531393911511</v>
      </c>
    </row>
    <row r="705" spans="1:37" hidden="1" x14ac:dyDescent="0.25">
      <c r="A705">
        <v>720</v>
      </c>
      <c r="B705" t="s">
        <v>3714</v>
      </c>
      <c r="C705" t="s">
        <v>376</v>
      </c>
      <c r="D705" t="s">
        <v>2604</v>
      </c>
      <c r="E705" t="s">
        <v>37</v>
      </c>
      <c r="F705" t="s">
        <v>38</v>
      </c>
      <c r="G705" s="2">
        <v>45825</v>
      </c>
      <c r="H705">
        <v>25.4</v>
      </c>
      <c r="I705" t="s">
        <v>72</v>
      </c>
      <c r="J705" t="s">
        <v>40</v>
      </c>
      <c r="K705" t="s">
        <v>41</v>
      </c>
      <c r="L705" t="s">
        <v>2605</v>
      </c>
      <c r="M705" t="s">
        <v>2606</v>
      </c>
      <c r="O705" t="s">
        <v>402</v>
      </c>
      <c r="P705" t="s">
        <v>403</v>
      </c>
      <c r="Q705">
        <v>23.66863961428151</v>
      </c>
      <c r="S705" t="s">
        <v>38</v>
      </c>
      <c r="T705" t="s">
        <v>3693</v>
      </c>
      <c r="V705" t="s">
        <v>3704</v>
      </c>
      <c r="X705" t="s">
        <v>3694</v>
      </c>
      <c r="Y705" t="s">
        <v>698</v>
      </c>
      <c r="Z705" t="s">
        <v>2623</v>
      </c>
      <c r="AA705" t="s">
        <v>712</v>
      </c>
      <c r="AB705" t="s">
        <v>41</v>
      </c>
      <c r="AD705" t="s">
        <v>701</v>
      </c>
      <c r="AF705" t="s">
        <v>2667</v>
      </c>
      <c r="AJ705">
        <v>1663.3119201201721</v>
      </c>
      <c r="AK705">
        <v>95783.969368020538</v>
      </c>
    </row>
    <row r="706" spans="1:37" hidden="1" x14ac:dyDescent="0.25">
      <c r="A706">
        <v>721</v>
      </c>
      <c r="B706" t="s">
        <v>3715</v>
      </c>
      <c r="C706" t="s">
        <v>376</v>
      </c>
      <c r="D706" t="s">
        <v>2604</v>
      </c>
      <c r="E706" t="s">
        <v>37</v>
      </c>
      <c r="F706" t="s">
        <v>38</v>
      </c>
      <c r="G706" s="2">
        <v>45825</v>
      </c>
      <c r="I706" t="s">
        <v>72</v>
      </c>
      <c r="J706" t="s">
        <v>40</v>
      </c>
      <c r="K706" t="s">
        <v>41</v>
      </c>
      <c r="L706" t="s">
        <v>2605</v>
      </c>
      <c r="M706" t="s">
        <v>2606</v>
      </c>
      <c r="O706" t="s">
        <v>624</v>
      </c>
      <c r="P706" t="s">
        <v>625</v>
      </c>
      <c r="Q706">
        <v>6.816480066424406E-2</v>
      </c>
      <c r="S706" t="s">
        <v>38</v>
      </c>
      <c r="T706" t="s">
        <v>3716</v>
      </c>
      <c r="V706" t="s">
        <v>124</v>
      </c>
      <c r="X706" t="s">
        <v>673</v>
      </c>
      <c r="Y706" t="s">
        <v>698</v>
      </c>
      <c r="Z706" t="s">
        <v>383</v>
      </c>
      <c r="AA706" t="s">
        <v>576</v>
      </c>
      <c r="AB706" t="s">
        <v>41</v>
      </c>
      <c r="AJ706">
        <v>59.632840697298107</v>
      </c>
      <c r="AK706">
        <v>275.85426476566749</v>
      </c>
    </row>
    <row r="707" spans="1:37" hidden="1" x14ac:dyDescent="0.25">
      <c r="A707">
        <v>722</v>
      </c>
      <c r="B707" t="s">
        <v>3717</v>
      </c>
      <c r="C707" t="s">
        <v>376</v>
      </c>
      <c r="D707" t="s">
        <v>2604</v>
      </c>
      <c r="E707" t="s">
        <v>37</v>
      </c>
      <c r="F707" t="s">
        <v>38</v>
      </c>
      <c r="G707" s="2">
        <v>45825</v>
      </c>
      <c r="I707" t="s">
        <v>72</v>
      </c>
      <c r="J707" t="s">
        <v>40</v>
      </c>
      <c r="K707" t="s">
        <v>41</v>
      </c>
      <c r="L707" t="s">
        <v>2605</v>
      </c>
      <c r="M707" t="s">
        <v>2606</v>
      </c>
      <c r="O707" t="s">
        <v>624</v>
      </c>
      <c r="P707" t="s">
        <v>625</v>
      </c>
      <c r="Q707">
        <v>5.5703747950748103E-2</v>
      </c>
      <c r="S707" t="s">
        <v>38</v>
      </c>
      <c r="T707" t="s">
        <v>3716</v>
      </c>
      <c r="V707" t="s">
        <v>124</v>
      </c>
      <c r="X707" t="s">
        <v>673</v>
      </c>
      <c r="Y707" t="s">
        <v>698</v>
      </c>
      <c r="Z707" t="s">
        <v>383</v>
      </c>
      <c r="AA707" t="s">
        <v>576</v>
      </c>
      <c r="AB707" t="s">
        <v>41</v>
      </c>
      <c r="AJ707">
        <v>56.811615862281862</v>
      </c>
      <c r="AK707">
        <v>225.4259718492215</v>
      </c>
    </row>
    <row r="708" spans="1:37" hidden="1" x14ac:dyDescent="0.25">
      <c r="A708">
        <v>723</v>
      </c>
      <c r="B708" t="s">
        <v>3718</v>
      </c>
      <c r="C708" t="s">
        <v>376</v>
      </c>
      <c r="D708" t="s">
        <v>2604</v>
      </c>
      <c r="E708" t="s">
        <v>37</v>
      </c>
      <c r="F708" t="s">
        <v>38</v>
      </c>
      <c r="G708" s="2">
        <v>45825</v>
      </c>
      <c r="I708" t="s">
        <v>72</v>
      </c>
      <c r="J708" t="s">
        <v>40</v>
      </c>
      <c r="K708" t="s">
        <v>41</v>
      </c>
      <c r="L708" t="s">
        <v>2605</v>
      </c>
      <c r="M708" t="s">
        <v>2606</v>
      </c>
      <c r="O708" t="s">
        <v>624</v>
      </c>
      <c r="P708" t="s">
        <v>625</v>
      </c>
      <c r="Q708">
        <v>1.3997630846452549</v>
      </c>
      <c r="S708" t="s">
        <v>38</v>
      </c>
      <c r="T708" t="s">
        <v>3716</v>
      </c>
      <c r="V708" t="s">
        <v>124</v>
      </c>
      <c r="X708" t="s">
        <v>673</v>
      </c>
      <c r="Y708" t="s">
        <v>698</v>
      </c>
      <c r="Z708" t="s">
        <v>383</v>
      </c>
      <c r="AA708" t="s">
        <v>576</v>
      </c>
      <c r="AB708" t="s">
        <v>41</v>
      </c>
      <c r="AE708" t="s">
        <v>1279</v>
      </c>
      <c r="AJ708">
        <v>392.29967997495038</v>
      </c>
      <c r="AK708">
        <v>5664.6628875639781</v>
      </c>
    </row>
    <row r="709" spans="1:37" hidden="1" x14ac:dyDescent="0.25">
      <c r="A709">
        <v>724</v>
      </c>
      <c r="B709" t="s">
        <v>3719</v>
      </c>
      <c r="C709" t="s">
        <v>376</v>
      </c>
      <c r="D709" t="s">
        <v>2604</v>
      </c>
      <c r="E709" t="s">
        <v>37</v>
      </c>
      <c r="F709" t="s">
        <v>38</v>
      </c>
      <c r="G709" s="2">
        <v>45825</v>
      </c>
      <c r="I709" t="s">
        <v>72</v>
      </c>
      <c r="J709" t="s">
        <v>40</v>
      </c>
      <c r="K709" t="s">
        <v>41</v>
      </c>
      <c r="L709" t="s">
        <v>2605</v>
      </c>
      <c r="M709" t="s">
        <v>2606</v>
      </c>
      <c r="O709" t="s">
        <v>624</v>
      </c>
      <c r="P709" t="s">
        <v>625</v>
      </c>
      <c r="Q709">
        <v>5.8253740344539451E-2</v>
      </c>
      <c r="S709" t="s">
        <v>38</v>
      </c>
      <c r="T709" t="s">
        <v>3716</v>
      </c>
      <c r="V709" t="s">
        <v>124</v>
      </c>
      <c r="X709" t="s">
        <v>673</v>
      </c>
      <c r="Y709" t="s">
        <v>698</v>
      </c>
      <c r="Z709" t="s">
        <v>383</v>
      </c>
      <c r="AA709" t="s">
        <v>576</v>
      </c>
      <c r="AB709" t="s">
        <v>41</v>
      </c>
      <c r="AE709" t="s">
        <v>1137</v>
      </c>
      <c r="AJ709">
        <v>59.673775956586212</v>
      </c>
      <c r="AK709">
        <v>235.74546622304339</v>
      </c>
    </row>
    <row r="710" spans="1:37" hidden="1" x14ac:dyDescent="0.25">
      <c r="A710">
        <v>725</v>
      </c>
      <c r="B710" t="s">
        <v>3720</v>
      </c>
      <c r="C710" t="s">
        <v>376</v>
      </c>
      <c r="D710" t="s">
        <v>2604</v>
      </c>
      <c r="E710" t="s">
        <v>37</v>
      </c>
      <c r="F710" t="s">
        <v>38</v>
      </c>
      <c r="G710" s="2">
        <v>45825</v>
      </c>
      <c r="I710" t="s">
        <v>72</v>
      </c>
      <c r="J710" t="s">
        <v>40</v>
      </c>
      <c r="K710" t="s">
        <v>41</v>
      </c>
      <c r="L710" t="s">
        <v>2605</v>
      </c>
      <c r="M710" t="s">
        <v>2606</v>
      </c>
      <c r="O710" t="s">
        <v>624</v>
      </c>
      <c r="P710" t="s">
        <v>625</v>
      </c>
      <c r="Q710">
        <v>5.4660239671959612E-2</v>
      </c>
      <c r="S710" t="s">
        <v>38</v>
      </c>
      <c r="T710" t="s">
        <v>3716</v>
      </c>
      <c r="V710" t="s">
        <v>124</v>
      </c>
      <c r="X710" t="s">
        <v>673</v>
      </c>
      <c r="Y710" t="s">
        <v>698</v>
      </c>
      <c r="Z710" t="s">
        <v>383</v>
      </c>
      <c r="AA710" t="s">
        <v>576</v>
      </c>
      <c r="AB710" t="s">
        <v>41</v>
      </c>
      <c r="AE710" t="s">
        <v>1137</v>
      </c>
      <c r="AJ710">
        <v>63.448458938938273</v>
      </c>
      <c r="AK710">
        <v>221.20302677761529</v>
      </c>
    </row>
    <row r="711" spans="1:37" hidden="1" x14ac:dyDescent="0.25">
      <c r="A711">
        <v>726</v>
      </c>
      <c r="B711" t="s">
        <v>3721</v>
      </c>
      <c r="C711" t="s">
        <v>376</v>
      </c>
      <c r="D711" t="s">
        <v>2604</v>
      </c>
      <c r="E711" t="s">
        <v>37</v>
      </c>
      <c r="F711" t="s">
        <v>38</v>
      </c>
      <c r="G711" s="2">
        <v>45825</v>
      </c>
      <c r="I711" t="s">
        <v>72</v>
      </c>
      <c r="J711" t="s">
        <v>40</v>
      </c>
      <c r="K711" t="s">
        <v>41</v>
      </c>
      <c r="L711" t="s">
        <v>2605</v>
      </c>
      <c r="M711" t="s">
        <v>2606</v>
      </c>
      <c r="O711" t="s">
        <v>624</v>
      </c>
      <c r="P711" t="s">
        <v>625</v>
      </c>
      <c r="Q711">
        <v>0.7906586691710159</v>
      </c>
      <c r="S711" t="s">
        <v>38</v>
      </c>
      <c r="T711" t="s">
        <v>3716</v>
      </c>
      <c r="V711" t="s">
        <v>124</v>
      </c>
      <c r="X711" t="s">
        <v>673</v>
      </c>
      <c r="Y711" t="s">
        <v>698</v>
      </c>
      <c r="Z711" t="s">
        <v>383</v>
      </c>
      <c r="AA711" t="s">
        <v>576</v>
      </c>
      <c r="AB711" t="s">
        <v>41</v>
      </c>
      <c r="AE711" t="s">
        <v>2737</v>
      </c>
      <c r="AJ711">
        <v>244.81999007627249</v>
      </c>
      <c r="AK711">
        <v>3199.6949120278118</v>
      </c>
    </row>
    <row r="712" spans="1:37" hidden="1" x14ac:dyDescent="0.25">
      <c r="A712">
        <v>727</v>
      </c>
      <c r="B712" t="s">
        <v>3722</v>
      </c>
      <c r="C712" t="s">
        <v>376</v>
      </c>
      <c r="D712" t="s">
        <v>2604</v>
      </c>
      <c r="E712" t="s">
        <v>37</v>
      </c>
      <c r="F712" t="s">
        <v>38</v>
      </c>
      <c r="G712" s="2">
        <v>45825</v>
      </c>
      <c r="I712" t="s">
        <v>72</v>
      </c>
      <c r="J712" t="s">
        <v>40</v>
      </c>
      <c r="K712" t="s">
        <v>41</v>
      </c>
      <c r="L712" t="s">
        <v>2605</v>
      </c>
      <c r="M712" t="s">
        <v>2606</v>
      </c>
      <c r="O712" t="s">
        <v>624</v>
      </c>
      <c r="P712" t="s">
        <v>625</v>
      </c>
      <c r="Q712">
        <v>0.13316714324588591</v>
      </c>
      <c r="S712" t="s">
        <v>38</v>
      </c>
      <c r="T712" t="s">
        <v>3716</v>
      </c>
      <c r="V712" t="s">
        <v>124</v>
      </c>
      <c r="X712" t="s">
        <v>673</v>
      </c>
      <c r="Y712" t="s">
        <v>698</v>
      </c>
      <c r="Z712" t="s">
        <v>383</v>
      </c>
      <c r="AA712" t="s">
        <v>576</v>
      </c>
      <c r="AB712" t="s">
        <v>41</v>
      </c>
      <c r="AE712" t="s">
        <v>1079</v>
      </c>
      <c r="AJ712">
        <v>109.0039190848612</v>
      </c>
      <c r="AK712">
        <v>538.91046453697663</v>
      </c>
    </row>
    <row r="713" spans="1:37" hidden="1" x14ac:dyDescent="0.25">
      <c r="A713">
        <v>728</v>
      </c>
      <c r="B713" t="s">
        <v>3723</v>
      </c>
      <c r="C713" t="s">
        <v>376</v>
      </c>
      <c r="D713" t="s">
        <v>2604</v>
      </c>
      <c r="E713" t="s">
        <v>37</v>
      </c>
      <c r="F713" t="s">
        <v>38</v>
      </c>
      <c r="G713" s="2">
        <v>45825</v>
      </c>
      <c r="I713" t="s">
        <v>72</v>
      </c>
      <c r="J713" t="s">
        <v>40</v>
      </c>
      <c r="K713" t="s">
        <v>41</v>
      </c>
      <c r="L713" t="s">
        <v>2605</v>
      </c>
      <c r="M713" t="s">
        <v>2606</v>
      </c>
      <c r="O713" t="s">
        <v>624</v>
      </c>
      <c r="P713" t="s">
        <v>625</v>
      </c>
      <c r="Q713">
        <v>0.19227688536050641</v>
      </c>
      <c r="S713" t="s">
        <v>38</v>
      </c>
      <c r="T713" t="s">
        <v>3716</v>
      </c>
      <c r="V713" t="s">
        <v>124</v>
      </c>
      <c r="X713" t="s">
        <v>673</v>
      </c>
      <c r="Y713" t="s">
        <v>698</v>
      </c>
      <c r="Z713" t="s">
        <v>383</v>
      </c>
      <c r="AA713" t="s">
        <v>576</v>
      </c>
      <c r="AB713" t="s">
        <v>41</v>
      </c>
      <c r="AE713" t="s">
        <v>1079</v>
      </c>
      <c r="AJ713">
        <v>141.34737635228549</v>
      </c>
      <c r="AK713">
        <v>778.12006087736506</v>
      </c>
    </row>
    <row r="714" spans="1:37" x14ac:dyDescent="0.25">
      <c r="A714">
        <v>796</v>
      </c>
      <c r="B714" t="s">
        <v>2604</v>
      </c>
      <c r="C714" t="s">
        <v>376</v>
      </c>
      <c r="D714" t="s">
        <v>2604</v>
      </c>
      <c r="E714" t="s">
        <v>37</v>
      </c>
      <c r="F714" t="s">
        <v>38</v>
      </c>
      <c r="G714" s="2">
        <v>45846</v>
      </c>
      <c r="H714">
        <v>0.66</v>
      </c>
      <c r="I714" t="s">
        <v>72</v>
      </c>
      <c r="J714" t="s">
        <v>40</v>
      </c>
      <c r="K714" t="s">
        <v>41</v>
      </c>
      <c r="L714" t="s">
        <v>2605</v>
      </c>
      <c r="M714" t="s">
        <v>2606</v>
      </c>
      <c r="O714" t="s">
        <v>62</v>
      </c>
      <c r="P714" t="s">
        <v>63</v>
      </c>
      <c r="Q714">
        <v>1.0865048340832939</v>
      </c>
      <c r="R714" t="s">
        <v>64</v>
      </c>
      <c r="S714" t="s">
        <v>65</v>
      </c>
      <c r="T714" t="s">
        <v>3805</v>
      </c>
      <c r="V714" t="s">
        <v>180</v>
      </c>
      <c r="X714" t="s">
        <v>3131</v>
      </c>
      <c r="Y714" t="s">
        <v>412</v>
      </c>
      <c r="Z714" t="s">
        <v>2623</v>
      </c>
      <c r="AA714" t="s">
        <v>858</v>
      </c>
      <c r="AB714" t="s">
        <v>41</v>
      </c>
      <c r="AF714" t="s">
        <v>3132</v>
      </c>
      <c r="AJ714">
        <v>336.82357534036709</v>
      </c>
      <c r="AK714">
        <v>4396.9466535476486</v>
      </c>
    </row>
    <row r="715" spans="1:37" x14ac:dyDescent="0.25">
      <c r="A715">
        <v>798</v>
      </c>
      <c r="B715" t="s">
        <v>2604</v>
      </c>
      <c r="C715" t="s">
        <v>376</v>
      </c>
      <c r="D715" t="s">
        <v>2604</v>
      </c>
      <c r="E715" t="s">
        <v>37</v>
      </c>
      <c r="F715" t="s">
        <v>38</v>
      </c>
      <c r="G715" s="2">
        <v>45869</v>
      </c>
      <c r="H715">
        <v>0.7</v>
      </c>
      <c r="I715" t="s">
        <v>72</v>
      </c>
      <c r="J715" t="s">
        <v>40</v>
      </c>
      <c r="K715" t="s">
        <v>41</v>
      </c>
      <c r="L715" t="s">
        <v>2605</v>
      </c>
      <c r="M715" t="s">
        <v>2606</v>
      </c>
      <c r="O715" t="s">
        <v>62</v>
      </c>
      <c r="P715" t="s">
        <v>63</v>
      </c>
      <c r="Q715">
        <v>0.68247017252712139</v>
      </c>
      <c r="R715" t="s">
        <v>64</v>
      </c>
      <c r="S715" t="s">
        <v>65</v>
      </c>
      <c r="T715" t="s">
        <v>3010</v>
      </c>
      <c r="V715" t="s">
        <v>563</v>
      </c>
      <c r="X715" t="s">
        <v>3010</v>
      </c>
      <c r="Y715" t="s">
        <v>412</v>
      </c>
      <c r="Z715" t="s">
        <v>2623</v>
      </c>
      <c r="AA715" t="s">
        <v>180</v>
      </c>
      <c r="AB715" t="s">
        <v>41</v>
      </c>
      <c r="AD715" t="s">
        <v>2656</v>
      </c>
      <c r="AF715" t="s">
        <v>3011</v>
      </c>
      <c r="AJ715">
        <v>265.54192542842992</v>
      </c>
      <c r="AK715">
        <v>2761.8698482561631</v>
      </c>
    </row>
    <row r="716" spans="1:37" hidden="1" x14ac:dyDescent="0.25">
      <c r="A716">
        <v>731</v>
      </c>
      <c r="B716" t="s">
        <v>3730</v>
      </c>
      <c r="C716" t="s">
        <v>376</v>
      </c>
      <c r="D716" t="s">
        <v>2604</v>
      </c>
      <c r="E716" t="s">
        <v>37</v>
      </c>
      <c r="F716" t="s">
        <v>38</v>
      </c>
      <c r="G716" s="2">
        <v>45869</v>
      </c>
      <c r="I716" t="s">
        <v>72</v>
      </c>
      <c r="J716" t="s">
        <v>40</v>
      </c>
      <c r="K716" t="s">
        <v>41</v>
      </c>
      <c r="L716" t="s">
        <v>2605</v>
      </c>
      <c r="M716" t="s">
        <v>2606</v>
      </c>
      <c r="O716" t="s">
        <v>402</v>
      </c>
      <c r="P716" t="s">
        <v>403</v>
      </c>
      <c r="Q716">
        <v>10.410950317627179</v>
      </c>
      <c r="S716" t="s">
        <v>38</v>
      </c>
      <c r="T716" t="s">
        <v>673</v>
      </c>
      <c r="V716" t="s">
        <v>121</v>
      </c>
      <c r="X716" t="s">
        <v>673</v>
      </c>
      <c r="Y716" t="s">
        <v>120</v>
      </c>
      <c r="Z716" t="s">
        <v>2630</v>
      </c>
      <c r="AA716" t="s">
        <v>71</v>
      </c>
      <c r="AB716" t="s">
        <v>41</v>
      </c>
      <c r="AE716" t="s">
        <v>1869</v>
      </c>
      <c r="AF716" t="s">
        <v>38</v>
      </c>
      <c r="AJ716">
        <v>1030.323648731671</v>
      </c>
      <c r="AK716">
        <v>42131.789683167081</v>
      </c>
    </row>
    <row r="717" spans="1:37" x14ac:dyDescent="0.25">
      <c r="A717">
        <v>802</v>
      </c>
      <c r="B717" t="s">
        <v>2604</v>
      </c>
      <c r="C717" t="s">
        <v>376</v>
      </c>
      <c r="D717" t="s">
        <v>2604</v>
      </c>
      <c r="E717" t="s">
        <v>37</v>
      </c>
      <c r="F717" t="s">
        <v>38</v>
      </c>
      <c r="G717" s="2">
        <v>45825</v>
      </c>
      <c r="H717">
        <v>0.8</v>
      </c>
      <c r="I717" t="s">
        <v>72</v>
      </c>
      <c r="J717" t="s">
        <v>40</v>
      </c>
      <c r="K717" t="s">
        <v>41</v>
      </c>
      <c r="L717" t="s">
        <v>2605</v>
      </c>
      <c r="M717" t="s">
        <v>2606</v>
      </c>
      <c r="O717" t="s">
        <v>62</v>
      </c>
      <c r="P717" t="s">
        <v>63</v>
      </c>
      <c r="Q717">
        <v>1.023228414628385</v>
      </c>
      <c r="R717" t="s">
        <v>64</v>
      </c>
      <c r="S717" t="s">
        <v>65</v>
      </c>
      <c r="T717" t="s">
        <v>3811</v>
      </c>
      <c r="V717" t="s">
        <v>942</v>
      </c>
      <c r="X717" t="s">
        <v>3645</v>
      </c>
      <c r="Y717" t="s">
        <v>698</v>
      </c>
      <c r="Z717" t="s">
        <v>2630</v>
      </c>
      <c r="AA717" t="s">
        <v>75</v>
      </c>
      <c r="AB717" t="s">
        <v>41</v>
      </c>
      <c r="AD717" t="s">
        <v>1382</v>
      </c>
      <c r="AF717" t="s">
        <v>3646</v>
      </c>
      <c r="AJ717">
        <v>344.95440433477279</v>
      </c>
      <c r="AK717">
        <v>4140.8750448046658</v>
      </c>
    </row>
    <row r="718" spans="1:37" hidden="1" x14ac:dyDescent="0.25">
      <c r="A718">
        <v>733</v>
      </c>
      <c r="B718" t="s">
        <v>3732</v>
      </c>
      <c r="C718" t="s">
        <v>376</v>
      </c>
      <c r="D718" t="s">
        <v>2604</v>
      </c>
      <c r="E718" t="s">
        <v>37</v>
      </c>
      <c r="F718" t="s">
        <v>38</v>
      </c>
      <c r="G718" s="2">
        <v>45825</v>
      </c>
      <c r="I718" t="s">
        <v>72</v>
      </c>
      <c r="J718" t="s">
        <v>40</v>
      </c>
      <c r="K718" t="s">
        <v>41</v>
      </c>
      <c r="L718" t="s">
        <v>2605</v>
      </c>
      <c r="M718" t="s">
        <v>2606</v>
      </c>
      <c r="O718" t="s">
        <v>402</v>
      </c>
      <c r="P718" t="s">
        <v>403</v>
      </c>
      <c r="Q718">
        <v>3.3244748755812168</v>
      </c>
      <c r="S718" t="s">
        <v>38</v>
      </c>
      <c r="T718" t="s">
        <v>673</v>
      </c>
      <c r="V718" t="s">
        <v>73</v>
      </c>
      <c r="X718" t="s">
        <v>673</v>
      </c>
      <c r="Y718" t="s">
        <v>698</v>
      </c>
      <c r="Z718" t="s">
        <v>2623</v>
      </c>
      <c r="AA718" t="s">
        <v>118</v>
      </c>
      <c r="AB718" t="s">
        <v>41</v>
      </c>
      <c r="AE718" t="s">
        <v>1177</v>
      </c>
      <c r="AJ718">
        <v>936.93054841536025</v>
      </c>
      <c r="AK718">
        <v>13453.72631620474</v>
      </c>
    </row>
    <row r="719" spans="1:37" hidden="1" x14ac:dyDescent="0.25">
      <c r="A719">
        <v>734</v>
      </c>
      <c r="B719" t="s">
        <v>3733</v>
      </c>
      <c r="C719" t="s">
        <v>376</v>
      </c>
      <c r="D719" t="s">
        <v>2604</v>
      </c>
      <c r="E719" t="s">
        <v>37</v>
      </c>
      <c r="F719" t="s">
        <v>38</v>
      </c>
      <c r="G719" s="2">
        <v>45825</v>
      </c>
      <c r="I719" t="s">
        <v>72</v>
      </c>
      <c r="J719" t="s">
        <v>40</v>
      </c>
      <c r="K719" t="s">
        <v>41</v>
      </c>
      <c r="L719" t="s">
        <v>2605</v>
      </c>
      <c r="M719" t="s">
        <v>2606</v>
      </c>
      <c r="O719" t="s">
        <v>402</v>
      </c>
      <c r="P719" t="s">
        <v>403</v>
      </c>
      <c r="Q719">
        <v>9.634135587327183</v>
      </c>
      <c r="S719" t="s">
        <v>38</v>
      </c>
      <c r="T719" t="s">
        <v>673</v>
      </c>
      <c r="V719" t="s">
        <v>73</v>
      </c>
      <c r="X719" t="s">
        <v>673</v>
      </c>
      <c r="Y719" t="s">
        <v>698</v>
      </c>
      <c r="Z719" t="s">
        <v>2623</v>
      </c>
      <c r="AA719" t="s">
        <v>118</v>
      </c>
      <c r="AB719" t="s">
        <v>41</v>
      </c>
      <c r="AE719" t="s">
        <v>2823</v>
      </c>
      <c r="AJ719">
        <v>929.07854148138847</v>
      </c>
      <c r="AK719">
        <v>38988.119428169157</v>
      </c>
    </row>
    <row r="720" spans="1:37" hidden="1" x14ac:dyDescent="0.25">
      <c r="A720">
        <v>735</v>
      </c>
      <c r="B720" t="s">
        <v>3734</v>
      </c>
      <c r="C720" t="s">
        <v>376</v>
      </c>
      <c r="D720" t="s">
        <v>2604</v>
      </c>
      <c r="E720" t="s">
        <v>37</v>
      </c>
      <c r="F720" t="s">
        <v>38</v>
      </c>
      <c r="G720" s="2">
        <v>45825</v>
      </c>
      <c r="I720" t="s">
        <v>72</v>
      </c>
      <c r="J720" t="s">
        <v>40</v>
      </c>
      <c r="K720" t="s">
        <v>41</v>
      </c>
      <c r="L720" t="s">
        <v>2605</v>
      </c>
      <c r="M720" t="s">
        <v>2606</v>
      </c>
      <c r="O720" t="s">
        <v>402</v>
      </c>
      <c r="P720" t="s">
        <v>403</v>
      </c>
      <c r="Q720">
        <v>4.9519542704032666</v>
      </c>
      <c r="S720" t="s">
        <v>38</v>
      </c>
      <c r="T720" t="s">
        <v>673</v>
      </c>
      <c r="V720" t="s">
        <v>73</v>
      </c>
      <c r="X720" t="s">
        <v>673</v>
      </c>
      <c r="Y720" t="s">
        <v>698</v>
      </c>
      <c r="Z720" t="s">
        <v>2623</v>
      </c>
      <c r="AA720" t="s">
        <v>118</v>
      </c>
      <c r="AB720" t="s">
        <v>41</v>
      </c>
      <c r="AE720" t="s">
        <v>1378</v>
      </c>
      <c r="AJ720">
        <v>767.50598001763524</v>
      </c>
      <c r="AK720">
        <v>20039.928102244819</v>
      </c>
    </row>
    <row r="721" spans="1:37" hidden="1" x14ac:dyDescent="0.25">
      <c r="A721">
        <v>736</v>
      </c>
      <c r="B721" t="s">
        <v>3735</v>
      </c>
      <c r="C721" t="s">
        <v>376</v>
      </c>
      <c r="D721" t="s">
        <v>2604</v>
      </c>
      <c r="E721" t="s">
        <v>37</v>
      </c>
      <c r="F721" t="s">
        <v>38</v>
      </c>
      <c r="G721" s="2">
        <v>45825</v>
      </c>
      <c r="H721">
        <v>1.9</v>
      </c>
      <c r="I721" t="s">
        <v>72</v>
      </c>
      <c r="J721" t="s">
        <v>40</v>
      </c>
      <c r="K721" t="s">
        <v>41</v>
      </c>
      <c r="L721" t="s">
        <v>2605</v>
      </c>
      <c r="M721" t="s">
        <v>2606</v>
      </c>
      <c r="O721" t="s">
        <v>402</v>
      </c>
      <c r="P721" t="s">
        <v>403</v>
      </c>
      <c r="Q721">
        <v>2.590348215798846</v>
      </c>
      <c r="S721" t="s">
        <v>38</v>
      </c>
      <c r="T721" t="s">
        <v>3680</v>
      </c>
      <c r="V721" t="s">
        <v>73</v>
      </c>
      <c r="X721" t="s">
        <v>3663</v>
      </c>
      <c r="Y721" t="s">
        <v>698</v>
      </c>
      <c r="Z721" t="s">
        <v>2623</v>
      </c>
      <c r="AA721" t="s">
        <v>118</v>
      </c>
      <c r="AB721" t="s">
        <v>41</v>
      </c>
      <c r="AD721" t="s">
        <v>911</v>
      </c>
      <c r="AF721" t="s">
        <v>2667</v>
      </c>
      <c r="AJ721">
        <v>427.22166398937532</v>
      </c>
      <c r="AK721">
        <v>10482.809244552989</v>
      </c>
    </row>
    <row r="722" spans="1:37" hidden="1" x14ac:dyDescent="0.25">
      <c r="A722">
        <v>737</v>
      </c>
      <c r="B722" t="s">
        <v>3736</v>
      </c>
      <c r="C722" t="s">
        <v>376</v>
      </c>
      <c r="D722" t="s">
        <v>2604</v>
      </c>
      <c r="E722" t="s">
        <v>37</v>
      </c>
      <c r="F722" t="s">
        <v>38</v>
      </c>
      <c r="G722" s="2">
        <v>45825</v>
      </c>
      <c r="I722" t="s">
        <v>72</v>
      </c>
      <c r="J722" t="s">
        <v>40</v>
      </c>
      <c r="K722" t="s">
        <v>41</v>
      </c>
      <c r="L722" t="s">
        <v>2605</v>
      </c>
      <c r="M722" t="s">
        <v>2606</v>
      </c>
      <c r="O722" t="s">
        <v>402</v>
      </c>
      <c r="P722" t="s">
        <v>403</v>
      </c>
      <c r="Q722">
        <v>6.7998805964072906</v>
      </c>
      <c r="S722" t="s">
        <v>38</v>
      </c>
      <c r="T722" t="s">
        <v>673</v>
      </c>
      <c r="V722" t="s">
        <v>3650</v>
      </c>
      <c r="X722" t="s">
        <v>673</v>
      </c>
      <c r="Y722" t="s">
        <v>698</v>
      </c>
      <c r="Z722" t="s">
        <v>765</v>
      </c>
      <c r="AA722" t="s">
        <v>118</v>
      </c>
      <c r="AB722" t="s">
        <v>41</v>
      </c>
      <c r="AE722" t="s">
        <v>1885</v>
      </c>
      <c r="AJ722">
        <v>876.36975154998902</v>
      </c>
      <c r="AK722">
        <v>27518.250536016061</v>
      </c>
    </row>
    <row r="723" spans="1:37" hidden="1" x14ac:dyDescent="0.25">
      <c r="A723">
        <v>738</v>
      </c>
      <c r="B723" t="s">
        <v>3737</v>
      </c>
      <c r="C723" t="s">
        <v>376</v>
      </c>
      <c r="D723" t="s">
        <v>2604</v>
      </c>
      <c r="E723" t="s">
        <v>37</v>
      </c>
      <c r="F723" t="s">
        <v>38</v>
      </c>
      <c r="G723" s="2">
        <v>45825</v>
      </c>
      <c r="H723">
        <v>7.5</v>
      </c>
      <c r="I723" t="s">
        <v>72</v>
      </c>
      <c r="J723" t="s">
        <v>40</v>
      </c>
      <c r="K723" t="s">
        <v>41</v>
      </c>
      <c r="L723" t="s">
        <v>2605</v>
      </c>
      <c r="M723" t="s">
        <v>2606</v>
      </c>
      <c r="O723" t="s">
        <v>402</v>
      </c>
      <c r="P723" t="s">
        <v>403</v>
      </c>
      <c r="Q723">
        <v>8.6291130751262717</v>
      </c>
      <c r="S723" t="s">
        <v>38</v>
      </c>
      <c r="T723" t="s">
        <v>3680</v>
      </c>
      <c r="V723" t="s">
        <v>73</v>
      </c>
      <c r="X723" t="s">
        <v>3663</v>
      </c>
      <c r="Y723" t="s">
        <v>698</v>
      </c>
      <c r="Z723" t="s">
        <v>2623</v>
      </c>
      <c r="AA723" t="s">
        <v>118</v>
      </c>
      <c r="AB723" t="s">
        <v>41</v>
      </c>
      <c r="AD723" t="s">
        <v>911</v>
      </c>
      <c r="AF723" t="s">
        <v>2667</v>
      </c>
      <c r="AJ723">
        <v>991.51813449964902</v>
      </c>
      <c r="AK723">
        <v>34920.921351236277</v>
      </c>
    </row>
    <row r="724" spans="1:37" hidden="1" x14ac:dyDescent="0.25">
      <c r="A724">
        <v>739</v>
      </c>
      <c r="B724" t="s">
        <v>3738</v>
      </c>
      <c r="C724" t="s">
        <v>376</v>
      </c>
      <c r="D724" t="s">
        <v>2604</v>
      </c>
      <c r="E724" t="s">
        <v>37</v>
      </c>
      <c r="F724" t="s">
        <v>38</v>
      </c>
      <c r="G724" s="2">
        <v>45825</v>
      </c>
      <c r="H724">
        <v>24</v>
      </c>
      <c r="I724" t="s">
        <v>72</v>
      </c>
      <c r="J724" t="s">
        <v>40</v>
      </c>
      <c r="K724" t="s">
        <v>41</v>
      </c>
      <c r="L724" t="s">
        <v>2605</v>
      </c>
      <c r="M724" t="s">
        <v>2606</v>
      </c>
      <c r="O724" t="s">
        <v>402</v>
      </c>
      <c r="P724" t="s">
        <v>403</v>
      </c>
      <c r="Q724">
        <v>22.246757340525221</v>
      </c>
      <c r="S724" t="s">
        <v>38</v>
      </c>
      <c r="T724" t="s">
        <v>3739</v>
      </c>
      <c r="V724" t="s">
        <v>3690</v>
      </c>
      <c r="X724" t="s">
        <v>3694</v>
      </c>
      <c r="Y724" t="s">
        <v>698</v>
      </c>
      <c r="Z724" t="s">
        <v>2623</v>
      </c>
      <c r="AA724" t="s">
        <v>54</v>
      </c>
      <c r="AB724" t="s">
        <v>41</v>
      </c>
      <c r="AD724" t="s">
        <v>733</v>
      </c>
      <c r="AF724" t="s">
        <v>2667</v>
      </c>
      <c r="AJ724">
        <v>3011.578342452005</v>
      </c>
      <c r="AK724">
        <v>90029.792939890467</v>
      </c>
    </row>
    <row r="725" spans="1:37" hidden="1" x14ac:dyDescent="0.25">
      <c r="A725">
        <v>740</v>
      </c>
      <c r="B725" t="s">
        <v>3740</v>
      </c>
      <c r="C725" t="s">
        <v>376</v>
      </c>
      <c r="D725" t="s">
        <v>2604</v>
      </c>
      <c r="E725" t="s">
        <v>37</v>
      </c>
      <c r="F725" t="s">
        <v>38</v>
      </c>
      <c r="G725" s="2">
        <v>45825</v>
      </c>
      <c r="I725" t="s">
        <v>72</v>
      </c>
      <c r="J725" t="s">
        <v>40</v>
      </c>
      <c r="K725" t="s">
        <v>41</v>
      </c>
      <c r="L725" t="s">
        <v>2605</v>
      </c>
      <c r="M725" t="s">
        <v>2606</v>
      </c>
      <c r="O725" t="s">
        <v>402</v>
      </c>
      <c r="P725" t="s">
        <v>403</v>
      </c>
      <c r="Q725">
        <v>3.9009165609502003E-2</v>
      </c>
      <c r="S725" t="s">
        <v>38</v>
      </c>
      <c r="T725" t="s">
        <v>3741</v>
      </c>
      <c r="V725" t="s">
        <v>3496</v>
      </c>
      <c r="X725" t="s">
        <v>3742</v>
      </c>
      <c r="Y725" t="s">
        <v>382</v>
      </c>
      <c r="Z725" t="s">
        <v>2623</v>
      </c>
      <c r="AA725" t="s">
        <v>110</v>
      </c>
      <c r="AB725" t="s">
        <v>41</v>
      </c>
      <c r="AJ725">
        <v>47.160947684478323</v>
      </c>
      <c r="AK725">
        <v>157.86512383914231</v>
      </c>
    </row>
    <row r="726" spans="1:37" x14ac:dyDescent="0.25">
      <c r="A726">
        <v>803</v>
      </c>
      <c r="B726" t="s">
        <v>2604</v>
      </c>
      <c r="C726" t="s">
        <v>376</v>
      </c>
      <c r="D726" t="s">
        <v>2604</v>
      </c>
      <c r="E726" t="s">
        <v>37</v>
      </c>
      <c r="F726" t="s">
        <v>38</v>
      </c>
      <c r="G726" s="2">
        <v>45826</v>
      </c>
      <c r="H726">
        <v>3</v>
      </c>
      <c r="I726" t="s">
        <v>72</v>
      </c>
      <c r="J726" t="s">
        <v>40</v>
      </c>
      <c r="K726" t="s">
        <v>41</v>
      </c>
      <c r="L726" t="s">
        <v>2605</v>
      </c>
      <c r="M726" t="s">
        <v>2606</v>
      </c>
      <c r="O726" t="s">
        <v>62</v>
      </c>
      <c r="P726" t="s">
        <v>63</v>
      </c>
      <c r="Q726">
        <v>3.3045976205487531</v>
      </c>
      <c r="R726" t="s">
        <v>64</v>
      </c>
      <c r="S726" t="s">
        <v>65</v>
      </c>
      <c r="T726" t="s">
        <v>3812</v>
      </c>
      <c r="V726" t="s">
        <v>3813</v>
      </c>
      <c r="X726" t="s">
        <v>3812</v>
      </c>
      <c r="Y726" t="s">
        <v>382</v>
      </c>
      <c r="Z726" t="s">
        <v>2630</v>
      </c>
      <c r="AA726" t="s">
        <v>858</v>
      </c>
      <c r="AB726" t="s">
        <v>41</v>
      </c>
      <c r="AD726" t="s">
        <v>3814</v>
      </c>
      <c r="AF726" t="s">
        <v>3815</v>
      </c>
      <c r="AJ726">
        <v>467.697932317442</v>
      </c>
      <c r="AK726">
        <v>13373.285597254369</v>
      </c>
    </row>
    <row r="727" spans="1:37" hidden="1" x14ac:dyDescent="0.25">
      <c r="A727">
        <v>742</v>
      </c>
      <c r="B727" t="s">
        <v>3744</v>
      </c>
      <c r="C727" t="s">
        <v>376</v>
      </c>
      <c r="D727" t="s">
        <v>2604</v>
      </c>
      <c r="E727" t="s">
        <v>37</v>
      </c>
      <c r="F727" t="s">
        <v>38</v>
      </c>
      <c r="G727" s="2">
        <v>45846</v>
      </c>
      <c r="H727">
        <v>1.8</v>
      </c>
      <c r="I727" t="s">
        <v>72</v>
      </c>
      <c r="J727" t="s">
        <v>40</v>
      </c>
      <c r="K727" t="s">
        <v>41</v>
      </c>
      <c r="L727" t="s">
        <v>2605</v>
      </c>
      <c r="M727" t="s">
        <v>2606</v>
      </c>
      <c r="N727" t="s">
        <v>2712</v>
      </c>
      <c r="O727" t="s">
        <v>113</v>
      </c>
      <c r="P727" t="s">
        <v>114</v>
      </c>
      <c r="Q727">
        <v>1.7175025255584671</v>
      </c>
      <c r="R727" t="s">
        <v>46</v>
      </c>
      <c r="S727" t="s">
        <v>47</v>
      </c>
      <c r="T727" t="s">
        <v>2846</v>
      </c>
      <c r="V727" t="s">
        <v>125</v>
      </c>
      <c r="X727" t="s">
        <v>2714</v>
      </c>
      <c r="Y727" t="s">
        <v>412</v>
      </c>
      <c r="Z727" t="s">
        <v>2623</v>
      </c>
      <c r="AA727" t="s">
        <v>125</v>
      </c>
      <c r="AB727" t="s">
        <v>41</v>
      </c>
      <c r="AD727" t="s">
        <v>620</v>
      </c>
      <c r="AF727" t="s">
        <v>2667</v>
      </c>
      <c r="AJ727">
        <v>376.36895318049068</v>
      </c>
      <c r="AK727">
        <v>6950.5139280724125</v>
      </c>
    </row>
    <row r="728" spans="1:37" hidden="1" x14ac:dyDescent="0.25">
      <c r="A728">
        <v>743</v>
      </c>
      <c r="B728" t="s">
        <v>3745</v>
      </c>
      <c r="C728" t="s">
        <v>376</v>
      </c>
      <c r="D728" t="s">
        <v>2604</v>
      </c>
      <c r="E728" t="s">
        <v>37</v>
      </c>
      <c r="F728" t="s">
        <v>38</v>
      </c>
      <c r="G728" s="2">
        <v>45846</v>
      </c>
      <c r="H728">
        <v>5</v>
      </c>
      <c r="I728" t="s">
        <v>72</v>
      </c>
      <c r="J728" t="s">
        <v>40</v>
      </c>
      <c r="K728" t="s">
        <v>41</v>
      </c>
      <c r="L728" t="s">
        <v>2605</v>
      </c>
      <c r="M728" t="s">
        <v>2606</v>
      </c>
      <c r="N728" t="s">
        <v>2712</v>
      </c>
      <c r="O728" t="s">
        <v>113</v>
      </c>
      <c r="P728" t="s">
        <v>114</v>
      </c>
      <c r="Q728">
        <v>4.9652998937442447</v>
      </c>
      <c r="R728" t="s">
        <v>46</v>
      </c>
      <c r="S728" t="s">
        <v>47</v>
      </c>
      <c r="T728" t="s">
        <v>2846</v>
      </c>
      <c r="V728" t="s">
        <v>125</v>
      </c>
      <c r="X728" t="s">
        <v>2714</v>
      </c>
      <c r="Y728" t="s">
        <v>412</v>
      </c>
      <c r="Z728" t="s">
        <v>2623</v>
      </c>
      <c r="AA728" t="s">
        <v>125</v>
      </c>
      <c r="AB728" t="s">
        <v>41</v>
      </c>
      <c r="AD728" t="s">
        <v>620</v>
      </c>
      <c r="AF728" t="s">
        <v>2667</v>
      </c>
      <c r="AJ728">
        <v>611.19854685292489</v>
      </c>
      <c r="AK728">
        <v>20093.936139805119</v>
      </c>
    </row>
    <row r="729" spans="1:37" hidden="1" x14ac:dyDescent="0.25">
      <c r="A729">
        <v>744</v>
      </c>
      <c r="B729" t="s">
        <v>3746</v>
      </c>
      <c r="C729" t="s">
        <v>376</v>
      </c>
      <c r="D729" t="s">
        <v>2604</v>
      </c>
      <c r="E729" t="s">
        <v>37</v>
      </c>
      <c r="F729" t="s">
        <v>38</v>
      </c>
      <c r="G729" s="2">
        <v>45846</v>
      </c>
      <c r="H729">
        <v>2.4</v>
      </c>
      <c r="I729" t="s">
        <v>72</v>
      </c>
      <c r="J729" t="s">
        <v>40</v>
      </c>
      <c r="K729" t="s">
        <v>41</v>
      </c>
      <c r="L729" t="s">
        <v>2605</v>
      </c>
      <c r="M729" t="s">
        <v>2606</v>
      </c>
      <c r="N729" t="s">
        <v>2712</v>
      </c>
      <c r="O729" t="s">
        <v>113</v>
      </c>
      <c r="P729" t="s">
        <v>114</v>
      </c>
      <c r="Q729">
        <v>2.5045649902339751</v>
      </c>
      <c r="R729" t="s">
        <v>46</v>
      </c>
      <c r="S729" t="s">
        <v>47</v>
      </c>
      <c r="T729" t="s">
        <v>2846</v>
      </c>
      <c r="V729" t="s">
        <v>125</v>
      </c>
      <c r="X729" t="s">
        <v>2714</v>
      </c>
      <c r="Y729" t="s">
        <v>412</v>
      </c>
      <c r="Z729" t="s">
        <v>2623</v>
      </c>
      <c r="AA729" t="s">
        <v>125</v>
      </c>
      <c r="AB729" t="s">
        <v>41</v>
      </c>
      <c r="AD729" t="s">
        <v>620</v>
      </c>
      <c r="AF729" t="s">
        <v>2667</v>
      </c>
      <c r="AJ729">
        <v>494.32427008504902</v>
      </c>
      <c r="AK729">
        <v>10135.655458627851</v>
      </c>
    </row>
    <row r="730" spans="1:37" hidden="1" x14ac:dyDescent="0.25">
      <c r="A730">
        <v>745</v>
      </c>
      <c r="B730" t="s">
        <v>3747</v>
      </c>
      <c r="C730" t="s">
        <v>376</v>
      </c>
      <c r="D730" t="s">
        <v>2604</v>
      </c>
      <c r="E730" t="s">
        <v>37</v>
      </c>
      <c r="F730" t="s">
        <v>38</v>
      </c>
      <c r="G730" s="2">
        <v>45846</v>
      </c>
      <c r="H730">
        <v>8.6</v>
      </c>
      <c r="I730" t="s">
        <v>72</v>
      </c>
      <c r="J730" t="s">
        <v>40</v>
      </c>
      <c r="K730" t="s">
        <v>41</v>
      </c>
      <c r="L730" t="s">
        <v>2605</v>
      </c>
      <c r="M730" t="s">
        <v>2606</v>
      </c>
      <c r="N730" t="s">
        <v>2712</v>
      </c>
      <c r="O730" t="s">
        <v>113</v>
      </c>
      <c r="P730" t="s">
        <v>114</v>
      </c>
      <c r="Q730">
        <v>8.5296291349838995</v>
      </c>
      <c r="R730" t="s">
        <v>46</v>
      </c>
      <c r="S730" t="s">
        <v>47</v>
      </c>
      <c r="T730" t="s">
        <v>2846</v>
      </c>
      <c r="V730" t="s">
        <v>125</v>
      </c>
      <c r="X730" t="s">
        <v>2714</v>
      </c>
      <c r="Y730" t="s">
        <v>412</v>
      </c>
      <c r="Z730" t="s">
        <v>2623</v>
      </c>
      <c r="AA730" t="s">
        <v>125</v>
      </c>
      <c r="AB730" t="s">
        <v>41</v>
      </c>
      <c r="AD730" t="s">
        <v>620</v>
      </c>
      <c r="AF730" t="s">
        <v>2667</v>
      </c>
      <c r="AJ730">
        <v>876.27753361009468</v>
      </c>
      <c r="AK730">
        <v>34518.322518751753</v>
      </c>
    </row>
    <row r="731" spans="1:37" hidden="1" x14ac:dyDescent="0.25">
      <c r="A731">
        <v>746</v>
      </c>
      <c r="B731" t="s">
        <v>3748</v>
      </c>
      <c r="C731" t="s">
        <v>376</v>
      </c>
      <c r="D731" t="s">
        <v>2604</v>
      </c>
      <c r="E731" t="s">
        <v>37</v>
      </c>
      <c r="F731" t="s">
        <v>38</v>
      </c>
      <c r="G731" s="2">
        <v>45846</v>
      </c>
      <c r="H731">
        <v>19.100000000000001</v>
      </c>
      <c r="I731" t="s">
        <v>72</v>
      </c>
      <c r="J731" t="s">
        <v>40</v>
      </c>
      <c r="K731" t="s">
        <v>41</v>
      </c>
      <c r="L731" t="s">
        <v>2605</v>
      </c>
      <c r="M731" t="s">
        <v>2606</v>
      </c>
      <c r="N731" t="s">
        <v>2712</v>
      </c>
      <c r="O731" t="s">
        <v>113</v>
      </c>
      <c r="P731" t="s">
        <v>114</v>
      </c>
      <c r="Q731">
        <v>19.41135260819372</v>
      </c>
      <c r="R731" t="s">
        <v>46</v>
      </c>
      <c r="S731" t="s">
        <v>47</v>
      </c>
      <c r="T731" t="s">
        <v>2846</v>
      </c>
      <c r="V731" t="s">
        <v>125</v>
      </c>
      <c r="X731" t="s">
        <v>2714</v>
      </c>
      <c r="Y731" t="s">
        <v>412</v>
      </c>
      <c r="Z731" t="s">
        <v>2623</v>
      </c>
      <c r="AA731" t="s">
        <v>125</v>
      </c>
      <c r="AB731" t="s">
        <v>41</v>
      </c>
      <c r="AD731" t="s">
        <v>620</v>
      </c>
      <c r="AF731" t="s">
        <v>2667</v>
      </c>
      <c r="AJ731">
        <v>1188.0767878127781</v>
      </c>
      <c r="AK731">
        <v>78555.271190710264</v>
      </c>
    </row>
    <row r="732" spans="1:37" hidden="1" x14ac:dyDescent="0.25">
      <c r="A732">
        <v>747</v>
      </c>
      <c r="B732" t="s">
        <v>3749</v>
      </c>
      <c r="C732" t="s">
        <v>376</v>
      </c>
      <c r="D732" t="s">
        <v>2604</v>
      </c>
      <c r="E732" t="s">
        <v>37</v>
      </c>
      <c r="F732" t="s">
        <v>38</v>
      </c>
      <c r="G732" s="2">
        <v>45846</v>
      </c>
      <c r="H732">
        <v>24.1</v>
      </c>
      <c r="I732" t="s">
        <v>72</v>
      </c>
      <c r="J732" t="s">
        <v>40</v>
      </c>
      <c r="K732" t="s">
        <v>41</v>
      </c>
      <c r="L732" t="s">
        <v>2605</v>
      </c>
      <c r="M732" t="s">
        <v>2606</v>
      </c>
      <c r="N732" t="s">
        <v>2712</v>
      </c>
      <c r="O732" t="s">
        <v>113</v>
      </c>
      <c r="P732" t="s">
        <v>114</v>
      </c>
      <c r="Q732">
        <v>24.299875570420411</v>
      </c>
      <c r="R732" t="s">
        <v>46</v>
      </c>
      <c r="S732" t="s">
        <v>47</v>
      </c>
      <c r="T732" t="s">
        <v>2846</v>
      </c>
      <c r="V732" t="s">
        <v>125</v>
      </c>
      <c r="X732" t="s">
        <v>2714</v>
      </c>
      <c r="Y732" t="s">
        <v>412</v>
      </c>
      <c r="Z732" t="s">
        <v>2623</v>
      </c>
      <c r="AA732" t="s">
        <v>125</v>
      </c>
      <c r="AB732" t="s">
        <v>41</v>
      </c>
      <c r="AD732" t="s">
        <v>620</v>
      </c>
      <c r="AF732" t="s">
        <v>2667</v>
      </c>
      <c r="AJ732">
        <v>1411.1810980168721</v>
      </c>
      <c r="AK732">
        <v>98338.500869286814</v>
      </c>
    </row>
    <row r="733" spans="1:37" x14ac:dyDescent="0.25">
      <c r="A733">
        <v>804</v>
      </c>
      <c r="B733" t="s">
        <v>2604</v>
      </c>
      <c r="C733" t="s">
        <v>376</v>
      </c>
      <c r="D733" t="s">
        <v>2604</v>
      </c>
      <c r="E733" t="s">
        <v>37</v>
      </c>
      <c r="F733" t="s">
        <v>38</v>
      </c>
      <c r="G733" s="2">
        <v>45826</v>
      </c>
      <c r="H733">
        <v>0.66</v>
      </c>
      <c r="I733" t="s">
        <v>72</v>
      </c>
      <c r="J733" t="s">
        <v>40</v>
      </c>
      <c r="K733" t="s">
        <v>41</v>
      </c>
      <c r="L733" t="s">
        <v>2605</v>
      </c>
      <c r="M733" t="s">
        <v>2606</v>
      </c>
      <c r="O733" t="s">
        <v>62</v>
      </c>
      <c r="P733" t="s">
        <v>63</v>
      </c>
      <c r="Q733">
        <v>0.62496127561767501</v>
      </c>
      <c r="R733" t="s">
        <v>64</v>
      </c>
      <c r="S733" t="s">
        <v>65</v>
      </c>
      <c r="T733" t="s">
        <v>3812</v>
      </c>
      <c r="V733" t="s">
        <v>3813</v>
      </c>
      <c r="X733" t="s">
        <v>3812</v>
      </c>
      <c r="Y733" t="s">
        <v>382</v>
      </c>
      <c r="Z733" t="s">
        <v>2630</v>
      </c>
      <c r="AA733" t="s">
        <v>858</v>
      </c>
      <c r="AB733" t="s">
        <v>41</v>
      </c>
      <c r="AD733" t="s">
        <v>3814</v>
      </c>
      <c r="AF733" t="s">
        <v>3815</v>
      </c>
      <c r="AJ733">
        <v>203.78485008086719</v>
      </c>
      <c r="AK733">
        <v>2529.1386685292418</v>
      </c>
    </row>
    <row r="734" spans="1:37" hidden="1" x14ac:dyDescent="0.25">
      <c r="A734">
        <v>749</v>
      </c>
      <c r="B734" t="s">
        <v>3751</v>
      </c>
      <c r="C734" t="s">
        <v>376</v>
      </c>
      <c r="D734" t="s">
        <v>2604</v>
      </c>
      <c r="E734" t="s">
        <v>37</v>
      </c>
      <c r="F734" t="s">
        <v>38</v>
      </c>
      <c r="G734" s="2">
        <v>45846</v>
      </c>
      <c r="H734">
        <v>2.7</v>
      </c>
      <c r="I734" t="s">
        <v>72</v>
      </c>
      <c r="J734" t="s">
        <v>40</v>
      </c>
      <c r="K734" t="s">
        <v>41</v>
      </c>
      <c r="L734" t="s">
        <v>2605</v>
      </c>
      <c r="M734" t="s">
        <v>2606</v>
      </c>
      <c r="N734" t="s">
        <v>2712</v>
      </c>
      <c r="O734" t="s">
        <v>113</v>
      </c>
      <c r="P734" t="s">
        <v>114</v>
      </c>
      <c r="Q734">
        <v>2.7704261240455699</v>
      </c>
      <c r="R734" t="s">
        <v>46</v>
      </c>
      <c r="S734" t="s">
        <v>47</v>
      </c>
      <c r="T734" t="s">
        <v>2846</v>
      </c>
      <c r="V734" t="s">
        <v>125</v>
      </c>
      <c r="X734" t="s">
        <v>2714</v>
      </c>
      <c r="Y734" t="s">
        <v>412</v>
      </c>
      <c r="Z734" t="s">
        <v>2623</v>
      </c>
      <c r="AA734" t="s">
        <v>125</v>
      </c>
      <c r="AB734" t="s">
        <v>41</v>
      </c>
      <c r="AD734" t="s">
        <v>620</v>
      </c>
      <c r="AF734" t="s">
        <v>2667</v>
      </c>
      <c r="AJ734">
        <v>536.30839713794546</v>
      </c>
      <c r="AK734">
        <v>11211.5615990801</v>
      </c>
    </row>
    <row r="735" spans="1:37" hidden="1" x14ac:dyDescent="0.25">
      <c r="A735">
        <v>750</v>
      </c>
      <c r="B735" t="s">
        <v>3752</v>
      </c>
      <c r="C735" t="s">
        <v>376</v>
      </c>
      <c r="D735" t="s">
        <v>2604</v>
      </c>
      <c r="E735" t="s">
        <v>37</v>
      </c>
      <c r="F735" t="s">
        <v>38</v>
      </c>
      <c r="G735" s="2">
        <v>45846</v>
      </c>
      <c r="H735">
        <v>2.8</v>
      </c>
      <c r="I735" t="s">
        <v>72</v>
      </c>
      <c r="J735" t="s">
        <v>40</v>
      </c>
      <c r="K735" t="s">
        <v>41</v>
      </c>
      <c r="L735" t="s">
        <v>2605</v>
      </c>
      <c r="M735" t="s">
        <v>2606</v>
      </c>
      <c r="N735" t="s">
        <v>2712</v>
      </c>
      <c r="O735" t="s">
        <v>113</v>
      </c>
      <c r="P735" t="s">
        <v>114</v>
      </c>
      <c r="Q735">
        <v>2.684606627102831</v>
      </c>
      <c r="R735" t="s">
        <v>46</v>
      </c>
      <c r="S735" t="s">
        <v>47</v>
      </c>
      <c r="T735" t="s">
        <v>2846</v>
      </c>
      <c r="V735" t="s">
        <v>125</v>
      </c>
      <c r="X735" t="s">
        <v>2714</v>
      </c>
      <c r="Y735" t="s">
        <v>412</v>
      </c>
      <c r="Z735" t="s">
        <v>2623</v>
      </c>
      <c r="AA735" t="s">
        <v>125</v>
      </c>
      <c r="AB735" t="s">
        <v>41</v>
      </c>
      <c r="AD735" t="s">
        <v>620</v>
      </c>
      <c r="AF735" t="s">
        <v>2667</v>
      </c>
      <c r="AJ735">
        <v>526.189002069048</v>
      </c>
      <c r="AK735">
        <v>10864.26102750935</v>
      </c>
    </row>
    <row r="736" spans="1:37" hidden="1" x14ac:dyDescent="0.25">
      <c r="A736">
        <v>751</v>
      </c>
      <c r="B736" t="s">
        <v>3753</v>
      </c>
      <c r="C736" t="s">
        <v>376</v>
      </c>
      <c r="D736" t="s">
        <v>2604</v>
      </c>
      <c r="E736" t="s">
        <v>37</v>
      </c>
      <c r="F736" t="s">
        <v>38</v>
      </c>
      <c r="G736" s="2">
        <v>45846</v>
      </c>
      <c r="H736">
        <v>3.4</v>
      </c>
      <c r="I736" t="s">
        <v>72</v>
      </c>
      <c r="J736" t="s">
        <v>40</v>
      </c>
      <c r="K736" t="s">
        <v>41</v>
      </c>
      <c r="L736" t="s">
        <v>2605</v>
      </c>
      <c r="M736" t="s">
        <v>2606</v>
      </c>
      <c r="N736" t="s">
        <v>2712</v>
      </c>
      <c r="O736" t="s">
        <v>113</v>
      </c>
      <c r="P736" t="s">
        <v>114</v>
      </c>
      <c r="Q736">
        <v>3.2790001653624121</v>
      </c>
      <c r="R736" t="s">
        <v>46</v>
      </c>
      <c r="S736" t="s">
        <v>47</v>
      </c>
      <c r="T736" t="s">
        <v>2846</v>
      </c>
      <c r="V736" t="s">
        <v>125</v>
      </c>
      <c r="X736" t="s">
        <v>2714</v>
      </c>
      <c r="Y736" t="s">
        <v>412</v>
      </c>
      <c r="Z736" t="s">
        <v>2623</v>
      </c>
      <c r="AA736" t="s">
        <v>125</v>
      </c>
      <c r="AB736" t="s">
        <v>41</v>
      </c>
      <c r="AD736" t="s">
        <v>620</v>
      </c>
      <c r="AF736" t="s">
        <v>2667</v>
      </c>
      <c r="AJ736">
        <v>513.44133257900637</v>
      </c>
      <c r="AK736">
        <v>13269.69595697829</v>
      </c>
    </row>
    <row r="737" spans="1:37" hidden="1" x14ac:dyDescent="0.25">
      <c r="A737">
        <v>752</v>
      </c>
      <c r="B737" t="s">
        <v>3754</v>
      </c>
      <c r="C737" t="s">
        <v>376</v>
      </c>
      <c r="D737" t="s">
        <v>2604</v>
      </c>
      <c r="E737" t="s">
        <v>37</v>
      </c>
      <c r="F737" t="s">
        <v>38</v>
      </c>
      <c r="G737" s="2">
        <v>45846</v>
      </c>
      <c r="H737">
        <v>3.5</v>
      </c>
      <c r="I737" t="s">
        <v>72</v>
      </c>
      <c r="J737" t="s">
        <v>40</v>
      </c>
      <c r="K737" t="s">
        <v>41</v>
      </c>
      <c r="L737" t="s">
        <v>2605</v>
      </c>
      <c r="M737" t="s">
        <v>2606</v>
      </c>
      <c r="O737" t="s">
        <v>113</v>
      </c>
      <c r="P737" t="s">
        <v>114</v>
      </c>
      <c r="Q737">
        <v>1.9912264130615189</v>
      </c>
      <c r="R737" t="s">
        <v>46</v>
      </c>
      <c r="S737" t="s">
        <v>47</v>
      </c>
      <c r="T737" t="s">
        <v>3755</v>
      </c>
      <c r="V737" t="s">
        <v>125</v>
      </c>
      <c r="X737" t="s">
        <v>3756</v>
      </c>
      <c r="Y737" t="s">
        <v>412</v>
      </c>
      <c r="Z737" t="s">
        <v>2623</v>
      </c>
      <c r="AA737" t="s">
        <v>125</v>
      </c>
      <c r="AB737" t="s">
        <v>41</v>
      </c>
      <c r="AD737" t="s">
        <v>2874</v>
      </c>
      <c r="AF737" t="s">
        <v>2667</v>
      </c>
      <c r="AJ737">
        <v>449.01015249986938</v>
      </c>
      <c r="AK737">
        <v>8058.2396310768163</v>
      </c>
    </row>
    <row r="738" spans="1:37" hidden="1" x14ac:dyDescent="0.25">
      <c r="A738">
        <v>753</v>
      </c>
      <c r="B738" t="s">
        <v>3757</v>
      </c>
      <c r="C738" t="s">
        <v>376</v>
      </c>
      <c r="D738" t="s">
        <v>2604</v>
      </c>
      <c r="E738" t="s">
        <v>37</v>
      </c>
      <c r="F738" t="s">
        <v>38</v>
      </c>
      <c r="G738" s="2">
        <v>45845</v>
      </c>
      <c r="H738">
        <v>4.5</v>
      </c>
      <c r="I738" t="s">
        <v>72</v>
      </c>
      <c r="J738" t="s">
        <v>40</v>
      </c>
      <c r="K738" t="s">
        <v>41</v>
      </c>
      <c r="L738" t="s">
        <v>2605</v>
      </c>
      <c r="M738" t="s">
        <v>2606</v>
      </c>
      <c r="N738" t="s">
        <v>2702</v>
      </c>
      <c r="O738" t="s">
        <v>79</v>
      </c>
      <c r="P738" t="s">
        <v>80</v>
      </c>
      <c r="Q738">
        <v>4.4027825809282692</v>
      </c>
      <c r="R738" t="s">
        <v>46</v>
      </c>
      <c r="S738" t="s">
        <v>47</v>
      </c>
      <c r="T738" t="s">
        <v>2904</v>
      </c>
      <c r="V738" t="s">
        <v>125</v>
      </c>
      <c r="X738" t="s">
        <v>2893</v>
      </c>
      <c r="Y738" t="s">
        <v>412</v>
      </c>
      <c r="Z738" t="s">
        <v>2623</v>
      </c>
      <c r="AA738" t="s">
        <v>71</v>
      </c>
      <c r="AB738" t="s">
        <v>41</v>
      </c>
      <c r="AD738" t="s">
        <v>620</v>
      </c>
      <c r="AF738" t="s">
        <v>2667</v>
      </c>
      <c r="AJ738">
        <v>619.45708873223759</v>
      </c>
      <c r="AK738">
        <v>17817.500233990078</v>
      </c>
    </row>
    <row r="739" spans="1:37" hidden="1" x14ac:dyDescent="0.25">
      <c r="A739">
        <v>754</v>
      </c>
      <c r="B739" t="s">
        <v>3758</v>
      </c>
      <c r="C739" t="s">
        <v>376</v>
      </c>
      <c r="D739" t="s">
        <v>2604</v>
      </c>
      <c r="E739" t="s">
        <v>37</v>
      </c>
      <c r="F739" t="s">
        <v>38</v>
      </c>
      <c r="G739" s="2">
        <v>45846</v>
      </c>
      <c r="H739">
        <v>20</v>
      </c>
      <c r="I739" t="s">
        <v>72</v>
      </c>
      <c r="J739" t="s">
        <v>40</v>
      </c>
      <c r="K739" t="s">
        <v>41</v>
      </c>
      <c r="L739" t="s">
        <v>2605</v>
      </c>
      <c r="M739" t="s">
        <v>2606</v>
      </c>
      <c r="N739" t="s">
        <v>2712</v>
      </c>
      <c r="O739" t="s">
        <v>113</v>
      </c>
      <c r="P739" t="s">
        <v>114</v>
      </c>
      <c r="Q739">
        <v>20.3594623959928</v>
      </c>
      <c r="R739" t="s">
        <v>46</v>
      </c>
      <c r="S739" t="s">
        <v>47</v>
      </c>
      <c r="T739" t="s">
        <v>3759</v>
      </c>
      <c r="V739" t="s">
        <v>125</v>
      </c>
      <c r="X739" t="s">
        <v>2899</v>
      </c>
      <c r="Y739" t="s">
        <v>412</v>
      </c>
      <c r="Z739" t="s">
        <v>2623</v>
      </c>
      <c r="AA739" t="s">
        <v>125</v>
      </c>
      <c r="AB739" t="s">
        <v>41</v>
      </c>
      <c r="AD739" t="s">
        <v>620</v>
      </c>
      <c r="AF739" t="s">
        <v>2667</v>
      </c>
      <c r="AJ739">
        <v>1230.159325169471</v>
      </c>
      <c r="AK739">
        <v>82392.150722108054</v>
      </c>
    </row>
    <row r="740" spans="1:37" hidden="1" x14ac:dyDescent="0.25">
      <c r="A740">
        <v>755</v>
      </c>
      <c r="B740" t="s">
        <v>3760</v>
      </c>
      <c r="C740" t="s">
        <v>376</v>
      </c>
      <c r="D740" t="s">
        <v>2604</v>
      </c>
      <c r="E740" t="s">
        <v>37</v>
      </c>
      <c r="F740" t="s">
        <v>38</v>
      </c>
      <c r="G740" s="2">
        <v>45846</v>
      </c>
      <c r="H740">
        <v>3.1</v>
      </c>
      <c r="I740" t="s">
        <v>72</v>
      </c>
      <c r="J740" t="s">
        <v>40</v>
      </c>
      <c r="K740" t="s">
        <v>41</v>
      </c>
      <c r="L740" t="s">
        <v>2605</v>
      </c>
      <c r="M740" t="s">
        <v>2606</v>
      </c>
      <c r="N740" t="s">
        <v>2712</v>
      </c>
      <c r="O740" t="s">
        <v>113</v>
      </c>
      <c r="P740" t="s">
        <v>114</v>
      </c>
      <c r="Q740">
        <v>3.0004703507512911</v>
      </c>
      <c r="R740" t="s">
        <v>46</v>
      </c>
      <c r="S740" t="s">
        <v>47</v>
      </c>
      <c r="T740" t="s">
        <v>3759</v>
      </c>
      <c r="V740" t="s">
        <v>125</v>
      </c>
      <c r="X740" t="s">
        <v>2899</v>
      </c>
      <c r="Y740" t="s">
        <v>412</v>
      </c>
      <c r="Z740" t="s">
        <v>2623</v>
      </c>
      <c r="AA740" t="s">
        <v>125</v>
      </c>
      <c r="AB740" t="s">
        <v>41</v>
      </c>
      <c r="AD740" t="s">
        <v>620</v>
      </c>
      <c r="AF740" t="s">
        <v>2667</v>
      </c>
      <c r="AJ740">
        <v>559.24356345816545</v>
      </c>
      <c r="AK740">
        <v>12142.521279195191</v>
      </c>
    </row>
    <row r="741" spans="1:37" hidden="1" x14ac:dyDescent="0.25">
      <c r="A741">
        <v>756</v>
      </c>
      <c r="B741" t="s">
        <v>3761</v>
      </c>
      <c r="C741" t="s">
        <v>376</v>
      </c>
      <c r="D741" t="s">
        <v>2604</v>
      </c>
      <c r="E741" t="s">
        <v>37</v>
      </c>
      <c r="F741" t="s">
        <v>38</v>
      </c>
      <c r="G741" s="2">
        <v>45845</v>
      </c>
      <c r="H741">
        <v>7.6</v>
      </c>
      <c r="I741" t="s">
        <v>72</v>
      </c>
      <c r="J741" t="s">
        <v>40</v>
      </c>
      <c r="K741" t="s">
        <v>41</v>
      </c>
      <c r="L741" t="s">
        <v>2605</v>
      </c>
      <c r="M741" t="s">
        <v>2606</v>
      </c>
      <c r="N741" t="s">
        <v>2702</v>
      </c>
      <c r="O741" t="s">
        <v>79</v>
      </c>
      <c r="P741" t="s">
        <v>80</v>
      </c>
      <c r="Q741">
        <v>7.619936954825258</v>
      </c>
      <c r="R741" t="s">
        <v>46</v>
      </c>
      <c r="S741" t="s">
        <v>47</v>
      </c>
      <c r="T741" t="s">
        <v>2904</v>
      </c>
      <c r="V741" t="s">
        <v>125</v>
      </c>
      <c r="X741" t="s">
        <v>2893</v>
      </c>
      <c r="Y741" t="s">
        <v>412</v>
      </c>
      <c r="Z741" t="s">
        <v>2623</v>
      </c>
      <c r="AA741" t="s">
        <v>71</v>
      </c>
      <c r="AB741" t="s">
        <v>41</v>
      </c>
      <c r="AD741" t="s">
        <v>620</v>
      </c>
      <c r="AF741" t="s">
        <v>2667</v>
      </c>
      <c r="AJ741">
        <v>744.20273921904584</v>
      </c>
      <c r="AK741">
        <v>30836.91415145095</v>
      </c>
    </row>
    <row r="742" spans="1:37" hidden="1" x14ac:dyDescent="0.25">
      <c r="A742">
        <v>757</v>
      </c>
      <c r="B742" t="s">
        <v>3762</v>
      </c>
      <c r="C742" t="s">
        <v>376</v>
      </c>
      <c r="D742" t="s">
        <v>2604</v>
      </c>
      <c r="E742" t="s">
        <v>37</v>
      </c>
      <c r="F742" t="s">
        <v>38</v>
      </c>
      <c r="G742" s="2">
        <v>45845</v>
      </c>
      <c r="H742">
        <v>8.4</v>
      </c>
      <c r="I742" t="s">
        <v>72</v>
      </c>
      <c r="J742" t="s">
        <v>40</v>
      </c>
      <c r="K742" t="s">
        <v>41</v>
      </c>
      <c r="L742" t="s">
        <v>2605</v>
      </c>
      <c r="M742" t="s">
        <v>2606</v>
      </c>
      <c r="N742" t="s">
        <v>2702</v>
      </c>
      <c r="O742" t="s">
        <v>79</v>
      </c>
      <c r="P742" t="s">
        <v>80</v>
      </c>
      <c r="Q742">
        <v>8.4643386567065644</v>
      </c>
      <c r="R742" t="s">
        <v>46</v>
      </c>
      <c r="S742" t="s">
        <v>47</v>
      </c>
      <c r="T742" t="s">
        <v>2904</v>
      </c>
      <c r="V742" t="s">
        <v>125</v>
      </c>
      <c r="X742" t="s">
        <v>2893</v>
      </c>
      <c r="Y742" t="s">
        <v>412</v>
      </c>
      <c r="Z742" t="s">
        <v>2623</v>
      </c>
      <c r="AA742" t="s">
        <v>71</v>
      </c>
      <c r="AB742" t="s">
        <v>41</v>
      </c>
      <c r="AD742" t="s">
        <v>620</v>
      </c>
      <c r="AF742" t="s">
        <v>2667</v>
      </c>
      <c r="AJ742">
        <v>741.30722940669898</v>
      </c>
      <c r="AK742">
        <v>34254.100270525611</v>
      </c>
    </row>
    <row r="743" spans="1:37" hidden="1" x14ac:dyDescent="0.25">
      <c r="A743">
        <v>758</v>
      </c>
      <c r="B743" t="s">
        <v>3763</v>
      </c>
      <c r="C743" t="s">
        <v>376</v>
      </c>
      <c r="D743" t="s">
        <v>2604</v>
      </c>
      <c r="E743" t="s">
        <v>37</v>
      </c>
      <c r="F743" t="s">
        <v>38</v>
      </c>
      <c r="G743" s="2">
        <v>45846</v>
      </c>
      <c r="H743">
        <v>5.3</v>
      </c>
      <c r="I743" t="s">
        <v>72</v>
      </c>
      <c r="J743" t="s">
        <v>40</v>
      </c>
      <c r="K743" t="s">
        <v>41</v>
      </c>
      <c r="L743" t="s">
        <v>2605</v>
      </c>
      <c r="M743" t="s">
        <v>2606</v>
      </c>
      <c r="N743" t="s">
        <v>2712</v>
      </c>
      <c r="O743" t="s">
        <v>113</v>
      </c>
      <c r="P743" t="s">
        <v>114</v>
      </c>
      <c r="Q743">
        <v>5.1771502361451311</v>
      </c>
      <c r="R743" t="s">
        <v>46</v>
      </c>
      <c r="S743" t="s">
        <v>47</v>
      </c>
      <c r="T743" t="s">
        <v>3759</v>
      </c>
      <c r="V743" t="s">
        <v>125</v>
      </c>
      <c r="X743" t="s">
        <v>2899</v>
      </c>
      <c r="Y743" t="s">
        <v>412</v>
      </c>
      <c r="Z743" t="s">
        <v>2623</v>
      </c>
      <c r="AA743" t="s">
        <v>125</v>
      </c>
      <c r="AB743" t="s">
        <v>41</v>
      </c>
      <c r="AD743" t="s">
        <v>620</v>
      </c>
      <c r="AF743" t="s">
        <v>2667</v>
      </c>
      <c r="AJ743">
        <v>623.86937805958246</v>
      </c>
      <c r="AK743">
        <v>20951.26748785975</v>
      </c>
    </row>
    <row r="744" spans="1:37" hidden="1" x14ac:dyDescent="0.25">
      <c r="A744">
        <v>759</v>
      </c>
      <c r="B744" t="s">
        <v>3764</v>
      </c>
      <c r="C744" t="s">
        <v>376</v>
      </c>
      <c r="D744" t="s">
        <v>2604</v>
      </c>
      <c r="E744" t="s">
        <v>37</v>
      </c>
      <c r="F744" t="s">
        <v>38</v>
      </c>
      <c r="G744" s="2">
        <v>45845</v>
      </c>
      <c r="H744">
        <v>20.7</v>
      </c>
      <c r="I744" t="s">
        <v>72</v>
      </c>
      <c r="J744" t="s">
        <v>40</v>
      </c>
      <c r="K744" t="s">
        <v>41</v>
      </c>
      <c r="L744" t="s">
        <v>2605</v>
      </c>
      <c r="M744" t="s">
        <v>2606</v>
      </c>
      <c r="N744" t="s">
        <v>2702</v>
      </c>
      <c r="O744" t="s">
        <v>79</v>
      </c>
      <c r="P744" t="s">
        <v>80</v>
      </c>
      <c r="Q744">
        <v>20.46741815293036</v>
      </c>
      <c r="R744" t="s">
        <v>46</v>
      </c>
      <c r="S744" t="s">
        <v>47</v>
      </c>
      <c r="T744" t="s">
        <v>2904</v>
      </c>
      <c r="V744" t="s">
        <v>125</v>
      </c>
      <c r="X744" t="s">
        <v>2893</v>
      </c>
      <c r="Y744" t="s">
        <v>412</v>
      </c>
      <c r="Z744" t="s">
        <v>2623</v>
      </c>
      <c r="AA744" t="s">
        <v>71</v>
      </c>
      <c r="AB744" t="s">
        <v>41</v>
      </c>
      <c r="AD744" t="s">
        <v>620</v>
      </c>
      <c r="AF744" t="s">
        <v>2667</v>
      </c>
      <c r="AJ744">
        <v>1130.8138529654491</v>
      </c>
      <c r="AK744">
        <v>82829.033917936933</v>
      </c>
    </row>
    <row r="745" spans="1:37" hidden="1" x14ac:dyDescent="0.25">
      <c r="A745">
        <v>760</v>
      </c>
      <c r="B745" t="s">
        <v>3765</v>
      </c>
      <c r="C745" t="s">
        <v>376</v>
      </c>
      <c r="D745" t="s">
        <v>2604</v>
      </c>
      <c r="E745" t="s">
        <v>37</v>
      </c>
      <c r="F745" t="s">
        <v>38</v>
      </c>
      <c r="G745" s="2">
        <v>45825</v>
      </c>
      <c r="H745">
        <v>8.6999999999999993</v>
      </c>
      <c r="I745" t="s">
        <v>72</v>
      </c>
      <c r="J745" t="s">
        <v>40</v>
      </c>
      <c r="K745" t="s">
        <v>41</v>
      </c>
      <c r="L745" t="s">
        <v>2605</v>
      </c>
      <c r="M745" t="s">
        <v>2606</v>
      </c>
      <c r="N745" t="s">
        <v>3027</v>
      </c>
      <c r="O745" t="s">
        <v>79</v>
      </c>
      <c r="P745" t="s">
        <v>80</v>
      </c>
      <c r="Q745">
        <v>8.7007703634145788</v>
      </c>
      <c r="R745" t="s">
        <v>46</v>
      </c>
      <c r="S745" t="s">
        <v>47</v>
      </c>
      <c r="T745" t="s">
        <v>3097</v>
      </c>
      <c r="V745" t="s">
        <v>110</v>
      </c>
      <c r="X745" t="s">
        <v>3257</v>
      </c>
      <c r="Y745" t="s">
        <v>412</v>
      </c>
      <c r="Z745" t="s">
        <v>2623</v>
      </c>
      <c r="AA745" t="s">
        <v>576</v>
      </c>
      <c r="AB745" t="s">
        <v>41</v>
      </c>
      <c r="AD745" t="s">
        <v>620</v>
      </c>
      <c r="AF745" t="s">
        <v>2667</v>
      </c>
      <c r="AJ745">
        <v>763.74443835122293</v>
      </c>
      <c r="AK745">
        <v>35210.909268508098</v>
      </c>
    </row>
    <row r="746" spans="1:37" hidden="1" x14ac:dyDescent="0.25">
      <c r="A746">
        <v>761</v>
      </c>
      <c r="B746" t="s">
        <v>3766</v>
      </c>
      <c r="C746" t="s">
        <v>376</v>
      </c>
      <c r="D746" t="s">
        <v>2604</v>
      </c>
      <c r="E746" t="s">
        <v>37</v>
      </c>
      <c r="F746" t="s">
        <v>38</v>
      </c>
      <c r="G746" s="2">
        <v>45825</v>
      </c>
      <c r="H746">
        <v>4.0999999999999996</v>
      </c>
      <c r="I746" t="s">
        <v>72</v>
      </c>
      <c r="J746" t="s">
        <v>40</v>
      </c>
      <c r="K746" t="s">
        <v>41</v>
      </c>
      <c r="L746" t="s">
        <v>2605</v>
      </c>
      <c r="M746" t="s">
        <v>2606</v>
      </c>
      <c r="N746" t="s">
        <v>3027</v>
      </c>
      <c r="O746" t="s">
        <v>402</v>
      </c>
      <c r="P746" t="s">
        <v>403</v>
      </c>
      <c r="Q746">
        <v>4.0806948316567997</v>
      </c>
      <c r="S746" t="s">
        <v>38</v>
      </c>
      <c r="T746" t="s">
        <v>3097</v>
      </c>
      <c r="V746" t="s">
        <v>110</v>
      </c>
      <c r="X746" t="s">
        <v>3257</v>
      </c>
      <c r="Y746" t="s">
        <v>412</v>
      </c>
      <c r="Z746" t="s">
        <v>2623</v>
      </c>
      <c r="AA746" t="s">
        <v>576</v>
      </c>
      <c r="AB746" t="s">
        <v>41</v>
      </c>
      <c r="AD746" t="s">
        <v>620</v>
      </c>
      <c r="AF746" t="s">
        <v>2667</v>
      </c>
      <c r="AJ746">
        <v>613.42331214514275</v>
      </c>
      <c r="AK746">
        <v>16514.052143487319</v>
      </c>
    </row>
    <row r="747" spans="1:37" hidden="1" x14ac:dyDescent="0.25">
      <c r="A747">
        <v>762</v>
      </c>
      <c r="B747" t="s">
        <v>3767</v>
      </c>
      <c r="C747" t="s">
        <v>376</v>
      </c>
      <c r="D747" t="s">
        <v>2604</v>
      </c>
      <c r="E747" t="s">
        <v>37</v>
      </c>
      <c r="F747" t="s">
        <v>38</v>
      </c>
      <c r="G747" s="2">
        <v>45825</v>
      </c>
      <c r="H747">
        <v>1</v>
      </c>
      <c r="I747" t="s">
        <v>72</v>
      </c>
      <c r="J747" t="s">
        <v>40</v>
      </c>
      <c r="K747" t="s">
        <v>41</v>
      </c>
      <c r="L747" t="s">
        <v>2605</v>
      </c>
      <c r="M747" t="s">
        <v>2606</v>
      </c>
      <c r="N747" t="s">
        <v>3027</v>
      </c>
      <c r="O747" t="s">
        <v>402</v>
      </c>
      <c r="P747" t="s">
        <v>403</v>
      </c>
      <c r="Q747">
        <v>11.13668178849688</v>
      </c>
      <c r="S747" t="s">
        <v>38</v>
      </c>
      <c r="T747" t="s">
        <v>3097</v>
      </c>
      <c r="V747" t="s">
        <v>110</v>
      </c>
      <c r="X747" t="s">
        <v>3257</v>
      </c>
      <c r="Y747" t="s">
        <v>412</v>
      </c>
      <c r="Z747" t="s">
        <v>2623</v>
      </c>
      <c r="AA747" t="s">
        <v>576</v>
      </c>
      <c r="AB747" t="s">
        <v>41</v>
      </c>
      <c r="AD747" t="s">
        <v>620</v>
      </c>
      <c r="AF747" t="s">
        <v>2667</v>
      </c>
      <c r="AJ747">
        <v>871.65854768671568</v>
      </c>
      <c r="AK747">
        <v>45068.732494753429</v>
      </c>
    </row>
    <row r="748" spans="1:37" hidden="1" x14ac:dyDescent="0.25">
      <c r="A748">
        <v>763</v>
      </c>
      <c r="B748" t="s">
        <v>3768</v>
      </c>
      <c r="C748" t="s">
        <v>376</v>
      </c>
      <c r="D748" t="s">
        <v>2604</v>
      </c>
      <c r="E748" t="s">
        <v>37</v>
      </c>
      <c r="F748" t="s">
        <v>38</v>
      </c>
      <c r="G748" s="2">
        <v>45825</v>
      </c>
      <c r="H748">
        <v>29.9</v>
      </c>
      <c r="I748" t="s">
        <v>72</v>
      </c>
      <c r="J748" t="s">
        <v>40</v>
      </c>
      <c r="K748" t="s">
        <v>41</v>
      </c>
      <c r="L748" t="s">
        <v>2605</v>
      </c>
      <c r="M748" t="s">
        <v>2606</v>
      </c>
      <c r="N748" t="s">
        <v>2702</v>
      </c>
      <c r="O748" t="s">
        <v>402</v>
      </c>
      <c r="P748" t="s">
        <v>403</v>
      </c>
      <c r="Q748">
        <v>29.427124407911911</v>
      </c>
      <c r="S748" t="s">
        <v>38</v>
      </c>
      <c r="T748" t="s">
        <v>2883</v>
      </c>
      <c r="V748" t="s">
        <v>110</v>
      </c>
      <c r="X748" t="s">
        <v>3226</v>
      </c>
      <c r="Y748" t="s">
        <v>412</v>
      </c>
      <c r="Z748" t="s">
        <v>2623</v>
      </c>
      <c r="AA748" t="s">
        <v>576</v>
      </c>
      <c r="AB748" t="s">
        <v>41</v>
      </c>
      <c r="AD748" t="s">
        <v>620</v>
      </c>
      <c r="AF748" t="s">
        <v>2667</v>
      </c>
      <c r="AJ748">
        <v>1380.6581580475611</v>
      </c>
      <c r="AK748">
        <v>119087.8237537408</v>
      </c>
    </row>
    <row r="749" spans="1:37" hidden="1" x14ac:dyDescent="0.25">
      <c r="A749">
        <v>764</v>
      </c>
      <c r="B749" t="s">
        <v>3769</v>
      </c>
      <c r="C749" t="s">
        <v>376</v>
      </c>
      <c r="D749" t="s">
        <v>2604</v>
      </c>
      <c r="E749" t="s">
        <v>37</v>
      </c>
      <c r="F749" t="s">
        <v>38</v>
      </c>
      <c r="G749" s="2">
        <v>45846</v>
      </c>
      <c r="H749">
        <v>16.8</v>
      </c>
      <c r="I749" t="s">
        <v>72</v>
      </c>
      <c r="J749" t="s">
        <v>40</v>
      </c>
      <c r="K749" t="s">
        <v>41</v>
      </c>
      <c r="L749" t="s">
        <v>2605</v>
      </c>
      <c r="M749" t="s">
        <v>2606</v>
      </c>
      <c r="N749" t="s">
        <v>2712</v>
      </c>
      <c r="O749" t="s">
        <v>113</v>
      </c>
      <c r="P749" t="s">
        <v>114</v>
      </c>
      <c r="Q749">
        <v>17.70913497999878</v>
      </c>
      <c r="R749" t="s">
        <v>46</v>
      </c>
      <c r="S749" t="s">
        <v>47</v>
      </c>
      <c r="T749" t="s">
        <v>3770</v>
      </c>
      <c r="V749" t="s">
        <v>618</v>
      </c>
      <c r="X749" t="s">
        <v>3771</v>
      </c>
      <c r="Y749" t="s">
        <v>412</v>
      </c>
      <c r="Z749" t="s">
        <v>2623</v>
      </c>
      <c r="AA749" t="s">
        <v>119</v>
      </c>
      <c r="AB749" t="s">
        <v>41</v>
      </c>
      <c r="AD749" t="s">
        <v>620</v>
      </c>
      <c r="AF749" t="s">
        <v>2667</v>
      </c>
      <c r="AJ749">
        <v>1166.2422166290239</v>
      </c>
      <c r="AK749">
        <v>71666.613295123083</v>
      </c>
    </row>
    <row r="750" spans="1:37" hidden="1" x14ac:dyDescent="0.25">
      <c r="A750">
        <v>765</v>
      </c>
      <c r="B750" t="s">
        <v>3772</v>
      </c>
      <c r="C750" t="s">
        <v>376</v>
      </c>
      <c r="D750" t="s">
        <v>2604</v>
      </c>
      <c r="E750" t="s">
        <v>37</v>
      </c>
      <c r="F750" t="s">
        <v>38</v>
      </c>
      <c r="G750" s="2">
        <v>45846</v>
      </c>
      <c r="H750">
        <v>11.1</v>
      </c>
      <c r="I750" t="s">
        <v>72</v>
      </c>
      <c r="J750" t="s">
        <v>40</v>
      </c>
      <c r="K750" t="s">
        <v>41</v>
      </c>
      <c r="L750" t="s">
        <v>2605</v>
      </c>
      <c r="M750" t="s">
        <v>2606</v>
      </c>
      <c r="N750" t="s">
        <v>2712</v>
      </c>
      <c r="O750" t="s">
        <v>113</v>
      </c>
      <c r="P750" t="s">
        <v>114</v>
      </c>
      <c r="Q750">
        <v>10.84885527365577</v>
      </c>
      <c r="R750" t="s">
        <v>46</v>
      </c>
      <c r="S750" t="s">
        <v>47</v>
      </c>
      <c r="T750" t="s">
        <v>2846</v>
      </c>
      <c r="V750" t="s">
        <v>618</v>
      </c>
      <c r="X750" t="s">
        <v>2714</v>
      </c>
      <c r="Y750" t="s">
        <v>412</v>
      </c>
      <c r="Z750" t="s">
        <v>2623</v>
      </c>
      <c r="AA750" t="s">
        <v>119</v>
      </c>
      <c r="AB750" t="s">
        <v>41</v>
      </c>
      <c r="AD750" t="s">
        <v>620</v>
      </c>
      <c r="AF750" t="s">
        <v>2667</v>
      </c>
      <c r="AJ750">
        <v>969.8356654368356</v>
      </c>
      <c r="AK750">
        <v>43903.935255447337</v>
      </c>
    </row>
    <row r="751" spans="1:37" hidden="1" x14ac:dyDescent="0.25">
      <c r="A751">
        <v>766</v>
      </c>
      <c r="B751" t="s">
        <v>3773</v>
      </c>
      <c r="C751" t="s">
        <v>376</v>
      </c>
      <c r="D751" t="s">
        <v>2604</v>
      </c>
      <c r="E751" t="s">
        <v>37</v>
      </c>
      <c r="F751" t="s">
        <v>38</v>
      </c>
      <c r="G751" s="2">
        <v>45846</v>
      </c>
      <c r="H751">
        <v>17.8</v>
      </c>
      <c r="I751" t="s">
        <v>72</v>
      </c>
      <c r="J751" t="s">
        <v>40</v>
      </c>
      <c r="K751" t="s">
        <v>41</v>
      </c>
      <c r="L751" t="s">
        <v>2605</v>
      </c>
      <c r="M751" t="s">
        <v>2606</v>
      </c>
      <c r="N751" t="s">
        <v>2712</v>
      </c>
      <c r="O751" t="s">
        <v>113</v>
      </c>
      <c r="P751" t="s">
        <v>114</v>
      </c>
      <c r="Q751">
        <v>19.754197352293641</v>
      </c>
      <c r="R751" t="s">
        <v>46</v>
      </c>
      <c r="S751" t="s">
        <v>47</v>
      </c>
      <c r="T751" t="s">
        <v>3770</v>
      </c>
      <c r="V751" t="s">
        <v>618</v>
      </c>
      <c r="X751" t="s">
        <v>3771</v>
      </c>
      <c r="Y751" t="s">
        <v>412</v>
      </c>
      <c r="Z751" t="s">
        <v>2623</v>
      </c>
      <c r="AA751" t="s">
        <v>119</v>
      </c>
      <c r="AB751" t="s">
        <v>41</v>
      </c>
      <c r="AD751" t="s">
        <v>620</v>
      </c>
      <c r="AF751" t="s">
        <v>2667</v>
      </c>
      <c r="AJ751">
        <v>1159.960100994409</v>
      </c>
      <c r="AK751">
        <v>79942.720195047601</v>
      </c>
    </row>
    <row r="752" spans="1:37" hidden="1" x14ac:dyDescent="0.25">
      <c r="A752">
        <v>767</v>
      </c>
      <c r="B752" t="s">
        <v>3774</v>
      </c>
      <c r="C752" t="s">
        <v>376</v>
      </c>
      <c r="D752" t="s">
        <v>2604</v>
      </c>
      <c r="E752" t="s">
        <v>37</v>
      </c>
      <c r="F752" t="s">
        <v>38</v>
      </c>
      <c r="G752" s="2">
        <v>45846</v>
      </c>
      <c r="H752">
        <v>6.3</v>
      </c>
      <c r="I752" t="s">
        <v>72</v>
      </c>
      <c r="J752" t="s">
        <v>40</v>
      </c>
      <c r="K752" t="s">
        <v>41</v>
      </c>
      <c r="L752" t="s">
        <v>2605</v>
      </c>
      <c r="M752" t="s">
        <v>2606</v>
      </c>
      <c r="N752" t="s">
        <v>2712</v>
      </c>
      <c r="O752" t="s">
        <v>113</v>
      </c>
      <c r="P752" t="s">
        <v>114</v>
      </c>
      <c r="Q752">
        <v>6.3182538816502891</v>
      </c>
      <c r="R752" t="s">
        <v>46</v>
      </c>
      <c r="S752" t="s">
        <v>47</v>
      </c>
      <c r="T752" t="s">
        <v>2846</v>
      </c>
      <c r="V752" t="s">
        <v>618</v>
      </c>
      <c r="X752" t="s">
        <v>2714</v>
      </c>
      <c r="Y752" t="s">
        <v>412</v>
      </c>
      <c r="Z752" t="s">
        <v>2623</v>
      </c>
      <c r="AA752" t="s">
        <v>125</v>
      </c>
      <c r="AB752" t="s">
        <v>41</v>
      </c>
      <c r="AD752" t="s">
        <v>620</v>
      </c>
      <c r="AF752" t="s">
        <v>2667</v>
      </c>
      <c r="AJ752">
        <v>692.02374375433442</v>
      </c>
      <c r="AK752">
        <v>25569.168575882231</v>
      </c>
    </row>
    <row r="753" spans="1:37" hidden="1" x14ac:dyDescent="0.25">
      <c r="A753">
        <v>768</v>
      </c>
      <c r="B753" t="s">
        <v>3775</v>
      </c>
      <c r="C753" t="s">
        <v>376</v>
      </c>
      <c r="D753" t="s">
        <v>2604</v>
      </c>
      <c r="E753" t="s">
        <v>37</v>
      </c>
      <c r="F753" t="s">
        <v>38</v>
      </c>
      <c r="G753" s="2">
        <v>45846</v>
      </c>
      <c r="H753">
        <v>5.8</v>
      </c>
      <c r="I753" t="s">
        <v>72</v>
      </c>
      <c r="J753" t="s">
        <v>40</v>
      </c>
      <c r="K753" t="s">
        <v>41</v>
      </c>
      <c r="L753" t="s">
        <v>2605</v>
      </c>
      <c r="M753" t="s">
        <v>2606</v>
      </c>
      <c r="N753" t="s">
        <v>2712</v>
      </c>
      <c r="O753" t="s">
        <v>113</v>
      </c>
      <c r="P753" t="s">
        <v>114</v>
      </c>
      <c r="Q753">
        <v>5.6952253614848543</v>
      </c>
      <c r="R753" t="s">
        <v>46</v>
      </c>
      <c r="S753" t="s">
        <v>47</v>
      </c>
      <c r="T753" t="s">
        <v>2846</v>
      </c>
      <c r="V753" t="s">
        <v>618</v>
      </c>
      <c r="X753" t="s">
        <v>2714</v>
      </c>
      <c r="Y753" t="s">
        <v>412</v>
      </c>
      <c r="Z753" t="s">
        <v>2623</v>
      </c>
      <c r="AA753" t="s">
        <v>125</v>
      </c>
      <c r="AB753" t="s">
        <v>41</v>
      </c>
      <c r="AD753" t="s">
        <v>620</v>
      </c>
      <c r="AF753" t="s">
        <v>2667</v>
      </c>
      <c r="AJ753">
        <v>742.07760704038549</v>
      </c>
      <c r="AK753">
        <v>23047.851522454239</v>
      </c>
    </row>
    <row r="754" spans="1:37" hidden="1" x14ac:dyDescent="0.25">
      <c r="A754">
        <v>769</v>
      </c>
      <c r="B754" t="s">
        <v>3776</v>
      </c>
      <c r="C754" t="s">
        <v>376</v>
      </c>
      <c r="D754" t="s">
        <v>2604</v>
      </c>
      <c r="E754" t="s">
        <v>37</v>
      </c>
      <c r="F754" t="s">
        <v>38</v>
      </c>
      <c r="G754" s="2">
        <v>45846</v>
      </c>
      <c r="H754">
        <v>8.3000000000000007</v>
      </c>
      <c r="I754" t="s">
        <v>72</v>
      </c>
      <c r="J754" t="s">
        <v>40</v>
      </c>
      <c r="K754" t="s">
        <v>41</v>
      </c>
      <c r="L754" t="s">
        <v>2605</v>
      </c>
      <c r="M754" t="s">
        <v>2606</v>
      </c>
      <c r="N754" t="s">
        <v>2702</v>
      </c>
      <c r="O754" t="s">
        <v>79</v>
      </c>
      <c r="P754" t="s">
        <v>80</v>
      </c>
      <c r="Q754">
        <v>8.1661017204430131</v>
      </c>
      <c r="R754" t="s">
        <v>46</v>
      </c>
      <c r="S754" t="s">
        <v>47</v>
      </c>
      <c r="T754" t="s">
        <v>2883</v>
      </c>
      <c r="V754" t="s">
        <v>119</v>
      </c>
      <c r="X754" t="s">
        <v>3226</v>
      </c>
      <c r="Y754" t="s">
        <v>412</v>
      </c>
      <c r="Z754" t="s">
        <v>2623</v>
      </c>
      <c r="AA754" t="s">
        <v>942</v>
      </c>
      <c r="AB754" t="s">
        <v>41</v>
      </c>
      <c r="AD754" t="s">
        <v>620</v>
      </c>
      <c r="AF754" t="s">
        <v>2667</v>
      </c>
      <c r="AJ754">
        <v>829.95685251854968</v>
      </c>
      <c r="AK754">
        <v>33047.173381907844</v>
      </c>
    </row>
    <row r="755" spans="1:37" hidden="1" x14ac:dyDescent="0.25">
      <c r="A755">
        <v>770</v>
      </c>
      <c r="B755" t="s">
        <v>3777</v>
      </c>
      <c r="C755" t="s">
        <v>376</v>
      </c>
      <c r="D755" t="s">
        <v>2604</v>
      </c>
      <c r="E755" t="s">
        <v>37</v>
      </c>
      <c r="F755" t="s">
        <v>38</v>
      </c>
      <c r="G755" s="2">
        <v>45825</v>
      </c>
      <c r="H755">
        <v>4.0999999999999996</v>
      </c>
      <c r="I755" t="s">
        <v>72</v>
      </c>
      <c r="J755" t="s">
        <v>40</v>
      </c>
      <c r="K755" t="s">
        <v>41</v>
      </c>
      <c r="L755" t="s">
        <v>2605</v>
      </c>
      <c r="M755" t="s">
        <v>2606</v>
      </c>
      <c r="N755" t="s">
        <v>3027</v>
      </c>
      <c r="O755" t="s">
        <v>79</v>
      </c>
      <c r="P755" t="s">
        <v>80</v>
      </c>
      <c r="Q755">
        <v>19.318946984299011</v>
      </c>
      <c r="R755" t="s">
        <v>46</v>
      </c>
      <c r="S755" t="s">
        <v>47</v>
      </c>
      <c r="T755" t="s">
        <v>3097</v>
      </c>
      <c r="V755" t="s">
        <v>119</v>
      </c>
      <c r="X755" t="s">
        <v>3257</v>
      </c>
      <c r="Y755" t="s">
        <v>412</v>
      </c>
      <c r="Z755" t="s">
        <v>2623</v>
      </c>
      <c r="AA755" t="s">
        <v>942</v>
      </c>
      <c r="AB755" t="s">
        <v>41</v>
      </c>
      <c r="AD755" t="s">
        <v>620</v>
      </c>
      <c r="AF755" t="s">
        <v>2667</v>
      </c>
      <c r="AJ755">
        <v>1124.309367780761</v>
      </c>
      <c r="AK755">
        <v>78181.317402372428</v>
      </c>
    </row>
    <row r="756" spans="1:37" hidden="1" x14ac:dyDescent="0.25">
      <c r="A756">
        <v>771</v>
      </c>
      <c r="B756" t="s">
        <v>3778</v>
      </c>
      <c r="C756" t="s">
        <v>376</v>
      </c>
      <c r="D756" t="s">
        <v>2604</v>
      </c>
      <c r="E756" t="s">
        <v>37</v>
      </c>
      <c r="F756" t="s">
        <v>38</v>
      </c>
      <c r="G756" s="2">
        <v>45825</v>
      </c>
      <c r="H756">
        <v>10.6</v>
      </c>
      <c r="I756" t="s">
        <v>72</v>
      </c>
      <c r="J756" t="s">
        <v>40</v>
      </c>
      <c r="K756" t="s">
        <v>41</v>
      </c>
      <c r="L756" t="s">
        <v>2605</v>
      </c>
      <c r="M756" t="s">
        <v>2606</v>
      </c>
      <c r="N756" t="s">
        <v>2702</v>
      </c>
      <c r="O756" t="s">
        <v>79</v>
      </c>
      <c r="P756" t="s">
        <v>80</v>
      </c>
      <c r="Q756">
        <v>9.7134409665366039</v>
      </c>
      <c r="R756" t="s">
        <v>46</v>
      </c>
      <c r="S756" t="s">
        <v>47</v>
      </c>
      <c r="T756" t="s">
        <v>2883</v>
      </c>
      <c r="V756" t="s">
        <v>110</v>
      </c>
      <c r="X756" t="s">
        <v>3226</v>
      </c>
      <c r="Y756" t="s">
        <v>412</v>
      </c>
      <c r="Z756" t="s">
        <v>2623</v>
      </c>
      <c r="AA756" t="s">
        <v>576</v>
      </c>
      <c r="AB756" t="s">
        <v>41</v>
      </c>
      <c r="AD756" t="s">
        <v>620</v>
      </c>
      <c r="AF756" t="s">
        <v>2667</v>
      </c>
      <c r="AJ756">
        <v>804.128865203229</v>
      </c>
      <c r="AK756">
        <v>39309.058195107456</v>
      </c>
    </row>
    <row r="757" spans="1:37" hidden="1" x14ac:dyDescent="0.25">
      <c r="A757">
        <v>772</v>
      </c>
      <c r="B757" t="s">
        <v>3779</v>
      </c>
      <c r="C757" t="s">
        <v>376</v>
      </c>
      <c r="D757" t="s">
        <v>2604</v>
      </c>
      <c r="E757" t="s">
        <v>37</v>
      </c>
      <c r="F757" t="s">
        <v>38</v>
      </c>
      <c r="G757" s="2">
        <v>45825</v>
      </c>
      <c r="H757">
        <v>27.5</v>
      </c>
      <c r="I757" t="s">
        <v>72</v>
      </c>
      <c r="J757" t="s">
        <v>40</v>
      </c>
      <c r="K757" t="s">
        <v>41</v>
      </c>
      <c r="L757" t="s">
        <v>2605</v>
      </c>
      <c r="M757" t="s">
        <v>2606</v>
      </c>
      <c r="N757" t="s">
        <v>2702</v>
      </c>
      <c r="O757" t="s">
        <v>79</v>
      </c>
      <c r="P757" t="s">
        <v>80</v>
      </c>
      <c r="Q757">
        <v>28.837504624872011</v>
      </c>
      <c r="R757" t="s">
        <v>46</v>
      </c>
      <c r="S757" t="s">
        <v>47</v>
      </c>
      <c r="T757" t="s">
        <v>2883</v>
      </c>
      <c r="V757" t="s">
        <v>110</v>
      </c>
      <c r="X757" t="s">
        <v>3226</v>
      </c>
      <c r="Y757" t="s">
        <v>412</v>
      </c>
      <c r="Z757" t="s">
        <v>2623</v>
      </c>
      <c r="AA757" t="s">
        <v>576</v>
      </c>
      <c r="AB757" t="s">
        <v>41</v>
      </c>
      <c r="AD757" t="s">
        <v>620</v>
      </c>
      <c r="AF757" t="s">
        <v>2667</v>
      </c>
      <c r="AJ757">
        <v>1721.36965541526</v>
      </c>
      <c r="AK757">
        <v>116701.7076035166</v>
      </c>
    </row>
    <row r="758" spans="1:37" hidden="1" x14ac:dyDescent="0.25">
      <c r="A758">
        <v>773</v>
      </c>
      <c r="B758" t="s">
        <v>3780</v>
      </c>
      <c r="C758" t="s">
        <v>376</v>
      </c>
      <c r="D758" t="s">
        <v>2604</v>
      </c>
      <c r="E758" t="s">
        <v>37</v>
      </c>
      <c r="F758" t="s">
        <v>38</v>
      </c>
      <c r="G758" s="2">
        <v>45825</v>
      </c>
      <c r="H758">
        <v>0.7</v>
      </c>
      <c r="I758" t="s">
        <v>72</v>
      </c>
      <c r="J758" t="s">
        <v>40</v>
      </c>
      <c r="K758" t="s">
        <v>41</v>
      </c>
      <c r="L758" t="s">
        <v>2605</v>
      </c>
      <c r="M758" t="s">
        <v>2606</v>
      </c>
      <c r="O758" t="s">
        <v>402</v>
      </c>
      <c r="P758" t="s">
        <v>403</v>
      </c>
      <c r="Q758">
        <v>0.63722291753154048</v>
      </c>
      <c r="S758" t="s">
        <v>38</v>
      </c>
      <c r="T758" t="s">
        <v>3211</v>
      </c>
      <c r="V758" t="s">
        <v>110</v>
      </c>
      <c r="X758" t="s">
        <v>3192</v>
      </c>
      <c r="Y758" t="s">
        <v>412</v>
      </c>
      <c r="Z758" t="s">
        <v>2623</v>
      </c>
      <c r="AA758" t="s">
        <v>121</v>
      </c>
      <c r="AB758" t="s">
        <v>41</v>
      </c>
      <c r="AF758" t="s">
        <v>2667</v>
      </c>
      <c r="AJ758">
        <v>220.3065263200705</v>
      </c>
      <c r="AK758">
        <v>2578.7599713425502</v>
      </c>
    </row>
    <row r="759" spans="1:37" hidden="1" x14ac:dyDescent="0.25">
      <c r="A759">
        <v>774</v>
      </c>
      <c r="B759" t="s">
        <v>3781</v>
      </c>
      <c r="C759" t="s">
        <v>376</v>
      </c>
      <c r="D759" t="s">
        <v>2604</v>
      </c>
      <c r="E759" t="s">
        <v>37</v>
      </c>
      <c r="F759" t="s">
        <v>38</v>
      </c>
      <c r="G759" s="2">
        <v>45825</v>
      </c>
      <c r="H759">
        <v>1.2</v>
      </c>
      <c r="I759" t="s">
        <v>72</v>
      </c>
      <c r="J759" t="s">
        <v>40</v>
      </c>
      <c r="K759" t="s">
        <v>41</v>
      </c>
      <c r="L759" t="s">
        <v>2605</v>
      </c>
      <c r="M759" t="s">
        <v>2606</v>
      </c>
      <c r="O759" t="s">
        <v>141</v>
      </c>
      <c r="P759" t="s">
        <v>142</v>
      </c>
      <c r="Q759">
        <v>1.277367060581585</v>
      </c>
      <c r="S759" t="s">
        <v>38</v>
      </c>
      <c r="T759" t="s">
        <v>3638</v>
      </c>
      <c r="V759" t="s">
        <v>64</v>
      </c>
      <c r="X759" t="s">
        <v>1172</v>
      </c>
      <c r="Y759" t="s">
        <v>698</v>
      </c>
      <c r="Z759" t="s">
        <v>2623</v>
      </c>
      <c r="AA759" t="s">
        <v>73</v>
      </c>
      <c r="AB759" t="s">
        <v>41</v>
      </c>
      <c r="AJ759">
        <v>281.17764733467999</v>
      </c>
      <c r="AK759">
        <v>5169.3417702232018</v>
      </c>
    </row>
    <row r="760" spans="1:37" hidden="1" x14ac:dyDescent="0.25">
      <c r="A760">
        <v>775</v>
      </c>
      <c r="B760" t="s">
        <v>3782</v>
      </c>
      <c r="C760" t="s">
        <v>376</v>
      </c>
      <c r="D760" t="s">
        <v>2604</v>
      </c>
      <c r="E760" t="s">
        <v>37</v>
      </c>
      <c r="F760" t="s">
        <v>38</v>
      </c>
      <c r="G760" s="2">
        <v>45847</v>
      </c>
      <c r="H760">
        <v>1</v>
      </c>
      <c r="I760" t="s">
        <v>72</v>
      </c>
      <c r="J760" t="s">
        <v>40</v>
      </c>
      <c r="K760" t="s">
        <v>41</v>
      </c>
      <c r="L760" t="s">
        <v>2605</v>
      </c>
      <c r="M760" t="s">
        <v>2606</v>
      </c>
      <c r="O760" t="s">
        <v>141</v>
      </c>
      <c r="P760" t="s">
        <v>142</v>
      </c>
      <c r="Q760">
        <v>0.84355232611734654</v>
      </c>
      <c r="S760" t="s">
        <v>38</v>
      </c>
      <c r="T760" t="s">
        <v>3783</v>
      </c>
      <c r="V760" t="s">
        <v>182</v>
      </c>
      <c r="X760" t="s">
        <v>2650</v>
      </c>
      <c r="Y760" t="s">
        <v>420</v>
      </c>
      <c r="Z760" t="s">
        <v>765</v>
      </c>
      <c r="AA760" t="s">
        <v>121</v>
      </c>
      <c r="AB760" t="s">
        <v>41</v>
      </c>
      <c r="AD760" t="s">
        <v>2651</v>
      </c>
      <c r="AF760" t="s">
        <v>1276</v>
      </c>
      <c r="AJ760">
        <v>241.4901239099068</v>
      </c>
      <c r="AK760">
        <v>3413.7488035600022</v>
      </c>
    </row>
    <row r="761" spans="1:37" hidden="1" x14ac:dyDescent="0.25">
      <c r="A761">
        <v>776</v>
      </c>
      <c r="B761" t="s">
        <v>3784</v>
      </c>
      <c r="C761" t="s">
        <v>376</v>
      </c>
      <c r="D761" t="s">
        <v>2604</v>
      </c>
      <c r="E761" t="s">
        <v>37</v>
      </c>
      <c r="F761" t="s">
        <v>38</v>
      </c>
      <c r="G761" s="2">
        <v>45869</v>
      </c>
      <c r="H761">
        <v>0.9</v>
      </c>
      <c r="I761" t="s">
        <v>72</v>
      </c>
      <c r="J761" t="s">
        <v>40</v>
      </c>
      <c r="K761" t="s">
        <v>41</v>
      </c>
      <c r="L761" t="s">
        <v>2605</v>
      </c>
      <c r="M761" t="s">
        <v>2606</v>
      </c>
      <c r="O761" t="s">
        <v>402</v>
      </c>
      <c r="P761" t="s">
        <v>403</v>
      </c>
      <c r="Q761">
        <v>1.139368048700846</v>
      </c>
      <c r="S761" t="s">
        <v>38</v>
      </c>
      <c r="T761" t="s">
        <v>3785</v>
      </c>
      <c r="V761" t="s">
        <v>397</v>
      </c>
      <c r="X761" t="s">
        <v>2689</v>
      </c>
      <c r="Y761" t="s">
        <v>412</v>
      </c>
      <c r="Z761" t="s">
        <v>765</v>
      </c>
      <c r="AA761" t="s">
        <v>73</v>
      </c>
      <c r="AB761" t="s">
        <v>41</v>
      </c>
      <c r="AD761" t="s">
        <v>245</v>
      </c>
      <c r="AF761" t="s">
        <v>2667</v>
      </c>
      <c r="AJ761">
        <v>266.136588806296</v>
      </c>
      <c r="AK761">
        <v>4610.8773488533279</v>
      </c>
    </row>
    <row r="762" spans="1:37" hidden="1" x14ac:dyDescent="0.25">
      <c r="A762">
        <v>777</v>
      </c>
      <c r="B762" t="s">
        <v>3786</v>
      </c>
      <c r="C762" t="s">
        <v>376</v>
      </c>
      <c r="D762" t="s">
        <v>2604</v>
      </c>
      <c r="E762" t="s">
        <v>37</v>
      </c>
      <c r="F762" t="s">
        <v>38</v>
      </c>
      <c r="G762" s="2">
        <v>45869</v>
      </c>
      <c r="H762">
        <v>3</v>
      </c>
      <c r="I762" t="s">
        <v>72</v>
      </c>
      <c r="J762" t="s">
        <v>40</v>
      </c>
      <c r="K762" t="s">
        <v>41</v>
      </c>
      <c r="L762" t="s">
        <v>2605</v>
      </c>
      <c r="M762" t="s">
        <v>2606</v>
      </c>
      <c r="O762" t="s">
        <v>402</v>
      </c>
      <c r="P762" t="s">
        <v>403</v>
      </c>
      <c r="Q762">
        <v>2.9515610406658812</v>
      </c>
      <c r="S762" t="s">
        <v>38</v>
      </c>
      <c r="T762" t="s">
        <v>3785</v>
      </c>
      <c r="V762" t="s">
        <v>397</v>
      </c>
      <c r="X762" t="s">
        <v>2689</v>
      </c>
      <c r="Y762" t="s">
        <v>412</v>
      </c>
      <c r="Z762" t="s">
        <v>765</v>
      </c>
      <c r="AA762" t="s">
        <v>73</v>
      </c>
      <c r="AB762" t="s">
        <v>41</v>
      </c>
      <c r="AF762" t="s">
        <v>2667</v>
      </c>
      <c r="AJ762">
        <v>558.89960483509606</v>
      </c>
      <c r="AK762">
        <v>11944.5915318427</v>
      </c>
    </row>
    <row r="763" spans="1:37" hidden="1" x14ac:dyDescent="0.25">
      <c r="A763">
        <v>778</v>
      </c>
      <c r="B763" t="s">
        <v>3787</v>
      </c>
      <c r="C763" t="s">
        <v>376</v>
      </c>
      <c r="D763" t="s">
        <v>2604</v>
      </c>
      <c r="E763" t="s">
        <v>37</v>
      </c>
      <c r="F763" t="s">
        <v>38</v>
      </c>
      <c r="G763" s="2">
        <v>45869</v>
      </c>
      <c r="H763">
        <v>1.2</v>
      </c>
      <c r="I763" t="s">
        <v>72</v>
      </c>
      <c r="J763" t="s">
        <v>40</v>
      </c>
      <c r="K763" t="s">
        <v>41</v>
      </c>
      <c r="L763" t="s">
        <v>2605</v>
      </c>
      <c r="M763" t="s">
        <v>2606</v>
      </c>
      <c r="O763" t="s">
        <v>402</v>
      </c>
      <c r="P763" t="s">
        <v>403</v>
      </c>
      <c r="Q763">
        <v>1.3331167685311709</v>
      </c>
      <c r="S763" t="s">
        <v>38</v>
      </c>
      <c r="T763" t="s">
        <v>3785</v>
      </c>
      <c r="V763" t="s">
        <v>397</v>
      </c>
      <c r="X763" t="s">
        <v>2689</v>
      </c>
      <c r="Y763" t="s">
        <v>412</v>
      </c>
      <c r="Z763" t="s">
        <v>765</v>
      </c>
      <c r="AA763" t="s">
        <v>73</v>
      </c>
      <c r="AB763" t="s">
        <v>41</v>
      </c>
      <c r="AF763" t="s">
        <v>2667</v>
      </c>
      <c r="AJ763">
        <v>286.19788943965341</v>
      </c>
      <c r="AK763">
        <v>5394.95373633287</v>
      </c>
    </row>
    <row r="764" spans="1:37" hidden="1" x14ac:dyDescent="0.25">
      <c r="A764">
        <v>779</v>
      </c>
      <c r="B764" t="s">
        <v>3788</v>
      </c>
      <c r="C764" t="s">
        <v>376</v>
      </c>
      <c r="D764" t="s">
        <v>2604</v>
      </c>
      <c r="E764" t="s">
        <v>37</v>
      </c>
      <c r="F764" t="s">
        <v>38</v>
      </c>
      <c r="G764" s="2">
        <v>45846</v>
      </c>
      <c r="H764">
        <v>1.8</v>
      </c>
      <c r="I764" t="s">
        <v>72</v>
      </c>
      <c r="J764" t="s">
        <v>40</v>
      </c>
      <c r="K764" t="s">
        <v>41</v>
      </c>
      <c r="L764" t="s">
        <v>2605</v>
      </c>
      <c r="M764" t="s">
        <v>2606</v>
      </c>
      <c r="N764" t="s">
        <v>2712</v>
      </c>
      <c r="O764" t="s">
        <v>115</v>
      </c>
      <c r="P764" t="s">
        <v>137</v>
      </c>
      <c r="Q764">
        <v>1.929963043408758</v>
      </c>
      <c r="S764" t="s">
        <v>38</v>
      </c>
      <c r="T764" t="s">
        <v>3789</v>
      </c>
      <c r="V764" t="s">
        <v>618</v>
      </c>
      <c r="X764" t="s">
        <v>2763</v>
      </c>
      <c r="Y764" t="s">
        <v>412</v>
      </c>
      <c r="Z764" t="s">
        <v>2623</v>
      </c>
      <c r="AA764" t="s">
        <v>70</v>
      </c>
      <c r="AB764" t="s">
        <v>41</v>
      </c>
      <c r="AD764" t="s">
        <v>620</v>
      </c>
      <c r="AF764" t="s">
        <v>414</v>
      </c>
      <c r="AJ764">
        <v>336.31719788333498</v>
      </c>
      <c r="AK764">
        <v>7810.3145784404524</v>
      </c>
    </row>
    <row r="765" spans="1:37" hidden="1" x14ac:dyDescent="0.25">
      <c r="A765">
        <v>780</v>
      </c>
      <c r="B765" t="s">
        <v>3790</v>
      </c>
      <c r="C765" t="s">
        <v>376</v>
      </c>
      <c r="D765" t="s">
        <v>2604</v>
      </c>
      <c r="E765" t="s">
        <v>37</v>
      </c>
      <c r="F765" t="s">
        <v>38</v>
      </c>
      <c r="G765" s="2">
        <v>45845</v>
      </c>
      <c r="H765">
        <v>1</v>
      </c>
      <c r="I765" t="s">
        <v>72</v>
      </c>
      <c r="J765" t="s">
        <v>40</v>
      </c>
      <c r="K765" t="s">
        <v>41</v>
      </c>
      <c r="L765" t="s">
        <v>2605</v>
      </c>
      <c r="M765" t="s">
        <v>2606</v>
      </c>
      <c r="O765" t="s">
        <v>115</v>
      </c>
      <c r="P765" t="s">
        <v>137</v>
      </c>
      <c r="Q765">
        <v>1.0164250950679059</v>
      </c>
      <c r="S765" t="s">
        <v>38</v>
      </c>
      <c r="T765" t="s">
        <v>3791</v>
      </c>
      <c r="V765" t="s">
        <v>71</v>
      </c>
      <c r="X765" t="s">
        <v>2943</v>
      </c>
      <c r="Y765" t="s">
        <v>412</v>
      </c>
      <c r="Z765" t="s">
        <v>2623</v>
      </c>
      <c r="AA765" t="s">
        <v>397</v>
      </c>
      <c r="AB765" t="s">
        <v>41</v>
      </c>
      <c r="AD765" t="s">
        <v>620</v>
      </c>
      <c r="AF765" t="s">
        <v>665</v>
      </c>
      <c r="AJ765">
        <v>283.84463286229419</v>
      </c>
      <c r="AK765">
        <v>4113.3428772191401</v>
      </c>
    </row>
    <row r="766" spans="1:37" hidden="1" x14ac:dyDescent="0.25">
      <c r="A766">
        <v>781</v>
      </c>
      <c r="B766" t="s">
        <v>3792</v>
      </c>
      <c r="C766" t="s">
        <v>376</v>
      </c>
      <c r="D766" t="s">
        <v>2604</v>
      </c>
      <c r="E766" t="s">
        <v>37</v>
      </c>
      <c r="F766" t="s">
        <v>38</v>
      </c>
      <c r="G766" s="2">
        <v>45825</v>
      </c>
      <c r="H766">
        <v>64</v>
      </c>
      <c r="I766" t="s">
        <v>72</v>
      </c>
      <c r="J766" t="s">
        <v>40</v>
      </c>
      <c r="K766" t="s">
        <v>41</v>
      </c>
      <c r="L766" t="s">
        <v>2605</v>
      </c>
      <c r="M766" t="s">
        <v>2606</v>
      </c>
      <c r="O766" t="s">
        <v>115</v>
      </c>
      <c r="P766" t="s">
        <v>137</v>
      </c>
      <c r="Q766">
        <v>63.718358342263329</v>
      </c>
      <c r="S766" t="s">
        <v>38</v>
      </c>
      <c r="T766" t="s">
        <v>3793</v>
      </c>
      <c r="V766" t="s">
        <v>3629</v>
      </c>
      <c r="X766" t="s">
        <v>3794</v>
      </c>
      <c r="Y766" t="s">
        <v>382</v>
      </c>
      <c r="Z766" t="s">
        <v>2623</v>
      </c>
      <c r="AA766" t="s">
        <v>2116</v>
      </c>
      <c r="AB766" t="s">
        <v>41</v>
      </c>
      <c r="AJ766">
        <v>2667.6916266797698</v>
      </c>
      <c r="AK766">
        <v>257860.07912145799</v>
      </c>
    </row>
    <row r="767" spans="1:37" hidden="1" x14ac:dyDescent="0.25">
      <c r="A767">
        <v>782</v>
      </c>
      <c r="B767" t="s">
        <v>3795</v>
      </c>
      <c r="C767" t="s">
        <v>376</v>
      </c>
      <c r="D767" t="s">
        <v>2604</v>
      </c>
      <c r="E767" t="s">
        <v>37</v>
      </c>
      <c r="F767" t="s">
        <v>38</v>
      </c>
      <c r="G767" s="2">
        <v>45845</v>
      </c>
      <c r="H767">
        <v>0.7</v>
      </c>
      <c r="I767" t="s">
        <v>72</v>
      </c>
      <c r="J767" t="s">
        <v>40</v>
      </c>
      <c r="K767" t="s">
        <v>41</v>
      </c>
      <c r="L767" t="s">
        <v>2605</v>
      </c>
      <c r="M767" t="s">
        <v>2606</v>
      </c>
      <c r="N767" t="s">
        <v>3027</v>
      </c>
      <c r="O767" t="s">
        <v>141</v>
      </c>
      <c r="P767" t="s">
        <v>142</v>
      </c>
      <c r="Q767">
        <v>0.89388153199510634</v>
      </c>
      <c r="S767" t="s">
        <v>38</v>
      </c>
      <c r="T767" t="s">
        <v>3157</v>
      </c>
      <c r="V767" t="s">
        <v>70</v>
      </c>
      <c r="X767" t="s">
        <v>3158</v>
      </c>
      <c r="Y767" t="s">
        <v>412</v>
      </c>
      <c r="Z767" t="s">
        <v>2623</v>
      </c>
      <c r="AA767" t="s">
        <v>942</v>
      </c>
      <c r="AB767" t="s">
        <v>41</v>
      </c>
      <c r="AD767" t="s">
        <v>620</v>
      </c>
      <c r="AF767" t="s">
        <v>2667</v>
      </c>
      <c r="AJ767">
        <v>241.45753051409179</v>
      </c>
      <c r="AK767">
        <v>3617.4246883034311</v>
      </c>
    </row>
    <row r="768" spans="1:37" x14ac:dyDescent="0.25">
      <c r="A768">
        <v>808</v>
      </c>
      <c r="B768" t="s">
        <v>2604</v>
      </c>
      <c r="C768" t="s">
        <v>376</v>
      </c>
      <c r="D768" t="s">
        <v>2604</v>
      </c>
      <c r="E768" t="s">
        <v>37</v>
      </c>
      <c r="F768" t="s">
        <v>38</v>
      </c>
      <c r="G768" s="2">
        <v>45825</v>
      </c>
      <c r="H768">
        <v>2.1</v>
      </c>
      <c r="I768" t="s">
        <v>72</v>
      </c>
      <c r="J768" t="s">
        <v>40</v>
      </c>
      <c r="K768" t="s">
        <v>41</v>
      </c>
      <c r="L768" t="s">
        <v>2605</v>
      </c>
      <c r="M768" t="s">
        <v>2606</v>
      </c>
      <c r="O768" t="s">
        <v>62</v>
      </c>
      <c r="P768" t="s">
        <v>63</v>
      </c>
      <c r="Q768">
        <v>2.0833174404811969</v>
      </c>
      <c r="R768" t="s">
        <v>64</v>
      </c>
      <c r="S768" t="s">
        <v>65</v>
      </c>
      <c r="T768" t="s">
        <v>3427</v>
      </c>
      <c r="V768" t="s">
        <v>139</v>
      </c>
      <c r="X768" t="s">
        <v>3428</v>
      </c>
      <c r="Y768" t="s">
        <v>382</v>
      </c>
      <c r="Z768" t="s">
        <v>2623</v>
      </c>
      <c r="AA768" t="s">
        <v>76</v>
      </c>
      <c r="AB768" t="s">
        <v>41</v>
      </c>
      <c r="AD768" t="s">
        <v>3429</v>
      </c>
      <c r="AF768" t="s">
        <v>3430</v>
      </c>
      <c r="AJ768">
        <v>405.36586237466281</v>
      </c>
      <c r="AK768">
        <v>8430.920287556688</v>
      </c>
    </row>
    <row r="769" spans="1:37" hidden="1" x14ac:dyDescent="0.25">
      <c r="A769">
        <v>784</v>
      </c>
      <c r="B769" t="s">
        <v>2604</v>
      </c>
      <c r="C769" t="s">
        <v>376</v>
      </c>
      <c r="D769" t="s">
        <v>2604</v>
      </c>
      <c r="E769" t="s">
        <v>37</v>
      </c>
      <c r="F769" t="s">
        <v>38</v>
      </c>
      <c r="G769" s="2">
        <v>45825</v>
      </c>
      <c r="H769">
        <v>8</v>
      </c>
      <c r="I769" t="s">
        <v>72</v>
      </c>
      <c r="J769" t="s">
        <v>40</v>
      </c>
      <c r="K769" t="s">
        <v>41</v>
      </c>
      <c r="L769" t="s">
        <v>2605</v>
      </c>
      <c r="M769" t="s">
        <v>2606</v>
      </c>
      <c r="O769" t="s">
        <v>402</v>
      </c>
      <c r="P769" t="s">
        <v>403</v>
      </c>
      <c r="Q769">
        <v>8.0223543640047019</v>
      </c>
      <c r="S769" t="s">
        <v>38</v>
      </c>
      <c r="T769" t="s">
        <v>3798</v>
      </c>
      <c r="V769" t="s">
        <v>86</v>
      </c>
      <c r="X769" t="s">
        <v>3453</v>
      </c>
      <c r="Y769" t="s">
        <v>382</v>
      </c>
      <c r="Z769" t="s">
        <v>2623</v>
      </c>
      <c r="AA769" t="s">
        <v>110</v>
      </c>
      <c r="AB769" t="s">
        <v>41</v>
      </c>
      <c r="AD769" t="s">
        <v>620</v>
      </c>
      <c r="AF769" t="s">
        <v>3497</v>
      </c>
      <c r="AJ769">
        <v>803.53656480814004</v>
      </c>
      <c r="AK769">
        <v>32465.446142395798</v>
      </c>
    </row>
    <row r="770" spans="1:37" hidden="1" x14ac:dyDescent="0.25">
      <c r="A770">
        <v>785</v>
      </c>
      <c r="B770" t="s">
        <v>2604</v>
      </c>
      <c r="C770" t="s">
        <v>376</v>
      </c>
      <c r="D770" t="s">
        <v>2604</v>
      </c>
      <c r="E770" t="s">
        <v>37</v>
      </c>
      <c r="F770" t="s">
        <v>38</v>
      </c>
      <c r="G770" s="2">
        <v>45825</v>
      </c>
      <c r="H770">
        <v>0.8</v>
      </c>
      <c r="I770" t="s">
        <v>72</v>
      </c>
      <c r="J770" t="s">
        <v>40</v>
      </c>
      <c r="K770" t="s">
        <v>41</v>
      </c>
      <c r="L770" t="s">
        <v>2605</v>
      </c>
      <c r="M770" t="s">
        <v>2606</v>
      </c>
      <c r="O770" t="s">
        <v>402</v>
      </c>
      <c r="P770" t="s">
        <v>403</v>
      </c>
      <c r="Q770">
        <v>0.7912812134907572</v>
      </c>
      <c r="S770" t="s">
        <v>38</v>
      </c>
      <c r="T770" t="s">
        <v>3798</v>
      </c>
      <c r="V770" t="s">
        <v>86</v>
      </c>
      <c r="X770" t="s">
        <v>3453</v>
      </c>
      <c r="Y770" t="s">
        <v>382</v>
      </c>
      <c r="Z770" t="s">
        <v>2623</v>
      </c>
      <c r="AA770" t="s">
        <v>110</v>
      </c>
      <c r="AB770" t="s">
        <v>41</v>
      </c>
      <c r="AD770" t="s">
        <v>620</v>
      </c>
      <c r="AF770" t="s">
        <v>3497</v>
      </c>
      <c r="AJ770">
        <v>267.34272358220579</v>
      </c>
      <c r="AK770">
        <v>3202.2142695838061</v>
      </c>
    </row>
    <row r="771" spans="1:37" hidden="1" x14ac:dyDescent="0.25">
      <c r="A771">
        <v>786</v>
      </c>
      <c r="B771" t="s">
        <v>2604</v>
      </c>
      <c r="C771" t="s">
        <v>376</v>
      </c>
      <c r="D771" t="s">
        <v>2604</v>
      </c>
      <c r="E771" t="s">
        <v>37</v>
      </c>
      <c r="F771" t="s">
        <v>38</v>
      </c>
      <c r="G771" s="2">
        <v>45825</v>
      </c>
      <c r="H771">
        <v>1.34</v>
      </c>
      <c r="I771" t="s">
        <v>72</v>
      </c>
      <c r="J771" t="s">
        <v>40</v>
      </c>
      <c r="K771" t="s">
        <v>41</v>
      </c>
      <c r="L771" t="s">
        <v>2605</v>
      </c>
      <c r="M771" t="s">
        <v>2606</v>
      </c>
      <c r="O771" t="s">
        <v>402</v>
      </c>
      <c r="P771" t="s">
        <v>403</v>
      </c>
      <c r="Q771">
        <v>1.3573732532358349</v>
      </c>
      <c r="S771" t="s">
        <v>38</v>
      </c>
      <c r="T771" t="s">
        <v>3799</v>
      </c>
      <c r="V771" t="s">
        <v>86</v>
      </c>
      <c r="X771" t="s">
        <v>3453</v>
      </c>
      <c r="Y771" t="s">
        <v>382</v>
      </c>
      <c r="Z771" t="s">
        <v>2623</v>
      </c>
      <c r="AA771" t="s">
        <v>110</v>
      </c>
      <c r="AB771" t="s">
        <v>41</v>
      </c>
      <c r="AD771" t="s">
        <v>620</v>
      </c>
      <c r="AF771" t="s">
        <v>2423</v>
      </c>
      <c r="AJ771">
        <v>437.7351251096062</v>
      </c>
      <c r="AK771">
        <v>5493.1166398960086</v>
      </c>
    </row>
    <row r="772" spans="1:37" hidden="1" x14ac:dyDescent="0.25">
      <c r="A772">
        <v>787</v>
      </c>
      <c r="B772" t="s">
        <v>2604</v>
      </c>
      <c r="C772" t="s">
        <v>376</v>
      </c>
      <c r="D772" t="s">
        <v>2604</v>
      </c>
      <c r="E772" t="s">
        <v>37</v>
      </c>
      <c r="F772" t="s">
        <v>38</v>
      </c>
      <c r="G772" s="2">
        <v>45825</v>
      </c>
      <c r="H772">
        <v>8.4049999999999994</v>
      </c>
      <c r="I772" t="s">
        <v>72</v>
      </c>
      <c r="J772" t="s">
        <v>40</v>
      </c>
      <c r="K772" t="s">
        <v>41</v>
      </c>
      <c r="L772" t="s">
        <v>2605</v>
      </c>
      <c r="M772" t="s">
        <v>2606</v>
      </c>
      <c r="O772" t="s">
        <v>402</v>
      </c>
      <c r="P772" t="s">
        <v>403</v>
      </c>
      <c r="Q772">
        <v>8.9747958978151381</v>
      </c>
      <c r="S772" t="s">
        <v>38</v>
      </c>
      <c r="T772" t="s">
        <v>3800</v>
      </c>
      <c r="V772" t="s">
        <v>118</v>
      </c>
      <c r="X772" t="s">
        <v>3453</v>
      </c>
      <c r="Y772" t="s">
        <v>382</v>
      </c>
      <c r="Z772" t="s">
        <v>2623</v>
      </c>
      <c r="AA772" t="s">
        <v>118</v>
      </c>
      <c r="AB772" t="s">
        <v>41</v>
      </c>
      <c r="AD772" t="s">
        <v>620</v>
      </c>
      <c r="AF772" t="s">
        <v>3480</v>
      </c>
      <c r="AJ772">
        <v>893.81919376928101</v>
      </c>
      <c r="AK772">
        <v>36319.855698079868</v>
      </c>
    </row>
    <row r="773" spans="1:37" hidden="1" x14ac:dyDescent="0.25">
      <c r="A773">
        <v>788</v>
      </c>
      <c r="B773" t="s">
        <v>2604</v>
      </c>
      <c r="C773" t="s">
        <v>376</v>
      </c>
      <c r="D773" t="s">
        <v>2604</v>
      </c>
      <c r="E773" t="s">
        <v>37</v>
      </c>
      <c r="F773" t="s">
        <v>38</v>
      </c>
      <c r="G773" s="2">
        <v>45825</v>
      </c>
      <c r="H773">
        <v>1.6</v>
      </c>
      <c r="I773" t="s">
        <v>72</v>
      </c>
      <c r="J773" t="s">
        <v>40</v>
      </c>
      <c r="K773" t="s">
        <v>41</v>
      </c>
      <c r="L773" t="s">
        <v>2605</v>
      </c>
      <c r="M773" t="s">
        <v>2606</v>
      </c>
      <c r="N773" t="s">
        <v>2702</v>
      </c>
      <c r="O773" t="s">
        <v>79</v>
      </c>
      <c r="P773" t="s">
        <v>80</v>
      </c>
      <c r="Q773">
        <v>1.3286843632388159</v>
      </c>
      <c r="R773" t="s">
        <v>46</v>
      </c>
      <c r="S773" t="s">
        <v>47</v>
      </c>
      <c r="T773" t="s">
        <v>2883</v>
      </c>
      <c r="V773" t="s">
        <v>110</v>
      </c>
      <c r="X773" t="s">
        <v>2880</v>
      </c>
      <c r="Y773" t="s">
        <v>412</v>
      </c>
      <c r="Z773" t="s">
        <v>2623</v>
      </c>
      <c r="AA773" t="s">
        <v>576</v>
      </c>
      <c r="AB773" t="s">
        <v>41</v>
      </c>
      <c r="AD773" t="s">
        <v>620</v>
      </c>
      <c r="AF773" t="s">
        <v>3389</v>
      </c>
      <c r="AJ773">
        <v>335.16127814544251</v>
      </c>
      <c r="AK773">
        <v>5377.0163567593754</v>
      </c>
    </row>
    <row r="774" spans="1:37" hidden="1" x14ac:dyDescent="0.25">
      <c r="A774">
        <v>789</v>
      </c>
      <c r="B774" t="s">
        <v>2604</v>
      </c>
      <c r="C774" t="s">
        <v>376</v>
      </c>
      <c r="D774" t="s">
        <v>2604</v>
      </c>
      <c r="E774" t="s">
        <v>37</v>
      </c>
      <c r="F774" t="s">
        <v>38</v>
      </c>
      <c r="G774" s="2">
        <v>45846</v>
      </c>
      <c r="H774">
        <v>4.3</v>
      </c>
      <c r="I774" t="s">
        <v>72</v>
      </c>
      <c r="J774" t="s">
        <v>40</v>
      </c>
      <c r="K774" t="s">
        <v>41</v>
      </c>
      <c r="L774" t="s">
        <v>2605</v>
      </c>
      <c r="M774" t="s">
        <v>2606</v>
      </c>
      <c r="O774" t="s">
        <v>624</v>
      </c>
      <c r="P774" t="s">
        <v>625</v>
      </c>
      <c r="Q774">
        <v>6.2012280118219616</v>
      </c>
      <c r="S774" t="s">
        <v>38</v>
      </c>
      <c r="T774" t="s">
        <v>3801</v>
      </c>
      <c r="V774" t="s">
        <v>3802</v>
      </c>
      <c r="Y774" t="s">
        <v>412</v>
      </c>
      <c r="Z774" t="s">
        <v>2630</v>
      </c>
      <c r="AA774" t="s">
        <v>452</v>
      </c>
      <c r="AB774" t="s">
        <v>41</v>
      </c>
      <c r="AD774" t="s">
        <v>3803</v>
      </c>
      <c r="AF774" t="s">
        <v>3145</v>
      </c>
      <c r="AJ774">
        <v>910.43200210358134</v>
      </c>
      <c r="AK774">
        <v>25095.579788627259</v>
      </c>
    </row>
    <row r="775" spans="1:37" x14ac:dyDescent="0.25">
      <c r="A775">
        <v>809</v>
      </c>
      <c r="B775" t="s">
        <v>2604</v>
      </c>
      <c r="C775" t="s">
        <v>376</v>
      </c>
      <c r="D775" t="s">
        <v>2604</v>
      </c>
      <c r="E775" t="s">
        <v>37</v>
      </c>
      <c r="F775" t="s">
        <v>38</v>
      </c>
      <c r="G775" s="2">
        <v>45825</v>
      </c>
      <c r="H775">
        <v>0.4</v>
      </c>
      <c r="I775" t="s">
        <v>72</v>
      </c>
      <c r="J775" t="s">
        <v>40</v>
      </c>
      <c r="K775" t="s">
        <v>41</v>
      </c>
      <c r="L775" t="s">
        <v>2605</v>
      </c>
      <c r="M775" t="s">
        <v>2606</v>
      </c>
      <c r="O775" t="s">
        <v>62</v>
      </c>
      <c r="P775" t="s">
        <v>63</v>
      </c>
      <c r="Q775">
        <v>0.43767729990338933</v>
      </c>
      <c r="R775" t="s">
        <v>64</v>
      </c>
      <c r="S775" t="s">
        <v>65</v>
      </c>
      <c r="T775" t="s">
        <v>3817</v>
      </c>
      <c r="V775" t="s">
        <v>139</v>
      </c>
      <c r="X775" t="s">
        <v>3428</v>
      </c>
      <c r="Y775" t="s">
        <v>412</v>
      </c>
      <c r="Z775" t="s">
        <v>2623</v>
      </c>
      <c r="AA775" t="s">
        <v>139</v>
      </c>
      <c r="AB775" t="s">
        <v>41</v>
      </c>
      <c r="AD775" t="s">
        <v>3429</v>
      </c>
      <c r="AF775" t="s">
        <v>3430</v>
      </c>
      <c r="AJ775">
        <v>218.8902896489783</v>
      </c>
      <c r="AK775">
        <v>1771.2242769427451</v>
      </c>
    </row>
    <row r="776" spans="1:37" hidden="1" x14ac:dyDescent="0.25">
      <c r="A776">
        <v>791</v>
      </c>
      <c r="B776" t="s">
        <v>2604</v>
      </c>
      <c r="C776" t="s">
        <v>376</v>
      </c>
      <c r="D776" t="s">
        <v>2604</v>
      </c>
      <c r="E776" t="s">
        <v>37</v>
      </c>
      <c r="F776" t="s">
        <v>38</v>
      </c>
      <c r="G776" s="2">
        <v>45825</v>
      </c>
      <c r="H776">
        <v>10.3</v>
      </c>
      <c r="I776" t="s">
        <v>72</v>
      </c>
      <c r="J776" t="s">
        <v>40</v>
      </c>
      <c r="K776" t="s">
        <v>41</v>
      </c>
      <c r="L776" t="s">
        <v>2605</v>
      </c>
      <c r="M776" t="s">
        <v>2606</v>
      </c>
      <c r="N776" t="s">
        <v>2702</v>
      </c>
      <c r="O776" t="s">
        <v>79</v>
      </c>
      <c r="P776" t="s">
        <v>80</v>
      </c>
      <c r="Q776">
        <v>10.204905590017111</v>
      </c>
      <c r="R776" t="s">
        <v>46</v>
      </c>
      <c r="S776" t="s">
        <v>47</v>
      </c>
      <c r="T776" t="s">
        <v>2883</v>
      </c>
      <c r="V776" t="s">
        <v>110</v>
      </c>
      <c r="X776" t="s">
        <v>3226</v>
      </c>
      <c r="Y776" t="s">
        <v>412</v>
      </c>
      <c r="Z776" t="s">
        <v>2623</v>
      </c>
      <c r="AA776" t="s">
        <v>576</v>
      </c>
      <c r="AB776" t="s">
        <v>41</v>
      </c>
      <c r="AD776" t="s">
        <v>620</v>
      </c>
      <c r="AF776" t="s">
        <v>2667</v>
      </c>
      <c r="AJ776">
        <v>1029.425256332403</v>
      </c>
      <c r="AK776">
        <v>41297.952918592862</v>
      </c>
    </row>
    <row r="777" spans="1:37" hidden="1" x14ac:dyDescent="0.25">
      <c r="A777">
        <v>792</v>
      </c>
      <c r="B777" t="s">
        <v>2604</v>
      </c>
      <c r="C777" t="s">
        <v>376</v>
      </c>
      <c r="D777" t="s">
        <v>2604</v>
      </c>
      <c r="E777" t="s">
        <v>37</v>
      </c>
      <c r="F777" t="s">
        <v>38</v>
      </c>
      <c r="G777" s="2">
        <v>45825</v>
      </c>
      <c r="H777">
        <v>8.3000000000000007</v>
      </c>
      <c r="I777" t="s">
        <v>72</v>
      </c>
      <c r="J777" t="s">
        <v>40</v>
      </c>
      <c r="K777" t="s">
        <v>41</v>
      </c>
      <c r="L777" t="s">
        <v>2605</v>
      </c>
      <c r="M777" t="s">
        <v>2606</v>
      </c>
      <c r="N777" t="s">
        <v>3027</v>
      </c>
      <c r="O777" t="s">
        <v>87</v>
      </c>
      <c r="P777" t="s">
        <v>88</v>
      </c>
      <c r="Q777">
        <v>8.6850837394499951</v>
      </c>
      <c r="R777" t="s">
        <v>46</v>
      </c>
      <c r="S777" t="s">
        <v>47</v>
      </c>
      <c r="T777" t="s">
        <v>3097</v>
      </c>
      <c r="V777" t="s">
        <v>110</v>
      </c>
      <c r="X777" t="s">
        <v>3257</v>
      </c>
      <c r="Y777" t="s">
        <v>412</v>
      </c>
      <c r="Z777" t="s">
        <v>2623</v>
      </c>
      <c r="AA777" t="s">
        <v>576</v>
      </c>
      <c r="AB777" t="s">
        <v>41</v>
      </c>
      <c r="AD777" t="s">
        <v>620</v>
      </c>
      <c r="AF777" t="s">
        <v>3304</v>
      </c>
      <c r="AJ777">
        <v>781.19975893648939</v>
      </c>
      <c r="AK777">
        <v>35147.427499644429</v>
      </c>
    </row>
    <row r="778" spans="1:37" x14ac:dyDescent="0.25">
      <c r="A778">
        <v>810</v>
      </c>
      <c r="B778" t="s">
        <v>2604</v>
      </c>
      <c r="C778" t="s">
        <v>376</v>
      </c>
      <c r="D778" t="s">
        <v>2604</v>
      </c>
      <c r="E778" t="s">
        <v>37</v>
      </c>
      <c r="F778" t="s">
        <v>38</v>
      </c>
      <c r="G778" s="2">
        <v>45825</v>
      </c>
      <c r="H778">
        <v>1.2</v>
      </c>
      <c r="I778" t="s">
        <v>72</v>
      </c>
      <c r="J778" t="s">
        <v>40</v>
      </c>
      <c r="K778" t="s">
        <v>41</v>
      </c>
      <c r="L778" t="s">
        <v>2605</v>
      </c>
      <c r="M778" t="s">
        <v>2606</v>
      </c>
      <c r="O778" t="s">
        <v>62</v>
      </c>
      <c r="P778" t="s">
        <v>63</v>
      </c>
      <c r="Q778">
        <v>1.241413313021561</v>
      </c>
      <c r="R778" t="s">
        <v>64</v>
      </c>
      <c r="S778" t="s">
        <v>65</v>
      </c>
      <c r="T778" t="s">
        <v>3817</v>
      </c>
      <c r="V778" t="s">
        <v>139</v>
      </c>
      <c r="X778" t="s">
        <v>3428</v>
      </c>
      <c r="Y778" t="s">
        <v>412</v>
      </c>
      <c r="Z778" t="s">
        <v>2623</v>
      </c>
      <c r="AA778" t="s">
        <v>124</v>
      </c>
      <c r="AB778" t="s">
        <v>41</v>
      </c>
      <c r="AD778" t="s">
        <v>3429</v>
      </c>
      <c r="AF778" t="s">
        <v>3430</v>
      </c>
      <c r="AJ778">
        <v>365.24543686901097</v>
      </c>
      <c r="AK778">
        <v>5023.8415340002084</v>
      </c>
    </row>
    <row r="779" spans="1:37" hidden="1" x14ac:dyDescent="0.25">
      <c r="A779">
        <v>794</v>
      </c>
      <c r="B779" t="s">
        <v>2604</v>
      </c>
      <c r="C779" t="s">
        <v>376</v>
      </c>
      <c r="D779" t="s">
        <v>2604</v>
      </c>
      <c r="E779" t="s">
        <v>37</v>
      </c>
      <c r="F779" t="s">
        <v>38</v>
      </c>
      <c r="G779" s="2">
        <v>45825</v>
      </c>
      <c r="H779">
        <v>0.1</v>
      </c>
      <c r="I779" t="s">
        <v>72</v>
      </c>
      <c r="J779" t="s">
        <v>40</v>
      </c>
      <c r="K779" t="s">
        <v>41</v>
      </c>
      <c r="L779" t="s">
        <v>2605</v>
      </c>
      <c r="M779" t="s">
        <v>2606</v>
      </c>
      <c r="N779" t="s">
        <v>3027</v>
      </c>
      <c r="O779" t="s">
        <v>1081</v>
      </c>
      <c r="P779" t="s">
        <v>116</v>
      </c>
      <c r="Q779">
        <v>6.6016954088500973E-2</v>
      </c>
      <c r="S779" t="s">
        <v>38</v>
      </c>
      <c r="T779" t="s">
        <v>3804</v>
      </c>
      <c r="V779" t="s">
        <v>110</v>
      </c>
      <c r="X779" t="s">
        <v>3257</v>
      </c>
      <c r="Y779" t="s">
        <v>412</v>
      </c>
      <c r="Z779" t="s">
        <v>2623</v>
      </c>
      <c r="AA779" t="s">
        <v>121</v>
      </c>
      <c r="AB779" t="s">
        <v>41</v>
      </c>
      <c r="AD779" t="s">
        <v>620</v>
      </c>
      <c r="AF779" t="s">
        <v>3304</v>
      </c>
      <c r="AJ779">
        <v>66.37616836671809</v>
      </c>
      <c r="AK779">
        <v>267.1622032880806</v>
      </c>
    </row>
    <row r="780" spans="1:37" x14ac:dyDescent="0.25">
      <c r="A780">
        <v>812</v>
      </c>
      <c r="B780" t="s">
        <v>2604</v>
      </c>
      <c r="C780" t="s">
        <v>376</v>
      </c>
      <c r="D780" t="s">
        <v>2604</v>
      </c>
      <c r="E780" t="s">
        <v>37</v>
      </c>
      <c r="F780" t="s">
        <v>38</v>
      </c>
      <c r="G780" s="2">
        <v>45869</v>
      </c>
      <c r="H780">
        <v>1.3</v>
      </c>
      <c r="I780" t="s">
        <v>72</v>
      </c>
      <c r="J780" t="s">
        <v>40</v>
      </c>
      <c r="K780" t="s">
        <v>41</v>
      </c>
      <c r="L780" t="s">
        <v>2605</v>
      </c>
      <c r="M780" t="s">
        <v>2606</v>
      </c>
      <c r="O780" t="s">
        <v>62</v>
      </c>
      <c r="P780" t="s">
        <v>63</v>
      </c>
      <c r="Q780">
        <v>2.4421807791674488</v>
      </c>
      <c r="R780" t="s">
        <v>64</v>
      </c>
      <c r="S780" t="s">
        <v>65</v>
      </c>
      <c r="T780" t="s">
        <v>3819</v>
      </c>
      <c r="V780" t="s">
        <v>3820</v>
      </c>
      <c r="X780" t="s">
        <v>3821</v>
      </c>
      <c r="Y780" t="s">
        <v>120</v>
      </c>
      <c r="Z780" t="s">
        <v>2630</v>
      </c>
      <c r="AA780" t="s">
        <v>119</v>
      </c>
      <c r="AB780" t="s">
        <v>41</v>
      </c>
      <c r="AJ780">
        <v>404.55238358559592</v>
      </c>
      <c r="AK780">
        <v>9883.1945035741064</v>
      </c>
    </row>
    <row r="781" spans="1:37" x14ac:dyDescent="0.25">
      <c r="A781">
        <v>816</v>
      </c>
      <c r="B781" t="s">
        <v>2604</v>
      </c>
      <c r="C781" t="s">
        <v>376</v>
      </c>
      <c r="D781" t="s">
        <v>2604</v>
      </c>
      <c r="E781" t="s">
        <v>37</v>
      </c>
      <c r="F781" t="s">
        <v>38</v>
      </c>
      <c r="G781" s="2">
        <v>45846</v>
      </c>
      <c r="H781">
        <v>1.7</v>
      </c>
      <c r="I781" t="s">
        <v>72</v>
      </c>
      <c r="J781" t="s">
        <v>40</v>
      </c>
      <c r="K781" t="s">
        <v>41</v>
      </c>
      <c r="L781" t="s">
        <v>2605</v>
      </c>
      <c r="M781" t="s">
        <v>2606</v>
      </c>
      <c r="O781" t="s">
        <v>62</v>
      </c>
      <c r="P781" t="s">
        <v>63</v>
      </c>
      <c r="Q781">
        <v>1.0922959959183971</v>
      </c>
      <c r="R781" t="s">
        <v>64</v>
      </c>
      <c r="S781" t="s">
        <v>65</v>
      </c>
      <c r="T781" t="s">
        <v>3824</v>
      </c>
      <c r="V781" t="s">
        <v>71</v>
      </c>
      <c r="X781" t="s">
        <v>3825</v>
      </c>
      <c r="Y781" t="s">
        <v>412</v>
      </c>
      <c r="Z781" t="s">
        <v>2623</v>
      </c>
      <c r="AA781" t="s">
        <v>397</v>
      </c>
      <c r="AB781" t="s">
        <v>41</v>
      </c>
      <c r="AD781" t="s">
        <v>620</v>
      </c>
      <c r="AF781" t="s">
        <v>2667</v>
      </c>
      <c r="AJ781">
        <v>529.68894189084222</v>
      </c>
      <c r="AK781">
        <v>4420.3827477574796</v>
      </c>
    </row>
    <row r="782" spans="1:37" hidden="1" x14ac:dyDescent="0.25">
      <c r="A782">
        <v>797</v>
      </c>
      <c r="B782" t="s">
        <v>2604</v>
      </c>
      <c r="C782" t="s">
        <v>376</v>
      </c>
      <c r="D782" t="s">
        <v>2604</v>
      </c>
      <c r="E782" t="s">
        <v>37</v>
      </c>
      <c r="F782" t="s">
        <v>38</v>
      </c>
      <c r="G782" s="2">
        <v>45846</v>
      </c>
      <c r="H782">
        <v>0.2</v>
      </c>
      <c r="I782" t="s">
        <v>72</v>
      </c>
      <c r="J782" t="s">
        <v>40</v>
      </c>
      <c r="K782" t="s">
        <v>41</v>
      </c>
      <c r="L782" t="s">
        <v>2605</v>
      </c>
      <c r="M782" t="s">
        <v>2606</v>
      </c>
      <c r="O782" t="s">
        <v>115</v>
      </c>
      <c r="P782" t="s">
        <v>137</v>
      </c>
      <c r="Q782">
        <v>0.14877265393730069</v>
      </c>
      <c r="S782" t="s">
        <v>38</v>
      </c>
      <c r="T782" t="s">
        <v>3806</v>
      </c>
      <c r="V782" t="s">
        <v>180</v>
      </c>
      <c r="X782" t="s">
        <v>3807</v>
      </c>
      <c r="Y782" t="s">
        <v>412</v>
      </c>
      <c r="Z782" t="s">
        <v>2623</v>
      </c>
      <c r="AA782" t="s">
        <v>554</v>
      </c>
      <c r="AB782" t="s">
        <v>41</v>
      </c>
      <c r="AD782" t="s">
        <v>1067</v>
      </c>
      <c r="AJ782">
        <v>96.827047599945686</v>
      </c>
      <c r="AK782">
        <v>602.06397831716288</v>
      </c>
    </row>
    <row r="783" spans="1:37" x14ac:dyDescent="0.25">
      <c r="A783">
        <v>822</v>
      </c>
      <c r="B783" t="s">
        <v>2604</v>
      </c>
      <c r="C783" t="s">
        <v>376</v>
      </c>
      <c r="D783" t="s">
        <v>2604</v>
      </c>
      <c r="E783" t="s">
        <v>37</v>
      </c>
      <c r="F783" t="s">
        <v>38</v>
      </c>
      <c r="G783" s="2">
        <v>45845</v>
      </c>
      <c r="H783">
        <v>5</v>
      </c>
      <c r="I783" t="s">
        <v>72</v>
      </c>
      <c r="J783" t="s">
        <v>40</v>
      </c>
      <c r="K783" t="s">
        <v>41</v>
      </c>
      <c r="L783" t="s">
        <v>2605</v>
      </c>
      <c r="M783" t="s">
        <v>2606</v>
      </c>
      <c r="N783" t="s">
        <v>2702</v>
      </c>
      <c r="O783" t="s">
        <v>62</v>
      </c>
      <c r="P783" t="s">
        <v>63</v>
      </c>
      <c r="Q783">
        <v>5.241797330481603</v>
      </c>
      <c r="R783" t="s">
        <v>64</v>
      </c>
      <c r="S783" t="s">
        <v>65</v>
      </c>
      <c r="T783" t="s">
        <v>2923</v>
      </c>
      <c r="V783" t="s">
        <v>71</v>
      </c>
      <c r="X783" t="s">
        <v>2924</v>
      </c>
      <c r="Y783" t="s">
        <v>412</v>
      </c>
      <c r="Z783" t="s">
        <v>2623</v>
      </c>
      <c r="AA783" t="s">
        <v>397</v>
      </c>
      <c r="AB783" t="s">
        <v>41</v>
      </c>
      <c r="AD783" t="s">
        <v>620</v>
      </c>
      <c r="AF783" t="s">
        <v>3138</v>
      </c>
      <c r="AJ783">
        <v>607.3399678542288</v>
      </c>
      <c r="AK783">
        <v>21212.88604323797</v>
      </c>
    </row>
    <row r="784" spans="1:37" hidden="1" x14ac:dyDescent="0.25">
      <c r="A784">
        <v>799</v>
      </c>
      <c r="B784" t="s">
        <v>2604</v>
      </c>
      <c r="C784" t="s">
        <v>376</v>
      </c>
      <c r="D784" t="s">
        <v>2604</v>
      </c>
      <c r="E784" t="s">
        <v>37</v>
      </c>
      <c r="F784" t="s">
        <v>38</v>
      </c>
      <c r="G784" s="2">
        <v>45847</v>
      </c>
      <c r="H784">
        <v>0.7</v>
      </c>
      <c r="I784" t="s">
        <v>72</v>
      </c>
      <c r="J784" t="s">
        <v>40</v>
      </c>
      <c r="K784" t="s">
        <v>41</v>
      </c>
      <c r="L784" t="s">
        <v>2605</v>
      </c>
      <c r="M784" t="s">
        <v>2606</v>
      </c>
      <c r="O784" t="s">
        <v>141</v>
      </c>
      <c r="P784" t="s">
        <v>142</v>
      </c>
      <c r="Q784">
        <v>0.73604759894351179</v>
      </c>
      <c r="V784" t="s">
        <v>563</v>
      </c>
      <c r="X784" t="s">
        <v>3001</v>
      </c>
      <c r="Y784" t="s">
        <v>412</v>
      </c>
      <c r="Z784" t="s">
        <v>765</v>
      </c>
      <c r="AA784" t="s">
        <v>182</v>
      </c>
      <c r="AB784" t="s">
        <v>41</v>
      </c>
      <c r="AD784" t="s">
        <v>399</v>
      </c>
      <c r="AF784" t="s">
        <v>2979</v>
      </c>
      <c r="AJ784">
        <v>241.69145935071239</v>
      </c>
      <c r="AK784">
        <v>2978.6908677282058</v>
      </c>
    </row>
    <row r="785" spans="1:37" x14ac:dyDescent="0.25">
      <c r="A785">
        <v>825</v>
      </c>
      <c r="B785" t="s">
        <v>2604</v>
      </c>
      <c r="C785" t="s">
        <v>376</v>
      </c>
      <c r="D785" t="s">
        <v>2604</v>
      </c>
      <c r="E785" t="s">
        <v>37</v>
      </c>
      <c r="F785" t="s">
        <v>38</v>
      </c>
      <c r="G785" s="2">
        <v>45845</v>
      </c>
      <c r="H785">
        <v>0.1</v>
      </c>
      <c r="I785" t="s">
        <v>72</v>
      </c>
      <c r="J785" t="s">
        <v>40</v>
      </c>
      <c r="K785" t="s">
        <v>41</v>
      </c>
      <c r="L785" t="s">
        <v>2605</v>
      </c>
      <c r="M785" t="s">
        <v>2606</v>
      </c>
      <c r="N785" t="s">
        <v>2702</v>
      </c>
      <c r="O785" t="s">
        <v>62</v>
      </c>
      <c r="P785" t="s">
        <v>63</v>
      </c>
      <c r="Q785">
        <v>0.25151769101653437</v>
      </c>
      <c r="R785" t="s">
        <v>64</v>
      </c>
      <c r="S785" t="s">
        <v>65</v>
      </c>
      <c r="T785" t="s">
        <v>2923</v>
      </c>
      <c r="V785" t="s">
        <v>71</v>
      </c>
      <c r="X785" t="s">
        <v>2924</v>
      </c>
      <c r="Y785" t="s">
        <v>412</v>
      </c>
      <c r="Z785" t="s">
        <v>2623</v>
      </c>
      <c r="AA785" t="s">
        <v>125</v>
      </c>
      <c r="AB785" t="s">
        <v>41</v>
      </c>
      <c r="AD785" t="s">
        <v>620</v>
      </c>
      <c r="AF785" t="s">
        <v>3138</v>
      </c>
      <c r="AJ785">
        <v>141.32942109224351</v>
      </c>
      <c r="AK785">
        <v>1017.860054673628</v>
      </c>
    </row>
    <row r="786" spans="1:37" hidden="1" x14ac:dyDescent="0.25">
      <c r="A786">
        <v>801</v>
      </c>
      <c r="B786" t="s">
        <v>2604</v>
      </c>
      <c r="C786" t="s">
        <v>376</v>
      </c>
      <c r="D786" t="s">
        <v>2604</v>
      </c>
      <c r="E786" t="s">
        <v>37</v>
      </c>
      <c r="F786" t="s">
        <v>38</v>
      </c>
      <c r="G786" s="2">
        <v>45847</v>
      </c>
      <c r="H786">
        <v>1</v>
      </c>
      <c r="I786" t="s">
        <v>72</v>
      </c>
      <c r="J786" t="s">
        <v>40</v>
      </c>
      <c r="K786" t="s">
        <v>41</v>
      </c>
      <c r="L786" t="s">
        <v>2605</v>
      </c>
      <c r="M786" t="s">
        <v>2606</v>
      </c>
      <c r="O786" t="s">
        <v>134</v>
      </c>
      <c r="P786" t="s">
        <v>135</v>
      </c>
      <c r="Q786">
        <v>1.0037517586374161</v>
      </c>
      <c r="R786" t="s">
        <v>73</v>
      </c>
      <c r="S786" t="s">
        <v>74</v>
      </c>
      <c r="T786" t="s">
        <v>2691</v>
      </c>
      <c r="V786" t="s">
        <v>3810</v>
      </c>
      <c r="X786" t="s">
        <v>1126</v>
      </c>
      <c r="Y786" t="s">
        <v>420</v>
      </c>
      <c r="Z786" t="s">
        <v>719</v>
      </c>
      <c r="AA786" t="s">
        <v>71</v>
      </c>
      <c r="AB786" t="s">
        <v>41</v>
      </c>
      <c r="AJ786">
        <v>460.03054813125777</v>
      </c>
      <c r="AK786">
        <v>4062.055499142868</v>
      </c>
    </row>
    <row r="787" spans="1:37" x14ac:dyDescent="0.25">
      <c r="A787">
        <v>826</v>
      </c>
      <c r="B787" t="s">
        <v>2604</v>
      </c>
      <c r="C787" t="s">
        <v>376</v>
      </c>
      <c r="D787" t="s">
        <v>2604</v>
      </c>
      <c r="E787" t="s">
        <v>37</v>
      </c>
      <c r="F787" t="s">
        <v>38</v>
      </c>
      <c r="G787" s="2">
        <v>45845</v>
      </c>
      <c r="H787">
        <v>0.3</v>
      </c>
      <c r="I787" t="s">
        <v>72</v>
      </c>
      <c r="J787" t="s">
        <v>40</v>
      </c>
      <c r="K787" t="s">
        <v>41</v>
      </c>
      <c r="L787" t="s">
        <v>2605</v>
      </c>
      <c r="M787" t="s">
        <v>2606</v>
      </c>
      <c r="N787" t="s">
        <v>2702</v>
      </c>
      <c r="O787" t="s">
        <v>62</v>
      </c>
      <c r="P787" t="s">
        <v>63</v>
      </c>
      <c r="Q787">
        <v>0.24479084917172411</v>
      </c>
      <c r="R787" t="s">
        <v>64</v>
      </c>
      <c r="S787" t="s">
        <v>65</v>
      </c>
      <c r="T787" t="s">
        <v>2883</v>
      </c>
      <c r="V787" t="s">
        <v>125</v>
      </c>
      <c r="X787" t="s">
        <v>2880</v>
      </c>
      <c r="Y787" t="s">
        <v>412</v>
      </c>
      <c r="Z787" t="s">
        <v>2623</v>
      </c>
      <c r="AA787" t="s">
        <v>182</v>
      </c>
      <c r="AB787" t="s">
        <v>41</v>
      </c>
      <c r="AD787" t="s">
        <v>2870</v>
      </c>
      <c r="AF787" t="s">
        <v>2928</v>
      </c>
      <c r="AJ787">
        <v>131.61370153555339</v>
      </c>
      <c r="AK787">
        <v>990.63738266090934</v>
      </c>
    </row>
    <row r="788" spans="1:37" x14ac:dyDescent="0.25">
      <c r="A788">
        <v>827</v>
      </c>
      <c r="B788" t="s">
        <v>2604</v>
      </c>
      <c r="C788" t="s">
        <v>376</v>
      </c>
      <c r="D788" t="s">
        <v>2604</v>
      </c>
      <c r="E788" t="s">
        <v>37</v>
      </c>
      <c r="F788" t="s">
        <v>38</v>
      </c>
      <c r="G788" s="2">
        <v>45845</v>
      </c>
      <c r="H788">
        <v>0.1</v>
      </c>
      <c r="I788" t="s">
        <v>72</v>
      </c>
      <c r="J788" t="s">
        <v>40</v>
      </c>
      <c r="K788" t="s">
        <v>41</v>
      </c>
      <c r="L788" t="s">
        <v>2605</v>
      </c>
      <c r="M788" t="s">
        <v>2606</v>
      </c>
      <c r="N788" t="s">
        <v>2702</v>
      </c>
      <c r="O788" t="s">
        <v>62</v>
      </c>
      <c r="P788" t="s">
        <v>63</v>
      </c>
      <c r="Q788">
        <v>9.2071716897212275E-2</v>
      </c>
      <c r="R788" t="s">
        <v>64</v>
      </c>
      <c r="S788" t="s">
        <v>65</v>
      </c>
      <c r="T788" t="s">
        <v>2883</v>
      </c>
      <c r="V788" t="s">
        <v>125</v>
      </c>
      <c r="X788" t="s">
        <v>2880</v>
      </c>
      <c r="Y788" t="s">
        <v>412</v>
      </c>
      <c r="Z788" t="s">
        <v>2623</v>
      </c>
      <c r="AA788" t="s">
        <v>182</v>
      </c>
      <c r="AB788" t="s">
        <v>41</v>
      </c>
      <c r="AD788" t="s">
        <v>2870</v>
      </c>
      <c r="AF788" t="s">
        <v>2928</v>
      </c>
      <c r="AJ788">
        <v>79.733125748612593</v>
      </c>
      <c r="AK788">
        <v>372.60250925542471</v>
      </c>
    </row>
    <row r="789" spans="1:37" x14ac:dyDescent="0.25">
      <c r="A789">
        <v>828</v>
      </c>
      <c r="B789" t="s">
        <v>2604</v>
      </c>
      <c r="C789" t="s">
        <v>376</v>
      </c>
      <c r="D789" t="s">
        <v>2604</v>
      </c>
      <c r="E789" t="s">
        <v>37</v>
      </c>
      <c r="F789" t="s">
        <v>38</v>
      </c>
      <c r="G789" s="2">
        <v>45845</v>
      </c>
      <c r="H789">
        <v>0.5</v>
      </c>
      <c r="I789" t="s">
        <v>72</v>
      </c>
      <c r="J789" t="s">
        <v>40</v>
      </c>
      <c r="K789" t="s">
        <v>41</v>
      </c>
      <c r="L789" t="s">
        <v>2605</v>
      </c>
      <c r="M789" t="s">
        <v>2606</v>
      </c>
      <c r="N789" t="s">
        <v>2702</v>
      </c>
      <c r="O789" t="s">
        <v>62</v>
      </c>
      <c r="P789" t="s">
        <v>63</v>
      </c>
      <c r="Q789">
        <v>0.45220521414265602</v>
      </c>
      <c r="R789" t="s">
        <v>64</v>
      </c>
      <c r="S789" t="s">
        <v>65</v>
      </c>
      <c r="T789" t="s">
        <v>2883</v>
      </c>
      <c r="V789" t="s">
        <v>125</v>
      </c>
      <c r="X789" t="s">
        <v>2880</v>
      </c>
      <c r="Y789" t="s">
        <v>412</v>
      </c>
      <c r="Z789" t="s">
        <v>2623</v>
      </c>
      <c r="AA789" t="s">
        <v>182</v>
      </c>
      <c r="AB789" t="s">
        <v>41</v>
      </c>
      <c r="AD789" t="s">
        <v>2870</v>
      </c>
      <c r="AF789" t="s">
        <v>2928</v>
      </c>
      <c r="AJ789">
        <v>202.3549532053955</v>
      </c>
      <c r="AK789">
        <v>1830.016895156235</v>
      </c>
    </row>
    <row r="790" spans="1:37" hidden="1" x14ac:dyDescent="0.25">
      <c r="A790">
        <v>805</v>
      </c>
      <c r="B790" t="s">
        <v>2604</v>
      </c>
      <c r="C790" t="s">
        <v>376</v>
      </c>
      <c r="D790" t="s">
        <v>2604</v>
      </c>
      <c r="E790" t="s">
        <v>37</v>
      </c>
      <c r="F790" t="s">
        <v>38</v>
      </c>
      <c r="G790" s="2">
        <v>45826</v>
      </c>
      <c r="H790">
        <v>3.6</v>
      </c>
      <c r="I790" t="s">
        <v>72</v>
      </c>
      <c r="J790" t="s">
        <v>40</v>
      </c>
      <c r="K790" t="s">
        <v>41</v>
      </c>
      <c r="L790" t="s">
        <v>2605</v>
      </c>
      <c r="M790" t="s">
        <v>2606</v>
      </c>
      <c r="O790" t="s">
        <v>87</v>
      </c>
      <c r="P790" t="s">
        <v>88</v>
      </c>
      <c r="Q790">
        <v>3.6188373147623971</v>
      </c>
      <c r="R790" t="s">
        <v>46</v>
      </c>
      <c r="S790" t="s">
        <v>47</v>
      </c>
      <c r="T790" t="s">
        <v>3816</v>
      </c>
      <c r="V790" t="s">
        <v>942</v>
      </c>
      <c r="X790" t="s">
        <v>3659</v>
      </c>
      <c r="Y790" t="s">
        <v>698</v>
      </c>
      <c r="Z790" t="s">
        <v>2630</v>
      </c>
      <c r="AA790" t="s">
        <v>681</v>
      </c>
      <c r="AB790" t="s">
        <v>41</v>
      </c>
      <c r="AD790" t="s">
        <v>260</v>
      </c>
      <c r="AF790" t="s">
        <v>3660</v>
      </c>
      <c r="AJ790">
        <v>603.44073655079524</v>
      </c>
      <c r="AK790">
        <v>14644.97360870283</v>
      </c>
    </row>
    <row r="791" spans="1:37" hidden="1" x14ac:dyDescent="0.25">
      <c r="A791">
        <v>806</v>
      </c>
      <c r="B791" t="s">
        <v>2604</v>
      </c>
      <c r="C791" t="s">
        <v>376</v>
      </c>
      <c r="D791" t="s">
        <v>2604</v>
      </c>
      <c r="E791" t="s">
        <v>37</v>
      </c>
      <c r="F791" t="s">
        <v>38</v>
      </c>
      <c r="G791" s="2">
        <v>45826</v>
      </c>
      <c r="H791">
        <v>4.5</v>
      </c>
      <c r="I791" t="s">
        <v>72</v>
      </c>
      <c r="J791" t="s">
        <v>40</v>
      </c>
      <c r="K791" t="s">
        <v>41</v>
      </c>
      <c r="L791" t="s">
        <v>2605</v>
      </c>
      <c r="M791" t="s">
        <v>2606</v>
      </c>
      <c r="O791" t="s">
        <v>87</v>
      </c>
      <c r="P791" t="s">
        <v>88</v>
      </c>
      <c r="Q791">
        <v>8.0952884750160674</v>
      </c>
      <c r="R791" t="s">
        <v>46</v>
      </c>
      <c r="S791" t="s">
        <v>47</v>
      </c>
      <c r="T791" t="s">
        <v>3816</v>
      </c>
      <c r="V791" t="s">
        <v>942</v>
      </c>
      <c r="X791" t="s">
        <v>3659</v>
      </c>
      <c r="Y791" t="s">
        <v>698</v>
      </c>
      <c r="Z791" t="s">
        <v>2630</v>
      </c>
      <c r="AA791" t="s">
        <v>681</v>
      </c>
      <c r="AB791" t="s">
        <v>41</v>
      </c>
      <c r="AD791" t="s">
        <v>260</v>
      </c>
      <c r="AF791" t="s">
        <v>3660</v>
      </c>
      <c r="AJ791">
        <v>781.18830008652515</v>
      </c>
      <c r="AK791">
        <v>32760.601198573218</v>
      </c>
    </row>
    <row r="792" spans="1:37" hidden="1" x14ac:dyDescent="0.25">
      <c r="A792">
        <v>807</v>
      </c>
      <c r="B792" t="s">
        <v>2604</v>
      </c>
      <c r="C792" t="s">
        <v>376</v>
      </c>
      <c r="D792" t="s">
        <v>2604</v>
      </c>
      <c r="E792" t="s">
        <v>37</v>
      </c>
      <c r="F792" t="s">
        <v>38</v>
      </c>
      <c r="G792" s="2">
        <v>45826</v>
      </c>
      <c r="H792">
        <v>10.4</v>
      </c>
      <c r="I792" t="s">
        <v>72</v>
      </c>
      <c r="J792" t="s">
        <v>40</v>
      </c>
      <c r="K792" t="s">
        <v>41</v>
      </c>
      <c r="L792" t="s">
        <v>2605</v>
      </c>
      <c r="M792" t="s">
        <v>2606</v>
      </c>
      <c r="O792" t="s">
        <v>44</v>
      </c>
      <c r="P792" t="s">
        <v>45</v>
      </c>
      <c r="Q792">
        <v>4.2504970392927088</v>
      </c>
      <c r="R792" t="s">
        <v>46</v>
      </c>
      <c r="S792" t="s">
        <v>47</v>
      </c>
      <c r="T792" t="s">
        <v>3816</v>
      </c>
      <c r="V792" t="s">
        <v>942</v>
      </c>
      <c r="X792" t="s">
        <v>3659</v>
      </c>
      <c r="Y792" t="s">
        <v>698</v>
      </c>
      <c r="Z792" t="s">
        <v>2630</v>
      </c>
      <c r="AA792" t="s">
        <v>681</v>
      </c>
      <c r="AB792" t="s">
        <v>41</v>
      </c>
      <c r="AD792" t="s">
        <v>260</v>
      </c>
      <c r="AF792" t="s">
        <v>3660</v>
      </c>
      <c r="AJ792">
        <v>702.86204256131862</v>
      </c>
      <c r="AK792">
        <v>17201.220046665261</v>
      </c>
    </row>
    <row r="793" spans="1:37" x14ac:dyDescent="0.25">
      <c r="A793">
        <v>831</v>
      </c>
      <c r="B793" t="s">
        <v>2604</v>
      </c>
      <c r="C793" t="s">
        <v>376</v>
      </c>
      <c r="D793" t="s">
        <v>2604</v>
      </c>
      <c r="E793" t="s">
        <v>37</v>
      </c>
      <c r="F793" t="s">
        <v>38</v>
      </c>
      <c r="G793" s="2">
        <v>45845</v>
      </c>
      <c r="H793">
        <v>6.6</v>
      </c>
      <c r="I793" t="s">
        <v>72</v>
      </c>
      <c r="J793" t="s">
        <v>40</v>
      </c>
      <c r="K793" t="s">
        <v>41</v>
      </c>
      <c r="L793" t="s">
        <v>2605</v>
      </c>
      <c r="M793" t="s">
        <v>2606</v>
      </c>
      <c r="N793" t="s">
        <v>2702</v>
      </c>
      <c r="O793" t="s">
        <v>62</v>
      </c>
      <c r="P793" t="s">
        <v>63</v>
      </c>
      <c r="Q793">
        <v>6.3034280313963214</v>
      </c>
      <c r="R793" t="s">
        <v>64</v>
      </c>
      <c r="S793" t="s">
        <v>65</v>
      </c>
      <c r="T793" t="s">
        <v>2915</v>
      </c>
      <c r="V793" t="s">
        <v>125</v>
      </c>
      <c r="X793" t="s">
        <v>2893</v>
      </c>
      <c r="Y793" t="s">
        <v>412</v>
      </c>
      <c r="Z793" t="s">
        <v>2623</v>
      </c>
      <c r="AA793" t="s">
        <v>71</v>
      </c>
      <c r="AB793" t="s">
        <v>41</v>
      </c>
      <c r="AD793" t="s">
        <v>620</v>
      </c>
      <c r="AF793" t="s">
        <v>2667</v>
      </c>
      <c r="AJ793">
        <v>845.00907436707109</v>
      </c>
      <c r="AK793">
        <v>25509.17024857135</v>
      </c>
    </row>
    <row r="794" spans="1:37" x14ac:dyDescent="0.25">
      <c r="A794">
        <v>832</v>
      </c>
      <c r="B794" t="s">
        <v>2604</v>
      </c>
      <c r="C794" t="s">
        <v>376</v>
      </c>
      <c r="D794" t="s">
        <v>2604</v>
      </c>
      <c r="E794" t="s">
        <v>37</v>
      </c>
      <c r="F794" t="s">
        <v>38</v>
      </c>
      <c r="G794" s="2">
        <v>45845</v>
      </c>
      <c r="H794">
        <v>1.4</v>
      </c>
      <c r="I794" t="s">
        <v>72</v>
      </c>
      <c r="J794" t="s">
        <v>40</v>
      </c>
      <c r="K794" t="s">
        <v>41</v>
      </c>
      <c r="L794" t="s">
        <v>2605</v>
      </c>
      <c r="M794" t="s">
        <v>2606</v>
      </c>
      <c r="N794" t="s">
        <v>2702</v>
      </c>
      <c r="O794" t="s">
        <v>62</v>
      </c>
      <c r="P794" t="s">
        <v>63</v>
      </c>
      <c r="Q794">
        <v>1.438503647547493</v>
      </c>
      <c r="R794" t="s">
        <v>64</v>
      </c>
      <c r="S794" t="s">
        <v>65</v>
      </c>
      <c r="T794" t="s">
        <v>2915</v>
      </c>
      <c r="V794" t="s">
        <v>125</v>
      </c>
      <c r="X794" t="s">
        <v>2893</v>
      </c>
      <c r="Y794" t="s">
        <v>412</v>
      </c>
      <c r="Z794" t="s">
        <v>2623</v>
      </c>
      <c r="AA794" t="s">
        <v>71</v>
      </c>
      <c r="AB794" t="s">
        <v>41</v>
      </c>
      <c r="AD794" t="s">
        <v>620</v>
      </c>
      <c r="AF794" t="s">
        <v>2667</v>
      </c>
      <c r="AJ794">
        <v>305.91113257712408</v>
      </c>
      <c r="AK794">
        <v>5821.4410104641556</v>
      </c>
    </row>
    <row r="795" spans="1:37" x14ac:dyDescent="0.25">
      <c r="A795">
        <v>835</v>
      </c>
      <c r="B795" t="s">
        <v>2604</v>
      </c>
      <c r="C795" t="s">
        <v>376</v>
      </c>
      <c r="D795" t="s">
        <v>2604</v>
      </c>
      <c r="E795" t="s">
        <v>37</v>
      </c>
      <c r="F795" t="s">
        <v>38</v>
      </c>
      <c r="G795" s="2">
        <v>45846</v>
      </c>
      <c r="H795">
        <v>6.1</v>
      </c>
      <c r="I795" t="s">
        <v>72</v>
      </c>
      <c r="J795" t="s">
        <v>40</v>
      </c>
      <c r="K795" t="s">
        <v>41</v>
      </c>
      <c r="L795" t="s">
        <v>2605</v>
      </c>
      <c r="M795" t="s">
        <v>2606</v>
      </c>
      <c r="O795" t="s">
        <v>62</v>
      </c>
      <c r="P795" t="s">
        <v>63</v>
      </c>
      <c r="Q795">
        <v>6.3376185724407739</v>
      </c>
      <c r="R795" t="s">
        <v>64</v>
      </c>
      <c r="S795" t="s">
        <v>65</v>
      </c>
      <c r="T795" t="s">
        <v>3827</v>
      </c>
      <c r="V795" t="s">
        <v>125</v>
      </c>
      <c r="X795" t="s">
        <v>2896</v>
      </c>
      <c r="Y795" t="s">
        <v>412</v>
      </c>
      <c r="Z795" t="s">
        <v>2623</v>
      </c>
      <c r="AA795" t="s">
        <v>125</v>
      </c>
      <c r="AB795" t="s">
        <v>41</v>
      </c>
      <c r="AD795" t="s">
        <v>898</v>
      </c>
      <c r="AF795" t="s">
        <v>2667</v>
      </c>
      <c r="AJ795">
        <v>737.86883725829136</v>
      </c>
      <c r="AK795">
        <v>25647.535012640921</v>
      </c>
    </row>
    <row r="796" spans="1:37" hidden="1" x14ac:dyDescent="0.25">
      <c r="A796">
        <v>811</v>
      </c>
      <c r="B796" t="s">
        <v>2604</v>
      </c>
      <c r="C796" t="s">
        <v>376</v>
      </c>
      <c r="D796" t="s">
        <v>2604</v>
      </c>
      <c r="E796" t="s">
        <v>37</v>
      </c>
      <c r="F796" t="s">
        <v>38</v>
      </c>
      <c r="G796" s="2">
        <v>45869</v>
      </c>
      <c r="H796">
        <v>0.1</v>
      </c>
      <c r="I796" t="s">
        <v>72</v>
      </c>
      <c r="J796" t="s">
        <v>40</v>
      </c>
      <c r="K796" t="s">
        <v>41</v>
      </c>
      <c r="L796" t="s">
        <v>2605</v>
      </c>
      <c r="M796" t="s">
        <v>2606</v>
      </c>
      <c r="O796" t="s">
        <v>141</v>
      </c>
      <c r="P796" t="s">
        <v>142</v>
      </c>
      <c r="Q796">
        <v>0.34684419832591862</v>
      </c>
      <c r="S796" t="s">
        <v>38</v>
      </c>
      <c r="T796" t="s">
        <v>3818</v>
      </c>
      <c r="V796" t="s">
        <v>121</v>
      </c>
      <c r="X796" t="s">
        <v>3726</v>
      </c>
      <c r="Y796" t="s">
        <v>120</v>
      </c>
      <c r="Z796" t="s">
        <v>2630</v>
      </c>
      <c r="AA796" t="s">
        <v>71</v>
      </c>
      <c r="AB796" t="s">
        <v>41</v>
      </c>
      <c r="AD796" t="s">
        <v>3727</v>
      </c>
      <c r="AJ796">
        <v>156.79248106751621</v>
      </c>
      <c r="AK796">
        <v>1403.634286098953</v>
      </c>
    </row>
    <row r="797" spans="1:37" x14ac:dyDescent="0.25">
      <c r="A797">
        <v>836</v>
      </c>
      <c r="B797" t="s">
        <v>2604</v>
      </c>
      <c r="C797" t="s">
        <v>376</v>
      </c>
      <c r="D797" t="s">
        <v>2604</v>
      </c>
      <c r="E797" t="s">
        <v>37</v>
      </c>
      <c r="F797" t="s">
        <v>38</v>
      </c>
      <c r="G797" s="2">
        <v>45846</v>
      </c>
      <c r="H797">
        <v>1.25</v>
      </c>
      <c r="I797" t="s">
        <v>72</v>
      </c>
      <c r="J797" t="s">
        <v>40</v>
      </c>
      <c r="K797" t="s">
        <v>41</v>
      </c>
      <c r="L797" t="s">
        <v>2605</v>
      </c>
      <c r="M797" t="s">
        <v>2606</v>
      </c>
      <c r="O797" t="s">
        <v>62</v>
      </c>
      <c r="P797" t="s">
        <v>63</v>
      </c>
      <c r="Q797">
        <v>1.2502719955470321</v>
      </c>
      <c r="R797" t="s">
        <v>64</v>
      </c>
      <c r="S797" t="s">
        <v>65</v>
      </c>
      <c r="T797" t="s">
        <v>2691</v>
      </c>
      <c r="V797" t="s">
        <v>3828</v>
      </c>
      <c r="X797" t="s">
        <v>3829</v>
      </c>
      <c r="Y797" t="s">
        <v>420</v>
      </c>
      <c r="Z797" t="s">
        <v>2623</v>
      </c>
      <c r="AA797" t="s">
        <v>73</v>
      </c>
      <c r="AB797" t="s">
        <v>41</v>
      </c>
      <c r="AJ797">
        <v>281.18329213330162</v>
      </c>
      <c r="AK797">
        <v>5059.6914936721059</v>
      </c>
    </row>
    <row r="798" spans="1:37" hidden="1" x14ac:dyDescent="0.25">
      <c r="A798">
        <v>813</v>
      </c>
      <c r="B798" t="s">
        <v>2604</v>
      </c>
      <c r="C798" t="s">
        <v>376</v>
      </c>
      <c r="D798" t="s">
        <v>2604</v>
      </c>
      <c r="E798" t="s">
        <v>37</v>
      </c>
      <c r="F798" t="s">
        <v>38</v>
      </c>
      <c r="G798" s="2">
        <v>45869</v>
      </c>
      <c r="H798">
        <v>4.4000000000000004</v>
      </c>
      <c r="I798" t="s">
        <v>72</v>
      </c>
      <c r="J798" t="s">
        <v>40</v>
      </c>
      <c r="K798" t="s">
        <v>41</v>
      </c>
      <c r="L798" t="s">
        <v>2605</v>
      </c>
      <c r="M798" t="s">
        <v>2606</v>
      </c>
      <c r="O798" t="s">
        <v>99</v>
      </c>
      <c r="P798" t="s">
        <v>100</v>
      </c>
      <c r="Q798">
        <v>5.4450653247158547</v>
      </c>
      <c r="R798" t="s">
        <v>60</v>
      </c>
      <c r="S798" t="s">
        <v>66</v>
      </c>
      <c r="T798" t="s">
        <v>3822</v>
      </c>
      <c r="V798" t="s">
        <v>3820</v>
      </c>
      <c r="X798" t="s">
        <v>3821</v>
      </c>
      <c r="Y798" t="s">
        <v>120</v>
      </c>
      <c r="Z798" t="s">
        <v>2630</v>
      </c>
      <c r="AA798" t="s">
        <v>119</v>
      </c>
      <c r="AB798" t="s">
        <v>41</v>
      </c>
      <c r="AJ798">
        <v>614.51648954606424</v>
      </c>
      <c r="AK798">
        <v>22035.485721568639</v>
      </c>
    </row>
    <row r="799" spans="1:37" hidden="1" x14ac:dyDescent="0.25">
      <c r="A799">
        <v>814</v>
      </c>
      <c r="B799" t="s">
        <v>2604</v>
      </c>
      <c r="C799" t="s">
        <v>376</v>
      </c>
      <c r="D799" t="s">
        <v>2604</v>
      </c>
      <c r="E799" t="s">
        <v>37</v>
      </c>
      <c r="F799" t="s">
        <v>38</v>
      </c>
      <c r="G799" s="2">
        <v>45869</v>
      </c>
      <c r="H799">
        <v>5.6</v>
      </c>
      <c r="I799" t="s">
        <v>72</v>
      </c>
      <c r="J799" t="s">
        <v>40</v>
      </c>
      <c r="K799" t="s">
        <v>41</v>
      </c>
      <c r="L799" t="s">
        <v>2605</v>
      </c>
      <c r="M799" t="s">
        <v>2606</v>
      </c>
      <c r="O799" t="s">
        <v>79</v>
      </c>
      <c r="P799" t="s">
        <v>80</v>
      </c>
      <c r="Q799">
        <v>5.4082631272445392</v>
      </c>
      <c r="R799" t="s">
        <v>60</v>
      </c>
      <c r="S799" t="s">
        <v>66</v>
      </c>
      <c r="T799" t="s">
        <v>3819</v>
      </c>
      <c r="V799" t="s">
        <v>3820</v>
      </c>
      <c r="X799" t="s">
        <v>3821</v>
      </c>
      <c r="Y799" t="s">
        <v>120</v>
      </c>
      <c r="Z799" t="s">
        <v>2630</v>
      </c>
      <c r="AA799" t="s">
        <v>119</v>
      </c>
      <c r="AB799" t="s">
        <v>41</v>
      </c>
      <c r="AJ799">
        <v>690.65888378777925</v>
      </c>
      <c r="AK799">
        <v>21886.551916638789</v>
      </c>
    </row>
    <row r="800" spans="1:37" hidden="1" x14ac:dyDescent="0.25">
      <c r="A800">
        <v>815</v>
      </c>
      <c r="B800" t="s">
        <v>2604</v>
      </c>
      <c r="C800" t="s">
        <v>376</v>
      </c>
      <c r="D800" t="s">
        <v>2604</v>
      </c>
      <c r="E800" t="s">
        <v>37</v>
      </c>
      <c r="F800" t="s">
        <v>38</v>
      </c>
      <c r="G800" s="2">
        <v>45846</v>
      </c>
      <c r="H800">
        <v>8.5</v>
      </c>
      <c r="I800" t="s">
        <v>72</v>
      </c>
      <c r="J800" t="s">
        <v>40</v>
      </c>
      <c r="K800" t="s">
        <v>41</v>
      </c>
      <c r="L800" t="s">
        <v>2605</v>
      </c>
      <c r="M800" t="s">
        <v>2606</v>
      </c>
      <c r="N800" t="s">
        <v>2712</v>
      </c>
      <c r="O800" t="s">
        <v>79</v>
      </c>
      <c r="P800" t="s">
        <v>80</v>
      </c>
      <c r="Q800">
        <v>8.556888205669356</v>
      </c>
      <c r="R800" t="s">
        <v>46</v>
      </c>
      <c r="S800" t="s">
        <v>47</v>
      </c>
      <c r="T800" t="s">
        <v>3823</v>
      </c>
      <c r="V800" t="s">
        <v>71</v>
      </c>
      <c r="X800" t="s">
        <v>2997</v>
      </c>
      <c r="Y800" t="s">
        <v>412</v>
      </c>
      <c r="Z800" t="s">
        <v>2623</v>
      </c>
      <c r="AA800" t="s">
        <v>896</v>
      </c>
      <c r="AB800" t="s">
        <v>41</v>
      </c>
      <c r="AD800" t="s">
        <v>620</v>
      </c>
      <c r="AF800" t="s">
        <v>2667</v>
      </c>
      <c r="AJ800">
        <v>794.31236232831236</v>
      </c>
      <c r="AK800">
        <v>34628.636505279348</v>
      </c>
    </row>
    <row r="801" spans="1:37" x14ac:dyDescent="0.25">
      <c r="A801">
        <v>837</v>
      </c>
      <c r="B801" t="s">
        <v>2604</v>
      </c>
      <c r="C801" t="s">
        <v>376</v>
      </c>
      <c r="D801" t="s">
        <v>2604</v>
      </c>
      <c r="E801" t="s">
        <v>37</v>
      </c>
      <c r="F801" t="s">
        <v>38</v>
      </c>
      <c r="G801" s="2">
        <v>45846</v>
      </c>
      <c r="H801">
        <v>9.8000000000000007</v>
      </c>
      <c r="I801" t="s">
        <v>72</v>
      </c>
      <c r="J801" t="s">
        <v>40</v>
      </c>
      <c r="K801" t="s">
        <v>41</v>
      </c>
      <c r="L801" t="s">
        <v>2605</v>
      </c>
      <c r="M801" t="s">
        <v>2606</v>
      </c>
      <c r="O801" t="s">
        <v>62</v>
      </c>
      <c r="P801" t="s">
        <v>63</v>
      </c>
      <c r="Q801">
        <v>9.5222353864109479</v>
      </c>
      <c r="R801" t="s">
        <v>64</v>
      </c>
      <c r="S801" t="s">
        <v>65</v>
      </c>
      <c r="T801" t="s">
        <v>2691</v>
      </c>
      <c r="V801" t="s">
        <v>3828</v>
      </c>
      <c r="X801" t="s">
        <v>3829</v>
      </c>
      <c r="Y801" t="s">
        <v>420</v>
      </c>
      <c r="Z801" t="s">
        <v>2623</v>
      </c>
      <c r="AA801" t="s">
        <v>73</v>
      </c>
      <c r="AB801" t="s">
        <v>41</v>
      </c>
      <c r="AJ801">
        <v>1030.8615137652889</v>
      </c>
      <c r="AK801">
        <v>38535.273570041827</v>
      </c>
    </row>
    <row r="802" spans="1:37" hidden="1" x14ac:dyDescent="0.25">
      <c r="A802">
        <v>817</v>
      </c>
      <c r="B802" t="s">
        <v>2604</v>
      </c>
      <c r="C802" t="s">
        <v>376</v>
      </c>
      <c r="D802" t="s">
        <v>2604</v>
      </c>
      <c r="E802" t="s">
        <v>37</v>
      </c>
      <c r="F802" t="s">
        <v>38</v>
      </c>
      <c r="G802" s="2">
        <v>45846</v>
      </c>
      <c r="H802">
        <v>4.4000000000000004</v>
      </c>
      <c r="I802" t="s">
        <v>72</v>
      </c>
      <c r="J802" t="s">
        <v>40</v>
      </c>
      <c r="K802" t="s">
        <v>41</v>
      </c>
      <c r="L802" t="s">
        <v>2605</v>
      </c>
      <c r="M802" t="s">
        <v>2606</v>
      </c>
      <c r="N802" t="s">
        <v>2712</v>
      </c>
      <c r="O802" t="s">
        <v>79</v>
      </c>
      <c r="P802" t="s">
        <v>80</v>
      </c>
      <c r="Q802">
        <v>4.4341178487418098</v>
      </c>
      <c r="R802" t="s">
        <v>46</v>
      </c>
      <c r="S802" t="s">
        <v>47</v>
      </c>
      <c r="T802" t="s">
        <v>2846</v>
      </c>
      <c r="V802" t="s">
        <v>71</v>
      </c>
      <c r="X802" t="s">
        <v>2714</v>
      </c>
      <c r="Y802" t="s">
        <v>412</v>
      </c>
      <c r="Z802" t="s">
        <v>2623</v>
      </c>
      <c r="AA802" t="s">
        <v>896</v>
      </c>
      <c r="AB802" t="s">
        <v>41</v>
      </c>
      <c r="AD802" t="s">
        <v>620</v>
      </c>
      <c r="AF802" t="s">
        <v>2667</v>
      </c>
      <c r="AJ802">
        <v>563.88915225305254</v>
      </c>
      <c r="AK802">
        <v>17944.310071027769</v>
      </c>
    </row>
    <row r="803" spans="1:37" hidden="1" x14ac:dyDescent="0.25">
      <c r="A803">
        <v>818</v>
      </c>
      <c r="B803" t="s">
        <v>2604</v>
      </c>
      <c r="C803" t="s">
        <v>376</v>
      </c>
      <c r="D803" t="s">
        <v>2604</v>
      </c>
      <c r="E803" t="s">
        <v>37</v>
      </c>
      <c r="F803" t="s">
        <v>38</v>
      </c>
      <c r="G803" s="2">
        <v>45846</v>
      </c>
      <c r="H803">
        <v>1.1000000000000001</v>
      </c>
      <c r="I803" t="s">
        <v>72</v>
      </c>
      <c r="J803" t="s">
        <v>40</v>
      </c>
      <c r="K803" t="s">
        <v>41</v>
      </c>
      <c r="L803" t="s">
        <v>2605</v>
      </c>
      <c r="M803" t="s">
        <v>2606</v>
      </c>
      <c r="N803" t="s">
        <v>2712</v>
      </c>
      <c r="O803" t="s">
        <v>79</v>
      </c>
      <c r="P803" t="s">
        <v>80</v>
      </c>
      <c r="Q803">
        <v>1.113149392381241</v>
      </c>
      <c r="R803" t="s">
        <v>46</v>
      </c>
      <c r="S803" t="s">
        <v>47</v>
      </c>
      <c r="T803" t="s">
        <v>2846</v>
      </c>
      <c r="V803" t="s">
        <v>71</v>
      </c>
      <c r="X803" t="s">
        <v>2714</v>
      </c>
      <c r="Y803" t="s">
        <v>412</v>
      </c>
      <c r="Z803" t="s">
        <v>2623</v>
      </c>
      <c r="AA803" t="s">
        <v>397</v>
      </c>
      <c r="AB803" t="s">
        <v>41</v>
      </c>
      <c r="AD803" t="s">
        <v>620</v>
      </c>
      <c r="AF803" t="s">
        <v>2667</v>
      </c>
      <c r="AJ803">
        <v>342.90237999456508</v>
      </c>
      <c r="AK803">
        <v>4504.7737867258111</v>
      </c>
    </row>
    <row r="804" spans="1:37" hidden="1" x14ac:dyDescent="0.25">
      <c r="A804">
        <v>819</v>
      </c>
      <c r="B804" t="s">
        <v>2604</v>
      </c>
      <c r="C804" t="s">
        <v>376</v>
      </c>
      <c r="D804" t="s">
        <v>2604</v>
      </c>
      <c r="E804" t="s">
        <v>37</v>
      </c>
      <c r="F804" t="s">
        <v>38</v>
      </c>
      <c r="G804" s="2">
        <v>45846</v>
      </c>
      <c r="H804">
        <v>9.9</v>
      </c>
      <c r="I804" t="s">
        <v>72</v>
      </c>
      <c r="J804" t="s">
        <v>40</v>
      </c>
      <c r="K804" t="s">
        <v>41</v>
      </c>
      <c r="L804" t="s">
        <v>2605</v>
      </c>
      <c r="M804" t="s">
        <v>2606</v>
      </c>
      <c r="N804" t="s">
        <v>2712</v>
      </c>
      <c r="O804" t="s">
        <v>79</v>
      </c>
      <c r="P804" t="s">
        <v>80</v>
      </c>
      <c r="Q804">
        <v>9.9316711795557051</v>
      </c>
      <c r="R804" t="s">
        <v>46</v>
      </c>
      <c r="S804" t="s">
        <v>47</v>
      </c>
      <c r="T804" t="s">
        <v>2846</v>
      </c>
      <c r="V804" t="s">
        <v>71</v>
      </c>
      <c r="X804" t="s">
        <v>2714</v>
      </c>
      <c r="Y804" t="s">
        <v>412</v>
      </c>
      <c r="Z804" t="s">
        <v>2623</v>
      </c>
      <c r="AA804" t="s">
        <v>397</v>
      </c>
      <c r="AB804" t="s">
        <v>41</v>
      </c>
      <c r="AD804" t="s">
        <v>620</v>
      </c>
      <c r="AF804" t="s">
        <v>2667</v>
      </c>
      <c r="AJ804">
        <v>846.37770191169989</v>
      </c>
      <c r="AK804">
        <v>40192.208066821477</v>
      </c>
    </row>
    <row r="805" spans="1:37" hidden="1" x14ac:dyDescent="0.25">
      <c r="A805">
        <v>820</v>
      </c>
      <c r="B805" t="s">
        <v>2604</v>
      </c>
      <c r="C805" t="s">
        <v>376</v>
      </c>
      <c r="D805" t="s">
        <v>2604</v>
      </c>
      <c r="E805" t="s">
        <v>37</v>
      </c>
      <c r="F805" t="s">
        <v>38</v>
      </c>
      <c r="G805" s="2">
        <v>45846</v>
      </c>
      <c r="H805">
        <v>0.7</v>
      </c>
      <c r="I805" t="s">
        <v>72</v>
      </c>
      <c r="J805" t="s">
        <v>40</v>
      </c>
      <c r="K805" t="s">
        <v>41</v>
      </c>
      <c r="L805" t="s">
        <v>2605</v>
      </c>
      <c r="M805" t="s">
        <v>2606</v>
      </c>
      <c r="N805" t="s">
        <v>2712</v>
      </c>
      <c r="O805" t="s">
        <v>79</v>
      </c>
      <c r="P805" t="s">
        <v>80</v>
      </c>
      <c r="Q805">
        <v>0.69261012785781606</v>
      </c>
      <c r="R805" t="s">
        <v>46</v>
      </c>
      <c r="S805" t="s">
        <v>47</v>
      </c>
      <c r="T805" t="s">
        <v>2846</v>
      </c>
      <c r="V805" t="s">
        <v>71</v>
      </c>
      <c r="X805" t="s">
        <v>2714</v>
      </c>
      <c r="Y805" t="s">
        <v>412</v>
      </c>
      <c r="Z805" t="s">
        <v>2623</v>
      </c>
      <c r="AA805" t="s">
        <v>397</v>
      </c>
      <c r="AB805" t="s">
        <v>41</v>
      </c>
      <c r="AD805" t="s">
        <v>620</v>
      </c>
      <c r="AF805" t="s">
        <v>2925</v>
      </c>
      <c r="AJ805">
        <v>213.76855074270611</v>
      </c>
      <c r="AK805">
        <v>2802.904955749299</v>
      </c>
    </row>
    <row r="806" spans="1:37" hidden="1" x14ac:dyDescent="0.25">
      <c r="A806">
        <v>821</v>
      </c>
      <c r="B806" t="s">
        <v>2604</v>
      </c>
      <c r="C806" t="s">
        <v>376</v>
      </c>
      <c r="D806" t="s">
        <v>2604</v>
      </c>
      <c r="E806" t="s">
        <v>37</v>
      </c>
      <c r="F806" t="s">
        <v>38</v>
      </c>
      <c r="G806" s="2">
        <v>45845</v>
      </c>
      <c r="H806">
        <v>5.6</v>
      </c>
      <c r="I806" t="s">
        <v>72</v>
      </c>
      <c r="J806" t="s">
        <v>40</v>
      </c>
      <c r="K806" t="s">
        <v>41</v>
      </c>
      <c r="L806" t="s">
        <v>2605</v>
      </c>
      <c r="M806" t="s">
        <v>2606</v>
      </c>
      <c r="N806" t="s">
        <v>2702</v>
      </c>
      <c r="O806" t="s">
        <v>113</v>
      </c>
      <c r="P806" t="s">
        <v>114</v>
      </c>
      <c r="Q806">
        <v>5.6344073988525931</v>
      </c>
      <c r="R806" t="s">
        <v>46</v>
      </c>
      <c r="S806" t="s">
        <v>47</v>
      </c>
      <c r="T806" t="s">
        <v>2986</v>
      </c>
      <c r="V806" t="s">
        <v>71</v>
      </c>
      <c r="X806" t="s">
        <v>2987</v>
      </c>
      <c r="Y806" t="s">
        <v>412</v>
      </c>
      <c r="Z806" t="s">
        <v>2623</v>
      </c>
      <c r="AA806" t="s">
        <v>397</v>
      </c>
      <c r="AB806" t="s">
        <v>41</v>
      </c>
      <c r="AD806" t="s">
        <v>620</v>
      </c>
      <c r="AF806" t="s">
        <v>2174</v>
      </c>
      <c r="AJ806">
        <v>710.46427631326719</v>
      </c>
      <c r="AK806">
        <v>22801.728975289388</v>
      </c>
    </row>
    <row r="807" spans="1:37" x14ac:dyDescent="0.25">
      <c r="A807">
        <v>838</v>
      </c>
      <c r="B807" t="s">
        <v>2604</v>
      </c>
      <c r="C807" t="s">
        <v>376</v>
      </c>
      <c r="D807" t="s">
        <v>2604</v>
      </c>
      <c r="E807" t="s">
        <v>37</v>
      </c>
      <c r="F807" t="s">
        <v>38</v>
      </c>
      <c r="G807" s="2">
        <v>45846</v>
      </c>
      <c r="H807">
        <v>0.2</v>
      </c>
      <c r="I807" t="s">
        <v>72</v>
      </c>
      <c r="J807" t="s">
        <v>40</v>
      </c>
      <c r="K807" t="s">
        <v>41</v>
      </c>
      <c r="L807" t="s">
        <v>2605</v>
      </c>
      <c r="M807" t="s">
        <v>2606</v>
      </c>
      <c r="O807" t="s">
        <v>62</v>
      </c>
      <c r="P807" t="s">
        <v>63</v>
      </c>
      <c r="Q807">
        <v>7.491816185064859E-2</v>
      </c>
      <c r="R807" t="s">
        <v>64</v>
      </c>
      <c r="S807" t="s">
        <v>65</v>
      </c>
      <c r="T807" t="s">
        <v>2747</v>
      </c>
      <c r="V807" t="s">
        <v>3828</v>
      </c>
      <c r="X807" t="s">
        <v>3829</v>
      </c>
      <c r="Y807" t="s">
        <v>420</v>
      </c>
      <c r="Z807" t="s">
        <v>2623</v>
      </c>
      <c r="AA807" t="s">
        <v>73</v>
      </c>
      <c r="AB807" t="s">
        <v>41</v>
      </c>
      <c r="AJ807">
        <v>70.377337627170945</v>
      </c>
      <c r="AK807">
        <v>303.18425717551588</v>
      </c>
    </row>
    <row r="808" spans="1:37" hidden="1" x14ac:dyDescent="0.25">
      <c r="A808">
        <v>823</v>
      </c>
      <c r="B808" t="s">
        <v>2604</v>
      </c>
      <c r="C808" t="s">
        <v>376</v>
      </c>
      <c r="D808" t="s">
        <v>2604</v>
      </c>
      <c r="E808" t="s">
        <v>37</v>
      </c>
      <c r="F808" t="s">
        <v>38</v>
      </c>
      <c r="G808" s="2">
        <v>45845</v>
      </c>
      <c r="H808">
        <v>9.1999999999999993</v>
      </c>
      <c r="I808" t="s">
        <v>72</v>
      </c>
      <c r="J808" t="s">
        <v>40</v>
      </c>
      <c r="K808" t="s">
        <v>41</v>
      </c>
      <c r="L808" t="s">
        <v>2605</v>
      </c>
      <c r="M808" t="s">
        <v>2606</v>
      </c>
      <c r="N808" t="s">
        <v>2702</v>
      </c>
      <c r="O808" t="s">
        <v>79</v>
      </c>
      <c r="P808" t="s">
        <v>80</v>
      </c>
      <c r="Q808">
        <v>9.2929933560232776</v>
      </c>
      <c r="R808" t="s">
        <v>46</v>
      </c>
      <c r="S808" t="s">
        <v>47</v>
      </c>
      <c r="T808" t="s">
        <v>2923</v>
      </c>
      <c r="V808" t="s">
        <v>71</v>
      </c>
      <c r="X808" t="s">
        <v>2924</v>
      </c>
      <c r="Y808" t="s">
        <v>412</v>
      </c>
      <c r="Z808" t="s">
        <v>2623</v>
      </c>
      <c r="AA808" t="s">
        <v>397</v>
      </c>
      <c r="AB808" t="s">
        <v>41</v>
      </c>
      <c r="AD808" t="s">
        <v>620</v>
      </c>
      <c r="AF808" t="s">
        <v>3138</v>
      </c>
      <c r="AJ808">
        <v>768.56482178627755</v>
      </c>
      <c r="AK808">
        <v>37607.560276234013</v>
      </c>
    </row>
    <row r="809" spans="1:37" hidden="1" x14ac:dyDescent="0.25">
      <c r="A809">
        <v>824</v>
      </c>
      <c r="B809" t="s">
        <v>2604</v>
      </c>
      <c r="C809" t="s">
        <v>376</v>
      </c>
      <c r="D809" t="s">
        <v>2604</v>
      </c>
      <c r="E809" t="s">
        <v>37</v>
      </c>
      <c r="F809" t="s">
        <v>38</v>
      </c>
      <c r="G809" s="2">
        <v>45845</v>
      </c>
      <c r="H809">
        <v>0.9</v>
      </c>
      <c r="I809" t="s">
        <v>72</v>
      </c>
      <c r="J809" t="s">
        <v>40</v>
      </c>
      <c r="K809" t="s">
        <v>41</v>
      </c>
      <c r="L809" t="s">
        <v>2605</v>
      </c>
      <c r="M809" t="s">
        <v>2606</v>
      </c>
      <c r="N809" t="s">
        <v>2702</v>
      </c>
      <c r="O809" t="s">
        <v>79</v>
      </c>
      <c r="P809" t="s">
        <v>80</v>
      </c>
      <c r="Q809">
        <v>1.6903297289693751</v>
      </c>
      <c r="R809" t="s">
        <v>46</v>
      </c>
      <c r="S809" t="s">
        <v>47</v>
      </c>
      <c r="T809" t="s">
        <v>2923</v>
      </c>
      <c r="V809" t="s">
        <v>71</v>
      </c>
      <c r="X809" t="s">
        <v>2924</v>
      </c>
      <c r="Y809" t="s">
        <v>412</v>
      </c>
      <c r="Z809" t="s">
        <v>2623</v>
      </c>
      <c r="AA809" t="s">
        <v>125</v>
      </c>
      <c r="AB809" t="s">
        <v>41</v>
      </c>
      <c r="AD809" t="s">
        <v>620</v>
      </c>
      <c r="AF809" t="s">
        <v>3138</v>
      </c>
      <c r="AJ809">
        <v>402.21073579973148</v>
      </c>
      <c r="AK809">
        <v>6840.5490818223316</v>
      </c>
    </row>
    <row r="810" spans="1:37" x14ac:dyDescent="0.25">
      <c r="A810">
        <v>839</v>
      </c>
      <c r="B810" t="s">
        <v>2604</v>
      </c>
      <c r="C810" t="s">
        <v>376</v>
      </c>
      <c r="D810" t="s">
        <v>2604</v>
      </c>
      <c r="E810" t="s">
        <v>37</v>
      </c>
      <c r="F810" t="s">
        <v>38</v>
      </c>
      <c r="G810" s="2">
        <v>45845</v>
      </c>
      <c r="H810">
        <v>1</v>
      </c>
      <c r="I810" t="s">
        <v>72</v>
      </c>
      <c r="J810" t="s">
        <v>40</v>
      </c>
      <c r="K810" t="s">
        <v>41</v>
      </c>
      <c r="L810" t="s">
        <v>2605</v>
      </c>
      <c r="M810" t="s">
        <v>2606</v>
      </c>
      <c r="N810" t="s">
        <v>2702</v>
      </c>
      <c r="O810" t="s">
        <v>62</v>
      </c>
      <c r="P810" t="s">
        <v>63</v>
      </c>
      <c r="Q810">
        <v>1.323575173211841</v>
      </c>
      <c r="R810" t="s">
        <v>64</v>
      </c>
      <c r="S810" t="s">
        <v>65</v>
      </c>
      <c r="T810" t="s">
        <v>2883</v>
      </c>
      <c r="V810" t="s">
        <v>618</v>
      </c>
      <c r="X810" t="s">
        <v>2880</v>
      </c>
      <c r="Y810" t="s">
        <v>412</v>
      </c>
      <c r="Z810" t="s">
        <v>2623</v>
      </c>
      <c r="AA810" t="s">
        <v>70</v>
      </c>
      <c r="AB810" t="s">
        <v>41</v>
      </c>
      <c r="AD810" t="s">
        <v>620</v>
      </c>
      <c r="AF810" t="s">
        <v>1097</v>
      </c>
      <c r="AJ810">
        <v>352.4942613594244</v>
      </c>
      <c r="AK810">
        <v>5356.3401155805677</v>
      </c>
    </row>
    <row r="811" spans="1:37" x14ac:dyDescent="0.25">
      <c r="A811">
        <v>840</v>
      </c>
      <c r="B811" t="s">
        <v>2604</v>
      </c>
      <c r="C811" t="s">
        <v>376</v>
      </c>
      <c r="D811" t="s">
        <v>2604</v>
      </c>
      <c r="E811" t="s">
        <v>37</v>
      </c>
      <c r="F811" t="s">
        <v>38</v>
      </c>
      <c r="G811" s="2">
        <v>45846</v>
      </c>
      <c r="H811">
        <v>1.2</v>
      </c>
      <c r="I811" t="s">
        <v>72</v>
      </c>
      <c r="J811" t="s">
        <v>40</v>
      </c>
      <c r="K811" t="s">
        <v>41</v>
      </c>
      <c r="L811" t="s">
        <v>2605</v>
      </c>
      <c r="M811" t="s">
        <v>2606</v>
      </c>
      <c r="N811" t="s">
        <v>2712</v>
      </c>
      <c r="O811" t="s">
        <v>62</v>
      </c>
      <c r="P811" t="s">
        <v>63</v>
      </c>
      <c r="Q811">
        <v>1.142761901234598</v>
      </c>
      <c r="R811" t="s">
        <v>64</v>
      </c>
      <c r="S811" t="s">
        <v>65</v>
      </c>
      <c r="T811" t="s">
        <v>3830</v>
      </c>
      <c r="V811" t="s">
        <v>681</v>
      </c>
      <c r="X811" t="s">
        <v>2714</v>
      </c>
      <c r="Y811" t="s">
        <v>412</v>
      </c>
      <c r="Z811" t="s">
        <v>2623</v>
      </c>
      <c r="AA811" t="s">
        <v>70</v>
      </c>
      <c r="AB811" t="s">
        <v>41</v>
      </c>
      <c r="AD811" t="s">
        <v>620</v>
      </c>
      <c r="AF811" t="s">
        <v>2667</v>
      </c>
      <c r="AJ811">
        <v>354.70552376455652</v>
      </c>
      <c r="AK811">
        <v>4624.6118377141211</v>
      </c>
    </row>
    <row r="812" spans="1:37" x14ac:dyDescent="0.25">
      <c r="A812">
        <v>841</v>
      </c>
      <c r="B812" t="s">
        <v>2604</v>
      </c>
      <c r="C812" t="s">
        <v>376</v>
      </c>
      <c r="D812" t="s">
        <v>2604</v>
      </c>
      <c r="E812" t="s">
        <v>37</v>
      </c>
      <c r="F812" t="s">
        <v>38</v>
      </c>
      <c r="G812" s="2">
        <v>45846</v>
      </c>
      <c r="H812">
        <v>4.4000000000000004</v>
      </c>
      <c r="I812" t="s">
        <v>72</v>
      </c>
      <c r="J812" t="s">
        <v>40</v>
      </c>
      <c r="K812" t="s">
        <v>41</v>
      </c>
      <c r="L812" t="s">
        <v>2605</v>
      </c>
      <c r="M812" t="s">
        <v>2606</v>
      </c>
      <c r="N812" t="s">
        <v>2712</v>
      </c>
      <c r="O812" t="s">
        <v>62</v>
      </c>
      <c r="P812" t="s">
        <v>63</v>
      </c>
      <c r="Q812">
        <v>4.4771302875646857</v>
      </c>
      <c r="R812" t="s">
        <v>64</v>
      </c>
      <c r="S812" t="s">
        <v>65</v>
      </c>
      <c r="T812" t="s">
        <v>3831</v>
      </c>
      <c r="V812" t="s">
        <v>681</v>
      </c>
      <c r="X812" t="s">
        <v>2714</v>
      </c>
      <c r="Y812" t="s">
        <v>412</v>
      </c>
      <c r="Z812" t="s">
        <v>2623</v>
      </c>
      <c r="AA812" t="s">
        <v>70</v>
      </c>
      <c r="AB812" t="s">
        <v>41</v>
      </c>
      <c r="AD812" t="s">
        <v>620</v>
      </c>
      <c r="AF812" t="s">
        <v>2667</v>
      </c>
      <c r="AJ812">
        <v>556.54007372367869</v>
      </c>
      <c r="AK812">
        <v>18118.37593158396</v>
      </c>
    </row>
    <row r="813" spans="1:37" x14ac:dyDescent="0.25">
      <c r="A813">
        <v>842</v>
      </c>
      <c r="B813" t="s">
        <v>2604</v>
      </c>
      <c r="C813" t="s">
        <v>376</v>
      </c>
      <c r="D813" t="s">
        <v>2604</v>
      </c>
      <c r="E813" t="s">
        <v>37</v>
      </c>
      <c r="F813" t="s">
        <v>38</v>
      </c>
      <c r="G813" s="2">
        <v>45846</v>
      </c>
      <c r="H813">
        <v>2.8</v>
      </c>
      <c r="I813" t="s">
        <v>72</v>
      </c>
      <c r="J813" t="s">
        <v>40</v>
      </c>
      <c r="K813" t="s">
        <v>41</v>
      </c>
      <c r="L813" t="s">
        <v>2605</v>
      </c>
      <c r="M813" t="s">
        <v>2606</v>
      </c>
      <c r="N813" t="s">
        <v>2712</v>
      </c>
      <c r="O813" t="s">
        <v>62</v>
      </c>
      <c r="P813" t="s">
        <v>63</v>
      </c>
      <c r="Q813">
        <v>2.9853187538260468</v>
      </c>
      <c r="R813" t="s">
        <v>64</v>
      </c>
      <c r="S813" t="s">
        <v>65</v>
      </c>
      <c r="T813" t="s">
        <v>2846</v>
      </c>
      <c r="V813" t="s">
        <v>681</v>
      </c>
      <c r="X813" t="s">
        <v>2714</v>
      </c>
      <c r="Y813" t="s">
        <v>412</v>
      </c>
      <c r="Z813" t="s">
        <v>2623</v>
      </c>
      <c r="AA813" t="s">
        <v>70</v>
      </c>
      <c r="AB813" t="s">
        <v>41</v>
      </c>
      <c r="AD813" t="s">
        <v>620</v>
      </c>
      <c r="AF813" t="s">
        <v>2667</v>
      </c>
      <c r="AJ813">
        <v>485.98977585670667</v>
      </c>
      <c r="AK813">
        <v>12081.204696602559</v>
      </c>
    </row>
    <row r="814" spans="1:37" hidden="1" x14ac:dyDescent="0.25">
      <c r="A814">
        <v>829</v>
      </c>
      <c r="B814" t="s">
        <v>2604</v>
      </c>
      <c r="C814" t="s">
        <v>376</v>
      </c>
      <c r="D814" t="s">
        <v>2604</v>
      </c>
      <c r="E814" t="s">
        <v>37</v>
      </c>
      <c r="F814" t="s">
        <v>38</v>
      </c>
      <c r="G814" s="2">
        <v>45845</v>
      </c>
      <c r="H814">
        <v>0.8</v>
      </c>
      <c r="I814" t="s">
        <v>72</v>
      </c>
      <c r="J814" t="s">
        <v>40</v>
      </c>
      <c r="K814" t="s">
        <v>41</v>
      </c>
      <c r="L814" t="s">
        <v>2605</v>
      </c>
      <c r="M814" t="s">
        <v>2606</v>
      </c>
      <c r="N814" t="s">
        <v>2702</v>
      </c>
      <c r="O814" t="s">
        <v>79</v>
      </c>
      <c r="P814" t="s">
        <v>80</v>
      </c>
      <c r="Q814">
        <v>0.68802061255777625</v>
      </c>
      <c r="R814" t="s">
        <v>46</v>
      </c>
      <c r="S814" t="s">
        <v>47</v>
      </c>
      <c r="T814" t="s">
        <v>2915</v>
      </c>
      <c r="V814" t="s">
        <v>125</v>
      </c>
      <c r="X814" t="s">
        <v>2893</v>
      </c>
      <c r="Y814" t="s">
        <v>412</v>
      </c>
      <c r="Z814" t="s">
        <v>2623</v>
      </c>
      <c r="AA814" t="s">
        <v>71</v>
      </c>
      <c r="AB814" t="s">
        <v>41</v>
      </c>
      <c r="AD814" t="s">
        <v>620</v>
      </c>
      <c r="AF814" t="s">
        <v>2667</v>
      </c>
      <c r="AJ814">
        <v>244.1396818846882</v>
      </c>
      <c r="AK814">
        <v>2784.3317719889692</v>
      </c>
    </row>
    <row r="815" spans="1:37" hidden="1" x14ac:dyDescent="0.25">
      <c r="A815">
        <v>830</v>
      </c>
      <c r="B815" t="s">
        <v>2604</v>
      </c>
      <c r="C815" t="s">
        <v>376</v>
      </c>
      <c r="D815" t="s">
        <v>2604</v>
      </c>
      <c r="E815" t="s">
        <v>37</v>
      </c>
      <c r="F815" t="s">
        <v>38</v>
      </c>
      <c r="G815" s="2">
        <v>45845</v>
      </c>
      <c r="H815">
        <v>2.6</v>
      </c>
      <c r="I815" t="s">
        <v>72</v>
      </c>
      <c r="J815" t="s">
        <v>40</v>
      </c>
      <c r="K815" t="s">
        <v>41</v>
      </c>
      <c r="L815" t="s">
        <v>2605</v>
      </c>
      <c r="M815" t="s">
        <v>2606</v>
      </c>
      <c r="N815" t="s">
        <v>2702</v>
      </c>
      <c r="O815" t="s">
        <v>79</v>
      </c>
      <c r="P815" t="s">
        <v>80</v>
      </c>
      <c r="Q815">
        <v>3.0303986894349801</v>
      </c>
      <c r="R815" t="s">
        <v>46</v>
      </c>
      <c r="S815" t="s">
        <v>47</v>
      </c>
      <c r="T815" t="s">
        <v>2915</v>
      </c>
      <c r="V815" t="s">
        <v>125</v>
      </c>
      <c r="X815" t="s">
        <v>2893</v>
      </c>
      <c r="Y815" t="s">
        <v>412</v>
      </c>
      <c r="Z815" t="s">
        <v>2623</v>
      </c>
      <c r="AA815" t="s">
        <v>125</v>
      </c>
      <c r="AB815" t="s">
        <v>41</v>
      </c>
      <c r="AD815" t="s">
        <v>620</v>
      </c>
      <c r="AF815" t="s">
        <v>2667</v>
      </c>
      <c r="AJ815">
        <v>622.5111495438307</v>
      </c>
      <c r="AK815">
        <v>12263.63745327325</v>
      </c>
    </row>
    <row r="816" spans="1:37" x14ac:dyDescent="0.25">
      <c r="A816">
        <v>843</v>
      </c>
      <c r="B816" t="s">
        <v>2604</v>
      </c>
      <c r="C816" t="s">
        <v>376</v>
      </c>
      <c r="D816" t="s">
        <v>2604</v>
      </c>
      <c r="E816" t="s">
        <v>37</v>
      </c>
      <c r="F816" t="s">
        <v>38</v>
      </c>
      <c r="G816" s="2">
        <v>45846</v>
      </c>
      <c r="H816">
        <v>0.6</v>
      </c>
      <c r="I816" t="s">
        <v>72</v>
      </c>
      <c r="J816" t="s">
        <v>40</v>
      </c>
      <c r="K816" t="s">
        <v>41</v>
      </c>
      <c r="L816" t="s">
        <v>2605</v>
      </c>
      <c r="M816" t="s">
        <v>2606</v>
      </c>
      <c r="N816" t="s">
        <v>2712</v>
      </c>
      <c r="O816" t="s">
        <v>62</v>
      </c>
      <c r="P816" t="s">
        <v>63</v>
      </c>
      <c r="Q816">
        <v>0.69926830900299619</v>
      </c>
      <c r="R816" t="s">
        <v>64</v>
      </c>
      <c r="S816" t="s">
        <v>65</v>
      </c>
      <c r="T816" t="s">
        <v>2846</v>
      </c>
      <c r="V816" t="s">
        <v>681</v>
      </c>
      <c r="X816" t="s">
        <v>2714</v>
      </c>
      <c r="Y816" t="s">
        <v>412</v>
      </c>
      <c r="Z816" t="s">
        <v>2623</v>
      </c>
      <c r="AA816" t="s">
        <v>70</v>
      </c>
      <c r="AB816" t="s">
        <v>41</v>
      </c>
      <c r="AD816" t="s">
        <v>620</v>
      </c>
      <c r="AF816" t="s">
        <v>2667</v>
      </c>
      <c r="AJ816">
        <v>421.94666051467431</v>
      </c>
      <c r="AK816">
        <v>2829.8497666573098</v>
      </c>
    </row>
    <row r="817" spans="1:37" x14ac:dyDescent="0.25">
      <c r="A817">
        <v>844</v>
      </c>
      <c r="B817" t="s">
        <v>2604</v>
      </c>
      <c r="C817" t="s">
        <v>376</v>
      </c>
      <c r="D817" t="s">
        <v>2604</v>
      </c>
      <c r="E817" t="s">
        <v>37</v>
      </c>
      <c r="F817" t="s">
        <v>38</v>
      </c>
      <c r="G817" s="2">
        <v>45846</v>
      </c>
      <c r="H817">
        <v>4.3</v>
      </c>
      <c r="I817" t="s">
        <v>72</v>
      </c>
      <c r="J817" t="s">
        <v>40</v>
      </c>
      <c r="K817" t="s">
        <v>41</v>
      </c>
      <c r="L817" t="s">
        <v>2605</v>
      </c>
      <c r="M817" t="s">
        <v>2606</v>
      </c>
      <c r="N817" t="s">
        <v>2712</v>
      </c>
      <c r="O817" t="s">
        <v>62</v>
      </c>
      <c r="P817" t="s">
        <v>63</v>
      </c>
      <c r="Q817">
        <v>4.2483308202210948</v>
      </c>
      <c r="R817" t="s">
        <v>64</v>
      </c>
      <c r="S817" t="s">
        <v>65</v>
      </c>
      <c r="T817" t="s">
        <v>3832</v>
      </c>
      <c r="V817" t="s">
        <v>681</v>
      </c>
      <c r="X817" t="s">
        <v>2714</v>
      </c>
      <c r="Y817" t="s">
        <v>412</v>
      </c>
      <c r="Z817" t="s">
        <v>2623</v>
      </c>
      <c r="AA817" t="s">
        <v>70</v>
      </c>
      <c r="AB817" t="s">
        <v>41</v>
      </c>
      <c r="AD817" t="s">
        <v>620</v>
      </c>
      <c r="AF817" t="s">
        <v>2641</v>
      </c>
      <c r="AJ817">
        <v>673.67388431444556</v>
      </c>
      <c r="AK817">
        <v>17192.45363403736</v>
      </c>
    </row>
    <row r="818" spans="1:37" hidden="1" x14ac:dyDescent="0.25">
      <c r="A818">
        <v>833</v>
      </c>
      <c r="B818" t="s">
        <v>2604</v>
      </c>
      <c r="C818" t="s">
        <v>376</v>
      </c>
      <c r="D818" t="s">
        <v>2604</v>
      </c>
      <c r="E818" t="s">
        <v>37</v>
      </c>
      <c r="F818" t="s">
        <v>38</v>
      </c>
      <c r="G818" s="2">
        <v>45845</v>
      </c>
      <c r="H818">
        <v>0.4</v>
      </c>
      <c r="I818" t="s">
        <v>72</v>
      </c>
      <c r="J818" t="s">
        <v>40</v>
      </c>
      <c r="K818" t="s">
        <v>41</v>
      </c>
      <c r="L818" t="s">
        <v>2605</v>
      </c>
      <c r="M818" t="s">
        <v>2606</v>
      </c>
      <c r="O818" t="s">
        <v>115</v>
      </c>
      <c r="P818" t="s">
        <v>137</v>
      </c>
      <c r="Q818">
        <v>0.35810655990228368</v>
      </c>
      <c r="S818" t="s">
        <v>38</v>
      </c>
      <c r="T818" t="s">
        <v>3826</v>
      </c>
      <c r="V818" t="s">
        <v>618</v>
      </c>
      <c r="X818" t="s">
        <v>2814</v>
      </c>
      <c r="Y818" t="s">
        <v>412</v>
      </c>
      <c r="Z818" t="s">
        <v>2623</v>
      </c>
      <c r="AA818" t="s">
        <v>71</v>
      </c>
      <c r="AB818" t="s">
        <v>41</v>
      </c>
      <c r="AD818" t="s">
        <v>2870</v>
      </c>
      <c r="AF818" t="s">
        <v>2828</v>
      </c>
      <c r="AJ818">
        <v>144.32737249026431</v>
      </c>
      <c r="AK818">
        <v>1449.211628684845</v>
      </c>
    </row>
    <row r="819" spans="1:37" hidden="1" x14ac:dyDescent="0.25">
      <c r="A819">
        <v>834</v>
      </c>
      <c r="B819" t="s">
        <v>2604</v>
      </c>
      <c r="C819" t="s">
        <v>376</v>
      </c>
      <c r="D819" t="s">
        <v>2604</v>
      </c>
      <c r="E819" t="s">
        <v>37</v>
      </c>
      <c r="F819" t="s">
        <v>38</v>
      </c>
      <c r="G819" s="2">
        <v>45846</v>
      </c>
      <c r="H819">
        <v>0.2</v>
      </c>
      <c r="I819" t="s">
        <v>72</v>
      </c>
      <c r="J819" t="s">
        <v>40</v>
      </c>
      <c r="K819" t="s">
        <v>41</v>
      </c>
      <c r="L819" t="s">
        <v>2605</v>
      </c>
      <c r="M819" t="s">
        <v>2606</v>
      </c>
      <c r="N819" t="s">
        <v>2712</v>
      </c>
      <c r="O819" t="s">
        <v>113</v>
      </c>
      <c r="P819" t="s">
        <v>114</v>
      </c>
      <c r="Q819">
        <v>0.27404403332282751</v>
      </c>
      <c r="R819" t="s">
        <v>46</v>
      </c>
      <c r="S819" t="s">
        <v>47</v>
      </c>
      <c r="T819" t="s">
        <v>2846</v>
      </c>
      <c r="V819" t="s">
        <v>125</v>
      </c>
      <c r="X819" t="s">
        <v>2714</v>
      </c>
      <c r="Y819" t="s">
        <v>412</v>
      </c>
      <c r="Z819" t="s">
        <v>2623</v>
      </c>
      <c r="AA819" t="s">
        <v>618</v>
      </c>
      <c r="AB819" t="s">
        <v>41</v>
      </c>
      <c r="AD819" t="s">
        <v>620</v>
      </c>
      <c r="AF819" t="s">
        <v>2909</v>
      </c>
      <c r="AJ819">
        <v>197.81319045908731</v>
      </c>
      <c r="AK819">
        <v>1109.0212923536169</v>
      </c>
    </row>
    <row r="820" spans="1:37" x14ac:dyDescent="0.25">
      <c r="A820">
        <v>850</v>
      </c>
      <c r="B820" t="s">
        <v>3833</v>
      </c>
      <c r="C820" t="s">
        <v>376</v>
      </c>
      <c r="D820" t="s">
        <v>2604</v>
      </c>
      <c r="E820" t="s">
        <v>37</v>
      </c>
      <c r="F820" t="s">
        <v>38</v>
      </c>
      <c r="G820" s="2">
        <v>45845</v>
      </c>
      <c r="I820" t="s">
        <v>72</v>
      </c>
      <c r="J820" t="s">
        <v>40</v>
      </c>
      <c r="K820" t="s">
        <v>41</v>
      </c>
      <c r="L820" t="s">
        <v>2605</v>
      </c>
      <c r="M820" t="s">
        <v>2606</v>
      </c>
      <c r="N820" t="s">
        <v>2702</v>
      </c>
      <c r="O820" t="s">
        <v>62</v>
      </c>
      <c r="P820" t="s">
        <v>63</v>
      </c>
      <c r="Q820">
        <v>0.24583653939804051</v>
      </c>
      <c r="R820" t="s">
        <v>64</v>
      </c>
      <c r="S820" t="s">
        <v>65</v>
      </c>
      <c r="V820" t="s">
        <v>70</v>
      </c>
      <c r="Y820" t="s">
        <v>412</v>
      </c>
      <c r="Z820" t="s">
        <v>2623</v>
      </c>
      <c r="AA820" t="s">
        <v>942</v>
      </c>
      <c r="AB820" t="s">
        <v>41</v>
      </c>
      <c r="AJ820">
        <v>135.22966935182831</v>
      </c>
      <c r="AK820">
        <v>994.86915779620267</v>
      </c>
    </row>
    <row r="821" spans="1:37" x14ac:dyDescent="0.25">
      <c r="A821">
        <v>854</v>
      </c>
      <c r="B821" t="s">
        <v>2995</v>
      </c>
      <c r="C821" t="s">
        <v>376</v>
      </c>
      <c r="D821" t="s">
        <v>2604</v>
      </c>
      <c r="E821" t="s">
        <v>37</v>
      </c>
      <c r="F821" t="s">
        <v>38</v>
      </c>
      <c r="G821" s="2">
        <v>45846</v>
      </c>
      <c r="H821">
        <v>17.8</v>
      </c>
      <c r="I821" t="s">
        <v>72</v>
      </c>
      <c r="J821" t="s">
        <v>40</v>
      </c>
      <c r="K821" t="s">
        <v>41</v>
      </c>
      <c r="L821" t="s">
        <v>2605</v>
      </c>
      <c r="M821" t="s">
        <v>2606</v>
      </c>
      <c r="N821" t="s">
        <v>2712</v>
      </c>
      <c r="O821" t="s">
        <v>62</v>
      </c>
      <c r="P821" t="s">
        <v>63</v>
      </c>
      <c r="Q821">
        <v>4.8327181554538674</v>
      </c>
      <c r="R821" t="s">
        <v>64</v>
      </c>
      <c r="S821" t="s">
        <v>65</v>
      </c>
      <c r="T821" t="s">
        <v>2996</v>
      </c>
      <c r="V821" t="s">
        <v>71</v>
      </c>
      <c r="X821" t="s">
        <v>2997</v>
      </c>
      <c r="Y821" t="s">
        <v>412</v>
      </c>
      <c r="Z821" t="s">
        <v>2623</v>
      </c>
      <c r="AA821" t="s">
        <v>896</v>
      </c>
      <c r="AB821" t="s">
        <v>41</v>
      </c>
      <c r="AD821" t="s">
        <v>620</v>
      </c>
      <c r="AF821" t="s">
        <v>2667</v>
      </c>
      <c r="AJ821">
        <v>572.04442654153956</v>
      </c>
      <c r="AK821">
        <v>19557.39473454827</v>
      </c>
    </row>
    <row r="822" spans="1:37" x14ac:dyDescent="0.25">
      <c r="A822">
        <v>856</v>
      </c>
      <c r="B822" t="s">
        <v>2873</v>
      </c>
      <c r="C822" t="s">
        <v>376</v>
      </c>
      <c r="D822" t="s">
        <v>2604</v>
      </c>
      <c r="E822" t="s">
        <v>37</v>
      </c>
      <c r="F822" t="s">
        <v>38</v>
      </c>
      <c r="G822" s="2">
        <v>45846</v>
      </c>
      <c r="H822">
        <v>14.8</v>
      </c>
      <c r="I822" t="s">
        <v>72</v>
      </c>
      <c r="J822" t="s">
        <v>40</v>
      </c>
      <c r="K822" t="s">
        <v>41</v>
      </c>
      <c r="L822" t="s">
        <v>2605</v>
      </c>
      <c r="M822" t="s">
        <v>2606</v>
      </c>
      <c r="O822" t="s">
        <v>62</v>
      </c>
      <c r="P822" t="s">
        <v>63</v>
      </c>
      <c r="Q822">
        <v>1.4471088311778511</v>
      </c>
      <c r="R822" t="s">
        <v>64</v>
      </c>
      <c r="S822" t="s">
        <v>65</v>
      </c>
      <c r="T822" t="s">
        <v>2864</v>
      </c>
      <c r="V822" t="s">
        <v>125</v>
      </c>
      <c r="X822" t="s">
        <v>2865</v>
      </c>
      <c r="Y822" t="s">
        <v>412</v>
      </c>
      <c r="Z822" t="s">
        <v>2623</v>
      </c>
      <c r="AA822" t="s">
        <v>125</v>
      </c>
      <c r="AB822" t="s">
        <v>41</v>
      </c>
      <c r="AD822" t="s">
        <v>2874</v>
      </c>
      <c r="AF822" t="s">
        <v>2667</v>
      </c>
      <c r="AJ822">
        <v>439.35869674413902</v>
      </c>
      <c r="AK822">
        <v>5856.2650924007876</v>
      </c>
    </row>
    <row r="823" spans="1:37" x14ac:dyDescent="0.25">
      <c r="A823">
        <v>857</v>
      </c>
      <c r="B823" t="s">
        <v>2604</v>
      </c>
      <c r="C823" t="s">
        <v>376</v>
      </c>
      <c r="D823" t="s">
        <v>2604</v>
      </c>
      <c r="E823" t="s">
        <v>37</v>
      </c>
      <c r="F823" t="s">
        <v>38</v>
      </c>
      <c r="G823" s="2">
        <v>45869</v>
      </c>
      <c r="H823">
        <v>1.5</v>
      </c>
      <c r="I823" t="s">
        <v>72</v>
      </c>
      <c r="J823" t="s">
        <v>40</v>
      </c>
      <c r="K823" t="s">
        <v>41</v>
      </c>
      <c r="L823" t="s">
        <v>2605</v>
      </c>
      <c r="M823" t="s">
        <v>2606</v>
      </c>
      <c r="N823" t="s">
        <v>57</v>
      </c>
      <c r="O823" t="s">
        <v>62</v>
      </c>
      <c r="P823" t="s">
        <v>63</v>
      </c>
      <c r="Q823">
        <v>1.4399158771100879</v>
      </c>
      <c r="R823" t="s">
        <v>64</v>
      </c>
      <c r="S823" t="s">
        <v>65</v>
      </c>
      <c r="T823" t="s">
        <v>2718</v>
      </c>
      <c r="V823" t="s">
        <v>397</v>
      </c>
      <c r="X823" t="s">
        <v>2719</v>
      </c>
      <c r="Y823" t="s">
        <v>412</v>
      </c>
      <c r="Z823" t="s">
        <v>2623</v>
      </c>
      <c r="AA823" t="s">
        <v>60</v>
      </c>
      <c r="AB823" t="s">
        <v>41</v>
      </c>
      <c r="AC823" t="s">
        <v>3839</v>
      </c>
      <c r="AD823" t="s">
        <v>476</v>
      </c>
      <c r="AF823" t="s">
        <v>3840</v>
      </c>
      <c r="AJ823">
        <v>309.44630522967128</v>
      </c>
      <c r="AK823">
        <v>5827.1561235998752</v>
      </c>
    </row>
    <row r="824" spans="1:37" x14ac:dyDescent="0.25">
      <c r="A824">
        <v>858</v>
      </c>
      <c r="B824" t="s">
        <v>2604</v>
      </c>
      <c r="C824" t="s">
        <v>376</v>
      </c>
      <c r="D824" t="s">
        <v>2604</v>
      </c>
      <c r="E824" t="s">
        <v>37</v>
      </c>
      <c r="F824" t="s">
        <v>38</v>
      </c>
      <c r="G824" s="2">
        <v>45874</v>
      </c>
      <c r="H824">
        <v>0.68</v>
      </c>
      <c r="I824" t="s">
        <v>72</v>
      </c>
      <c r="J824" t="s">
        <v>40</v>
      </c>
      <c r="K824" t="s">
        <v>41</v>
      </c>
      <c r="L824" t="s">
        <v>2605</v>
      </c>
      <c r="M824" t="s">
        <v>2606</v>
      </c>
      <c r="O824" t="s">
        <v>62</v>
      </c>
      <c r="P824" t="s">
        <v>63</v>
      </c>
      <c r="Q824">
        <v>0.68823207268509912</v>
      </c>
      <c r="R824" t="s">
        <v>64</v>
      </c>
      <c r="S824" t="s">
        <v>65</v>
      </c>
      <c r="T824" t="s">
        <v>3841</v>
      </c>
      <c r="V824" t="s">
        <v>576</v>
      </c>
      <c r="X824" t="s">
        <v>3842</v>
      </c>
      <c r="Y824" t="s">
        <v>382</v>
      </c>
      <c r="Z824" t="s">
        <v>383</v>
      </c>
      <c r="AA824" t="s">
        <v>712</v>
      </c>
      <c r="AB824" t="s">
        <v>41</v>
      </c>
      <c r="AC824" t="s">
        <v>3843</v>
      </c>
      <c r="AD824" t="s">
        <v>399</v>
      </c>
      <c r="AF824" t="s">
        <v>400</v>
      </c>
      <c r="AJ824">
        <v>212.985782320364</v>
      </c>
      <c r="AK824">
        <v>2785.1875241863131</v>
      </c>
    </row>
    <row r="825" spans="1:37" x14ac:dyDescent="0.25">
      <c r="A825">
        <v>887</v>
      </c>
      <c r="B825" t="s">
        <v>2604</v>
      </c>
      <c r="C825" t="s">
        <v>376</v>
      </c>
      <c r="D825" t="s">
        <v>2604</v>
      </c>
      <c r="E825" t="s">
        <v>37</v>
      </c>
      <c r="F825" t="s">
        <v>38</v>
      </c>
      <c r="G825" s="2">
        <v>45847</v>
      </c>
      <c r="H825">
        <v>0.74</v>
      </c>
      <c r="I825" t="s">
        <v>72</v>
      </c>
      <c r="J825" t="s">
        <v>40</v>
      </c>
      <c r="K825" t="s">
        <v>41</v>
      </c>
      <c r="L825" t="s">
        <v>2605</v>
      </c>
      <c r="M825" t="s">
        <v>2606</v>
      </c>
      <c r="O825" t="s">
        <v>62</v>
      </c>
      <c r="P825" t="s">
        <v>63</v>
      </c>
      <c r="Q825">
        <v>0.26071488272080828</v>
      </c>
      <c r="R825" t="s">
        <v>64</v>
      </c>
      <c r="S825" t="s">
        <v>65</v>
      </c>
      <c r="T825" t="s">
        <v>3869</v>
      </c>
      <c r="V825" t="s">
        <v>563</v>
      </c>
      <c r="X825" t="s">
        <v>3870</v>
      </c>
      <c r="Y825" t="s">
        <v>412</v>
      </c>
      <c r="Z825" t="s">
        <v>765</v>
      </c>
      <c r="AA825" t="s">
        <v>182</v>
      </c>
      <c r="AB825" t="s">
        <v>41</v>
      </c>
      <c r="AC825" t="s">
        <v>3871</v>
      </c>
      <c r="AD825" t="s">
        <v>822</v>
      </c>
      <c r="AF825" t="s">
        <v>1198</v>
      </c>
      <c r="AJ825">
        <v>132.55874969529799</v>
      </c>
      <c r="AK825">
        <v>1055.0799178694169</v>
      </c>
    </row>
    <row r="826" spans="1:37" x14ac:dyDescent="0.25">
      <c r="A826">
        <v>888</v>
      </c>
      <c r="B826" t="s">
        <v>2604</v>
      </c>
      <c r="C826" t="s">
        <v>376</v>
      </c>
      <c r="D826" t="s">
        <v>2604</v>
      </c>
      <c r="E826" t="s">
        <v>37</v>
      </c>
      <c r="F826" t="s">
        <v>38</v>
      </c>
      <c r="G826" s="2">
        <v>45847</v>
      </c>
      <c r="H826">
        <v>0.26</v>
      </c>
      <c r="I826" t="s">
        <v>72</v>
      </c>
      <c r="J826" t="s">
        <v>40</v>
      </c>
      <c r="K826" t="s">
        <v>41</v>
      </c>
      <c r="L826" t="s">
        <v>2605</v>
      </c>
      <c r="M826" t="s">
        <v>2606</v>
      </c>
      <c r="O826" t="s">
        <v>62</v>
      </c>
      <c r="P826" t="s">
        <v>63</v>
      </c>
      <c r="Q826">
        <v>0.81141113356467898</v>
      </c>
      <c r="R826" t="s">
        <v>64</v>
      </c>
      <c r="S826" t="s">
        <v>65</v>
      </c>
      <c r="T826" t="s">
        <v>3872</v>
      </c>
      <c r="V826" t="s">
        <v>563</v>
      </c>
      <c r="X826" t="s">
        <v>3870</v>
      </c>
      <c r="Y826" t="s">
        <v>412</v>
      </c>
      <c r="Z826" t="s">
        <v>765</v>
      </c>
      <c r="AA826" t="s">
        <v>182</v>
      </c>
      <c r="AB826" t="s">
        <v>41</v>
      </c>
      <c r="AC826" t="s">
        <v>3871</v>
      </c>
      <c r="AD826" t="s">
        <v>822</v>
      </c>
      <c r="AF826" t="s">
        <v>1198</v>
      </c>
      <c r="AJ826">
        <v>276.89673246839811</v>
      </c>
      <c r="AK826">
        <v>3283.6774917699181</v>
      </c>
    </row>
    <row r="827" spans="1:37" x14ac:dyDescent="0.25">
      <c r="A827">
        <v>899</v>
      </c>
      <c r="B827" t="s">
        <v>3388</v>
      </c>
      <c r="C827" t="s">
        <v>376</v>
      </c>
      <c r="D827" t="s">
        <v>2604</v>
      </c>
      <c r="E827" t="s">
        <v>37</v>
      </c>
      <c r="F827" t="s">
        <v>38</v>
      </c>
      <c r="G827" s="2">
        <v>45825</v>
      </c>
      <c r="H827">
        <v>11.1</v>
      </c>
      <c r="I827" t="s">
        <v>72</v>
      </c>
      <c r="J827" t="s">
        <v>40</v>
      </c>
      <c r="K827" t="s">
        <v>41</v>
      </c>
      <c r="L827" t="s">
        <v>2605</v>
      </c>
      <c r="M827" t="s">
        <v>2606</v>
      </c>
      <c r="N827" t="s">
        <v>2702</v>
      </c>
      <c r="O827" t="s">
        <v>62</v>
      </c>
      <c r="P827" t="s">
        <v>63</v>
      </c>
      <c r="Q827">
        <v>0.99622622163419206</v>
      </c>
      <c r="R827" t="s">
        <v>64</v>
      </c>
      <c r="S827" t="s">
        <v>65</v>
      </c>
      <c r="T827" t="s">
        <v>2883</v>
      </c>
      <c r="V827" t="s">
        <v>110</v>
      </c>
      <c r="X827" t="s">
        <v>2880</v>
      </c>
      <c r="Y827" t="s">
        <v>412</v>
      </c>
      <c r="Z827" t="s">
        <v>2623</v>
      </c>
      <c r="AA827" t="s">
        <v>576</v>
      </c>
      <c r="AB827" t="s">
        <v>41</v>
      </c>
      <c r="AD827" t="s">
        <v>620</v>
      </c>
      <c r="AF827" t="s">
        <v>3389</v>
      </c>
      <c r="AJ827">
        <v>280.80626468332912</v>
      </c>
      <c r="AK827">
        <v>4031.6006095699281</v>
      </c>
    </row>
    <row r="828" spans="1:37" x14ac:dyDescent="0.25">
      <c r="A828">
        <v>904</v>
      </c>
      <c r="B828" t="s">
        <v>2685</v>
      </c>
      <c r="C828" t="s">
        <v>376</v>
      </c>
      <c r="D828" t="s">
        <v>2604</v>
      </c>
      <c r="E828" t="s">
        <v>37</v>
      </c>
      <c r="F828" t="s">
        <v>38</v>
      </c>
      <c r="G828" s="2">
        <v>45847</v>
      </c>
      <c r="H828">
        <v>3.5</v>
      </c>
      <c r="I828" t="s">
        <v>72</v>
      </c>
      <c r="J828" t="s">
        <v>40</v>
      </c>
      <c r="K828" t="s">
        <v>41</v>
      </c>
      <c r="L828" t="s">
        <v>2605</v>
      </c>
      <c r="M828" t="s">
        <v>2606</v>
      </c>
      <c r="O828" t="s">
        <v>62</v>
      </c>
      <c r="P828" t="s">
        <v>63</v>
      </c>
      <c r="Q828">
        <v>0.71428026141505685</v>
      </c>
      <c r="R828" t="s">
        <v>64</v>
      </c>
      <c r="S828" t="s">
        <v>65</v>
      </c>
      <c r="T828" t="s">
        <v>2686</v>
      </c>
      <c r="V828" t="s">
        <v>397</v>
      </c>
      <c r="X828" t="s">
        <v>2687</v>
      </c>
      <c r="Y828" t="s">
        <v>412</v>
      </c>
      <c r="Z828" t="s">
        <v>765</v>
      </c>
      <c r="AA828" t="s">
        <v>64</v>
      </c>
      <c r="AB828" t="s">
        <v>41</v>
      </c>
      <c r="AJ828">
        <v>315.80117203313449</v>
      </c>
      <c r="AK828">
        <v>2890.6012256944141</v>
      </c>
    </row>
    <row r="829" spans="1:37" x14ac:dyDescent="0.25">
      <c r="A829">
        <v>905</v>
      </c>
      <c r="B829" t="s">
        <v>3048</v>
      </c>
      <c r="C829" t="s">
        <v>376</v>
      </c>
      <c r="D829" t="s">
        <v>2604</v>
      </c>
      <c r="E829" t="s">
        <v>37</v>
      </c>
      <c r="F829" t="s">
        <v>38</v>
      </c>
      <c r="G829" s="2">
        <v>45846</v>
      </c>
      <c r="H829">
        <v>44.2</v>
      </c>
      <c r="I829" t="s">
        <v>72</v>
      </c>
      <c r="J829" t="s">
        <v>40</v>
      </c>
      <c r="K829" t="s">
        <v>41</v>
      </c>
      <c r="L829" t="s">
        <v>2605</v>
      </c>
      <c r="M829" t="s">
        <v>2606</v>
      </c>
      <c r="N829" t="s">
        <v>2712</v>
      </c>
      <c r="O829" t="s">
        <v>62</v>
      </c>
      <c r="P829" t="s">
        <v>63</v>
      </c>
      <c r="Q829">
        <v>6.0896239671280634</v>
      </c>
      <c r="R829" t="s">
        <v>64</v>
      </c>
      <c r="S829" t="s">
        <v>65</v>
      </c>
      <c r="T829" t="s">
        <v>3887</v>
      </c>
      <c r="V829" t="s">
        <v>70</v>
      </c>
      <c r="X829" t="s">
        <v>3050</v>
      </c>
      <c r="Y829" t="s">
        <v>412</v>
      </c>
      <c r="Z829" t="s">
        <v>2623</v>
      </c>
      <c r="AA829" t="s">
        <v>896</v>
      </c>
      <c r="AB829" t="s">
        <v>41</v>
      </c>
      <c r="AD829" t="s">
        <v>620</v>
      </c>
      <c r="AF829" t="s">
        <v>2667</v>
      </c>
      <c r="AJ829">
        <v>659.48521884597938</v>
      </c>
      <c r="AK829">
        <v>24643.93243700434</v>
      </c>
    </row>
    <row r="830" spans="1:37" hidden="1" x14ac:dyDescent="0.25">
      <c r="A830">
        <v>845</v>
      </c>
      <c r="B830" t="s">
        <v>3833</v>
      </c>
      <c r="C830" t="s">
        <v>376</v>
      </c>
      <c r="D830" t="s">
        <v>2604</v>
      </c>
      <c r="E830" t="s">
        <v>37</v>
      </c>
      <c r="F830" t="s">
        <v>38</v>
      </c>
      <c r="G830" s="2">
        <v>45845</v>
      </c>
      <c r="H830">
        <v>2.1</v>
      </c>
      <c r="I830" t="s">
        <v>72</v>
      </c>
      <c r="J830" t="s">
        <v>40</v>
      </c>
      <c r="K830" t="s">
        <v>41</v>
      </c>
      <c r="L830" t="s">
        <v>2605</v>
      </c>
      <c r="M830" t="s">
        <v>2606</v>
      </c>
      <c r="N830" t="s">
        <v>2702</v>
      </c>
      <c r="O830" t="s">
        <v>113</v>
      </c>
      <c r="P830" t="s">
        <v>114</v>
      </c>
      <c r="Q830">
        <v>2.1272017162750951</v>
      </c>
      <c r="R830" t="s">
        <v>46</v>
      </c>
      <c r="S830" t="s">
        <v>47</v>
      </c>
      <c r="T830" t="s">
        <v>2883</v>
      </c>
      <c r="V830" t="s">
        <v>70</v>
      </c>
      <c r="X830" t="s">
        <v>2880</v>
      </c>
      <c r="Y830" t="s">
        <v>412</v>
      </c>
      <c r="Z830" t="s">
        <v>2623</v>
      </c>
      <c r="AA830" t="s">
        <v>397</v>
      </c>
      <c r="AB830" t="s">
        <v>41</v>
      </c>
      <c r="AD830" t="s">
        <v>620</v>
      </c>
      <c r="AF830" t="s">
        <v>3042</v>
      </c>
      <c r="AJ830">
        <v>384.724384706568</v>
      </c>
      <c r="AK830">
        <v>8608.51436127118</v>
      </c>
    </row>
    <row r="831" spans="1:37" hidden="1" x14ac:dyDescent="0.25">
      <c r="A831">
        <v>846</v>
      </c>
      <c r="B831" t="s">
        <v>3833</v>
      </c>
      <c r="C831" t="s">
        <v>376</v>
      </c>
      <c r="D831" t="s">
        <v>2604</v>
      </c>
      <c r="E831" t="s">
        <v>37</v>
      </c>
      <c r="F831" t="s">
        <v>38</v>
      </c>
      <c r="G831" s="2">
        <v>45845</v>
      </c>
      <c r="H831">
        <v>1</v>
      </c>
      <c r="I831" t="s">
        <v>72</v>
      </c>
      <c r="J831" t="s">
        <v>40</v>
      </c>
      <c r="K831" t="s">
        <v>41</v>
      </c>
      <c r="L831" t="s">
        <v>2605</v>
      </c>
      <c r="M831" t="s">
        <v>2606</v>
      </c>
      <c r="N831" t="s">
        <v>2702</v>
      </c>
      <c r="O831" t="s">
        <v>880</v>
      </c>
      <c r="P831" t="s">
        <v>881</v>
      </c>
      <c r="Q831">
        <v>1.007272416873219</v>
      </c>
      <c r="T831" t="s">
        <v>3834</v>
      </c>
      <c r="V831" t="s">
        <v>70</v>
      </c>
      <c r="X831" t="s">
        <v>3835</v>
      </c>
      <c r="Y831" t="s">
        <v>412</v>
      </c>
      <c r="Z831" t="s">
        <v>2623</v>
      </c>
      <c r="AA831" t="s">
        <v>452</v>
      </c>
      <c r="AB831" t="s">
        <v>41</v>
      </c>
      <c r="AF831" t="s">
        <v>3138</v>
      </c>
      <c r="AJ831">
        <v>267.48601144335578</v>
      </c>
      <c r="AK831">
        <v>4076.3031545260692</v>
      </c>
    </row>
    <row r="832" spans="1:37" hidden="1" x14ac:dyDescent="0.25">
      <c r="A832">
        <v>847</v>
      </c>
      <c r="B832" t="s">
        <v>3833</v>
      </c>
      <c r="C832" t="s">
        <v>376</v>
      </c>
      <c r="D832" t="s">
        <v>2604</v>
      </c>
      <c r="E832" t="s">
        <v>37</v>
      </c>
      <c r="F832" t="s">
        <v>38</v>
      </c>
      <c r="G832" s="2">
        <v>45845</v>
      </c>
      <c r="H832">
        <v>0.56000000000000005</v>
      </c>
      <c r="I832" t="s">
        <v>72</v>
      </c>
      <c r="J832" t="s">
        <v>40</v>
      </c>
      <c r="K832" t="s">
        <v>41</v>
      </c>
      <c r="L832" t="s">
        <v>2605</v>
      </c>
      <c r="M832" t="s">
        <v>2606</v>
      </c>
      <c r="N832" t="s">
        <v>2702</v>
      </c>
      <c r="O832" t="s">
        <v>880</v>
      </c>
      <c r="P832" t="s">
        <v>881</v>
      </c>
      <c r="Q832">
        <v>0.6957648126883863</v>
      </c>
      <c r="V832" t="s">
        <v>70</v>
      </c>
      <c r="Y832" t="s">
        <v>412</v>
      </c>
      <c r="Z832" t="s">
        <v>2623</v>
      </c>
      <c r="AA832" t="s">
        <v>452</v>
      </c>
      <c r="AB832" t="s">
        <v>41</v>
      </c>
      <c r="AF832" t="s">
        <v>3138</v>
      </c>
      <c r="AJ832">
        <v>222.75160295618801</v>
      </c>
      <c r="AK832">
        <v>2815.6715633829199</v>
      </c>
    </row>
    <row r="833" spans="1:37" hidden="1" x14ac:dyDescent="0.25">
      <c r="A833">
        <v>848</v>
      </c>
      <c r="B833" t="s">
        <v>3833</v>
      </c>
      <c r="C833" t="s">
        <v>376</v>
      </c>
      <c r="D833" t="s">
        <v>2604</v>
      </c>
      <c r="E833" t="s">
        <v>37</v>
      </c>
      <c r="F833" t="s">
        <v>38</v>
      </c>
      <c r="G833" s="2">
        <v>45845</v>
      </c>
      <c r="H833">
        <v>0.12</v>
      </c>
      <c r="I833" t="s">
        <v>72</v>
      </c>
      <c r="J833" t="s">
        <v>40</v>
      </c>
      <c r="K833" t="s">
        <v>41</v>
      </c>
      <c r="L833" t="s">
        <v>2605</v>
      </c>
      <c r="M833" t="s">
        <v>2606</v>
      </c>
      <c r="N833" t="s">
        <v>2702</v>
      </c>
      <c r="O833" t="s">
        <v>880</v>
      </c>
      <c r="P833" t="s">
        <v>881</v>
      </c>
      <c r="Q833">
        <v>0.12906601122355321</v>
      </c>
      <c r="V833" t="s">
        <v>70</v>
      </c>
      <c r="Y833" t="s">
        <v>412</v>
      </c>
      <c r="Z833" t="s">
        <v>2623</v>
      </c>
      <c r="AA833" t="s">
        <v>942</v>
      </c>
      <c r="AB833" t="s">
        <v>41</v>
      </c>
      <c r="AF833" t="s">
        <v>3138</v>
      </c>
      <c r="AJ833">
        <v>94.301183924615415</v>
      </c>
      <c r="AK833">
        <v>522.31370568632019</v>
      </c>
    </row>
    <row r="834" spans="1:37" x14ac:dyDescent="0.25">
      <c r="A834">
        <v>906</v>
      </c>
      <c r="B834" t="s">
        <v>2770</v>
      </c>
      <c r="C834" t="s">
        <v>376</v>
      </c>
      <c r="D834" t="s">
        <v>2604</v>
      </c>
      <c r="E834" t="s">
        <v>37</v>
      </c>
      <c r="F834" t="s">
        <v>38</v>
      </c>
      <c r="G834" s="2">
        <v>45846</v>
      </c>
      <c r="H834">
        <v>10.7</v>
      </c>
      <c r="I834" t="s">
        <v>72</v>
      </c>
      <c r="J834" t="s">
        <v>40</v>
      </c>
      <c r="K834" t="s">
        <v>41</v>
      </c>
      <c r="L834" t="s">
        <v>2605</v>
      </c>
      <c r="M834" t="s">
        <v>2606</v>
      </c>
      <c r="N834" t="s">
        <v>2712</v>
      </c>
      <c r="O834" t="s">
        <v>62</v>
      </c>
      <c r="P834" t="s">
        <v>63</v>
      </c>
      <c r="Q834">
        <v>0.96894158202096159</v>
      </c>
      <c r="R834" t="s">
        <v>64</v>
      </c>
      <c r="S834" t="s">
        <v>65</v>
      </c>
      <c r="T834" t="s">
        <v>2768</v>
      </c>
      <c r="V834" t="s">
        <v>618</v>
      </c>
      <c r="X834" t="s">
        <v>2763</v>
      </c>
      <c r="Y834" t="s">
        <v>412</v>
      </c>
      <c r="Z834" t="s">
        <v>2623</v>
      </c>
      <c r="AA834" t="s">
        <v>70</v>
      </c>
      <c r="AB834" t="s">
        <v>41</v>
      </c>
      <c r="AD834" t="s">
        <v>620</v>
      </c>
      <c r="AF834" t="s">
        <v>414</v>
      </c>
      <c r="AJ834">
        <v>300.05123251637292</v>
      </c>
      <c r="AK834">
        <v>3921.1831488488551</v>
      </c>
    </row>
    <row r="835" spans="1:37" x14ac:dyDescent="0.25">
      <c r="A835">
        <v>907</v>
      </c>
      <c r="B835" t="s">
        <v>2771</v>
      </c>
      <c r="C835" t="s">
        <v>376</v>
      </c>
      <c r="D835" t="s">
        <v>2604</v>
      </c>
      <c r="E835" t="s">
        <v>37</v>
      </c>
      <c r="F835" t="s">
        <v>38</v>
      </c>
      <c r="G835" s="2">
        <v>45846</v>
      </c>
      <c r="H835">
        <v>7.2</v>
      </c>
      <c r="I835" t="s">
        <v>72</v>
      </c>
      <c r="J835" t="s">
        <v>40</v>
      </c>
      <c r="K835" t="s">
        <v>41</v>
      </c>
      <c r="L835" t="s">
        <v>2605</v>
      </c>
      <c r="M835" t="s">
        <v>2606</v>
      </c>
      <c r="N835" t="s">
        <v>2712</v>
      </c>
      <c r="O835" t="s">
        <v>62</v>
      </c>
      <c r="P835" t="s">
        <v>63</v>
      </c>
      <c r="Q835">
        <v>2.250330132211587</v>
      </c>
      <c r="R835" t="s">
        <v>64</v>
      </c>
      <c r="S835" t="s">
        <v>65</v>
      </c>
      <c r="T835" t="s">
        <v>2768</v>
      </c>
      <c r="V835" t="s">
        <v>618</v>
      </c>
      <c r="X835" t="s">
        <v>2763</v>
      </c>
      <c r="Y835" t="s">
        <v>412</v>
      </c>
      <c r="Z835" t="s">
        <v>2623</v>
      </c>
      <c r="AA835" t="s">
        <v>70</v>
      </c>
      <c r="AB835" t="s">
        <v>41</v>
      </c>
      <c r="AD835" t="s">
        <v>620</v>
      </c>
      <c r="AF835" t="s">
        <v>414</v>
      </c>
      <c r="AJ835">
        <v>479.62629155408939</v>
      </c>
      <c r="AK835">
        <v>9106.7993752217753</v>
      </c>
    </row>
    <row r="836" spans="1:37" hidden="1" x14ac:dyDescent="0.25">
      <c r="A836">
        <v>851</v>
      </c>
      <c r="B836" t="s">
        <v>3833</v>
      </c>
      <c r="C836" t="s">
        <v>376</v>
      </c>
      <c r="D836" t="s">
        <v>2604</v>
      </c>
      <c r="E836" t="s">
        <v>37</v>
      </c>
      <c r="F836" t="s">
        <v>38</v>
      </c>
      <c r="G836" s="2">
        <v>45845</v>
      </c>
      <c r="I836" t="s">
        <v>72</v>
      </c>
      <c r="J836" t="s">
        <v>40</v>
      </c>
      <c r="K836" t="s">
        <v>41</v>
      </c>
      <c r="L836" t="s">
        <v>2605</v>
      </c>
      <c r="M836" t="s">
        <v>2606</v>
      </c>
      <c r="O836" t="s">
        <v>141</v>
      </c>
      <c r="P836" t="s">
        <v>142</v>
      </c>
      <c r="Q836">
        <v>0.17942595697694291</v>
      </c>
      <c r="S836" t="s">
        <v>38</v>
      </c>
      <c r="T836" t="s">
        <v>57</v>
      </c>
      <c r="V836" t="s">
        <v>125</v>
      </c>
      <c r="AB836" t="s">
        <v>41</v>
      </c>
      <c r="AJ836">
        <v>107.9327039702672</v>
      </c>
      <c r="AK836">
        <v>726.11399079046623</v>
      </c>
    </row>
    <row r="837" spans="1:37" hidden="1" x14ac:dyDescent="0.25">
      <c r="A837">
        <v>852</v>
      </c>
      <c r="B837" t="s">
        <v>3836</v>
      </c>
      <c r="C837" t="s">
        <v>376</v>
      </c>
      <c r="D837" t="s">
        <v>2604</v>
      </c>
      <c r="E837" t="s">
        <v>37</v>
      </c>
      <c r="F837" t="s">
        <v>38</v>
      </c>
      <c r="G837" s="2">
        <v>45845</v>
      </c>
      <c r="H837">
        <v>4.3</v>
      </c>
      <c r="I837" t="s">
        <v>72</v>
      </c>
      <c r="J837" t="s">
        <v>40</v>
      </c>
      <c r="K837" t="s">
        <v>41</v>
      </c>
      <c r="L837" t="s">
        <v>2605</v>
      </c>
      <c r="M837" t="s">
        <v>2606</v>
      </c>
      <c r="O837" t="s">
        <v>79</v>
      </c>
      <c r="P837" t="s">
        <v>80</v>
      </c>
      <c r="Q837">
        <v>1.1821226936829381</v>
      </c>
      <c r="R837" t="s">
        <v>46</v>
      </c>
      <c r="S837" t="s">
        <v>47</v>
      </c>
      <c r="T837" t="s">
        <v>2756</v>
      </c>
      <c r="V837" t="s">
        <v>618</v>
      </c>
      <c r="X837" t="s">
        <v>2704</v>
      </c>
      <c r="Y837" t="s">
        <v>412</v>
      </c>
      <c r="Z837" t="s">
        <v>2623</v>
      </c>
      <c r="AA837" t="s">
        <v>71</v>
      </c>
      <c r="AB837" t="s">
        <v>41</v>
      </c>
      <c r="AD837" t="s">
        <v>2757</v>
      </c>
      <c r="AF837" t="s">
        <v>2855</v>
      </c>
      <c r="AJ837">
        <v>356.85512735163269</v>
      </c>
      <c r="AK837">
        <v>4783.8999505762504</v>
      </c>
    </row>
    <row r="838" spans="1:37" hidden="1" x14ac:dyDescent="0.25">
      <c r="A838">
        <v>853</v>
      </c>
      <c r="B838" t="s">
        <v>2794</v>
      </c>
      <c r="C838" t="s">
        <v>376</v>
      </c>
      <c r="D838" t="s">
        <v>2604</v>
      </c>
      <c r="E838" t="s">
        <v>37</v>
      </c>
      <c r="F838" t="s">
        <v>38</v>
      </c>
      <c r="G838" s="2">
        <v>45845</v>
      </c>
      <c r="H838">
        <v>9.1</v>
      </c>
      <c r="I838" t="s">
        <v>72</v>
      </c>
      <c r="J838" t="s">
        <v>40</v>
      </c>
      <c r="K838" t="s">
        <v>41</v>
      </c>
      <c r="L838" t="s">
        <v>2605</v>
      </c>
      <c r="M838" t="s">
        <v>2606</v>
      </c>
      <c r="O838" t="s">
        <v>55</v>
      </c>
      <c r="P838" t="s">
        <v>56</v>
      </c>
      <c r="Q838">
        <v>2.3365406154958039</v>
      </c>
      <c r="R838" t="s">
        <v>46</v>
      </c>
      <c r="S838" t="s">
        <v>47</v>
      </c>
      <c r="T838" t="s">
        <v>2756</v>
      </c>
      <c r="V838" t="s">
        <v>618</v>
      </c>
      <c r="X838" t="s">
        <v>2704</v>
      </c>
      <c r="Y838" t="s">
        <v>412</v>
      </c>
      <c r="Z838" t="s">
        <v>2623</v>
      </c>
      <c r="AA838" t="s">
        <v>70</v>
      </c>
      <c r="AB838" t="s">
        <v>41</v>
      </c>
      <c r="AD838" t="s">
        <v>2757</v>
      </c>
      <c r="AF838" t="s">
        <v>1097</v>
      </c>
      <c r="AJ838">
        <v>433.66482906825041</v>
      </c>
      <c r="AK838">
        <v>9455.6822187086946</v>
      </c>
    </row>
    <row r="839" spans="1:37" x14ac:dyDescent="0.25">
      <c r="A839">
        <v>908</v>
      </c>
      <c r="B839" t="s">
        <v>2739</v>
      </c>
      <c r="C839" t="s">
        <v>376</v>
      </c>
      <c r="D839" t="s">
        <v>2604</v>
      </c>
      <c r="E839" t="s">
        <v>37</v>
      </c>
      <c r="F839" t="s">
        <v>38</v>
      </c>
      <c r="G839" s="2">
        <v>45846</v>
      </c>
      <c r="H839">
        <v>6.7</v>
      </c>
      <c r="I839" t="s">
        <v>72</v>
      </c>
      <c r="J839" t="s">
        <v>40</v>
      </c>
      <c r="K839" t="s">
        <v>41</v>
      </c>
      <c r="L839" t="s">
        <v>2605</v>
      </c>
      <c r="M839" t="s">
        <v>2606</v>
      </c>
      <c r="N839" t="s">
        <v>2712</v>
      </c>
      <c r="O839" t="s">
        <v>62</v>
      </c>
      <c r="P839" t="s">
        <v>63</v>
      </c>
      <c r="Q839">
        <v>2.8215292489998349</v>
      </c>
      <c r="R839" t="s">
        <v>64</v>
      </c>
      <c r="S839" t="s">
        <v>65</v>
      </c>
      <c r="T839" t="s">
        <v>2722</v>
      </c>
      <c r="V839" t="s">
        <v>681</v>
      </c>
      <c r="X839" t="s">
        <v>2714</v>
      </c>
      <c r="Y839" t="s">
        <v>412</v>
      </c>
      <c r="Z839" t="s">
        <v>2623</v>
      </c>
      <c r="AA839" t="s">
        <v>70</v>
      </c>
      <c r="AB839" t="s">
        <v>41</v>
      </c>
      <c r="AD839" t="s">
        <v>620</v>
      </c>
      <c r="AF839" t="s">
        <v>2667</v>
      </c>
      <c r="AJ839">
        <v>544.48397852734172</v>
      </c>
      <c r="AK839">
        <v>11418.3694357365</v>
      </c>
    </row>
    <row r="840" spans="1:37" hidden="1" x14ac:dyDescent="0.25">
      <c r="A840">
        <v>855</v>
      </c>
      <c r="B840" t="s">
        <v>2875</v>
      </c>
      <c r="C840" t="s">
        <v>376</v>
      </c>
      <c r="D840" t="s">
        <v>2604</v>
      </c>
      <c r="E840" t="s">
        <v>37</v>
      </c>
      <c r="F840" t="s">
        <v>38</v>
      </c>
      <c r="G840" s="2">
        <v>45846</v>
      </c>
      <c r="H840">
        <v>10.9</v>
      </c>
      <c r="I840" t="s">
        <v>72</v>
      </c>
      <c r="J840" t="s">
        <v>40</v>
      </c>
      <c r="K840" t="s">
        <v>41</v>
      </c>
      <c r="L840" t="s">
        <v>2605</v>
      </c>
      <c r="M840" t="s">
        <v>2606</v>
      </c>
      <c r="N840" t="s">
        <v>2712</v>
      </c>
      <c r="O840" t="s">
        <v>3837</v>
      </c>
      <c r="P840" t="s">
        <v>3838</v>
      </c>
      <c r="Q840">
        <v>1.4107826415529821</v>
      </c>
      <c r="R840" t="s">
        <v>64</v>
      </c>
      <c r="S840" t="s">
        <v>65</v>
      </c>
      <c r="T840" t="s">
        <v>2876</v>
      </c>
      <c r="V840" t="s">
        <v>125</v>
      </c>
      <c r="X840" t="s">
        <v>2877</v>
      </c>
      <c r="Y840" t="s">
        <v>412</v>
      </c>
      <c r="Z840" t="s">
        <v>2623</v>
      </c>
      <c r="AA840" t="s">
        <v>125</v>
      </c>
      <c r="AB840" t="s">
        <v>41</v>
      </c>
      <c r="AD840" t="s">
        <v>620</v>
      </c>
      <c r="AF840" t="s">
        <v>2667</v>
      </c>
      <c r="AJ840">
        <v>384.9275775632089</v>
      </c>
      <c r="AK840">
        <v>5709.2576305868088</v>
      </c>
    </row>
    <row r="841" spans="1:37" x14ac:dyDescent="0.25">
      <c r="A841">
        <v>909</v>
      </c>
      <c r="B841" t="s">
        <v>2690</v>
      </c>
      <c r="C841" t="s">
        <v>376</v>
      </c>
      <c r="D841" t="s">
        <v>2604</v>
      </c>
      <c r="E841" t="s">
        <v>37</v>
      </c>
      <c r="F841" t="s">
        <v>38</v>
      </c>
      <c r="G841" s="2">
        <v>45846</v>
      </c>
      <c r="H841">
        <v>0.5</v>
      </c>
      <c r="I841" t="s">
        <v>72</v>
      </c>
      <c r="J841" t="s">
        <v>40</v>
      </c>
      <c r="K841" t="s">
        <v>41</v>
      </c>
      <c r="L841" t="s">
        <v>2605</v>
      </c>
      <c r="M841" t="s">
        <v>2606</v>
      </c>
      <c r="O841" t="s">
        <v>62</v>
      </c>
      <c r="P841" t="s">
        <v>63</v>
      </c>
      <c r="Q841">
        <v>1.1714079818386349</v>
      </c>
      <c r="R841" t="s">
        <v>64</v>
      </c>
      <c r="S841" t="s">
        <v>65</v>
      </c>
      <c r="T841" t="s">
        <v>2691</v>
      </c>
      <c r="V841" t="s">
        <v>50</v>
      </c>
      <c r="X841" t="s">
        <v>2692</v>
      </c>
      <c r="Y841" t="s">
        <v>412</v>
      </c>
      <c r="Z841" t="s">
        <v>2630</v>
      </c>
      <c r="AA841" t="s">
        <v>76</v>
      </c>
      <c r="AB841" t="s">
        <v>41</v>
      </c>
      <c r="AD841" t="s">
        <v>399</v>
      </c>
      <c r="AJ841">
        <v>286.85062514696563</v>
      </c>
      <c r="AK841">
        <v>4740.5388766908463</v>
      </c>
    </row>
    <row r="842" spans="1:37" x14ac:dyDescent="0.25">
      <c r="A842">
        <v>913</v>
      </c>
      <c r="C842" t="s">
        <v>376</v>
      </c>
      <c r="D842" t="s">
        <v>2604</v>
      </c>
      <c r="E842" t="s">
        <v>37</v>
      </c>
      <c r="F842" t="s">
        <v>38</v>
      </c>
      <c r="G842" s="2">
        <v>45874</v>
      </c>
      <c r="H842">
        <v>0.4</v>
      </c>
      <c r="I842" t="s">
        <v>72</v>
      </c>
      <c r="J842" t="s">
        <v>40</v>
      </c>
      <c r="K842" t="s">
        <v>41</v>
      </c>
      <c r="L842" t="s">
        <v>2605</v>
      </c>
      <c r="M842" t="s">
        <v>2606</v>
      </c>
      <c r="O842" t="s">
        <v>62</v>
      </c>
      <c r="P842" t="s">
        <v>63</v>
      </c>
      <c r="Q842">
        <v>0.41239642886464528</v>
      </c>
      <c r="R842" t="s">
        <v>64</v>
      </c>
      <c r="S842" t="s">
        <v>65</v>
      </c>
      <c r="T842" t="s">
        <v>3890</v>
      </c>
      <c r="V842" t="s">
        <v>576</v>
      </c>
      <c r="X842" t="s">
        <v>3891</v>
      </c>
      <c r="Y842" t="s">
        <v>382</v>
      </c>
      <c r="Z842" t="s">
        <v>3892</v>
      </c>
      <c r="AA842" t="s">
        <v>712</v>
      </c>
      <c r="AB842" t="s">
        <v>41</v>
      </c>
      <c r="AD842" t="s">
        <v>664</v>
      </c>
      <c r="AJ842">
        <v>173.09436973255799</v>
      </c>
      <c r="AK842">
        <v>1668.915812382289</v>
      </c>
    </row>
    <row r="843" spans="1:37" x14ac:dyDescent="0.25">
      <c r="A843">
        <v>914</v>
      </c>
      <c r="C843" t="s">
        <v>376</v>
      </c>
      <c r="D843" t="s">
        <v>2604</v>
      </c>
      <c r="E843" t="s">
        <v>37</v>
      </c>
      <c r="F843" t="s">
        <v>38</v>
      </c>
      <c r="G843" s="2">
        <v>45846</v>
      </c>
      <c r="I843" t="s">
        <v>72</v>
      </c>
      <c r="J843" t="s">
        <v>40</v>
      </c>
      <c r="K843" t="s">
        <v>41</v>
      </c>
      <c r="L843" t="s">
        <v>2605</v>
      </c>
      <c r="M843" t="s">
        <v>2606</v>
      </c>
      <c r="O843" t="s">
        <v>62</v>
      </c>
      <c r="P843" t="s">
        <v>63</v>
      </c>
      <c r="Q843">
        <v>0.17935833326844869</v>
      </c>
      <c r="R843" t="s">
        <v>64</v>
      </c>
      <c r="S843" t="s">
        <v>65</v>
      </c>
      <c r="V843" t="s">
        <v>180</v>
      </c>
      <c r="AB843" t="s">
        <v>41</v>
      </c>
      <c r="AJ843">
        <v>105.32287280057059</v>
      </c>
      <c r="AK843">
        <v>725.84032625678276</v>
      </c>
    </row>
    <row r="844" spans="1:37" hidden="1" x14ac:dyDescent="0.25">
      <c r="A844">
        <v>859</v>
      </c>
      <c r="B844" t="s">
        <v>2604</v>
      </c>
      <c r="C844" t="s">
        <v>376</v>
      </c>
      <c r="D844" t="s">
        <v>2604</v>
      </c>
      <c r="E844" t="s">
        <v>37</v>
      </c>
      <c r="F844" t="s">
        <v>38</v>
      </c>
      <c r="G844" s="2">
        <v>45869</v>
      </c>
      <c r="H844">
        <v>0.01</v>
      </c>
      <c r="I844" t="s">
        <v>72</v>
      </c>
      <c r="J844" t="s">
        <v>40</v>
      </c>
      <c r="K844" t="s">
        <v>41</v>
      </c>
      <c r="L844" t="s">
        <v>2605</v>
      </c>
      <c r="M844" t="s">
        <v>2606</v>
      </c>
      <c r="O844" t="s">
        <v>99</v>
      </c>
      <c r="P844" t="s">
        <v>100</v>
      </c>
      <c r="Q844">
        <v>6.4128345053596526E-3</v>
      </c>
      <c r="R844" t="s">
        <v>73</v>
      </c>
      <c r="S844" t="s">
        <v>74</v>
      </c>
      <c r="T844" t="s">
        <v>3844</v>
      </c>
      <c r="V844" t="s">
        <v>818</v>
      </c>
      <c r="X844" t="s">
        <v>3845</v>
      </c>
      <c r="Y844" t="s">
        <v>698</v>
      </c>
      <c r="Z844" t="s">
        <v>383</v>
      </c>
      <c r="AA844" t="s">
        <v>818</v>
      </c>
      <c r="AB844" t="s">
        <v>41</v>
      </c>
      <c r="AC844" t="s">
        <v>3846</v>
      </c>
      <c r="AD844" t="s">
        <v>224</v>
      </c>
      <c r="AF844" t="s">
        <v>3091</v>
      </c>
      <c r="AJ844">
        <v>21.08874940102671</v>
      </c>
      <c r="AK844">
        <v>25.951924311396478</v>
      </c>
    </row>
    <row r="845" spans="1:37" hidden="1" x14ac:dyDescent="0.25">
      <c r="A845">
        <v>860</v>
      </c>
      <c r="B845" t="s">
        <v>2604</v>
      </c>
      <c r="C845" t="s">
        <v>376</v>
      </c>
      <c r="D845" t="s">
        <v>2604</v>
      </c>
      <c r="E845" t="s">
        <v>37</v>
      </c>
      <c r="F845" t="s">
        <v>38</v>
      </c>
      <c r="G845" s="2">
        <v>45869</v>
      </c>
      <c r="H845">
        <v>0.01</v>
      </c>
      <c r="I845" t="s">
        <v>72</v>
      </c>
      <c r="J845" t="s">
        <v>40</v>
      </c>
      <c r="K845" t="s">
        <v>41</v>
      </c>
      <c r="L845" t="s">
        <v>2605</v>
      </c>
      <c r="M845" t="s">
        <v>2606</v>
      </c>
      <c r="O845" t="s">
        <v>99</v>
      </c>
      <c r="P845" t="s">
        <v>100</v>
      </c>
      <c r="Q845">
        <v>4.0714698985636802E-2</v>
      </c>
      <c r="R845" t="s">
        <v>73</v>
      </c>
      <c r="S845" t="s">
        <v>74</v>
      </c>
      <c r="T845" t="s">
        <v>3844</v>
      </c>
      <c r="V845" t="s">
        <v>818</v>
      </c>
      <c r="X845" t="s">
        <v>3845</v>
      </c>
      <c r="Y845" t="s">
        <v>698</v>
      </c>
      <c r="Z845" t="s">
        <v>383</v>
      </c>
      <c r="AA845" t="s">
        <v>818</v>
      </c>
      <c r="AB845" t="s">
        <v>41</v>
      </c>
      <c r="AC845" t="s">
        <v>3846</v>
      </c>
      <c r="AD845" t="s">
        <v>224</v>
      </c>
      <c r="AF845" t="s">
        <v>3091</v>
      </c>
      <c r="AJ845">
        <v>67.012256062681089</v>
      </c>
      <c r="AK845">
        <v>164.76720014424859</v>
      </c>
    </row>
    <row r="846" spans="1:37" hidden="1" x14ac:dyDescent="0.25">
      <c r="A846">
        <v>861</v>
      </c>
      <c r="B846" t="s">
        <v>2604</v>
      </c>
      <c r="C846" t="s">
        <v>376</v>
      </c>
      <c r="D846" t="s">
        <v>2604</v>
      </c>
      <c r="E846" t="s">
        <v>37</v>
      </c>
      <c r="F846" t="s">
        <v>38</v>
      </c>
      <c r="G846" s="2">
        <v>45869</v>
      </c>
      <c r="H846">
        <v>0.01</v>
      </c>
      <c r="I846" t="s">
        <v>72</v>
      </c>
      <c r="J846" t="s">
        <v>40</v>
      </c>
      <c r="K846" t="s">
        <v>41</v>
      </c>
      <c r="L846" t="s">
        <v>2605</v>
      </c>
      <c r="M846" t="s">
        <v>2606</v>
      </c>
      <c r="O846" t="s">
        <v>99</v>
      </c>
      <c r="P846" t="s">
        <v>100</v>
      </c>
      <c r="Q846">
        <v>4.7203787601178541E-2</v>
      </c>
      <c r="R846" t="s">
        <v>73</v>
      </c>
      <c r="S846" t="s">
        <v>74</v>
      </c>
      <c r="T846" t="s">
        <v>3844</v>
      </c>
      <c r="V846" t="s">
        <v>818</v>
      </c>
      <c r="X846" t="s">
        <v>3845</v>
      </c>
      <c r="Y846" t="s">
        <v>698</v>
      </c>
      <c r="Z846" t="s">
        <v>383</v>
      </c>
      <c r="AA846" t="s">
        <v>818</v>
      </c>
      <c r="AB846" t="s">
        <v>41</v>
      </c>
      <c r="AC846" t="s">
        <v>3846</v>
      </c>
      <c r="AD846" t="s">
        <v>224</v>
      </c>
      <c r="AF846" t="s">
        <v>3091</v>
      </c>
      <c r="AJ846">
        <v>62.282920069030247</v>
      </c>
      <c r="AK846">
        <v>191.02771512553119</v>
      </c>
    </row>
    <row r="847" spans="1:37" hidden="1" x14ac:dyDescent="0.25">
      <c r="A847">
        <v>862</v>
      </c>
      <c r="B847" t="s">
        <v>2604</v>
      </c>
      <c r="C847" t="s">
        <v>376</v>
      </c>
      <c r="D847" t="s">
        <v>2604</v>
      </c>
      <c r="E847" t="s">
        <v>37</v>
      </c>
      <c r="F847" t="s">
        <v>38</v>
      </c>
      <c r="G847" s="2">
        <v>45869</v>
      </c>
      <c r="H847">
        <v>4.4999999999999998E-2</v>
      </c>
      <c r="I847" t="s">
        <v>72</v>
      </c>
      <c r="J847" t="s">
        <v>40</v>
      </c>
      <c r="K847" t="s">
        <v>41</v>
      </c>
      <c r="L847" t="s">
        <v>2605</v>
      </c>
      <c r="M847" t="s">
        <v>2606</v>
      </c>
      <c r="O847" t="s">
        <v>99</v>
      </c>
      <c r="P847" t="s">
        <v>100</v>
      </c>
      <c r="Q847">
        <v>3.5371647508592651E-3</v>
      </c>
      <c r="R847" t="s">
        <v>73</v>
      </c>
      <c r="S847" t="s">
        <v>74</v>
      </c>
      <c r="T847" t="s">
        <v>3844</v>
      </c>
      <c r="V847" t="s">
        <v>818</v>
      </c>
      <c r="X847" t="s">
        <v>3845</v>
      </c>
      <c r="Y847" t="s">
        <v>698</v>
      </c>
      <c r="Z847" t="s">
        <v>383</v>
      </c>
      <c r="AA847" t="s">
        <v>818</v>
      </c>
      <c r="AB847" t="s">
        <v>41</v>
      </c>
      <c r="AC847" t="s">
        <v>3846</v>
      </c>
      <c r="AD847" t="s">
        <v>224</v>
      </c>
      <c r="AF847" t="s">
        <v>3091</v>
      </c>
      <c r="AJ847">
        <v>23.00775303937278</v>
      </c>
      <c r="AK847">
        <v>14.31445514686504</v>
      </c>
    </row>
    <row r="848" spans="1:37" hidden="1" x14ac:dyDescent="0.25">
      <c r="A848">
        <v>863</v>
      </c>
      <c r="B848" t="s">
        <v>2604</v>
      </c>
      <c r="C848" t="s">
        <v>376</v>
      </c>
      <c r="D848" t="s">
        <v>2604</v>
      </c>
      <c r="E848" t="s">
        <v>37</v>
      </c>
      <c r="F848" t="s">
        <v>38</v>
      </c>
      <c r="G848" s="2">
        <v>45869</v>
      </c>
      <c r="H848">
        <v>3.5000000000000003E-2</v>
      </c>
      <c r="I848" t="s">
        <v>72</v>
      </c>
      <c r="J848" t="s">
        <v>40</v>
      </c>
      <c r="K848" t="s">
        <v>41</v>
      </c>
      <c r="L848" t="s">
        <v>2605</v>
      </c>
      <c r="M848" t="s">
        <v>2606</v>
      </c>
      <c r="O848" t="s">
        <v>99</v>
      </c>
      <c r="P848" t="s">
        <v>100</v>
      </c>
      <c r="Q848">
        <v>5.194424768472847E-4</v>
      </c>
      <c r="R848" t="s">
        <v>73</v>
      </c>
      <c r="S848" t="s">
        <v>74</v>
      </c>
      <c r="T848" t="s">
        <v>3844</v>
      </c>
      <c r="V848" t="s">
        <v>818</v>
      </c>
      <c r="X848" t="s">
        <v>3845</v>
      </c>
      <c r="Y848" t="s">
        <v>698</v>
      </c>
      <c r="Z848" t="s">
        <v>383</v>
      </c>
      <c r="AA848" t="s">
        <v>818</v>
      </c>
      <c r="AB848" t="s">
        <v>41</v>
      </c>
      <c r="AC848" t="s">
        <v>3846</v>
      </c>
      <c r="AD848" t="s">
        <v>224</v>
      </c>
      <c r="AF848" t="s">
        <v>3091</v>
      </c>
      <c r="AJ848">
        <v>10.26524307115989</v>
      </c>
      <c r="AK848">
        <v>2.102117531958517</v>
      </c>
    </row>
    <row r="849" spans="1:37" hidden="1" x14ac:dyDescent="0.25">
      <c r="A849">
        <v>864</v>
      </c>
      <c r="B849" t="s">
        <v>2604</v>
      </c>
      <c r="C849" t="s">
        <v>376</v>
      </c>
      <c r="D849" t="s">
        <v>2604</v>
      </c>
      <c r="E849" t="s">
        <v>37</v>
      </c>
      <c r="F849" t="s">
        <v>38</v>
      </c>
      <c r="G849" s="2">
        <v>45869</v>
      </c>
      <c r="H849">
        <v>1.4999999999999999E-2</v>
      </c>
      <c r="I849" t="s">
        <v>72</v>
      </c>
      <c r="J849" t="s">
        <v>40</v>
      </c>
      <c r="K849" t="s">
        <v>41</v>
      </c>
      <c r="L849" t="s">
        <v>2605</v>
      </c>
      <c r="M849" t="s">
        <v>2606</v>
      </c>
      <c r="O849" t="s">
        <v>99</v>
      </c>
      <c r="P849" t="s">
        <v>100</v>
      </c>
      <c r="Q849">
        <v>6.2260241878733412E-4</v>
      </c>
      <c r="R849" t="s">
        <v>73</v>
      </c>
      <c r="S849" t="s">
        <v>74</v>
      </c>
      <c r="T849" t="s">
        <v>3844</v>
      </c>
      <c r="V849" t="s">
        <v>818</v>
      </c>
      <c r="X849" t="s">
        <v>3845</v>
      </c>
      <c r="Y849" t="s">
        <v>698</v>
      </c>
      <c r="Z849" t="s">
        <v>383</v>
      </c>
      <c r="AA849" t="s">
        <v>818</v>
      </c>
      <c r="AB849" t="s">
        <v>41</v>
      </c>
      <c r="AC849" t="s">
        <v>3846</v>
      </c>
      <c r="AD849" t="s">
        <v>224</v>
      </c>
      <c r="AF849" t="s">
        <v>3091</v>
      </c>
      <c r="AJ849">
        <v>6.6749683220335374</v>
      </c>
      <c r="AK849">
        <v>2.5195926754319209</v>
      </c>
    </row>
    <row r="850" spans="1:37" hidden="1" x14ac:dyDescent="0.25">
      <c r="A850">
        <v>865</v>
      </c>
      <c r="B850" t="s">
        <v>2604</v>
      </c>
      <c r="C850" t="s">
        <v>376</v>
      </c>
      <c r="D850" t="s">
        <v>2604</v>
      </c>
      <c r="E850" t="s">
        <v>37</v>
      </c>
      <c r="F850" t="s">
        <v>38</v>
      </c>
      <c r="G850" s="2">
        <v>45846</v>
      </c>
      <c r="H850">
        <v>0.06</v>
      </c>
      <c r="I850" t="s">
        <v>72</v>
      </c>
      <c r="J850" t="s">
        <v>40</v>
      </c>
      <c r="K850" t="s">
        <v>41</v>
      </c>
      <c r="L850" t="s">
        <v>2605</v>
      </c>
      <c r="M850" t="s">
        <v>2606</v>
      </c>
      <c r="O850" t="s">
        <v>99</v>
      </c>
      <c r="P850" t="s">
        <v>100</v>
      </c>
      <c r="Q850">
        <v>1.1912523926545231E-2</v>
      </c>
      <c r="R850" t="s">
        <v>60</v>
      </c>
      <c r="S850" t="s">
        <v>66</v>
      </c>
      <c r="T850" t="s">
        <v>3847</v>
      </c>
      <c r="V850" t="s">
        <v>180</v>
      </c>
      <c r="X850" t="s">
        <v>3848</v>
      </c>
      <c r="Y850" t="s">
        <v>412</v>
      </c>
      <c r="Z850" t="s">
        <v>2623</v>
      </c>
      <c r="AA850" t="s">
        <v>858</v>
      </c>
      <c r="AB850" t="s">
        <v>41</v>
      </c>
      <c r="AC850" t="s">
        <v>3849</v>
      </c>
      <c r="AD850" t="s">
        <v>250</v>
      </c>
      <c r="AF850" t="s">
        <v>1131</v>
      </c>
      <c r="AJ850">
        <v>32.878791295934107</v>
      </c>
      <c r="AK850">
        <v>48.208466792807563</v>
      </c>
    </row>
    <row r="851" spans="1:37" hidden="1" x14ac:dyDescent="0.25">
      <c r="A851">
        <v>866</v>
      </c>
      <c r="B851" t="s">
        <v>2604</v>
      </c>
      <c r="C851" t="s">
        <v>376</v>
      </c>
      <c r="D851" t="s">
        <v>2604</v>
      </c>
      <c r="E851" t="s">
        <v>37</v>
      </c>
      <c r="F851" t="s">
        <v>38</v>
      </c>
      <c r="G851" s="2">
        <v>45846</v>
      </c>
      <c r="H851">
        <v>0.06</v>
      </c>
      <c r="I851" t="s">
        <v>72</v>
      </c>
      <c r="J851" t="s">
        <v>40</v>
      </c>
      <c r="K851" t="s">
        <v>41</v>
      </c>
      <c r="L851" t="s">
        <v>2605</v>
      </c>
      <c r="M851" t="s">
        <v>2606</v>
      </c>
      <c r="O851" t="s">
        <v>99</v>
      </c>
      <c r="P851" t="s">
        <v>100</v>
      </c>
      <c r="Q851">
        <v>1.6622578713990019E-2</v>
      </c>
      <c r="R851" t="s">
        <v>60</v>
      </c>
      <c r="S851" t="s">
        <v>66</v>
      </c>
      <c r="T851" t="s">
        <v>3847</v>
      </c>
      <c r="V851" t="s">
        <v>180</v>
      </c>
      <c r="X851" t="s">
        <v>3848</v>
      </c>
      <c r="Y851" t="s">
        <v>412</v>
      </c>
      <c r="Z851" t="s">
        <v>2623</v>
      </c>
      <c r="AA851" t="s">
        <v>858</v>
      </c>
      <c r="AB851" t="s">
        <v>41</v>
      </c>
      <c r="AC851" t="s">
        <v>3849</v>
      </c>
      <c r="AD851" t="s">
        <v>250</v>
      </c>
      <c r="AF851" t="s">
        <v>1131</v>
      </c>
      <c r="AJ851">
        <v>44.857429092693927</v>
      </c>
      <c r="AK851">
        <v>67.269458503124966</v>
      </c>
    </row>
    <row r="852" spans="1:37" hidden="1" x14ac:dyDescent="0.25">
      <c r="A852">
        <v>867</v>
      </c>
      <c r="B852" t="s">
        <v>2604</v>
      </c>
      <c r="C852" t="s">
        <v>376</v>
      </c>
      <c r="D852" t="s">
        <v>2604</v>
      </c>
      <c r="E852" t="s">
        <v>37</v>
      </c>
      <c r="F852" t="s">
        <v>38</v>
      </c>
      <c r="G852" s="2">
        <v>45825</v>
      </c>
      <c r="H852">
        <v>4.5900000000000003E-2</v>
      </c>
      <c r="I852" t="s">
        <v>72</v>
      </c>
      <c r="J852" t="s">
        <v>40</v>
      </c>
      <c r="K852" t="s">
        <v>41</v>
      </c>
      <c r="L852" t="s">
        <v>2605</v>
      </c>
      <c r="M852" t="s">
        <v>2606</v>
      </c>
      <c r="O852" t="s">
        <v>96</v>
      </c>
      <c r="P852" t="s">
        <v>97</v>
      </c>
      <c r="Q852">
        <v>6.9777789916425081E-2</v>
      </c>
      <c r="R852" t="s">
        <v>60</v>
      </c>
      <c r="S852" t="s">
        <v>66</v>
      </c>
      <c r="T852" t="s">
        <v>3850</v>
      </c>
      <c r="V852" t="s">
        <v>118</v>
      </c>
      <c r="X852" t="s">
        <v>3851</v>
      </c>
      <c r="Y852" t="s">
        <v>382</v>
      </c>
      <c r="Z852" t="s">
        <v>2623</v>
      </c>
      <c r="AA852" t="s">
        <v>75</v>
      </c>
      <c r="AB852" t="s">
        <v>41</v>
      </c>
      <c r="AC852" t="s">
        <v>3852</v>
      </c>
      <c r="AD852" t="s">
        <v>620</v>
      </c>
      <c r="AF852" t="s">
        <v>3510</v>
      </c>
      <c r="AJ852">
        <v>74.937375737672383</v>
      </c>
      <c r="AK852">
        <v>282.38182679034043</v>
      </c>
    </row>
    <row r="853" spans="1:37" hidden="1" x14ac:dyDescent="0.25">
      <c r="A853">
        <v>869</v>
      </c>
      <c r="B853" t="s">
        <v>2604</v>
      </c>
      <c r="C853" t="s">
        <v>376</v>
      </c>
      <c r="D853" t="s">
        <v>2604</v>
      </c>
      <c r="E853" t="s">
        <v>37</v>
      </c>
      <c r="F853" t="s">
        <v>38</v>
      </c>
      <c r="G853" s="2">
        <v>45869</v>
      </c>
      <c r="H853">
        <v>0.75</v>
      </c>
      <c r="I853" t="s">
        <v>72</v>
      </c>
      <c r="J853" t="s">
        <v>40</v>
      </c>
      <c r="K853" t="s">
        <v>41</v>
      </c>
      <c r="L853" t="s">
        <v>2605</v>
      </c>
      <c r="M853" t="s">
        <v>2606</v>
      </c>
      <c r="O853" t="s">
        <v>99</v>
      </c>
      <c r="P853" t="s">
        <v>100</v>
      </c>
      <c r="Q853">
        <v>0.62939541651183395</v>
      </c>
      <c r="R853" t="s">
        <v>60</v>
      </c>
      <c r="S853" t="s">
        <v>66</v>
      </c>
      <c r="T853" t="s">
        <v>3853</v>
      </c>
      <c r="V853" t="s">
        <v>3820</v>
      </c>
      <c r="X853" t="s">
        <v>3854</v>
      </c>
      <c r="Y853" t="s">
        <v>120</v>
      </c>
      <c r="Z853" t="s">
        <v>383</v>
      </c>
      <c r="AA853" t="s">
        <v>119</v>
      </c>
      <c r="AB853" t="s">
        <v>41</v>
      </c>
      <c r="AC853" t="s">
        <v>3855</v>
      </c>
      <c r="AD853" t="s">
        <v>721</v>
      </c>
      <c r="AF853" t="s">
        <v>865</v>
      </c>
      <c r="AJ853">
        <v>244.84386570621871</v>
      </c>
      <c r="AK853">
        <v>2547.0830718621369</v>
      </c>
    </row>
    <row r="854" spans="1:37" hidden="1" x14ac:dyDescent="0.25">
      <c r="A854">
        <v>870</v>
      </c>
      <c r="B854" t="s">
        <v>2604</v>
      </c>
      <c r="C854" t="s">
        <v>376</v>
      </c>
      <c r="D854" t="s">
        <v>2604</v>
      </c>
      <c r="E854" t="s">
        <v>37</v>
      </c>
      <c r="F854" t="s">
        <v>38</v>
      </c>
      <c r="G854" s="2">
        <v>45869</v>
      </c>
      <c r="H854">
        <v>0.05</v>
      </c>
      <c r="I854" t="s">
        <v>72</v>
      </c>
      <c r="J854" t="s">
        <v>40</v>
      </c>
      <c r="K854" t="s">
        <v>41</v>
      </c>
      <c r="L854" t="s">
        <v>2605</v>
      </c>
      <c r="M854" t="s">
        <v>2606</v>
      </c>
      <c r="O854" t="s">
        <v>99</v>
      </c>
      <c r="P854" t="s">
        <v>100</v>
      </c>
      <c r="Q854">
        <v>1.43179792150923E-2</v>
      </c>
      <c r="R854" t="s">
        <v>60</v>
      </c>
      <c r="S854" t="s">
        <v>66</v>
      </c>
      <c r="T854" t="s">
        <v>3853</v>
      </c>
      <c r="V854" t="s">
        <v>3820</v>
      </c>
      <c r="W854" t="s">
        <v>3856</v>
      </c>
      <c r="X854" t="s">
        <v>3854</v>
      </c>
      <c r="Y854" t="s">
        <v>120</v>
      </c>
      <c r="Z854" t="s">
        <v>383</v>
      </c>
      <c r="AA854" t="s">
        <v>70</v>
      </c>
      <c r="AB854" t="s">
        <v>41</v>
      </c>
      <c r="AC854" t="s">
        <v>3855</v>
      </c>
      <c r="AD854" t="s">
        <v>721</v>
      </c>
      <c r="AF854" t="s">
        <v>865</v>
      </c>
      <c r="AJ854">
        <v>36.087821824552591</v>
      </c>
      <c r="AK854">
        <v>57.943037914305862</v>
      </c>
    </row>
    <row r="855" spans="1:37" hidden="1" x14ac:dyDescent="0.25">
      <c r="A855">
        <v>871</v>
      </c>
      <c r="B855" t="s">
        <v>2604</v>
      </c>
      <c r="C855" t="s">
        <v>376</v>
      </c>
      <c r="D855" t="s">
        <v>2604</v>
      </c>
      <c r="E855" t="s">
        <v>37</v>
      </c>
      <c r="F855" t="s">
        <v>38</v>
      </c>
      <c r="G855" s="2">
        <v>45869</v>
      </c>
      <c r="H855">
        <v>0.15</v>
      </c>
      <c r="I855" t="s">
        <v>72</v>
      </c>
      <c r="J855" t="s">
        <v>40</v>
      </c>
      <c r="K855" t="s">
        <v>41</v>
      </c>
      <c r="L855" t="s">
        <v>2605</v>
      </c>
      <c r="M855" t="s">
        <v>2606</v>
      </c>
      <c r="O855" t="s">
        <v>99</v>
      </c>
      <c r="P855" t="s">
        <v>100</v>
      </c>
      <c r="Q855">
        <v>5.0220679422900392E-2</v>
      </c>
      <c r="R855" t="s">
        <v>60</v>
      </c>
      <c r="S855" t="s">
        <v>66</v>
      </c>
      <c r="T855" t="s">
        <v>3853</v>
      </c>
      <c r="V855" t="s">
        <v>3820</v>
      </c>
      <c r="X855" t="s">
        <v>3854</v>
      </c>
      <c r="Y855" t="s">
        <v>120</v>
      </c>
      <c r="Z855" t="s">
        <v>383</v>
      </c>
      <c r="AA855" t="s">
        <v>70</v>
      </c>
      <c r="AB855" t="s">
        <v>41</v>
      </c>
      <c r="AC855" t="s">
        <v>3855</v>
      </c>
      <c r="AD855" t="s">
        <v>721</v>
      </c>
      <c r="AF855" t="s">
        <v>865</v>
      </c>
      <c r="AJ855">
        <v>73.535256081962871</v>
      </c>
      <c r="AK855">
        <v>203.23669200581111</v>
      </c>
    </row>
    <row r="856" spans="1:37" hidden="1" x14ac:dyDescent="0.25">
      <c r="A856">
        <v>872</v>
      </c>
      <c r="B856" t="s">
        <v>2604</v>
      </c>
      <c r="C856" t="s">
        <v>376</v>
      </c>
      <c r="D856" t="s">
        <v>2604</v>
      </c>
      <c r="E856" t="s">
        <v>37</v>
      </c>
      <c r="F856" t="s">
        <v>38</v>
      </c>
      <c r="G856" s="2">
        <v>45869</v>
      </c>
      <c r="H856">
        <v>0.05</v>
      </c>
      <c r="I856" t="s">
        <v>72</v>
      </c>
      <c r="J856" t="s">
        <v>40</v>
      </c>
      <c r="K856" t="s">
        <v>41</v>
      </c>
      <c r="L856" t="s">
        <v>2605</v>
      </c>
      <c r="M856" t="s">
        <v>2606</v>
      </c>
      <c r="O856" t="s">
        <v>99</v>
      </c>
      <c r="P856" t="s">
        <v>100</v>
      </c>
      <c r="Q856">
        <v>2.595901838925721E-2</v>
      </c>
      <c r="R856" t="s">
        <v>60</v>
      </c>
      <c r="S856" t="s">
        <v>66</v>
      </c>
      <c r="T856" t="s">
        <v>3853</v>
      </c>
      <c r="V856" t="s">
        <v>3820</v>
      </c>
      <c r="X856" t="s">
        <v>3854</v>
      </c>
      <c r="Y856" t="s">
        <v>120</v>
      </c>
      <c r="Z856" t="s">
        <v>383</v>
      </c>
      <c r="AA856" t="s">
        <v>70</v>
      </c>
      <c r="AB856" t="s">
        <v>41</v>
      </c>
      <c r="AC856" t="s">
        <v>3855</v>
      </c>
      <c r="AD856" t="s">
        <v>721</v>
      </c>
      <c r="AF856" t="s">
        <v>865</v>
      </c>
      <c r="AJ856">
        <v>38.134940877567303</v>
      </c>
      <c r="AK856">
        <v>105.052840498707</v>
      </c>
    </row>
    <row r="857" spans="1:37" hidden="1" x14ac:dyDescent="0.25">
      <c r="A857">
        <v>873</v>
      </c>
      <c r="B857" t="s">
        <v>2604</v>
      </c>
      <c r="C857" t="s">
        <v>376</v>
      </c>
      <c r="D857" t="s">
        <v>2604</v>
      </c>
      <c r="E857" t="s">
        <v>37</v>
      </c>
      <c r="F857" t="s">
        <v>38</v>
      </c>
      <c r="G857" s="2">
        <v>45826</v>
      </c>
      <c r="H857">
        <v>0.05</v>
      </c>
      <c r="I857" t="s">
        <v>72</v>
      </c>
      <c r="J857" t="s">
        <v>40</v>
      </c>
      <c r="K857" t="s">
        <v>41</v>
      </c>
      <c r="L857" t="s">
        <v>2605</v>
      </c>
      <c r="M857" t="s">
        <v>2606</v>
      </c>
      <c r="O857" t="s">
        <v>99</v>
      </c>
      <c r="P857" t="s">
        <v>100</v>
      </c>
      <c r="Q857">
        <v>2.366986125794885E-2</v>
      </c>
      <c r="R857" t="s">
        <v>60</v>
      </c>
      <c r="S857" t="s">
        <v>66</v>
      </c>
      <c r="T857" t="s">
        <v>3857</v>
      </c>
      <c r="V857" t="s">
        <v>3813</v>
      </c>
      <c r="X857" t="s">
        <v>3858</v>
      </c>
      <c r="Y857" t="s">
        <v>382</v>
      </c>
      <c r="Z857" t="s">
        <v>2630</v>
      </c>
      <c r="AA857" t="s">
        <v>858</v>
      </c>
      <c r="AB857" t="s">
        <v>41</v>
      </c>
      <c r="AC857" t="s">
        <v>3859</v>
      </c>
      <c r="AD857" t="s">
        <v>620</v>
      </c>
      <c r="AF857" t="s">
        <v>414</v>
      </c>
      <c r="AJ857">
        <v>49.060736346692437</v>
      </c>
      <c r="AK857">
        <v>95.788913204316898</v>
      </c>
    </row>
    <row r="858" spans="1:37" hidden="1" x14ac:dyDescent="0.25">
      <c r="A858">
        <v>874</v>
      </c>
      <c r="B858" t="s">
        <v>2604</v>
      </c>
      <c r="C858" t="s">
        <v>376</v>
      </c>
      <c r="D858" t="s">
        <v>2604</v>
      </c>
      <c r="E858" t="s">
        <v>37</v>
      </c>
      <c r="F858" t="s">
        <v>38</v>
      </c>
      <c r="G858" s="2">
        <v>45826</v>
      </c>
      <c r="H858">
        <v>0.01</v>
      </c>
      <c r="I858" t="s">
        <v>72</v>
      </c>
      <c r="J858" t="s">
        <v>40</v>
      </c>
      <c r="K858" t="s">
        <v>41</v>
      </c>
      <c r="L858" t="s">
        <v>2605</v>
      </c>
      <c r="M858" t="s">
        <v>2606</v>
      </c>
      <c r="O858" t="s">
        <v>99</v>
      </c>
      <c r="P858" t="s">
        <v>100</v>
      </c>
      <c r="Q858">
        <v>4.2592044542884757E-3</v>
      </c>
      <c r="R858" t="s">
        <v>60</v>
      </c>
      <c r="S858" t="s">
        <v>66</v>
      </c>
      <c r="T858" t="s">
        <v>3857</v>
      </c>
      <c r="V858" t="s">
        <v>3813</v>
      </c>
      <c r="X858" t="s">
        <v>3858</v>
      </c>
      <c r="Y858" t="s">
        <v>382</v>
      </c>
      <c r="Z858" t="s">
        <v>2630</v>
      </c>
      <c r="AA858" t="s">
        <v>858</v>
      </c>
      <c r="AB858" t="s">
        <v>41</v>
      </c>
      <c r="AC858" t="s">
        <v>3859</v>
      </c>
      <c r="AD858" t="s">
        <v>620</v>
      </c>
      <c r="AF858" t="s">
        <v>414</v>
      </c>
      <c r="AJ858">
        <v>18.36482019385641</v>
      </c>
      <c r="AK858">
        <v>17.23645784591444</v>
      </c>
    </row>
    <row r="859" spans="1:37" hidden="1" x14ac:dyDescent="0.25">
      <c r="A859">
        <v>875</v>
      </c>
      <c r="B859" t="s">
        <v>2604</v>
      </c>
      <c r="C859" t="s">
        <v>376</v>
      </c>
      <c r="D859" t="s">
        <v>2604</v>
      </c>
      <c r="E859" t="s">
        <v>37</v>
      </c>
      <c r="F859" t="s">
        <v>38</v>
      </c>
      <c r="G859" s="2">
        <v>45826</v>
      </c>
      <c r="H859">
        <v>0.01</v>
      </c>
      <c r="I859" t="s">
        <v>72</v>
      </c>
      <c r="J859" t="s">
        <v>40</v>
      </c>
      <c r="K859" t="s">
        <v>41</v>
      </c>
      <c r="L859" t="s">
        <v>2605</v>
      </c>
      <c r="M859" t="s">
        <v>2606</v>
      </c>
      <c r="O859" t="s">
        <v>99</v>
      </c>
      <c r="P859" t="s">
        <v>100</v>
      </c>
      <c r="Q859">
        <v>1.82979554995213E-3</v>
      </c>
      <c r="R859" t="s">
        <v>60</v>
      </c>
      <c r="S859" t="s">
        <v>66</v>
      </c>
      <c r="T859" t="s">
        <v>3857</v>
      </c>
      <c r="V859" t="s">
        <v>3813</v>
      </c>
      <c r="X859" t="s">
        <v>3858</v>
      </c>
      <c r="Y859" t="s">
        <v>382</v>
      </c>
      <c r="Z859" t="s">
        <v>2630</v>
      </c>
      <c r="AA859" t="s">
        <v>858</v>
      </c>
      <c r="AB859" t="s">
        <v>41</v>
      </c>
      <c r="AC859" t="s">
        <v>3859</v>
      </c>
      <c r="AD859" t="s">
        <v>620</v>
      </c>
      <c r="AF859" t="s">
        <v>414</v>
      </c>
      <c r="AJ859">
        <v>10.926522229550759</v>
      </c>
      <c r="AK859">
        <v>7.4049494927710668</v>
      </c>
    </row>
    <row r="860" spans="1:37" hidden="1" x14ac:dyDescent="0.25">
      <c r="A860">
        <v>876</v>
      </c>
      <c r="B860" t="s">
        <v>2604</v>
      </c>
      <c r="C860" t="s">
        <v>376</v>
      </c>
      <c r="D860" t="s">
        <v>2604</v>
      </c>
      <c r="E860" t="s">
        <v>37</v>
      </c>
      <c r="F860" t="s">
        <v>38</v>
      </c>
      <c r="G860" s="2">
        <v>45826</v>
      </c>
      <c r="H860">
        <v>0.01</v>
      </c>
      <c r="I860" t="s">
        <v>72</v>
      </c>
      <c r="J860" t="s">
        <v>40</v>
      </c>
      <c r="K860" t="s">
        <v>41</v>
      </c>
      <c r="L860" t="s">
        <v>2605</v>
      </c>
      <c r="M860" t="s">
        <v>2606</v>
      </c>
      <c r="O860" t="s">
        <v>99</v>
      </c>
      <c r="P860" t="s">
        <v>100</v>
      </c>
      <c r="Q860">
        <v>4.424826535804692E-3</v>
      </c>
      <c r="R860" t="s">
        <v>60</v>
      </c>
      <c r="S860" t="s">
        <v>66</v>
      </c>
      <c r="T860" t="s">
        <v>3857</v>
      </c>
      <c r="V860" t="s">
        <v>3813</v>
      </c>
      <c r="X860" t="s">
        <v>3858</v>
      </c>
      <c r="Y860" t="s">
        <v>382</v>
      </c>
      <c r="Z860" t="s">
        <v>2630</v>
      </c>
      <c r="AA860" t="s">
        <v>858</v>
      </c>
      <c r="AB860" t="s">
        <v>41</v>
      </c>
      <c r="AC860" t="s">
        <v>3859</v>
      </c>
      <c r="AD860" t="s">
        <v>620</v>
      </c>
      <c r="AF860" t="s">
        <v>414</v>
      </c>
      <c r="AJ860">
        <v>24.192750953621559</v>
      </c>
      <c r="AK860">
        <v>17.906709311192781</v>
      </c>
    </row>
    <row r="861" spans="1:37" hidden="1" x14ac:dyDescent="0.25">
      <c r="A861">
        <v>877</v>
      </c>
      <c r="B861" t="s">
        <v>2604</v>
      </c>
      <c r="C861" t="s">
        <v>376</v>
      </c>
      <c r="D861" t="s">
        <v>2604</v>
      </c>
      <c r="E861" t="s">
        <v>37</v>
      </c>
      <c r="F861" t="s">
        <v>38</v>
      </c>
      <c r="G861" s="2">
        <v>45826</v>
      </c>
      <c r="H861">
        <v>0.01</v>
      </c>
      <c r="I861" t="s">
        <v>72</v>
      </c>
      <c r="J861" t="s">
        <v>40</v>
      </c>
      <c r="K861" t="s">
        <v>41</v>
      </c>
      <c r="L861" t="s">
        <v>2605</v>
      </c>
      <c r="M861" t="s">
        <v>2606</v>
      </c>
      <c r="O861" t="s">
        <v>99</v>
      </c>
      <c r="P861" t="s">
        <v>100</v>
      </c>
      <c r="Q861">
        <v>1.6659585434349331E-3</v>
      </c>
      <c r="R861" t="s">
        <v>60</v>
      </c>
      <c r="S861" t="s">
        <v>66</v>
      </c>
      <c r="T861" t="s">
        <v>3857</v>
      </c>
      <c r="V861" t="s">
        <v>3813</v>
      </c>
      <c r="X861" t="s">
        <v>3858</v>
      </c>
      <c r="Y861" t="s">
        <v>382</v>
      </c>
      <c r="Z861" t="s">
        <v>2630</v>
      </c>
      <c r="AA861" t="s">
        <v>858</v>
      </c>
      <c r="AB861" t="s">
        <v>41</v>
      </c>
      <c r="AC861" t="s">
        <v>3859</v>
      </c>
      <c r="AD861" t="s">
        <v>620</v>
      </c>
      <c r="AF861" t="s">
        <v>414</v>
      </c>
      <c r="AJ861">
        <v>11.96893941666792</v>
      </c>
      <c r="AK861">
        <v>6.7419219986128356</v>
      </c>
    </row>
    <row r="862" spans="1:37" hidden="1" x14ac:dyDescent="0.25">
      <c r="A862">
        <v>878</v>
      </c>
      <c r="B862" t="s">
        <v>2604</v>
      </c>
      <c r="C862" t="s">
        <v>376</v>
      </c>
      <c r="D862" t="s">
        <v>2604</v>
      </c>
      <c r="E862" t="s">
        <v>37</v>
      </c>
      <c r="F862" t="s">
        <v>38</v>
      </c>
      <c r="G862" s="2">
        <v>45826</v>
      </c>
      <c r="H862">
        <v>0.08</v>
      </c>
      <c r="I862" t="s">
        <v>72</v>
      </c>
      <c r="J862" t="s">
        <v>40</v>
      </c>
      <c r="K862" t="s">
        <v>41</v>
      </c>
      <c r="L862" t="s">
        <v>2605</v>
      </c>
      <c r="M862" t="s">
        <v>2606</v>
      </c>
      <c r="O862" t="s">
        <v>99</v>
      </c>
      <c r="P862" t="s">
        <v>100</v>
      </c>
      <c r="Q862">
        <v>3.9553673321125353E-2</v>
      </c>
      <c r="R862" t="s">
        <v>60</v>
      </c>
      <c r="S862" t="s">
        <v>66</v>
      </c>
      <c r="T862" t="s">
        <v>3857</v>
      </c>
      <c r="V862" t="s">
        <v>3813</v>
      </c>
      <c r="X862" t="s">
        <v>3858</v>
      </c>
      <c r="Y862" t="s">
        <v>382</v>
      </c>
      <c r="Z862" t="s">
        <v>2630</v>
      </c>
      <c r="AA862" t="s">
        <v>858</v>
      </c>
      <c r="AB862" t="s">
        <v>41</v>
      </c>
      <c r="AC862" t="s">
        <v>3859</v>
      </c>
      <c r="AD862" t="s">
        <v>620</v>
      </c>
      <c r="AF862" t="s">
        <v>414</v>
      </c>
      <c r="AJ862">
        <v>53.422061306782773</v>
      </c>
      <c r="AK862">
        <v>160.06867718317611</v>
      </c>
    </row>
    <row r="863" spans="1:37" hidden="1" x14ac:dyDescent="0.25">
      <c r="A863">
        <v>879</v>
      </c>
      <c r="B863" t="s">
        <v>2604</v>
      </c>
      <c r="C863" t="s">
        <v>376</v>
      </c>
      <c r="D863" t="s">
        <v>2604</v>
      </c>
      <c r="E863" t="s">
        <v>37</v>
      </c>
      <c r="F863" t="s">
        <v>38</v>
      </c>
      <c r="G863" s="2">
        <v>45826</v>
      </c>
      <c r="H863">
        <v>0.05</v>
      </c>
      <c r="I863" t="s">
        <v>72</v>
      </c>
      <c r="J863" t="s">
        <v>40</v>
      </c>
      <c r="K863" t="s">
        <v>41</v>
      </c>
      <c r="L863" t="s">
        <v>2605</v>
      </c>
      <c r="M863" t="s">
        <v>2606</v>
      </c>
      <c r="O863" t="s">
        <v>99</v>
      </c>
      <c r="P863" t="s">
        <v>100</v>
      </c>
      <c r="Q863">
        <v>2.7550266198977519E-2</v>
      </c>
      <c r="R863" t="s">
        <v>60</v>
      </c>
      <c r="S863" t="s">
        <v>66</v>
      </c>
      <c r="T863" t="s">
        <v>3857</v>
      </c>
      <c r="V863" t="s">
        <v>3813</v>
      </c>
      <c r="X863" t="s">
        <v>3858</v>
      </c>
      <c r="Y863" t="s">
        <v>382</v>
      </c>
      <c r="Z863" t="s">
        <v>2630</v>
      </c>
      <c r="AA863" t="s">
        <v>858</v>
      </c>
      <c r="AB863" t="s">
        <v>41</v>
      </c>
      <c r="AC863" t="s">
        <v>3859</v>
      </c>
      <c r="AD863" t="s">
        <v>620</v>
      </c>
      <c r="AF863" t="s">
        <v>414</v>
      </c>
      <c r="AJ863">
        <v>44.581245127060342</v>
      </c>
      <c r="AK863">
        <v>111.49241767538651</v>
      </c>
    </row>
    <row r="864" spans="1:37" hidden="1" x14ac:dyDescent="0.25">
      <c r="A864">
        <v>880</v>
      </c>
      <c r="B864" t="s">
        <v>2604</v>
      </c>
      <c r="C864" t="s">
        <v>376</v>
      </c>
      <c r="D864" t="s">
        <v>2604</v>
      </c>
      <c r="E864" t="s">
        <v>37</v>
      </c>
      <c r="F864" t="s">
        <v>38</v>
      </c>
      <c r="G864" s="2">
        <v>45826</v>
      </c>
      <c r="H864">
        <v>0.01</v>
      </c>
      <c r="I864" t="s">
        <v>72</v>
      </c>
      <c r="J864" t="s">
        <v>40</v>
      </c>
      <c r="K864" t="s">
        <v>41</v>
      </c>
      <c r="L864" t="s">
        <v>2605</v>
      </c>
      <c r="M864" t="s">
        <v>2606</v>
      </c>
      <c r="O864" t="s">
        <v>99</v>
      </c>
      <c r="P864" t="s">
        <v>100</v>
      </c>
      <c r="Q864">
        <v>5.6727228433253573E-3</v>
      </c>
      <c r="R864" t="s">
        <v>60</v>
      </c>
      <c r="S864" t="s">
        <v>66</v>
      </c>
      <c r="T864" t="s">
        <v>3857</v>
      </c>
      <c r="V864" t="s">
        <v>3813</v>
      </c>
      <c r="X864" t="s">
        <v>3858</v>
      </c>
      <c r="Y864" t="s">
        <v>382</v>
      </c>
      <c r="Z864" t="s">
        <v>2630</v>
      </c>
      <c r="AA864" t="s">
        <v>858</v>
      </c>
      <c r="AB864" t="s">
        <v>41</v>
      </c>
      <c r="AC864" t="s">
        <v>3859</v>
      </c>
      <c r="AD864" t="s">
        <v>620</v>
      </c>
      <c r="AF864" t="s">
        <v>414</v>
      </c>
      <c r="AJ864">
        <v>25.91148361914977</v>
      </c>
      <c r="AK864">
        <v>22.956786698061379</v>
      </c>
    </row>
    <row r="865" spans="1:37" hidden="1" x14ac:dyDescent="0.25">
      <c r="A865">
        <v>881</v>
      </c>
      <c r="B865" t="s">
        <v>2604</v>
      </c>
      <c r="C865" t="s">
        <v>376</v>
      </c>
      <c r="D865" t="s">
        <v>2604</v>
      </c>
      <c r="E865" t="s">
        <v>37</v>
      </c>
      <c r="F865" t="s">
        <v>38</v>
      </c>
      <c r="G865" s="2">
        <v>45826</v>
      </c>
      <c r="H865">
        <v>0.1</v>
      </c>
      <c r="I865" t="s">
        <v>72</v>
      </c>
      <c r="J865" t="s">
        <v>40</v>
      </c>
      <c r="K865" t="s">
        <v>41</v>
      </c>
      <c r="L865" t="s">
        <v>2605</v>
      </c>
      <c r="M865" t="s">
        <v>2606</v>
      </c>
      <c r="O865" t="s">
        <v>99</v>
      </c>
      <c r="P865" t="s">
        <v>100</v>
      </c>
      <c r="Q865">
        <v>7.6226519442745833E-2</v>
      </c>
      <c r="R865" t="s">
        <v>60</v>
      </c>
      <c r="S865" t="s">
        <v>66</v>
      </c>
      <c r="T865" t="s">
        <v>3857</v>
      </c>
      <c r="V865" t="s">
        <v>3813</v>
      </c>
      <c r="X865" t="s">
        <v>3858</v>
      </c>
      <c r="Y865" t="s">
        <v>382</v>
      </c>
      <c r="Z865" t="s">
        <v>2630</v>
      </c>
      <c r="AA865" t="s">
        <v>858</v>
      </c>
      <c r="AB865" t="s">
        <v>41</v>
      </c>
      <c r="AC865" t="s">
        <v>3859</v>
      </c>
      <c r="AD865" t="s">
        <v>620</v>
      </c>
      <c r="AF865" t="s">
        <v>414</v>
      </c>
      <c r="AJ865">
        <v>76.429122216884835</v>
      </c>
      <c r="AK865">
        <v>308.47901367889523</v>
      </c>
    </row>
    <row r="866" spans="1:37" hidden="1" x14ac:dyDescent="0.25">
      <c r="A866">
        <v>882</v>
      </c>
      <c r="B866" t="s">
        <v>2604</v>
      </c>
      <c r="C866" t="s">
        <v>376</v>
      </c>
      <c r="D866" t="s">
        <v>2604</v>
      </c>
      <c r="E866" t="s">
        <v>37</v>
      </c>
      <c r="F866" t="s">
        <v>38</v>
      </c>
      <c r="G866" s="2">
        <v>45874</v>
      </c>
      <c r="H866">
        <v>0.1</v>
      </c>
      <c r="I866" t="s">
        <v>72</v>
      </c>
      <c r="J866" t="s">
        <v>40</v>
      </c>
      <c r="K866" t="s">
        <v>41</v>
      </c>
      <c r="L866" t="s">
        <v>2605</v>
      </c>
      <c r="M866" t="s">
        <v>2606</v>
      </c>
      <c r="O866" t="s">
        <v>624</v>
      </c>
      <c r="P866" t="s">
        <v>625</v>
      </c>
      <c r="Q866">
        <v>0.14336199834677649</v>
      </c>
      <c r="S866" t="s">
        <v>38</v>
      </c>
      <c r="T866" t="s">
        <v>3860</v>
      </c>
      <c r="V866" t="s">
        <v>576</v>
      </c>
      <c r="X866" t="s">
        <v>3861</v>
      </c>
      <c r="Y866" t="s">
        <v>382</v>
      </c>
      <c r="Z866" t="s">
        <v>383</v>
      </c>
      <c r="AA866" t="s">
        <v>125</v>
      </c>
      <c r="AB866" t="s">
        <v>41</v>
      </c>
      <c r="AC866" t="s">
        <v>3862</v>
      </c>
      <c r="AD866" t="s">
        <v>620</v>
      </c>
      <c r="AF866" t="s">
        <v>3138</v>
      </c>
      <c r="AJ866">
        <v>105.2492183649061</v>
      </c>
      <c r="AK866">
        <v>580.16774440640779</v>
      </c>
    </row>
    <row r="867" spans="1:37" hidden="1" x14ac:dyDescent="0.25">
      <c r="A867">
        <v>883</v>
      </c>
      <c r="B867" t="s">
        <v>2604</v>
      </c>
      <c r="C867" t="s">
        <v>376</v>
      </c>
      <c r="D867" t="s">
        <v>2604</v>
      </c>
      <c r="E867" t="s">
        <v>37</v>
      </c>
      <c r="F867" t="s">
        <v>38</v>
      </c>
      <c r="G867" s="2">
        <v>45874</v>
      </c>
      <c r="H867">
        <v>0.5</v>
      </c>
      <c r="I867" t="s">
        <v>72</v>
      </c>
      <c r="J867" t="s">
        <v>40</v>
      </c>
      <c r="K867" t="s">
        <v>41</v>
      </c>
      <c r="L867" t="s">
        <v>2605</v>
      </c>
      <c r="M867" t="s">
        <v>2606</v>
      </c>
      <c r="O867" t="s">
        <v>624</v>
      </c>
      <c r="P867" t="s">
        <v>625</v>
      </c>
      <c r="Q867">
        <v>0.50643145127750744</v>
      </c>
      <c r="S867" t="s">
        <v>38</v>
      </c>
      <c r="T867" t="s">
        <v>3863</v>
      </c>
      <c r="V867" t="s">
        <v>576</v>
      </c>
      <c r="X867" t="s">
        <v>3861</v>
      </c>
      <c r="Y867" t="s">
        <v>382</v>
      </c>
      <c r="Z867" t="s">
        <v>383</v>
      </c>
      <c r="AA867" t="s">
        <v>125</v>
      </c>
      <c r="AB867" t="s">
        <v>41</v>
      </c>
      <c r="AC867" t="s">
        <v>3862</v>
      </c>
      <c r="AD867" t="s">
        <v>620</v>
      </c>
      <c r="AF867" t="s">
        <v>3138</v>
      </c>
      <c r="AJ867">
        <v>229.7779924545041</v>
      </c>
      <c r="AK867">
        <v>2049.4635689538109</v>
      </c>
    </row>
    <row r="868" spans="1:37" hidden="1" x14ac:dyDescent="0.25">
      <c r="A868">
        <v>884</v>
      </c>
      <c r="B868" t="s">
        <v>2604</v>
      </c>
      <c r="C868" t="s">
        <v>376</v>
      </c>
      <c r="D868" t="s">
        <v>2604</v>
      </c>
      <c r="E868" t="s">
        <v>37</v>
      </c>
      <c r="F868" t="s">
        <v>38</v>
      </c>
      <c r="G868" s="2">
        <v>45869</v>
      </c>
      <c r="H868">
        <v>0.13700000000000001</v>
      </c>
      <c r="I868" t="s">
        <v>72</v>
      </c>
      <c r="J868" t="s">
        <v>40</v>
      </c>
      <c r="K868" t="s">
        <v>41</v>
      </c>
      <c r="L868" t="s">
        <v>2605</v>
      </c>
      <c r="M868" t="s">
        <v>2606</v>
      </c>
      <c r="O868" t="s">
        <v>99</v>
      </c>
      <c r="P868" t="s">
        <v>100</v>
      </c>
      <c r="Q868">
        <v>9.1870738227558032E-3</v>
      </c>
      <c r="R868" t="s">
        <v>60</v>
      </c>
      <c r="S868" t="s">
        <v>66</v>
      </c>
      <c r="T868" t="s">
        <v>3864</v>
      </c>
      <c r="V868" t="s">
        <v>3820</v>
      </c>
      <c r="X868" t="s">
        <v>3865</v>
      </c>
      <c r="Y868" t="s">
        <v>120</v>
      </c>
      <c r="Z868" t="s">
        <v>383</v>
      </c>
      <c r="AA868" t="s">
        <v>70</v>
      </c>
      <c r="AB868" t="s">
        <v>41</v>
      </c>
      <c r="AC868" t="s">
        <v>3866</v>
      </c>
      <c r="AD868" t="s">
        <v>664</v>
      </c>
      <c r="AF868" t="s">
        <v>3389</v>
      </c>
      <c r="AJ868">
        <v>25.311421221223799</v>
      </c>
      <c r="AK868">
        <v>37.178917418203199</v>
      </c>
    </row>
    <row r="869" spans="1:37" hidden="1" x14ac:dyDescent="0.25">
      <c r="A869">
        <v>885</v>
      </c>
      <c r="B869" t="s">
        <v>2604</v>
      </c>
      <c r="C869" t="s">
        <v>376</v>
      </c>
      <c r="D869" t="s">
        <v>2604</v>
      </c>
      <c r="E869" t="s">
        <v>37</v>
      </c>
      <c r="F869" t="s">
        <v>38</v>
      </c>
      <c r="G869" s="2">
        <v>45869</v>
      </c>
      <c r="H869">
        <v>7.0000000000000007E-2</v>
      </c>
      <c r="I869" t="s">
        <v>72</v>
      </c>
      <c r="J869" t="s">
        <v>40</v>
      </c>
      <c r="K869" t="s">
        <v>41</v>
      </c>
      <c r="L869" t="s">
        <v>2605</v>
      </c>
      <c r="M869" t="s">
        <v>2606</v>
      </c>
      <c r="O869" t="s">
        <v>99</v>
      </c>
      <c r="P869" t="s">
        <v>100</v>
      </c>
      <c r="Q869">
        <v>0.1347302223604897</v>
      </c>
      <c r="R869" t="s">
        <v>60</v>
      </c>
      <c r="S869" t="s">
        <v>66</v>
      </c>
      <c r="T869" t="s">
        <v>3867</v>
      </c>
      <c r="V869" t="s">
        <v>3820</v>
      </c>
      <c r="X869" t="s">
        <v>3865</v>
      </c>
      <c r="Y869" t="s">
        <v>120</v>
      </c>
      <c r="Z869" t="s">
        <v>383</v>
      </c>
      <c r="AA869" t="s">
        <v>70</v>
      </c>
      <c r="AB869" t="s">
        <v>41</v>
      </c>
      <c r="AC869" t="s">
        <v>3866</v>
      </c>
      <c r="AD869" t="s">
        <v>664</v>
      </c>
      <c r="AF869" t="s">
        <v>3389</v>
      </c>
      <c r="AJ869">
        <v>185.90032917229081</v>
      </c>
      <c r="AK869">
        <v>545.23604659293335</v>
      </c>
    </row>
    <row r="870" spans="1:37" hidden="1" x14ac:dyDescent="0.25">
      <c r="A870">
        <v>886</v>
      </c>
      <c r="B870" t="s">
        <v>2604</v>
      </c>
      <c r="C870" t="s">
        <v>376</v>
      </c>
      <c r="D870" t="s">
        <v>2604</v>
      </c>
      <c r="E870" t="s">
        <v>37</v>
      </c>
      <c r="F870" t="s">
        <v>38</v>
      </c>
      <c r="G870" s="2">
        <v>45869</v>
      </c>
      <c r="H870">
        <v>4.2999999999999997E-2</v>
      </c>
      <c r="I870" t="s">
        <v>72</v>
      </c>
      <c r="J870" t="s">
        <v>40</v>
      </c>
      <c r="K870" t="s">
        <v>41</v>
      </c>
      <c r="L870" t="s">
        <v>2605</v>
      </c>
      <c r="M870" t="s">
        <v>2606</v>
      </c>
      <c r="O870" t="s">
        <v>99</v>
      </c>
      <c r="P870" t="s">
        <v>100</v>
      </c>
      <c r="Q870">
        <v>6.7161360913494603E-2</v>
      </c>
      <c r="R870" t="s">
        <v>60</v>
      </c>
      <c r="S870" t="s">
        <v>66</v>
      </c>
      <c r="T870" t="s">
        <v>3868</v>
      </c>
      <c r="V870" t="s">
        <v>3820</v>
      </c>
      <c r="X870" t="s">
        <v>3865</v>
      </c>
      <c r="Y870" t="s">
        <v>120</v>
      </c>
      <c r="Z870" t="s">
        <v>383</v>
      </c>
      <c r="AA870" t="s">
        <v>70</v>
      </c>
      <c r="AB870" t="s">
        <v>41</v>
      </c>
      <c r="AC870" t="s">
        <v>3866</v>
      </c>
      <c r="AD870" t="s">
        <v>664</v>
      </c>
      <c r="AF870" t="s">
        <v>3389</v>
      </c>
      <c r="AJ870">
        <v>74.558507350224318</v>
      </c>
      <c r="AK870">
        <v>271.79347192270052</v>
      </c>
    </row>
    <row r="871" spans="1:37" x14ac:dyDescent="0.25">
      <c r="A871">
        <v>915</v>
      </c>
      <c r="C871" t="s">
        <v>376</v>
      </c>
      <c r="D871" t="s">
        <v>2604</v>
      </c>
      <c r="E871" t="s">
        <v>37</v>
      </c>
      <c r="F871" t="s">
        <v>38</v>
      </c>
      <c r="G871" s="2">
        <v>45846</v>
      </c>
      <c r="I871" t="s">
        <v>72</v>
      </c>
      <c r="J871" t="s">
        <v>40</v>
      </c>
      <c r="K871" t="s">
        <v>41</v>
      </c>
      <c r="L871" t="s">
        <v>2605</v>
      </c>
      <c r="M871" t="s">
        <v>2606</v>
      </c>
      <c r="O871" t="s">
        <v>62</v>
      </c>
      <c r="P871" t="s">
        <v>63</v>
      </c>
      <c r="Q871">
        <v>4.224977652944855E-2</v>
      </c>
      <c r="R871" t="s">
        <v>64</v>
      </c>
      <c r="S871" t="s">
        <v>65</v>
      </c>
      <c r="V871" t="s">
        <v>180</v>
      </c>
      <c r="AB871" t="s">
        <v>41</v>
      </c>
      <c r="AJ871">
        <v>50.858008153574247</v>
      </c>
      <c r="AK871">
        <v>170.97946341033341</v>
      </c>
    </row>
    <row r="872" spans="1:37" x14ac:dyDescent="0.25">
      <c r="A872">
        <v>916</v>
      </c>
      <c r="C872" t="s">
        <v>376</v>
      </c>
      <c r="D872" t="s">
        <v>2604</v>
      </c>
      <c r="E872" t="s">
        <v>37</v>
      </c>
      <c r="F872" t="s">
        <v>38</v>
      </c>
      <c r="G872" s="2">
        <v>45846</v>
      </c>
      <c r="H872">
        <v>0.25</v>
      </c>
      <c r="I872" t="s">
        <v>72</v>
      </c>
      <c r="J872" t="s">
        <v>40</v>
      </c>
      <c r="K872" t="s">
        <v>41</v>
      </c>
      <c r="L872" t="s">
        <v>2605</v>
      </c>
      <c r="M872" t="s">
        <v>2606</v>
      </c>
      <c r="O872" t="s">
        <v>62</v>
      </c>
      <c r="P872" t="s">
        <v>63</v>
      </c>
      <c r="Q872">
        <v>9.8360361719179844E-3</v>
      </c>
      <c r="R872" t="s">
        <v>64</v>
      </c>
      <c r="S872" t="s">
        <v>65</v>
      </c>
      <c r="T872" t="s">
        <v>3893</v>
      </c>
      <c r="V872" t="s">
        <v>180</v>
      </c>
      <c r="X872" t="s">
        <v>3894</v>
      </c>
      <c r="Y872" t="s">
        <v>412</v>
      </c>
      <c r="Z872" t="s">
        <v>3895</v>
      </c>
      <c r="AA872" t="s">
        <v>860</v>
      </c>
      <c r="AB872" t="s">
        <v>41</v>
      </c>
      <c r="AC872" t="s">
        <v>3896</v>
      </c>
      <c r="AD872" t="s">
        <v>664</v>
      </c>
      <c r="AJ872">
        <v>34.012434522825423</v>
      </c>
      <c r="AK872">
        <v>39.805185373867282</v>
      </c>
    </row>
    <row r="873" spans="1:37" hidden="1" x14ac:dyDescent="0.25">
      <c r="A873">
        <v>889</v>
      </c>
      <c r="B873" t="s">
        <v>2604</v>
      </c>
      <c r="C873" t="s">
        <v>376</v>
      </c>
      <c r="D873" t="s">
        <v>2604</v>
      </c>
      <c r="E873" t="s">
        <v>37</v>
      </c>
      <c r="F873" t="s">
        <v>38</v>
      </c>
      <c r="G873" s="2">
        <v>45825</v>
      </c>
      <c r="H873">
        <v>0.02</v>
      </c>
      <c r="I873" t="s">
        <v>72</v>
      </c>
      <c r="J873" t="s">
        <v>40</v>
      </c>
      <c r="K873" t="s">
        <v>41</v>
      </c>
      <c r="L873" t="s">
        <v>2605</v>
      </c>
      <c r="M873" t="s">
        <v>2606</v>
      </c>
      <c r="O873" t="s">
        <v>99</v>
      </c>
      <c r="P873" t="s">
        <v>100</v>
      </c>
      <c r="Q873">
        <v>1.9898697531799809E-2</v>
      </c>
      <c r="R873" t="s">
        <v>60</v>
      </c>
      <c r="S873" t="s">
        <v>66</v>
      </c>
      <c r="T873" t="s">
        <v>3873</v>
      </c>
      <c r="V873" t="s">
        <v>860</v>
      </c>
      <c r="X873" t="s">
        <v>3874</v>
      </c>
      <c r="Y873" t="s">
        <v>412</v>
      </c>
      <c r="Z873" t="s">
        <v>2623</v>
      </c>
      <c r="AA873" t="s">
        <v>2116</v>
      </c>
      <c r="AB873" t="s">
        <v>41</v>
      </c>
      <c r="AC873" t="s">
        <v>3875</v>
      </c>
      <c r="AD873" t="s">
        <v>656</v>
      </c>
      <c r="AF873" t="s">
        <v>657</v>
      </c>
      <c r="AJ873">
        <v>36.884011417911573</v>
      </c>
      <c r="AK873">
        <v>80.527494013613023</v>
      </c>
    </row>
    <row r="874" spans="1:37" hidden="1" x14ac:dyDescent="0.25">
      <c r="A874">
        <v>890</v>
      </c>
      <c r="B874" t="s">
        <v>2604</v>
      </c>
      <c r="C874" t="s">
        <v>376</v>
      </c>
      <c r="D874" t="s">
        <v>2604</v>
      </c>
      <c r="E874" t="s">
        <v>37</v>
      </c>
      <c r="F874" t="s">
        <v>38</v>
      </c>
      <c r="G874" s="2">
        <v>45825</v>
      </c>
      <c r="H874">
        <v>0.1</v>
      </c>
      <c r="I874" t="s">
        <v>72</v>
      </c>
      <c r="J874" t="s">
        <v>40</v>
      </c>
      <c r="K874" t="s">
        <v>41</v>
      </c>
      <c r="L874" t="s">
        <v>2605</v>
      </c>
      <c r="M874" t="s">
        <v>2606</v>
      </c>
      <c r="O874" t="s">
        <v>99</v>
      </c>
      <c r="P874" t="s">
        <v>100</v>
      </c>
      <c r="Q874">
        <v>9.9930570086615142E-2</v>
      </c>
      <c r="R874" t="s">
        <v>60</v>
      </c>
      <c r="S874" t="s">
        <v>66</v>
      </c>
      <c r="T874" t="s">
        <v>3873</v>
      </c>
      <c r="V874" t="s">
        <v>860</v>
      </c>
      <c r="X874" t="s">
        <v>3874</v>
      </c>
      <c r="Y874" t="s">
        <v>412</v>
      </c>
      <c r="Z874" t="s">
        <v>2623</v>
      </c>
      <c r="AA874" t="s">
        <v>2116</v>
      </c>
      <c r="AB874" t="s">
        <v>41</v>
      </c>
      <c r="AC874" t="s">
        <v>3875</v>
      </c>
      <c r="AD874" t="s">
        <v>656</v>
      </c>
      <c r="AF874" t="s">
        <v>657</v>
      </c>
      <c r="AJ874">
        <v>105.1964445616093</v>
      </c>
      <c r="AK874">
        <v>404.40628697264208</v>
      </c>
    </row>
    <row r="875" spans="1:37" hidden="1" x14ac:dyDescent="0.25">
      <c r="A875">
        <v>891</v>
      </c>
      <c r="B875" t="s">
        <v>2604</v>
      </c>
      <c r="C875" t="s">
        <v>376</v>
      </c>
      <c r="D875" t="s">
        <v>2604</v>
      </c>
      <c r="E875" t="s">
        <v>37</v>
      </c>
      <c r="F875" t="s">
        <v>38</v>
      </c>
      <c r="G875" s="2">
        <v>45847</v>
      </c>
      <c r="H875">
        <v>7.0000000000000007E-2</v>
      </c>
      <c r="I875" t="s">
        <v>72</v>
      </c>
      <c r="J875" t="s">
        <v>40</v>
      </c>
      <c r="K875" t="s">
        <v>41</v>
      </c>
      <c r="L875" t="s">
        <v>2605</v>
      </c>
      <c r="M875" t="s">
        <v>2606</v>
      </c>
      <c r="O875" t="s">
        <v>96</v>
      </c>
      <c r="P875" t="s">
        <v>97</v>
      </c>
      <c r="Q875">
        <v>8.5592771918829524E-2</v>
      </c>
      <c r="R875" t="s">
        <v>60</v>
      </c>
      <c r="S875" t="s">
        <v>66</v>
      </c>
      <c r="T875" t="s">
        <v>3876</v>
      </c>
      <c r="V875" t="s">
        <v>182</v>
      </c>
      <c r="X875" t="s">
        <v>3877</v>
      </c>
      <c r="Y875" t="s">
        <v>420</v>
      </c>
      <c r="Z875" t="s">
        <v>765</v>
      </c>
      <c r="AA875" t="s">
        <v>121</v>
      </c>
      <c r="AB875" t="s">
        <v>41</v>
      </c>
      <c r="AC875" t="s">
        <v>3878</v>
      </c>
      <c r="AD875" t="s">
        <v>721</v>
      </c>
      <c r="AF875" t="s">
        <v>865</v>
      </c>
      <c r="AJ875">
        <v>75.837973590291483</v>
      </c>
      <c r="AK875">
        <v>346.3830442815252</v>
      </c>
    </row>
    <row r="876" spans="1:37" hidden="1" x14ac:dyDescent="0.25">
      <c r="A876">
        <v>892</v>
      </c>
      <c r="B876" t="s">
        <v>2604</v>
      </c>
      <c r="C876" t="s">
        <v>376</v>
      </c>
      <c r="D876" t="s">
        <v>2604</v>
      </c>
      <c r="E876" t="s">
        <v>37</v>
      </c>
      <c r="F876" t="s">
        <v>38</v>
      </c>
      <c r="G876" s="2">
        <v>45847</v>
      </c>
      <c r="H876">
        <v>0.05</v>
      </c>
      <c r="I876" t="s">
        <v>72</v>
      </c>
      <c r="J876" t="s">
        <v>40</v>
      </c>
      <c r="K876" t="s">
        <v>41</v>
      </c>
      <c r="L876" t="s">
        <v>2605</v>
      </c>
      <c r="M876" t="s">
        <v>2606</v>
      </c>
      <c r="O876" t="s">
        <v>96</v>
      </c>
      <c r="P876" t="s">
        <v>97</v>
      </c>
      <c r="Q876">
        <v>7.2925004817055591E-2</v>
      </c>
      <c r="R876" t="s">
        <v>60</v>
      </c>
      <c r="S876" t="s">
        <v>66</v>
      </c>
      <c r="T876" t="s">
        <v>3876</v>
      </c>
      <c r="V876" t="s">
        <v>182</v>
      </c>
      <c r="X876" t="s">
        <v>3877</v>
      </c>
      <c r="Y876" t="s">
        <v>420</v>
      </c>
      <c r="Z876" t="s">
        <v>765</v>
      </c>
      <c r="AA876" t="s">
        <v>121</v>
      </c>
      <c r="AB876" t="s">
        <v>41</v>
      </c>
      <c r="AC876" t="s">
        <v>3878</v>
      </c>
      <c r="AD876" t="s">
        <v>721</v>
      </c>
      <c r="AF876" t="s">
        <v>865</v>
      </c>
      <c r="AJ876">
        <v>75.051213321348925</v>
      </c>
      <c r="AK876">
        <v>295.11820456909021</v>
      </c>
    </row>
    <row r="877" spans="1:37" x14ac:dyDescent="0.25">
      <c r="A877">
        <v>919</v>
      </c>
      <c r="B877" t="s">
        <v>57</v>
      </c>
      <c r="C877" t="s">
        <v>376</v>
      </c>
      <c r="D877" t="s">
        <v>2604</v>
      </c>
      <c r="E877" t="s">
        <v>37</v>
      </c>
      <c r="F877" t="s">
        <v>38</v>
      </c>
      <c r="G877" s="2">
        <v>45869</v>
      </c>
      <c r="I877" t="s">
        <v>72</v>
      </c>
      <c r="J877" t="s">
        <v>40</v>
      </c>
      <c r="K877" t="s">
        <v>41</v>
      </c>
      <c r="L877" t="s">
        <v>2605</v>
      </c>
      <c r="M877" t="s">
        <v>2606</v>
      </c>
      <c r="N877" t="s">
        <v>57</v>
      </c>
      <c r="O877" t="s">
        <v>62</v>
      </c>
      <c r="P877" t="s">
        <v>63</v>
      </c>
      <c r="Q877">
        <v>6.7681335973983668E-3</v>
      </c>
      <c r="R877" t="s">
        <v>64</v>
      </c>
      <c r="S877" t="s">
        <v>65</v>
      </c>
      <c r="T877" t="s">
        <v>3901</v>
      </c>
      <c r="V877" t="s">
        <v>712</v>
      </c>
      <c r="X877" t="s">
        <v>57</v>
      </c>
      <c r="Y877" t="s">
        <v>412</v>
      </c>
      <c r="Z877" t="s">
        <v>2623</v>
      </c>
      <c r="AA877" t="s">
        <v>54</v>
      </c>
      <c r="AB877" t="s">
        <v>41</v>
      </c>
      <c r="AC877" t="s">
        <v>57</v>
      </c>
      <c r="AD877" t="s">
        <v>57</v>
      </c>
      <c r="AF877" t="s">
        <v>57</v>
      </c>
      <c r="AJ877">
        <v>28.332972414211682</v>
      </c>
      <c r="AK877">
        <v>27.38977447528114</v>
      </c>
    </row>
    <row r="878" spans="1:37" hidden="1" x14ac:dyDescent="0.25">
      <c r="A878">
        <v>894</v>
      </c>
      <c r="B878" t="s">
        <v>3557</v>
      </c>
      <c r="C878" t="s">
        <v>376</v>
      </c>
      <c r="D878" t="s">
        <v>2604</v>
      </c>
      <c r="E878" t="s">
        <v>37</v>
      </c>
      <c r="F878" t="s">
        <v>38</v>
      </c>
      <c r="G878" s="2">
        <v>45825</v>
      </c>
      <c r="H878">
        <v>30.4</v>
      </c>
      <c r="I878" t="s">
        <v>72</v>
      </c>
      <c r="J878" t="s">
        <v>40</v>
      </c>
      <c r="K878" t="s">
        <v>41</v>
      </c>
      <c r="L878" t="s">
        <v>2605</v>
      </c>
      <c r="M878" t="s">
        <v>2606</v>
      </c>
      <c r="O878" t="s">
        <v>402</v>
      </c>
      <c r="P878" t="s">
        <v>403</v>
      </c>
      <c r="Q878">
        <v>4.0471434703734248</v>
      </c>
      <c r="S878" t="s">
        <v>38</v>
      </c>
      <c r="T878" t="s">
        <v>3553</v>
      </c>
      <c r="V878" t="s">
        <v>76</v>
      </c>
      <c r="X878" t="s">
        <v>3554</v>
      </c>
      <c r="Y878" t="s">
        <v>382</v>
      </c>
      <c r="Z878" t="s">
        <v>2623</v>
      </c>
      <c r="AA878" t="s">
        <v>942</v>
      </c>
      <c r="AB878" t="s">
        <v>41</v>
      </c>
      <c r="AD878" t="s">
        <v>656</v>
      </c>
      <c r="AF878" t="s">
        <v>2667</v>
      </c>
      <c r="AJ878">
        <v>828.67374903944233</v>
      </c>
      <c r="AK878">
        <v>16378.27405848564</v>
      </c>
    </row>
    <row r="879" spans="1:37" hidden="1" x14ac:dyDescent="0.25">
      <c r="A879">
        <v>895</v>
      </c>
      <c r="B879" t="s">
        <v>3363</v>
      </c>
      <c r="C879" t="s">
        <v>376</v>
      </c>
      <c r="D879" t="s">
        <v>2604</v>
      </c>
      <c r="E879" t="s">
        <v>37</v>
      </c>
      <c r="F879" t="s">
        <v>38</v>
      </c>
      <c r="G879" s="2">
        <v>45825</v>
      </c>
      <c r="H879">
        <v>11.7</v>
      </c>
      <c r="I879" t="s">
        <v>72</v>
      </c>
      <c r="J879" t="s">
        <v>40</v>
      </c>
      <c r="K879" t="s">
        <v>41</v>
      </c>
      <c r="L879" t="s">
        <v>2605</v>
      </c>
      <c r="M879" t="s">
        <v>2606</v>
      </c>
      <c r="N879" t="s">
        <v>3027</v>
      </c>
      <c r="O879" t="s">
        <v>55</v>
      </c>
      <c r="P879" t="s">
        <v>56</v>
      </c>
      <c r="Q879">
        <v>1.1874770965513179</v>
      </c>
      <c r="R879" t="s">
        <v>46</v>
      </c>
      <c r="S879" t="s">
        <v>47</v>
      </c>
      <c r="T879" t="s">
        <v>3364</v>
      </c>
      <c r="V879" t="s">
        <v>110</v>
      </c>
      <c r="X879" t="s">
        <v>3365</v>
      </c>
      <c r="Y879" t="s">
        <v>412</v>
      </c>
      <c r="Z879" t="s">
        <v>2623</v>
      </c>
      <c r="AA879" t="s">
        <v>121</v>
      </c>
      <c r="AB879" t="s">
        <v>41</v>
      </c>
      <c r="AD879" t="s">
        <v>620</v>
      </c>
      <c r="AF879" t="s">
        <v>3304</v>
      </c>
      <c r="AJ879">
        <v>349.9802048008678</v>
      </c>
      <c r="AK879">
        <v>4805.5685368865288</v>
      </c>
    </row>
    <row r="880" spans="1:37" hidden="1" x14ac:dyDescent="0.25">
      <c r="A880">
        <v>896</v>
      </c>
      <c r="C880" t="s">
        <v>376</v>
      </c>
      <c r="D880" t="s">
        <v>2604</v>
      </c>
      <c r="E880" t="s">
        <v>37</v>
      </c>
      <c r="F880" t="s">
        <v>38</v>
      </c>
      <c r="G880" s="2">
        <v>45825</v>
      </c>
      <c r="I880" t="s">
        <v>72</v>
      </c>
      <c r="J880" t="s">
        <v>40</v>
      </c>
      <c r="K880" t="s">
        <v>41</v>
      </c>
      <c r="L880" t="s">
        <v>2605</v>
      </c>
      <c r="M880" t="s">
        <v>2606</v>
      </c>
      <c r="O880" t="s">
        <v>402</v>
      </c>
      <c r="P880" t="s">
        <v>403</v>
      </c>
      <c r="Q880">
        <v>2.0020042225307799</v>
      </c>
      <c r="S880" t="s">
        <v>38</v>
      </c>
      <c r="T880" t="s">
        <v>3882</v>
      </c>
      <c r="V880" t="s">
        <v>118</v>
      </c>
      <c r="AB880" t="s">
        <v>41</v>
      </c>
      <c r="AJ880">
        <v>476.83764094653782</v>
      </c>
      <c r="AK880">
        <v>8101.8560530124096</v>
      </c>
    </row>
    <row r="881" spans="1:37" hidden="1" x14ac:dyDescent="0.25">
      <c r="A881">
        <v>898</v>
      </c>
      <c r="B881" t="s">
        <v>3416</v>
      </c>
      <c r="C881" t="s">
        <v>376</v>
      </c>
      <c r="D881" t="s">
        <v>2604</v>
      </c>
      <c r="E881" t="s">
        <v>37</v>
      </c>
      <c r="F881" t="s">
        <v>38</v>
      </c>
      <c r="G881" s="2">
        <v>45825</v>
      </c>
      <c r="H881">
        <v>3.5</v>
      </c>
      <c r="I881" t="s">
        <v>72</v>
      </c>
      <c r="J881" t="s">
        <v>40</v>
      </c>
      <c r="K881" t="s">
        <v>41</v>
      </c>
      <c r="L881" t="s">
        <v>2605</v>
      </c>
      <c r="M881" t="s">
        <v>2606</v>
      </c>
      <c r="N881" t="s">
        <v>3027</v>
      </c>
      <c r="O881" t="s">
        <v>44</v>
      </c>
      <c r="P881" t="s">
        <v>45</v>
      </c>
      <c r="Q881">
        <v>3.5145889782384812</v>
      </c>
      <c r="R881" t="s">
        <v>46</v>
      </c>
      <c r="S881" t="s">
        <v>47</v>
      </c>
      <c r="T881" t="s">
        <v>3097</v>
      </c>
      <c r="V881" t="s">
        <v>110</v>
      </c>
      <c r="X881" t="s">
        <v>3029</v>
      </c>
      <c r="Y881" t="s">
        <v>412</v>
      </c>
      <c r="Z881" t="s">
        <v>2623</v>
      </c>
      <c r="AA881" t="s">
        <v>576</v>
      </c>
      <c r="AB881" t="s">
        <v>41</v>
      </c>
      <c r="AD881" t="s">
        <v>620</v>
      </c>
      <c r="AF881" t="s">
        <v>1128</v>
      </c>
      <c r="AJ881">
        <v>475.76543941873638</v>
      </c>
      <c r="AK881">
        <v>14223.093870999241</v>
      </c>
    </row>
    <row r="882" spans="1:37" x14ac:dyDescent="0.25">
      <c r="A882">
        <v>926</v>
      </c>
      <c r="B882" t="s">
        <v>57</v>
      </c>
      <c r="C882" t="s">
        <v>376</v>
      </c>
      <c r="D882" t="s">
        <v>2604</v>
      </c>
      <c r="E882" t="s">
        <v>37</v>
      </c>
      <c r="F882" t="s">
        <v>38</v>
      </c>
      <c r="G882" s="2">
        <v>45826</v>
      </c>
      <c r="I882" t="s">
        <v>72</v>
      </c>
      <c r="J882" t="s">
        <v>40</v>
      </c>
      <c r="K882" t="s">
        <v>41</v>
      </c>
      <c r="L882" t="s">
        <v>2605</v>
      </c>
      <c r="M882" t="s">
        <v>2606</v>
      </c>
      <c r="N882" t="s">
        <v>57</v>
      </c>
      <c r="O882" t="s">
        <v>62</v>
      </c>
      <c r="P882" t="s">
        <v>63</v>
      </c>
      <c r="Q882">
        <v>2.2882509281315741E-3</v>
      </c>
      <c r="R882" t="s">
        <v>64</v>
      </c>
      <c r="S882" t="s">
        <v>65</v>
      </c>
      <c r="T882" t="s">
        <v>57</v>
      </c>
      <c r="V882" t="s">
        <v>3813</v>
      </c>
      <c r="X882" t="s">
        <v>57</v>
      </c>
      <c r="Y882" t="s">
        <v>57</v>
      </c>
      <c r="Z882" t="s">
        <v>57</v>
      </c>
      <c r="AA882" t="s">
        <v>57</v>
      </c>
      <c r="AB882" t="s">
        <v>41</v>
      </c>
      <c r="AC882" t="s">
        <v>57</v>
      </c>
      <c r="AD882" t="s">
        <v>57</v>
      </c>
      <c r="AF882" t="s">
        <v>57</v>
      </c>
      <c r="AJ882">
        <v>14.927786506696309</v>
      </c>
      <c r="AK882">
        <v>9.2602600055750006</v>
      </c>
    </row>
    <row r="883" spans="1:37" hidden="1" x14ac:dyDescent="0.25">
      <c r="A883">
        <v>900</v>
      </c>
      <c r="B883" t="s">
        <v>2604</v>
      </c>
      <c r="C883" t="s">
        <v>376</v>
      </c>
      <c r="D883" t="s">
        <v>2604</v>
      </c>
      <c r="E883" t="s">
        <v>37</v>
      </c>
      <c r="F883" t="s">
        <v>38</v>
      </c>
      <c r="G883" s="2">
        <v>45825</v>
      </c>
      <c r="H883">
        <v>3.1</v>
      </c>
      <c r="I883" t="s">
        <v>72</v>
      </c>
      <c r="J883" t="s">
        <v>40</v>
      </c>
      <c r="K883" t="s">
        <v>41</v>
      </c>
      <c r="L883" t="s">
        <v>2605</v>
      </c>
      <c r="M883" t="s">
        <v>2606</v>
      </c>
      <c r="O883" t="s">
        <v>96</v>
      </c>
      <c r="P883" t="s">
        <v>97</v>
      </c>
      <c r="Q883">
        <v>0.19146283882170351</v>
      </c>
      <c r="R883" t="s">
        <v>60</v>
      </c>
      <c r="S883" t="s">
        <v>66</v>
      </c>
      <c r="T883" t="s">
        <v>3380</v>
      </c>
      <c r="V883" t="s">
        <v>860</v>
      </c>
      <c r="X883" t="s">
        <v>3370</v>
      </c>
      <c r="Y883" t="s">
        <v>412</v>
      </c>
      <c r="Z883" t="s">
        <v>2623</v>
      </c>
      <c r="AA883" t="s">
        <v>2116</v>
      </c>
      <c r="AB883" t="s">
        <v>41</v>
      </c>
      <c r="AD883" t="s">
        <v>399</v>
      </c>
      <c r="AF883" t="s">
        <v>3401</v>
      </c>
      <c r="AJ883">
        <v>129.0799533805679</v>
      </c>
      <c r="AK883">
        <v>774.82571823632043</v>
      </c>
    </row>
    <row r="884" spans="1:37" hidden="1" x14ac:dyDescent="0.25">
      <c r="A884">
        <v>901</v>
      </c>
      <c r="C884" t="s">
        <v>376</v>
      </c>
      <c r="D884" t="s">
        <v>2604</v>
      </c>
      <c r="E884" t="s">
        <v>37</v>
      </c>
      <c r="F884" t="s">
        <v>38</v>
      </c>
      <c r="G884" s="2">
        <v>45825</v>
      </c>
      <c r="H884">
        <v>0.5</v>
      </c>
      <c r="I884" t="s">
        <v>72</v>
      </c>
      <c r="J884" t="s">
        <v>40</v>
      </c>
      <c r="K884" t="s">
        <v>41</v>
      </c>
      <c r="L884" t="s">
        <v>2605</v>
      </c>
      <c r="M884" t="s">
        <v>2606</v>
      </c>
      <c r="N884" t="s">
        <v>3027</v>
      </c>
      <c r="O884" t="s">
        <v>79</v>
      </c>
      <c r="P884" t="s">
        <v>80</v>
      </c>
      <c r="Q884">
        <v>0.52764324882795122</v>
      </c>
      <c r="R884" t="s">
        <v>46</v>
      </c>
      <c r="S884" t="s">
        <v>47</v>
      </c>
      <c r="T884" t="s">
        <v>3884</v>
      </c>
      <c r="V884" t="s">
        <v>110</v>
      </c>
      <c r="W884" t="s">
        <v>576</v>
      </c>
      <c r="X884" t="s">
        <v>3884</v>
      </c>
      <c r="Y884" t="s">
        <v>412</v>
      </c>
      <c r="Z884" t="s">
        <v>2623</v>
      </c>
      <c r="AA884" t="s">
        <v>576</v>
      </c>
      <c r="AB884" t="s">
        <v>41</v>
      </c>
      <c r="AC884" t="s">
        <v>3268</v>
      </c>
      <c r="AD884" t="s">
        <v>3885</v>
      </c>
      <c r="AF884" t="s">
        <v>1397</v>
      </c>
      <c r="AJ884">
        <v>236.3090194614897</v>
      </c>
      <c r="AK884">
        <v>2135.3050114668999</v>
      </c>
    </row>
    <row r="885" spans="1:37" hidden="1" x14ac:dyDescent="0.25">
      <c r="A885">
        <v>902</v>
      </c>
      <c r="B885" t="s">
        <v>2841</v>
      </c>
      <c r="C885" t="s">
        <v>376</v>
      </c>
      <c r="D885" t="s">
        <v>2604</v>
      </c>
      <c r="E885" t="s">
        <v>37</v>
      </c>
      <c r="F885" t="s">
        <v>38</v>
      </c>
      <c r="G885" s="2">
        <v>45869</v>
      </c>
      <c r="H885">
        <v>3.5</v>
      </c>
      <c r="I885" t="s">
        <v>72</v>
      </c>
      <c r="J885" t="s">
        <v>40</v>
      </c>
      <c r="K885" t="s">
        <v>41</v>
      </c>
      <c r="L885" t="s">
        <v>2605</v>
      </c>
      <c r="M885" t="s">
        <v>2606</v>
      </c>
      <c r="O885" t="s">
        <v>1045</v>
      </c>
      <c r="P885" t="s">
        <v>133</v>
      </c>
      <c r="Q885">
        <v>0.41380923084209731</v>
      </c>
      <c r="R885" t="s">
        <v>60</v>
      </c>
      <c r="S885" t="s">
        <v>66</v>
      </c>
      <c r="T885" t="s">
        <v>2777</v>
      </c>
      <c r="V885" t="s">
        <v>896</v>
      </c>
      <c r="X885" t="s">
        <v>2778</v>
      </c>
      <c r="Y885" t="s">
        <v>412</v>
      </c>
      <c r="Z885" t="s">
        <v>765</v>
      </c>
      <c r="AA885" t="s">
        <v>119</v>
      </c>
      <c r="AB885" t="s">
        <v>41</v>
      </c>
      <c r="AF885" t="s">
        <v>2819</v>
      </c>
      <c r="AJ885">
        <v>167.86465614284421</v>
      </c>
      <c r="AK885">
        <v>1674.633242008015</v>
      </c>
    </row>
    <row r="886" spans="1:37" hidden="1" x14ac:dyDescent="0.25">
      <c r="A886">
        <v>903</v>
      </c>
      <c r="B886" t="s">
        <v>2776</v>
      </c>
      <c r="C886" t="s">
        <v>376</v>
      </c>
      <c r="D886" t="s">
        <v>2604</v>
      </c>
      <c r="E886" t="s">
        <v>37</v>
      </c>
      <c r="F886" t="s">
        <v>38</v>
      </c>
      <c r="G886" s="2">
        <v>45869</v>
      </c>
      <c r="H886">
        <v>38</v>
      </c>
      <c r="I886" t="s">
        <v>72</v>
      </c>
      <c r="J886" t="s">
        <v>40</v>
      </c>
      <c r="K886" t="s">
        <v>41</v>
      </c>
      <c r="L886" t="s">
        <v>2605</v>
      </c>
      <c r="M886" t="s">
        <v>2606</v>
      </c>
      <c r="O886" t="s">
        <v>99</v>
      </c>
      <c r="P886" t="s">
        <v>100</v>
      </c>
      <c r="Q886">
        <v>4.0880185371289892</v>
      </c>
      <c r="R886" t="s">
        <v>60</v>
      </c>
      <c r="S886" t="s">
        <v>66</v>
      </c>
      <c r="T886" t="s">
        <v>3886</v>
      </c>
      <c r="V886" t="s">
        <v>896</v>
      </c>
      <c r="X886" t="s">
        <v>2778</v>
      </c>
      <c r="Y886" t="s">
        <v>412</v>
      </c>
      <c r="Z886" t="s">
        <v>765</v>
      </c>
      <c r="AA886" t="s">
        <v>119</v>
      </c>
      <c r="AB886" t="s">
        <v>41</v>
      </c>
      <c r="AD886" t="s">
        <v>683</v>
      </c>
      <c r="AF886" t="s">
        <v>684</v>
      </c>
      <c r="AJ886">
        <v>520.39052705805534</v>
      </c>
      <c r="AK886">
        <v>16543.690246565511</v>
      </c>
    </row>
    <row r="887" spans="1:37" x14ac:dyDescent="0.25">
      <c r="A887">
        <v>927</v>
      </c>
      <c r="B887" t="s">
        <v>57</v>
      </c>
      <c r="C887" t="s">
        <v>376</v>
      </c>
      <c r="D887" t="s">
        <v>2604</v>
      </c>
      <c r="E887" t="s">
        <v>37</v>
      </c>
      <c r="F887" t="s">
        <v>38</v>
      </c>
      <c r="G887" s="2">
        <v>45826</v>
      </c>
      <c r="I887" t="s">
        <v>72</v>
      </c>
      <c r="J887" t="s">
        <v>40</v>
      </c>
      <c r="K887" t="s">
        <v>41</v>
      </c>
      <c r="L887" t="s">
        <v>2605</v>
      </c>
      <c r="M887" t="s">
        <v>2606</v>
      </c>
      <c r="N887" t="s">
        <v>57</v>
      </c>
      <c r="O887" t="s">
        <v>62</v>
      </c>
      <c r="P887" t="s">
        <v>63</v>
      </c>
      <c r="Q887">
        <v>1.394263562210393E-3</v>
      </c>
      <c r="R887" t="s">
        <v>64</v>
      </c>
      <c r="S887" t="s">
        <v>65</v>
      </c>
      <c r="T887" t="s">
        <v>57</v>
      </c>
      <c r="V887" t="s">
        <v>3813</v>
      </c>
      <c r="X887" t="s">
        <v>57</v>
      </c>
      <c r="Y887" t="s">
        <v>57</v>
      </c>
      <c r="Z887" t="s">
        <v>57</v>
      </c>
      <c r="AA887" t="s">
        <v>57</v>
      </c>
      <c r="AB887" t="s">
        <v>41</v>
      </c>
      <c r="AC887" t="s">
        <v>57</v>
      </c>
      <c r="AD887" t="s">
        <v>57</v>
      </c>
      <c r="AF887" t="s">
        <v>57</v>
      </c>
      <c r="AJ887">
        <v>9.5588293693487518</v>
      </c>
      <c r="AK887">
        <v>5.6424070208549457</v>
      </c>
    </row>
    <row r="888" spans="1:37" x14ac:dyDescent="0.25">
      <c r="A888">
        <v>928</v>
      </c>
      <c r="B888" t="s">
        <v>57</v>
      </c>
      <c r="C888" t="s">
        <v>376</v>
      </c>
      <c r="D888" t="s">
        <v>2604</v>
      </c>
      <c r="E888" t="s">
        <v>37</v>
      </c>
      <c r="F888" t="s">
        <v>38</v>
      </c>
      <c r="G888" s="2">
        <v>45826</v>
      </c>
      <c r="I888" t="s">
        <v>72</v>
      </c>
      <c r="J888" t="s">
        <v>40</v>
      </c>
      <c r="K888" t="s">
        <v>41</v>
      </c>
      <c r="L888" t="s">
        <v>2605</v>
      </c>
      <c r="M888" t="s">
        <v>2606</v>
      </c>
      <c r="O888" t="s">
        <v>62</v>
      </c>
      <c r="P888" t="s">
        <v>63</v>
      </c>
      <c r="Q888">
        <v>1.257380120736873E-3</v>
      </c>
      <c r="R888" t="s">
        <v>64</v>
      </c>
      <c r="S888" t="s">
        <v>65</v>
      </c>
      <c r="T888" t="s">
        <v>57</v>
      </c>
      <c r="V888" t="s">
        <v>3813</v>
      </c>
      <c r="X888" t="s">
        <v>57</v>
      </c>
      <c r="Y888" t="s">
        <v>57</v>
      </c>
      <c r="Z888" t="s">
        <v>57</v>
      </c>
      <c r="AA888" t="s">
        <v>57</v>
      </c>
      <c r="AB888" t="s">
        <v>41</v>
      </c>
      <c r="AC888" t="s">
        <v>57</v>
      </c>
      <c r="AD888" t="s">
        <v>57</v>
      </c>
      <c r="AF888" t="s">
        <v>57</v>
      </c>
      <c r="AJ888">
        <v>10.02822885519106</v>
      </c>
      <c r="AK888">
        <v>5.0884571708104316</v>
      </c>
    </row>
    <row r="889" spans="1:37" x14ac:dyDescent="0.25">
      <c r="A889">
        <v>929</v>
      </c>
      <c r="B889" t="s">
        <v>57</v>
      </c>
      <c r="C889" t="s">
        <v>376</v>
      </c>
      <c r="D889" t="s">
        <v>2604</v>
      </c>
      <c r="E889" t="s">
        <v>37</v>
      </c>
      <c r="F889" t="s">
        <v>38</v>
      </c>
      <c r="G889" s="2">
        <v>45826</v>
      </c>
      <c r="I889" t="s">
        <v>72</v>
      </c>
      <c r="J889" t="s">
        <v>40</v>
      </c>
      <c r="K889" t="s">
        <v>41</v>
      </c>
      <c r="L889" t="s">
        <v>2605</v>
      </c>
      <c r="M889" t="s">
        <v>2606</v>
      </c>
      <c r="N889" t="s">
        <v>57</v>
      </c>
      <c r="O889" t="s">
        <v>62</v>
      </c>
      <c r="P889" t="s">
        <v>63</v>
      </c>
      <c r="Q889">
        <v>8.6062132923163241E-4</v>
      </c>
      <c r="R889" t="s">
        <v>64</v>
      </c>
      <c r="S889" t="s">
        <v>65</v>
      </c>
      <c r="T889" t="s">
        <v>57</v>
      </c>
      <c r="V889" t="s">
        <v>3813</v>
      </c>
      <c r="X889" t="s">
        <v>57</v>
      </c>
      <c r="Y889" t="s">
        <v>57</v>
      </c>
      <c r="Z889" t="s">
        <v>57</v>
      </c>
      <c r="AA889" t="s">
        <v>57</v>
      </c>
      <c r="AB889" t="s">
        <v>41</v>
      </c>
      <c r="AC889" t="s">
        <v>57</v>
      </c>
      <c r="AD889" t="s">
        <v>57</v>
      </c>
      <c r="AF889" t="s">
        <v>57</v>
      </c>
      <c r="AJ889">
        <v>7.9630314290935207</v>
      </c>
      <c r="AK889">
        <v>3.4828248847410639</v>
      </c>
    </row>
    <row r="890" spans="1:37" x14ac:dyDescent="0.25">
      <c r="A890">
        <v>931</v>
      </c>
      <c r="B890" t="s">
        <v>57</v>
      </c>
      <c r="C890" t="s">
        <v>376</v>
      </c>
      <c r="D890" t="s">
        <v>2604</v>
      </c>
      <c r="E890" t="s">
        <v>37</v>
      </c>
      <c r="F890" t="s">
        <v>38</v>
      </c>
      <c r="G890" s="2">
        <v>45826</v>
      </c>
      <c r="I890" t="s">
        <v>72</v>
      </c>
      <c r="J890" t="s">
        <v>40</v>
      </c>
      <c r="K890" t="s">
        <v>41</v>
      </c>
      <c r="L890" t="s">
        <v>2605</v>
      </c>
      <c r="M890" t="s">
        <v>2606</v>
      </c>
      <c r="N890" t="s">
        <v>57</v>
      </c>
      <c r="O890" t="s">
        <v>62</v>
      </c>
      <c r="P890" t="s">
        <v>63</v>
      </c>
      <c r="Q890">
        <v>2.1612779449691169E-3</v>
      </c>
      <c r="R890" t="s">
        <v>64</v>
      </c>
      <c r="S890" t="s">
        <v>65</v>
      </c>
      <c r="T890" t="s">
        <v>57</v>
      </c>
      <c r="V890" t="s">
        <v>3813</v>
      </c>
      <c r="X890" t="s">
        <v>57</v>
      </c>
      <c r="Y890" t="s">
        <v>57</v>
      </c>
      <c r="Z890" t="s">
        <v>57</v>
      </c>
      <c r="AA890" t="s">
        <v>57</v>
      </c>
      <c r="AB890" t="s">
        <v>41</v>
      </c>
      <c r="AC890" t="s">
        <v>57</v>
      </c>
      <c r="AD890" t="s">
        <v>57</v>
      </c>
      <c r="AF890" t="s">
        <v>57</v>
      </c>
      <c r="AJ890">
        <v>19.180841958107731</v>
      </c>
      <c r="AK890">
        <v>8.7464165178208297</v>
      </c>
    </row>
    <row r="891" spans="1:37" x14ac:dyDescent="0.25">
      <c r="A891">
        <v>939</v>
      </c>
      <c r="B891" t="s">
        <v>3923</v>
      </c>
      <c r="C891" t="s">
        <v>376</v>
      </c>
      <c r="D891" t="s">
        <v>2604</v>
      </c>
      <c r="E891" t="s">
        <v>37</v>
      </c>
      <c r="F891" t="s">
        <v>38</v>
      </c>
      <c r="G891" s="2">
        <v>45847</v>
      </c>
      <c r="H891">
        <v>0.125</v>
      </c>
      <c r="I891" t="s">
        <v>72</v>
      </c>
      <c r="J891" t="s">
        <v>40</v>
      </c>
      <c r="K891" t="s">
        <v>41</v>
      </c>
      <c r="L891" t="s">
        <v>2605</v>
      </c>
      <c r="M891" t="s">
        <v>2606</v>
      </c>
      <c r="O891" t="s">
        <v>62</v>
      </c>
      <c r="P891" t="s">
        <v>63</v>
      </c>
      <c r="Q891">
        <v>0.12371739010665719</v>
      </c>
      <c r="R891" t="s">
        <v>64</v>
      </c>
      <c r="S891" t="s">
        <v>65</v>
      </c>
      <c r="V891" t="s">
        <v>182</v>
      </c>
      <c r="W891" t="s">
        <v>121</v>
      </c>
      <c r="X891" t="s">
        <v>3924</v>
      </c>
      <c r="Y891" t="s">
        <v>420</v>
      </c>
      <c r="Z891" t="s">
        <v>765</v>
      </c>
      <c r="AA891" t="s">
        <v>121</v>
      </c>
      <c r="AD891" t="s">
        <v>3885</v>
      </c>
      <c r="AG891" t="s">
        <v>1598</v>
      </c>
      <c r="AJ891">
        <v>91.035377229006798</v>
      </c>
      <c r="AK891">
        <v>500.66851738775898</v>
      </c>
    </row>
    <row r="892" spans="1:37" x14ac:dyDescent="0.25">
      <c r="A892">
        <v>940</v>
      </c>
      <c r="C892" t="s">
        <v>376</v>
      </c>
      <c r="D892" t="s">
        <v>2604</v>
      </c>
      <c r="E892" t="s">
        <v>37</v>
      </c>
      <c r="F892" t="s">
        <v>38</v>
      </c>
      <c r="G892" s="2">
        <v>45826</v>
      </c>
      <c r="I892" t="s">
        <v>72</v>
      </c>
      <c r="J892" t="s">
        <v>40</v>
      </c>
      <c r="K892" t="s">
        <v>41</v>
      </c>
      <c r="L892" t="s">
        <v>2605</v>
      </c>
      <c r="M892" t="s">
        <v>2606</v>
      </c>
      <c r="O892" t="s">
        <v>62</v>
      </c>
      <c r="P892" t="s">
        <v>63</v>
      </c>
      <c r="Q892">
        <v>8.3040657286820987E-2</v>
      </c>
      <c r="R892" t="s">
        <v>64</v>
      </c>
      <c r="S892" t="s">
        <v>65</v>
      </c>
      <c r="V892" t="s">
        <v>818</v>
      </c>
      <c r="X892" t="s">
        <v>3925</v>
      </c>
      <c r="Y892" t="s">
        <v>120</v>
      </c>
      <c r="Z892" t="s">
        <v>2630</v>
      </c>
      <c r="AA892" t="s">
        <v>46</v>
      </c>
      <c r="AB892" t="s">
        <v>41</v>
      </c>
      <c r="AC892" t="s">
        <v>3926</v>
      </c>
      <c r="AD892" t="s">
        <v>250</v>
      </c>
      <c r="AJ892">
        <v>75.47471431007142</v>
      </c>
      <c r="AK892">
        <v>336.05496147999048</v>
      </c>
    </row>
    <row r="893" spans="1:37" hidden="1" x14ac:dyDescent="0.25">
      <c r="A893">
        <v>910</v>
      </c>
      <c r="B893" t="s">
        <v>2796</v>
      </c>
      <c r="C893" t="s">
        <v>376</v>
      </c>
      <c r="D893" t="s">
        <v>2604</v>
      </c>
      <c r="E893" t="s">
        <v>37</v>
      </c>
      <c r="F893" t="s">
        <v>38</v>
      </c>
      <c r="G893" s="2">
        <v>45845</v>
      </c>
      <c r="H893">
        <v>7.9</v>
      </c>
      <c r="I893" t="s">
        <v>72</v>
      </c>
      <c r="J893" t="s">
        <v>40</v>
      </c>
      <c r="K893" t="s">
        <v>41</v>
      </c>
      <c r="L893" t="s">
        <v>2605</v>
      </c>
      <c r="M893" t="s">
        <v>2606</v>
      </c>
      <c r="O893" t="s">
        <v>99</v>
      </c>
      <c r="P893" t="s">
        <v>100</v>
      </c>
      <c r="Q893">
        <v>1.3348523552848131</v>
      </c>
      <c r="R893" t="s">
        <v>46</v>
      </c>
      <c r="S893" t="s">
        <v>47</v>
      </c>
      <c r="T893" t="s">
        <v>57</v>
      </c>
      <c r="V893" t="s">
        <v>618</v>
      </c>
      <c r="X893" t="s">
        <v>2704</v>
      </c>
      <c r="Y893" t="s">
        <v>412</v>
      </c>
      <c r="Z893" t="s">
        <v>2623</v>
      </c>
      <c r="AA893" t="s">
        <v>70</v>
      </c>
      <c r="AB893" t="s">
        <v>41</v>
      </c>
      <c r="AF893" t="s">
        <v>1097</v>
      </c>
      <c r="AJ893">
        <v>356.31336601101538</v>
      </c>
      <c r="AK893">
        <v>5401.9774348282444</v>
      </c>
    </row>
    <row r="894" spans="1:37" hidden="1" x14ac:dyDescent="0.25">
      <c r="A894">
        <v>911</v>
      </c>
      <c r="C894" t="s">
        <v>376</v>
      </c>
      <c r="D894" t="s">
        <v>2604</v>
      </c>
      <c r="E894" t="s">
        <v>37</v>
      </c>
      <c r="F894" t="s">
        <v>38</v>
      </c>
      <c r="G894" s="2">
        <v>45826</v>
      </c>
      <c r="I894" t="s">
        <v>72</v>
      </c>
      <c r="J894" t="s">
        <v>40</v>
      </c>
      <c r="K894" t="s">
        <v>41</v>
      </c>
      <c r="L894" t="s">
        <v>2605</v>
      </c>
      <c r="M894" t="s">
        <v>2606</v>
      </c>
      <c r="O894" t="s">
        <v>1081</v>
      </c>
      <c r="P894" t="s">
        <v>116</v>
      </c>
      <c r="Q894">
        <v>0.23901895615682101</v>
      </c>
      <c r="S894" t="s">
        <v>38</v>
      </c>
      <c r="T894" t="s">
        <v>3888</v>
      </c>
      <c r="V894" t="s">
        <v>942</v>
      </c>
      <c r="AB894" t="s">
        <v>41</v>
      </c>
      <c r="AJ894">
        <v>118.1588077258635</v>
      </c>
      <c r="AK894">
        <v>967.27926691177345</v>
      </c>
    </row>
    <row r="895" spans="1:37" hidden="1" x14ac:dyDescent="0.25">
      <c r="A895">
        <v>912</v>
      </c>
      <c r="B895" t="s">
        <v>3724</v>
      </c>
      <c r="C895" t="s">
        <v>376</v>
      </c>
      <c r="D895" t="s">
        <v>2604</v>
      </c>
      <c r="E895" t="s">
        <v>37</v>
      </c>
      <c r="F895" t="s">
        <v>38</v>
      </c>
      <c r="G895" s="2">
        <v>45869</v>
      </c>
      <c r="H895">
        <v>1.6</v>
      </c>
      <c r="I895" t="s">
        <v>72</v>
      </c>
      <c r="J895" t="s">
        <v>40</v>
      </c>
      <c r="K895" t="s">
        <v>41</v>
      </c>
      <c r="L895" t="s">
        <v>2605</v>
      </c>
      <c r="M895" t="s">
        <v>2606</v>
      </c>
      <c r="O895" t="s">
        <v>906</v>
      </c>
      <c r="P895" t="s">
        <v>671</v>
      </c>
      <c r="Q895">
        <v>1.172090481039586</v>
      </c>
      <c r="S895" t="s">
        <v>38</v>
      </c>
      <c r="T895" t="s">
        <v>3889</v>
      </c>
      <c r="V895" t="s">
        <v>121</v>
      </c>
      <c r="X895" t="s">
        <v>3726</v>
      </c>
      <c r="Y895" t="s">
        <v>120</v>
      </c>
      <c r="Z895" t="s">
        <v>2630</v>
      </c>
      <c r="AA895" t="s">
        <v>71</v>
      </c>
      <c r="AB895" t="s">
        <v>41</v>
      </c>
      <c r="AD895" t="s">
        <v>3727</v>
      </c>
      <c r="AF895" t="s">
        <v>3728</v>
      </c>
      <c r="AJ895">
        <v>273.2457875074648</v>
      </c>
      <c r="AK895">
        <v>4743.3008640134358</v>
      </c>
    </row>
    <row r="896" spans="1:37" x14ac:dyDescent="0.25">
      <c r="A896">
        <v>941</v>
      </c>
      <c r="C896" t="s">
        <v>376</v>
      </c>
      <c r="D896" t="s">
        <v>2604</v>
      </c>
      <c r="E896" t="s">
        <v>37</v>
      </c>
      <c r="F896" t="s">
        <v>38</v>
      </c>
      <c r="G896" s="2">
        <v>45826</v>
      </c>
      <c r="I896" t="s">
        <v>72</v>
      </c>
      <c r="J896" t="s">
        <v>40</v>
      </c>
      <c r="K896" t="s">
        <v>41</v>
      </c>
      <c r="L896" t="s">
        <v>2605</v>
      </c>
      <c r="M896" t="s">
        <v>2606</v>
      </c>
      <c r="O896" t="s">
        <v>62</v>
      </c>
      <c r="P896" t="s">
        <v>63</v>
      </c>
      <c r="Q896">
        <v>4.2095110900075297E-2</v>
      </c>
      <c r="R896" t="s">
        <v>64</v>
      </c>
      <c r="S896" t="s">
        <v>65</v>
      </c>
      <c r="V896" t="s">
        <v>818</v>
      </c>
      <c r="X896" t="s">
        <v>3925</v>
      </c>
      <c r="Y896" t="s">
        <v>120</v>
      </c>
      <c r="Z896" t="s">
        <v>2630</v>
      </c>
      <c r="AA896" t="s">
        <v>46</v>
      </c>
      <c r="AB896" t="s">
        <v>41</v>
      </c>
      <c r="AC896" t="s">
        <v>3926</v>
      </c>
      <c r="AD896" t="s">
        <v>250</v>
      </c>
      <c r="AJ896">
        <v>63.005459364417277</v>
      </c>
      <c r="AK896">
        <v>170.3535513111338</v>
      </c>
    </row>
    <row r="897" spans="1:37" x14ac:dyDescent="0.25">
      <c r="A897">
        <v>942</v>
      </c>
      <c r="C897" t="s">
        <v>376</v>
      </c>
      <c r="D897" t="s">
        <v>2604</v>
      </c>
      <c r="E897" t="s">
        <v>37</v>
      </c>
      <c r="F897" t="s">
        <v>38</v>
      </c>
      <c r="G897" s="2">
        <v>45847</v>
      </c>
      <c r="H897">
        <v>0.25</v>
      </c>
      <c r="I897" t="s">
        <v>72</v>
      </c>
      <c r="J897" t="s">
        <v>40</v>
      </c>
      <c r="K897" t="s">
        <v>41</v>
      </c>
      <c r="L897" t="s">
        <v>2605</v>
      </c>
      <c r="M897" t="s">
        <v>2606</v>
      </c>
      <c r="O897" t="s">
        <v>62</v>
      </c>
      <c r="P897" t="s">
        <v>63</v>
      </c>
      <c r="Q897">
        <v>0.27028250937233123</v>
      </c>
      <c r="R897" t="s">
        <v>64</v>
      </c>
      <c r="S897" t="s">
        <v>65</v>
      </c>
      <c r="V897" t="s">
        <v>182</v>
      </c>
      <c r="X897" t="s">
        <v>3927</v>
      </c>
      <c r="Y897" t="s">
        <v>420</v>
      </c>
      <c r="Z897" t="s">
        <v>765</v>
      </c>
      <c r="AA897" t="s">
        <v>121</v>
      </c>
      <c r="AD897" t="s">
        <v>3928</v>
      </c>
      <c r="AG897" t="s">
        <v>3929</v>
      </c>
      <c r="AJ897">
        <v>132.58047089876041</v>
      </c>
      <c r="AK897">
        <v>1093.798884106968</v>
      </c>
    </row>
    <row r="898" spans="1:37" x14ac:dyDescent="0.25">
      <c r="A898">
        <v>943</v>
      </c>
      <c r="C898" t="s">
        <v>376</v>
      </c>
      <c r="D898" t="s">
        <v>2604</v>
      </c>
      <c r="E898" t="s">
        <v>37</v>
      </c>
      <c r="F898" t="s">
        <v>38</v>
      </c>
      <c r="G898" s="2">
        <v>45847</v>
      </c>
      <c r="H898">
        <v>0.25</v>
      </c>
      <c r="I898" t="s">
        <v>72</v>
      </c>
      <c r="J898" t="s">
        <v>40</v>
      </c>
      <c r="K898" t="s">
        <v>41</v>
      </c>
      <c r="L898" t="s">
        <v>2605</v>
      </c>
      <c r="M898" t="s">
        <v>2606</v>
      </c>
      <c r="O898" t="s">
        <v>62</v>
      </c>
      <c r="P898" t="s">
        <v>63</v>
      </c>
      <c r="Q898">
        <v>1.1135970135791919</v>
      </c>
      <c r="R898" t="s">
        <v>64</v>
      </c>
      <c r="S898" t="s">
        <v>65</v>
      </c>
      <c r="V898" t="s">
        <v>182</v>
      </c>
      <c r="X898" t="s">
        <v>3927</v>
      </c>
      <c r="Y898" t="s">
        <v>420</v>
      </c>
      <c r="Z898" t="s">
        <v>765</v>
      </c>
      <c r="AA898" t="s">
        <v>121</v>
      </c>
      <c r="AD898" t="s">
        <v>3928</v>
      </c>
      <c r="AG898" t="s">
        <v>3929</v>
      </c>
      <c r="AJ898">
        <v>328.62342734938522</v>
      </c>
      <c r="AK898">
        <v>4506.5852526913959</v>
      </c>
    </row>
    <row r="899" spans="1:37" x14ac:dyDescent="0.25">
      <c r="A899">
        <v>947</v>
      </c>
      <c r="C899" t="s">
        <v>376</v>
      </c>
      <c r="D899" t="s">
        <v>2604</v>
      </c>
      <c r="E899" t="s">
        <v>37</v>
      </c>
      <c r="F899" t="s">
        <v>38</v>
      </c>
      <c r="G899" s="2">
        <v>45869</v>
      </c>
      <c r="I899" t="s">
        <v>72</v>
      </c>
      <c r="J899" t="s">
        <v>40</v>
      </c>
      <c r="K899" t="s">
        <v>41</v>
      </c>
      <c r="L899" t="s">
        <v>2605</v>
      </c>
      <c r="M899" t="s">
        <v>2606</v>
      </c>
      <c r="O899" t="s">
        <v>62</v>
      </c>
      <c r="P899" t="s">
        <v>63</v>
      </c>
      <c r="Q899">
        <v>1.729093088295661E-2</v>
      </c>
      <c r="R899" t="s">
        <v>64</v>
      </c>
      <c r="S899" t="s">
        <v>65</v>
      </c>
      <c r="T899" t="s">
        <v>2691</v>
      </c>
      <c r="V899" t="s">
        <v>563</v>
      </c>
      <c r="AB899" t="s">
        <v>41</v>
      </c>
      <c r="AJ899">
        <v>33.884034540226992</v>
      </c>
      <c r="AK899">
        <v>69.97419458946591</v>
      </c>
    </row>
    <row r="900" spans="1:37" hidden="1" x14ac:dyDescent="0.25">
      <c r="A900">
        <v>917</v>
      </c>
      <c r="C900" t="s">
        <v>376</v>
      </c>
      <c r="D900" t="s">
        <v>2604</v>
      </c>
      <c r="E900" t="s">
        <v>37</v>
      </c>
      <c r="F900" t="s">
        <v>38</v>
      </c>
      <c r="G900" s="2">
        <v>45869</v>
      </c>
      <c r="H900">
        <v>1E-3</v>
      </c>
      <c r="I900" t="s">
        <v>72</v>
      </c>
      <c r="J900" t="s">
        <v>40</v>
      </c>
      <c r="K900" t="s">
        <v>41</v>
      </c>
      <c r="L900" t="s">
        <v>2605</v>
      </c>
      <c r="M900" t="s">
        <v>2606</v>
      </c>
      <c r="N900" t="s">
        <v>57</v>
      </c>
      <c r="O900" t="s">
        <v>99</v>
      </c>
      <c r="P900" t="s">
        <v>100</v>
      </c>
      <c r="Q900">
        <v>6.1735343357037491E-3</v>
      </c>
      <c r="R900" t="s">
        <v>60</v>
      </c>
      <c r="S900" t="s">
        <v>66</v>
      </c>
      <c r="T900" t="s">
        <v>3897</v>
      </c>
      <c r="V900" t="s">
        <v>563</v>
      </c>
      <c r="X900" t="s">
        <v>3898</v>
      </c>
      <c r="Y900" t="s">
        <v>412</v>
      </c>
      <c r="Z900" t="s">
        <v>383</v>
      </c>
      <c r="AA900" t="s">
        <v>180</v>
      </c>
      <c r="AB900" t="s">
        <v>41</v>
      </c>
      <c r="AC900" t="s">
        <v>3899</v>
      </c>
      <c r="AD900" t="s">
        <v>476</v>
      </c>
      <c r="AF900" t="s">
        <v>3900</v>
      </c>
      <c r="AJ900">
        <v>20.510531095197361</v>
      </c>
      <c r="AK900">
        <v>24.983507009277741</v>
      </c>
    </row>
    <row r="901" spans="1:37" hidden="1" x14ac:dyDescent="0.25">
      <c r="A901">
        <v>918</v>
      </c>
      <c r="C901" t="s">
        <v>376</v>
      </c>
      <c r="D901" t="s">
        <v>2604</v>
      </c>
      <c r="E901" t="s">
        <v>37</v>
      </c>
      <c r="F901" t="s">
        <v>38</v>
      </c>
      <c r="G901" s="2">
        <v>45869</v>
      </c>
      <c r="H901">
        <v>6.0999999999999999E-2</v>
      </c>
      <c r="I901" t="s">
        <v>72</v>
      </c>
      <c r="J901" t="s">
        <v>40</v>
      </c>
      <c r="K901" t="s">
        <v>41</v>
      </c>
      <c r="L901" t="s">
        <v>2605</v>
      </c>
      <c r="M901" t="s">
        <v>2606</v>
      </c>
      <c r="N901" t="s">
        <v>57</v>
      </c>
      <c r="O901" t="s">
        <v>99</v>
      </c>
      <c r="P901" t="s">
        <v>100</v>
      </c>
      <c r="Q901">
        <v>6.8107105913949431E-2</v>
      </c>
      <c r="R901" t="s">
        <v>60</v>
      </c>
      <c r="S901" t="s">
        <v>66</v>
      </c>
      <c r="T901" t="s">
        <v>3897</v>
      </c>
      <c r="V901" t="s">
        <v>563</v>
      </c>
      <c r="X901" t="s">
        <v>3898</v>
      </c>
      <c r="Y901" t="s">
        <v>412</v>
      </c>
      <c r="Z901" t="s">
        <v>2623</v>
      </c>
      <c r="AA901" t="s">
        <v>180</v>
      </c>
      <c r="AB901" t="s">
        <v>41</v>
      </c>
      <c r="AC901" t="s">
        <v>3899</v>
      </c>
      <c r="AD901" t="s">
        <v>476</v>
      </c>
      <c r="AF901" t="s">
        <v>3900</v>
      </c>
      <c r="AJ901">
        <v>85.225859771186123</v>
      </c>
      <c r="AK901">
        <v>275.62078146096661</v>
      </c>
    </row>
    <row r="902" spans="1:37" x14ac:dyDescent="0.25">
      <c r="A902">
        <v>948</v>
      </c>
      <c r="B902" t="s">
        <v>3093</v>
      </c>
      <c r="C902" t="s">
        <v>376</v>
      </c>
      <c r="D902" t="s">
        <v>2604</v>
      </c>
      <c r="E902" t="s">
        <v>37</v>
      </c>
      <c r="F902" t="s">
        <v>38</v>
      </c>
      <c r="G902" s="2">
        <v>45846</v>
      </c>
      <c r="H902">
        <v>28.5</v>
      </c>
      <c r="I902" t="s">
        <v>72</v>
      </c>
      <c r="J902" t="s">
        <v>40</v>
      </c>
      <c r="K902" t="s">
        <v>41</v>
      </c>
      <c r="L902" t="s">
        <v>2605</v>
      </c>
      <c r="M902" t="s">
        <v>2606</v>
      </c>
      <c r="O902" t="s">
        <v>62</v>
      </c>
      <c r="P902" t="s">
        <v>63</v>
      </c>
      <c r="Q902">
        <v>7.880337692736223</v>
      </c>
      <c r="R902" t="s">
        <v>64</v>
      </c>
      <c r="S902" t="s">
        <v>65</v>
      </c>
      <c r="T902" t="s">
        <v>3094</v>
      </c>
      <c r="V902" t="s">
        <v>180</v>
      </c>
      <c r="X902" t="s">
        <v>3095</v>
      </c>
      <c r="Y902" t="s">
        <v>412</v>
      </c>
      <c r="Z902" t="s">
        <v>2623</v>
      </c>
      <c r="AA902" t="s">
        <v>858</v>
      </c>
      <c r="AB902" t="s">
        <v>41</v>
      </c>
      <c r="AD902" t="s">
        <v>224</v>
      </c>
      <c r="AF902" t="s">
        <v>3091</v>
      </c>
      <c r="AJ902">
        <v>719.20274310284049</v>
      </c>
      <c r="AK902">
        <v>31890.722765293878</v>
      </c>
    </row>
    <row r="903" spans="1:37" hidden="1" x14ac:dyDescent="0.25">
      <c r="A903">
        <v>920</v>
      </c>
      <c r="B903" t="s">
        <v>57</v>
      </c>
      <c r="C903" t="s">
        <v>376</v>
      </c>
      <c r="D903" t="s">
        <v>2604</v>
      </c>
      <c r="E903" t="s">
        <v>37</v>
      </c>
      <c r="F903" t="s">
        <v>38</v>
      </c>
      <c r="G903" s="2">
        <v>45845</v>
      </c>
      <c r="I903" t="s">
        <v>72</v>
      </c>
      <c r="J903" t="s">
        <v>40</v>
      </c>
      <c r="K903" t="s">
        <v>41</v>
      </c>
      <c r="L903" t="s">
        <v>2605</v>
      </c>
      <c r="M903" t="s">
        <v>2606</v>
      </c>
      <c r="N903" t="s">
        <v>2702</v>
      </c>
      <c r="O903" t="s">
        <v>408</v>
      </c>
      <c r="P903" t="s">
        <v>409</v>
      </c>
      <c r="Q903">
        <v>6.0033314064691673E-2</v>
      </c>
      <c r="R903" t="s">
        <v>60</v>
      </c>
      <c r="S903" t="s">
        <v>66</v>
      </c>
      <c r="T903" t="s">
        <v>57</v>
      </c>
      <c r="V903" t="s">
        <v>70</v>
      </c>
      <c r="X903" t="s">
        <v>57</v>
      </c>
      <c r="Y903" t="s">
        <v>412</v>
      </c>
      <c r="Z903" t="s">
        <v>2623</v>
      </c>
      <c r="AA903" t="s">
        <v>942</v>
      </c>
      <c r="AB903" t="s">
        <v>41</v>
      </c>
      <c r="AC903" t="s">
        <v>57</v>
      </c>
      <c r="AD903" t="s">
        <v>664</v>
      </c>
      <c r="AF903" t="s">
        <v>2373</v>
      </c>
      <c r="AJ903">
        <v>68.650618764756942</v>
      </c>
      <c r="AK903">
        <v>242.94717436837939</v>
      </c>
    </row>
    <row r="904" spans="1:37" hidden="1" x14ac:dyDescent="0.25">
      <c r="A904">
        <v>921</v>
      </c>
      <c r="C904" t="s">
        <v>376</v>
      </c>
      <c r="D904" t="s">
        <v>2604</v>
      </c>
      <c r="E904" t="s">
        <v>37</v>
      </c>
      <c r="F904" t="s">
        <v>38</v>
      </c>
      <c r="G904" s="2">
        <v>45825</v>
      </c>
      <c r="H904">
        <v>1.6859999999999999</v>
      </c>
      <c r="I904" t="s">
        <v>72</v>
      </c>
      <c r="J904" t="s">
        <v>40</v>
      </c>
      <c r="K904" t="s">
        <v>41</v>
      </c>
      <c r="L904" t="s">
        <v>2605</v>
      </c>
      <c r="M904" t="s">
        <v>2606</v>
      </c>
      <c r="O904" t="s">
        <v>44</v>
      </c>
      <c r="P904" t="s">
        <v>45</v>
      </c>
      <c r="Q904">
        <v>1.695851487855105</v>
      </c>
      <c r="R904" t="s">
        <v>46</v>
      </c>
      <c r="S904" t="s">
        <v>47</v>
      </c>
      <c r="T904" t="s">
        <v>3902</v>
      </c>
      <c r="V904" t="s">
        <v>110</v>
      </c>
      <c r="X904" t="s">
        <v>3903</v>
      </c>
      <c r="Y904" t="s">
        <v>57</v>
      </c>
      <c r="Z904" t="s">
        <v>57</v>
      </c>
      <c r="AA904" t="s">
        <v>57</v>
      </c>
      <c r="AB904" t="s">
        <v>41</v>
      </c>
      <c r="AC904" t="s">
        <v>3904</v>
      </c>
      <c r="AD904" t="s">
        <v>664</v>
      </c>
      <c r="AF904" t="s">
        <v>3304</v>
      </c>
      <c r="AJ904">
        <v>340.22451085588358</v>
      </c>
      <c r="AK904">
        <v>6862.8949366153229</v>
      </c>
    </row>
    <row r="905" spans="1:37" hidden="1" x14ac:dyDescent="0.25">
      <c r="A905">
        <v>922</v>
      </c>
      <c r="C905" t="s">
        <v>376</v>
      </c>
      <c r="D905" t="s">
        <v>2604</v>
      </c>
      <c r="E905" t="s">
        <v>37</v>
      </c>
      <c r="F905" t="s">
        <v>38</v>
      </c>
      <c r="G905" s="2">
        <v>45846</v>
      </c>
      <c r="I905" t="s">
        <v>72</v>
      </c>
      <c r="J905" t="s">
        <v>40</v>
      </c>
      <c r="K905" t="s">
        <v>41</v>
      </c>
      <c r="L905" t="s">
        <v>2605</v>
      </c>
      <c r="M905" t="s">
        <v>2606</v>
      </c>
      <c r="N905" t="s">
        <v>57</v>
      </c>
      <c r="O905" t="s">
        <v>99</v>
      </c>
      <c r="P905" t="s">
        <v>100</v>
      </c>
      <c r="Q905">
        <v>2.8199902887254411E-2</v>
      </c>
      <c r="R905" t="s">
        <v>60</v>
      </c>
      <c r="S905" t="s">
        <v>66</v>
      </c>
      <c r="T905" t="s">
        <v>3905</v>
      </c>
      <c r="V905" t="s">
        <v>180</v>
      </c>
      <c r="X905" t="s">
        <v>3906</v>
      </c>
      <c r="Y905" t="s">
        <v>412</v>
      </c>
      <c r="Z905" t="s">
        <v>2623</v>
      </c>
      <c r="AA905" t="s">
        <v>860</v>
      </c>
      <c r="AB905" t="s">
        <v>41</v>
      </c>
      <c r="AC905" t="s">
        <v>3907</v>
      </c>
      <c r="AD905" t="s">
        <v>701</v>
      </c>
      <c r="AJ905">
        <v>71.739882053524539</v>
      </c>
      <c r="AK905">
        <v>114.1214145955437</v>
      </c>
    </row>
    <row r="906" spans="1:37" hidden="1" x14ac:dyDescent="0.25">
      <c r="A906">
        <v>923</v>
      </c>
      <c r="C906" t="s">
        <v>376</v>
      </c>
      <c r="D906" t="s">
        <v>2604</v>
      </c>
      <c r="E906" t="s">
        <v>37</v>
      </c>
      <c r="F906" t="s">
        <v>38</v>
      </c>
      <c r="G906" s="2">
        <v>45846</v>
      </c>
      <c r="I906" t="s">
        <v>72</v>
      </c>
      <c r="J906" t="s">
        <v>40</v>
      </c>
      <c r="K906" t="s">
        <v>41</v>
      </c>
      <c r="L906" t="s">
        <v>2605</v>
      </c>
      <c r="M906" t="s">
        <v>2606</v>
      </c>
      <c r="N906" t="s">
        <v>57</v>
      </c>
      <c r="O906" t="s">
        <v>99</v>
      </c>
      <c r="P906" t="s">
        <v>100</v>
      </c>
      <c r="Q906">
        <v>0.13391049094595511</v>
      </c>
      <c r="R906" t="s">
        <v>60</v>
      </c>
      <c r="S906" t="s">
        <v>66</v>
      </c>
      <c r="T906" t="s">
        <v>3905</v>
      </c>
      <c r="V906" t="s">
        <v>180</v>
      </c>
      <c r="X906" t="s">
        <v>3906</v>
      </c>
      <c r="Y906" t="s">
        <v>412</v>
      </c>
      <c r="Z906" t="s">
        <v>2623</v>
      </c>
      <c r="AA906" t="s">
        <v>860</v>
      </c>
      <c r="AB906" t="s">
        <v>41</v>
      </c>
      <c r="AC906" t="s">
        <v>3907</v>
      </c>
      <c r="AD906" t="s">
        <v>701</v>
      </c>
      <c r="AJ906">
        <v>114.47526921484859</v>
      </c>
      <c r="AK906">
        <v>541.91869798399989</v>
      </c>
    </row>
    <row r="907" spans="1:37" hidden="1" x14ac:dyDescent="0.25">
      <c r="A907">
        <v>924</v>
      </c>
      <c r="B907" t="s">
        <v>57</v>
      </c>
      <c r="C907" t="s">
        <v>376</v>
      </c>
      <c r="D907" t="s">
        <v>2604</v>
      </c>
      <c r="E907" t="s">
        <v>37</v>
      </c>
      <c r="F907" t="s">
        <v>38</v>
      </c>
      <c r="G907" s="2">
        <v>45869</v>
      </c>
      <c r="H907">
        <v>0.125</v>
      </c>
      <c r="I907" t="s">
        <v>72</v>
      </c>
      <c r="J907" t="s">
        <v>40</v>
      </c>
      <c r="K907" t="s">
        <v>41</v>
      </c>
      <c r="L907" t="s">
        <v>2605</v>
      </c>
      <c r="M907" t="s">
        <v>2606</v>
      </c>
      <c r="N907" t="s">
        <v>57</v>
      </c>
      <c r="O907" t="s">
        <v>99</v>
      </c>
      <c r="P907" t="s">
        <v>100</v>
      </c>
      <c r="Q907">
        <v>0.1216200662832711</v>
      </c>
      <c r="R907" t="s">
        <v>60</v>
      </c>
      <c r="S907" t="s">
        <v>66</v>
      </c>
      <c r="T907" t="s">
        <v>3908</v>
      </c>
      <c r="V907" t="s">
        <v>3909</v>
      </c>
      <c r="X907" t="s">
        <v>3910</v>
      </c>
      <c r="Y907" t="s">
        <v>120</v>
      </c>
      <c r="Z907" t="s">
        <v>383</v>
      </c>
      <c r="AA907" t="s">
        <v>46</v>
      </c>
      <c r="AB907" t="s">
        <v>41</v>
      </c>
      <c r="AC907" t="s">
        <v>3911</v>
      </c>
      <c r="AD907" t="s">
        <v>721</v>
      </c>
      <c r="AF907" t="s">
        <v>865</v>
      </c>
      <c r="AJ907">
        <v>88.944714642935637</v>
      </c>
      <c r="AK907">
        <v>492.18091505286088</v>
      </c>
    </row>
    <row r="908" spans="1:37" hidden="1" x14ac:dyDescent="0.25">
      <c r="A908">
        <v>925</v>
      </c>
      <c r="B908" t="s">
        <v>57</v>
      </c>
      <c r="C908" t="s">
        <v>376</v>
      </c>
      <c r="D908" t="s">
        <v>2604</v>
      </c>
      <c r="E908" t="s">
        <v>37</v>
      </c>
      <c r="F908" t="s">
        <v>38</v>
      </c>
      <c r="G908" s="2">
        <v>45826</v>
      </c>
      <c r="I908" t="s">
        <v>72</v>
      </c>
      <c r="J908" t="s">
        <v>40</v>
      </c>
      <c r="K908" t="s">
        <v>41</v>
      </c>
      <c r="L908" t="s">
        <v>2605</v>
      </c>
      <c r="M908" t="s">
        <v>2606</v>
      </c>
      <c r="N908" t="s">
        <v>57</v>
      </c>
      <c r="O908" t="s">
        <v>96</v>
      </c>
      <c r="P908" t="s">
        <v>97</v>
      </c>
      <c r="Q908">
        <v>1.5413641956262261E-2</v>
      </c>
      <c r="R908" t="s">
        <v>60</v>
      </c>
      <c r="S908" t="s">
        <v>66</v>
      </c>
      <c r="T908" t="s">
        <v>57</v>
      </c>
      <c r="V908" t="s">
        <v>3813</v>
      </c>
      <c r="X908" t="s">
        <v>57</v>
      </c>
      <c r="Y908" t="s">
        <v>57</v>
      </c>
      <c r="Z908" t="s">
        <v>57</v>
      </c>
      <c r="AA908" t="s">
        <v>57</v>
      </c>
      <c r="AB908" t="s">
        <v>41</v>
      </c>
      <c r="AC908" t="s">
        <v>57</v>
      </c>
      <c r="AD908" t="s">
        <v>57</v>
      </c>
      <c r="AF908" t="s">
        <v>57</v>
      </c>
      <c r="AJ908">
        <v>51.173505175380981</v>
      </c>
      <c r="AK908">
        <v>62.377045451206342</v>
      </c>
    </row>
    <row r="909" spans="1:37" x14ac:dyDescent="0.25">
      <c r="A909">
        <v>949</v>
      </c>
      <c r="B909" t="s">
        <v>3093</v>
      </c>
      <c r="C909" t="s">
        <v>376</v>
      </c>
      <c r="D909" t="s">
        <v>2604</v>
      </c>
      <c r="E909" t="s">
        <v>37</v>
      </c>
      <c r="F909" t="s">
        <v>38</v>
      </c>
      <c r="G909" s="2">
        <v>45846</v>
      </c>
      <c r="H909">
        <v>28.5</v>
      </c>
      <c r="I909" t="s">
        <v>72</v>
      </c>
      <c r="J909" t="s">
        <v>40</v>
      </c>
      <c r="K909" t="s">
        <v>41</v>
      </c>
      <c r="L909" t="s">
        <v>2605</v>
      </c>
      <c r="M909" t="s">
        <v>2606</v>
      </c>
      <c r="O909" t="s">
        <v>62</v>
      </c>
      <c r="P909" t="s">
        <v>63</v>
      </c>
      <c r="Q909">
        <v>5.3410421654838958</v>
      </c>
      <c r="R909" t="s">
        <v>64</v>
      </c>
      <c r="S909" t="s">
        <v>65</v>
      </c>
      <c r="T909" t="s">
        <v>3094</v>
      </c>
      <c r="V909" t="s">
        <v>180</v>
      </c>
      <c r="X909" t="s">
        <v>3095</v>
      </c>
      <c r="Y909" t="s">
        <v>412</v>
      </c>
      <c r="Z909" t="s">
        <v>2623</v>
      </c>
      <c r="AA909" t="s">
        <v>858</v>
      </c>
      <c r="AB909" t="s">
        <v>41</v>
      </c>
      <c r="AD909" t="s">
        <v>224</v>
      </c>
      <c r="AF909" t="s">
        <v>3091</v>
      </c>
      <c r="AJ909">
        <v>607.69372618687896</v>
      </c>
      <c r="AK909">
        <v>21614.51724768024</v>
      </c>
    </row>
    <row r="910" spans="1:37" x14ac:dyDescent="0.25">
      <c r="A910">
        <v>951</v>
      </c>
      <c r="B910" t="s">
        <v>57</v>
      </c>
      <c r="C910" t="s">
        <v>376</v>
      </c>
      <c r="D910" t="s">
        <v>2604</v>
      </c>
      <c r="E910" t="s">
        <v>37</v>
      </c>
      <c r="F910" t="s">
        <v>38</v>
      </c>
      <c r="G910" s="2">
        <v>45846</v>
      </c>
      <c r="H910">
        <v>0.125</v>
      </c>
      <c r="I910" t="s">
        <v>72</v>
      </c>
      <c r="J910" t="s">
        <v>40</v>
      </c>
      <c r="K910" t="s">
        <v>41</v>
      </c>
      <c r="L910" t="s">
        <v>2605</v>
      </c>
      <c r="M910" t="s">
        <v>2606</v>
      </c>
      <c r="O910" t="s">
        <v>62</v>
      </c>
      <c r="P910" t="s">
        <v>63</v>
      </c>
      <c r="Q910">
        <v>5.9327443627507692E-2</v>
      </c>
      <c r="R910" t="s">
        <v>64</v>
      </c>
      <c r="S910" t="s">
        <v>65</v>
      </c>
      <c r="T910" t="s">
        <v>57</v>
      </c>
      <c r="V910" t="s">
        <v>3932</v>
      </c>
      <c r="X910" t="s">
        <v>3933</v>
      </c>
      <c r="Y910" t="s">
        <v>412</v>
      </c>
      <c r="Z910" t="s">
        <v>2623</v>
      </c>
      <c r="AA910" t="s">
        <v>460</v>
      </c>
      <c r="AB910" t="s">
        <v>41</v>
      </c>
      <c r="AC910" t="s">
        <v>3934</v>
      </c>
      <c r="AD910" t="s">
        <v>1382</v>
      </c>
      <c r="AF910" t="s">
        <v>3243</v>
      </c>
      <c r="AJ910">
        <v>60.728553737461787</v>
      </c>
      <c r="AK910">
        <v>240.09060663001961</v>
      </c>
    </row>
    <row r="911" spans="1:37" x14ac:dyDescent="0.25">
      <c r="A911">
        <v>952</v>
      </c>
      <c r="B911" t="s">
        <v>57</v>
      </c>
      <c r="C911" t="s">
        <v>376</v>
      </c>
      <c r="D911" t="s">
        <v>2604</v>
      </c>
      <c r="E911" t="s">
        <v>37</v>
      </c>
      <c r="F911" t="s">
        <v>38</v>
      </c>
      <c r="G911" s="2">
        <v>45846</v>
      </c>
      <c r="H911">
        <v>0.125</v>
      </c>
      <c r="I911" t="s">
        <v>72</v>
      </c>
      <c r="J911" t="s">
        <v>40</v>
      </c>
      <c r="K911" t="s">
        <v>41</v>
      </c>
      <c r="L911" t="s">
        <v>2605</v>
      </c>
      <c r="M911" t="s">
        <v>2606</v>
      </c>
      <c r="O911" t="s">
        <v>62</v>
      </c>
      <c r="P911" t="s">
        <v>63</v>
      </c>
      <c r="Q911">
        <v>2.5466090216074599E-2</v>
      </c>
      <c r="R911" t="s">
        <v>64</v>
      </c>
      <c r="S911" t="s">
        <v>65</v>
      </c>
      <c r="T911" t="s">
        <v>57</v>
      </c>
      <c r="V911" t="s">
        <v>3932</v>
      </c>
      <c r="X911" t="s">
        <v>3933</v>
      </c>
      <c r="Y911" t="s">
        <v>412</v>
      </c>
      <c r="Z911" t="s">
        <v>2623</v>
      </c>
      <c r="AA911" t="s">
        <v>460</v>
      </c>
      <c r="AB911" t="s">
        <v>41</v>
      </c>
      <c r="AC911" t="s">
        <v>3934</v>
      </c>
      <c r="AD911" t="s">
        <v>1382</v>
      </c>
      <c r="AF911" t="s">
        <v>3243</v>
      </c>
      <c r="AJ911">
        <v>38.749675639749263</v>
      </c>
      <c r="AK911">
        <v>103.0580229760189</v>
      </c>
    </row>
    <row r="912" spans="1:37" x14ac:dyDescent="0.25">
      <c r="A912">
        <v>953</v>
      </c>
      <c r="B912" t="s">
        <v>57</v>
      </c>
      <c r="C912" t="s">
        <v>376</v>
      </c>
      <c r="D912" t="s">
        <v>2604</v>
      </c>
      <c r="E912" t="s">
        <v>37</v>
      </c>
      <c r="F912" t="s">
        <v>38</v>
      </c>
      <c r="G912" s="2">
        <v>45846</v>
      </c>
      <c r="H912">
        <v>0.125</v>
      </c>
      <c r="I912" t="s">
        <v>72</v>
      </c>
      <c r="J912" t="s">
        <v>40</v>
      </c>
      <c r="K912" t="s">
        <v>41</v>
      </c>
      <c r="L912" t="s">
        <v>2605</v>
      </c>
      <c r="M912" t="s">
        <v>2606</v>
      </c>
      <c r="O912" t="s">
        <v>62</v>
      </c>
      <c r="P912" t="s">
        <v>63</v>
      </c>
      <c r="Q912">
        <v>1.5319730371426671E-2</v>
      </c>
      <c r="R912" t="s">
        <v>64</v>
      </c>
      <c r="S912" t="s">
        <v>65</v>
      </c>
      <c r="T912" t="s">
        <v>57</v>
      </c>
      <c r="V912" t="s">
        <v>3932</v>
      </c>
      <c r="X912" t="s">
        <v>3933</v>
      </c>
      <c r="Y912" t="s">
        <v>412</v>
      </c>
      <c r="Z912" t="s">
        <v>2623</v>
      </c>
      <c r="AA912" t="s">
        <v>460</v>
      </c>
      <c r="AB912" t="s">
        <v>41</v>
      </c>
      <c r="AC912" t="s">
        <v>3934</v>
      </c>
      <c r="AD912" t="s">
        <v>1382</v>
      </c>
      <c r="AF912" t="s">
        <v>3243</v>
      </c>
      <c r="AJ912">
        <v>39.948001126982859</v>
      </c>
      <c r="AK912">
        <v>61.996997230785297</v>
      </c>
    </row>
    <row r="913" spans="1:37" hidden="1" x14ac:dyDescent="0.25">
      <c r="A913">
        <v>930</v>
      </c>
      <c r="B913" t="s">
        <v>57</v>
      </c>
      <c r="C913" t="s">
        <v>376</v>
      </c>
      <c r="D913" t="s">
        <v>2604</v>
      </c>
      <c r="E913" t="s">
        <v>37</v>
      </c>
      <c r="F913" t="s">
        <v>38</v>
      </c>
      <c r="G913" s="2">
        <v>45826</v>
      </c>
      <c r="I913" t="s">
        <v>72</v>
      </c>
      <c r="J913" t="s">
        <v>40</v>
      </c>
      <c r="K913" t="s">
        <v>41</v>
      </c>
      <c r="L913" t="s">
        <v>2605</v>
      </c>
      <c r="M913" t="s">
        <v>2606</v>
      </c>
      <c r="O913" t="s">
        <v>96</v>
      </c>
      <c r="P913" t="s">
        <v>97</v>
      </c>
      <c r="Q913">
        <v>4.7723644469455609E-2</v>
      </c>
      <c r="R913" t="s">
        <v>60</v>
      </c>
      <c r="S913" t="s">
        <v>66</v>
      </c>
      <c r="T913" t="s">
        <v>57</v>
      </c>
      <c r="V913" t="s">
        <v>3813</v>
      </c>
      <c r="X913" t="s">
        <v>57</v>
      </c>
      <c r="Y913" t="s">
        <v>57</v>
      </c>
      <c r="Z913" t="s">
        <v>57</v>
      </c>
      <c r="AA913" t="s">
        <v>57</v>
      </c>
      <c r="AB913" t="s">
        <v>41</v>
      </c>
      <c r="AC913" t="s">
        <v>57</v>
      </c>
      <c r="AD913" t="s">
        <v>57</v>
      </c>
      <c r="AF913" t="s">
        <v>57</v>
      </c>
      <c r="AJ913">
        <v>74.070211863088446</v>
      </c>
      <c r="AK913">
        <v>193.13150964681671</v>
      </c>
    </row>
    <row r="914" spans="1:37" x14ac:dyDescent="0.25">
      <c r="A914">
        <v>954</v>
      </c>
      <c r="B914" t="s">
        <v>57</v>
      </c>
      <c r="C914" t="s">
        <v>376</v>
      </c>
      <c r="D914" t="s">
        <v>2604</v>
      </c>
      <c r="E914" t="s">
        <v>37</v>
      </c>
      <c r="F914" t="s">
        <v>38</v>
      </c>
      <c r="G914" s="2">
        <v>45826</v>
      </c>
      <c r="H914">
        <v>0.125</v>
      </c>
      <c r="I914" t="s">
        <v>72</v>
      </c>
      <c r="J914" t="s">
        <v>40</v>
      </c>
      <c r="K914" t="s">
        <v>41</v>
      </c>
      <c r="L914" t="s">
        <v>2605</v>
      </c>
      <c r="M914" t="s">
        <v>2606</v>
      </c>
      <c r="O914" t="s">
        <v>62</v>
      </c>
      <c r="P914" t="s">
        <v>63</v>
      </c>
      <c r="Q914">
        <v>1.949465093534702E-3</v>
      </c>
      <c r="R914" t="s">
        <v>64</v>
      </c>
      <c r="S914" t="s">
        <v>65</v>
      </c>
      <c r="T914" t="s">
        <v>57</v>
      </c>
      <c r="V914" t="s">
        <v>3932</v>
      </c>
      <c r="X914" t="s">
        <v>3933</v>
      </c>
      <c r="Y914" t="s">
        <v>412</v>
      </c>
      <c r="Z914" t="s">
        <v>2623</v>
      </c>
      <c r="AA914" t="s">
        <v>460</v>
      </c>
      <c r="AB914" t="s">
        <v>41</v>
      </c>
      <c r="AC914" t="s">
        <v>3934</v>
      </c>
      <c r="AD914" t="s">
        <v>1382</v>
      </c>
      <c r="AF914" t="s">
        <v>3243</v>
      </c>
      <c r="AJ914">
        <v>12.139629486516499</v>
      </c>
      <c r="AK914">
        <v>7.8892368909315316</v>
      </c>
    </row>
    <row r="915" spans="1:37" hidden="1" x14ac:dyDescent="0.25">
      <c r="A915">
        <v>932</v>
      </c>
      <c r="B915" t="s">
        <v>3283</v>
      </c>
      <c r="C915" t="s">
        <v>376</v>
      </c>
      <c r="D915" t="s">
        <v>2604</v>
      </c>
      <c r="E915" t="s">
        <v>37</v>
      </c>
      <c r="F915" t="s">
        <v>38</v>
      </c>
      <c r="G915" s="2">
        <v>45825</v>
      </c>
      <c r="H915">
        <v>3.5</v>
      </c>
      <c r="I915" t="s">
        <v>72</v>
      </c>
      <c r="J915" t="s">
        <v>40</v>
      </c>
      <c r="K915" t="s">
        <v>41</v>
      </c>
      <c r="L915" t="s">
        <v>2605</v>
      </c>
      <c r="M915" t="s">
        <v>2606</v>
      </c>
      <c r="N915" t="s">
        <v>3027</v>
      </c>
      <c r="O915" t="s">
        <v>79</v>
      </c>
      <c r="P915" t="s">
        <v>80</v>
      </c>
      <c r="Q915">
        <v>3.46060519051658</v>
      </c>
      <c r="R915" t="s">
        <v>46</v>
      </c>
      <c r="S915" t="s">
        <v>47</v>
      </c>
      <c r="T915" t="s">
        <v>3912</v>
      </c>
      <c r="V915" t="s">
        <v>110</v>
      </c>
      <c r="X915" t="s">
        <v>3257</v>
      </c>
      <c r="Y915" t="s">
        <v>412</v>
      </c>
      <c r="Z915" t="s">
        <v>2630</v>
      </c>
      <c r="AA915" t="s">
        <v>576</v>
      </c>
      <c r="AB915" t="s">
        <v>41</v>
      </c>
      <c r="AC915" t="s">
        <v>3268</v>
      </c>
      <c r="AD915" t="s">
        <v>620</v>
      </c>
      <c r="AF915" t="s">
        <v>3285</v>
      </c>
      <c r="AJ915">
        <v>491.29310084167332</v>
      </c>
      <c r="AK915">
        <v>14004.62835909022</v>
      </c>
    </row>
    <row r="916" spans="1:37" hidden="1" x14ac:dyDescent="0.25">
      <c r="A916">
        <v>933</v>
      </c>
      <c r="B916" t="s">
        <v>3913</v>
      </c>
      <c r="C916" t="s">
        <v>376</v>
      </c>
      <c r="D916" t="s">
        <v>2604</v>
      </c>
      <c r="E916" t="s">
        <v>37</v>
      </c>
      <c r="F916" t="s">
        <v>38</v>
      </c>
      <c r="G916" s="2">
        <v>45869</v>
      </c>
      <c r="I916" t="s">
        <v>72</v>
      </c>
      <c r="J916" t="s">
        <v>40</v>
      </c>
      <c r="K916" t="s">
        <v>41</v>
      </c>
      <c r="L916" t="s">
        <v>2605</v>
      </c>
      <c r="M916" t="s">
        <v>2606</v>
      </c>
      <c r="O916" t="s">
        <v>99</v>
      </c>
      <c r="P916" t="s">
        <v>100</v>
      </c>
      <c r="Q916">
        <v>1.6907755343785651E-3</v>
      </c>
      <c r="R916" t="s">
        <v>60</v>
      </c>
      <c r="S916" t="s">
        <v>66</v>
      </c>
      <c r="T916" t="s">
        <v>3914</v>
      </c>
      <c r="V916" t="s">
        <v>563</v>
      </c>
      <c r="X916" t="s">
        <v>3915</v>
      </c>
      <c r="Y916" t="s">
        <v>412</v>
      </c>
      <c r="Z916" t="s">
        <v>765</v>
      </c>
      <c r="AA916" t="s">
        <v>182</v>
      </c>
      <c r="AD916" t="s">
        <v>3916</v>
      </c>
      <c r="AG916" t="s">
        <v>3917</v>
      </c>
      <c r="AJ916">
        <v>15.00090777528359</v>
      </c>
      <c r="AK916">
        <v>6.8423531995221172</v>
      </c>
    </row>
    <row r="917" spans="1:37" hidden="1" x14ac:dyDescent="0.25">
      <c r="A917">
        <v>934</v>
      </c>
      <c r="B917" t="s">
        <v>3913</v>
      </c>
      <c r="C917" t="s">
        <v>376</v>
      </c>
      <c r="D917" t="s">
        <v>2604</v>
      </c>
      <c r="E917" t="s">
        <v>37</v>
      </c>
      <c r="F917" t="s">
        <v>38</v>
      </c>
      <c r="G917" s="2">
        <v>45869</v>
      </c>
      <c r="I917" t="s">
        <v>72</v>
      </c>
      <c r="J917" t="s">
        <v>40</v>
      </c>
      <c r="K917" t="s">
        <v>41</v>
      </c>
      <c r="L917" t="s">
        <v>2605</v>
      </c>
      <c r="M917" t="s">
        <v>2606</v>
      </c>
      <c r="O917" t="s">
        <v>99</v>
      </c>
      <c r="P917" t="s">
        <v>100</v>
      </c>
      <c r="Q917">
        <v>1.7608212664814049E-2</v>
      </c>
      <c r="R917" t="s">
        <v>60</v>
      </c>
      <c r="S917" t="s">
        <v>66</v>
      </c>
      <c r="T917" t="s">
        <v>3918</v>
      </c>
      <c r="V917" t="s">
        <v>563</v>
      </c>
      <c r="X917" t="s">
        <v>3915</v>
      </c>
      <c r="Y917" t="s">
        <v>412</v>
      </c>
      <c r="Z917" t="s">
        <v>765</v>
      </c>
      <c r="AA917" t="s">
        <v>182</v>
      </c>
      <c r="AD917" t="s">
        <v>3916</v>
      </c>
      <c r="AG917" t="s">
        <v>3917</v>
      </c>
      <c r="AJ917">
        <v>50.252496320598503</v>
      </c>
      <c r="AK917">
        <v>71.258193542076896</v>
      </c>
    </row>
    <row r="918" spans="1:37" hidden="1" x14ac:dyDescent="0.25">
      <c r="A918">
        <v>935</v>
      </c>
      <c r="B918" t="s">
        <v>3913</v>
      </c>
      <c r="C918" t="s">
        <v>376</v>
      </c>
      <c r="D918" t="s">
        <v>2604</v>
      </c>
      <c r="E918" t="s">
        <v>37</v>
      </c>
      <c r="F918" t="s">
        <v>38</v>
      </c>
      <c r="G918" s="2">
        <v>45869</v>
      </c>
      <c r="I918" t="s">
        <v>72</v>
      </c>
      <c r="J918" t="s">
        <v>40</v>
      </c>
      <c r="K918" t="s">
        <v>41</v>
      </c>
      <c r="L918" t="s">
        <v>2605</v>
      </c>
      <c r="M918" t="s">
        <v>2606</v>
      </c>
      <c r="O918" t="s">
        <v>99</v>
      </c>
      <c r="P918" t="s">
        <v>100</v>
      </c>
      <c r="Q918">
        <v>8.8439540498634044E-3</v>
      </c>
      <c r="R918" t="s">
        <v>60</v>
      </c>
      <c r="S918" t="s">
        <v>66</v>
      </c>
      <c r="T918" t="s">
        <v>3919</v>
      </c>
      <c r="V918" t="s">
        <v>563</v>
      </c>
      <c r="X918" t="s">
        <v>3915</v>
      </c>
      <c r="Y918" t="s">
        <v>412</v>
      </c>
      <c r="Z918" t="s">
        <v>765</v>
      </c>
      <c r="AA918" t="s">
        <v>182</v>
      </c>
      <c r="AD918" t="s">
        <v>3916</v>
      </c>
      <c r="AG918" t="s">
        <v>3917</v>
      </c>
      <c r="AJ918">
        <v>29.931142479080481</v>
      </c>
      <c r="AK918">
        <v>35.790355407378676</v>
      </c>
    </row>
    <row r="919" spans="1:37" hidden="1" x14ac:dyDescent="0.25">
      <c r="A919">
        <v>936</v>
      </c>
      <c r="B919" t="s">
        <v>3913</v>
      </c>
      <c r="C919" t="s">
        <v>376</v>
      </c>
      <c r="D919" t="s">
        <v>2604</v>
      </c>
      <c r="E919" t="s">
        <v>37</v>
      </c>
      <c r="F919" t="s">
        <v>38</v>
      </c>
      <c r="G919" s="2">
        <v>45869</v>
      </c>
      <c r="I919" t="s">
        <v>72</v>
      </c>
      <c r="J919" t="s">
        <v>40</v>
      </c>
      <c r="K919" t="s">
        <v>41</v>
      </c>
      <c r="L919" t="s">
        <v>2605</v>
      </c>
      <c r="M919" t="s">
        <v>2606</v>
      </c>
      <c r="O919" t="s">
        <v>99</v>
      </c>
      <c r="P919" t="s">
        <v>100</v>
      </c>
      <c r="Q919">
        <v>3.8405640872721518E-2</v>
      </c>
      <c r="R919" t="s">
        <v>60</v>
      </c>
      <c r="S919" t="s">
        <v>66</v>
      </c>
      <c r="T919" t="s">
        <v>3920</v>
      </c>
      <c r="V919" t="s">
        <v>563</v>
      </c>
      <c r="X919" t="s">
        <v>3915</v>
      </c>
      <c r="Y919" t="s">
        <v>412</v>
      </c>
      <c r="Z919" t="s">
        <v>765</v>
      </c>
      <c r="AA919" t="s">
        <v>182</v>
      </c>
      <c r="AD919" t="s">
        <v>3916</v>
      </c>
      <c r="AG919" t="s">
        <v>3917</v>
      </c>
      <c r="AJ919">
        <v>83.83633474621729</v>
      </c>
      <c r="AK919">
        <v>155.42273611248379</v>
      </c>
    </row>
    <row r="920" spans="1:37" hidden="1" x14ac:dyDescent="0.25">
      <c r="A920">
        <v>937</v>
      </c>
      <c r="B920" t="s">
        <v>3913</v>
      </c>
      <c r="C920" t="s">
        <v>376</v>
      </c>
      <c r="D920" t="s">
        <v>2604</v>
      </c>
      <c r="E920" t="s">
        <v>37</v>
      </c>
      <c r="F920" t="s">
        <v>38</v>
      </c>
      <c r="G920" s="2">
        <v>45869</v>
      </c>
      <c r="I920" t="s">
        <v>72</v>
      </c>
      <c r="J920" t="s">
        <v>40</v>
      </c>
      <c r="K920" t="s">
        <v>41</v>
      </c>
      <c r="L920" t="s">
        <v>2605</v>
      </c>
      <c r="M920" t="s">
        <v>2606</v>
      </c>
      <c r="O920" t="s">
        <v>99</v>
      </c>
      <c r="P920" t="s">
        <v>100</v>
      </c>
      <c r="Q920">
        <v>2.4896856097601431E-3</v>
      </c>
      <c r="R920" t="s">
        <v>60</v>
      </c>
      <c r="S920" t="s">
        <v>66</v>
      </c>
      <c r="T920" t="s">
        <v>3921</v>
      </c>
      <c r="V920" t="s">
        <v>563</v>
      </c>
      <c r="X920" t="s">
        <v>3915</v>
      </c>
      <c r="Y920" t="s">
        <v>412</v>
      </c>
      <c r="Z920" t="s">
        <v>765</v>
      </c>
      <c r="AA920" t="s">
        <v>182</v>
      </c>
      <c r="AD920" t="s">
        <v>3916</v>
      </c>
      <c r="AG920" t="s">
        <v>3917</v>
      </c>
      <c r="AJ920">
        <v>30.387129086477991</v>
      </c>
      <c r="AK920">
        <v>10.0754405013364</v>
      </c>
    </row>
    <row r="921" spans="1:37" hidden="1" x14ac:dyDescent="0.25">
      <c r="A921">
        <v>938</v>
      </c>
      <c r="B921" t="s">
        <v>3913</v>
      </c>
      <c r="C921" t="s">
        <v>376</v>
      </c>
      <c r="D921" t="s">
        <v>2604</v>
      </c>
      <c r="E921" t="s">
        <v>37</v>
      </c>
      <c r="F921" t="s">
        <v>38</v>
      </c>
      <c r="G921" s="2">
        <v>45869</v>
      </c>
      <c r="I921" t="s">
        <v>72</v>
      </c>
      <c r="J921" t="s">
        <v>40</v>
      </c>
      <c r="K921" t="s">
        <v>41</v>
      </c>
      <c r="L921" t="s">
        <v>2605</v>
      </c>
      <c r="M921" t="s">
        <v>2606</v>
      </c>
      <c r="O921" t="s">
        <v>99</v>
      </c>
      <c r="P921" t="s">
        <v>100</v>
      </c>
      <c r="Q921">
        <v>1.0414773546827511E-2</v>
      </c>
      <c r="R921" t="s">
        <v>60</v>
      </c>
      <c r="S921" t="s">
        <v>66</v>
      </c>
      <c r="T921" t="s">
        <v>3922</v>
      </c>
      <c r="V921" t="s">
        <v>563</v>
      </c>
      <c r="X921" t="s">
        <v>3915</v>
      </c>
      <c r="Y921" t="s">
        <v>412</v>
      </c>
      <c r="Z921" t="s">
        <v>765</v>
      </c>
      <c r="AA921" t="s">
        <v>182</v>
      </c>
      <c r="AD921" t="s">
        <v>3916</v>
      </c>
      <c r="AG921" t="s">
        <v>3917</v>
      </c>
      <c r="AJ921">
        <v>27.135538923404471</v>
      </c>
      <c r="AK921">
        <v>42.147261804699177</v>
      </c>
    </row>
    <row r="922" spans="1:37" x14ac:dyDescent="0.25">
      <c r="A922">
        <v>959</v>
      </c>
      <c r="C922" t="s">
        <v>376</v>
      </c>
      <c r="D922" t="s">
        <v>2604</v>
      </c>
      <c r="E922" t="s">
        <v>37</v>
      </c>
      <c r="F922" t="s">
        <v>38</v>
      </c>
      <c r="G922" s="2">
        <v>45847</v>
      </c>
      <c r="H922">
        <v>1</v>
      </c>
      <c r="I922" t="s">
        <v>72</v>
      </c>
      <c r="J922" t="s">
        <v>40</v>
      </c>
      <c r="K922" t="s">
        <v>41</v>
      </c>
      <c r="L922" t="s">
        <v>2605</v>
      </c>
      <c r="M922" t="s">
        <v>2606</v>
      </c>
      <c r="O922" t="s">
        <v>62</v>
      </c>
      <c r="P922" t="s">
        <v>63</v>
      </c>
      <c r="Q922">
        <v>1.036994661713466</v>
      </c>
      <c r="R922" t="s">
        <v>64</v>
      </c>
      <c r="S922" t="s">
        <v>65</v>
      </c>
      <c r="T922" t="s">
        <v>57</v>
      </c>
      <c r="V922" t="s">
        <v>3941</v>
      </c>
      <c r="X922" t="s">
        <v>3942</v>
      </c>
      <c r="Y922" t="s">
        <v>440</v>
      </c>
      <c r="Z922" t="s">
        <v>765</v>
      </c>
      <c r="AA922" t="s">
        <v>554</v>
      </c>
      <c r="AB922" t="s">
        <v>41</v>
      </c>
      <c r="AC922" t="s">
        <v>3943</v>
      </c>
      <c r="AD922" t="s">
        <v>664</v>
      </c>
      <c r="AF922" t="s">
        <v>1216</v>
      </c>
      <c r="AJ922">
        <v>392.67889237188291</v>
      </c>
      <c r="AK922">
        <v>4196.5852930740421</v>
      </c>
    </row>
    <row r="923" spans="1:37" x14ac:dyDescent="0.25">
      <c r="A923">
        <v>969</v>
      </c>
      <c r="C923" t="s">
        <v>376</v>
      </c>
      <c r="D923" t="s">
        <v>2604</v>
      </c>
      <c r="E923" t="s">
        <v>37</v>
      </c>
      <c r="F923" t="s">
        <v>38</v>
      </c>
      <c r="G923" s="2">
        <v>45847</v>
      </c>
      <c r="I923" t="s">
        <v>72</v>
      </c>
      <c r="J923" t="s">
        <v>40</v>
      </c>
      <c r="K923" t="s">
        <v>41</v>
      </c>
      <c r="L923" t="s">
        <v>2605</v>
      </c>
      <c r="M923" t="s">
        <v>2606</v>
      </c>
      <c r="O923" t="s">
        <v>62</v>
      </c>
      <c r="P923" t="s">
        <v>63</v>
      </c>
      <c r="Q923">
        <v>0.1174179516569914</v>
      </c>
      <c r="R923" t="s">
        <v>64</v>
      </c>
      <c r="S923" t="s">
        <v>65</v>
      </c>
      <c r="V923" t="s">
        <v>563</v>
      </c>
      <c r="AB923" t="s">
        <v>41</v>
      </c>
      <c r="AJ923">
        <v>115.3285070163286</v>
      </c>
      <c r="AK923">
        <v>475.17549246821739</v>
      </c>
    </row>
    <row r="924" spans="1:37" x14ac:dyDescent="0.25">
      <c r="A924">
        <v>970</v>
      </c>
      <c r="B924" t="s">
        <v>2690</v>
      </c>
      <c r="C924" t="s">
        <v>376</v>
      </c>
      <c r="D924" t="s">
        <v>2604</v>
      </c>
      <c r="E924" t="s">
        <v>37</v>
      </c>
      <c r="F924" t="s">
        <v>38</v>
      </c>
      <c r="G924" s="2">
        <v>45846</v>
      </c>
      <c r="H924">
        <v>0.5</v>
      </c>
      <c r="I924" t="s">
        <v>72</v>
      </c>
      <c r="J924" t="s">
        <v>40</v>
      </c>
      <c r="K924" t="s">
        <v>41</v>
      </c>
      <c r="L924" t="s">
        <v>2605</v>
      </c>
      <c r="M924" t="s">
        <v>2606</v>
      </c>
      <c r="O924" t="s">
        <v>62</v>
      </c>
      <c r="P924" t="s">
        <v>63</v>
      </c>
      <c r="Q924">
        <v>0.4915688994578189</v>
      </c>
      <c r="R924" t="s">
        <v>64</v>
      </c>
      <c r="S924" t="s">
        <v>65</v>
      </c>
      <c r="T924" t="s">
        <v>2691</v>
      </c>
      <c r="V924" t="s">
        <v>50</v>
      </c>
      <c r="X924" t="s">
        <v>2692</v>
      </c>
      <c r="Y924" t="s">
        <v>412</v>
      </c>
      <c r="Z924" t="s">
        <v>2630</v>
      </c>
      <c r="AA924" t="s">
        <v>76</v>
      </c>
      <c r="AB924" t="s">
        <v>41</v>
      </c>
      <c r="AD924" t="s">
        <v>399</v>
      </c>
      <c r="AJ924">
        <v>198.76924797477091</v>
      </c>
      <c r="AK924">
        <v>1989.316715081877</v>
      </c>
    </row>
    <row r="925" spans="1:37" x14ac:dyDescent="0.25">
      <c r="A925">
        <v>972</v>
      </c>
      <c r="B925" t="s">
        <v>3754</v>
      </c>
      <c r="C925" t="s">
        <v>376</v>
      </c>
      <c r="D925" t="s">
        <v>2604</v>
      </c>
      <c r="E925" t="s">
        <v>37</v>
      </c>
      <c r="F925" t="s">
        <v>38</v>
      </c>
      <c r="G925" s="2">
        <v>45846</v>
      </c>
      <c r="H925">
        <v>3.5</v>
      </c>
      <c r="I925" t="s">
        <v>72</v>
      </c>
      <c r="J925" t="s">
        <v>40</v>
      </c>
      <c r="K925" t="s">
        <v>41</v>
      </c>
      <c r="L925" t="s">
        <v>2605</v>
      </c>
      <c r="M925" t="s">
        <v>2606</v>
      </c>
      <c r="O925" t="s">
        <v>62</v>
      </c>
      <c r="P925" t="s">
        <v>63</v>
      </c>
      <c r="Q925">
        <v>1.4905429882111609</v>
      </c>
      <c r="R925" t="s">
        <v>64</v>
      </c>
      <c r="S925" t="s">
        <v>65</v>
      </c>
      <c r="T925" t="s">
        <v>3755</v>
      </c>
      <c r="V925" t="s">
        <v>125</v>
      </c>
      <c r="X925" t="s">
        <v>3756</v>
      </c>
      <c r="Y925" t="s">
        <v>412</v>
      </c>
      <c r="Z925" t="s">
        <v>2623</v>
      </c>
      <c r="AA925" t="s">
        <v>125</v>
      </c>
      <c r="AB925" t="s">
        <v>41</v>
      </c>
      <c r="AD925" t="s">
        <v>2874</v>
      </c>
      <c r="AF925" t="s">
        <v>2667</v>
      </c>
      <c r="AJ925">
        <v>358.67069198439032</v>
      </c>
      <c r="AK925">
        <v>6032.0375928318672</v>
      </c>
    </row>
    <row r="926" spans="1:37" x14ac:dyDescent="0.25">
      <c r="A926">
        <v>977</v>
      </c>
      <c r="B926" t="s">
        <v>3071</v>
      </c>
      <c r="C926" t="s">
        <v>376</v>
      </c>
      <c r="D926" t="s">
        <v>2604</v>
      </c>
      <c r="E926" t="s">
        <v>37</v>
      </c>
      <c r="F926" t="s">
        <v>38</v>
      </c>
      <c r="G926" s="2">
        <v>45845</v>
      </c>
      <c r="H926">
        <v>9.4</v>
      </c>
      <c r="I926" t="s">
        <v>72</v>
      </c>
      <c r="J926" t="s">
        <v>40</v>
      </c>
      <c r="K926" t="s">
        <v>41</v>
      </c>
      <c r="L926" t="s">
        <v>2605</v>
      </c>
      <c r="M926" t="s">
        <v>2606</v>
      </c>
      <c r="N926" t="s">
        <v>3027</v>
      </c>
      <c r="O926" t="s">
        <v>62</v>
      </c>
      <c r="P926" t="s">
        <v>63</v>
      </c>
      <c r="Q926">
        <v>1.4047102459436429</v>
      </c>
      <c r="R926" t="s">
        <v>64</v>
      </c>
      <c r="S926" t="s">
        <v>65</v>
      </c>
      <c r="T926" t="s">
        <v>3068</v>
      </c>
      <c r="V926" t="s">
        <v>70</v>
      </c>
      <c r="X926" t="s">
        <v>3069</v>
      </c>
      <c r="Y926" t="s">
        <v>412</v>
      </c>
      <c r="Z926" t="s">
        <v>2623</v>
      </c>
      <c r="AA926" t="s">
        <v>452</v>
      </c>
      <c r="AB926" t="s">
        <v>41</v>
      </c>
      <c r="AD926" t="s">
        <v>620</v>
      </c>
      <c r="AF926" t="s">
        <v>3070</v>
      </c>
      <c r="AJ926">
        <v>336.14223394197739</v>
      </c>
      <c r="AK926">
        <v>5684.6834191190519</v>
      </c>
    </row>
    <row r="927" spans="1:37" hidden="1" x14ac:dyDescent="0.25">
      <c r="A927">
        <v>944</v>
      </c>
      <c r="B927" t="s">
        <v>3930</v>
      </c>
      <c r="C927" t="s">
        <v>376</v>
      </c>
      <c r="D927" t="s">
        <v>2604</v>
      </c>
      <c r="E927" t="s">
        <v>37</v>
      </c>
      <c r="F927" t="s">
        <v>38</v>
      </c>
      <c r="G927" s="2">
        <v>45847</v>
      </c>
      <c r="H927">
        <v>17.7</v>
      </c>
      <c r="I927" t="s">
        <v>72</v>
      </c>
      <c r="J927" t="s">
        <v>40</v>
      </c>
      <c r="K927" t="s">
        <v>41</v>
      </c>
      <c r="L927" t="s">
        <v>2605</v>
      </c>
      <c r="M927" t="s">
        <v>2606</v>
      </c>
      <c r="O927" t="s">
        <v>129</v>
      </c>
      <c r="P927" t="s">
        <v>130</v>
      </c>
      <c r="Q927">
        <v>0.29464589391631962</v>
      </c>
      <c r="R927" t="s">
        <v>73</v>
      </c>
      <c r="S927" t="s">
        <v>74</v>
      </c>
      <c r="T927" t="s">
        <v>57</v>
      </c>
      <c r="V927" t="s">
        <v>397</v>
      </c>
      <c r="Y927" t="s">
        <v>412</v>
      </c>
      <c r="Z927" t="s">
        <v>765</v>
      </c>
      <c r="AA927" t="s">
        <v>64</v>
      </c>
      <c r="AB927" t="s">
        <v>41</v>
      </c>
      <c r="AJ927">
        <v>236.46199779035149</v>
      </c>
      <c r="AK927">
        <v>1192.394397701868</v>
      </c>
    </row>
    <row r="928" spans="1:37" x14ac:dyDescent="0.25">
      <c r="A928">
        <v>979</v>
      </c>
      <c r="B928" t="s">
        <v>2813</v>
      </c>
      <c r="C928" t="s">
        <v>376</v>
      </c>
      <c r="D928" t="s">
        <v>2604</v>
      </c>
      <c r="E928" t="s">
        <v>37</v>
      </c>
      <c r="F928" t="s">
        <v>38</v>
      </c>
      <c r="G928" s="2">
        <v>45845</v>
      </c>
      <c r="H928">
        <v>8.9</v>
      </c>
      <c r="I928" t="s">
        <v>72</v>
      </c>
      <c r="J928" t="s">
        <v>40</v>
      </c>
      <c r="K928" t="s">
        <v>41</v>
      </c>
      <c r="L928" t="s">
        <v>2605</v>
      </c>
      <c r="M928" t="s">
        <v>2606</v>
      </c>
      <c r="O928" t="s">
        <v>62</v>
      </c>
      <c r="P928" t="s">
        <v>63</v>
      </c>
      <c r="Q928">
        <v>1.971994668062403</v>
      </c>
      <c r="R928" t="s">
        <v>64</v>
      </c>
      <c r="S928" t="s">
        <v>65</v>
      </c>
      <c r="T928" t="s">
        <v>2801</v>
      </c>
      <c r="V928" t="s">
        <v>618</v>
      </c>
      <c r="X928" t="s">
        <v>2814</v>
      </c>
      <c r="Y928" t="s">
        <v>412</v>
      </c>
      <c r="Z928" t="s">
        <v>2623</v>
      </c>
      <c r="AA928" t="s">
        <v>70</v>
      </c>
      <c r="AB928" t="s">
        <v>41</v>
      </c>
      <c r="AD928" t="s">
        <v>2757</v>
      </c>
      <c r="AF928" t="s">
        <v>1097</v>
      </c>
      <c r="AJ928">
        <v>524.42358072540549</v>
      </c>
      <c r="AK928">
        <v>7980.4112089998061</v>
      </c>
    </row>
    <row r="929" spans="1:37" hidden="1" x14ac:dyDescent="0.25">
      <c r="A929">
        <v>946</v>
      </c>
      <c r="B929" t="s">
        <v>2847</v>
      </c>
      <c r="C929" t="s">
        <v>376</v>
      </c>
      <c r="D929" t="s">
        <v>2604</v>
      </c>
      <c r="E929" t="s">
        <v>37</v>
      </c>
      <c r="F929" t="s">
        <v>38</v>
      </c>
      <c r="G929" s="2">
        <v>45869</v>
      </c>
      <c r="H929">
        <v>0.7</v>
      </c>
      <c r="I929" t="s">
        <v>72</v>
      </c>
      <c r="J929" t="s">
        <v>40</v>
      </c>
      <c r="K929" t="s">
        <v>41</v>
      </c>
      <c r="L929" t="s">
        <v>2605</v>
      </c>
      <c r="M929" t="s">
        <v>2606</v>
      </c>
      <c r="O929" t="s">
        <v>99</v>
      </c>
      <c r="P929" t="s">
        <v>100</v>
      </c>
      <c r="Q929">
        <v>0.1416971293144331</v>
      </c>
      <c r="R929" t="s">
        <v>60</v>
      </c>
      <c r="S929" t="s">
        <v>66</v>
      </c>
      <c r="T929" t="s">
        <v>2777</v>
      </c>
      <c r="V929" t="s">
        <v>896</v>
      </c>
      <c r="X929" t="s">
        <v>2778</v>
      </c>
      <c r="Y929" t="s">
        <v>412</v>
      </c>
      <c r="Z929" t="s">
        <v>765</v>
      </c>
      <c r="AA929" t="s">
        <v>119</v>
      </c>
      <c r="AB929" t="s">
        <v>41</v>
      </c>
      <c r="AD929" t="s">
        <v>683</v>
      </c>
      <c r="AF929" t="s">
        <v>684</v>
      </c>
      <c r="AJ929">
        <v>117.1647953148742</v>
      </c>
      <c r="AK929">
        <v>573.43023152038927</v>
      </c>
    </row>
    <row r="930" spans="1:37" x14ac:dyDescent="0.25">
      <c r="A930">
        <v>984</v>
      </c>
      <c r="B930" t="s">
        <v>3286</v>
      </c>
      <c r="C930" t="s">
        <v>376</v>
      </c>
      <c r="D930" t="s">
        <v>2604</v>
      </c>
      <c r="E930" t="s">
        <v>37</v>
      </c>
      <c r="F930" t="s">
        <v>38</v>
      </c>
      <c r="G930" s="2">
        <v>45846</v>
      </c>
      <c r="H930">
        <v>2.8</v>
      </c>
      <c r="I930" t="s">
        <v>72</v>
      </c>
      <c r="J930" t="s">
        <v>40</v>
      </c>
      <c r="K930" t="s">
        <v>41</v>
      </c>
      <c r="L930" t="s">
        <v>2605</v>
      </c>
      <c r="M930" t="s">
        <v>2606</v>
      </c>
      <c r="O930" t="s">
        <v>62</v>
      </c>
      <c r="P930" t="s">
        <v>63</v>
      </c>
      <c r="Q930">
        <v>6.2840257608449912E-2</v>
      </c>
      <c r="R930" t="s">
        <v>64</v>
      </c>
      <c r="S930" t="s">
        <v>65</v>
      </c>
      <c r="T930" t="s">
        <v>3287</v>
      </c>
      <c r="V930" t="s">
        <v>858</v>
      </c>
      <c r="X930" t="s">
        <v>3288</v>
      </c>
      <c r="Y930" t="s">
        <v>412</v>
      </c>
      <c r="Z930" t="s">
        <v>2630</v>
      </c>
      <c r="AA930" t="s">
        <v>139</v>
      </c>
      <c r="AB930" t="s">
        <v>41</v>
      </c>
      <c r="AD930" t="s">
        <v>721</v>
      </c>
      <c r="AF930" t="s">
        <v>3119</v>
      </c>
      <c r="AJ930">
        <v>75.797558448956494</v>
      </c>
      <c r="AK930">
        <v>254.30651731307799</v>
      </c>
    </row>
    <row r="931" spans="1:37" x14ac:dyDescent="0.25">
      <c r="A931">
        <v>985</v>
      </c>
      <c r="B931" t="s">
        <v>3286</v>
      </c>
      <c r="C931" t="s">
        <v>376</v>
      </c>
      <c r="D931" t="s">
        <v>2604</v>
      </c>
      <c r="E931" t="s">
        <v>37</v>
      </c>
      <c r="F931" t="s">
        <v>38</v>
      </c>
      <c r="G931" s="2">
        <v>45846</v>
      </c>
      <c r="H931">
        <v>2.8</v>
      </c>
      <c r="I931" t="s">
        <v>72</v>
      </c>
      <c r="J931" t="s">
        <v>40</v>
      </c>
      <c r="K931" t="s">
        <v>41</v>
      </c>
      <c r="L931" t="s">
        <v>2605</v>
      </c>
      <c r="M931" t="s">
        <v>2606</v>
      </c>
      <c r="O931" t="s">
        <v>62</v>
      </c>
      <c r="P931" t="s">
        <v>63</v>
      </c>
      <c r="Q931">
        <v>0.6215370856430471</v>
      </c>
      <c r="R931" t="s">
        <v>64</v>
      </c>
      <c r="S931" t="s">
        <v>65</v>
      </c>
      <c r="T931" t="s">
        <v>3287</v>
      </c>
      <c r="V931" t="s">
        <v>858</v>
      </c>
      <c r="X931" t="s">
        <v>3288</v>
      </c>
      <c r="Y931" t="s">
        <v>412</v>
      </c>
      <c r="Z931" t="s">
        <v>2630</v>
      </c>
      <c r="AA931" t="s">
        <v>139</v>
      </c>
      <c r="AB931" t="s">
        <v>41</v>
      </c>
      <c r="AD931" t="s">
        <v>721</v>
      </c>
      <c r="AF931" t="s">
        <v>3119</v>
      </c>
      <c r="AJ931">
        <v>228.8790413311408</v>
      </c>
      <c r="AK931">
        <v>2515.2814079099139</v>
      </c>
    </row>
    <row r="932" spans="1:37" x14ac:dyDescent="0.25">
      <c r="A932">
        <v>986</v>
      </c>
      <c r="B932" t="s">
        <v>3286</v>
      </c>
      <c r="C932" t="s">
        <v>376</v>
      </c>
      <c r="D932" t="s">
        <v>2604</v>
      </c>
      <c r="E932" t="s">
        <v>37</v>
      </c>
      <c r="F932" t="s">
        <v>38</v>
      </c>
      <c r="G932" s="2">
        <v>45846</v>
      </c>
      <c r="H932">
        <v>2.8</v>
      </c>
      <c r="I932" t="s">
        <v>72</v>
      </c>
      <c r="J932" t="s">
        <v>40</v>
      </c>
      <c r="K932" t="s">
        <v>41</v>
      </c>
      <c r="L932" t="s">
        <v>2605</v>
      </c>
      <c r="M932" t="s">
        <v>2606</v>
      </c>
      <c r="O932" t="s">
        <v>62</v>
      </c>
      <c r="P932" t="s">
        <v>63</v>
      </c>
      <c r="Q932">
        <v>0.68781754133809903</v>
      </c>
      <c r="R932" t="s">
        <v>64</v>
      </c>
      <c r="S932" t="s">
        <v>65</v>
      </c>
      <c r="T932" t="s">
        <v>3287</v>
      </c>
      <c r="V932" t="s">
        <v>858</v>
      </c>
      <c r="X932" t="s">
        <v>3288</v>
      </c>
      <c r="Y932" t="s">
        <v>412</v>
      </c>
      <c r="Z932" t="s">
        <v>2630</v>
      </c>
      <c r="AA932" t="s">
        <v>139</v>
      </c>
      <c r="AB932" t="s">
        <v>41</v>
      </c>
      <c r="AD932" t="s">
        <v>721</v>
      </c>
      <c r="AF932" t="s">
        <v>3119</v>
      </c>
      <c r="AJ932">
        <v>391.10284746169282</v>
      </c>
      <c r="AK932">
        <v>2783.5099686322042</v>
      </c>
    </row>
    <row r="933" spans="1:37" hidden="1" x14ac:dyDescent="0.25">
      <c r="A933">
        <v>950</v>
      </c>
      <c r="C933" t="s">
        <v>376</v>
      </c>
      <c r="D933" t="s">
        <v>2604</v>
      </c>
      <c r="E933" t="s">
        <v>37</v>
      </c>
      <c r="F933" t="s">
        <v>38</v>
      </c>
      <c r="G933" s="2">
        <v>45846</v>
      </c>
      <c r="I933" t="s">
        <v>72</v>
      </c>
      <c r="J933" t="s">
        <v>40</v>
      </c>
      <c r="K933" t="s">
        <v>41</v>
      </c>
      <c r="L933" t="s">
        <v>2605</v>
      </c>
      <c r="M933" t="s">
        <v>2606</v>
      </c>
      <c r="O933" t="s">
        <v>96</v>
      </c>
      <c r="P933" t="s">
        <v>97</v>
      </c>
      <c r="Q933">
        <v>2.3757556278525409</v>
      </c>
      <c r="R933" t="s">
        <v>60</v>
      </c>
      <c r="S933" t="s">
        <v>66</v>
      </c>
      <c r="T933" t="s">
        <v>3931</v>
      </c>
      <c r="V933" t="s">
        <v>180</v>
      </c>
      <c r="AB933" t="s">
        <v>41</v>
      </c>
      <c r="AJ933">
        <v>401.22876686674408</v>
      </c>
      <c r="AK933">
        <v>9614.3803781110546</v>
      </c>
    </row>
    <row r="934" spans="1:37" x14ac:dyDescent="0.25">
      <c r="A934">
        <v>992</v>
      </c>
      <c r="B934" t="s">
        <v>3532</v>
      </c>
      <c r="C934" t="s">
        <v>376</v>
      </c>
      <c r="D934" t="s">
        <v>2604</v>
      </c>
      <c r="E934" t="s">
        <v>37</v>
      </c>
      <c r="F934" t="s">
        <v>38</v>
      </c>
      <c r="G934" s="2">
        <v>45825</v>
      </c>
      <c r="H934">
        <v>22.8</v>
      </c>
      <c r="I934" t="s">
        <v>72</v>
      </c>
      <c r="J934" t="s">
        <v>40</v>
      </c>
      <c r="K934" t="s">
        <v>41</v>
      </c>
      <c r="L934" t="s">
        <v>2605</v>
      </c>
      <c r="M934" t="s">
        <v>2606</v>
      </c>
      <c r="O934" t="s">
        <v>62</v>
      </c>
      <c r="P934" t="s">
        <v>63</v>
      </c>
      <c r="Q934">
        <v>2.9303618359529349</v>
      </c>
      <c r="R934" t="s">
        <v>64</v>
      </c>
      <c r="S934" t="s">
        <v>65</v>
      </c>
      <c r="T934" t="s">
        <v>3524</v>
      </c>
      <c r="V934" t="s">
        <v>3496</v>
      </c>
      <c r="X934" t="s">
        <v>3525</v>
      </c>
      <c r="Y934" t="s">
        <v>382</v>
      </c>
      <c r="Z934" t="s">
        <v>2623</v>
      </c>
      <c r="AA934" t="s">
        <v>618</v>
      </c>
      <c r="AB934" t="s">
        <v>41</v>
      </c>
      <c r="AD934" t="s">
        <v>620</v>
      </c>
      <c r="AF934" t="s">
        <v>3526</v>
      </c>
      <c r="AJ934">
        <v>735.23919174271123</v>
      </c>
      <c r="AK934">
        <v>11858.80105093876</v>
      </c>
    </row>
    <row r="935" spans="1:37" x14ac:dyDescent="0.25">
      <c r="A935">
        <v>993</v>
      </c>
      <c r="B935" t="s">
        <v>3547</v>
      </c>
      <c r="C935" t="s">
        <v>376</v>
      </c>
      <c r="D935" t="s">
        <v>2604</v>
      </c>
      <c r="E935" t="s">
        <v>37</v>
      </c>
      <c r="F935" t="s">
        <v>38</v>
      </c>
      <c r="G935" s="2">
        <v>45825</v>
      </c>
      <c r="H935">
        <v>11.8</v>
      </c>
      <c r="I935" t="s">
        <v>72</v>
      </c>
      <c r="J935" t="s">
        <v>40</v>
      </c>
      <c r="K935" t="s">
        <v>41</v>
      </c>
      <c r="L935" t="s">
        <v>2605</v>
      </c>
      <c r="M935" t="s">
        <v>2606</v>
      </c>
      <c r="O935" t="s">
        <v>62</v>
      </c>
      <c r="P935" t="s">
        <v>63</v>
      </c>
      <c r="Q935">
        <v>3.692370351127809</v>
      </c>
      <c r="R935" t="s">
        <v>64</v>
      </c>
      <c r="S935" t="s">
        <v>65</v>
      </c>
      <c r="T935" t="s">
        <v>3548</v>
      </c>
      <c r="V935" t="s">
        <v>61</v>
      </c>
      <c r="X935" t="s">
        <v>3549</v>
      </c>
      <c r="Y935" t="s">
        <v>382</v>
      </c>
      <c r="Z935" t="s">
        <v>2623</v>
      </c>
      <c r="AA935" t="s">
        <v>712</v>
      </c>
      <c r="AB935" t="s">
        <v>41</v>
      </c>
      <c r="AD935" t="s">
        <v>620</v>
      </c>
      <c r="AF935" t="s">
        <v>3550</v>
      </c>
      <c r="AJ935">
        <v>603.50854046626898</v>
      </c>
      <c r="AK935">
        <v>14942.55243949091</v>
      </c>
    </row>
    <row r="936" spans="1:37" x14ac:dyDescent="0.25">
      <c r="A936">
        <v>995</v>
      </c>
      <c r="B936" t="s">
        <v>3282</v>
      </c>
      <c r="C936" t="s">
        <v>376</v>
      </c>
      <c r="D936" t="s">
        <v>2604</v>
      </c>
      <c r="E936" t="s">
        <v>37</v>
      </c>
      <c r="F936" t="s">
        <v>38</v>
      </c>
      <c r="G936" s="2">
        <v>45846</v>
      </c>
      <c r="H936">
        <v>0.6</v>
      </c>
      <c r="I936" t="s">
        <v>72</v>
      </c>
      <c r="J936" t="s">
        <v>40</v>
      </c>
      <c r="K936" t="s">
        <v>41</v>
      </c>
      <c r="L936" t="s">
        <v>2605</v>
      </c>
      <c r="M936" t="s">
        <v>2606</v>
      </c>
      <c r="O936" t="s">
        <v>62</v>
      </c>
      <c r="P936" t="s">
        <v>63</v>
      </c>
      <c r="Q936">
        <v>0.16612918542007959</v>
      </c>
      <c r="R936" t="s">
        <v>64</v>
      </c>
      <c r="S936" t="s">
        <v>65</v>
      </c>
      <c r="T936" t="s">
        <v>3038</v>
      </c>
      <c r="V936" t="s">
        <v>119</v>
      </c>
      <c r="X936" t="s">
        <v>3173</v>
      </c>
      <c r="Y936" t="s">
        <v>412</v>
      </c>
      <c r="Z936" t="s">
        <v>2623</v>
      </c>
      <c r="AA936" t="s">
        <v>121</v>
      </c>
      <c r="AB936" t="s">
        <v>41</v>
      </c>
      <c r="AD936" t="s">
        <v>399</v>
      </c>
      <c r="AF936" t="s">
        <v>1456</v>
      </c>
      <c r="AJ936">
        <v>197.5401651115572</v>
      </c>
      <c r="AK936">
        <v>672.30365017724102</v>
      </c>
    </row>
    <row r="937" spans="1:37" x14ac:dyDescent="0.25">
      <c r="A937">
        <v>1004</v>
      </c>
      <c r="B937" t="s">
        <v>3399</v>
      </c>
      <c r="C937" t="s">
        <v>376</v>
      </c>
      <c r="D937" t="s">
        <v>2604</v>
      </c>
      <c r="E937" t="s">
        <v>37</v>
      </c>
      <c r="F937" t="s">
        <v>38</v>
      </c>
      <c r="G937" s="2">
        <v>45825</v>
      </c>
      <c r="H937">
        <v>7.9</v>
      </c>
      <c r="I937" t="s">
        <v>72</v>
      </c>
      <c r="J937" t="s">
        <v>40</v>
      </c>
      <c r="K937" t="s">
        <v>41</v>
      </c>
      <c r="L937" t="s">
        <v>2605</v>
      </c>
      <c r="M937" t="s">
        <v>2606</v>
      </c>
      <c r="N937" t="s">
        <v>3027</v>
      </c>
      <c r="O937" t="s">
        <v>62</v>
      </c>
      <c r="P937" t="s">
        <v>63</v>
      </c>
      <c r="Q937">
        <v>1.334272936046639</v>
      </c>
      <c r="R937" t="s">
        <v>64</v>
      </c>
      <c r="S937" t="s">
        <v>65</v>
      </c>
      <c r="T937" t="s">
        <v>3097</v>
      </c>
      <c r="V937" t="s">
        <v>110</v>
      </c>
      <c r="X937" t="s">
        <v>3029</v>
      </c>
      <c r="Y937" t="s">
        <v>412</v>
      </c>
      <c r="Z937" t="s">
        <v>2623</v>
      </c>
      <c r="AA937" t="s">
        <v>121</v>
      </c>
      <c r="AB937" t="s">
        <v>41</v>
      </c>
      <c r="AD937" t="s">
        <v>620</v>
      </c>
      <c r="AF937" t="s">
        <v>2667</v>
      </c>
      <c r="AJ937">
        <v>299.32857057054912</v>
      </c>
      <c r="AK937">
        <v>5399.6325989836396</v>
      </c>
    </row>
    <row r="938" spans="1:37" hidden="1" x14ac:dyDescent="0.25">
      <c r="A938">
        <v>955</v>
      </c>
      <c r="B938" t="s">
        <v>57</v>
      </c>
      <c r="C938" t="s">
        <v>376</v>
      </c>
      <c r="D938" t="s">
        <v>2604</v>
      </c>
      <c r="E938" t="s">
        <v>37</v>
      </c>
      <c r="F938" t="s">
        <v>38</v>
      </c>
      <c r="G938" s="2">
        <v>45826</v>
      </c>
      <c r="H938">
        <v>0.125</v>
      </c>
      <c r="I938" t="s">
        <v>72</v>
      </c>
      <c r="J938" t="s">
        <v>40</v>
      </c>
      <c r="K938" t="s">
        <v>41</v>
      </c>
      <c r="L938" t="s">
        <v>2605</v>
      </c>
      <c r="M938" t="s">
        <v>2606</v>
      </c>
      <c r="O938" t="s">
        <v>99</v>
      </c>
      <c r="P938" t="s">
        <v>100</v>
      </c>
      <c r="Q938">
        <v>2.2050408775702461E-2</v>
      </c>
      <c r="R938" t="s">
        <v>60</v>
      </c>
      <c r="S938" t="s">
        <v>66</v>
      </c>
      <c r="T938" t="s">
        <v>57</v>
      </c>
      <c r="V938" t="s">
        <v>942</v>
      </c>
      <c r="X938" t="s">
        <v>3935</v>
      </c>
      <c r="Y938" t="s">
        <v>698</v>
      </c>
      <c r="Z938" t="s">
        <v>2630</v>
      </c>
      <c r="AA938" t="s">
        <v>86</v>
      </c>
      <c r="AB938" t="s">
        <v>41</v>
      </c>
      <c r="AC938" t="s">
        <v>3936</v>
      </c>
      <c r="AD938" t="s">
        <v>701</v>
      </c>
      <c r="AF938" t="s">
        <v>865</v>
      </c>
      <c r="AG938" t="s">
        <v>3937</v>
      </c>
      <c r="AJ938">
        <v>57.023785122512287</v>
      </c>
      <c r="AK938">
        <v>89.235195310921128</v>
      </c>
    </row>
    <row r="939" spans="1:37" hidden="1" x14ac:dyDescent="0.25">
      <c r="A939">
        <v>956</v>
      </c>
      <c r="B939" t="s">
        <v>57</v>
      </c>
      <c r="C939" t="s">
        <v>376</v>
      </c>
      <c r="D939" t="s">
        <v>2604</v>
      </c>
      <c r="E939" t="s">
        <v>37</v>
      </c>
      <c r="F939" t="s">
        <v>38</v>
      </c>
      <c r="G939" s="2">
        <v>45826</v>
      </c>
      <c r="H939">
        <v>0.125</v>
      </c>
      <c r="I939" t="s">
        <v>72</v>
      </c>
      <c r="J939" t="s">
        <v>40</v>
      </c>
      <c r="K939" t="s">
        <v>41</v>
      </c>
      <c r="L939" t="s">
        <v>2605</v>
      </c>
      <c r="M939" t="s">
        <v>2606</v>
      </c>
      <c r="O939" t="s">
        <v>99</v>
      </c>
      <c r="P939" t="s">
        <v>100</v>
      </c>
      <c r="Q939">
        <v>4.8613064260938407E-2</v>
      </c>
      <c r="R939" t="s">
        <v>60</v>
      </c>
      <c r="S939" t="s">
        <v>66</v>
      </c>
      <c r="T939" t="s">
        <v>57</v>
      </c>
      <c r="V939" t="s">
        <v>942</v>
      </c>
      <c r="X939" t="s">
        <v>3938</v>
      </c>
      <c r="Y939" t="s">
        <v>698</v>
      </c>
      <c r="Z939" t="s">
        <v>2630</v>
      </c>
      <c r="AA939" t="s">
        <v>86</v>
      </c>
      <c r="AB939" t="s">
        <v>41</v>
      </c>
      <c r="AC939" t="s">
        <v>3936</v>
      </c>
      <c r="AD939" t="s">
        <v>701</v>
      </c>
      <c r="AF939" t="s">
        <v>865</v>
      </c>
      <c r="AG939" t="s">
        <v>3937</v>
      </c>
      <c r="AJ939">
        <v>61.796885253222058</v>
      </c>
      <c r="AK939">
        <v>196.73087823964849</v>
      </c>
    </row>
    <row r="940" spans="1:37" hidden="1" x14ac:dyDescent="0.25">
      <c r="A940">
        <v>957</v>
      </c>
      <c r="B940" t="s">
        <v>57</v>
      </c>
      <c r="C940" t="s">
        <v>376</v>
      </c>
      <c r="D940" t="s">
        <v>2604</v>
      </c>
      <c r="E940" t="s">
        <v>37</v>
      </c>
      <c r="F940" t="s">
        <v>38</v>
      </c>
      <c r="G940" s="2">
        <v>45826</v>
      </c>
      <c r="H940">
        <v>0.125</v>
      </c>
      <c r="I940" t="s">
        <v>72</v>
      </c>
      <c r="J940" t="s">
        <v>40</v>
      </c>
      <c r="K940" t="s">
        <v>41</v>
      </c>
      <c r="L940" t="s">
        <v>2605</v>
      </c>
      <c r="M940" t="s">
        <v>2606</v>
      </c>
      <c r="O940" t="s">
        <v>99</v>
      </c>
      <c r="P940" t="s">
        <v>100</v>
      </c>
      <c r="Q940">
        <v>5.4343000272461153E-2</v>
      </c>
      <c r="R940" t="s">
        <v>60</v>
      </c>
      <c r="S940" t="s">
        <v>66</v>
      </c>
      <c r="T940" t="s">
        <v>57</v>
      </c>
      <c r="V940" t="s">
        <v>942</v>
      </c>
      <c r="X940" t="s">
        <v>3938</v>
      </c>
      <c r="Y940" t="s">
        <v>698</v>
      </c>
      <c r="Z940" t="s">
        <v>2630</v>
      </c>
      <c r="AA940" t="s">
        <v>86</v>
      </c>
      <c r="AB940" t="s">
        <v>41</v>
      </c>
      <c r="AC940" t="s">
        <v>3936</v>
      </c>
      <c r="AD940" t="s">
        <v>701</v>
      </c>
      <c r="AF940" t="s">
        <v>865</v>
      </c>
      <c r="AG940" t="s">
        <v>3937</v>
      </c>
      <c r="AJ940">
        <v>69.941204570744645</v>
      </c>
      <c r="AK940">
        <v>219.91919934101199</v>
      </c>
    </row>
    <row r="941" spans="1:37" hidden="1" x14ac:dyDescent="0.25">
      <c r="A941">
        <v>958</v>
      </c>
      <c r="B941" t="s">
        <v>57</v>
      </c>
      <c r="C941" t="s">
        <v>376</v>
      </c>
      <c r="D941" t="s">
        <v>2604</v>
      </c>
      <c r="E941" t="s">
        <v>37</v>
      </c>
      <c r="F941" t="s">
        <v>38</v>
      </c>
      <c r="G941" s="2">
        <v>45869</v>
      </c>
      <c r="H941">
        <v>0.17499999999999999</v>
      </c>
      <c r="I941" t="s">
        <v>72</v>
      </c>
      <c r="J941" t="s">
        <v>40</v>
      </c>
      <c r="K941" t="s">
        <v>41</v>
      </c>
      <c r="L941" t="s">
        <v>2605</v>
      </c>
      <c r="M941" t="s">
        <v>2606</v>
      </c>
      <c r="O941" t="s">
        <v>99</v>
      </c>
      <c r="P941" t="s">
        <v>100</v>
      </c>
      <c r="Q941">
        <v>0.17463919380273979</v>
      </c>
      <c r="R941" t="s">
        <v>60</v>
      </c>
      <c r="S941" t="s">
        <v>66</v>
      </c>
      <c r="T941" t="s">
        <v>57</v>
      </c>
      <c r="V941" t="s">
        <v>3909</v>
      </c>
      <c r="X941" t="s">
        <v>3939</v>
      </c>
      <c r="Y941" t="s">
        <v>120</v>
      </c>
      <c r="Z941" t="s">
        <v>383</v>
      </c>
      <c r="AA941" t="s">
        <v>60</v>
      </c>
      <c r="AB941" t="s">
        <v>41</v>
      </c>
      <c r="AC941" t="s">
        <v>3940</v>
      </c>
      <c r="AD941" t="s">
        <v>721</v>
      </c>
      <c r="AF941" t="s">
        <v>563</v>
      </c>
      <c r="AJ941">
        <v>107.7769575351189</v>
      </c>
      <c r="AK941">
        <v>706.7425700108289</v>
      </c>
    </row>
    <row r="942" spans="1:37" x14ac:dyDescent="0.25">
      <c r="A942">
        <v>1015</v>
      </c>
      <c r="B942" t="s">
        <v>2604</v>
      </c>
      <c r="C942" t="s">
        <v>376</v>
      </c>
      <c r="D942" t="s">
        <v>2604</v>
      </c>
      <c r="E942" t="s">
        <v>37</v>
      </c>
      <c r="F942" t="s">
        <v>38</v>
      </c>
      <c r="G942" s="2">
        <v>45825</v>
      </c>
      <c r="H942">
        <v>8.3000000000000007</v>
      </c>
      <c r="I942" t="s">
        <v>72</v>
      </c>
      <c r="J942" t="s">
        <v>40</v>
      </c>
      <c r="K942" t="s">
        <v>41</v>
      </c>
      <c r="L942" t="s">
        <v>2605</v>
      </c>
      <c r="M942" t="s">
        <v>2606</v>
      </c>
      <c r="N942" t="s">
        <v>3027</v>
      </c>
      <c r="O942" t="s">
        <v>62</v>
      </c>
      <c r="P942" t="s">
        <v>63</v>
      </c>
      <c r="Q942">
        <v>1.030252630388045</v>
      </c>
      <c r="R942" t="s">
        <v>64</v>
      </c>
      <c r="S942" t="s">
        <v>65</v>
      </c>
      <c r="T942" t="s">
        <v>3097</v>
      </c>
      <c r="V942" t="s">
        <v>110</v>
      </c>
      <c r="X942" t="s">
        <v>3257</v>
      </c>
      <c r="Y942" t="s">
        <v>412</v>
      </c>
      <c r="Z942" t="s">
        <v>2623</v>
      </c>
      <c r="AA942" t="s">
        <v>576</v>
      </c>
      <c r="AB942" t="s">
        <v>41</v>
      </c>
      <c r="AD942" t="s">
        <v>620</v>
      </c>
      <c r="AF942" t="s">
        <v>3304</v>
      </c>
      <c r="AJ942">
        <v>285.91304031776821</v>
      </c>
      <c r="AK942">
        <v>4169.3011511682826</v>
      </c>
    </row>
    <row r="943" spans="1:37" hidden="1" x14ac:dyDescent="0.25">
      <c r="A943">
        <v>960</v>
      </c>
      <c r="B943" t="s">
        <v>57</v>
      </c>
      <c r="C943" t="s">
        <v>376</v>
      </c>
      <c r="D943" t="s">
        <v>2604</v>
      </c>
      <c r="E943" t="s">
        <v>37</v>
      </c>
      <c r="F943" t="s">
        <v>38</v>
      </c>
      <c r="G943" s="2">
        <v>45845</v>
      </c>
      <c r="H943">
        <v>0.35</v>
      </c>
      <c r="I943" t="s">
        <v>72</v>
      </c>
      <c r="J943" t="s">
        <v>40</v>
      </c>
      <c r="K943" t="s">
        <v>41</v>
      </c>
      <c r="L943" t="s">
        <v>2605</v>
      </c>
      <c r="M943" t="s">
        <v>2606</v>
      </c>
      <c r="O943" t="s">
        <v>99</v>
      </c>
      <c r="P943" t="s">
        <v>100</v>
      </c>
      <c r="Q943">
        <v>0.15163760276060029</v>
      </c>
      <c r="R943" t="s">
        <v>60</v>
      </c>
      <c r="S943" t="s">
        <v>66</v>
      </c>
      <c r="T943" t="s">
        <v>3944</v>
      </c>
      <c r="V943" t="s">
        <v>125</v>
      </c>
      <c r="X943" t="s">
        <v>3945</v>
      </c>
      <c r="Y943" t="s">
        <v>412</v>
      </c>
      <c r="Z943" t="s">
        <v>2623</v>
      </c>
      <c r="AA943" t="s">
        <v>71</v>
      </c>
      <c r="AB943" t="s">
        <v>41</v>
      </c>
      <c r="AC943" t="s">
        <v>3946</v>
      </c>
      <c r="AD943" t="s">
        <v>721</v>
      </c>
      <c r="AF943" t="s">
        <v>2298</v>
      </c>
      <c r="AJ943">
        <v>101.638789280675</v>
      </c>
      <c r="AK943">
        <v>613.65806123886568</v>
      </c>
    </row>
    <row r="944" spans="1:37" hidden="1" x14ac:dyDescent="0.25">
      <c r="A944">
        <v>961</v>
      </c>
      <c r="B944" t="s">
        <v>57</v>
      </c>
      <c r="C944" t="s">
        <v>376</v>
      </c>
      <c r="D944" t="s">
        <v>2604</v>
      </c>
      <c r="E944" t="s">
        <v>37</v>
      </c>
      <c r="F944" t="s">
        <v>38</v>
      </c>
      <c r="G944" s="2">
        <v>45845</v>
      </c>
      <c r="H944">
        <v>0.35</v>
      </c>
      <c r="I944" t="s">
        <v>72</v>
      </c>
      <c r="J944" t="s">
        <v>40</v>
      </c>
      <c r="K944" t="s">
        <v>41</v>
      </c>
      <c r="L944" t="s">
        <v>2605</v>
      </c>
      <c r="M944" t="s">
        <v>2606</v>
      </c>
      <c r="O944" t="s">
        <v>99</v>
      </c>
      <c r="P944" t="s">
        <v>100</v>
      </c>
      <c r="Q944">
        <v>0.13712128342881691</v>
      </c>
      <c r="R944" t="s">
        <v>60</v>
      </c>
      <c r="S944" t="s">
        <v>66</v>
      </c>
      <c r="T944" t="s">
        <v>3947</v>
      </c>
      <c r="V944" t="s">
        <v>125</v>
      </c>
      <c r="X944" t="s">
        <v>3945</v>
      </c>
      <c r="Y944" t="s">
        <v>412</v>
      </c>
      <c r="Z944" t="s">
        <v>2623</v>
      </c>
      <c r="AA944" t="s">
        <v>71</v>
      </c>
      <c r="AB944" t="s">
        <v>41</v>
      </c>
      <c r="AC944" t="s">
        <v>3946</v>
      </c>
      <c r="AD944" t="s">
        <v>721</v>
      </c>
      <c r="AF944" t="s">
        <v>2298</v>
      </c>
      <c r="AJ944">
        <v>98.081522464290359</v>
      </c>
      <c r="AK944">
        <v>554.91236613888327</v>
      </c>
    </row>
    <row r="945" spans="1:37" hidden="1" x14ac:dyDescent="0.25">
      <c r="A945">
        <v>962</v>
      </c>
      <c r="B945" t="s">
        <v>57</v>
      </c>
      <c r="C945" t="s">
        <v>376</v>
      </c>
      <c r="D945" t="s">
        <v>2604</v>
      </c>
      <c r="E945" t="s">
        <v>37</v>
      </c>
      <c r="F945" t="s">
        <v>38</v>
      </c>
      <c r="G945" s="2">
        <v>45845</v>
      </c>
      <c r="H945">
        <v>0.35</v>
      </c>
      <c r="I945" t="s">
        <v>72</v>
      </c>
      <c r="J945" t="s">
        <v>40</v>
      </c>
      <c r="K945" t="s">
        <v>41</v>
      </c>
      <c r="L945" t="s">
        <v>2605</v>
      </c>
      <c r="M945" t="s">
        <v>2606</v>
      </c>
      <c r="O945" t="s">
        <v>99</v>
      </c>
      <c r="P945" t="s">
        <v>100</v>
      </c>
      <c r="Q945">
        <v>8.0148138493841503E-2</v>
      </c>
      <c r="R945" t="s">
        <v>60</v>
      </c>
      <c r="S945" t="s">
        <v>66</v>
      </c>
      <c r="T945" t="s">
        <v>3948</v>
      </c>
      <c r="V945" t="s">
        <v>125</v>
      </c>
      <c r="X945" t="s">
        <v>3945</v>
      </c>
      <c r="Y945" t="s">
        <v>412</v>
      </c>
      <c r="Z945" t="s">
        <v>2623</v>
      </c>
      <c r="AA945" t="s">
        <v>71</v>
      </c>
      <c r="AB945" t="s">
        <v>41</v>
      </c>
      <c r="AC945" t="s">
        <v>3946</v>
      </c>
      <c r="AD945" t="s">
        <v>721</v>
      </c>
      <c r="AF945" t="s">
        <v>2298</v>
      </c>
      <c r="AJ945">
        <v>83.00334375820853</v>
      </c>
      <c r="AK945">
        <v>324.34930640313542</v>
      </c>
    </row>
    <row r="946" spans="1:37" hidden="1" x14ac:dyDescent="0.25">
      <c r="A946">
        <v>963</v>
      </c>
      <c r="B946" t="s">
        <v>57</v>
      </c>
      <c r="C946" t="s">
        <v>376</v>
      </c>
      <c r="D946" t="s">
        <v>2604</v>
      </c>
      <c r="E946" t="s">
        <v>37</v>
      </c>
      <c r="F946" t="s">
        <v>38</v>
      </c>
      <c r="G946" s="2">
        <v>45869</v>
      </c>
      <c r="H946">
        <v>0.1875</v>
      </c>
      <c r="I946" t="s">
        <v>72</v>
      </c>
      <c r="J946" t="s">
        <v>40</v>
      </c>
      <c r="K946" t="s">
        <v>41</v>
      </c>
      <c r="L946" t="s">
        <v>2605</v>
      </c>
      <c r="M946" t="s">
        <v>2606</v>
      </c>
      <c r="O946" t="s">
        <v>99</v>
      </c>
      <c r="P946" t="s">
        <v>100</v>
      </c>
      <c r="Q946">
        <v>0.1876243920409125</v>
      </c>
      <c r="R946" t="s">
        <v>60</v>
      </c>
      <c r="S946" t="s">
        <v>66</v>
      </c>
      <c r="T946" t="s">
        <v>3949</v>
      </c>
      <c r="V946" t="s">
        <v>3950</v>
      </c>
      <c r="X946" t="s">
        <v>3951</v>
      </c>
      <c r="Y946" t="s">
        <v>120</v>
      </c>
      <c r="Z946" t="s">
        <v>2630</v>
      </c>
      <c r="AA946" t="s">
        <v>2116</v>
      </c>
      <c r="AB946" t="s">
        <v>41</v>
      </c>
      <c r="AC946" t="s">
        <v>3952</v>
      </c>
      <c r="AD946" t="s">
        <v>3916</v>
      </c>
      <c r="AJ946">
        <v>113.0489286927521</v>
      </c>
      <c r="AK946">
        <v>759.29201309467726</v>
      </c>
    </row>
    <row r="947" spans="1:37" hidden="1" x14ac:dyDescent="0.25">
      <c r="A947">
        <v>964</v>
      </c>
      <c r="B947" t="s">
        <v>3953</v>
      </c>
      <c r="C947" t="s">
        <v>376</v>
      </c>
      <c r="D947" t="s">
        <v>2604</v>
      </c>
      <c r="E947" t="s">
        <v>37</v>
      </c>
      <c r="F947" t="s">
        <v>38</v>
      </c>
      <c r="G947" s="2">
        <v>45869</v>
      </c>
      <c r="H947">
        <v>11.8</v>
      </c>
      <c r="I947" t="s">
        <v>72</v>
      </c>
      <c r="J947" t="s">
        <v>40</v>
      </c>
      <c r="K947" t="s">
        <v>41</v>
      </c>
      <c r="L947" t="s">
        <v>2605</v>
      </c>
      <c r="M947" t="s">
        <v>2606</v>
      </c>
      <c r="O947" t="s">
        <v>99</v>
      </c>
      <c r="P947" t="s">
        <v>100</v>
      </c>
      <c r="Q947">
        <v>0.33931443086937552</v>
      </c>
      <c r="R947" t="s">
        <v>73</v>
      </c>
      <c r="S947" t="s">
        <v>74</v>
      </c>
      <c r="T947" t="s">
        <v>3954</v>
      </c>
      <c r="V947" t="s">
        <v>182</v>
      </c>
      <c r="X947" t="s">
        <v>3955</v>
      </c>
      <c r="Y947" t="s">
        <v>420</v>
      </c>
      <c r="Z947" t="s">
        <v>765</v>
      </c>
      <c r="AA947" t="s">
        <v>121</v>
      </c>
      <c r="AB947" t="s">
        <v>41</v>
      </c>
      <c r="AD947" t="s">
        <v>224</v>
      </c>
      <c r="AF947" t="s">
        <v>2667</v>
      </c>
      <c r="AJ947">
        <v>154.11370355451911</v>
      </c>
      <c r="AK947">
        <v>1373.162276420346</v>
      </c>
    </row>
    <row r="948" spans="1:37" hidden="1" x14ac:dyDescent="0.25">
      <c r="A948">
        <v>965</v>
      </c>
      <c r="B948" t="s">
        <v>2820</v>
      </c>
      <c r="C948" t="s">
        <v>376</v>
      </c>
      <c r="D948" t="s">
        <v>2604</v>
      </c>
      <c r="E948" t="s">
        <v>37</v>
      </c>
      <c r="F948" t="s">
        <v>38</v>
      </c>
      <c r="G948" s="2">
        <v>45869</v>
      </c>
      <c r="H948">
        <v>11.9</v>
      </c>
      <c r="I948" t="s">
        <v>72</v>
      </c>
      <c r="J948" t="s">
        <v>40</v>
      </c>
      <c r="K948" t="s">
        <v>41</v>
      </c>
      <c r="L948" t="s">
        <v>2605</v>
      </c>
      <c r="M948" t="s">
        <v>2606</v>
      </c>
      <c r="O948" t="s">
        <v>99</v>
      </c>
      <c r="P948" t="s">
        <v>100</v>
      </c>
      <c r="Q948">
        <v>2.188317631588812</v>
      </c>
      <c r="R948" t="s">
        <v>60</v>
      </c>
      <c r="S948" t="s">
        <v>66</v>
      </c>
      <c r="T948" t="s">
        <v>2777</v>
      </c>
      <c r="V948" t="s">
        <v>896</v>
      </c>
      <c r="X948" t="s">
        <v>2778</v>
      </c>
      <c r="Y948" t="s">
        <v>412</v>
      </c>
      <c r="Z948" t="s">
        <v>765</v>
      </c>
      <c r="AA948" t="s">
        <v>119</v>
      </c>
      <c r="AB948" t="s">
        <v>41</v>
      </c>
      <c r="AD948" t="s">
        <v>683</v>
      </c>
      <c r="AF948" t="s">
        <v>684</v>
      </c>
      <c r="AJ948">
        <v>384.31034327263347</v>
      </c>
      <c r="AK948">
        <v>8855.8426849816587</v>
      </c>
    </row>
    <row r="949" spans="1:37" hidden="1" x14ac:dyDescent="0.25">
      <c r="A949">
        <v>966</v>
      </c>
      <c r="B949" t="s">
        <v>2820</v>
      </c>
      <c r="C949" t="s">
        <v>376</v>
      </c>
      <c r="D949" t="s">
        <v>2604</v>
      </c>
      <c r="E949" t="s">
        <v>37</v>
      </c>
      <c r="F949" t="s">
        <v>38</v>
      </c>
      <c r="G949" s="2">
        <v>45869</v>
      </c>
      <c r="H949">
        <v>11.9</v>
      </c>
      <c r="I949" t="s">
        <v>72</v>
      </c>
      <c r="J949" t="s">
        <v>40</v>
      </c>
      <c r="K949" t="s">
        <v>41</v>
      </c>
      <c r="L949" t="s">
        <v>2605</v>
      </c>
      <c r="M949" t="s">
        <v>2606</v>
      </c>
      <c r="O949" t="s">
        <v>99</v>
      </c>
      <c r="P949" t="s">
        <v>100</v>
      </c>
      <c r="Q949">
        <v>0.76193557104393084</v>
      </c>
      <c r="R949" t="s">
        <v>60</v>
      </c>
      <c r="S949" t="s">
        <v>66</v>
      </c>
      <c r="T949" t="s">
        <v>2777</v>
      </c>
      <c r="V949" t="s">
        <v>896</v>
      </c>
      <c r="X949" t="s">
        <v>2778</v>
      </c>
      <c r="Y949" t="s">
        <v>412</v>
      </c>
      <c r="Z949" t="s">
        <v>765</v>
      </c>
      <c r="AA949" t="s">
        <v>119</v>
      </c>
      <c r="AB949" t="s">
        <v>41</v>
      </c>
      <c r="AD949" t="s">
        <v>683</v>
      </c>
      <c r="AF949" t="s">
        <v>684</v>
      </c>
      <c r="AJ949">
        <v>224.96924830446639</v>
      </c>
      <c r="AK949">
        <v>3083.4561929465808</v>
      </c>
    </row>
    <row r="950" spans="1:37" hidden="1" x14ac:dyDescent="0.25">
      <c r="A950">
        <v>967</v>
      </c>
      <c r="B950" t="s">
        <v>2820</v>
      </c>
      <c r="C950" t="s">
        <v>376</v>
      </c>
      <c r="D950" t="s">
        <v>2604</v>
      </c>
      <c r="E950" t="s">
        <v>37</v>
      </c>
      <c r="F950" t="s">
        <v>38</v>
      </c>
      <c r="G950" s="2">
        <v>45869</v>
      </c>
      <c r="H950">
        <v>11.9</v>
      </c>
      <c r="I950" t="s">
        <v>72</v>
      </c>
      <c r="J950" t="s">
        <v>40</v>
      </c>
      <c r="K950" t="s">
        <v>41</v>
      </c>
      <c r="L950" t="s">
        <v>2605</v>
      </c>
      <c r="M950" t="s">
        <v>2606</v>
      </c>
      <c r="O950" t="s">
        <v>99</v>
      </c>
      <c r="P950" t="s">
        <v>100</v>
      </c>
      <c r="Q950">
        <v>0.15096407362954109</v>
      </c>
      <c r="R950" t="s">
        <v>60</v>
      </c>
      <c r="S950" t="s">
        <v>66</v>
      </c>
      <c r="T950" t="s">
        <v>2777</v>
      </c>
      <c r="V950" t="s">
        <v>896</v>
      </c>
      <c r="X950" t="s">
        <v>2778</v>
      </c>
      <c r="Y950" t="s">
        <v>412</v>
      </c>
      <c r="Z950" t="s">
        <v>765</v>
      </c>
      <c r="AA950" t="s">
        <v>119</v>
      </c>
      <c r="AB950" t="s">
        <v>41</v>
      </c>
      <c r="AD950" t="s">
        <v>683</v>
      </c>
      <c r="AF950" t="s">
        <v>684</v>
      </c>
      <c r="AJ950">
        <v>98.887177781567161</v>
      </c>
      <c r="AK950">
        <v>610.93237464642993</v>
      </c>
    </row>
    <row r="951" spans="1:37" hidden="1" x14ac:dyDescent="0.25">
      <c r="A951">
        <v>968</v>
      </c>
      <c r="B951" t="s">
        <v>2820</v>
      </c>
      <c r="C951" t="s">
        <v>376</v>
      </c>
      <c r="D951" t="s">
        <v>2604</v>
      </c>
      <c r="E951" t="s">
        <v>37</v>
      </c>
      <c r="F951" t="s">
        <v>38</v>
      </c>
      <c r="G951" s="2">
        <v>45869</v>
      </c>
      <c r="H951">
        <v>11.9</v>
      </c>
      <c r="I951" t="s">
        <v>72</v>
      </c>
      <c r="J951" t="s">
        <v>40</v>
      </c>
      <c r="K951" t="s">
        <v>41</v>
      </c>
      <c r="L951" t="s">
        <v>2605</v>
      </c>
      <c r="M951" t="s">
        <v>2606</v>
      </c>
      <c r="O951" t="s">
        <v>99</v>
      </c>
      <c r="P951" t="s">
        <v>100</v>
      </c>
      <c r="Q951">
        <v>0.44796560639825422</v>
      </c>
      <c r="R951" t="s">
        <v>60</v>
      </c>
      <c r="S951" t="s">
        <v>66</v>
      </c>
      <c r="T951" t="s">
        <v>2777</v>
      </c>
      <c r="V951" t="s">
        <v>896</v>
      </c>
      <c r="X951" t="s">
        <v>2778</v>
      </c>
      <c r="Y951" t="s">
        <v>412</v>
      </c>
      <c r="Z951" t="s">
        <v>765</v>
      </c>
      <c r="AA951" t="s">
        <v>119</v>
      </c>
      <c r="AB951" t="s">
        <v>41</v>
      </c>
      <c r="AD951" t="s">
        <v>683</v>
      </c>
      <c r="AF951" t="s">
        <v>684</v>
      </c>
      <c r="AJ951">
        <v>208.91270627592999</v>
      </c>
      <c r="AK951">
        <v>1812.8597426988049</v>
      </c>
    </row>
    <row r="952" spans="1:37" x14ac:dyDescent="0.25">
      <c r="A952">
        <v>1017</v>
      </c>
      <c r="C952" t="s">
        <v>376</v>
      </c>
      <c r="D952" t="s">
        <v>2604</v>
      </c>
      <c r="E952" t="s">
        <v>37</v>
      </c>
      <c r="F952" t="s">
        <v>38</v>
      </c>
      <c r="G952" s="2">
        <v>45845</v>
      </c>
      <c r="I952" t="s">
        <v>72</v>
      </c>
      <c r="J952" t="s">
        <v>40</v>
      </c>
      <c r="K952" t="s">
        <v>41</v>
      </c>
      <c r="L952" t="s">
        <v>2605</v>
      </c>
      <c r="M952" t="s">
        <v>2606</v>
      </c>
      <c r="O952" t="s">
        <v>62</v>
      </c>
      <c r="P952" t="s">
        <v>63</v>
      </c>
      <c r="Q952">
        <v>0.27218105184528668</v>
      </c>
      <c r="R952" t="s">
        <v>64</v>
      </c>
      <c r="S952" t="s">
        <v>65</v>
      </c>
      <c r="V952" t="s">
        <v>70</v>
      </c>
      <c r="AB952" t="s">
        <v>41</v>
      </c>
      <c r="AJ952">
        <v>143.69366310261009</v>
      </c>
      <c r="AK952">
        <v>1101.4820436394541</v>
      </c>
    </row>
    <row r="953" spans="1:37" x14ac:dyDescent="0.25">
      <c r="A953">
        <v>1018</v>
      </c>
      <c r="B953" t="s">
        <v>2813</v>
      </c>
      <c r="C953" t="s">
        <v>376</v>
      </c>
      <c r="D953" t="s">
        <v>2604</v>
      </c>
      <c r="E953" t="s">
        <v>37</v>
      </c>
      <c r="F953" t="s">
        <v>38</v>
      </c>
      <c r="G953" s="2">
        <v>45845</v>
      </c>
      <c r="H953">
        <v>8.9</v>
      </c>
      <c r="I953" t="s">
        <v>72</v>
      </c>
      <c r="J953" t="s">
        <v>40</v>
      </c>
      <c r="K953" t="s">
        <v>41</v>
      </c>
      <c r="L953" t="s">
        <v>2605</v>
      </c>
      <c r="M953" t="s">
        <v>2606</v>
      </c>
      <c r="O953" t="s">
        <v>62</v>
      </c>
      <c r="P953" t="s">
        <v>63</v>
      </c>
      <c r="Q953">
        <v>0.45507322191000499</v>
      </c>
      <c r="R953" t="s">
        <v>64</v>
      </c>
      <c r="S953" t="s">
        <v>65</v>
      </c>
      <c r="T953" t="s">
        <v>2801</v>
      </c>
      <c r="V953" t="s">
        <v>618</v>
      </c>
      <c r="X953" t="s">
        <v>2814</v>
      </c>
      <c r="Y953" t="s">
        <v>412</v>
      </c>
      <c r="Z953" t="s">
        <v>2623</v>
      </c>
      <c r="AA953" t="s">
        <v>70</v>
      </c>
      <c r="AB953" t="s">
        <v>41</v>
      </c>
      <c r="AD953" t="s">
        <v>2757</v>
      </c>
      <c r="AF953" t="s">
        <v>1097</v>
      </c>
      <c r="AJ953">
        <v>195.25562089576681</v>
      </c>
      <c r="AK953">
        <v>1841.6233572348269</v>
      </c>
    </row>
    <row r="954" spans="1:37" hidden="1" x14ac:dyDescent="0.25">
      <c r="A954">
        <v>971</v>
      </c>
      <c r="B954" t="s">
        <v>2770</v>
      </c>
      <c r="C954" t="s">
        <v>376</v>
      </c>
      <c r="D954" t="s">
        <v>2604</v>
      </c>
      <c r="E954" t="s">
        <v>37</v>
      </c>
      <c r="F954" t="s">
        <v>38</v>
      </c>
      <c r="G954" s="2">
        <v>45846</v>
      </c>
      <c r="H954">
        <v>10.7</v>
      </c>
      <c r="I954" t="s">
        <v>72</v>
      </c>
      <c r="J954" t="s">
        <v>40</v>
      </c>
      <c r="K954" t="s">
        <v>41</v>
      </c>
      <c r="L954" t="s">
        <v>2605</v>
      </c>
      <c r="M954" t="s">
        <v>2606</v>
      </c>
      <c r="N954" t="s">
        <v>2712</v>
      </c>
      <c r="O954" t="s">
        <v>2606</v>
      </c>
      <c r="P954" t="s">
        <v>133</v>
      </c>
      <c r="Q954">
        <v>7.2191602792071194E-2</v>
      </c>
      <c r="R954" t="s">
        <v>46</v>
      </c>
      <c r="S954" t="s">
        <v>47</v>
      </c>
      <c r="T954" t="s">
        <v>2768</v>
      </c>
      <c r="V954" t="s">
        <v>618</v>
      </c>
      <c r="X954" t="s">
        <v>2763</v>
      </c>
      <c r="Y954" t="s">
        <v>412</v>
      </c>
      <c r="Z954" t="s">
        <v>2623</v>
      </c>
      <c r="AA954" t="s">
        <v>70</v>
      </c>
      <c r="AB954" t="s">
        <v>41</v>
      </c>
      <c r="AD954" t="s">
        <v>620</v>
      </c>
      <c r="AF954" t="s">
        <v>414</v>
      </c>
      <c r="AJ954">
        <v>80.115488579903911</v>
      </c>
      <c r="AK954">
        <v>292.15022000215453</v>
      </c>
    </row>
    <row r="955" spans="1:37" x14ac:dyDescent="0.25">
      <c r="A955">
        <v>1019</v>
      </c>
      <c r="B955" t="s">
        <v>2831</v>
      </c>
      <c r="C955" t="s">
        <v>376</v>
      </c>
      <c r="D955" t="s">
        <v>2604</v>
      </c>
      <c r="E955" t="s">
        <v>37</v>
      </c>
      <c r="F955" t="s">
        <v>38</v>
      </c>
      <c r="G955" s="2">
        <v>45845</v>
      </c>
      <c r="H955">
        <v>0.8</v>
      </c>
      <c r="I955" t="s">
        <v>72</v>
      </c>
      <c r="J955" t="s">
        <v>40</v>
      </c>
      <c r="K955" t="s">
        <v>41</v>
      </c>
      <c r="L955" t="s">
        <v>2605</v>
      </c>
      <c r="M955" t="s">
        <v>2606</v>
      </c>
      <c r="O955" t="s">
        <v>62</v>
      </c>
      <c r="P955" t="s">
        <v>63</v>
      </c>
      <c r="Q955">
        <v>3.061129347340755E-2</v>
      </c>
      <c r="R955" t="s">
        <v>64</v>
      </c>
      <c r="S955" t="s">
        <v>65</v>
      </c>
      <c r="T955" t="s">
        <v>2756</v>
      </c>
      <c r="V955" t="s">
        <v>618</v>
      </c>
      <c r="X955" t="s">
        <v>2704</v>
      </c>
      <c r="Y955" t="s">
        <v>412</v>
      </c>
      <c r="Z955" t="s">
        <v>2623</v>
      </c>
      <c r="AA955" t="s">
        <v>70</v>
      </c>
      <c r="AB955" t="s">
        <v>41</v>
      </c>
      <c r="AD955" t="s">
        <v>2832</v>
      </c>
      <c r="AF955" t="s">
        <v>2828</v>
      </c>
      <c r="AJ955">
        <v>50.909035828560413</v>
      </c>
      <c r="AK955">
        <v>123.8800051103555</v>
      </c>
    </row>
    <row r="956" spans="1:37" hidden="1" x14ac:dyDescent="0.25">
      <c r="A956">
        <v>973</v>
      </c>
      <c r="B956" t="s">
        <v>3199</v>
      </c>
      <c r="C956" t="s">
        <v>376</v>
      </c>
      <c r="D956" t="s">
        <v>2604</v>
      </c>
      <c r="E956" t="s">
        <v>37</v>
      </c>
      <c r="F956" t="s">
        <v>38</v>
      </c>
      <c r="G956" s="2">
        <v>45845</v>
      </c>
      <c r="H956">
        <v>2.7</v>
      </c>
      <c r="I956" t="s">
        <v>72</v>
      </c>
      <c r="J956" t="s">
        <v>40</v>
      </c>
      <c r="K956" t="s">
        <v>41</v>
      </c>
      <c r="L956" t="s">
        <v>2605</v>
      </c>
      <c r="M956" t="s">
        <v>2606</v>
      </c>
      <c r="N956" t="s">
        <v>2702</v>
      </c>
      <c r="O956" t="s">
        <v>1045</v>
      </c>
      <c r="P956" t="s">
        <v>133</v>
      </c>
      <c r="Q956">
        <v>0.2004875249088853</v>
      </c>
      <c r="R956" t="s">
        <v>60</v>
      </c>
      <c r="S956" t="s">
        <v>66</v>
      </c>
      <c r="T956" t="s">
        <v>3135</v>
      </c>
      <c r="V956" t="s">
        <v>70</v>
      </c>
      <c r="X956" t="s">
        <v>2880</v>
      </c>
      <c r="Y956" t="s">
        <v>412</v>
      </c>
      <c r="Z956" t="s">
        <v>2623</v>
      </c>
      <c r="AA956" t="s">
        <v>942</v>
      </c>
      <c r="AB956" t="s">
        <v>41</v>
      </c>
      <c r="AD956" t="s">
        <v>620</v>
      </c>
      <c r="AF956" t="s">
        <v>2667</v>
      </c>
      <c r="AJ956">
        <v>142.685049138995</v>
      </c>
      <c r="AK956">
        <v>811.34747317524966</v>
      </c>
    </row>
    <row r="957" spans="1:37" hidden="1" x14ac:dyDescent="0.25">
      <c r="A957">
        <v>974</v>
      </c>
      <c r="B957" t="s">
        <v>3199</v>
      </c>
      <c r="C957" t="s">
        <v>376</v>
      </c>
      <c r="D957" t="s">
        <v>2604</v>
      </c>
      <c r="E957" t="s">
        <v>37</v>
      </c>
      <c r="F957" t="s">
        <v>38</v>
      </c>
      <c r="G957" s="2">
        <v>45845</v>
      </c>
      <c r="H957">
        <v>2.7</v>
      </c>
      <c r="I957" t="s">
        <v>72</v>
      </c>
      <c r="J957" t="s">
        <v>40</v>
      </c>
      <c r="K957" t="s">
        <v>41</v>
      </c>
      <c r="L957" t="s">
        <v>2605</v>
      </c>
      <c r="M957" t="s">
        <v>2606</v>
      </c>
      <c r="N957" t="s">
        <v>2702</v>
      </c>
      <c r="O957" t="s">
        <v>1045</v>
      </c>
      <c r="P957" t="s">
        <v>133</v>
      </c>
      <c r="Q957">
        <v>0.55855974282215204</v>
      </c>
      <c r="R957" t="s">
        <v>60</v>
      </c>
      <c r="S957" t="s">
        <v>66</v>
      </c>
      <c r="T957" t="s">
        <v>3135</v>
      </c>
      <c r="V957" t="s">
        <v>70</v>
      </c>
      <c r="X957" t="s">
        <v>2880</v>
      </c>
      <c r="Y957" t="s">
        <v>412</v>
      </c>
      <c r="Z957" t="s">
        <v>2623</v>
      </c>
      <c r="AA957" t="s">
        <v>942</v>
      </c>
      <c r="AB957" t="s">
        <v>41</v>
      </c>
      <c r="AD957" t="s">
        <v>620</v>
      </c>
      <c r="AF957" t="s">
        <v>2667</v>
      </c>
      <c r="AJ957">
        <v>299.15384605339818</v>
      </c>
      <c r="AK957">
        <v>2260.4201242053732</v>
      </c>
    </row>
    <row r="958" spans="1:37" hidden="1" x14ac:dyDescent="0.25">
      <c r="A958">
        <v>975</v>
      </c>
      <c r="C958" t="s">
        <v>376</v>
      </c>
      <c r="D958" t="s">
        <v>2604</v>
      </c>
      <c r="E958" t="s">
        <v>37</v>
      </c>
      <c r="F958" t="s">
        <v>38</v>
      </c>
      <c r="G958" s="2">
        <v>45845</v>
      </c>
      <c r="I958" t="s">
        <v>72</v>
      </c>
      <c r="J958" t="s">
        <v>40</v>
      </c>
      <c r="K958" t="s">
        <v>41</v>
      </c>
      <c r="L958" t="s">
        <v>2605</v>
      </c>
      <c r="M958" t="s">
        <v>2606</v>
      </c>
      <c r="O958" t="s">
        <v>408</v>
      </c>
      <c r="P958" t="s">
        <v>409</v>
      </c>
      <c r="Q958">
        <v>0.24867847897390261</v>
      </c>
      <c r="R958" t="s">
        <v>60</v>
      </c>
      <c r="S958" t="s">
        <v>66</v>
      </c>
      <c r="V958" t="s">
        <v>70</v>
      </c>
      <c r="AB958" t="s">
        <v>41</v>
      </c>
      <c r="AJ958">
        <v>184.08428941308659</v>
      </c>
      <c r="AK958">
        <v>1006.370125224676</v>
      </c>
    </row>
    <row r="959" spans="1:37" hidden="1" x14ac:dyDescent="0.25">
      <c r="A959">
        <v>976</v>
      </c>
      <c r="C959" t="s">
        <v>376</v>
      </c>
      <c r="D959" t="s">
        <v>2604</v>
      </c>
      <c r="E959" t="s">
        <v>37</v>
      </c>
      <c r="F959" t="s">
        <v>38</v>
      </c>
      <c r="G959" s="2">
        <v>45845</v>
      </c>
      <c r="I959" t="s">
        <v>72</v>
      </c>
      <c r="J959" t="s">
        <v>40</v>
      </c>
      <c r="K959" t="s">
        <v>41</v>
      </c>
      <c r="L959" t="s">
        <v>2605</v>
      </c>
      <c r="M959" t="s">
        <v>2606</v>
      </c>
      <c r="O959" t="s">
        <v>96</v>
      </c>
      <c r="P959" t="s">
        <v>97</v>
      </c>
      <c r="Q959">
        <v>0.36514662801664222</v>
      </c>
      <c r="R959" t="s">
        <v>60</v>
      </c>
      <c r="S959" t="s">
        <v>66</v>
      </c>
      <c r="V959" t="s">
        <v>70</v>
      </c>
      <c r="AB959" t="s">
        <v>41</v>
      </c>
      <c r="AJ959">
        <v>270.85481680024571</v>
      </c>
      <c r="AK959">
        <v>1477.7018875084909</v>
      </c>
    </row>
    <row r="960" spans="1:37" x14ac:dyDescent="0.25">
      <c r="A960">
        <v>1020</v>
      </c>
      <c r="B960" t="s">
        <v>2813</v>
      </c>
      <c r="C960" t="s">
        <v>376</v>
      </c>
      <c r="D960" t="s">
        <v>2604</v>
      </c>
      <c r="E960" t="s">
        <v>37</v>
      </c>
      <c r="F960" t="s">
        <v>38</v>
      </c>
      <c r="G960" s="2">
        <v>45845</v>
      </c>
      <c r="H960">
        <v>8.9</v>
      </c>
      <c r="I960" t="s">
        <v>72</v>
      </c>
      <c r="J960" t="s">
        <v>40</v>
      </c>
      <c r="K960" t="s">
        <v>41</v>
      </c>
      <c r="L960" t="s">
        <v>2605</v>
      </c>
      <c r="M960" t="s">
        <v>2606</v>
      </c>
      <c r="O960" t="s">
        <v>62</v>
      </c>
      <c r="P960" t="s">
        <v>63</v>
      </c>
      <c r="Q960">
        <v>0.2173486453015756</v>
      </c>
      <c r="R960" t="s">
        <v>64</v>
      </c>
      <c r="S960" t="s">
        <v>65</v>
      </c>
      <c r="T960" t="s">
        <v>2801</v>
      </c>
      <c r="V960" t="s">
        <v>618</v>
      </c>
      <c r="X960" t="s">
        <v>2814</v>
      </c>
      <c r="Y960" t="s">
        <v>412</v>
      </c>
      <c r="Z960" t="s">
        <v>2623</v>
      </c>
      <c r="AA960" t="s">
        <v>70</v>
      </c>
      <c r="AB960" t="s">
        <v>41</v>
      </c>
      <c r="AD960" t="s">
        <v>2757</v>
      </c>
      <c r="AF960" t="s">
        <v>1097</v>
      </c>
      <c r="AJ960">
        <v>153.39319108454839</v>
      </c>
      <c r="AK960">
        <v>879.58227946422028</v>
      </c>
    </row>
    <row r="961" spans="1:37" hidden="1" x14ac:dyDescent="0.25">
      <c r="A961">
        <v>978</v>
      </c>
      <c r="B961" t="s">
        <v>3956</v>
      </c>
      <c r="C961" t="s">
        <v>376</v>
      </c>
      <c r="D961" t="s">
        <v>2604</v>
      </c>
      <c r="E961" t="s">
        <v>37</v>
      </c>
      <c r="F961" t="s">
        <v>38</v>
      </c>
      <c r="G961" s="2">
        <v>45845</v>
      </c>
      <c r="H961">
        <v>11.9</v>
      </c>
      <c r="I961" t="s">
        <v>72</v>
      </c>
      <c r="J961" t="s">
        <v>40</v>
      </c>
      <c r="K961" t="s">
        <v>41</v>
      </c>
      <c r="L961" t="s">
        <v>2605</v>
      </c>
      <c r="M961" t="s">
        <v>2606</v>
      </c>
      <c r="N961" t="s">
        <v>2702</v>
      </c>
      <c r="O961" t="s">
        <v>79</v>
      </c>
      <c r="P961" t="s">
        <v>80</v>
      </c>
      <c r="Q961">
        <v>10.82138143456258</v>
      </c>
      <c r="R961" t="s">
        <v>46</v>
      </c>
      <c r="S961" t="s">
        <v>47</v>
      </c>
      <c r="T961" t="s">
        <v>2883</v>
      </c>
      <c r="V961" t="s">
        <v>70</v>
      </c>
      <c r="X961" t="s">
        <v>2880</v>
      </c>
      <c r="Y961" t="s">
        <v>412</v>
      </c>
      <c r="Z961" t="s">
        <v>2623</v>
      </c>
      <c r="AA961" t="s">
        <v>397</v>
      </c>
      <c r="AB961" t="s">
        <v>41</v>
      </c>
      <c r="AD961" t="s">
        <v>620</v>
      </c>
      <c r="AF961" t="s">
        <v>3045</v>
      </c>
      <c r="AJ961">
        <v>861.41453429800185</v>
      </c>
      <c r="AK961">
        <v>43792.752128533059</v>
      </c>
    </row>
    <row r="962" spans="1:37" x14ac:dyDescent="0.25">
      <c r="A962">
        <v>1034</v>
      </c>
      <c r="B962" t="s">
        <v>2705</v>
      </c>
      <c r="C962" t="s">
        <v>376</v>
      </c>
      <c r="D962" t="s">
        <v>2604</v>
      </c>
      <c r="E962" t="s">
        <v>37</v>
      </c>
      <c r="F962" t="s">
        <v>38</v>
      </c>
      <c r="G962" s="2">
        <v>45869</v>
      </c>
      <c r="H962">
        <v>7</v>
      </c>
      <c r="I962" t="s">
        <v>72</v>
      </c>
      <c r="J962" t="s">
        <v>40</v>
      </c>
      <c r="K962" t="s">
        <v>41</v>
      </c>
      <c r="L962" t="s">
        <v>2605</v>
      </c>
      <c r="M962" t="s">
        <v>2606</v>
      </c>
      <c r="O962" t="s">
        <v>62</v>
      </c>
      <c r="P962" t="s">
        <v>63</v>
      </c>
      <c r="Q962">
        <v>0.68217782764533141</v>
      </c>
      <c r="R962" t="s">
        <v>64</v>
      </c>
      <c r="S962" t="s">
        <v>65</v>
      </c>
      <c r="T962" t="s">
        <v>2706</v>
      </c>
      <c r="V962" t="s">
        <v>397</v>
      </c>
      <c r="X962" t="s">
        <v>2707</v>
      </c>
      <c r="Y962" t="s">
        <v>412</v>
      </c>
      <c r="Z962" t="s">
        <v>765</v>
      </c>
      <c r="AA962" t="s">
        <v>73</v>
      </c>
      <c r="AB962" t="s">
        <v>41</v>
      </c>
      <c r="AJ962">
        <v>219.59675528080371</v>
      </c>
      <c r="AK962">
        <v>2760.6867657614098</v>
      </c>
    </row>
    <row r="963" spans="1:37" hidden="1" x14ac:dyDescent="0.25">
      <c r="A963">
        <v>981</v>
      </c>
      <c r="B963" t="s">
        <v>2813</v>
      </c>
      <c r="C963" t="s">
        <v>376</v>
      </c>
      <c r="D963" t="s">
        <v>2604</v>
      </c>
      <c r="E963" t="s">
        <v>37</v>
      </c>
      <c r="F963" t="s">
        <v>38</v>
      </c>
      <c r="G963" s="2">
        <v>45845</v>
      </c>
      <c r="H963">
        <v>8.9</v>
      </c>
      <c r="I963" t="s">
        <v>72</v>
      </c>
      <c r="J963" t="s">
        <v>40</v>
      </c>
      <c r="K963" t="s">
        <v>41</v>
      </c>
      <c r="L963" t="s">
        <v>2605</v>
      </c>
      <c r="M963" t="s">
        <v>2606</v>
      </c>
      <c r="O963" t="s">
        <v>1045</v>
      </c>
      <c r="P963" t="s">
        <v>133</v>
      </c>
      <c r="Q963">
        <v>0.57826864055059413</v>
      </c>
      <c r="R963" t="s">
        <v>46</v>
      </c>
      <c r="S963" t="s">
        <v>47</v>
      </c>
      <c r="T963" t="s">
        <v>2801</v>
      </c>
      <c r="V963" t="s">
        <v>618</v>
      </c>
      <c r="X963" t="s">
        <v>2814</v>
      </c>
      <c r="Y963" t="s">
        <v>412</v>
      </c>
      <c r="Z963" t="s">
        <v>2623</v>
      </c>
      <c r="AA963" t="s">
        <v>70</v>
      </c>
      <c r="AB963" t="s">
        <v>41</v>
      </c>
      <c r="AD963" t="s">
        <v>2757</v>
      </c>
      <c r="AF963" t="s">
        <v>1097</v>
      </c>
      <c r="AJ963">
        <v>203.92222213152999</v>
      </c>
      <c r="AK963">
        <v>2340.1795225934179</v>
      </c>
    </row>
    <row r="964" spans="1:37" hidden="1" x14ac:dyDescent="0.25">
      <c r="A964">
        <v>982</v>
      </c>
      <c r="B964" t="s">
        <v>2796</v>
      </c>
      <c r="C964" t="s">
        <v>376</v>
      </c>
      <c r="D964" t="s">
        <v>2604</v>
      </c>
      <c r="E964" t="s">
        <v>37</v>
      </c>
      <c r="F964" t="s">
        <v>38</v>
      </c>
      <c r="G964" s="2">
        <v>45845</v>
      </c>
      <c r="H964">
        <v>7.9</v>
      </c>
      <c r="I964" t="s">
        <v>72</v>
      </c>
      <c r="J964" t="s">
        <v>40</v>
      </c>
      <c r="K964" t="s">
        <v>41</v>
      </c>
      <c r="L964" t="s">
        <v>2605</v>
      </c>
      <c r="M964" t="s">
        <v>2606</v>
      </c>
      <c r="O964" t="s">
        <v>99</v>
      </c>
      <c r="P964" t="s">
        <v>100</v>
      </c>
      <c r="Q964">
        <v>9.6253483633282941E-2</v>
      </c>
      <c r="R964" t="s">
        <v>46</v>
      </c>
      <c r="S964" t="s">
        <v>47</v>
      </c>
      <c r="T964" t="s">
        <v>57</v>
      </c>
      <c r="V964" t="s">
        <v>618</v>
      </c>
      <c r="X964" t="s">
        <v>2704</v>
      </c>
      <c r="Y964" t="s">
        <v>412</v>
      </c>
      <c r="Z964" t="s">
        <v>2623</v>
      </c>
      <c r="AA964" t="s">
        <v>70</v>
      </c>
      <c r="AB964" t="s">
        <v>41</v>
      </c>
      <c r="AF964" t="s">
        <v>1097</v>
      </c>
      <c r="AJ964">
        <v>89.571030859654456</v>
      </c>
      <c r="AK964">
        <v>389.52558652051232</v>
      </c>
    </row>
    <row r="965" spans="1:37" hidden="1" x14ac:dyDescent="0.25">
      <c r="A965">
        <v>983</v>
      </c>
      <c r="B965" t="s">
        <v>2796</v>
      </c>
      <c r="C965" t="s">
        <v>376</v>
      </c>
      <c r="D965" t="s">
        <v>2604</v>
      </c>
      <c r="E965" t="s">
        <v>37</v>
      </c>
      <c r="F965" t="s">
        <v>38</v>
      </c>
      <c r="G965" s="2">
        <v>45845</v>
      </c>
      <c r="H965">
        <v>7.9</v>
      </c>
      <c r="I965" t="s">
        <v>72</v>
      </c>
      <c r="J965" t="s">
        <v>40</v>
      </c>
      <c r="K965" t="s">
        <v>41</v>
      </c>
      <c r="L965" t="s">
        <v>2605</v>
      </c>
      <c r="M965" t="s">
        <v>2606</v>
      </c>
      <c r="O965" t="s">
        <v>99</v>
      </c>
      <c r="P965" t="s">
        <v>100</v>
      </c>
      <c r="Q965">
        <v>1.0084720078692411</v>
      </c>
      <c r="R965" t="s">
        <v>46</v>
      </c>
      <c r="S965" t="s">
        <v>47</v>
      </c>
      <c r="T965" t="s">
        <v>57</v>
      </c>
      <c r="V965" t="s">
        <v>618</v>
      </c>
      <c r="X965" t="s">
        <v>2704</v>
      </c>
      <c r="Y965" t="s">
        <v>412</v>
      </c>
      <c r="Z965" t="s">
        <v>2623</v>
      </c>
      <c r="AA965" t="s">
        <v>70</v>
      </c>
      <c r="AB965" t="s">
        <v>41</v>
      </c>
      <c r="AF965" t="s">
        <v>1097</v>
      </c>
      <c r="AJ965">
        <v>260.95729327896441</v>
      </c>
      <c r="AK965">
        <v>4081.1577464709212</v>
      </c>
    </row>
    <row r="966" spans="1:37" x14ac:dyDescent="0.25">
      <c r="A966">
        <v>1037</v>
      </c>
      <c r="C966" t="s">
        <v>376</v>
      </c>
      <c r="D966" t="s">
        <v>2604</v>
      </c>
      <c r="E966" t="s">
        <v>37</v>
      </c>
      <c r="F966" t="s">
        <v>38</v>
      </c>
      <c r="G966" s="2">
        <v>45847</v>
      </c>
      <c r="H966">
        <v>0.25</v>
      </c>
      <c r="I966" t="s">
        <v>72</v>
      </c>
      <c r="J966" t="s">
        <v>40</v>
      </c>
      <c r="K966" t="s">
        <v>41</v>
      </c>
      <c r="L966" t="s">
        <v>2605</v>
      </c>
      <c r="M966" t="s">
        <v>2606</v>
      </c>
      <c r="O966" t="s">
        <v>62</v>
      </c>
      <c r="P966" t="s">
        <v>63</v>
      </c>
      <c r="Q966">
        <v>6.2831183816160721E-2</v>
      </c>
      <c r="R966" t="s">
        <v>64</v>
      </c>
      <c r="S966" t="s">
        <v>65</v>
      </c>
      <c r="V966" t="s">
        <v>182</v>
      </c>
      <c r="X966" t="s">
        <v>3927</v>
      </c>
      <c r="Y966" t="s">
        <v>420</v>
      </c>
      <c r="Z966" t="s">
        <v>765</v>
      </c>
      <c r="AA966" t="s">
        <v>121</v>
      </c>
      <c r="AD966" t="s">
        <v>3928</v>
      </c>
      <c r="AG966" t="s">
        <v>3929</v>
      </c>
      <c r="AJ966">
        <v>63.148481067693353</v>
      </c>
      <c r="AK966">
        <v>254.26979683159519</v>
      </c>
    </row>
    <row r="967" spans="1:37" x14ac:dyDescent="0.25">
      <c r="A967">
        <v>1044</v>
      </c>
      <c r="B967" t="s">
        <v>3961</v>
      </c>
      <c r="C967" t="s">
        <v>376</v>
      </c>
      <c r="D967" t="s">
        <v>2604</v>
      </c>
      <c r="E967" t="s">
        <v>37</v>
      </c>
      <c r="F967" t="s">
        <v>38</v>
      </c>
      <c r="G967" s="2">
        <v>45847</v>
      </c>
      <c r="H967">
        <v>3.1</v>
      </c>
      <c r="I967" t="s">
        <v>72</v>
      </c>
      <c r="J967" t="s">
        <v>40</v>
      </c>
      <c r="K967" t="s">
        <v>41</v>
      </c>
      <c r="L967" t="s">
        <v>2605</v>
      </c>
      <c r="M967" t="s">
        <v>2606</v>
      </c>
      <c r="O967" t="s">
        <v>62</v>
      </c>
      <c r="P967" t="s">
        <v>63</v>
      </c>
      <c r="Q967">
        <v>0.39678284090997168</v>
      </c>
      <c r="R967" t="s">
        <v>64</v>
      </c>
      <c r="S967" t="s">
        <v>65</v>
      </c>
      <c r="T967" t="s">
        <v>3963</v>
      </c>
      <c r="V967" t="s">
        <v>397</v>
      </c>
      <c r="X967" t="s">
        <v>2680</v>
      </c>
      <c r="Y967" t="s">
        <v>412</v>
      </c>
      <c r="Z967" t="s">
        <v>765</v>
      </c>
      <c r="AA967" t="s">
        <v>64</v>
      </c>
      <c r="AB967" t="s">
        <v>41</v>
      </c>
      <c r="AD967" t="s">
        <v>898</v>
      </c>
      <c r="AF967" t="s">
        <v>2684</v>
      </c>
      <c r="AJ967">
        <v>281.47160635862548</v>
      </c>
      <c r="AK967">
        <v>1605.729610946657</v>
      </c>
    </row>
    <row r="968" spans="1:37" x14ac:dyDescent="0.25">
      <c r="A968">
        <v>1047</v>
      </c>
      <c r="B968" t="s">
        <v>2604</v>
      </c>
      <c r="C968" t="s">
        <v>376</v>
      </c>
      <c r="D968" t="s">
        <v>2604</v>
      </c>
      <c r="E968" t="s">
        <v>37</v>
      </c>
      <c r="F968" t="s">
        <v>38</v>
      </c>
      <c r="G968" s="2">
        <v>45826</v>
      </c>
      <c r="H968">
        <v>10.4</v>
      </c>
      <c r="I968" t="s">
        <v>72</v>
      </c>
      <c r="J968" t="s">
        <v>40</v>
      </c>
      <c r="K968" t="s">
        <v>41</v>
      </c>
      <c r="L968" t="s">
        <v>2605</v>
      </c>
      <c r="M968" t="s">
        <v>2606</v>
      </c>
      <c r="O968" t="s">
        <v>62</v>
      </c>
      <c r="P968" t="s">
        <v>63</v>
      </c>
      <c r="Q968">
        <v>2.530117558263667</v>
      </c>
      <c r="R968" t="s">
        <v>64</v>
      </c>
      <c r="S968" t="s">
        <v>65</v>
      </c>
      <c r="T968" t="s">
        <v>3816</v>
      </c>
      <c r="V968" t="s">
        <v>942</v>
      </c>
      <c r="X968" t="s">
        <v>3659</v>
      </c>
      <c r="Y968" t="s">
        <v>698</v>
      </c>
      <c r="Z968" t="s">
        <v>2630</v>
      </c>
      <c r="AA968" t="s">
        <v>681</v>
      </c>
      <c r="AB968" t="s">
        <v>41</v>
      </c>
      <c r="AD968" t="s">
        <v>260</v>
      </c>
      <c r="AF968" t="s">
        <v>3660</v>
      </c>
      <c r="AJ968">
        <v>630.50447884749667</v>
      </c>
      <c r="AK968">
        <v>10239.063446299149</v>
      </c>
    </row>
    <row r="969" spans="1:37" hidden="1" x14ac:dyDescent="0.25">
      <c r="A969">
        <v>987</v>
      </c>
      <c r="B969" t="s">
        <v>3249</v>
      </c>
      <c r="C969" t="s">
        <v>376</v>
      </c>
      <c r="D969" t="s">
        <v>2604</v>
      </c>
      <c r="E969" t="s">
        <v>37</v>
      </c>
      <c r="F969" t="s">
        <v>38</v>
      </c>
      <c r="G969" s="2">
        <v>45846</v>
      </c>
      <c r="H969">
        <v>0.3</v>
      </c>
      <c r="I969" t="s">
        <v>72</v>
      </c>
      <c r="J969" t="s">
        <v>40</v>
      </c>
      <c r="K969" t="s">
        <v>41</v>
      </c>
      <c r="L969" t="s">
        <v>2605</v>
      </c>
      <c r="M969" t="s">
        <v>2606</v>
      </c>
      <c r="O969" t="s">
        <v>1045</v>
      </c>
      <c r="P969" t="s">
        <v>133</v>
      </c>
      <c r="Q969">
        <v>0.12551354339852949</v>
      </c>
      <c r="R969" t="s">
        <v>60</v>
      </c>
      <c r="S969" t="s">
        <v>66</v>
      </c>
      <c r="T969" t="s">
        <v>3241</v>
      </c>
      <c r="V969" t="s">
        <v>860</v>
      </c>
      <c r="X969" t="s">
        <v>3242</v>
      </c>
      <c r="Y969" t="s">
        <v>412</v>
      </c>
      <c r="Z969" t="s">
        <v>2623</v>
      </c>
      <c r="AA969" t="s">
        <v>942</v>
      </c>
      <c r="AB969" t="s">
        <v>41</v>
      </c>
      <c r="AD969" t="s">
        <v>1382</v>
      </c>
      <c r="AF969" t="s">
        <v>3243</v>
      </c>
      <c r="AJ969">
        <v>113.31671109790069</v>
      </c>
      <c r="AK969">
        <v>507.93732094777221</v>
      </c>
    </row>
    <row r="970" spans="1:37" hidden="1" x14ac:dyDescent="0.25">
      <c r="A970">
        <v>988</v>
      </c>
      <c r="B970" t="s">
        <v>3283</v>
      </c>
      <c r="C970" t="s">
        <v>376</v>
      </c>
      <c r="D970" t="s">
        <v>2604</v>
      </c>
      <c r="E970" t="s">
        <v>37</v>
      </c>
      <c r="F970" t="s">
        <v>38</v>
      </c>
      <c r="G970" s="2">
        <v>45825</v>
      </c>
      <c r="H970">
        <v>3.4</v>
      </c>
      <c r="I970" t="s">
        <v>72</v>
      </c>
      <c r="J970" t="s">
        <v>40</v>
      </c>
      <c r="K970" t="s">
        <v>41</v>
      </c>
      <c r="L970" t="s">
        <v>2605</v>
      </c>
      <c r="M970" t="s">
        <v>2606</v>
      </c>
      <c r="N970" t="s">
        <v>3027</v>
      </c>
      <c r="O970" t="s">
        <v>87</v>
      </c>
      <c r="P970" t="s">
        <v>88</v>
      </c>
      <c r="Q970">
        <v>1.073237539182534</v>
      </c>
      <c r="R970" t="s">
        <v>46</v>
      </c>
      <c r="S970" t="s">
        <v>47</v>
      </c>
      <c r="T970" t="s">
        <v>3097</v>
      </c>
      <c r="V970" t="s">
        <v>110</v>
      </c>
      <c r="X970" t="s">
        <v>3257</v>
      </c>
      <c r="Y970" t="s">
        <v>412</v>
      </c>
      <c r="Z970" t="s">
        <v>2630</v>
      </c>
      <c r="AA970" t="s">
        <v>576</v>
      </c>
      <c r="AB970" t="s">
        <v>41</v>
      </c>
      <c r="AC970" t="s">
        <v>3284</v>
      </c>
      <c r="AD970" t="s">
        <v>620</v>
      </c>
      <c r="AF970" t="s">
        <v>3285</v>
      </c>
      <c r="AJ970">
        <v>296.47528353102399</v>
      </c>
      <c r="AK970">
        <v>4343.2556012066407</v>
      </c>
    </row>
    <row r="971" spans="1:37" hidden="1" x14ac:dyDescent="0.25">
      <c r="A971">
        <v>989</v>
      </c>
      <c r="B971" t="s">
        <v>3283</v>
      </c>
      <c r="C971" t="s">
        <v>376</v>
      </c>
      <c r="D971" t="s">
        <v>2604</v>
      </c>
      <c r="E971" t="s">
        <v>37</v>
      </c>
      <c r="F971" t="s">
        <v>38</v>
      </c>
      <c r="G971" s="2">
        <v>45825</v>
      </c>
      <c r="H971">
        <v>3.4</v>
      </c>
      <c r="I971" t="s">
        <v>72</v>
      </c>
      <c r="J971" t="s">
        <v>40</v>
      </c>
      <c r="K971" t="s">
        <v>41</v>
      </c>
      <c r="L971" t="s">
        <v>2605</v>
      </c>
      <c r="M971" t="s">
        <v>2606</v>
      </c>
      <c r="N971" t="s">
        <v>3027</v>
      </c>
      <c r="O971" t="s">
        <v>87</v>
      </c>
      <c r="P971" t="s">
        <v>88</v>
      </c>
      <c r="Q971">
        <v>0.71531113571946714</v>
      </c>
      <c r="R971" t="s">
        <v>46</v>
      </c>
      <c r="S971" t="s">
        <v>47</v>
      </c>
      <c r="T971" t="s">
        <v>3097</v>
      </c>
      <c r="V971" t="s">
        <v>110</v>
      </c>
      <c r="X971" t="s">
        <v>3257</v>
      </c>
      <c r="Y971" t="s">
        <v>412</v>
      </c>
      <c r="Z971" t="s">
        <v>2630</v>
      </c>
      <c r="AA971" t="s">
        <v>576</v>
      </c>
      <c r="AB971" t="s">
        <v>41</v>
      </c>
      <c r="AC971" t="s">
        <v>3284</v>
      </c>
      <c r="AD971" t="s">
        <v>620</v>
      </c>
      <c r="AF971" t="s">
        <v>3285</v>
      </c>
      <c r="AJ971">
        <v>225.20696778658129</v>
      </c>
      <c r="AK971">
        <v>2894.7730426811549</v>
      </c>
    </row>
    <row r="972" spans="1:37" hidden="1" x14ac:dyDescent="0.25">
      <c r="A972">
        <v>990</v>
      </c>
      <c r="B972" t="s">
        <v>3283</v>
      </c>
      <c r="C972" t="s">
        <v>376</v>
      </c>
      <c r="D972" t="s">
        <v>2604</v>
      </c>
      <c r="E972" t="s">
        <v>37</v>
      </c>
      <c r="F972" t="s">
        <v>38</v>
      </c>
      <c r="G972" s="2">
        <v>45825</v>
      </c>
      <c r="H972">
        <v>3.4</v>
      </c>
      <c r="I972" t="s">
        <v>72</v>
      </c>
      <c r="J972" t="s">
        <v>40</v>
      </c>
      <c r="K972" t="s">
        <v>41</v>
      </c>
      <c r="L972" t="s">
        <v>2605</v>
      </c>
      <c r="M972" t="s">
        <v>2606</v>
      </c>
      <c r="N972" t="s">
        <v>3027</v>
      </c>
      <c r="O972" t="s">
        <v>906</v>
      </c>
      <c r="P972" t="s">
        <v>671</v>
      </c>
      <c r="Q972">
        <v>4.3952067404286387E-2</v>
      </c>
      <c r="S972" t="s">
        <v>38</v>
      </c>
      <c r="T972" t="s">
        <v>3097</v>
      </c>
      <c r="V972" t="s">
        <v>110</v>
      </c>
      <c r="X972" t="s">
        <v>3257</v>
      </c>
      <c r="Y972" t="s">
        <v>412</v>
      </c>
      <c r="Z972" t="s">
        <v>2630</v>
      </c>
      <c r="AA972" t="s">
        <v>576</v>
      </c>
      <c r="AB972" t="s">
        <v>41</v>
      </c>
      <c r="AC972" t="s">
        <v>3284</v>
      </c>
      <c r="AD972" t="s">
        <v>620</v>
      </c>
      <c r="AF972" t="s">
        <v>3285</v>
      </c>
      <c r="AJ972">
        <v>56.249006174685817</v>
      </c>
      <c r="AK972">
        <v>177.86841772575349</v>
      </c>
    </row>
    <row r="973" spans="1:37" hidden="1" x14ac:dyDescent="0.25">
      <c r="A973">
        <v>991</v>
      </c>
      <c r="B973" t="s">
        <v>3368</v>
      </c>
      <c r="C973" t="s">
        <v>376</v>
      </c>
      <c r="D973" t="s">
        <v>2604</v>
      </c>
      <c r="E973" t="s">
        <v>37</v>
      </c>
      <c r="F973" t="s">
        <v>38</v>
      </c>
      <c r="G973" s="2">
        <v>45825</v>
      </c>
      <c r="H973">
        <v>9.6999999999999993</v>
      </c>
      <c r="I973" t="s">
        <v>72</v>
      </c>
      <c r="J973" t="s">
        <v>40</v>
      </c>
      <c r="K973" t="s">
        <v>41</v>
      </c>
      <c r="L973" t="s">
        <v>2605</v>
      </c>
      <c r="M973" t="s">
        <v>2606</v>
      </c>
      <c r="O973" t="s">
        <v>402</v>
      </c>
      <c r="P973" t="s">
        <v>403</v>
      </c>
      <c r="Q973">
        <v>2.4686584164715271</v>
      </c>
      <c r="S973" t="s">
        <v>38</v>
      </c>
      <c r="T973" t="s">
        <v>3369</v>
      </c>
      <c r="V973" t="s">
        <v>860</v>
      </c>
      <c r="X973" t="s">
        <v>3370</v>
      </c>
      <c r="Y973" t="s">
        <v>412</v>
      </c>
      <c r="Z973" t="s">
        <v>2623</v>
      </c>
      <c r="AA973" t="s">
        <v>2116</v>
      </c>
      <c r="AB973" t="s">
        <v>41</v>
      </c>
      <c r="AD973" t="s">
        <v>3371</v>
      </c>
      <c r="AF973" t="s">
        <v>2298</v>
      </c>
      <c r="AJ973">
        <v>567.94058343471977</v>
      </c>
      <c r="AK973">
        <v>9990.346128754165</v>
      </c>
    </row>
    <row r="974" spans="1:37" x14ac:dyDescent="0.25">
      <c r="A974">
        <v>1049</v>
      </c>
      <c r="B974" t="s">
        <v>3139</v>
      </c>
      <c r="C974" t="s">
        <v>376</v>
      </c>
      <c r="D974" t="s">
        <v>2604</v>
      </c>
      <c r="E974" t="s">
        <v>37</v>
      </c>
      <c r="F974" t="s">
        <v>38</v>
      </c>
      <c r="G974" s="2">
        <v>45845</v>
      </c>
      <c r="H974">
        <v>1.5</v>
      </c>
      <c r="I974" t="s">
        <v>72</v>
      </c>
      <c r="J974" t="s">
        <v>40</v>
      </c>
      <c r="K974" t="s">
        <v>41</v>
      </c>
      <c r="L974" t="s">
        <v>2605</v>
      </c>
      <c r="M974" t="s">
        <v>2606</v>
      </c>
      <c r="N974" t="s">
        <v>2702</v>
      </c>
      <c r="O974" t="s">
        <v>62</v>
      </c>
      <c r="P974" t="s">
        <v>63</v>
      </c>
      <c r="Q974">
        <v>0.21866882779421981</v>
      </c>
      <c r="R974" t="s">
        <v>64</v>
      </c>
      <c r="S974" t="s">
        <v>65</v>
      </c>
      <c r="T974" t="s">
        <v>3135</v>
      </c>
      <c r="V974" t="s">
        <v>70</v>
      </c>
      <c r="X974" t="s">
        <v>2880</v>
      </c>
      <c r="Y974" t="s">
        <v>412</v>
      </c>
      <c r="Z974" t="s">
        <v>2623</v>
      </c>
      <c r="AA974" t="s">
        <v>452</v>
      </c>
      <c r="AB974" t="s">
        <v>41</v>
      </c>
      <c r="AD974" t="s">
        <v>620</v>
      </c>
      <c r="AF974" t="s">
        <v>3119</v>
      </c>
      <c r="AJ974">
        <v>158.99844675312241</v>
      </c>
      <c r="AK974">
        <v>884.92488983373744</v>
      </c>
    </row>
    <row r="975" spans="1:37" x14ac:dyDescent="0.25">
      <c r="A975">
        <v>1051</v>
      </c>
      <c r="C975" t="s">
        <v>376</v>
      </c>
      <c r="D975" t="s">
        <v>2604</v>
      </c>
      <c r="E975" t="s">
        <v>37</v>
      </c>
      <c r="F975" t="s">
        <v>38</v>
      </c>
      <c r="G975" s="2">
        <v>45845</v>
      </c>
      <c r="I975" t="s">
        <v>72</v>
      </c>
      <c r="J975" t="s">
        <v>40</v>
      </c>
      <c r="K975" t="s">
        <v>41</v>
      </c>
      <c r="L975" t="s">
        <v>2605</v>
      </c>
      <c r="M975" t="s">
        <v>2606</v>
      </c>
      <c r="O975" t="s">
        <v>62</v>
      </c>
      <c r="P975" t="s">
        <v>63</v>
      </c>
      <c r="Q975">
        <v>1.111747437456079</v>
      </c>
      <c r="R975" t="s">
        <v>64</v>
      </c>
      <c r="S975" t="s">
        <v>65</v>
      </c>
      <c r="T975" t="s">
        <v>3964</v>
      </c>
      <c r="V975" t="s">
        <v>70</v>
      </c>
      <c r="AB975" t="s">
        <v>41</v>
      </c>
      <c r="AJ975">
        <v>296.15300586404572</v>
      </c>
      <c r="AK975">
        <v>4499.100253738894</v>
      </c>
    </row>
    <row r="976" spans="1:37" x14ac:dyDescent="0.25">
      <c r="A976">
        <v>1052</v>
      </c>
      <c r="B976" t="s">
        <v>3002</v>
      </c>
      <c r="C976" t="s">
        <v>376</v>
      </c>
      <c r="D976" t="s">
        <v>2604</v>
      </c>
      <c r="E976" t="s">
        <v>37</v>
      </c>
      <c r="F976" t="s">
        <v>38</v>
      </c>
      <c r="G976" s="2">
        <v>45845</v>
      </c>
      <c r="H976">
        <v>15.6</v>
      </c>
      <c r="I976" t="s">
        <v>72</v>
      </c>
      <c r="J976" t="s">
        <v>40</v>
      </c>
      <c r="K976" t="s">
        <v>41</v>
      </c>
      <c r="L976" t="s">
        <v>2605</v>
      </c>
      <c r="M976" t="s">
        <v>2606</v>
      </c>
      <c r="N976" t="s">
        <v>2702</v>
      </c>
      <c r="O976" t="s">
        <v>62</v>
      </c>
      <c r="P976" t="s">
        <v>63</v>
      </c>
      <c r="Q976">
        <v>5.3938456031174313</v>
      </c>
      <c r="R976" t="s">
        <v>64</v>
      </c>
      <c r="S976" t="s">
        <v>65</v>
      </c>
      <c r="T976" t="s">
        <v>2993</v>
      </c>
      <c r="V976" t="s">
        <v>71</v>
      </c>
      <c r="X976" t="s">
        <v>2880</v>
      </c>
      <c r="Y976" t="s">
        <v>412</v>
      </c>
      <c r="Z976" t="s">
        <v>2623</v>
      </c>
      <c r="AA976" t="s">
        <v>397</v>
      </c>
      <c r="AB976" t="s">
        <v>41</v>
      </c>
      <c r="AD976" t="s">
        <v>620</v>
      </c>
      <c r="AF976" t="s">
        <v>2994</v>
      </c>
      <c r="AJ976">
        <v>643.28592450864949</v>
      </c>
      <c r="AK976">
        <v>21828.206033146598</v>
      </c>
    </row>
    <row r="977" spans="1:37" x14ac:dyDescent="0.25">
      <c r="A977">
        <v>121</v>
      </c>
      <c r="B977" t="s">
        <v>2821</v>
      </c>
      <c r="C977" t="s">
        <v>376</v>
      </c>
      <c r="D977" t="s">
        <v>2604</v>
      </c>
      <c r="E977" t="s">
        <v>37</v>
      </c>
      <c r="G977" s="2">
        <v>45869</v>
      </c>
      <c r="M977" t="s">
        <v>2606</v>
      </c>
      <c r="O977" t="s">
        <v>62</v>
      </c>
      <c r="P977" t="s">
        <v>63</v>
      </c>
      <c r="Q977">
        <v>6.8760473090120531</v>
      </c>
      <c r="R977" t="s">
        <v>64</v>
      </c>
      <c r="S977" t="s">
        <v>65</v>
      </c>
      <c r="T977" t="s">
        <v>673</v>
      </c>
      <c r="U977" t="s">
        <v>2822</v>
      </c>
      <c r="V977" t="s">
        <v>896</v>
      </c>
      <c r="X977" t="s">
        <v>673</v>
      </c>
      <c r="AE977" t="s">
        <v>2823</v>
      </c>
      <c r="AJ977">
        <v>878.66525409451879</v>
      </c>
      <c r="AK977">
        <v>27826.487519040431</v>
      </c>
    </row>
    <row r="978" spans="1:37" hidden="1" x14ac:dyDescent="0.25">
      <c r="A978">
        <v>996</v>
      </c>
      <c r="C978" t="s">
        <v>376</v>
      </c>
      <c r="D978" t="s">
        <v>2604</v>
      </c>
      <c r="E978" t="s">
        <v>37</v>
      </c>
      <c r="F978" t="s">
        <v>38</v>
      </c>
      <c r="G978" s="2">
        <v>45825</v>
      </c>
      <c r="I978" t="s">
        <v>72</v>
      </c>
      <c r="J978" t="s">
        <v>40</v>
      </c>
      <c r="K978" t="s">
        <v>41</v>
      </c>
      <c r="L978" t="s">
        <v>2605</v>
      </c>
      <c r="M978" t="s">
        <v>2606</v>
      </c>
      <c r="O978" t="s">
        <v>96</v>
      </c>
      <c r="P978" t="s">
        <v>97</v>
      </c>
      <c r="Q978">
        <v>0.12014084443930011</v>
      </c>
      <c r="R978" t="s">
        <v>46</v>
      </c>
      <c r="S978" t="s">
        <v>47</v>
      </c>
      <c r="V978" t="s">
        <v>110</v>
      </c>
      <c r="AB978" t="s">
        <v>41</v>
      </c>
      <c r="AJ978">
        <v>129.58808055844301</v>
      </c>
      <c r="AK978">
        <v>486.19469268856682</v>
      </c>
    </row>
    <row r="979" spans="1:37" hidden="1" x14ac:dyDescent="0.25">
      <c r="A979">
        <v>997</v>
      </c>
      <c r="B979" t="s">
        <v>3412</v>
      </c>
      <c r="C979" t="s">
        <v>376</v>
      </c>
      <c r="D979" t="s">
        <v>2604</v>
      </c>
      <c r="E979" t="s">
        <v>37</v>
      </c>
      <c r="F979" t="s">
        <v>38</v>
      </c>
      <c r="G979" s="2">
        <v>45825</v>
      </c>
      <c r="H979">
        <v>3.6</v>
      </c>
      <c r="I979" t="s">
        <v>72</v>
      </c>
      <c r="J979" t="s">
        <v>40</v>
      </c>
      <c r="K979" t="s">
        <v>41</v>
      </c>
      <c r="L979" t="s">
        <v>2605</v>
      </c>
      <c r="M979" t="s">
        <v>2606</v>
      </c>
      <c r="N979" t="s">
        <v>3027</v>
      </c>
      <c r="O979" t="s">
        <v>79</v>
      </c>
      <c r="P979" t="s">
        <v>80</v>
      </c>
      <c r="Q979">
        <v>2.1595792210978368</v>
      </c>
      <c r="R979" t="s">
        <v>46</v>
      </c>
      <c r="S979" t="s">
        <v>47</v>
      </c>
      <c r="T979" t="s">
        <v>3097</v>
      </c>
      <c r="V979" t="s">
        <v>110</v>
      </c>
      <c r="X979" t="s">
        <v>3029</v>
      </c>
      <c r="Y979" t="s">
        <v>412</v>
      </c>
      <c r="Z979" t="s">
        <v>2623</v>
      </c>
      <c r="AA979" t="s">
        <v>576</v>
      </c>
      <c r="AB979" t="s">
        <v>41</v>
      </c>
      <c r="AD979" t="s">
        <v>620</v>
      </c>
      <c r="AF979" t="s">
        <v>3361</v>
      </c>
      <c r="AJ979">
        <v>396.39138682174769</v>
      </c>
      <c r="AK979">
        <v>8739.5419987144069</v>
      </c>
    </row>
    <row r="980" spans="1:37" hidden="1" x14ac:dyDescent="0.25">
      <c r="A980">
        <v>998</v>
      </c>
      <c r="B980" t="s">
        <v>3412</v>
      </c>
      <c r="C980" t="s">
        <v>376</v>
      </c>
      <c r="D980" t="s">
        <v>2604</v>
      </c>
      <c r="E980" t="s">
        <v>37</v>
      </c>
      <c r="F980" t="s">
        <v>38</v>
      </c>
      <c r="G980" s="2">
        <v>45825</v>
      </c>
      <c r="H980">
        <v>3.6</v>
      </c>
      <c r="I980" t="s">
        <v>72</v>
      </c>
      <c r="J980" t="s">
        <v>40</v>
      </c>
      <c r="K980" t="s">
        <v>41</v>
      </c>
      <c r="L980" t="s">
        <v>2605</v>
      </c>
      <c r="M980" t="s">
        <v>2606</v>
      </c>
      <c r="N980" t="s">
        <v>3027</v>
      </c>
      <c r="O980" t="s">
        <v>44</v>
      </c>
      <c r="P980" t="s">
        <v>45</v>
      </c>
      <c r="Q980">
        <v>2.2167062970654219</v>
      </c>
      <c r="R980" t="s">
        <v>46</v>
      </c>
      <c r="S980" t="s">
        <v>47</v>
      </c>
      <c r="T980" t="s">
        <v>3097</v>
      </c>
      <c r="V980" t="s">
        <v>110</v>
      </c>
      <c r="X980" t="s">
        <v>3029</v>
      </c>
      <c r="Y980" t="s">
        <v>412</v>
      </c>
      <c r="Z980" t="s">
        <v>2623</v>
      </c>
      <c r="AA980" t="s">
        <v>576</v>
      </c>
      <c r="AB980" t="s">
        <v>41</v>
      </c>
      <c r="AD980" t="s">
        <v>620</v>
      </c>
      <c r="AF980" t="s">
        <v>3361</v>
      </c>
      <c r="AJ980">
        <v>382.52743661923648</v>
      </c>
      <c r="AK980">
        <v>8970.7279977298331</v>
      </c>
    </row>
    <row r="981" spans="1:37" hidden="1" x14ac:dyDescent="0.25">
      <c r="A981">
        <v>999</v>
      </c>
      <c r="B981" t="s">
        <v>3416</v>
      </c>
      <c r="C981" t="s">
        <v>376</v>
      </c>
      <c r="D981" t="s">
        <v>2604</v>
      </c>
      <c r="E981" t="s">
        <v>37</v>
      </c>
      <c r="F981" t="s">
        <v>38</v>
      </c>
      <c r="G981" s="2">
        <v>45825</v>
      </c>
      <c r="H981">
        <v>3.5</v>
      </c>
      <c r="I981" t="s">
        <v>72</v>
      </c>
      <c r="J981" t="s">
        <v>40</v>
      </c>
      <c r="K981" t="s">
        <v>41</v>
      </c>
      <c r="L981" t="s">
        <v>2605</v>
      </c>
      <c r="M981" t="s">
        <v>2606</v>
      </c>
      <c r="N981" t="s">
        <v>3027</v>
      </c>
      <c r="O981" t="s">
        <v>79</v>
      </c>
      <c r="P981" t="s">
        <v>80</v>
      </c>
      <c r="Q981">
        <v>1.5849656956986571</v>
      </c>
      <c r="R981" t="s">
        <v>46</v>
      </c>
      <c r="S981" t="s">
        <v>47</v>
      </c>
      <c r="T981" t="s">
        <v>3097</v>
      </c>
      <c r="V981" t="s">
        <v>110</v>
      </c>
      <c r="X981" t="s">
        <v>3029</v>
      </c>
      <c r="Y981" t="s">
        <v>412</v>
      </c>
      <c r="Z981" t="s">
        <v>2623</v>
      </c>
      <c r="AA981" t="s">
        <v>576</v>
      </c>
      <c r="AB981" t="s">
        <v>41</v>
      </c>
      <c r="AD981" t="s">
        <v>620</v>
      </c>
      <c r="AF981" t="s">
        <v>1128</v>
      </c>
      <c r="AJ981">
        <v>361.25286442561719</v>
      </c>
      <c r="AK981">
        <v>6414.1542615131839</v>
      </c>
    </row>
    <row r="982" spans="1:37" hidden="1" x14ac:dyDescent="0.25">
      <c r="A982">
        <v>1000</v>
      </c>
      <c r="B982" t="s">
        <v>3388</v>
      </c>
      <c r="C982" t="s">
        <v>376</v>
      </c>
      <c r="D982" t="s">
        <v>2604</v>
      </c>
      <c r="E982" t="s">
        <v>37</v>
      </c>
      <c r="F982" t="s">
        <v>38</v>
      </c>
      <c r="G982" s="2">
        <v>45825</v>
      </c>
      <c r="H982">
        <v>11.1</v>
      </c>
      <c r="I982" t="s">
        <v>72</v>
      </c>
      <c r="J982" t="s">
        <v>40</v>
      </c>
      <c r="K982" t="s">
        <v>41</v>
      </c>
      <c r="L982" t="s">
        <v>2605</v>
      </c>
      <c r="M982" t="s">
        <v>2606</v>
      </c>
      <c r="N982" t="s">
        <v>2702</v>
      </c>
      <c r="O982" t="s">
        <v>99</v>
      </c>
      <c r="P982" t="s">
        <v>100</v>
      </c>
      <c r="Q982">
        <v>0.89178618399623544</v>
      </c>
      <c r="R982" t="s">
        <v>46</v>
      </c>
      <c r="S982" t="s">
        <v>47</v>
      </c>
      <c r="T982" t="s">
        <v>2883</v>
      </c>
      <c r="V982" t="s">
        <v>110</v>
      </c>
      <c r="X982" t="s">
        <v>2880</v>
      </c>
      <c r="Y982" t="s">
        <v>412</v>
      </c>
      <c r="Z982" t="s">
        <v>2623</v>
      </c>
      <c r="AA982" t="s">
        <v>576</v>
      </c>
      <c r="AB982" t="s">
        <v>41</v>
      </c>
      <c r="AD982" t="s">
        <v>620</v>
      </c>
      <c r="AF982" t="s">
        <v>3389</v>
      </c>
      <c r="AJ982">
        <v>250.25089161065759</v>
      </c>
      <c r="AK982">
        <v>3608.9450818786449</v>
      </c>
    </row>
    <row r="983" spans="1:37" x14ac:dyDescent="0.25">
      <c r="A983">
        <v>295</v>
      </c>
      <c r="B983" t="s">
        <v>3083</v>
      </c>
      <c r="C983" t="s">
        <v>376</v>
      </c>
      <c r="D983" t="s">
        <v>2604</v>
      </c>
      <c r="E983" t="s">
        <v>37</v>
      </c>
      <c r="G983" s="2">
        <v>45845</v>
      </c>
      <c r="H983">
        <v>9.5</v>
      </c>
      <c r="M983" t="s">
        <v>2606</v>
      </c>
      <c r="O983" t="s">
        <v>62</v>
      </c>
      <c r="P983" t="s">
        <v>63</v>
      </c>
      <c r="Q983">
        <v>4.2722671870168556</v>
      </c>
      <c r="R983" t="s">
        <v>64</v>
      </c>
      <c r="S983" t="s">
        <v>65</v>
      </c>
      <c r="T983" t="s">
        <v>2883</v>
      </c>
      <c r="V983" t="s">
        <v>70</v>
      </c>
      <c r="X983" t="s">
        <v>2880</v>
      </c>
      <c r="AD983" t="s">
        <v>620</v>
      </c>
      <c r="AF983" t="s">
        <v>3047</v>
      </c>
      <c r="AJ983">
        <v>563.28600681285866</v>
      </c>
      <c r="AK983">
        <v>17289.321061203031</v>
      </c>
    </row>
    <row r="984" spans="1:37" x14ac:dyDescent="0.25">
      <c r="A984">
        <v>338</v>
      </c>
      <c r="B984" t="s">
        <v>3147</v>
      </c>
      <c r="C984" t="s">
        <v>376</v>
      </c>
      <c r="D984" t="s">
        <v>2604</v>
      </c>
      <c r="E984" t="s">
        <v>37</v>
      </c>
      <c r="G984" s="2">
        <v>45846</v>
      </c>
      <c r="H984">
        <v>1.9</v>
      </c>
      <c r="M984" t="s">
        <v>2606</v>
      </c>
      <c r="O984" t="s">
        <v>62</v>
      </c>
      <c r="P984" t="s">
        <v>63</v>
      </c>
      <c r="Q984">
        <v>1.0223808449863641</v>
      </c>
      <c r="R984" t="s">
        <v>64</v>
      </c>
      <c r="S984" t="s">
        <v>65</v>
      </c>
      <c r="T984" t="s">
        <v>3143</v>
      </c>
      <c r="V984" t="s">
        <v>554</v>
      </c>
      <c r="X984" t="s">
        <v>3144</v>
      </c>
      <c r="AD984" t="s">
        <v>455</v>
      </c>
      <c r="AF984" t="s">
        <v>3145</v>
      </c>
      <c r="AJ984">
        <v>264.30780050122883</v>
      </c>
      <c r="AK984">
        <v>4137.4450384354104</v>
      </c>
    </row>
    <row r="985" spans="1:37" x14ac:dyDescent="0.25">
      <c r="A985">
        <v>363</v>
      </c>
      <c r="B985" t="s">
        <v>3185</v>
      </c>
      <c r="C985" t="s">
        <v>376</v>
      </c>
      <c r="D985" t="s">
        <v>2604</v>
      </c>
      <c r="E985" t="s">
        <v>37</v>
      </c>
      <c r="G985" s="2">
        <v>45845</v>
      </c>
      <c r="H985">
        <v>9.1999999999999993</v>
      </c>
      <c r="M985" t="s">
        <v>2606</v>
      </c>
      <c r="O985" t="s">
        <v>62</v>
      </c>
      <c r="P985" t="s">
        <v>63</v>
      </c>
      <c r="Q985">
        <v>8.9524689905373958</v>
      </c>
      <c r="R985" t="s">
        <v>64</v>
      </c>
      <c r="S985" t="s">
        <v>65</v>
      </c>
      <c r="T985" t="s">
        <v>2883</v>
      </c>
      <c r="V985" t="s">
        <v>70</v>
      </c>
      <c r="X985" t="s">
        <v>2880</v>
      </c>
      <c r="AD985" t="s">
        <v>620</v>
      </c>
      <c r="AF985" t="s">
        <v>2667</v>
      </c>
      <c r="AJ985">
        <v>1081.674190119109</v>
      </c>
      <c r="AK985">
        <v>36229.501548554377</v>
      </c>
    </row>
    <row r="986" spans="1:37" hidden="1" x14ac:dyDescent="0.25">
      <c r="A986">
        <v>1005</v>
      </c>
      <c r="B986" t="s">
        <v>2604</v>
      </c>
      <c r="C986" t="s">
        <v>376</v>
      </c>
      <c r="D986" t="s">
        <v>2604</v>
      </c>
      <c r="E986" t="s">
        <v>37</v>
      </c>
      <c r="F986" t="s">
        <v>38</v>
      </c>
      <c r="G986" s="2">
        <v>45825</v>
      </c>
      <c r="H986">
        <v>1.6</v>
      </c>
      <c r="I986" t="s">
        <v>72</v>
      </c>
      <c r="J986" t="s">
        <v>40</v>
      </c>
      <c r="K986" t="s">
        <v>41</v>
      </c>
      <c r="L986" t="s">
        <v>2605</v>
      </c>
      <c r="M986" t="s">
        <v>2606</v>
      </c>
      <c r="N986" t="s">
        <v>2702</v>
      </c>
      <c r="O986" t="s">
        <v>1045</v>
      </c>
      <c r="P986" t="s">
        <v>133</v>
      </c>
      <c r="Q986">
        <v>6.1973202617245211E-2</v>
      </c>
      <c r="R986" t="s">
        <v>46</v>
      </c>
      <c r="S986" t="s">
        <v>47</v>
      </c>
      <c r="T986" t="s">
        <v>2883</v>
      </c>
      <c r="V986" t="s">
        <v>110</v>
      </c>
      <c r="X986" t="s">
        <v>2880</v>
      </c>
      <c r="Y986" t="s">
        <v>412</v>
      </c>
      <c r="Z986" t="s">
        <v>2623</v>
      </c>
      <c r="AA986" t="s">
        <v>576</v>
      </c>
      <c r="AB986" t="s">
        <v>41</v>
      </c>
      <c r="AD986" t="s">
        <v>620</v>
      </c>
      <c r="AF986" t="s">
        <v>3389</v>
      </c>
      <c r="AJ986">
        <v>67.835710629110878</v>
      </c>
      <c r="AK986">
        <v>250.79765621791691</v>
      </c>
    </row>
    <row r="987" spans="1:37" x14ac:dyDescent="0.25">
      <c r="A987">
        <v>391</v>
      </c>
      <c r="B987" t="s">
        <v>3229</v>
      </c>
      <c r="C987" t="s">
        <v>376</v>
      </c>
      <c r="D987" t="s">
        <v>2604</v>
      </c>
      <c r="E987" t="s">
        <v>37</v>
      </c>
      <c r="F987" t="s">
        <v>38</v>
      </c>
      <c r="G987" s="2">
        <v>45846</v>
      </c>
      <c r="H987">
        <v>10</v>
      </c>
      <c r="I987" t="s">
        <v>72</v>
      </c>
      <c r="J987" t="s">
        <v>40</v>
      </c>
      <c r="K987" t="s">
        <v>41</v>
      </c>
      <c r="L987" t="s">
        <v>2605</v>
      </c>
      <c r="M987" t="s">
        <v>2606</v>
      </c>
      <c r="O987" t="s">
        <v>62</v>
      </c>
      <c r="P987" t="s">
        <v>63</v>
      </c>
      <c r="Q987">
        <v>8.2880530604022571</v>
      </c>
      <c r="R987" t="s">
        <v>64</v>
      </c>
      <c r="S987" t="s">
        <v>65</v>
      </c>
      <c r="T987" t="s">
        <v>3230</v>
      </c>
      <c r="V987" t="s">
        <v>180</v>
      </c>
      <c r="X987" t="s">
        <v>3230</v>
      </c>
      <c r="AB987" t="s">
        <v>41</v>
      </c>
      <c r="AJ987">
        <v>808.64611588197317</v>
      </c>
      <c r="AK987">
        <v>33540.694919326357</v>
      </c>
    </row>
    <row r="988" spans="1:37" x14ac:dyDescent="0.25">
      <c r="A988">
        <v>980</v>
      </c>
      <c r="B988" t="s">
        <v>2813</v>
      </c>
      <c r="C988" t="s">
        <v>376</v>
      </c>
      <c r="D988" t="s">
        <v>2604</v>
      </c>
      <c r="E988" t="s">
        <v>37</v>
      </c>
      <c r="G988" s="2">
        <v>45845</v>
      </c>
      <c r="H988">
        <v>8.9</v>
      </c>
      <c r="M988" t="s">
        <v>2606</v>
      </c>
      <c r="O988" t="s">
        <v>62</v>
      </c>
      <c r="P988" t="s">
        <v>63</v>
      </c>
      <c r="Q988">
        <v>0.64398222959621976</v>
      </c>
      <c r="R988" t="s">
        <v>64</v>
      </c>
      <c r="S988" t="s">
        <v>65</v>
      </c>
      <c r="T988" t="s">
        <v>2801</v>
      </c>
      <c r="V988" t="s">
        <v>618</v>
      </c>
      <c r="X988" t="s">
        <v>2814</v>
      </c>
      <c r="AD988" t="s">
        <v>2757</v>
      </c>
      <c r="AF988" t="s">
        <v>1097</v>
      </c>
      <c r="AJ988">
        <v>229.9497169210988</v>
      </c>
      <c r="AK988">
        <v>2606.1140461986929</v>
      </c>
    </row>
    <row r="989" spans="1:37" hidden="1" x14ac:dyDescent="0.25">
      <c r="A989">
        <v>1008</v>
      </c>
      <c r="B989" t="s">
        <v>3363</v>
      </c>
      <c r="C989" t="s">
        <v>376</v>
      </c>
      <c r="D989" t="s">
        <v>2604</v>
      </c>
      <c r="E989" t="s">
        <v>37</v>
      </c>
      <c r="F989" t="s">
        <v>38</v>
      </c>
      <c r="G989" s="2">
        <v>45825</v>
      </c>
      <c r="H989">
        <v>11.7</v>
      </c>
      <c r="I989" t="s">
        <v>72</v>
      </c>
      <c r="J989" t="s">
        <v>40</v>
      </c>
      <c r="K989" t="s">
        <v>41</v>
      </c>
      <c r="L989" t="s">
        <v>2605</v>
      </c>
      <c r="M989" t="s">
        <v>2606</v>
      </c>
      <c r="N989" t="s">
        <v>3027</v>
      </c>
      <c r="O989" t="s">
        <v>55</v>
      </c>
      <c r="P989" t="s">
        <v>56</v>
      </c>
      <c r="Q989">
        <v>0.67944095099791413</v>
      </c>
      <c r="R989" t="s">
        <v>46</v>
      </c>
      <c r="S989" t="s">
        <v>47</v>
      </c>
      <c r="T989" t="s">
        <v>3364</v>
      </c>
      <c r="V989" t="s">
        <v>110</v>
      </c>
      <c r="X989" t="s">
        <v>3365</v>
      </c>
      <c r="Y989" t="s">
        <v>412</v>
      </c>
      <c r="Z989" t="s">
        <v>2623</v>
      </c>
      <c r="AA989" t="s">
        <v>121</v>
      </c>
      <c r="AB989" t="s">
        <v>41</v>
      </c>
      <c r="AD989" t="s">
        <v>620</v>
      </c>
      <c r="AF989" t="s">
        <v>3304</v>
      </c>
      <c r="AJ989">
        <v>340.04834147370542</v>
      </c>
      <c r="AK989">
        <v>2749.610974620372</v>
      </c>
    </row>
    <row r="990" spans="1:37" hidden="1" x14ac:dyDescent="0.25">
      <c r="A990">
        <v>1009</v>
      </c>
      <c r="B990" t="s">
        <v>3383</v>
      </c>
      <c r="C990" t="s">
        <v>376</v>
      </c>
      <c r="D990" t="s">
        <v>2604</v>
      </c>
      <c r="E990" t="s">
        <v>37</v>
      </c>
      <c r="F990" t="s">
        <v>38</v>
      </c>
      <c r="G990" s="2">
        <v>45825</v>
      </c>
      <c r="H990">
        <v>12.4</v>
      </c>
      <c r="I990" t="s">
        <v>72</v>
      </c>
      <c r="J990" t="s">
        <v>40</v>
      </c>
      <c r="K990" t="s">
        <v>41</v>
      </c>
      <c r="L990" t="s">
        <v>2605</v>
      </c>
      <c r="M990" t="s">
        <v>2606</v>
      </c>
      <c r="N990" t="s">
        <v>3027</v>
      </c>
      <c r="O990" t="s">
        <v>44</v>
      </c>
      <c r="P990" t="s">
        <v>45</v>
      </c>
      <c r="Q990">
        <v>4.8598713945210239</v>
      </c>
      <c r="R990" t="s">
        <v>46</v>
      </c>
      <c r="S990" t="s">
        <v>47</v>
      </c>
      <c r="T990" t="s">
        <v>3364</v>
      </c>
      <c r="V990" t="s">
        <v>110</v>
      </c>
      <c r="X990" t="s">
        <v>3384</v>
      </c>
      <c r="Y990" t="s">
        <v>412</v>
      </c>
      <c r="Z990" t="s">
        <v>2623</v>
      </c>
      <c r="AA990" t="s">
        <v>121</v>
      </c>
      <c r="AB990" t="s">
        <v>41</v>
      </c>
      <c r="AD990" t="s">
        <v>620</v>
      </c>
      <c r="AF990" t="s">
        <v>3304</v>
      </c>
      <c r="AJ990">
        <v>600.74892465412768</v>
      </c>
      <c r="AK990">
        <v>19667.28043399852</v>
      </c>
    </row>
    <row r="991" spans="1:37" hidden="1" x14ac:dyDescent="0.25">
      <c r="A991">
        <v>1010</v>
      </c>
      <c r="B991" t="s">
        <v>3411</v>
      </c>
      <c r="C991" t="s">
        <v>376</v>
      </c>
      <c r="D991" t="s">
        <v>2604</v>
      </c>
      <c r="E991" t="s">
        <v>37</v>
      </c>
      <c r="F991" t="s">
        <v>38</v>
      </c>
      <c r="G991" s="2">
        <v>45825</v>
      </c>
      <c r="H991">
        <v>11.8</v>
      </c>
      <c r="I991" t="s">
        <v>72</v>
      </c>
      <c r="J991" t="s">
        <v>40</v>
      </c>
      <c r="K991" t="s">
        <v>41</v>
      </c>
      <c r="L991" t="s">
        <v>2605</v>
      </c>
      <c r="M991" t="s">
        <v>2606</v>
      </c>
      <c r="N991" t="s">
        <v>3027</v>
      </c>
      <c r="O991" t="s">
        <v>44</v>
      </c>
      <c r="P991" t="s">
        <v>45</v>
      </c>
      <c r="Q991">
        <v>4.8351249433084016</v>
      </c>
      <c r="R991" t="s">
        <v>46</v>
      </c>
      <c r="S991" t="s">
        <v>47</v>
      </c>
      <c r="T991" t="s">
        <v>3364</v>
      </c>
      <c r="V991" t="s">
        <v>110</v>
      </c>
      <c r="X991" t="s">
        <v>3384</v>
      </c>
      <c r="Y991" t="s">
        <v>412</v>
      </c>
      <c r="Z991" t="s">
        <v>2623</v>
      </c>
      <c r="AA991" t="s">
        <v>121</v>
      </c>
      <c r="AB991" t="s">
        <v>41</v>
      </c>
      <c r="AD991" t="s">
        <v>620</v>
      </c>
      <c r="AF991" t="s">
        <v>3304</v>
      </c>
      <c r="AJ991">
        <v>605.70237261145598</v>
      </c>
      <c r="AK991">
        <v>19567.13469839457</v>
      </c>
    </row>
    <row r="992" spans="1:37" hidden="1" x14ac:dyDescent="0.25">
      <c r="A992">
        <v>1011</v>
      </c>
      <c r="B992" t="s">
        <v>3432</v>
      </c>
      <c r="C992" t="s">
        <v>376</v>
      </c>
      <c r="D992" t="s">
        <v>2604</v>
      </c>
      <c r="E992" t="s">
        <v>37</v>
      </c>
      <c r="F992" t="s">
        <v>38</v>
      </c>
      <c r="G992" s="2">
        <v>45825</v>
      </c>
      <c r="H992">
        <v>4.2</v>
      </c>
      <c r="I992" t="s">
        <v>72</v>
      </c>
      <c r="J992" t="s">
        <v>40</v>
      </c>
      <c r="K992" t="s">
        <v>41</v>
      </c>
      <c r="L992" t="s">
        <v>2605</v>
      </c>
      <c r="M992" t="s">
        <v>2606</v>
      </c>
      <c r="N992" t="s">
        <v>2702</v>
      </c>
      <c r="O992" t="s">
        <v>55</v>
      </c>
      <c r="P992" t="s">
        <v>56</v>
      </c>
      <c r="Q992">
        <v>1.35754441837337</v>
      </c>
      <c r="R992" t="s">
        <v>46</v>
      </c>
      <c r="S992" t="s">
        <v>47</v>
      </c>
      <c r="T992" t="s">
        <v>2883</v>
      </c>
      <c r="V992" t="s">
        <v>110</v>
      </c>
      <c r="X992" t="s">
        <v>2880</v>
      </c>
      <c r="Y992" t="s">
        <v>382</v>
      </c>
      <c r="Z992" t="s">
        <v>2623</v>
      </c>
      <c r="AA992" t="s">
        <v>64</v>
      </c>
      <c r="AB992" t="s">
        <v>41</v>
      </c>
      <c r="AD992" t="s">
        <v>620</v>
      </c>
      <c r="AF992" t="s">
        <v>3433</v>
      </c>
      <c r="AJ992">
        <v>516.09189955846659</v>
      </c>
      <c r="AK992">
        <v>5493.809323402862</v>
      </c>
    </row>
    <row r="993" spans="1:37" x14ac:dyDescent="0.25">
      <c r="A993">
        <v>1056</v>
      </c>
      <c r="C993" t="s">
        <v>376</v>
      </c>
      <c r="D993" t="s">
        <v>2604</v>
      </c>
      <c r="E993" t="s">
        <v>37</v>
      </c>
      <c r="F993" t="s">
        <v>38</v>
      </c>
      <c r="G993" s="2">
        <v>45869</v>
      </c>
      <c r="I993" t="s">
        <v>72</v>
      </c>
      <c r="J993" t="s">
        <v>40</v>
      </c>
      <c r="K993" t="s">
        <v>41</v>
      </c>
      <c r="L993" t="s">
        <v>2605</v>
      </c>
      <c r="M993" t="s">
        <v>2606</v>
      </c>
      <c r="O993" t="s">
        <v>62</v>
      </c>
      <c r="P993" t="s">
        <v>63</v>
      </c>
      <c r="Q993">
        <v>0.1579867900831172</v>
      </c>
      <c r="R993" t="s">
        <v>64</v>
      </c>
      <c r="S993" t="s">
        <v>65</v>
      </c>
      <c r="V993" t="s">
        <v>896</v>
      </c>
      <c r="AJ993">
        <v>127.6196460366663</v>
      </c>
      <c r="AK993">
        <v>639.35241350932006</v>
      </c>
    </row>
    <row r="994" spans="1:37" hidden="1" x14ac:dyDescent="0.25">
      <c r="A994">
        <v>1013</v>
      </c>
      <c r="B994" t="s">
        <v>3421</v>
      </c>
      <c r="C994" t="s">
        <v>376</v>
      </c>
      <c r="D994" t="s">
        <v>2604</v>
      </c>
      <c r="E994" t="s">
        <v>37</v>
      </c>
      <c r="F994" t="s">
        <v>38</v>
      </c>
      <c r="G994" s="2">
        <v>45825</v>
      </c>
      <c r="H994">
        <v>9.1</v>
      </c>
      <c r="I994" t="s">
        <v>72</v>
      </c>
      <c r="J994" t="s">
        <v>40</v>
      </c>
      <c r="K994" t="s">
        <v>41</v>
      </c>
      <c r="L994" t="s">
        <v>2605</v>
      </c>
      <c r="M994" t="s">
        <v>2606</v>
      </c>
      <c r="N994" t="s">
        <v>3027</v>
      </c>
      <c r="O994" t="s">
        <v>44</v>
      </c>
      <c r="P994" t="s">
        <v>45</v>
      </c>
      <c r="Q994">
        <v>5.1265346085585151</v>
      </c>
      <c r="R994" t="s">
        <v>46</v>
      </c>
      <c r="S994" t="s">
        <v>47</v>
      </c>
      <c r="T994" t="s">
        <v>3364</v>
      </c>
      <c r="V994" t="s">
        <v>110</v>
      </c>
      <c r="X994" t="s">
        <v>3384</v>
      </c>
      <c r="Y994" t="s">
        <v>412</v>
      </c>
      <c r="Z994" t="s">
        <v>2623</v>
      </c>
      <c r="AA994" t="s">
        <v>121</v>
      </c>
      <c r="AB994" t="s">
        <v>41</v>
      </c>
      <c r="AD994" t="s">
        <v>620</v>
      </c>
      <c r="AF994" t="s">
        <v>3304</v>
      </c>
      <c r="AJ994">
        <v>1019.25708798302</v>
      </c>
      <c r="AK994">
        <v>20746.432490947871</v>
      </c>
    </row>
    <row r="995" spans="1:37" hidden="1" x14ac:dyDescent="0.25">
      <c r="A995">
        <v>1014</v>
      </c>
      <c r="B995" t="s">
        <v>3432</v>
      </c>
      <c r="C995" t="s">
        <v>376</v>
      </c>
      <c r="D995" t="s">
        <v>2604</v>
      </c>
      <c r="E995" t="s">
        <v>37</v>
      </c>
      <c r="F995" t="s">
        <v>38</v>
      </c>
      <c r="G995" s="2">
        <v>45825</v>
      </c>
      <c r="H995">
        <v>4.2</v>
      </c>
      <c r="I995" t="s">
        <v>72</v>
      </c>
      <c r="J995" t="s">
        <v>40</v>
      </c>
      <c r="K995" t="s">
        <v>41</v>
      </c>
      <c r="L995" t="s">
        <v>2605</v>
      </c>
      <c r="M995" t="s">
        <v>2606</v>
      </c>
      <c r="N995" t="s">
        <v>2702</v>
      </c>
      <c r="O995" t="s">
        <v>55</v>
      </c>
      <c r="P995" t="s">
        <v>56</v>
      </c>
      <c r="Q995">
        <v>3.7279484898674329</v>
      </c>
      <c r="R995" t="s">
        <v>46</v>
      </c>
      <c r="S995" t="s">
        <v>47</v>
      </c>
      <c r="T995" t="s">
        <v>2883</v>
      </c>
      <c r="V995" t="s">
        <v>110</v>
      </c>
      <c r="X995" t="s">
        <v>2880</v>
      </c>
      <c r="Y995" t="s">
        <v>382</v>
      </c>
      <c r="Z995" t="s">
        <v>2623</v>
      </c>
      <c r="AA995" t="s">
        <v>64</v>
      </c>
      <c r="AB995" t="s">
        <v>41</v>
      </c>
      <c r="AD995" t="s">
        <v>620</v>
      </c>
      <c r="AF995" t="s">
        <v>3433</v>
      </c>
      <c r="AJ995">
        <v>627.58711744946731</v>
      </c>
      <c r="AK995">
        <v>15086.532634666601</v>
      </c>
    </row>
    <row r="996" spans="1:37" x14ac:dyDescent="0.25">
      <c r="A996">
        <v>1059</v>
      </c>
      <c r="B996" t="s">
        <v>3229</v>
      </c>
      <c r="C996" t="s">
        <v>376</v>
      </c>
      <c r="D996" t="s">
        <v>2604</v>
      </c>
      <c r="E996" t="s">
        <v>37</v>
      </c>
      <c r="F996" t="s">
        <v>38</v>
      </c>
      <c r="G996" s="2">
        <v>45846</v>
      </c>
      <c r="H996">
        <v>10</v>
      </c>
      <c r="J996" t="s">
        <v>40</v>
      </c>
      <c r="K996" t="s">
        <v>41</v>
      </c>
      <c r="L996" t="s">
        <v>2605</v>
      </c>
      <c r="M996" t="s">
        <v>2606</v>
      </c>
      <c r="O996" t="s">
        <v>62</v>
      </c>
      <c r="P996" t="s">
        <v>63</v>
      </c>
      <c r="Q996">
        <v>2.4450912542666878</v>
      </c>
      <c r="R996" t="s">
        <v>64</v>
      </c>
      <c r="S996" t="s">
        <v>65</v>
      </c>
      <c r="T996" t="s">
        <v>3230</v>
      </c>
      <c r="V996" t="s">
        <v>180</v>
      </c>
      <c r="X996" t="s">
        <v>3230</v>
      </c>
      <c r="AB996" t="s">
        <v>41</v>
      </c>
      <c r="AJ996">
        <v>450.57746661435118</v>
      </c>
      <c r="AK996">
        <v>9894.9728255349401</v>
      </c>
    </row>
    <row r="997" spans="1:37" hidden="1" x14ac:dyDescent="0.25">
      <c r="A997">
        <v>1016</v>
      </c>
      <c r="B997" t="s">
        <v>2901</v>
      </c>
      <c r="C997" t="s">
        <v>376</v>
      </c>
      <c r="D997" t="s">
        <v>2604</v>
      </c>
      <c r="E997" t="s">
        <v>37</v>
      </c>
      <c r="F997" t="s">
        <v>38</v>
      </c>
      <c r="G997" s="2">
        <v>45846</v>
      </c>
      <c r="H997">
        <v>6.3</v>
      </c>
      <c r="I997" t="s">
        <v>72</v>
      </c>
      <c r="J997" t="s">
        <v>40</v>
      </c>
      <c r="K997" t="s">
        <v>41</v>
      </c>
      <c r="L997" t="s">
        <v>2605</v>
      </c>
      <c r="M997" t="s">
        <v>2606</v>
      </c>
      <c r="O997" t="s">
        <v>113</v>
      </c>
      <c r="P997" t="s">
        <v>114</v>
      </c>
      <c r="Q997">
        <v>3.6658285315923251</v>
      </c>
      <c r="R997" t="s">
        <v>46</v>
      </c>
      <c r="S997" t="s">
        <v>47</v>
      </c>
      <c r="T997" t="s">
        <v>2895</v>
      </c>
      <c r="V997" t="s">
        <v>125</v>
      </c>
      <c r="X997" t="s">
        <v>2896</v>
      </c>
      <c r="Y997" t="s">
        <v>412</v>
      </c>
      <c r="Z997" t="s">
        <v>2623</v>
      </c>
      <c r="AA997" t="s">
        <v>125</v>
      </c>
      <c r="AB997" t="s">
        <v>41</v>
      </c>
      <c r="AD997" t="s">
        <v>898</v>
      </c>
      <c r="AF997" t="s">
        <v>2667</v>
      </c>
      <c r="AJ997">
        <v>505.59866247466641</v>
      </c>
      <c r="AK997">
        <v>14835.14107699653</v>
      </c>
    </row>
    <row r="998" spans="1:37" x14ac:dyDescent="0.25">
      <c r="A998">
        <v>1061</v>
      </c>
      <c r="B998" t="s">
        <v>3229</v>
      </c>
      <c r="C998" t="s">
        <v>376</v>
      </c>
      <c r="D998" t="s">
        <v>2604</v>
      </c>
      <c r="E998" t="s">
        <v>37</v>
      </c>
      <c r="F998" t="s">
        <v>38</v>
      </c>
      <c r="G998" s="2">
        <v>45846</v>
      </c>
      <c r="H998">
        <v>10</v>
      </c>
      <c r="J998" t="s">
        <v>40</v>
      </c>
      <c r="K998" t="s">
        <v>41</v>
      </c>
      <c r="L998" t="s">
        <v>2605</v>
      </c>
      <c r="M998" t="s">
        <v>2606</v>
      </c>
      <c r="O998" t="s">
        <v>62</v>
      </c>
      <c r="P998" t="s">
        <v>63</v>
      </c>
      <c r="Q998">
        <v>0.60811616622994558</v>
      </c>
      <c r="R998" t="s">
        <v>64</v>
      </c>
      <c r="S998" t="s">
        <v>65</v>
      </c>
      <c r="T998" t="s">
        <v>3230</v>
      </c>
      <c r="V998" t="s">
        <v>180</v>
      </c>
      <c r="X998" t="s">
        <v>3230</v>
      </c>
      <c r="AB998" t="s">
        <v>41</v>
      </c>
      <c r="AJ998">
        <v>344.82668197707761</v>
      </c>
      <c r="AK998">
        <v>2460.9686567377039</v>
      </c>
    </row>
    <row r="999" spans="1:37" x14ac:dyDescent="0.25">
      <c r="A999">
        <v>1087</v>
      </c>
      <c r="B999" t="s">
        <v>3223</v>
      </c>
      <c r="C999" t="s">
        <v>376</v>
      </c>
      <c r="D999" t="s">
        <v>2604</v>
      </c>
      <c r="E999" t="s">
        <v>37</v>
      </c>
      <c r="G999" s="2">
        <v>45845</v>
      </c>
      <c r="H999">
        <v>0.7</v>
      </c>
      <c r="M999" t="s">
        <v>2606</v>
      </c>
      <c r="O999" t="s">
        <v>62</v>
      </c>
      <c r="P999" t="s">
        <v>63</v>
      </c>
      <c r="Q999">
        <v>0.12647096826572071</v>
      </c>
      <c r="R999" t="s">
        <v>64</v>
      </c>
      <c r="S999" t="s">
        <v>65</v>
      </c>
      <c r="T999" t="s">
        <v>2883</v>
      </c>
      <c r="V999" t="s">
        <v>70</v>
      </c>
      <c r="X999" t="s">
        <v>2880</v>
      </c>
      <c r="AD999" t="s">
        <v>620</v>
      </c>
      <c r="AF999" t="s">
        <v>2373</v>
      </c>
      <c r="AJ999">
        <v>140.85075307069161</v>
      </c>
      <c r="AK999">
        <v>511.81189741882071</v>
      </c>
    </row>
    <row r="1000" spans="1:37" x14ac:dyDescent="0.25">
      <c r="A1000">
        <v>1093</v>
      </c>
      <c r="B1000" t="s">
        <v>3076</v>
      </c>
      <c r="C1000" t="s">
        <v>376</v>
      </c>
      <c r="D1000" t="s">
        <v>2604</v>
      </c>
      <c r="E1000" t="s">
        <v>37</v>
      </c>
      <c r="G1000" s="2">
        <v>45845</v>
      </c>
      <c r="H1000">
        <v>5</v>
      </c>
      <c r="M1000" t="s">
        <v>2606</v>
      </c>
      <c r="O1000" t="s">
        <v>62</v>
      </c>
      <c r="P1000" t="s">
        <v>63</v>
      </c>
      <c r="Q1000">
        <v>1.336808452858866</v>
      </c>
      <c r="R1000" t="s">
        <v>64</v>
      </c>
      <c r="S1000" t="s">
        <v>65</v>
      </c>
      <c r="T1000" t="s">
        <v>2883</v>
      </c>
      <c r="V1000" t="s">
        <v>70</v>
      </c>
      <c r="X1000" t="s">
        <v>2880</v>
      </c>
      <c r="AD1000" t="s">
        <v>620</v>
      </c>
      <c r="AF1000" t="s">
        <v>3047</v>
      </c>
      <c r="AJ1000">
        <v>325.79505224285089</v>
      </c>
      <c r="AK1000">
        <v>5409.8935125229218</v>
      </c>
    </row>
    <row r="1001" spans="1:37" x14ac:dyDescent="0.25">
      <c r="A1001">
        <v>1101</v>
      </c>
      <c r="B1001" t="s">
        <v>2779</v>
      </c>
      <c r="C1001" t="s">
        <v>376</v>
      </c>
      <c r="D1001" t="s">
        <v>2604</v>
      </c>
      <c r="E1001" t="s">
        <v>37</v>
      </c>
      <c r="G1001" s="2">
        <v>45845</v>
      </c>
      <c r="H1001">
        <v>2.6</v>
      </c>
      <c r="M1001" t="s">
        <v>2606</v>
      </c>
      <c r="O1001" t="s">
        <v>62</v>
      </c>
      <c r="P1001" t="s">
        <v>63</v>
      </c>
      <c r="Q1001">
        <v>0.32293719570502988</v>
      </c>
      <c r="R1001" t="s">
        <v>64</v>
      </c>
      <c r="S1001" t="s">
        <v>65</v>
      </c>
      <c r="T1001" t="s">
        <v>2756</v>
      </c>
      <c r="V1001" t="s">
        <v>618</v>
      </c>
      <c r="X1001" t="s">
        <v>2704</v>
      </c>
      <c r="AD1001" t="s">
        <v>2757</v>
      </c>
      <c r="AF1001" t="s">
        <v>2667</v>
      </c>
      <c r="AJ1001">
        <v>176.43534534707231</v>
      </c>
      <c r="AK1001">
        <v>1306.885692008286</v>
      </c>
    </row>
    <row r="1002" spans="1:37" hidden="1" x14ac:dyDescent="0.25">
      <c r="A1002">
        <v>1021</v>
      </c>
      <c r="B1002" t="s">
        <v>2796</v>
      </c>
      <c r="C1002" t="s">
        <v>376</v>
      </c>
      <c r="D1002" t="s">
        <v>2604</v>
      </c>
      <c r="E1002" t="s">
        <v>37</v>
      </c>
      <c r="F1002" t="s">
        <v>38</v>
      </c>
      <c r="G1002" s="2">
        <v>45845</v>
      </c>
      <c r="H1002">
        <v>7.9</v>
      </c>
      <c r="I1002" t="s">
        <v>72</v>
      </c>
      <c r="J1002" t="s">
        <v>40</v>
      </c>
      <c r="K1002" t="s">
        <v>41</v>
      </c>
      <c r="L1002" t="s">
        <v>2605</v>
      </c>
      <c r="M1002" t="s">
        <v>2606</v>
      </c>
      <c r="O1002" t="s">
        <v>99</v>
      </c>
      <c r="P1002" t="s">
        <v>100</v>
      </c>
      <c r="Q1002">
        <v>0.20622391448258551</v>
      </c>
      <c r="R1002" t="s">
        <v>46</v>
      </c>
      <c r="S1002" t="s">
        <v>47</v>
      </c>
      <c r="T1002" t="s">
        <v>57</v>
      </c>
      <c r="V1002" t="s">
        <v>618</v>
      </c>
      <c r="X1002" t="s">
        <v>2704</v>
      </c>
      <c r="Y1002" t="s">
        <v>412</v>
      </c>
      <c r="Z1002" t="s">
        <v>2623</v>
      </c>
      <c r="AA1002" t="s">
        <v>70</v>
      </c>
      <c r="AB1002" t="s">
        <v>41</v>
      </c>
      <c r="AF1002" t="s">
        <v>1097</v>
      </c>
      <c r="AJ1002">
        <v>119.9998008317378</v>
      </c>
      <c r="AK1002">
        <v>834.56191102062508</v>
      </c>
    </row>
    <row r="1003" spans="1:37" hidden="1" x14ac:dyDescent="0.25">
      <c r="A1003">
        <v>1022</v>
      </c>
      <c r="B1003" t="s">
        <v>3044</v>
      </c>
      <c r="C1003" t="s">
        <v>376</v>
      </c>
      <c r="D1003" t="s">
        <v>2604</v>
      </c>
      <c r="E1003" t="s">
        <v>37</v>
      </c>
      <c r="F1003" t="s">
        <v>38</v>
      </c>
      <c r="G1003" s="2">
        <v>45826</v>
      </c>
      <c r="H1003">
        <v>17.2</v>
      </c>
      <c r="I1003" t="s">
        <v>72</v>
      </c>
      <c r="J1003" t="s">
        <v>40</v>
      </c>
      <c r="K1003" t="s">
        <v>41</v>
      </c>
      <c r="L1003" t="s">
        <v>2605</v>
      </c>
      <c r="M1003" t="s">
        <v>2606</v>
      </c>
      <c r="N1003" t="s">
        <v>2702</v>
      </c>
      <c r="O1003" t="s">
        <v>44</v>
      </c>
      <c r="P1003" t="s">
        <v>45</v>
      </c>
      <c r="Q1003">
        <v>6.7985049015507659</v>
      </c>
      <c r="R1003" t="s">
        <v>46</v>
      </c>
      <c r="S1003" t="s">
        <v>47</v>
      </c>
      <c r="T1003" t="s">
        <v>2883</v>
      </c>
      <c r="V1003" t="s">
        <v>70</v>
      </c>
      <c r="X1003" t="s">
        <v>2880</v>
      </c>
      <c r="Y1003" t="s">
        <v>412</v>
      </c>
      <c r="Z1003" t="s">
        <v>2623</v>
      </c>
      <c r="AA1003" t="s">
        <v>397</v>
      </c>
      <c r="AB1003" t="s">
        <v>41</v>
      </c>
      <c r="AD1003" t="s">
        <v>620</v>
      </c>
      <c r="AF1003" t="s">
        <v>3045</v>
      </c>
      <c r="AJ1003">
        <v>837.46077883199268</v>
      </c>
      <c r="AK1003">
        <v>27512.68327418164</v>
      </c>
    </row>
    <row r="1004" spans="1:37" hidden="1" x14ac:dyDescent="0.25">
      <c r="A1004">
        <v>1023</v>
      </c>
      <c r="B1004" t="s">
        <v>3002</v>
      </c>
      <c r="C1004" t="s">
        <v>376</v>
      </c>
      <c r="D1004" t="s">
        <v>2604</v>
      </c>
      <c r="E1004" t="s">
        <v>37</v>
      </c>
      <c r="F1004" t="s">
        <v>38</v>
      </c>
      <c r="G1004" s="2">
        <v>45845</v>
      </c>
      <c r="H1004">
        <v>15.6</v>
      </c>
      <c r="I1004" t="s">
        <v>72</v>
      </c>
      <c r="J1004" t="s">
        <v>40</v>
      </c>
      <c r="K1004" t="s">
        <v>41</v>
      </c>
      <c r="L1004" t="s">
        <v>2605</v>
      </c>
      <c r="M1004" t="s">
        <v>2606</v>
      </c>
      <c r="N1004" t="s">
        <v>2702</v>
      </c>
      <c r="O1004" t="s">
        <v>113</v>
      </c>
      <c r="P1004" t="s">
        <v>114</v>
      </c>
      <c r="Q1004">
        <v>2.0174962872135929</v>
      </c>
      <c r="R1004" t="s">
        <v>46</v>
      </c>
      <c r="S1004" t="s">
        <v>47</v>
      </c>
      <c r="T1004" t="s">
        <v>2993</v>
      </c>
      <c r="V1004" t="s">
        <v>71</v>
      </c>
      <c r="X1004" t="s">
        <v>2880</v>
      </c>
      <c r="Y1004" t="s">
        <v>412</v>
      </c>
      <c r="Z1004" t="s">
        <v>2623</v>
      </c>
      <c r="AA1004" t="s">
        <v>397</v>
      </c>
      <c r="AB1004" t="s">
        <v>41</v>
      </c>
      <c r="AD1004" t="s">
        <v>620</v>
      </c>
      <c r="AF1004" t="s">
        <v>2994</v>
      </c>
      <c r="AJ1004">
        <v>419.96858032516383</v>
      </c>
      <c r="AK1004">
        <v>8164.5504652476848</v>
      </c>
    </row>
    <row r="1005" spans="1:37" hidden="1" x14ac:dyDescent="0.25">
      <c r="A1005">
        <v>1024</v>
      </c>
      <c r="C1005" t="s">
        <v>376</v>
      </c>
      <c r="D1005" t="s">
        <v>2604</v>
      </c>
      <c r="E1005" t="s">
        <v>37</v>
      </c>
      <c r="F1005" t="s">
        <v>38</v>
      </c>
      <c r="G1005" s="2">
        <v>45846</v>
      </c>
      <c r="I1005" t="s">
        <v>72</v>
      </c>
      <c r="J1005" t="s">
        <v>40</v>
      </c>
      <c r="K1005" t="s">
        <v>41</v>
      </c>
      <c r="L1005" t="s">
        <v>2605</v>
      </c>
      <c r="M1005" t="s">
        <v>2606</v>
      </c>
      <c r="O1005" t="s">
        <v>96</v>
      </c>
      <c r="P1005" t="s">
        <v>97</v>
      </c>
      <c r="Q1005">
        <v>0.26093251490985192</v>
      </c>
      <c r="R1005" t="s">
        <v>60</v>
      </c>
      <c r="S1005" t="s">
        <v>66</v>
      </c>
      <c r="V1005" t="s">
        <v>858</v>
      </c>
      <c r="AB1005" t="s">
        <v>41</v>
      </c>
      <c r="AJ1005">
        <v>216.2907059290801</v>
      </c>
      <c r="AK1005">
        <v>1055.960647614284</v>
      </c>
    </row>
    <row r="1006" spans="1:37" hidden="1" x14ac:dyDescent="0.25">
      <c r="A1006">
        <v>1025</v>
      </c>
      <c r="B1006" t="s">
        <v>3318</v>
      </c>
      <c r="C1006" t="s">
        <v>376</v>
      </c>
      <c r="D1006" t="s">
        <v>2604</v>
      </c>
      <c r="E1006" t="s">
        <v>37</v>
      </c>
      <c r="F1006" t="s">
        <v>38</v>
      </c>
      <c r="G1006" s="2">
        <v>45846</v>
      </c>
      <c r="H1006">
        <v>3.2</v>
      </c>
      <c r="I1006" t="s">
        <v>72</v>
      </c>
      <c r="J1006" t="s">
        <v>40</v>
      </c>
      <c r="K1006" t="s">
        <v>41</v>
      </c>
      <c r="L1006" t="s">
        <v>2605</v>
      </c>
      <c r="M1006" t="s">
        <v>2606</v>
      </c>
      <c r="O1006" t="s">
        <v>79</v>
      </c>
      <c r="P1006" t="s">
        <v>80</v>
      </c>
      <c r="Q1006">
        <v>2.7321701822420188</v>
      </c>
      <c r="R1006" t="s">
        <v>46</v>
      </c>
      <c r="S1006" t="s">
        <v>47</v>
      </c>
      <c r="T1006" t="s">
        <v>3319</v>
      </c>
      <c r="V1006" t="s">
        <v>860</v>
      </c>
      <c r="X1006" t="s">
        <v>3320</v>
      </c>
      <c r="Y1006" t="s">
        <v>412</v>
      </c>
      <c r="Z1006" t="s">
        <v>2623</v>
      </c>
      <c r="AA1006" t="s">
        <v>2116</v>
      </c>
      <c r="AB1006" t="s">
        <v>41</v>
      </c>
      <c r="AD1006" t="s">
        <v>399</v>
      </c>
      <c r="AF1006" t="s">
        <v>865</v>
      </c>
      <c r="AJ1006">
        <v>418.09789150361161</v>
      </c>
      <c r="AK1006">
        <v>11056.74467603037</v>
      </c>
    </row>
    <row r="1007" spans="1:37" hidden="1" x14ac:dyDescent="0.25">
      <c r="A1007">
        <v>1026</v>
      </c>
      <c r="B1007" t="s">
        <v>3404</v>
      </c>
      <c r="C1007" t="s">
        <v>376</v>
      </c>
      <c r="D1007" t="s">
        <v>2604</v>
      </c>
      <c r="E1007" t="s">
        <v>37</v>
      </c>
      <c r="F1007" t="s">
        <v>38</v>
      </c>
      <c r="G1007" s="2">
        <v>45825</v>
      </c>
      <c r="H1007">
        <v>3.6</v>
      </c>
      <c r="I1007" t="s">
        <v>72</v>
      </c>
      <c r="J1007" t="s">
        <v>40</v>
      </c>
      <c r="K1007" t="s">
        <v>41</v>
      </c>
      <c r="L1007" t="s">
        <v>2605</v>
      </c>
      <c r="M1007" t="s">
        <v>2606</v>
      </c>
      <c r="O1007" t="s">
        <v>402</v>
      </c>
      <c r="P1007" t="s">
        <v>403</v>
      </c>
      <c r="Q1007">
        <v>0.79613596528599828</v>
      </c>
      <c r="S1007" t="s">
        <v>38</v>
      </c>
      <c r="T1007" t="s">
        <v>3405</v>
      </c>
      <c r="V1007" t="s">
        <v>860</v>
      </c>
      <c r="X1007" t="s">
        <v>3381</v>
      </c>
      <c r="Y1007" t="s">
        <v>412</v>
      </c>
      <c r="Z1007" t="s">
        <v>2623</v>
      </c>
      <c r="AA1007" t="s">
        <v>2116</v>
      </c>
      <c r="AB1007" t="s">
        <v>41</v>
      </c>
      <c r="AD1007" t="s">
        <v>399</v>
      </c>
      <c r="AF1007" t="s">
        <v>3401</v>
      </c>
      <c r="AJ1007">
        <v>253.08357230438619</v>
      </c>
      <c r="AK1007">
        <v>3221.8608316517052</v>
      </c>
    </row>
    <row r="1008" spans="1:37" hidden="1" x14ac:dyDescent="0.25">
      <c r="A1008">
        <v>1027</v>
      </c>
      <c r="B1008" t="s">
        <v>3404</v>
      </c>
      <c r="C1008" t="s">
        <v>376</v>
      </c>
      <c r="D1008" t="s">
        <v>2604</v>
      </c>
      <c r="E1008" t="s">
        <v>37</v>
      </c>
      <c r="F1008" t="s">
        <v>38</v>
      </c>
      <c r="G1008" s="2">
        <v>45825</v>
      </c>
      <c r="H1008">
        <v>3.6</v>
      </c>
      <c r="I1008" t="s">
        <v>72</v>
      </c>
      <c r="J1008" t="s">
        <v>40</v>
      </c>
      <c r="K1008" t="s">
        <v>41</v>
      </c>
      <c r="L1008" t="s">
        <v>2605</v>
      </c>
      <c r="M1008" t="s">
        <v>2606</v>
      </c>
      <c r="O1008" t="s">
        <v>402</v>
      </c>
      <c r="P1008" t="s">
        <v>403</v>
      </c>
      <c r="Q1008">
        <v>1.1458373749309321</v>
      </c>
      <c r="S1008" t="s">
        <v>38</v>
      </c>
      <c r="T1008" t="s">
        <v>3405</v>
      </c>
      <c r="V1008" t="s">
        <v>860</v>
      </c>
      <c r="X1008" t="s">
        <v>3381</v>
      </c>
      <c r="Y1008" t="s">
        <v>412</v>
      </c>
      <c r="Z1008" t="s">
        <v>2623</v>
      </c>
      <c r="AA1008" t="s">
        <v>2116</v>
      </c>
      <c r="AB1008" t="s">
        <v>41</v>
      </c>
      <c r="AD1008" t="s">
        <v>399</v>
      </c>
      <c r="AF1008" t="s">
        <v>3401</v>
      </c>
      <c r="AJ1008">
        <v>290.91160826466682</v>
      </c>
      <c r="AK1008">
        <v>4637.0578879782006</v>
      </c>
    </row>
    <row r="1009" spans="1:37" hidden="1" x14ac:dyDescent="0.25">
      <c r="A1009">
        <v>1028</v>
      </c>
      <c r="B1009" t="s">
        <v>3110</v>
      </c>
      <c r="C1009" t="s">
        <v>376</v>
      </c>
      <c r="D1009" t="s">
        <v>2604</v>
      </c>
      <c r="E1009" t="s">
        <v>37</v>
      </c>
      <c r="F1009" t="s">
        <v>38</v>
      </c>
      <c r="G1009" s="2">
        <v>45846</v>
      </c>
      <c r="H1009">
        <v>0.2</v>
      </c>
      <c r="I1009" t="s">
        <v>72</v>
      </c>
      <c r="J1009" t="s">
        <v>40</v>
      </c>
      <c r="K1009" t="s">
        <v>41</v>
      </c>
      <c r="L1009" t="s">
        <v>2605</v>
      </c>
      <c r="M1009" t="s">
        <v>2606</v>
      </c>
      <c r="O1009" t="s">
        <v>141</v>
      </c>
      <c r="P1009" t="s">
        <v>142</v>
      </c>
      <c r="Q1009">
        <v>0.1449001422019682</v>
      </c>
      <c r="S1009" t="s">
        <v>38</v>
      </c>
      <c r="T1009" t="s">
        <v>3959</v>
      </c>
      <c r="V1009" t="s">
        <v>180</v>
      </c>
      <c r="X1009" t="s">
        <v>3106</v>
      </c>
      <c r="Y1009" t="s">
        <v>412</v>
      </c>
      <c r="Z1009" t="s">
        <v>2623</v>
      </c>
      <c r="AA1009" t="s">
        <v>554</v>
      </c>
      <c r="AB1009" t="s">
        <v>41</v>
      </c>
      <c r="AD1009" t="s">
        <v>1067</v>
      </c>
      <c r="AF1009" t="s">
        <v>3091</v>
      </c>
      <c r="AJ1009">
        <v>89.234751885530272</v>
      </c>
      <c r="AK1009">
        <v>586.39241664402937</v>
      </c>
    </row>
    <row r="1010" spans="1:37" hidden="1" x14ac:dyDescent="0.25">
      <c r="A1010">
        <v>1029</v>
      </c>
      <c r="B1010" t="s">
        <v>3015</v>
      </c>
      <c r="C1010" t="s">
        <v>376</v>
      </c>
      <c r="D1010" t="s">
        <v>2604</v>
      </c>
      <c r="E1010" t="s">
        <v>37</v>
      </c>
      <c r="F1010" t="s">
        <v>38</v>
      </c>
      <c r="G1010" s="2">
        <v>45869</v>
      </c>
      <c r="H1010">
        <v>2.2999999999999998</v>
      </c>
      <c r="I1010" t="s">
        <v>72</v>
      </c>
      <c r="J1010" t="s">
        <v>40</v>
      </c>
      <c r="K1010" t="s">
        <v>41</v>
      </c>
      <c r="L1010" t="s">
        <v>2605</v>
      </c>
      <c r="M1010" t="s">
        <v>2606</v>
      </c>
      <c r="O1010" t="s">
        <v>99</v>
      </c>
      <c r="P1010" t="s">
        <v>100</v>
      </c>
      <c r="Q1010">
        <v>0.61276833202661529</v>
      </c>
      <c r="R1010" t="s">
        <v>60</v>
      </c>
      <c r="S1010" t="s">
        <v>66</v>
      </c>
      <c r="T1010" t="s">
        <v>3016</v>
      </c>
      <c r="V1010" t="s">
        <v>563</v>
      </c>
      <c r="X1010" t="s">
        <v>3017</v>
      </c>
      <c r="Y1010" t="s">
        <v>412</v>
      </c>
      <c r="Z1010" t="s">
        <v>2623</v>
      </c>
      <c r="AA1010" t="s">
        <v>180</v>
      </c>
      <c r="AB1010" t="s">
        <v>41</v>
      </c>
      <c r="AD1010" t="s">
        <v>3018</v>
      </c>
      <c r="AF1010" t="s">
        <v>3019</v>
      </c>
      <c r="AJ1010">
        <v>220.5738659892391</v>
      </c>
      <c r="AK1010">
        <v>2479.7953790768411</v>
      </c>
    </row>
    <row r="1011" spans="1:37" hidden="1" x14ac:dyDescent="0.25">
      <c r="A1011">
        <v>1030</v>
      </c>
      <c r="B1011" t="s">
        <v>2818</v>
      </c>
      <c r="C1011" t="s">
        <v>376</v>
      </c>
      <c r="D1011" t="s">
        <v>2604</v>
      </c>
      <c r="E1011" t="s">
        <v>37</v>
      </c>
      <c r="F1011" t="s">
        <v>38</v>
      </c>
      <c r="G1011" s="2">
        <v>45869</v>
      </c>
      <c r="H1011">
        <v>15.2</v>
      </c>
      <c r="I1011" t="s">
        <v>72</v>
      </c>
      <c r="J1011" t="s">
        <v>40</v>
      </c>
      <c r="K1011" t="s">
        <v>41</v>
      </c>
      <c r="L1011" t="s">
        <v>2605</v>
      </c>
      <c r="M1011" t="s">
        <v>2606</v>
      </c>
      <c r="O1011" t="s">
        <v>99</v>
      </c>
      <c r="P1011" t="s">
        <v>100</v>
      </c>
      <c r="Q1011">
        <v>0.22883339149386239</v>
      </c>
      <c r="R1011" t="s">
        <v>60</v>
      </c>
      <c r="S1011" t="s">
        <v>66</v>
      </c>
      <c r="T1011" t="s">
        <v>2777</v>
      </c>
      <c r="V1011" t="s">
        <v>896</v>
      </c>
      <c r="X1011" t="s">
        <v>2778</v>
      </c>
      <c r="Y1011" t="s">
        <v>412</v>
      </c>
      <c r="Z1011" t="s">
        <v>765</v>
      </c>
      <c r="AA1011" t="s">
        <v>119</v>
      </c>
      <c r="AB1011" t="s">
        <v>41</v>
      </c>
      <c r="AD1011" t="s">
        <v>683</v>
      </c>
      <c r="AF1011" t="s">
        <v>2819</v>
      </c>
      <c r="AJ1011">
        <v>212.94963678533429</v>
      </c>
      <c r="AK1011">
        <v>926.05958426114341</v>
      </c>
    </row>
    <row r="1012" spans="1:37" hidden="1" x14ac:dyDescent="0.25">
      <c r="A1012">
        <v>1031</v>
      </c>
      <c r="B1012" t="s">
        <v>2807</v>
      </c>
      <c r="C1012" t="s">
        <v>376</v>
      </c>
      <c r="D1012" t="s">
        <v>2604</v>
      </c>
      <c r="E1012" t="s">
        <v>37</v>
      </c>
      <c r="F1012" t="s">
        <v>38</v>
      </c>
      <c r="G1012" s="2">
        <v>45869</v>
      </c>
      <c r="H1012">
        <v>5.2</v>
      </c>
      <c r="I1012" t="s">
        <v>72</v>
      </c>
      <c r="J1012" t="s">
        <v>40</v>
      </c>
      <c r="K1012" t="s">
        <v>41</v>
      </c>
      <c r="L1012" t="s">
        <v>2605</v>
      </c>
      <c r="M1012" t="s">
        <v>2606</v>
      </c>
      <c r="O1012" t="s">
        <v>79</v>
      </c>
      <c r="P1012" t="s">
        <v>80</v>
      </c>
      <c r="Q1012">
        <v>2.192051827168874</v>
      </c>
      <c r="R1012" t="s">
        <v>60</v>
      </c>
      <c r="S1012" t="s">
        <v>66</v>
      </c>
      <c r="T1012" t="s">
        <v>2804</v>
      </c>
      <c r="V1012" t="s">
        <v>896</v>
      </c>
      <c r="X1012" t="s">
        <v>2782</v>
      </c>
      <c r="Y1012" t="s">
        <v>412</v>
      </c>
      <c r="Z1012" t="s">
        <v>765</v>
      </c>
      <c r="AA1012" t="s">
        <v>119</v>
      </c>
      <c r="AB1012" t="s">
        <v>41</v>
      </c>
      <c r="AD1012" t="s">
        <v>2783</v>
      </c>
      <c r="AF1012" t="s">
        <v>2285</v>
      </c>
      <c r="AJ1012">
        <v>387.11976945786552</v>
      </c>
      <c r="AK1012">
        <v>8870.9544987945228</v>
      </c>
    </row>
    <row r="1013" spans="1:37" hidden="1" x14ac:dyDescent="0.25">
      <c r="A1013">
        <v>1032</v>
      </c>
      <c r="C1013" t="s">
        <v>376</v>
      </c>
      <c r="D1013" t="s">
        <v>2604</v>
      </c>
      <c r="E1013" t="s">
        <v>37</v>
      </c>
      <c r="F1013" t="s">
        <v>38</v>
      </c>
      <c r="G1013" s="2">
        <v>45825</v>
      </c>
      <c r="I1013" t="s">
        <v>72</v>
      </c>
      <c r="J1013" t="s">
        <v>40</v>
      </c>
      <c r="K1013" t="s">
        <v>41</v>
      </c>
      <c r="L1013" t="s">
        <v>2605</v>
      </c>
      <c r="M1013" t="s">
        <v>2606</v>
      </c>
      <c r="O1013" t="s">
        <v>1081</v>
      </c>
      <c r="P1013" t="s">
        <v>116</v>
      </c>
      <c r="Q1013">
        <v>0.1353740533784665</v>
      </c>
      <c r="S1013" t="s">
        <v>38</v>
      </c>
      <c r="T1013" t="s">
        <v>3960</v>
      </c>
      <c r="V1013" t="s">
        <v>139</v>
      </c>
      <c r="AB1013" t="s">
        <v>41</v>
      </c>
      <c r="AJ1013">
        <v>94.641437659015992</v>
      </c>
      <c r="AK1013">
        <v>547.84154870497105</v>
      </c>
    </row>
    <row r="1014" spans="1:37" hidden="1" x14ac:dyDescent="0.25">
      <c r="A1014">
        <v>1033</v>
      </c>
      <c r="C1014" t="s">
        <v>376</v>
      </c>
      <c r="D1014" t="s">
        <v>2604</v>
      </c>
      <c r="E1014" t="s">
        <v>37</v>
      </c>
      <c r="F1014" t="s">
        <v>38</v>
      </c>
      <c r="G1014" s="2">
        <v>45869</v>
      </c>
      <c r="I1014" t="s">
        <v>72</v>
      </c>
      <c r="J1014" t="s">
        <v>40</v>
      </c>
      <c r="K1014" t="s">
        <v>41</v>
      </c>
      <c r="L1014" t="s">
        <v>2605</v>
      </c>
      <c r="M1014" t="s">
        <v>2606</v>
      </c>
      <c r="O1014" t="s">
        <v>408</v>
      </c>
      <c r="P1014" t="s">
        <v>409</v>
      </c>
      <c r="Q1014">
        <v>0.29253500944984939</v>
      </c>
      <c r="R1014" t="s">
        <v>60</v>
      </c>
      <c r="S1014" t="s">
        <v>66</v>
      </c>
      <c r="V1014" t="s">
        <v>397</v>
      </c>
      <c r="AJ1014">
        <v>138.71006949405759</v>
      </c>
      <c r="AK1014">
        <v>1183.8519171719011</v>
      </c>
    </row>
    <row r="1015" spans="1:37" x14ac:dyDescent="0.25">
      <c r="A1015">
        <v>1113</v>
      </c>
      <c r="B1015" t="s">
        <v>2727</v>
      </c>
      <c r="C1015" t="s">
        <v>376</v>
      </c>
      <c r="D1015" t="s">
        <v>2604</v>
      </c>
      <c r="E1015" t="s">
        <v>37</v>
      </c>
      <c r="G1015" s="2">
        <v>45846</v>
      </c>
      <c r="H1015">
        <v>6.4</v>
      </c>
      <c r="M1015" t="s">
        <v>2606</v>
      </c>
      <c r="O1015" t="s">
        <v>62</v>
      </c>
      <c r="P1015" t="s">
        <v>63</v>
      </c>
      <c r="Q1015">
        <v>1.2277602127509959</v>
      </c>
      <c r="R1015" t="s">
        <v>64</v>
      </c>
      <c r="S1015" t="s">
        <v>65</v>
      </c>
      <c r="T1015" t="s">
        <v>2722</v>
      </c>
      <c r="V1015" t="s">
        <v>681</v>
      </c>
      <c r="X1015" t="s">
        <v>2714</v>
      </c>
      <c r="AD1015" t="s">
        <v>620</v>
      </c>
      <c r="AF1015" t="s">
        <v>2641</v>
      </c>
      <c r="AJ1015">
        <v>451.06332952690281</v>
      </c>
      <c r="AK1015">
        <v>4968.5891764753906</v>
      </c>
    </row>
    <row r="1016" spans="1:37" hidden="1" x14ac:dyDescent="0.25">
      <c r="A1016">
        <v>1035</v>
      </c>
      <c r="C1016" t="s">
        <v>376</v>
      </c>
      <c r="D1016" t="s">
        <v>2604</v>
      </c>
      <c r="E1016" t="s">
        <v>37</v>
      </c>
      <c r="F1016" t="s">
        <v>38</v>
      </c>
      <c r="G1016" s="2">
        <v>45869</v>
      </c>
      <c r="I1016" t="s">
        <v>72</v>
      </c>
      <c r="J1016" t="s">
        <v>40</v>
      </c>
      <c r="K1016" t="s">
        <v>41</v>
      </c>
      <c r="L1016" t="s">
        <v>2605</v>
      </c>
      <c r="M1016" t="s">
        <v>2606</v>
      </c>
      <c r="O1016" t="s">
        <v>99</v>
      </c>
      <c r="P1016" t="s">
        <v>100</v>
      </c>
      <c r="Q1016">
        <v>8.6686010667705218E-2</v>
      </c>
      <c r="R1016" t="s">
        <v>60</v>
      </c>
      <c r="S1016" t="s">
        <v>66</v>
      </c>
      <c r="V1016" t="s">
        <v>182</v>
      </c>
      <c r="AJ1016">
        <v>77.355491777986515</v>
      </c>
      <c r="AK1016">
        <v>350.80724223040352</v>
      </c>
    </row>
    <row r="1017" spans="1:37" hidden="1" x14ac:dyDescent="0.25">
      <c r="A1017">
        <v>1036</v>
      </c>
      <c r="C1017" t="s">
        <v>376</v>
      </c>
      <c r="D1017" t="s">
        <v>2604</v>
      </c>
      <c r="E1017" t="s">
        <v>37</v>
      </c>
      <c r="F1017" t="s">
        <v>38</v>
      </c>
      <c r="G1017" s="2">
        <v>45869</v>
      </c>
      <c r="I1017" t="s">
        <v>72</v>
      </c>
      <c r="J1017" t="s">
        <v>40</v>
      </c>
      <c r="K1017" t="s">
        <v>41</v>
      </c>
      <c r="L1017" t="s">
        <v>2605</v>
      </c>
      <c r="M1017" t="s">
        <v>2606</v>
      </c>
      <c r="O1017" t="s">
        <v>99</v>
      </c>
      <c r="P1017" t="s">
        <v>100</v>
      </c>
      <c r="Q1017">
        <v>0.24298433526346239</v>
      </c>
      <c r="R1017" t="s">
        <v>60</v>
      </c>
      <c r="S1017" t="s">
        <v>66</v>
      </c>
      <c r="V1017" t="s">
        <v>182</v>
      </c>
      <c r="AJ1017">
        <v>172.25011262809471</v>
      </c>
      <c r="AK1017">
        <v>983.32665100620829</v>
      </c>
    </row>
    <row r="1018" spans="1:37" x14ac:dyDescent="0.25">
      <c r="A1018">
        <v>1114</v>
      </c>
      <c r="B1018" t="s">
        <v>2739</v>
      </c>
      <c r="C1018" t="s">
        <v>376</v>
      </c>
      <c r="D1018" t="s">
        <v>2604</v>
      </c>
      <c r="E1018" t="s">
        <v>37</v>
      </c>
      <c r="G1018" s="2">
        <v>45846</v>
      </c>
      <c r="H1018">
        <v>6.7</v>
      </c>
      <c r="M1018" t="s">
        <v>2606</v>
      </c>
      <c r="O1018" t="s">
        <v>62</v>
      </c>
      <c r="P1018" t="s">
        <v>63</v>
      </c>
      <c r="Q1018">
        <v>0.57689021336784208</v>
      </c>
      <c r="R1018" t="s">
        <v>64</v>
      </c>
      <c r="S1018" t="s">
        <v>65</v>
      </c>
      <c r="T1018" t="s">
        <v>2722</v>
      </c>
      <c r="V1018" t="s">
        <v>681</v>
      </c>
      <c r="X1018" t="s">
        <v>2714</v>
      </c>
      <c r="AD1018" t="s">
        <v>620</v>
      </c>
      <c r="AF1018" t="s">
        <v>2667</v>
      </c>
      <c r="AJ1018">
        <v>312.07650424279399</v>
      </c>
      <c r="AK1018">
        <v>2334.6012033828329</v>
      </c>
    </row>
    <row r="1019" spans="1:37" hidden="1" x14ac:dyDescent="0.25">
      <c r="A1019">
        <v>1038</v>
      </c>
      <c r="C1019" t="s">
        <v>376</v>
      </c>
      <c r="D1019" t="s">
        <v>2604</v>
      </c>
      <c r="E1019" t="s">
        <v>37</v>
      </c>
      <c r="F1019" t="s">
        <v>38</v>
      </c>
      <c r="G1019" s="2">
        <v>45847</v>
      </c>
      <c r="I1019" t="s">
        <v>72</v>
      </c>
      <c r="J1019" t="s">
        <v>40</v>
      </c>
      <c r="K1019" t="s">
        <v>41</v>
      </c>
      <c r="L1019" t="s">
        <v>2605</v>
      </c>
      <c r="M1019" t="s">
        <v>2606</v>
      </c>
      <c r="O1019" t="s">
        <v>99</v>
      </c>
      <c r="P1019" t="s">
        <v>100</v>
      </c>
      <c r="Q1019">
        <v>0.207432250249971</v>
      </c>
      <c r="R1019" t="s">
        <v>60</v>
      </c>
      <c r="S1019" t="s">
        <v>66</v>
      </c>
      <c r="V1019" t="s">
        <v>182</v>
      </c>
      <c r="AJ1019">
        <v>193.252656869535</v>
      </c>
      <c r="AK1019">
        <v>839.45189194118893</v>
      </c>
    </row>
    <row r="1020" spans="1:37" hidden="1" x14ac:dyDescent="0.25">
      <c r="A1020">
        <v>1039</v>
      </c>
      <c r="C1020" t="s">
        <v>376</v>
      </c>
      <c r="D1020" t="s">
        <v>2604</v>
      </c>
      <c r="E1020" t="s">
        <v>37</v>
      </c>
      <c r="F1020" t="s">
        <v>38</v>
      </c>
      <c r="G1020" s="2">
        <v>45869</v>
      </c>
      <c r="I1020" t="s">
        <v>72</v>
      </c>
      <c r="J1020" t="s">
        <v>40</v>
      </c>
      <c r="K1020" t="s">
        <v>41</v>
      </c>
      <c r="L1020" t="s">
        <v>2605</v>
      </c>
      <c r="M1020" t="s">
        <v>2606</v>
      </c>
      <c r="O1020" t="s">
        <v>99</v>
      </c>
      <c r="P1020" t="s">
        <v>100</v>
      </c>
      <c r="Q1020">
        <v>0.33934593868850588</v>
      </c>
      <c r="S1020" t="s">
        <v>74</v>
      </c>
      <c r="V1020" t="s">
        <v>182</v>
      </c>
      <c r="AJ1020">
        <v>235.31729229333169</v>
      </c>
      <c r="AK1020">
        <v>1373.289784550582</v>
      </c>
    </row>
    <row r="1021" spans="1:37" hidden="1" x14ac:dyDescent="0.25">
      <c r="A1021">
        <v>1040</v>
      </c>
      <c r="C1021" t="s">
        <v>376</v>
      </c>
      <c r="D1021" t="s">
        <v>2604</v>
      </c>
      <c r="E1021" t="s">
        <v>37</v>
      </c>
      <c r="F1021" t="s">
        <v>38</v>
      </c>
      <c r="G1021" s="2">
        <v>45869</v>
      </c>
      <c r="I1021" t="s">
        <v>72</v>
      </c>
      <c r="J1021" t="s">
        <v>40</v>
      </c>
      <c r="K1021" t="s">
        <v>41</v>
      </c>
      <c r="L1021" t="s">
        <v>2605</v>
      </c>
      <c r="M1021" t="s">
        <v>2606</v>
      </c>
      <c r="O1021" t="s">
        <v>99</v>
      </c>
      <c r="P1021" t="s">
        <v>100</v>
      </c>
      <c r="Q1021">
        <v>0.28485555866874201</v>
      </c>
      <c r="S1021" t="s">
        <v>74</v>
      </c>
      <c r="V1021" t="s">
        <v>182</v>
      </c>
      <c r="AJ1021">
        <v>233.84806568877201</v>
      </c>
      <c r="AK1021">
        <v>1152.77415814696</v>
      </c>
    </row>
    <row r="1022" spans="1:37" hidden="1" x14ac:dyDescent="0.25">
      <c r="A1022">
        <v>1041</v>
      </c>
      <c r="B1022" t="s">
        <v>2661</v>
      </c>
      <c r="C1022" t="s">
        <v>376</v>
      </c>
      <c r="D1022" t="s">
        <v>2604</v>
      </c>
      <c r="E1022" t="s">
        <v>37</v>
      </c>
      <c r="F1022" t="s">
        <v>38</v>
      </c>
      <c r="G1022" s="2">
        <v>45847</v>
      </c>
      <c r="H1022">
        <v>0.4</v>
      </c>
      <c r="I1022" t="s">
        <v>72</v>
      </c>
      <c r="J1022" t="s">
        <v>40</v>
      </c>
      <c r="K1022" t="s">
        <v>41</v>
      </c>
      <c r="L1022" t="s">
        <v>2605</v>
      </c>
      <c r="M1022" t="s">
        <v>2606</v>
      </c>
      <c r="O1022" t="s">
        <v>99</v>
      </c>
      <c r="P1022" t="s">
        <v>100</v>
      </c>
      <c r="Q1022">
        <v>6.7939770436997768E-2</v>
      </c>
      <c r="R1022" t="s">
        <v>60</v>
      </c>
      <c r="S1022" t="s">
        <v>66</v>
      </c>
      <c r="T1022" t="s">
        <v>2662</v>
      </c>
      <c r="V1022" t="s">
        <v>182</v>
      </c>
      <c r="X1022" t="s">
        <v>2663</v>
      </c>
      <c r="Y1022" t="s">
        <v>420</v>
      </c>
      <c r="Z1022" t="s">
        <v>765</v>
      </c>
      <c r="AA1022" t="s">
        <v>121</v>
      </c>
      <c r="AB1022" t="s">
        <v>41</v>
      </c>
      <c r="AJ1022">
        <v>69.125185421511816</v>
      </c>
      <c r="AK1022">
        <v>274.94359610263069</v>
      </c>
    </row>
    <row r="1023" spans="1:37" hidden="1" x14ac:dyDescent="0.25">
      <c r="A1023">
        <v>1042</v>
      </c>
      <c r="B1023" t="s">
        <v>2661</v>
      </c>
      <c r="C1023" t="s">
        <v>376</v>
      </c>
      <c r="D1023" t="s">
        <v>2604</v>
      </c>
      <c r="E1023" t="s">
        <v>37</v>
      </c>
      <c r="F1023" t="s">
        <v>38</v>
      </c>
      <c r="G1023" s="2">
        <v>45847</v>
      </c>
      <c r="H1023">
        <v>0.4</v>
      </c>
      <c r="I1023" t="s">
        <v>72</v>
      </c>
      <c r="J1023" t="s">
        <v>40</v>
      </c>
      <c r="K1023" t="s">
        <v>41</v>
      </c>
      <c r="L1023" t="s">
        <v>2605</v>
      </c>
      <c r="M1023" t="s">
        <v>2606</v>
      </c>
      <c r="O1023" t="s">
        <v>99</v>
      </c>
      <c r="P1023" t="s">
        <v>100</v>
      </c>
      <c r="Q1023">
        <v>7.1355478582129872E-2</v>
      </c>
      <c r="R1023" t="s">
        <v>60</v>
      </c>
      <c r="S1023" t="s">
        <v>66</v>
      </c>
      <c r="T1023" t="s">
        <v>2662</v>
      </c>
      <c r="V1023" t="s">
        <v>182</v>
      </c>
      <c r="X1023" t="s">
        <v>2663</v>
      </c>
      <c r="Y1023" t="s">
        <v>420</v>
      </c>
      <c r="Z1023" t="s">
        <v>765</v>
      </c>
      <c r="AA1023" t="s">
        <v>121</v>
      </c>
      <c r="AB1023" t="s">
        <v>41</v>
      </c>
      <c r="AJ1023">
        <v>151.8247979712161</v>
      </c>
      <c r="AK1023">
        <v>288.76653183849021</v>
      </c>
    </row>
    <row r="1024" spans="1:37" hidden="1" x14ac:dyDescent="0.25">
      <c r="A1024">
        <v>1043</v>
      </c>
      <c r="B1024" t="s">
        <v>3961</v>
      </c>
      <c r="C1024" t="s">
        <v>376</v>
      </c>
      <c r="D1024" t="s">
        <v>2604</v>
      </c>
      <c r="E1024" t="s">
        <v>37</v>
      </c>
      <c r="F1024" t="s">
        <v>38</v>
      </c>
      <c r="G1024" s="2">
        <v>45847</v>
      </c>
      <c r="H1024">
        <v>3.1</v>
      </c>
      <c r="I1024" t="s">
        <v>72</v>
      </c>
      <c r="J1024" t="s">
        <v>40</v>
      </c>
      <c r="K1024" t="s">
        <v>41</v>
      </c>
      <c r="L1024" t="s">
        <v>2605</v>
      </c>
      <c r="M1024" t="s">
        <v>2606</v>
      </c>
      <c r="O1024" t="s">
        <v>96</v>
      </c>
      <c r="P1024" t="s">
        <v>97</v>
      </c>
      <c r="Q1024">
        <v>0.23178361892949931</v>
      </c>
      <c r="R1024" t="s">
        <v>60</v>
      </c>
      <c r="S1024" t="s">
        <v>66</v>
      </c>
      <c r="T1024" t="s">
        <v>3962</v>
      </c>
      <c r="V1024" t="s">
        <v>397</v>
      </c>
      <c r="X1024" t="s">
        <v>2680</v>
      </c>
      <c r="Y1024" t="s">
        <v>412</v>
      </c>
      <c r="Z1024" t="s">
        <v>765</v>
      </c>
      <c r="AA1024" t="s">
        <v>64</v>
      </c>
      <c r="AB1024" t="s">
        <v>41</v>
      </c>
      <c r="AD1024" t="s">
        <v>898</v>
      </c>
      <c r="AF1024" t="s">
        <v>2684</v>
      </c>
      <c r="AJ1024">
        <v>204.93229642199319</v>
      </c>
      <c r="AK1024">
        <v>937.99877886332183</v>
      </c>
    </row>
    <row r="1025" spans="1:37" x14ac:dyDescent="0.25">
      <c r="A1025">
        <v>1124</v>
      </c>
      <c r="B1025" t="s">
        <v>3965</v>
      </c>
      <c r="C1025" t="s">
        <v>376</v>
      </c>
      <c r="D1025" t="s">
        <v>2604</v>
      </c>
      <c r="E1025" t="s">
        <v>37</v>
      </c>
      <c r="G1025" s="2">
        <v>45825</v>
      </c>
      <c r="H1025">
        <v>9.6</v>
      </c>
      <c r="M1025" t="s">
        <v>2606</v>
      </c>
      <c r="O1025" t="s">
        <v>62</v>
      </c>
      <c r="P1025" t="s">
        <v>63</v>
      </c>
      <c r="Q1025">
        <v>1.3372055732730841</v>
      </c>
      <c r="R1025" t="s">
        <v>64</v>
      </c>
      <c r="S1025" t="s">
        <v>65</v>
      </c>
      <c r="T1025" t="s">
        <v>3638</v>
      </c>
      <c r="V1025" t="s">
        <v>3625</v>
      </c>
      <c r="X1025" t="s">
        <v>3624</v>
      </c>
      <c r="AD1025" t="s">
        <v>3626</v>
      </c>
      <c r="AF1025" t="s">
        <v>3613</v>
      </c>
      <c r="AJ1025">
        <v>440.97150490573739</v>
      </c>
      <c r="AK1025">
        <v>5411.5006082500404</v>
      </c>
    </row>
    <row r="1026" spans="1:37" hidden="1" x14ac:dyDescent="0.25">
      <c r="A1026">
        <v>1045</v>
      </c>
      <c r="B1026" t="s">
        <v>3961</v>
      </c>
      <c r="C1026" t="s">
        <v>376</v>
      </c>
      <c r="D1026" t="s">
        <v>2604</v>
      </c>
      <c r="E1026" t="s">
        <v>37</v>
      </c>
      <c r="F1026" t="s">
        <v>38</v>
      </c>
      <c r="G1026" s="2">
        <v>45847</v>
      </c>
      <c r="H1026">
        <v>3.1</v>
      </c>
      <c r="I1026" t="s">
        <v>72</v>
      </c>
      <c r="J1026" t="s">
        <v>40</v>
      </c>
      <c r="K1026" t="s">
        <v>41</v>
      </c>
      <c r="L1026" t="s">
        <v>2605</v>
      </c>
      <c r="M1026" t="s">
        <v>2606</v>
      </c>
      <c r="O1026" t="s">
        <v>99</v>
      </c>
      <c r="P1026" t="s">
        <v>100</v>
      </c>
      <c r="Q1026">
        <v>0.14707104918279759</v>
      </c>
      <c r="R1026" t="s">
        <v>60</v>
      </c>
      <c r="S1026" t="s">
        <v>66</v>
      </c>
      <c r="T1026" t="s">
        <v>3963</v>
      </c>
      <c r="V1026" t="s">
        <v>397</v>
      </c>
      <c r="X1026" t="s">
        <v>2680</v>
      </c>
      <c r="Y1026" t="s">
        <v>412</v>
      </c>
      <c r="Z1026" t="s">
        <v>765</v>
      </c>
      <c r="AA1026" t="s">
        <v>64</v>
      </c>
      <c r="AB1026" t="s">
        <v>41</v>
      </c>
      <c r="AD1026" t="s">
        <v>898</v>
      </c>
      <c r="AF1026" t="s">
        <v>2684</v>
      </c>
      <c r="AJ1026">
        <v>195.74500787889471</v>
      </c>
      <c r="AK1026">
        <v>595.17780064333272</v>
      </c>
    </row>
    <row r="1027" spans="1:37" hidden="1" x14ac:dyDescent="0.25">
      <c r="A1027">
        <v>1046</v>
      </c>
      <c r="B1027" t="s">
        <v>2604</v>
      </c>
      <c r="C1027" t="s">
        <v>376</v>
      </c>
      <c r="D1027" t="s">
        <v>2604</v>
      </c>
      <c r="E1027" t="s">
        <v>37</v>
      </c>
      <c r="F1027" t="s">
        <v>38</v>
      </c>
      <c r="G1027" s="2">
        <v>45826</v>
      </c>
      <c r="H1027">
        <v>10.4</v>
      </c>
      <c r="I1027" t="s">
        <v>72</v>
      </c>
      <c r="J1027" t="s">
        <v>40</v>
      </c>
      <c r="K1027" t="s">
        <v>41</v>
      </c>
      <c r="L1027" t="s">
        <v>2605</v>
      </c>
      <c r="M1027" t="s">
        <v>2606</v>
      </c>
      <c r="O1027" t="s">
        <v>52</v>
      </c>
      <c r="P1027" t="s">
        <v>53</v>
      </c>
      <c r="Q1027">
        <v>3.989465095263935</v>
      </c>
      <c r="R1027" t="s">
        <v>46</v>
      </c>
      <c r="S1027" t="s">
        <v>47</v>
      </c>
      <c r="T1027" t="s">
        <v>3816</v>
      </c>
      <c r="V1027" t="s">
        <v>942</v>
      </c>
      <c r="X1027" t="s">
        <v>3659</v>
      </c>
      <c r="Y1027" t="s">
        <v>698</v>
      </c>
      <c r="Z1027" t="s">
        <v>2630</v>
      </c>
      <c r="AA1027" t="s">
        <v>681</v>
      </c>
      <c r="AB1027" t="s">
        <v>41</v>
      </c>
      <c r="AD1027" t="s">
        <v>260</v>
      </c>
      <c r="AF1027" t="s">
        <v>3660</v>
      </c>
      <c r="AJ1027">
        <v>655.23330412745509</v>
      </c>
      <c r="AK1027">
        <v>16144.857022072991</v>
      </c>
    </row>
    <row r="1028" spans="1:37" x14ac:dyDescent="0.25">
      <c r="A1028">
        <v>1125</v>
      </c>
      <c r="B1028" t="s">
        <v>3965</v>
      </c>
      <c r="C1028" t="s">
        <v>376</v>
      </c>
      <c r="D1028" t="s">
        <v>2604</v>
      </c>
      <c r="E1028" t="s">
        <v>37</v>
      </c>
      <c r="G1028" s="2">
        <v>45825</v>
      </c>
      <c r="H1028">
        <v>9.6</v>
      </c>
      <c r="M1028" t="s">
        <v>2606</v>
      </c>
      <c r="O1028" t="s">
        <v>62</v>
      </c>
      <c r="P1028" t="s">
        <v>63</v>
      </c>
      <c r="Q1028">
        <v>6.5026318169313058</v>
      </c>
      <c r="R1028" t="s">
        <v>64</v>
      </c>
      <c r="S1028" t="s">
        <v>65</v>
      </c>
      <c r="T1028" t="s">
        <v>3638</v>
      </c>
      <c r="V1028" t="s">
        <v>3625</v>
      </c>
      <c r="X1028" t="s">
        <v>3624</v>
      </c>
      <c r="AD1028" t="s">
        <v>3626</v>
      </c>
      <c r="AF1028" t="s">
        <v>3613</v>
      </c>
      <c r="AJ1028">
        <v>660.09326615112661</v>
      </c>
      <c r="AK1028">
        <v>26315.32259203614</v>
      </c>
    </row>
    <row r="1029" spans="1:37" hidden="1" x14ac:dyDescent="0.25">
      <c r="A1029">
        <v>1048</v>
      </c>
      <c r="B1029" t="s">
        <v>3421</v>
      </c>
      <c r="C1029" t="s">
        <v>376</v>
      </c>
      <c r="D1029" t="s">
        <v>2604</v>
      </c>
      <c r="E1029" t="s">
        <v>37</v>
      </c>
      <c r="F1029" t="s">
        <v>38</v>
      </c>
      <c r="G1029" s="2">
        <v>45825</v>
      </c>
      <c r="H1029">
        <v>9.1</v>
      </c>
      <c r="I1029" t="s">
        <v>72</v>
      </c>
      <c r="J1029" t="s">
        <v>40</v>
      </c>
      <c r="K1029" t="s">
        <v>41</v>
      </c>
      <c r="L1029" t="s">
        <v>2605</v>
      </c>
      <c r="M1029" t="s">
        <v>2606</v>
      </c>
      <c r="N1029" t="s">
        <v>3027</v>
      </c>
      <c r="O1029" t="s">
        <v>44</v>
      </c>
      <c r="P1029" t="s">
        <v>45</v>
      </c>
      <c r="Q1029">
        <v>1.728785783867318</v>
      </c>
      <c r="R1029" t="s">
        <v>46</v>
      </c>
      <c r="S1029" t="s">
        <v>47</v>
      </c>
      <c r="T1029" t="s">
        <v>3364</v>
      </c>
      <c r="V1029" t="s">
        <v>110</v>
      </c>
      <c r="X1029" t="s">
        <v>3384</v>
      </c>
      <c r="Y1029" t="s">
        <v>412</v>
      </c>
      <c r="Z1029" t="s">
        <v>2623</v>
      </c>
      <c r="AA1029" t="s">
        <v>121</v>
      </c>
      <c r="AB1029" t="s">
        <v>41</v>
      </c>
      <c r="AD1029" t="s">
        <v>620</v>
      </c>
      <c r="AF1029" t="s">
        <v>3304</v>
      </c>
      <c r="AJ1029">
        <v>455.95937820243188</v>
      </c>
      <c r="AK1029">
        <v>6996.1758370726384</v>
      </c>
    </row>
    <row r="1030" spans="1:37" x14ac:dyDescent="0.25">
      <c r="A1030">
        <v>83</v>
      </c>
      <c r="B1030" t="s">
        <v>2769</v>
      </c>
      <c r="C1030" t="s">
        <v>376</v>
      </c>
      <c r="D1030" t="s">
        <v>2604</v>
      </c>
      <c r="E1030" t="s">
        <v>37</v>
      </c>
      <c r="F1030" t="s">
        <v>38</v>
      </c>
      <c r="G1030" s="2">
        <v>45846</v>
      </c>
      <c r="H1030">
        <v>8.6999999999999993</v>
      </c>
      <c r="I1030" t="s">
        <v>72</v>
      </c>
      <c r="J1030" t="s">
        <v>40</v>
      </c>
      <c r="K1030" t="s">
        <v>41</v>
      </c>
      <c r="L1030" t="s">
        <v>2605</v>
      </c>
      <c r="M1030" t="s">
        <v>2606</v>
      </c>
      <c r="N1030" t="s">
        <v>2712</v>
      </c>
      <c r="O1030" t="s">
        <v>81</v>
      </c>
      <c r="P1030" t="s">
        <v>82</v>
      </c>
      <c r="Q1030">
        <v>8.8668701827959833</v>
      </c>
      <c r="R1030" t="s">
        <v>46</v>
      </c>
      <c r="S1030" t="s">
        <v>47</v>
      </c>
      <c r="T1030" t="s">
        <v>2768</v>
      </c>
      <c r="V1030" t="s">
        <v>618</v>
      </c>
      <c r="X1030" t="s">
        <v>2763</v>
      </c>
      <c r="Y1030" t="s">
        <v>412</v>
      </c>
      <c r="Z1030" t="s">
        <v>2623</v>
      </c>
      <c r="AA1030" t="s">
        <v>70</v>
      </c>
      <c r="AB1030" t="s">
        <v>41</v>
      </c>
      <c r="AD1030" t="s">
        <v>620</v>
      </c>
      <c r="AF1030" t="s">
        <v>414</v>
      </c>
      <c r="AJ1030">
        <v>768.19455874988591</v>
      </c>
      <c r="AK1030">
        <v>35883.094078067763</v>
      </c>
    </row>
    <row r="1031" spans="1:37" hidden="1" x14ac:dyDescent="0.25">
      <c r="A1031">
        <v>1050</v>
      </c>
      <c r="B1031" t="s">
        <v>3118</v>
      </c>
      <c r="C1031" t="s">
        <v>376</v>
      </c>
      <c r="D1031" t="s">
        <v>2604</v>
      </c>
      <c r="E1031" t="s">
        <v>37</v>
      </c>
      <c r="F1031" t="s">
        <v>38</v>
      </c>
      <c r="G1031" s="2">
        <v>45845</v>
      </c>
      <c r="H1031">
        <v>7</v>
      </c>
      <c r="I1031" t="s">
        <v>72</v>
      </c>
      <c r="J1031" t="s">
        <v>40</v>
      </c>
      <c r="K1031" t="s">
        <v>41</v>
      </c>
      <c r="L1031" t="s">
        <v>2605</v>
      </c>
      <c r="M1031" t="s">
        <v>2606</v>
      </c>
      <c r="N1031" t="s">
        <v>2702</v>
      </c>
      <c r="O1031" t="s">
        <v>880</v>
      </c>
      <c r="P1031" t="s">
        <v>881</v>
      </c>
      <c r="Q1031">
        <v>0.22731118098525119</v>
      </c>
      <c r="T1031" t="s">
        <v>2883</v>
      </c>
      <c r="V1031" t="s">
        <v>70</v>
      </c>
      <c r="X1031" t="s">
        <v>2880</v>
      </c>
      <c r="Y1031" t="s">
        <v>412</v>
      </c>
      <c r="Z1031" t="s">
        <v>2623</v>
      </c>
      <c r="AA1031" t="s">
        <v>452</v>
      </c>
      <c r="AB1031" t="s">
        <v>41</v>
      </c>
      <c r="AD1031" t="s">
        <v>620</v>
      </c>
      <c r="AF1031" t="s">
        <v>3119</v>
      </c>
      <c r="AJ1031">
        <v>162.30665878635301</v>
      </c>
      <c r="AK1031">
        <v>919.89939224738202</v>
      </c>
    </row>
    <row r="1032" spans="1:37" x14ac:dyDescent="0.25">
      <c r="A1032">
        <v>84</v>
      </c>
      <c r="B1032" t="s">
        <v>2770</v>
      </c>
      <c r="C1032" t="s">
        <v>376</v>
      </c>
      <c r="D1032" t="s">
        <v>2604</v>
      </c>
      <c r="E1032" t="s">
        <v>37</v>
      </c>
      <c r="F1032" t="s">
        <v>38</v>
      </c>
      <c r="G1032" s="2">
        <v>45846</v>
      </c>
      <c r="H1032">
        <v>10.7</v>
      </c>
      <c r="I1032" t="s">
        <v>72</v>
      </c>
      <c r="J1032" t="s">
        <v>40</v>
      </c>
      <c r="K1032" t="s">
        <v>41</v>
      </c>
      <c r="L1032" t="s">
        <v>2605</v>
      </c>
      <c r="M1032" t="s">
        <v>2606</v>
      </c>
      <c r="N1032" t="s">
        <v>2712</v>
      </c>
      <c r="O1032" t="s">
        <v>81</v>
      </c>
      <c r="P1032" t="s">
        <v>82</v>
      </c>
      <c r="Q1032">
        <v>9.7802821387686691</v>
      </c>
      <c r="R1032" t="s">
        <v>46</v>
      </c>
      <c r="S1032" t="s">
        <v>47</v>
      </c>
      <c r="T1032" t="s">
        <v>2768</v>
      </c>
      <c r="V1032" t="s">
        <v>618</v>
      </c>
      <c r="X1032" t="s">
        <v>2763</v>
      </c>
      <c r="Y1032" t="s">
        <v>412</v>
      </c>
      <c r="Z1032" t="s">
        <v>2623</v>
      </c>
      <c r="AA1032" t="s">
        <v>70</v>
      </c>
      <c r="AB1032" t="s">
        <v>41</v>
      </c>
      <c r="AD1032" t="s">
        <v>620</v>
      </c>
      <c r="AF1032" t="s">
        <v>414</v>
      </c>
      <c r="AJ1032">
        <v>917.64041505477485</v>
      </c>
      <c r="AK1032">
        <v>39579.555904225293</v>
      </c>
    </row>
    <row r="1033" spans="1:37" x14ac:dyDescent="0.25">
      <c r="A1033">
        <v>85</v>
      </c>
      <c r="B1033" t="s">
        <v>2771</v>
      </c>
      <c r="C1033" t="s">
        <v>376</v>
      </c>
      <c r="D1033" t="s">
        <v>2604</v>
      </c>
      <c r="E1033" t="s">
        <v>37</v>
      </c>
      <c r="F1033" t="s">
        <v>38</v>
      </c>
      <c r="G1033" s="2">
        <v>45846</v>
      </c>
      <c r="H1033">
        <v>7.2</v>
      </c>
      <c r="I1033" t="s">
        <v>72</v>
      </c>
      <c r="J1033" t="s">
        <v>40</v>
      </c>
      <c r="K1033" t="s">
        <v>41</v>
      </c>
      <c r="L1033" t="s">
        <v>2605</v>
      </c>
      <c r="M1033" t="s">
        <v>2606</v>
      </c>
      <c r="N1033" t="s">
        <v>2712</v>
      </c>
      <c r="O1033" t="s">
        <v>81</v>
      </c>
      <c r="P1033" t="s">
        <v>82</v>
      </c>
      <c r="Q1033">
        <v>5.0902603851691319</v>
      </c>
      <c r="R1033" t="s">
        <v>46</v>
      </c>
      <c r="S1033" t="s">
        <v>47</v>
      </c>
      <c r="T1033" t="s">
        <v>2768</v>
      </c>
      <c r="V1033" t="s">
        <v>618</v>
      </c>
      <c r="X1033" t="s">
        <v>2763</v>
      </c>
      <c r="Y1033" t="s">
        <v>412</v>
      </c>
      <c r="Z1033" t="s">
        <v>2623</v>
      </c>
      <c r="AA1033" t="s">
        <v>70</v>
      </c>
      <c r="AB1033" t="s">
        <v>41</v>
      </c>
      <c r="AD1033" t="s">
        <v>620</v>
      </c>
      <c r="AF1033" t="s">
        <v>414</v>
      </c>
      <c r="AJ1033">
        <v>627.99979547334601</v>
      </c>
      <c r="AK1033">
        <v>20599.635329868921</v>
      </c>
    </row>
    <row r="1034" spans="1:37" hidden="1" x14ac:dyDescent="0.25">
      <c r="A1034">
        <v>1053</v>
      </c>
      <c r="B1034" t="s">
        <v>3088</v>
      </c>
      <c r="C1034" t="s">
        <v>376</v>
      </c>
      <c r="D1034" t="s">
        <v>2604</v>
      </c>
      <c r="E1034" t="s">
        <v>37</v>
      </c>
      <c r="F1034" t="s">
        <v>38</v>
      </c>
      <c r="G1034" s="2">
        <v>45846</v>
      </c>
      <c r="H1034">
        <v>4.4214872248891739</v>
      </c>
      <c r="I1034" t="s">
        <v>72</v>
      </c>
      <c r="J1034" t="s">
        <v>40</v>
      </c>
      <c r="K1034" t="s">
        <v>41</v>
      </c>
      <c r="L1034" t="s">
        <v>2605</v>
      </c>
      <c r="M1034" t="s">
        <v>2606</v>
      </c>
      <c r="O1034" t="s">
        <v>79</v>
      </c>
      <c r="P1034" t="s">
        <v>80</v>
      </c>
      <c r="Q1034">
        <v>4.421469538957961</v>
      </c>
      <c r="R1034" t="s">
        <v>60</v>
      </c>
      <c r="S1034" t="s">
        <v>66</v>
      </c>
      <c r="T1034" t="s">
        <v>3089</v>
      </c>
      <c r="V1034" t="s">
        <v>180</v>
      </c>
      <c r="X1034" t="s">
        <v>3090</v>
      </c>
      <c r="Y1034" t="s">
        <v>412</v>
      </c>
      <c r="Z1034" t="s">
        <v>2623</v>
      </c>
      <c r="AA1034" t="s">
        <v>858</v>
      </c>
      <c r="AB1034" t="s">
        <v>41</v>
      </c>
      <c r="AD1034" t="s">
        <v>224</v>
      </c>
      <c r="AF1034" t="s">
        <v>3091</v>
      </c>
      <c r="AJ1034">
        <v>593.6849003442394</v>
      </c>
      <c r="AK1034">
        <v>17893.123972602309</v>
      </c>
    </row>
    <row r="1035" spans="1:37" hidden="1" x14ac:dyDescent="0.25">
      <c r="A1035">
        <v>1054</v>
      </c>
      <c r="B1035" t="s">
        <v>3041</v>
      </c>
      <c r="C1035" t="s">
        <v>376</v>
      </c>
      <c r="D1035" t="s">
        <v>2604</v>
      </c>
      <c r="E1035" t="s">
        <v>37</v>
      </c>
      <c r="F1035" t="s">
        <v>38</v>
      </c>
      <c r="G1035" s="2">
        <v>45845</v>
      </c>
      <c r="H1035">
        <v>22.7</v>
      </c>
      <c r="I1035" t="s">
        <v>72</v>
      </c>
      <c r="J1035" t="s">
        <v>40</v>
      </c>
      <c r="K1035" t="s">
        <v>41</v>
      </c>
      <c r="L1035" t="s">
        <v>2605</v>
      </c>
      <c r="M1035" t="s">
        <v>2606</v>
      </c>
      <c r="N1035" t="s">
        <v>2702</v>
      </c>
      <c r="O1035" t="s">
        <v>113</v>
      </c>
      <c r="P1035" t="s">
        <v>114</v>
      </c>
      <c r="Q1035">
        <v>8.1343820825460647</v>
      </c>
      <c r="R1035" t="s">
        <v>46</v>
      </c>
      <c r="S1035" t="s">
        <v>47</v>
      </c>
      <c r="T1035" t="s">
        <v>2883</v>
      </c>
      <c r="V1035" t="s">
        <v>70</v>
      </c>
      <c r="X1035" t="s">
        <v>2880</v>
      </c>
      <c r="Y1035" t="s">
        <v>412</v>
      </c>
      <c r="Z1035" t="s">
        <v>2623</v>
      </c>
      <c r="AA1035" t="s">
        <v>397</v>
      </c>
      <c r="AB1035" t="s">
        <v>41</v>
      </c>
      <c r="AD1035" t="s">
        <v>620</v>
      </c>
      <c r="AF1035" t="s">
        <v>3042</v>
      </c>
      <c r="AJ1035">
        <v>777.21042429145064</v>
      </c>
      <c r="AK1035">
        <v>32918.808048107538</v>
      </c>
    </row>
    <row r="1036" spans="1:37" hidden="1" x14ac:dyDescent="0.25">
      <c r="A1036">
        <v>1055</v>
      </c>
      <c r="B1036" t="s">
        <v>3043</v>
      </c>
      <c r="C1036" t="s">
        <v>376</v>
      </c>
      <c r="D1036" t="s">
        <v>2604</v>
      </c>
      <c r="E1036" t="s">
        <v>37</v>
      </c>
      <c r="F1036" t="s">
        <v>38</v>
      </c>
      <c r="G1036" s="2">
        <v>45845</v>
      </c>
      <c r="H1036">
        <v>6.5</v>
      </c>
      <c r="I1036" t="s">
        <v>72</v>
      </c>
      <c r="J1036" t="s">
        <v>40</v>
      </c>
      <c r="K1036" t="s">
        <v>41</v>
      </c>
      <c r="L1036" t="s">
        <v>2605</v>
      </c>
      <c r="M1036" t="s">
        <v>2606</v>
      </c>
      <c r="N1036" t="s">
        <v>2702</v>
      </c>
      <c r="O1036" t="s">
        <v>79</v>
      </c>
      <c r="P1036" t="s">
        <v>80</v>
      </c>
      <c r="Q1036">
        <v>1.452757634938894</v>
      </c>
      <c r="R1036" t="s">
        <v>46</v>
      </c>
      <c r="S1036" t="s">
        <v>47</v>
      </c>
      <c r="T1036" t="s">
        <v>2883</v>
      </c>
      <c r="V1036" t="s">
        <v>70</v>
      </c>
      <c r="X1036" t="s">
        <v>2880</v>
      </c>
      <c r="Y1036" t="s">
        <v>412</v>
      </c>
      <c r="Z1036" t="s">
        <v>2623</v>
      </c>
      <c r="AA1036" t="s">
        <v>397</v>
      </c>
      <c r="AB1036" t="s">
        <v>41</v>
      </c>
      <c r="AD1036" t="s">
        <v>620</v>
      </c>
      <c r="AF1036" t="s">
        <v>3042</v>
      </c>
      <c r="AJ1036">
        <v>365.09683097952143</v>
      </c>
      <c r="AK1036">
        <v>5879.1250816199081</v>
      </c>
    </row>
    <row r="1037" spans="1:37" hidden="1" x14ac:dyDescent="0.25">
      <c r="A1037">
        <v>1062</v>
      </c>
      <c r="C1037" t="s">
        <v>376</v>
      </c>
      <c r="D1037" t="s">
        <v>2604</v>
      </c>
      <c r="E1037" t="s">
        <v>37</v>
      </c>
      <c r="F1037" t="s">
        <v>38</v>
      </c>
      <c r="G1037" s="2">
        <v>45847</v>
      </c>
      <c r="I1037" t="s">
        <v>72</v>
      </c>
      <c r="J1037" t="s">
        <v>40</v>
      </c>
      <c r="K1037" t="s">
        <v>41</v>
      </c>
      <c r="L1037" t="s">
        <v>2605</v>
      </c>
      <c r="M1037" t="s">
        <v>2606</v>
      </c>
      <c r="O1037" t="s">
        <v>55</v>
      </c>
      <c r="P1037" t="s">
        <v>56</v>
      </c>
      <c r="Q1037">
        <v>0.52808745495763265</v>
      </c>
      <c r="R1037" t="s">
        <v>46</v>
      </c>
      <c r="S1037" t="s">
        <v>47</v>
      </c>
      <c r="T1037" t="s">
        <v>3106</v>
      </c>
      <c r="V1037" t="s">
        <v>180</v>
      </c>
      <c r="Y1037" t="s">
        <v>412</v>
      </c>
      <c r="Z1037" t="s">
        <v>2623</v>
      </c>
      <c r="AA1037" t="s">
        <v>554</v>
      </c>
      <c r="AB1037" t="s">
        <v>41</v>
      </c>
      <c r="AD1037" t="s">
        <v>1067</v>
      </c>
      <c r="AF1037" t="s">
        <v>3091</v>
      </c>
      <c r="AJ1037">
        <v>194.98403373797399</v>
      </c>
      <c r="AK1037">
        <v>2137.1026570862459</v>
      </c>
    </row>
    <row r="1038" spans="1:37" hidden="1" x14ac:dyDescent="0.25">
      <c r="A1038">
        <v>1064</v>
      </c>
      <c r="B1038" t="s">
        <v>2931</v>
      </c>
      <c r="C1038" t="s">
        <v>376</v>
      </c>
      <c r="D1038" t="s">
        <v>2604</v>
      </c>
      <c r="E1038" t="s">
        <v>37</v>
      </c>
      <c r="F1038" t="s">
        <v>38</v>
      </c>
      <c r="G1038" s="2">
        <v>45846</v>
      </c>
      <c r="H1038">
        <v>9</v>
      </c>
      <c r="I1038" t="s">
        <v>72</v>
      </c>
      <c r="J1038" t="s">
        <v>40</v>
      </c>
      <c r="K1038" t="s">
        <v>41</v>
      </c>
      <c r="L1038" t="s">
        <v>2605</v>
      </c>
      <c r="M1038" t="s">
        <v>2606</v>
      </c>
      <c r="N1038" t="s">
        <v>2712</v>
      </c>
      <c r="O1038" t="s">
        <v>79</v>
      </c>
      <c r="P1038" t="s">
        <v>80</v>
      </c>
      <c r="Q1038">
        <v>1.7811924112722159</v>
      </c>
      <c r="R1038" t="s">
        <v>46</v>
      </c>
      <c r="S1038" t="s">
        <v>47</v>
      </c>
      <c r="T1038" t="s">
        <v>2722</v>
      </c>
      <c r="V1038" t="s">
        <v>71</v>
      </c>
      <c r="X1038" t="s">
        <v>2714</v>
      </c>
      <c r="Y1038" t="s">
        <v>412</v>
      </c>
      <c r="Z1038" t="s">
        <v>2623</v>
      </c>
      <c r="AA1038" t="s">
        <v>397</v>
      </c>
      <c r="AB1038" t="s">
        <v>41</v>
      </c>
      <c r="AD1038" t="s">
        <v>620</v>
      </c>
      <c r="AF1038" t="s">
        <v>2925</v>
      </c>
      <c r="AJ1038">
        <v>483.19565467952282</v>
      </c>
      <c r="AK1038">
        <v>7208.2587820934032</v>
      </c>
    </row>
    <row r="1039" spans="1:37" hidden="1" x14ac:dyDescent="0.25">
      <c r="A1039">
        <v>1067</v>
      </c>
      <c r="B1039" t="s">
        <v>2931</v>
      </c>
      <c r="C1039" t="s">
        <v>376</v>
      </c>
      <c r="D1039" t="s">
        <v>2604</v>
      </c>
      <c r="E1039" t="s">
        <v>37</v>
      </c>
      <c r="F1039" t="s">
        <v>38</v>
      </c>
      <c r="G1039" s="2">
        <v>45846</v>
      </c>
      <c r="H1039">
        <v>9</v>
      </c>
      <c r="I1039" t="s">
        <v>72</v>
      </c>
      <c r="J1039" t="s">
        <v>40</v>
      </c>
      <c r="K1039" t="s">
        <v>41</v>
      </c>
      <c r="L1039" t="s">
        <v>2605</v>
      </c>
      <c r="M1039" t="s">
        <v>2606</v>
      </c>
      <c r="N1039" t="s">
        <v>2712</v>
      </c>
      <c r="O1039" t="s">
        <v>1045</v>
      </c>
      <c r="P1039" t="s">
        <v>133</v>
      </c>
      <c r="Q1039">
        <v>0.36706701398955111</v>
      </c>
      <c r="R1039" t="s">
        <v>46</v>
      </c>
      <c r="S1039" t="s">
        <v>47</v>
      </c>
      <c r="T1039" t="s">
        <v>2722</v>
      </c>
      <c r="V1039" t="s">
        <v>71</v>
      </c>
      <c r="X1039" t="s">
        <v>2714</v>
      </c>
      <c r="Y1039" t="s">
        <v>412</v>
      </c>
      <c r="Z1039" t="s">
        <v>2623</v>
      </c>
      <c r="AA1039" t="s">
        <v>397</v>
      </c>
      <c r="AB1039" t="s">
        <v>41</v>
      </c>
      <c r="AD1039" t="s">
        <v>620</v>
      </c>
      <c r="AF1039" t="s">
        <v>2925</v>
      </c>
      <c r="AJ1039">
        <v>208.4504218620699</v>
      </c>
      <c r="AK1039">
        <v>1485.473444902643</v>
      </c>
    </row>
    <row r="1040" spans="1:37" hidden="1" x14ac:dyDescent="0.25">
      <c r="A1040">
        <v>1068</v>
      </c>
      <c r="B1040" t="s">
        <v>2931</v>
      </c>
      <c r="C1040" t="s">
        <v>376</v>
      </c>
      <c r="D1040" t="s">
        <v>2604</v>
      </c>
      <c r="E1040" t="s">
        <v>37</v>
      </c>
      <c r="F1040" t="s">
        <v>38</v>
      </c>
      <c r="G1040" s="2">
        <v>45846</v>
      </c>
      <c r="H1040">
        <v>9</v>
      </c>
      <c r="I1040" t="s">
        <v>72</v>
      </c>
      <c r="J1040" t="s">
        <v>40</v>
      </c>
      <c r="K1040" t="s">
        <v>41</v>
      </c>
      <c r="L1040" t="s">
        <v>2605</v>
      </c>
      <c r="M1040" t="s">
        <v>2606</v>
      </c>
      <c r="N1040" t="s">
        <v>2712</v>
      </c>
      <c r="O1040" t="s">
        <v>99</v>
      </c>
      <c r="P1040" t="s">
        <v>100</v>
      </c>
      <c r="Q1040">
        <v>0.48444292833354102</v>
      </c>
      <c r="R1040" t="s">
        <v>46</v>
      </c>
      <c r="S1040" t="s">
        <v>47</v>
      </c>
      <c r="T1040" t="s">
        <v>2722</v>
      </c>
      <c r="V1040" t="s">
        <v>71</v>
      </c>
      <c r="X1040" t="s">
        <v>2714</v>
      </c>
      <c r="Y1040" t="s">
        <v>412</v>
      </c>
      <c r="Z1040" t="s">
        <v>2623</v>
      </c>
      <c r="AA1040" t="s">
        <v>397</v>
      </c>
      <c r="AB1040" t="s">
        <v>41</v>
      </c>
      <c r="AD1040" t="s">
        <v>620</v>
      </c>
      <c r="AF1040" t="s">
        <v>2925</v>
      </c>
      <c r="AJ1040">
        <v>380.01686497104379</v>
      </c>
      <c r="AK1040">
        <v>1960.478817720282</v>
      </c>
    </row>
    <row r="1041" spans="1:37" hidden="1" x14ac:dyDescent="0.25">
      <c r="A1041">
        <v>1070</v>
      </c>
      <c r="B1041" t="s">
        <v>3833</v>
      </c>
      <c r="C1041" t="s">
        <v>376</v>
      </c>
      <c r="D1041" t="s">
        <v>2604</v>
      </c>
      <c r="E1041" t="s">
        <v>37</v>
      </c>
      <c r="F1041" t="s">
        <v>38</v>
      </c>
      <c r="G1041" s="2">
        <v>45845</v>
      </c>
      <c r="I1041" t="s">
        <v>72</v>
      </c>
      <c r="J1041" t="s">
        <v>40</v>
      </c>
      <c r="K1041" t="s">
        <v>41</v>
      </c>
      <c r="L1041" t="s">
        <v>2605</v>
      </c>
      <c r="M1041" t="s">
        <v>2606</v>
      </c>
      <c r="N1041" t="s">
        <v>2702</v>
      </c>
      <c r="O1041" t="s">
        <v>44</v>
      </c>
      <c r="P1041" t="s">
        <v>45</v>
      </c>
      <c r="Q1041">
        <v>1.3592577507009611</v>
      </c>
      <c r="R1041" t="s">
        <v>46</v>
      </c>
      <c r="S1041" t="s">
        <v>47</v>
      </c>
      <c r="V1041" t="s">
        <v>70</v>
      </c>
      <c r="Y1041" t="s">
        <v>412</v>
      </c>
      <c r="Z1041" t="s">
        <v>2623</v>
      </c>
      <c r="AA1041" t="s">
        <v>942</v>
      </c>
      <c r="AB1041" t="s">
        <v>41</v>
      </c>
      <c r="AJ1041">
        <v>391.52742181827188</v>
      </c>
      <c r="AK1041">
        <v>5500.7429610710024</v>
      </c>
    </row>
    <row r="1042" spans="1:37" hidden="1" x14ac:dyDescent="0.25">
      <c r="A1042">
        <v>1099</v>
      </c>
      <c r="B1042" t="s">
        <v>2813</v>
      </c>
      <c r="C1042" t="s">
        <v>376</v>
      </c>
      <c r="D1042" t="s">
        <v>2604</v>
      </c>
      <c r="E1042" t="s">
        <v>37</v>
      </c>
      <c r="G1042" s="2">
        <v>45845</v>
      </c>
      <c r="H1042">
        <v>8.9</v>
      </c>
      <c r="I1042" t="s">
        <v>72</v>
      </c>
      <c r="J1042" t="s">
        <v>40</v>
      </c>
      <c r="K1042" t="s">
        <v>41</v>
      </c>
      <c r="L1042" t="s">
        <v>2605</v>
      </c>
      <c r="M1042" t="s">
        <v>2606</v>
      </c>
      <c r="O1042" t="s">
        <v>1045</v>
      </c>
      <c r="P1042" t="s">
        <v>133</v>
      </c>
      <c r="Q1042">
        <v>0.1237124303686999</v>
      </c>
      <c r="R1042" t="s">
        <v>46</v>
      </c>
      <c r="S1042" t="s">
        <v>47</v>
      </c>
      <c r="T1042" t="s">
        <v>2801</v>
      </c>
      <c r="V1042" t="s">
        <v>618</v>
      </c>
      <c r="X1042" t="s">
        <v>2814</v>
      </c>
      <c r="AD1042" t="s">
        <v>2757</v>
      </c>
      <c r="AF1042" t="s">
        <v>1097</v>
      </c>
      <c r="AJ1042">
        <v>96.75018869818166</v>
      </c>
      <c r="AK1042">
        <v>500.64844596006719</v>
      </c>
    </row>
    <row r="1043" spans="1:37" hidden="1" x14ac:dyDescent="0.25">
      <c r="A1043">
        <v>35</v>
      </c>
      <c r="B1043" t="s">
        <v>2679</v>
      </c>
      <c r="C1043" t="s">
        <v>376</v>
      </c>
      <c r="D1043" t="s">
        <v>2604</v>
      </c>
      <c r="E1043" t="s">
        <v>37</v>
      </c>
      <c r="G1043" s="2">
        <v>45847</v>
      </c>
      <c r="H1043">
        <v>4</v>
      </c>
      <c r="M1043" t="s">
        <v>2606</v>
      </c>
      <c r="O1043" t="s">
        <v>99</v>
      </c>
      <c r="P1043" t="s">
        <v>100</v>
      </c>
      <c r="Q1043">
        <v>3.3921058898362522</v>
      </c>
      <c r="R1043" t="s">
        <v>60</v>
      </c>
      <c r="S1043" t="s">
        <v>66</v>
      </c>
      <c r="T1043" t="s">
        <v>57</v>
      </c>
      <c r="V1043" t="s">
        <v>397</v>
      </c>
      <c r="X1043" t="s">
        <v>2680</v>
      </c>
      <c r="AD1043" t="s">
        <v>898</v>
      </c>
      <c r="AF1043" t="s">
        <v>2681</v>
      </c>
      <c r="AJ1043">
        <v>635.2022603302886</v>
      </c>
      <c r="AK1043">
        <v>13727.420415371451</v>
      </c>
    </row>
    <row r="1044" spans="1:37" hidden="1" x14ac:dyDescent="0.25">
      <c r="A1044">
        <v>55</v>
      </c>
      <c r="B1044" t="s">
        <v>2727</v>
      </c>
      <c r="C1044" t="s">
        <v>376</v>
      </c>
      <c r="D1044" t="s">
        <v>2604</v>
      </c>
      <c r="E1044" t="s">
        <v>37</v>
      </c>
      <c r="G1044" s="2">
        <v>45846</v>
      </c>
      <c r="H1044">
        <v>6.4</v>
      </c>
      <c r="M1044" t="s">
        <v>2606</v>
      </c>
      <c r="O1044" t="s">
        <v>113</v>
      </c>
      <c r="P1044" t="s">
        <v>114</v>
      </c>
      <c r="Q1044">
        <v>4.8578756162110466</v>
      </c>
      <c r="R1044" t="s">
        <v>46</v>
      </c>
      <c r="S1044" t="s">
        <v>47</v>
      </c>
      <c r="T1044" t="s">
        <v>2722</v>
      </c>
      <c r="V1044" t="s">
        <v>681</v>
      </c>
      <c r="X1044" t="s">
        <v>2714</v>
      </c>
      <c r="AD1044" t="s">
        <v>620</v>
      </c>
      <c r="AF1044" t="s">
        <v>2641</v>
      </c>
      <c r="AJ1044">
        <v>555.14920399598168</v>
      </c>
      <c r="AK1044">
        <v>19659.20377342049</v>
      </c>
    </row>
    <row r="1045" spans="1:37" hidden="1" x14ac:dyDescent="0.25">
      <c r="A1045">
        <v>63</v>
      </c>
      <c r="B1045" t="s">
        <v>2739</v>
      </c>
      <c r="C1045" t="s">
        <v>376</v>
      </c>
      <c r="D1045" t="s">
        <v>2604</v>
      </c>
      <c r="E1045" t="s">
        <v>37</v>
      </c>
      <c r="G1045" s="2">
        <v>45846</v>
      </c>
      <c r="H1045">
        <v>6.7</v>
      </c>
      <c r="M1045" t="s">
        <v>2606</v>
      </c>
      <c r="O1045" t="s">
        <v>79</v>
      </c>
      <c r="P1045" t="s">
        <v>80</v>
      </c>
      <c r="Q1045">
        <v>3.2492793286089539</v>
      </c>
      <c r="R1045" t="s">
        <v>46</v>
      </c>
      <c r="S1045" t="s">
        <v>47</v>
      </c>
      <c r="T1045" t="s">
        <v>2722</v>
      </c>
      <c r="V1045" t="s">
        <v>681</v>
      </c>
      <c r="X1045" t="s">
        <v>2714</v>
      </c>
      <c r="AD1045" t="s">
        <v>620</v>
      </c>
      <c r="AF1045" t="s">
        <v>2667</v>
      </c>
      <c r="AJ1045">
        <v>533.62045698086126</v>
      </c>
      <c r="AK1045">
        <v>13149.419516778171</v>
      </c>
    </row>
    <row r="1046" spans="1:37" hidden="1" x14ac:dyDescent="0.25">
      <c r="A1046">
        <v>91</v>
      </c>
      <c r="B1046" t="s">
        <v>2779</v>
      </c>
      <c r="C1046" t="s">
        <v>376</v>
      </c>
      <c r="D1046" t="s">
        <v>2604</v>
      </c>
      <c r="E1046" t="s">
        <v>37</v>
      </c>
      <c r="G1046" s="2">
        <v>45845</v>
      </c>
      <c r="H1046">
        <v>2.6</v>
      </c>
      <c r="M1046" t="s">
        <v>2606</v>
      </c>
      <c r="O1046" t="s">
        <v>79</v>
      </c>
      <c r="P1046" t="s">
        <v>80</v>
      </c>
      <c r="Q1046">
        <v>2.4577232385408418</v>
      </c>
      <c r="R1046" t="s">
        <v>46</v>
      </c>
      <c r="S1046" t="s">
        <v>47</v>
      </c>
      <c r="T1046" t="s">
        <v>2756</v>
      </c>
      <c r="V1046" t="s">
        <v>618</v>
      </c>
      <c r="X1046" t="s">
        <v>2704</v>
      </c>
      <c r="AD1046" t="s">
        <v>2757</v>
      </c>
      <c r="AF1046" t="s">
        <v>2667</v>
      </c>
      <c r="AJ1046">
        <v>582.02194886650398</v>
      </c>
      <c r="AK1046">
        <v>9946.0928567023748</v>
      </c>
    </row>
    <row r="1047" spans="1:37" hidden="1" x14ac:dyDescent="0.25">
      <c r="A1047">
        <v>102</v>
      </c>
      <c r="B1047" t="s">
        <v>2796</v>
      </c>
      <c r="C1047" t="s">
        <v>376</v>
      </c>
      <c r="D1047" t="s">
        <v>2604</v>
      </c>
      <c r="E1047" t="s">
        <v>37</v>
      </c>
      <c r="G1047" s="2">
        <v>45845</v>
      </c>
      <c r="H1047">
        <v>7.9</v>
      </c>
      <c r="M1047" t="s">
        <v>2606</v>
      </c>
      <c r="O1047" t="s">
        <v>79</v>
      </c>
      <c r="P1047" t="s">
        <v>80</v>
      </c>
      <c r="Q1047">
        <v>1.6666132912413441</v>
      </c>
      <c r="R1047" t="s">
        <v>46</v>
      </c>
      <c r="S1047" t="s">
        <v>47</v>
      </c>
      <c r="T1047" t="s">
        <v>57</v>
      </c>
      <c r="V1047" t="s">
        <v>618</v>
      </c>
      <c r="X1047" t="s">
        <v>2704</v>
      </c>
      <c r="AF1047" t="s">
        <v>1097</v>
      </c>
      <c r="AJ1047">
        <v>391.47461648874258</v>
      </c>
      <c r="AK1047">
        <v>6744.5716795769767</v>
      </c>
    </row>
    <row r="1048" spans="1:37" x14ac:dyDescent="0.25">
      <c r="A1048">
        <v>87</v>
      </c>
      <c r="B1048" t="s">
        <v>2773</v>
      </c>
      <c r="C1048" t="s">
        <v>376</v>
      </c>
      <c r="D1048" t="s">
        <v>2604</v>
      </c>
      <c r="E1048" t="s">
        <v>37</v>
      </c>
      <c r="F1048" t="s">
        <v>38</v>
      </c>
      <c r="G1048" s="2">
        <v>45846</v>
      </c>
      <c r="H1048">
        <v>2</v>
      </c>
      <c r="I1048" t="s">
        <v>72</v>
      </c>
      <c r="J1048" t="s">
        <v>40</v>
      </c>
      <c r="K1048" t="s">
        <v>41</v>
      </c>
      <c r="L1048" t="s">
        <v>2605</v>
      </c>
      <c r="M1048" t="s">
        <v>2606</v>
      </c>
      <c r="N1048" t="s">
        <v>2712</v>
      </c>
      <c r="O1048" t="s">
        <v>81</v>
      </c>
      <c r="P1048" t="s">
        <v>82</v>
      </c>
      <c r="Q1048">
        <v>2.012583595719915</v>
      </c>
      <c r="R1048" t="s">
        <v>46</v>
      </c>
      <c r="S1048" t="s">
        <v>47</v>
      </c>
      <c r="T1048" t="s">
        <v>2768</v>
      </c>
      <c r="V1048" t="s">
        <v>618</v>
      </c>
      <c r="X1048" t="s">
        <v>2763</v>
      </c>
      <c r="Y1048" t="s">
        <v>412</v>
      </c>
      <c r="Z1048" t="s">
        <v>2623</v>
      </c>
      <c r="AA1048" t="s">
        <v>70</v>
      </c>
      <c r="AB1048" t="s">
        <v>41</v>
      </c>
      <c r="AD1048" t="s">
        <v>620</v>
      </c>
      <c r="AF1048" t="s">
        <v>414</v>
      </c>
      <c r="AJ1048">
        <v>534.75160106663498</v>
      </c>
      <c r="AK1048">
        <v>8144.6694286011571</v>
      </c>
    </row>
    <row r="1049" spans="1:37" hidden="1" x14ac:dyDescent="0.25">
      <c r="A1049">
        <v>290</v>
      </c>
      <c r="B1049" t="s">
        <v>3076</v>
      </c>
      <c r="C1049" t="s">
        <v>376</v>
      </c>
      <c r="D1049" t="s">
        <v>2604</v>
      </c>
      <c r="E1049" t="s">
        <v>37</v>
      </c>
      <c r="G1049" s="2">
        <v>45845</v>
      </c>
      <c r="H1049">
        <v>5</v>
      </c>
      <c r="M1049" t="s">
        <v>2606</v>
      </c>
      <c r="O1049" t="s">
        <v>113</v>
      </c>
      <c r="P1049" t="s">
        <v>114</v>
      </c>
      <c r="Q1049">
        <v>3.6768544652157358</v>
      </c>
      <c r="R1049" t="s">
        <v>46</v>
      </c>
      <c r="S1049" t="s">
        <v>47</v>
      </c>
      <c r="T1049" t="s">
        <v>2883</v>
      </c>
      <c r="V1049" t="s">
        <v>70</v>
      </c>
      <c r="X1049" t="s">
        <v>2880</v>
      </c>
      <c r="AD1049" t="s">
        <v>620</v>
      </c>
      <c r="AF1049" t="s">
        <v>3047</v>
      </c>
      <c r="AJ1049">
        <v>677.05148712196649</v>
      </c>
      <c r="AK1049">
        <v>14879.7616257754</v>
      </c>
    </row>
    <row r="1050" spans="1:37" x14ac:dyDescent="0.25">
      <c r="A1050">
        <v>109</v>
      </c>
      <c r="B1050" t="s">
        <v>2807</v>
      </c>
      <c r="C1050" t="s">
        <v>376</v>
      </c>
      <c r="D1050" t="s">
        <v>2604</v>
      </c>
      <c r="E1050" t="s">
        <v>37</v>
      </c>
      <c r="F1050" t="s">
        <v>38</v>
      </c>
      <c r="G1050" s="2">
        <v>45869</v>
      </c>
      <c r="H1050">
        <v>5.2</v>
      </c>
      <c r="I1050" t="s">
        <v>72</v>
      </c>
      <c r="J1050" t="s">
        <v>40</v>
      </c>
      <c r="K1050" t="s">
        <v>41</v>
      </c>
      <c r="L1050" t="s">
        <v>2605</v>
      </c>
      <c r="M1050" t="s">
        <v>2606</v>
      </c>
      <c r="O1050" t="s">
        <v>81</v>
      </c>
      <c r="P1050" t="s">
        <v>82</v>
      </c>
      <c r="Q1050">
        <v>4.3587475546829788</v>
      </c>
      <c r="R1050" t="s">
        <v>60</v>
      </c>
      <c r="S1050" t="s">
        <v>66</v>
      </c>
      <c r="T1050" t="s">
        <v>2804</v>
      </c>
      <c r="V1050" t="s">
        <v>896</v>
      </c>
      <c r="X1050" t="s">
        <v>2782</v>
      </c>
      <c r="Y1050" t="s">
        <v>412</v>
      </c>
      <c r="Z1050" t="s">
        <v>765</v>
      </c>
      <c r="AA1050" t="s">
        <v>119</v>
      </c>
      <c r="AB1050" t="s">
        <v>41</v>
      </c>
      <c r="AD1050" t="s">
        <v>2783</v>
      </c>
      <c r="AF1050" t="s">
        <v>2285</v>
      </c>
      <c r="AJ1050">
        <v>547.26105466628405</v>
      </c>
      <c r="AK1050">
        <v>17639.296092402921</v>
      </c>
    </row>
    <row r="1051" spans="1:37" hidden="1" x14ac:dyDescent="0.25">
      <c r="A1051">
        <v>322</v>
      </c>
      <c r="B1051" t="s">
        <v>3122</v>
      </c>
      <c r="C1051" t="s">
        <v>376</v>
      </c>
      <c r="D1051" t="s">
        <v>2604</v>
      </c>
      <c r="E1051" t="s">
        <v>37</v>
      </c>
      <c r="G1051" s="2">
        <v>45845</v>
      </c>
      <c r="H1051">
        <v>3.8</v>
      </c>
      <c r="M1051" t="s">
        <v>2606</v>
      </c>
      <c r="O1051" t="s">
        <v>113</v>
      </c>
      <c r="P1051" t="s">
        <v>114</v>
      </c>
      <c r="Q1051">
        <v>3.451220003247303</v>
      </c>
      <c r="R1051" t="s">
        <v>46</v>
      </c>
      <c r="S1051" t="s">
        <v>47</v>
      </c>
      <c r="T1051" t="s">
        <v>2883</v>
      </c>
      <c r="V1051" t="s">
        <v>70</v>
      </c>
      <c r="X1051" t="s">
        <v>2880</v>
      </c>
      <c r="AD1051" t="s">
        <v>620</v>
      </c>
      <c r="AF1051" t="s">
        <v>3119</v>
      </c>
      <c r="AJ1051">
        <v>520.69617980036867</v>
      </c>
      <c r="AK1051">
        <v>13966.64770179164</v>
      </c>
    </row>
    <row r="1052" spans="1:37" x14ac:dyDescent="0.25">
      <c r="A1052">
        <v>482</v>
      </c>
      <c r="B1052" t="s">
        <v>3363</v>
      </c>
      <c r="C1052" t="s">
        <v>376</v>
      </c>
      <c r="D1052" t="s">
        <v>2604</v>
      </c>
      <c r="E1052" t="s">
        <v>37</v>
      </c>
      <c r="F1052" t="s">
        <v>38</v>
      </c>
      <c r="G1052" s="2">
        <v>45825</v>
      </c>
      <c r="H1052">
        <v>11.7</v>
      </c>
      <c r="I1052" t="s">
        <v>72</v>
      </c>
      <c r="J1052" t="s">
        <v>40</v>
      </c>
      <c r="K1052" t="s">
        <v>41</v>
      </c>
      <c r="L1052" t="s">
        <v>2605</v>
      </c>
      <c r="M1052" t="s">
        <v>2606</v>
      </c>
      <c r="N1052" t="s">
        <v>3027</v>
      </c>
      <c r="O1052" t="s">
        <v>81</v>
      </c>
      <c r="P1052" t="s">
        <v>82</v>
      </c>
      <c r="Q1052">
        <v>7.6182413235038924</v>
      </c>
      <c r="R1052" t="s">
        <v>46</v>
      </c>
      <c r="S1052" t="s">
        <v>47</v>
      </c>
      <c r="T1052" t="s">
        <v>3364</v>
      </c>
      <c r="V1052" t="s">
        <v>110</v>
      </c>
      <c r="X1052" t="s">
        <v>3365</v>
      </c>
      <c r="Y1052" t="s">
        <v>412</v>
      </c>
      <c r="Z1052" t="s">
        <v>2623</v>
      </c>
      <c r="AA1052" t="s">
        <v>121</v>
      </c>
      <c r="AB1052" t="s">
        <v>41</v>
      </c>
      <c r="AD1052" t="s">
        <v>620</v>
      </c>
      <c r="AF1052" t="s">
        <v>3304</v>
      </c>
      <c r="AJ1052">
        <v>720.83474531158595</v>
      </c>
      <c r="AK1052">
        <v>30830.052147500071</v>
      </c>
    </row>
    <row r="1053" spans="1:37" x14ac:dyDescent="0.25">
      <c r="A1053">
        <v>491</v>
      </c>
      <c r="B1053" t="s">
        <v>3383</v>
      </c>
      <c r="C1053" t="s">
        <v>376</v>
      </c>
      <c r="D1053" t="s">
        <v>2604</v>
      </c>
      <c r="E1053" t="s">
        <v>37</v>
      </c>
      <c r="F1053" t="s">
        <v>38</v>
      </c>
      <c r="G1053" s="2">
        <v>45825</v>
      </c>
      <c r="H1053">
        <v>12.4</v>
      </c>
      <c r="I1053" t="s">
        <v>72</v>
      </c>
      <c r="J1053" t="s">
        <v>40</v>
      </c>
      <c r="K1053" t="s">
        <v>41</v>
      </c>
      <c r="L1053" t="s">
        <v>2605</v>
      </c>
      <c r="M1053" t="s">
        <v>2606</v>
      </c>
      <c r="N1053" t="s">
        <v>3027</v>
      </c>
      <c r="O1053" t="s">
        <v>81</v>
      </c>
      <c r="P1053" t="s">
        <v>82</v>
      </c>
      <c r="Q1053">
        <v>7.9223504841366719</v>
      </c>
      <c r="R1053" t="s">
        <v>46</v>
      </c>
      <c r="S1053" t="s">
        <v>47</v>
      </c>
      <c r="T1053" t="s">
        <v>3364</v>
      </c>
      <c r="V1053" t="s">
        <v>110</v>
      </c>
      <c r="X1053" t="s">
        <v>3384</v>
      </c>
      <c r="Y1053" t="s">
        <v>412</v>
      </c>
      <c r="Z1053" t="s">
        <v>2623</v>
      </c>
      <c r="AA1053" t="s">
        <v>121</v>
      </c>
      <c r="AB1053" t="s">
        <v>41</v>
      </c>
      <c r="AD1053" t="s">
        <v>620</v>
      </c>
      <c r="AF1053" t="s">
        <v>3304</v>
      </c>
      <c r="AJ1053">
        <v>724.8706133288656</v>
      </c>
      <c r="AK1053">
        <v>32060.743180076719</v>
      </c>
    </row>
    <row r="1054" spans="1:37" hidden="1" x14ac:dyDescent="0.25">
      <c r="A1054">
        <v>387</v>
      </c>
      <c r="B1054" t="s">
        <v>3223</v>
      </c>
      <c r="C1054" t="s">
        <v>376</v>
      </c>
      <c r="D1054" t="s">
        <v>2604</v>
      </c>
      <c r="E1054" t="s">
        <v>37</v>
      </c>
      <c r="G1054" s="2">
        <v>45845</v>
      </c>
      <c r="H1054">
        <v>0.7</v>
      </c>
      <c r="M1054" t="s">
        <v>2606</v>
      </c>
      <c r="O1054" t="s">
        <v>79</v>
      </c>
      <c r="P1054" t="s">
        <v>80</v>
      </c>
      <c r="Q1054">
        <v>0.711730183066277</v>
      </c>
      <c r="R1054" t="s">
        <v>46</v>
      </c>
      <c r="S1054" t="s">
        <v>47</v>
      </c>
      <c r="T1054" t="s">
        <v>2883</v>
      </c>
      <c r="V1054" t="s">
        <v>70</v>
      </c>
      <c r="X1054" t="s">
        <v>2880</v>
      </c>
      <c r="AD1054" t="s">
        <v>620</v>
      </c>
      <c r="AF1054" t="s">
        <v>2373</v>
      </c>
      <c r="AJ1054">
        <v>278.56410711686527</v>
      </c>
      <c r="AK1054">
        <v>2880.281383471704</v>
      </c>
    </row>
    <row r="1055" spans="1:37" x14ac:dyDescent="0.25">
      <c r="A1055">
        <v>521</v>
      </c>
      <c r="B1055" t="s">
        <v>3417</v>
      </c>
      <c r="C1055" t="s">
        <v>376</v>
      </c>
      <c r="D1055" t="s">
        <v>2604</v>
      </c>
      <c r="E1055" t="s">
        <v>37</v>
      </c>
      <c r="F1055" t="s">
        <v>38</v>
      </c>
      <c r="G1055" s="2">
        <v>45825</v>
      </c>
      <c r="H1055">
        <v>13.9</v>
      </c>
      <c r="I1055" t="s">
        <v>72</v>
      </c>
      <c r="J1055" t="s">
        <v>40</v>
      </c>
      <c r="K1055" t="s">
        <v>41</v>
      </c>
      <c r="L1055" t="s">
        <v>2605</v>
      </c>
      <c r="M1055" t="s">
        <v>2606</v>
      </c>
      <c r="N1055" t="s">
        <v>3027</v>
      </c>
      <c r="O1055" t="s">
        <v>81</v>
      </c>
      <c r="P1055" t="s">
        <v>82</v>
      </c>
      <c r="Q1055">
        <v>10.02848268150934</v>
      </c>
      <c r="R1055" t="s">
        <v>46</v>
      </c>
      <c r="S1055" t="s">
        <v>47</v>
      </c>
      <c r="T1055" t="s">
        <v>3364</v>
      </c>
      <c r="V1055" t="s">
        <v>110</v>
      </c>
      <c r="X1055" t="s">
        <v>3365</v>
      </c>
      <c r="Y1055" t="s">
        <v>412</v>
      </c>
      <c r="Z1055" t="s">
        <v>2623</v>
      </c>
      <c r="AA1055" t="s">
        <v>121</v>
      </c>
      <c r="AB1055" t="s">
        <v>41</v>
      </c>
      <c r="AD1055" t="s">
        <v>620</v>
      </c>
      <c r="AF1055" t="s">
        <v>3304</v>
      </c>
      <c r="AJ1055">
        <v>810.59109120419498</v>
      </c>
      <c r="AK1055">
        <v>40583.991882398448</v>
      </c>
    </row>
    <row r="1056" spans="1:37" hidden="1" x14ac:dyDescent="0.25">
      <c r="A1056">
        <v>534</v>
      </c>
      <c r="B1056" t="s">
        <v>3440</v>
      </c>
      <c r="C1056" t="s">
        <v>376</v>
      </c>
      <c r="D1056" t="s">
        <v>2604</v>
      </c>
      <c r="E1056" t="s">
        <v>37</v>
      </c>
      <c r="G1056" s="2">
        <v>45825</v>
      </c>
      <c r="H1056">
        <v>2.1</v>
      </c>
      <c r="M1056" t="s">
        <v>2606</v>
      </c>
      <c r="O1056" t="s">
        <v>113</v>
      </c>
      <c r="P1056" t="s">
        <v>114</v>
      </c>
      <c r="Q1056">
        <v>1.437187225261485</v>
      </c>
      <c r="R1056" t="s">
        <v>46</v>
      </c>
      <c r="S1056" t="s">
        <v>47</v>
      </c>
      <c r="T1056" t="s">
        <v>2883</v>
      </c>
      <c r="V1056" t="s">
        <v>110</v>
      </c>
      <c r="X1056" t="s">
        <v>2880</v>
      </c>
      <c r="AD1056" t="s">
        <v>620</v>
      </c>
      <c r="AF1056" t="s">
        <v>3433</v>
      </c>
      <c r="AJ1056">
        <v>317.73555491274487</v>
      </c>
      <c r="AK1056">
        <v>5816.1136171718817</v>
      </c>
    </row>
    <row r="1057" spans="1:37" hidden="1" x14ac:dyDescent="0.25">
      <c r="A1057">
        <v>537</v>
      </c>
      <c r="B1057" t="s">
        <v>3445</v>
      </c>
      <c r="C1057" t="s">
        <v>376</v>
      </c>
      <c r="D1057" t="s">
        <v>2604</v>
      </c>
      <c r="E1057" t="s">
        <v>37</v>
      </c>
      <c r="G1057" s="2">
        <v>45825</v>
      </c>
      <c r="H1057">
        <v>1</v>
      </c>
      <c r="M1057" t="s">
        <v>2606</v>
      </c>
      <c r="O1057" t="s">
        <v>79</v>
      </c>
      <c r="P1057" t="s">
        <v>80</v>
      </c>
      <c r="Q1057">
        <v>0.357953293118286</v>
      </c>
      <c r="R1057" t="s">
        <v>46</v>
      </c>
      <c r="S1057" t="s">
        <v>47</v>
      </c>
      <c r="T1057" t="s">
        <v>57</v>
      </c>
      <c r="V1057" t="s">
        <v>110</v>
      </c>
      <c r="X1057" t="s">
        <v>2880</v>
      </c>
      <c r="AD1057" t="s">
        <v>620</v>
      </c>
      <c r="AF1057" t="s">
        <v>3446</v>
      </c>
      <c r="AJ1057">
        <v>176.0403003565273</v>
      </c>
      <c r="AK1057">
        <v>1448.591377534681</v>
      </c>
    </row>
    <row r="1058" spans="1:37" hidden="1" x14ac:dyDescent="0.25">
      <c r="A1058">
        <v>897</v>
      </c>
      <c r="C1058" t="s">
        <v>376</v>
      </c>
      <c r="D1058" t="s">
        <v>2604</v>
      </c>
      <c r="E1058" t="s">
        <v>37</v>
      </c>
      <c r="G1058" s="2">
        <v>45825</v>
      </c>
      <c r="M1058" t="s">
        <v>2606</v>
      </c>
      <c r="O1058" t="s">
        <v>87</v>
      </c>
      <c r="P1058" t="s">
        <v>88</v>
      </c>
      <c r="Q1058">
        <v>2.4648043191938509</v>
      </c>
      <c r="R1058" t="s">
        <v>60</v>
      </c>
      <c r="S1058" t="s">
        <v>66</v>
      </c>
      <c r="T1058" t="s">
        <v>3883</v>
      </c>
      <c r="V1058" t="s">
        <v>118</v>
      </c>
      <c r="AJ1058">
        <v>615.76233599609509</v>
      </c>
      <c r="AK1058">
        <v>9974.7490880453479</v>
      </c>
    </row>
    <row r="1059" spans="1:37" x14ac:dyDescent="0.25">
      <c r="A1059">
        <v>638</v>
      </c>
      <c r="B1059" t="s">
        <v>3595</v>
      </c>
      <c r="C1059" t="s">
        <v>376</v>
      </c>
      <c r="D1059" t="s">
        <v>2604</v>
      </c>
      <c r="E1059" t="s">
        <v>37</v>
      </c>
      <c r="F1059" t="s">
        <v>38</v>
      </c>
      <c r="G1059" s="2">
        <v>45825</v>
      </c>
      <c r="H1059">
        <v>1.3</v>
      </c>
      <c r="I1059" t="s">
        <v>72</v>
      </c>
      <c r="J1059" t="s">
        <v>40</v>
      </c>
      <c r="K1059" t="s">
        <v>41</v>
      </c>
      <c r="L1059" t="s">
        <v>2605</v>
      </c>
      <c r="M1059" t="s">
        <v>2606</v>
      </c>
      <c r="O1059" t="s">
        <v>81</v>
      </c>
      <c r="P1059" t="s">
        <v>82</v>
      </c>
      <c r="Q1059">
        <v>17.743680672728608</v>
      </c>
      <c r="R1059" t="s">
        <v>46</v>
      </c>
      <c r="S1059" t="s">
        <v>47</v>
      </c>
      <c r="T1059" t="s">
        <v>3549</v>
      </c>
      <c r="V1059" t="s">
        <v>3596</v>
      </c>
      <c r="X1059" t="s">
        <v>3587</v>
      </c>
      <c r="Y1059" t="s">
        <v>382</v>
      </c>
      <c r="Z1059" t="s">
        <v>2623</v>
      </c>
      <c r="AA1059" t="s">
        <v>860</v>
      </c>
      <c r="AB1059" t="s">
        <v>41</v>
      </c>
      <c r="AD1059" t="s">
        <v>620</v>
      </c>
      <c r="AF1059" t="s">
        <v>3550</v>
      </c>
      <c r="AJ1059">
        <v>1321.8696979934009</v>
      </c>
      <c r="AK1059">
        <v>71806.415312820551</v>
      </c>
    </row>
    <row r="1060" spans="1:37" x14ac:dyDescent="0.25">
      <c r="A1060">
        <v>800</v>
      </c>
      <c r="B1060" t="s">
        <v>2604</v>
      </c>
      <c r="C1060" t="s">
        <v>376</v>
      </c>
      <c r="D1060" t="s">
        <v>2604</v>
      </c>
      <c r="E1060" t="s">
        <v>37</v>
      </c>
      <c r="F1060" t="s">
        <v>38</v>
      </c>
      <c r="G1060" s="2">
        <v>45847</v>
      </c>
      <c r="H1060">
        <v>20.25</v>
      </c>
      <c r="I1060" t="s">
        <v>72</v>
      </c>
      <c r="J1060" t="s">
        <v>40</v>
      </c>
      <c r="K1060" t="s">
        <v>41</v>
      </c>
      <c r="L1060" t="s">
        <v>2605</v>
      </c>
      <c r="M1060" t="s">
        <v>2606</v>
      </c>
      <c r="O1060" t="s">
        <v>81</v>
      </c>
      <c r="P1060" t="s">
        <v>82</v>
      </c>
      <c r="Q1060">
        <v>24.795168946085901</v>
      </c>
      <c r="R1060" t="s">
        <v>60</v>
      </c>
      <c r="S1060" t="s">
        <v>66</v>
      </c>
      <c r="T1060" t="s">
        <v>3808</v>
      </c>
      <c r="V1060" t="s">
        <v>182</v>
      </c>
      <c r="X1060" t="s">
        <v>3809</v>
      </c>
      <c r="Y1060" t="s">
        <v>420</v>
      </c>
      <c r="Z1060" t="s">
        <v>765</v>
      </c>
      <c r="AA1060" t="s">
        <v>121</v>
      </c>
      <c r="AB1060" t="s">
        <v>41</v>
      </c>
      <c r="AJ1060">
        <v>1122.918494403842</v>
      </c>
      <c r="AK1060">
        <v>100342.8900651197</v>
      </c>
    </row>
    <row r="1061" spans="1:37" hidden="1" x14ac:dyDescent="0.25">
      <c r="A1061">
        <v>1057</v>
      </c>
      <c r="C1061" t="s">
        <v>376</v>
      </c>
      <c r="D1061" t="s">
        <v>2604</v>
      </c>
      <c r="E1061" t="s">
        <v>37</v>
      </c>
      <c r="F1061" t="s">
        <v>38</v>
      </c>
      <c r="G1061" s="2">
        <v>45825</v>
      </c>
      <c r="I1061" t="s">
        <v>72</v>
      </c>
      <c r="J1061" t="s">
        <v>40</v>
      </c>
      <c r="K1061" t="s">
        <v>41</v>
      </c>
      <c r="L1061" t="s">
        <v>2605</v>
      </c>
      <c r="M1061" t="s">
        <v>2606</v>
      </c>
      <c r="O1061" t="s">
        <v>402</v>
      </c>
      <c r="P1061" t="s">
        <v>403</v>
      </c>
      <c r="Q1061">
        <v>0.1141860538515433</v>
      </c>
      <c r="V1061" t="s">
        <v>76</v>
      </c>
      <c r="Y1061" t="s">
        <v>382</v>
      </c>
      <c r="Z1061" t="s">
        <v>2623</v>
      </c>
      <c r="AA1061" t="s">
        <v>860</v>
      </c>
      <c r="AB1061" t="s">
        <v>41</v>
      </c>
      <c r="AJ1061">
        <v>90.844492170580907</v>
      </c>
      <c r="AK1061">
        <v>462.09641376143679</v>
      </c>
    </row>
    <row r="1062" spans="1:37" x14ac:dyDescent="0.25">
      <c r="A1062">
        <v>849</v>
      </c>
      <c r="B1062" t="s">
        <v>3833</v>
      </c>
      <c r="C1062" t="s">
        <v>376</v>
      </c>
      <c r="D1062" t="s">
        <v>2604</v>
      </c>
      <c r="E1062" t="s">
        <v>37</v>
      </c>
      <c r="F1062" t="s">
        <v>38</v>
      </c>
      <c r="G1062" s="2">
        <v>45845</v>
      </c>
      <c r="I1062" t="s">
        <v>72</v>
      </c>
      <c r="J1062" t="s">
        <v>40</v>
      </c>
      <c r="K1062" t="s">
        <v>41</v>
      </c>
      <c r="L1062" t="s">
        <v>2605</v>
      </c>
      <c r="M1062" t="s">
        <v>2606</v>
      </c>
      <c r="N1062" t="s">
        <v>2702</v>
      </c>
      <c r="O1062" t="s">
        <v>81</v>
      </c>
      <c r="P1062" t="s">
        <v>82</v>
      </c>
      <c r="Q1062">
        <v>1.6141343210412089</v>
      </c>
      <c r="R1062" t="s">
        <v>46</v>
      </c>
      <c r="S1062" t="s">
        <v>47</v>
      </c>
      <c r="V1062" t="s">
        <v>70</v>
      </c>
      <c r="Y1062" t="s">
        <v>412</v>
      </c>
      <c r="Z1062" t="s">
        <v>2623</v>
      </c>
      <c r="AA1062" t="s">
        <v>942</v>
      </c>
      <c r="AB1062" t="s">
        <v>41</v>
      </c>
      <c r="AJ1062">
        <v>399.28249155917888</v>
      </c>
      <c r="AK1062">
        <v>6532.1959724796407</v>
      </c>
    </row>
    <row r="1063" spans="1:37" x14ac:dyDescent="0.25">
      <c r="A1063">
        <v>893</v>
      </c>
      <c r="B1063" t="s">
        <v>2604</v>
      </c>
      <c r="C1063" t="s">
        <v>376</v>
      </c>
      <c r="D1063" t="s">
        <v>2604</v>
      </c>
      <c r="E1063" t="s">
        <v>37</v>
      </c>
      <c r="F1063" t="s">
        <v>38</v>
      </c>
      <c r="G1063" s="2">
        <v>45847</v>
      </c>
      <c r="H1063">
        <v>43.704000000000001</v>
      </c>
      <c r="I1063" t="s">
        <v>72</v>
      </c>
      <c r="J1063" t="s">
        <v>40</v>
      </c>
      <c r="K1063" t="s">
        <v>41</v>
      </c>
      <c r="L1063" t="s">
        <v>2605</v>
      </c>
      <c r="M1063" t="s">
        <v>2606</v>
      </c>
      <c r="O1063" t="s">
        <v>81</v>
      </c>
      <c r="P1063" t="s">
        <v>82</v>
      </c>
      <c r="Q1063">
        <v>43.429723650961307</v>
      </c>
      <c r="R1063" t="s">
        <v>60</v>
      </c>
      <c r="S1063" t="s">
        <v>66</v>
      </c>
      <c r="T1063" t="s">
        <v>3879</v>
      </c>
      <c r="V1063" t="s">
        <v>182</v>
      </c>
      <c r="X1063" t="s">
        <v>3809</v>
      </c>
      <c r="Y1063" t="s">
        <v>420</v>
      </c>
      <c r="Z1063" t="s">
        <v>765</v>
      </c>
      <c r="AA1063" t="s">
        <v>121</v>
      </c>
      <c r="AB1063" t="s">
        <v>41</v>
      </c>
      <c r="AC1063" t="s">
        <v>3880</v>
      </c>
      <c r="AD1063" t="s">
        <v>620</v>
      </c>
      <c r="AF1063" t="s">
        <v>3881</v>
      </c>
      <c r="AJ1063">
        <v>1486.137113834762</v>
      </c>
      <c r="AK1063">
        <v>175754.55909748329</v>
      </c>
    </row>
    <row r="1064" spans="1:37" hidden="1" x14ac:dyDescent="0.25">
      <c r="A1064">
        <v>1074</v>
      </c>
      <c r="C1064" t="s">
        <v>376</v>
      </c>
      <c r="D1064" t="s">
        <v>2604</v>
      </c>
      <c r="E1064" t="s">
        <v>37</v>
      </c>
      <c r="G1064" s="2">
        <v>45826</v>
      </c>
      <c r="M1064" t="s">
        <v>2606</v>
      </c>
      <c r="O1064" t="s">
        <v>408</v>
      </c>
      <c r="P1064" t="s">
        <v>409</v>
      </c>
      <c r="Q1064">
        <v>0.15135739510639329</v>
      </c>
      <c r="R1064" t="s">
        <v>60</v>
      </c>
      <c r="S1064" t="s">
        <v>66</v>
      </c>
      <c r="V1064" t="s">
        <v>942</v>
      </c>
      <c r="AJ1064">
        <v>108.9038268281905</v>
      </c>
      <c r="AK1064">
        <v>612.52409655797805</v>
      </c>
    </row>
    <row r="1065" spans="1:37" hidden="1" x14ac:dyDescent="0.25">
      <c r="A1065">
        <v>1075</v>
      </c>
      <c r="C1065" t="s">
        <v>376</v>
      </c>
      <c r="D1065" t="s">
        <v>2604</v>
      </c>
      <c r="E1065" t="s">
        <v>37</v>
      </c>
      <c r="G1065" s="2">
        <v>45825</v>
      </c>
      <c r="M1065" t="s">
        <v>2606</v>
      </c>
      <c r="O1065" t="s">
        <v>129</v>
      </c>
      <c r="P1065" t="s">
        <v>130</v>
      </c>
      <c r="Q1065">
        <v>0.15386750886012149</v>
      </c>
      <c r="R1065" t="s">
        <v>60</v>
      </c>
      <c r="S1065" t="s">
        <v>66</v>
      </c>
      <c r="V1065" t="s">
        <v>86</v>
      </c>
      <c r="AJ1065">
        <v>121.9496022520117</v>
      </c>
      <c r="AK1065">
        <v>622.68220715560938</v>
      </c>
    </row>
    <row r="1066" spans="1:37" hidden="1" x14ac:dyDescent="0.25">
      <c r="A1066">
        <v>1076</v>
      </c>
      <c r="C1066" t="s">
        <v>376</v>
      </c>
      <c r="D1066" t="s">
        <v>2604</v>
      </c>
      <c r="E1066" t="s">
        <v>37</v>
      </c>
      <c r="G1066" s="2">
        <v>45825</v>
      </c>
      <c r="M1066" t="s">
        <v>2606</v>
      </c>
      <c r="O1066" t="s">
        <v>87</v>
      </c>
      <c r="P1066" t="s">
        <v>88</v>
      </c>
      <c r="Q1066">
        <v>3.9281215632334998</v>
      </c>
      <c r="R1066" t="s">
        <v>60</v>
      </c>
      <c r="S1066" t="s">
        <v>66</v>
      </c>
      <c r="V1066" t="s">
        <v>86</v>
      </c>
      <c r="AJ1066">
        <v>446.94816493803421</v>
      </c>
      <c r="AK1066">
        <v>15896.60756250608</v>
      </c>
    </row>
    <row r="1067" spans="1:37" hidden="1" x14ac:dyDescent="0.25">
      <c r="A1067">
        <v>1077</v>
      </c>
      <c r="C1067" t="s">
        <v>376</v>
      </c>
      <c r="D1067" t="s">
        <v>2604</v>
      </c>
      <c r="E1067" t="s">
        <v>37</v>
      </c>
      <c r="G1067" s="2">
        <v>45825</v>
      </c>
      <c r="M1067" t="s">
        <v>2606</v>
      </c>
      <c r="O1067" t="s">
        <v>96</v>
      </c>
      <c r="P1067" t="s">
        <v>97</v>
      </c>
      <c r="Q1067">
        <v>5.5484760234257767E-2</v>
      </c>
      <c r="R1067" t="s">
        <v>60</v>
      </c>
      <c r="S1067" t="s">
        <v>66</v>
      </c>
      <c r="V1067" t="s">
        <v>118</v>
      </c>
      <c r="AJ1067">
        <v>62.048074408246322</v>
      </c>
      <c r="AK1067">
        <v>224.5397564574578</v>
      </c>
    </row>
    <row r="1068" spans="1:37" hidden="1" x14ac:dyDescent="0.25">
      <c r="A1068">
        <v>1078</v>
      </c>
      <c r="C1068" t="s">
        <v>376</v>
      </c>
      <c r="D1068" t="s">
        <v>2604</v>
      </c>
      <c r="E1068" t="s">
        <v>37</v>
      </c>
      <c r="G1068" s="2">
        <v>45825</v>
      </c>
      <c r="M1068" t="s">
        <v>2606</v>
      </c>
      <c r="O1068" t="s">
        <v>402</v>
      </c>
      <c r="P1068" t="s">
        <v>403</v>
      </c>
      <c r="Q1068">
        <v>0.52357588120885434</v>
      </c>
      <c r="T1068" t="s">
        <v>3883</v>
      </c>
      <c r="V1068" t="s">
        <v>118</v>
      </c>
      <c r="AJ1068">
        <v>211.17943943045239</v>
      </c>
      <c r="AK1068">
        <v>2118.8448928548878</v>
      </c>
    </row>
    <row r="1069" spans="1:37" hidden="1" x14ac:dyDescent="0.25">
      <c r="A1069">
        <v>1080</v>
      </c>
      <c r="B1069" t="s">
        <v>3440</v>
      </c>
      <c r="C1069" t="s">
        <v>376</v>
      </c>
      <c r="D1069" t="s">
        <v>2604</v>
      </c>
      <c r="E1069" t="s">
        <v>37</v>
      </c>
      <c r="G1069" s="2">
        <v>45825</v>
      </c>
      <c r="H1069">
        <v>2.1</v>
      </c>
      <c r="M1069" t="s">
        <v>2606</v>
      </c>
      <c r="O1069" t="s">
        <v>704</v>
      </c>
      <c r="P1069" t="s">
        <v>705</v>
      </c>
      <c r="Q1069">
        <v>0.47633294444711732</v>
      </c>
      <c r="R1069" t="s">
        <v>46</v>
      </c>
      <c r="S1069" t="s">
        <v>47</v>
      </c>
      <c r="T1069" t="s">
        <v>2883</v>
      </c>
      <c r="V1069" t="s">
        <v>110</v>
      </c>
      <c r="X1069" t="s">
        <v>2880</v>
      </c>
      <c r="AD1069" t="s">
        <v>620</v>
      </c>
      <c r="AF1069" t="s">
        <v>3433</v>
      </c>
      <c r="AJ1069">
        <v>173.70823089650671</v>
      </c>
      <c r="AK1069">
        <v>1927.658746063792</v>
      </c>
    </row>
    <row r="1070" spans="1:37" hidden="1" x14ac:dyDescent="0.25">
      <c r="A1070">
        <v>1081</v>
      </c>
      <c r="B1070" t="s">
        <v>3445</v>
      </c>
      <c r="C1070" t="s">
        <v>376</v>
      </c>
      <c r="D1070" t="s">
        <v>2604</v>
      </c>
      <c r="E1070" t="s">
        <v>37</v>
      </c>
      <c r="G1070" s="2">
        <v>45825</v>
      </c>
      <c r="H1070">
        <v>1</v>
      </c>
      <c r="M1070" t="s">
        <v>2606</v>
      </c>
      <c r="O1070" t="s">
        <v>146</v>
      </c>
      <c r="P1070" t="s">
        <v>147</v>
      </c>
      <c r="Q1070">
        <v>0.29053890755449951</v>
      </c>
      <c r="R1070" t="s">
        <v>46</v>
      </c>
      <c r="S1070" t="s">
        <v>47</v>
      </c>
      <c r="T1070" t="s">
        <v>57</v>
      </c>
      <c r="V1070" t="s">
        <v>110</v>
      </c>
      <c r="X1070" t="s">
        <v>2880</v>
      </c>
      <c r="AD1070" t="s">
        <v>620</v>
      </c>
      <c r="AF1070" t="s">
        <v>3446</v>
      </c>
      <c r="AJ1070">
        <v>147.21031606745129</v>
      </c>
      <c r="AK1070">
        <v>1175.7739470850911</v>
      </c>
    </row>
    <row r="1071" spans="1:37" hidden="1" x14ac:dyDescent="0.25">
      <c r="A1071">
        <v>1082</v>
      </c>
      <c r="C1071" t="s">
        <v>376</v>
      </c>
      <c r="D1071" t="s">
        <v>2604</v>
      </c>
      <c r="E1071" t="s">
        <v>37</v>
      </c>
      <c r="G1071" s="2">
        <v>45825</v>
      </c>
      <c r="M1071" t="s">
        <v>2606</v>
      </c>
      <c r="O1071" t="s">
        <v>141</v>
      </c>
      <c r="P1071" t="s">
        <v>142</v>
      </c>
      <c r="Q1071">
        <v>2.2196799630366661E-2</v>
      </c>
      <c r="V1071" t="s">
        <v>110</v>
      </c>
      <c r="AJ1071">
        <v>35.665793406860189</v>
      </c>
      <c r="AK1071">
        <v>89.82762045099777</v>
      </c>
    </row>
    <row r="1072" spans="1:37" hidden="1" x14ac:dyDescent="0.25">
      <c r="A1072">
        <v>1083</v>
      </c>
      <c r="C1072" t="s">
        <v>376</v>
      </c>
      <c r="D1072" t="s">
        <v>2604</v>
      </c>
      <c r="E1072" t="s">
        <v>37</v>
      </c>
      <c r="G1072" s="2">
        <v>45825</v>
      </c>
      <c r="M1072" t="s">
        <v>2606</v>
      </c>
      <c r="O1072" t="s">
        <v>146</v>
      </c>
      <c r="P1072" t="s">
        <v>147</v>
      </c>
      <c r="Q1072">
        <v>7.2011195685048143E-2</v>
      </c>
      <c r="R1072" t="s">
        <v>60</v>
      </c>
      <c r="S1072" t="s">
        <v>66</v>
      </c>
      <c r="V1072" t="s">
        <v>110</v>
      </c>
      <c r="AJ1072">
        <v>79.301222976738671</v>
      </c>
      <c r="AK1072">
        <v>291.42013542211618</v>
      </c>
    </row>
    <row r="1073" spans="1:37" hidden="1" x14ac:dyDescent="0.25">
      <c r="A1073">
        <v>1084</v>
      </c>
      <c r="C1073" t="s">
        <v>376</v>
      </c>
      <c r="D1073" t="s">
        <v>2604</v>
      </c>
      <c r="E1073" t="s">
        <v>37</v>
      </c>
      <c r="G1073" s="2">
        <v>45825</v>
      </c>
      <c r="M1073" t="s">
        <v>2606</v>
      </c>
      <c r="O1073" t="s">
        <v>1081</v>
      </c>
      <c r="P1073" t="s">
        <v>116</v>
      </c>
      <c r="Q1073">
        <v>0.13270838313663599</v>
      </c>
      <c r="T1073" t="s">
        <v>1041</v>
      </c>
      <c r="V1073" t="s">
        <v>110</v>
      </c>
      <c r="AJ1073">
        <v>87.046492971940225</v>
      </c>
      <c r="AK1073">
        <v>537.05392081635011</v>
      </c>
    </row>
    <row r="1074" spans="1:37" hidden="1" x14ac:dyDescent="0.25">
      <c r="A1074">
        <v>1085</v>
      </c>
      <c r="C1074" t="s">
        <v>376</v>
      </c>
      <c r="D1074" t="s">
        <v>2604</v>
      </c>
      <c r="E1074" t="s">
        <v>37</v>
      </c>
      <c r="G1074" s="2">
        <v>45845</v>
      </c>
      <c r="M1074" t="s">
        <v>2606</v>
      </c>
      <c r="O1074" t="s">
        <v>1081</v>
      </c>
      <c r="P1074" t="s">
        <v>116</v>
      </c>
      <c r="Q1074">
        <v>5.4882294086808628E-2</v>
      </c>
      <c r="V1074" t="s">
        <v>110</v>
      </c>
      <c r="AJ1074">
        <v>79.376184192040867</v>
      </c>
      <c r="AK1074">
        <v>222.10165270696939</v>
      </c>
    </row>
    <row r="1075" spans="1:37" hidden="1" x14ac:dyDescent="0.25">
      <c r="A1075">
        <v>1086</v>
      </c>
      <c r="C1075" t="s">
        <v>376</v>
      </c>
      <c r="D1075" t="s">
        <v>2604</v>
      </c>
      <c r="E1075" t="s">
        <v>37</v>
      </c>
      <c r="G1075" s="2">
        <v>45845</v>
      </c>
      <c r="M1075" t="s">
        <v>2606</v>
      </c>
      <c r="O1075" t="s">
        <v>87</v>
      </c>
      <c r="P1075" t="s">
        <v>88</v>
      </c>
      <c r="Q1075">
        <v>5.8667159998107836</v>
      </c>
      <c r="R1075" t="s">
        <v>46</v>
      </c>
      <c r="S1075" t="s">
        <v>47</v>
      </c>
      <c r="V1075" t="s">
        <v>110</v>
      </c>
      <c r="AJ1075">
        <v>714.24572117733749</v>
      </c>
      <c r="AK1075">
        <v>23741.852289545299</v>
      </c>
    </row>
    <row r="1076" spans="1:37" x14ac:dyDescent="0.25">
      <c r="A1076">
        <v>945</v>
      </c>
      <c r="B1076" t="s">
        <v>2705</v>
      </c>
      <c r="C1076" t="s">
        <v>376</v>
      </c>
      <c r="D1076" t="s">
        <v>2604</v>
      </c>
      <c r="E1076" t="s">
        <v>37</v>
      </c>
      <c r="F1076" t="s">
        <v>38</v>
      </c>
      <c r="G1076" s="2">
        <v>45869</v>
      </c>
      <c r="H1076">
        <v>7</v>
      </c>
      <c r="I1076" t="s">
        <v>72</v>
      </c>
      <c r="J1076" t="s">
        <v>40</v>
      </c>
      <c r="K1076" t="s">
        <v>41</v>
      </c>
      <c r="L1076" t="s">
        <v>2605</v>
      </c>
      <c r="M1076" t="s">
        <v>2606</v>
      </c>
      <c r="O1076" t="s">
        <v>81</v>
      </c>
      <c r="P1076" t="s">
        <v>82</v>
      </c>
      <c r="Q1076">
        <v>3.5083970743051061</v>
      </c>
      <c r="R1076" t="s">
        <v>60</v>
      </c>
      <c r="S1076" t="s">
        <v>66</v>
      </c>
      <c r="T1076" t="s">
        <v>2706</v>
      </c>
      <c r="V1076" t="s">
        <v>397</v>
      </c>
      <c r="X1076" t="s">
        <v>2707</v>
      </c>
      <c r="Y1076" t="s">
        <v>412</v>
      </c>
      <c r="Z1076" t="s">
        <v>765</v>
      </c>
      <c r="AA1076" t="s">
        <v>73</v>
      </c>
      <c r="AB1076" t="s">
        <v>41</v>
      </c>
      <c r="AJ1076">
        <v>476.34591438123567</v>
      </c>
      <c r="AK1076">
        <v>14198.03602456829</v>
      </c>
    </row>
    <row r="1077" spans="1:37" hidden="1" x14ac:dyDescent="0.25">
      <c r="A1077">
        <v>1088</v>
      </c>
      <c r="B1077" t="s">
        <v>3185</v>
      </c>
      <c r="C1077" t="s">
        <v>376</v>
      </c>
      <c r="D1077" t="s">
        <v>2604</v>
      </c>
      <c r="E1077" t="s">
        <v>37</v>
      </c>
      <c r="G1077" s="2">
        <v>45845</v>
      </c>
      <c r="H1077">
        <v>9.1999999999999993</v>
      </c>
      <c r="M1077" t="s">
        <v>2606</v>
      </c>
      <c r="O1077" t="s">
        <v>79</v>
      </c>
      <c r="P1077" t="s">
        <v>80</v>
      </c>
      <c r="Q1077">
        <v>0.30469305672216163</v>
      </c>
      <c r="R1077" t="s">
        <v>46</v>
      </c>
      <c r="S1077" t="s">
        <v>47</v>
      </c>
      <c r="T1077" t="s">
        <v>2883</v>
      </c>
      <c r="V1077" t="s">
        <v>70</v>
      </c>
      <c r="X1077" t="s">
        <v>2880</v>
      </c>
      <c r="AD1077" t="s">
        <v>620</v>
      </c>
      <c r="AF1077" t="s">
        <v>2667</v>
      </c>
      <c r="AJ1077">
        <v>175.30755071722001</v>
      </c>
      <c r="AK1077">
        <v>1233.0539856677781</v>
      </c>
    </row>
    <row r="1078" spans="1:37" hidden="1" x14ac:dyDescent="0.25">
      <c r="A1078">
        <v>1091</v>
      </c>
      <c r="B1078" t="s">
        <v>3122</v>
      </c>
      <c r="C1078" t="s">
        <v>376</v>
      </c>
      <c r="D1078" t="s">
        <v>2604</v>
      </c>
      <c r="E1078" t="s">
        <v>37</v>
      </c>
      <c r="G1078" s="2">
        <v>45845</v>
      </c>
      <c r="H1078">
        <v>3.8</v>
      </c>
      <c r="M1078" t="s">
        <v>2606</v>
      </c>
      <c r="O1078" t="s">
        <v>99</v>
      </c>
      <c r="P1078" t="s">
        <v>100</v>
      </c>
      <c r="Q1078">
        <v>0.5024086494274691</v>
      </c>
      <c r="R1078" t="s">
        <v>46</v>
      </c>
      <c r="S1078" t="s">
        <v>47</v>
      </c>
      <c r="T1078" t="s">
        <v>2883</v>
      </c>
      <c r="V1078" t="s">
        <v>70</v>
      </c>
      <c r="X1078" t="s">
        <v>2880</v>
      </c>
      <c r="AD1078" t="s">
        <v>620</v>
      </c>
      <c r="AF1078" t="s">
        <v>3119</v>
      </c>
      <c r="AJ1078">
        <v>215.93286151813189</v>
      </c>
      <c r="AK1078">
        <v>2033.1838023319399</v>
      </c>
    </row>
    <row r="1079" spans="1:37" hidden="1" x14ac:dyDescent="0.25">
      <c r="A1079">
        <v>1092</v>
      </c>
      <c r="B1079" t="s">
        <v>3083</v>
      </c>
      <c r="C1079" t="s">
        <v>376</v>
      </c>
      <c r="D1079" t="s">
        <v>2604</v>
      </c>
      <c r="E1079" t="s">
        <v>37</v>
      </c>
      <c r="G1079" s="2">
        <v>45845</v>
      </c>
      <c r="H1079">
        <v>9.5</v>
      </c>
      <c r="M1079" t="s">
        <v>2606</v>
      </c>
      <c r="O1079" t="s">
        <v>113</v>
      </c>
      <c r="P1079" t="s">
        <v>114</v>
      </c>
      <c r="Q1079">
        <v>4.5845857393751226</v>
      </c>
      <c r="R1079" t="s">
        <v>46</v>
      </c>
      <c r="S1079" t="s">
        <v>47</v>
      </c>
      <c r="T1079" t="s">
        <v>2883</v>
      </c>
      <c r="V1079" t="s">
        <v>70</v>
      </c>
      <c r="X1079" t="s">
        <v>2880</v>
      </c>
      <c r="AD1079" t="s">
        <v>620</v>
      </c>
      <c r="AF1079" t="s">
        <v>3047</v>
      </c>
      <c r="AJ1079">
        <v>642.17618835832218</v>
      </c>
      <c r="AK1079">
        <v>18553.234456297279</v>
      </c>
    </row>
    <row r="1080" spans="1:37" x14ac:dyDescent="0.25">
      <c r="A1080">
        <v>994</v>
      </c>
      <c r="B1080" t="s">
        <v>3615</v>
      </c>
      <c r="C1080" t="s">
        <v>376</v>
      </c>
      <c r="D1080" t="s">
        <v>2604</v>
      </c>
      <c r="E1080" t="s">
        <v>37</v>
      </c>
      <c r="F1080" t="s">
        <v>38</v>
      </c>
      <c r="G1080" s="2">
        <v>45825</v>
      </c>
      <c r="H1080">
        <v>19.7</v>
      </c>
      <c r="I1080" t="s">
        <v>72</v>
      </c>
      <c r="J1080" t="s">
        <v>40</v>
      </c>
      <c r="K1080" t="s">
        <v>41</v>
      </c>
      <c r="L1080" t="s">
        <v>2605</v>
      </c>
      <c r="M1080" t="s">
        <v>2606</v>
      </c>
      <c r="O1080" t="s">
        <v>81</v>
      </c>
      <c r="P1080" t="s">
        <v>82</v>
      </c>
      <c r="Q1080">
        <v>14.08050124339611</v>
      </c>
      <c r="R1080" t="s">
        <v>46</v>
      </c>
      <c r="S1080" t="s">
        <v>47</v>
      </c>
      <c r="T1080" t="s">
        <v>3548</v>
      </c>
      <c r="V1080" t="s">
        <v>75</v>
      </c>
      <c r="X1080" t="s">
        <v>3587</v>
      </c>
      <c r="Y1080" t="s">
        <v>382</v>
      </c>
      <c r="Z1080" t="s">
        <v>2623</v>
      </c>
      <c r="AA1080" t="s">
        <v>121</v>
      </c>
      <c r="AB1080" t="s">
        <v>41</v>
      </c>
      <c r="AD1080" t="s">
        <v>620</v>
      </c>
      <c r="AF1080" t="s">
        <v>3550</v>
      </c>
      <c r="AJ1080">
        <v>991.60045846522212</v>
      </c>
      <c r="AK1080">
        <v>56981.99481520008</v>
      </c>
    </row>
    <row r="1081" spans="1:37" hidden="1" x14ac:dyDescent="0.25">
      <c r="A1081">
        <v>1094</v>
      </c>
      <c r="C1081" t="s">
        <v>376</v>
      </c>
      <c r="D1081" t="s">
        <v>2604</v>
      </c>
      <c r="E1081" t="s">
        <v>37</v>
      </c>
      <c r="G1081" s="2">
        <v>45845</v>
      </c>
      <c r="M1081" t="s">
        <v>2606</v>
      </c>
      <c r="O1081" t="s">
        <v>99</v>
      </c>
      <c r="P1081" t="s">
        <v>100</v>
      </c>
      <c r="Q1081">
        <v>0.17974486073603729</v>
      </c>
      <c r="R1081" t="s">
        <v>73</v>
      </c>
      <c r="S1081" t="s">
        <v>74</v>
      </c>
      <c r="V1081" t="s">
        <v>70</v>
      </c>
      <c r="AJ1081">
        <v>110.1962817472393</v>
      </c>
      <c r="AK1081">
        <v>727.40455367833124</v>
      </c>
    </row>
    <row r="1082" spans="1:37" hidden="1" x14ac:dyDescent="0.25">
      <c r="A1082">
        <v>1095</v>
      </c>
      <c r="C1082" t="s">
        <v>376</v>
      </c>
      <c r="D1082" t="s">
        <v>2604</v>
      </c>
      <c r="E1082" t="s">
        <v>37</v>
      </c>
      <c r="G1082" s="2">
        <v>45845</v>
      </c>
      <c r="M1082" t="s">
        <v>2606</v>
      </c>
      <c r="O1082" t="s">
        <v>96</v>
      </c>
      <c r="P1082" t="s">
        <v>97</v>
      </c>
      <c r="Q1082">
        <v>9.4814107517965346E-2</v>
      </c>
      <c r="R1082" t="s">
        <v>60</v>
      </c>
      <c r="S1082" t="s">
        <v>66</v>
      </c>
      <c r="V1082" t="s">
        <v>70</v>
      </c>
      <c r="AJ1082">
        <v>117.1707108695566</v>
      </c>
      <c r="AK1082">
        <v>383.70061474412631</v>
      </c>
    </row>
    <row r="1083" spans="1:37" hidden="1" x14ac:dyDescent="0.25">
      <c r="A1083">
        <v>1096</v>
      </c>
      <c r="C1083" t="s">
        <v>376</v>
      </c>
      <c r="D1083" t="s">
        <v>2604</v>
      </c>
      <c r="E1083" t="s">
        <v>37</v>
      </c>
      <c r="G1083" s="2">
        <v>45845</v>
      </c>
      <c r="M1083" t="s">
        <v>2606</v>
      </c>
      <c r="O1083" t="s">
        <v>96</v>
      </c>
      <c r="P1083" t="s">
        <v>97</v>
      </c>
      <c r="Q1083">
        <v>3.4802784036106198E-2</v>
      </c>
      <c r="R1083" t="s">
        <v>60</v>
      </c>
      <c r="S1083" t="s">
        <v>66</v>
      </c>
      <c r="V1083" t="s">
        <v>70</v>
      </c>
      <c r="AJ1083">
        <v>47.312878083039877</v>
      </c>
      <c r="AK1083">
        <v>140.84243346308699</v>
      </c>
    </row>
    <row r="1084" spans="1:37" hidden="1" x14ac:dyDescent="0.25">
      <c r="A1084">
        <v>1097</v>
      </c>
      <c r="B1084" t="s">
        <v>2813</v>
      </c>
      <c r="C1084" t="s">
        <v>376</v>
      </c>
      <c r="D1084" t="s">
        <v>2604</v>
      </c>
      <c r="E1084" t="s">
        <v>37</v>
      </c>
      <c r="G1084" s="2">
        <v>45845</v>
      </c>
      <c r="H1084">
        <v>8.9</v>
      </c>
      <c r="M1084" t="s">
        <v>2606</v>
      </c>
      <c r="O1084" t="s">
        <v>704</v>
      </c>
      <c r="P1084" t="s">
        <v>705</v>
      </c>
      <c r="Q1084">
        <v>0.18590139138641651</v>
      </c>
      <c r="R1084" t="s">
        <v>46</v>
      </c>
      <c r="S1084" t="s">
        <v>47</v>
      </c>
      <c r="T1084" t="s">
        <v>2801</v>
      </c>
      <c r="V1084" t="s">
        <v>618</v>
      </c>
      <c r="X1084" t="s">
        <v>2814</v>
      </c>
      <c r="AD1084" t="s">
        <v>2757</v>
      </c>
      <c r="AF1084" t="s">
        <v>1097</v>
      </c>
      <c r="AJ1084">
        <v>112.22589093139889</v>
      </c>
      <c r="AK1084">
        <v>752.31924893920188</v>
      </c>
    </row>
    <row r="1085" spans="1:37" hidden="1" x14ac:dyDescent="0.25">
      <c r="A1085">
        <v>1100</v>
      </c>
      <c r="B1085" t="s">
        <v>2796</v>
      </c>
      <c r="C1085" t="s">
        <v>376</v>
      </c>
      <c r="D1085" t="s">
        <v>2604</v>
      </c>
      <c r="E1085" t="s">
        <v>37</v>
      </c>
      <c r="G1085" s="2">
        <v>45845</v>
      </c>
      <c r="H1085">
        <v>7.9</v>
      </c>
      <c r="M1085" t="s">
        <v>2606</v>
      </c>
      <c r="O1085" t="s">
        <v>99</v>
      </c>
      <c r="P1085" t="s">
        <v>100</v>
      </c>
      <c r="Q1085">
        <v>1.161003210474449</v>
      </c>
      <c r="R1085" t="s">
        <v>46</v>
      </c>
      <c r="S1085" t="s">
        <v>47</v>
      </c>
      <c r="T1085" t="s">
        <v>57</v>
      </c>
      <c r="V1085" t="s">
        <v>618</v>
      </c>
      <c r="X1085" t="s">
        <v>2704</v>
      </c>
      <c r="AF1085" t="s">
        <v>1097</v>
      </c>
      <c r="AJ1085">
        <v>467.9583780126647</v>
      </c>
      <c r="AK1085">
        <v>4698.4320924451204</v>
      </c>
    </row>
    <row r="1086" spans="1:37" x14ac:dyDescent="0.25">
      <c r="A1086">
        <v>1001</v>
      </c>
      <c r="B1086" t="s">
        <v>3410</v>
      </c>
      <c r="C1086" t="s">
        <v>376</v>
      </c>
      <c r="D1086" t="s">
        <v>2604</v>
      </c>
      <c r="E1086" t="s">
        <v>37</v>
      </c>
      <c r="F1086" t="s">
        <v>38</v>
      </c>
      <c r="G1086" s="2">
        <v>45825</v>
      </c>
      <c r="H1086">
        <v>16.2</v>
      </c>
      <c r="I1086" t="s">
        <v>72</v>
      </c>
      <c r="J1086" t="s">
        <v>40</v>
      </c>
      <c r="K1086" t="s">
        <v>41</v>
      </c>
      <c r="L1086" t="s">
        <v>2605</v>
      </c>
      <c r="M1086" t="s">
        <v>2606</v>
      </c>
      <c r="N1086" t="s">
        <v>3027</v>
      </c>
      <c r="O1086" t="s">
        <v>81</v>
      </c>
      <c r="P1086" t="s">
        <v>82</v>
      </c>
      <c r="Q1086">
        <v>3.386103482864566</v>
      </c>
      <c r="R1086" t="s">
        <v>46</v>
      </c>
      <c r="S1086" t="s">
        <v>47</v>
      </c>
      <c r="T1086" t="s">
        <v>3097</v>
      </c>
      <c r="V1086" t="s">
        <v>110</v>
      </c>
      <c r="X1086" t="s">
        <v>3029</v>
      </c>
      <c r="Y1086" t="s">
        <v>412</v>
      </c>
      <c r="Z1086" t="s">
        <v>2623</v>
      </c>
      <c r="AA1086" t="s">
        <v>121</v>
      </c>
      <c r="AB1086" t="s">
        <v>41</v>
      </c>
      <c r="AD1086" t="s">
        <v>620</v>
      </c>
      <c r="AF1086" t="s">
        <v>2667</v>
      </c>
      <c r="AJ1086">
        <v>630.09024913598171</v>
      </c>
      <c r="AK1086">
        <v>13703.12943900442</v>
      </c>
    </row>
    <row r="1087" spans="1:37" hidden="1" x14ac:dyDescent="0.25">
      <c r="A1087">
        <v>1103</v>
      </c>
      <c r="C1087" t="s">
        <v>376</v>
      </c>
      <c r="D1087" t="s">
        <v>2604</v>
      </c>
      <c r="E1087" t="s">
        <v>37</v>
      </c>
      <c r="G1087" s="2">
        <v>45846</v>
      </c>
      <c r="M1087" t="s">
        <v>2606</v>
      </c>
      <c r="O1087" t="s">
        <v>704</v>
      </c>
      <c r="P1087" t="s">
        <v>705</v>
      </c>
      <c r="Q1087">
        <v>0.32692553445381112</v>
      </c>
      <c r="R1087" t="s">
        <v>73</v>
      </c>
      <c r="S1087" t="s">
        <v>74</v>
      </c>
      <c r="V1087" t="s">
        <v>860</v>
      </c>
      <c r="AJ1087">
        <v>150.56898131499941</v>
      </c>
      <c r="AK1087">
        <v>1323.0259908496289</v>
      </c>
    </row>
    <row r="1088" spans="1:37" hidden="1" x14ac:dyDescent="0.25">
      <c r="A1088">
        <v>1104</v>
      </c>
      <c r="C1088" t="s">
        <v>376</v>
      </c>
      <c r="D1088" t="s">
        <v>2604</v>
      </c>
      <c r="E1088" t="s">
        <v>37</v>
      </c>
      <c r="G1088" s="2">
        <v>45846</v>
      </c>
      <c r="M1088" t="s">
        <v>2606</v>
      </c>
      <c r="O1088" t="s">
        <v>704</v>
      </c>
      <c r="P1088" t="s">
        <v>705</v>
      </c>
      <c r="Q1088">
        <v>0.17204411873894401</v>
      </c>
      <c r="R1088" t="s">
        <v>73</v>
      </c>
      <c r="S1088" t="s">
        <v>74</v>
      </c>
      <c r="V1088" t="s">
        <v>860</v>
      </c>
      <c r="AJ1088">
        <v>174.314088021705</v>
      </c>
      <c r="AK1088">
        <v>696.24063181458575</v>
      </c>
    </row>
    <row r="1089" spans="1:37" hidden="1" x14ac:dyDescent="0.25">
      <c r="A1089">
        <v>1105</v>
      </c>
      <c r="C1089" t="s">
        <v>376</v>
      </c>
      <c r="D1089" t="s">
        <v>2604</v>
      </c>
      <c r="E1089" t="s">
        <v>37</v>
      </c>
      <c r="G1089" s="2">
        <v>45846</v>
      </c>
      <c r="M1089" t="s">
        <v>2606</v>
      </c>
      <c r="O1089" t="s">
        <v>704</v>
      </c>
      <c r="P1089" t="s">
        <v>705</v>
      </c>
      <c r="Q1089">
        <v>2.5244122190762872E-2</v>
      </c>
      <c r="R1089" t="s">
        <v>73</v>
      </c>
      <c r="S1089" t="s">
        <v>74</v>
      </c>
      <c r="V1089" t="s">
        <v>860</v>
      </c>
      <c r="AJ1089">
        <v>49.791433756716877</v>
      </c>
      <c r="AK1089">
        <v>102.159746654117</v>
      </c>
    </row>
    <row r="1090" spans="1:37" hidden="1" x14ac:dyDescent="0.25">
      <c r="A1090">
        <v>1106</v>
      </c>
      <c r="C1090" t="s">
        <v>376</v>
      </c>
      <c r="D1090" t="s">
        <v>2604</v>
      </c>
      <c r="E1090" t="s">
        <v>37</v>
      </c>
      <c r="G1090" s="2">
        <v>45846</v>
      </c>
      <c r="M1090" t="s">
        <v>2606</v>
      </c>
      <c r="O1090" t="s">
        <v>704</v>
      </c>
      <c r="P1090" t="s">
        <v>705</v>
      </c>
      <c r="Q1090">
        <v>0.12640201224411821</v>
      </c>
      <c r="R1090" t="s">
        <v>73</v>
      </c>
      <c r="S1090" t="s">
        <v>74</v>
      </c>
      <c r="V1090" t="s">
        <v>860</v>
      </c>
      <c r="AJ1090">
        <v>99.68698092791206</v>
      </c>
      <c r="AK1090">
        <v>511.53284118371192</v>
      </c>
    </row>
    <row r="1091" spans="1:37" hidden="1" x14ac:dyDescent="0.25">
      <c r="A1091">
        <v>1107</v>
      </c>
      <c r="C1091" t="s">
        <v>376</v>
      </c>
      <c r="D1091" t="s">
        <v>2604</v>
      </c>
      <c r="E1091" t="s">
        <v>37</v>
      </c>
      <c r="G1091" s="2">
        <v>45846</v>
      </c>
      <c r="M1091" t="s">
        <v>2606</v>
      </c>
      <c r="O1091" t="s">
        <v>96</v>
      </c>
      <c r="P1091" t="s">
        <v>97</v>
      </c>
      <c r="Q1091">
        <v>0.12398640358643689</v>
      </c>
      <c r="R1091" t="s">
        <v>60</v>
      </c>
      <c r="S1091" t="s">
        <v>66</v>
      </c>
      <c r="V1091" t="s">
        <v>860</v>
      </c>
      <c r="AJ1091">
        <v>89.66550788009998</v>
      </c>
      <c r="AK1091">
        <v>501.75718067076639</v>
      </c>
    </row>
    <row r="1092" spans="1:37" hidden="1" x14ac:dyDescent="0.25">
      <c r="A1092">
        <v>1108</v>
      </c>
      <c r="C1092" t="s">
        <v>376</v>
      </c>
      <c r="D1092" t="s">
        <v>2604</v>
      </c>
      <c r="E1092" t="s">
        <v>37</v>
      </c>
      <c r="G1092" s="2">
        <v>45846</v>
      </c>
      <c r="M1092" t="s">
        <v>2606</v>
      </c>
      <c r="O1092" t="s">
        <v>96</v>
      </c>
      <c r="P1092" t="s">
        <v>97</v>
      </c>
      <c r="Q1092">
        <v>5.1591709936424722E-2</v>
      </c>
      <c r="R1092" t="s">
        <v>60</v>
      </c>
      <c r="S1092" t="s">
        <v>66</v>
      </c>
      <c r="V1092" t="s">
        <v>860</v>
      </c>
      <c r="AJ1092">
        <v>61.408668912835523</v>
      </c>
      <c r="AK1092">
        <v>208.78507783829451</v>
      </c>
    </row>
    <row r="1093" spans="1:37" hidden="1" x14ac:dyDescent="0.25">
      <c r="A1093">
        <v>1109</v>
      </c>
      <c r="C1093" t="s">
        <v>376</v>
      </c>
      <c r="D1093" t="s">
        <v>2604</v>
      </c>
      <c r="E1093" t="s">
        <v>37</v>
      </c>
      <c r="G1093" s="2">
        <v>45846</v>
      </c>
      <c r="M1093" t="s">
        <v>2606</v>
      </c>
      <c r="O1093" t="s">
        <v>96</v>
      </c>
      <c r="P1093" t="s">
        <v>97</v>
      </c>
      <c r="Q1093">
        <v>0.37332945775164439</v>
      </c>
      <c r="R1093" t="s">
        <v>60</v>
      </c>
      <c r="S1093" t="s">
        <v>66</v>
      </c>
      <c r="V1093" t="s">
        <v>860</v>
      </c>
      <c r="AJ1093">
        <v>171.64217355585751</v>
      </c>
      <c r="AK1093">
        <v>1510.816757034336</v>
      </c>
    </row>
    <row r="1094" spans="1:37" hidden="1" x14ac:dyDescent="0.25">
      <c r="A1094">
        <v>1110</v>
      </c>
      <c r="C1094" t="s">
        <v>376</v>
      </c>
      <c r="D1094" t="s">
        <v>2604</v>
      </c>
      <c r="E1094" t="s">
        <v>37</v>
      </c>
      <c r="G1094" s="2">
        <v>45846</v>
      </c>
      <c r="M1094" t="s">
        <v>2606</v>
      </c>
      <c r="O1094" t="s">
        <v>96</v>
      </c>
      <c r="P1094" t="s">
        <v>97</v>
      </c>
      <c r="Q1094">
        <v>0.19734018651877511</v>
      </c>
      <c r="R1094" t="s">
        <v>60</v>
      </c>
      <c r="S1094" t="s">
        <v>66</v>
      </c>
      <c r="V1094" t="s">
        <v>860</v>
      </c>
      <c r="AJ1094">
        <v>112.5376467487586</v>
      </c>
      <c r="AK1094">
        <v>798.61059565030712</v>
      </c>
    </row>
    <row r="1095" spans="1:37" hidden="1" x14ac:dyDescent="0.25">
      <c r="A1095">
        <v>1111</v>
      </c>
      <c r="C1095" t="s">
        <v>376</v>
      </c>
      <c r="D1095" t="s">
        <v>2604</v>
      </c>
      <c r="E1095" t="s">
        <v>37</v>
      </c>
      <c r="G1095" s="2">
        <v>45846</v>
      </c>
      <c r="M1095" t="s">
        <v>2606</v>
      </c>
      <c r="O1095" t="s">
        <v>96</v>
      </c>
      <c r="P1095" t="s">
        <v>97</v>
      </c>
      <c r="Q1095">
        <v>6.4073402734564799E-2</v>
      </c>
      <c r="R1095" t="s">
        <v>60</v>
      </c>
      <c r="S1095" t="s">
        <v>66</v>
      </c>
      <c r="V1095" t="s">
        <v>860</v>
      </c>
      <c r="AJ1095">
        <v>92.168729202282933</v>
      </c>
      <c r="AK1095">
        <v>259.29689854795231</v>
      </c>
    </row>
    <row r="1096" spans="1:37" hidden="1" x14ac:dyDescent="0.25">
      <c r="A1096">
        <v>1112</v>
      </c>
      <c r="B1096" t="s">
        <v>3147</v>
      </c>
      <c r="C1096" t="s">
        <v>376</v>
      </c>
      <c r="D1096" t="s">
        <v>2604</v>
      </c>
      <c r="E1096" t="s">
        <v>37</v>
      </c>
      <c r="G1096" s="2">
        <v>45846</v>
      </c>
      <c r="H1096">
        <v>1.9</v>
      </c>
      <c r="M1096" t="s">
        <v>2606</v>
      </c>
      <c r="O1096" t="s">
        <v>79</v>
      </c>
      <c r="P1096" t="s">
        <v>80</v>
      </c>
      <c r="Q1096">
        <v>0.79614029632030481</v>
      </c>
      <c r="R1096" t="s">
        <v>60</v>
      </c>
      <c r="S1096" t="s">
        <v>66</v>
      </c>
      <c r="T1096" t="s">
        <v>3143</v>
      </c>
      <c r="V1096" t="s">
        <v>554</v>
      </c>
      <c r="X1096" t="s">
        <v>3144</v>
      </c>
      <c r="AD1096" t="s">
        <v>455</v>
      </c>
      <c r="AF1096" t="s">
        <v>3145</v>
      </c>
      <c r="AJ1096">
        <v>227.73747888391179</v>
      </c>
      <c r="AK1096">
        <v>3221.8783587958119</v>
      </c>
    </row>
    <row r="1097" spans="1:37" x14ac:dyDescent="0.25">
      <c r="A1097">
        <v>1002</v>
      </c>
      <c r="B1097" t="s">
        <v>3410</v>
      </c>
      <c r="C1097" t="s">
        <v>376</v>
      </c>
      <c r="D1097" t="s">
        <v>2604</v>
      </c>
      <c r="E1097" t="s">
        <v>37</v>
      </c>
      <c r="F1097" t="s">
        <v>38</v>
      </c>
      <c r="G1097" s="2">
        <v>45825</v>
      </c>
      <c r="H1097">
        <v>16.2</v>
      </c>
      <c r="I1097" t="s">
        <v>72</v>
      </c>
      <c r="J1097" t="s">
        <v>40</v>
      </c>
      <c r="K1097" t="s">
        <v>41</v>
      </c>
      <c r="L1097" t="s">
        <v>2605</v>
      </c>
      <c r="M1097" t="s">
        <v>2606</v>
      </c>
      <c r="N1097" t="s">
        <v>3027</v>
      </c>
      <c r="O1097" t="s">
        <v>81</v>
      </c>
      <c r="P1097" t="s">
        <v>82</v>
      </c>
      <c r="Q1097">
        <v>4.2463044225424547</v>
      </c>
      <c r="R1097" t="s">
        <v>46</v>
      </c>
      <c r="S1097" t="s">
        <v>47</v>
      </c>
      <c r="T1097" t="s">
        <v>3097</v>
      </c>
      <c r="V1097" t="s">
        <v>110</v>
      </c>
      <c r="X1097" t="s">
        <v>3029</v>
      </c>
      <c r="Y1097" t="s">
        <v>412</v>
      </c>
      <c r="Z1097" t="s">
        <v>2623</v>
      </c>
      <c r="AA1097" t="s">
        <v>121</v>
      </c>
      <c r="AB1097" t="s">
        <v>41</v>
      </c>
      <c r="AD1097" t="s">
        <v>620</v>
      </c>
      <c r="AF1097" t="s">
        <v>2667</v>
      </c>
      <c r="AJ1097">
        <v>657.30450165551326</v>
      </c>
      <c r="AK1097">
        <v>17184.253060774961</v>
      </c>
    </row>
    <row r="1098" spans="1:37" x14ac:dyDescent="0.25">
      <c r="A1098">
        <v>1006</v>
      </c>
      <c r="B1098" t="s">
        <v>3417</v>
      </c>
      <c r="C1098" t="s">
        <v>376</v>
      </c>
      <c r="D1098" t="s">
        <v>2604</v>
      </c>
      <c r="E1098" t="s">
        <v>37</v>
      </c>
      <c r="F1098" t="s">
        <v>38</v>
      </c>
      <c r="G1098" s="2">
        <v>45825</v>
      </c>
      <c r="H1098">
        <v>13.9</v>
      </c>
      <c r="I1098" t="s">
        <v>72</v>
      </c>
      <c r="J1098" t="s">
        <v>40</v>
      </c>
      <c r="K1098" t="s">
        <v>41</v>
      </c>
      <c r="L1098" t="s">
        <v>2605</v>
      </c>
      <c r="M1098" t="s">
        <v>2606</v>
      </c>
      <c r="N1098" t="s">
        <v>3027</v>
      </c>
      <c r="O1098" t="s">
        <v>81</v>
      </c>
      <c r="P1098" t="s">
        <v>82</v>
      </c>
      <c r="Q1098">
        <v>2.6793355108421801</v>
      </c>
      <c r="R1098" t="s">
        <v>46</v>
      </c>
      <c r="S1098" t="s">
        <v>47</v>
      </c>
      <c r="T1098" t="s">
        <v>3364</v>
      </c>
      <c r="V1098" t="s">
        <v>110</v>
      </c>
      <c r="X1098" t="s">
        <v>3365</v>
      </c>
      <c r="Y1098" t="s">
        <v>412</v>
      </c>
      <c r="Z1098" t="s">
        <v>2623</v>
      </c>
      <c r="AA1098" t="s">
        <v>121</v>
      </c>
      <c r="AB1098" t="s">
        <v>41</v>
      </c>
      <c r="AD1098" t="s">
        <v>620</v>
      </c>
      <c r="AF1098" t="s">
        <v>3304</v>
      </c>
      <c r="AJ1098">
        <v>440.77514980811691</v>
      </c>
      <c r="AK1098">
        <v>10842.92949149065</v>
      </c>
    </row>
    <row r="1099" spans="1:37" hidden="1" x14ac:dyDescent="0.25">
      <c r="A1099">
        <v>1115</v>
      </c>
      <c r="C1099" t="s">
        <v>376</v>
      </c>
      <c r="D1099" t="s">
        <v>2604</v>
      </c>
      <c r="E1099" t="s">
        <v>37</v>
      </c>
      <c r="G1099" s="2">
        <v>45846</v>
      </c>
      <c r="M1099" t="s">
        <v>2606</v>
      </c>
      <c r="O1099" t="s">
        <v>96</v>
      </c>
      <c r="P1099" t="s">
        <v>97</v>
      </c>
      <c r="Q1099">
        <v>0.17000880187762571</v>
      </c>
      <c r="R1099" t="s">
        <v>60</v>
      </c>
      <c r="S1099" t="s">
        <v>66</v>
      </c>
      <c r="V1099" t="s">
        <v>180</v>
      </c>
      <c r="AJ1099">
        <v>224.97154557368981</v>
      </c>
      <c r="AK1099">
        <v>688.0039637561016</v>
      </c>
    </row>
    <row r="1100" spans="1:37" hidden="1" x14ac:dyDescent="0.25">
      <c r="A1100">
        <v>1116</v>
      </c>
      <c r="B1100" t="s">
        <v>2679</v>
      </c>
      <c r="C1100" t="s">
        <v>376</v>
      </c>
      <c r="D1100" t="s">
        <v>2604</v>
      </c>
      <c r="E1100" t="s">
        <v>37</v>
      </c>
      <c r="G1100" s="2">
        <v>45847</v>
      </c>
      <c r="H1100">
        <v>4</v>
      </c>
      <c r="M1100" t="s">
        <v>2606</v>
      </c>
      <c r="O1100" t="s">
        <v>99</v>
      </c>
      <c r="P1100" t="s">
        <v>100</v>
      </c>
      <c r="Q1100">
        <v>0.23331302212127919</v>
      </c>
      <c r="R1100" t="s">
        <v>60</v>
      </c>
      <c r="S1100" t="s">
        <v>66</v>
      </c>
      <c r="T1100" t="s">
        <v>57</v>
      </c>
      <c r="V1100" t="s">
        <v>397</v>
      </c>
      <c r="X1100" t="s">
        <v>2680</v>
      </c>
      <c r="AD1100" t="s">
        <v>898</v>
      </c>
      <c r="AF1100" t="s">
        <v>2681</v>
      </c>
      <c r="AJ1100">
        <v>232.6479993995444</v>
      </c>
      <c r="AK1100">
        <v>944.1880787495902</v>
      </c>
    </row>
    <row r="1101" spans="1:37" hidden="1" x14ac:dyDescent="0.25">
      <c r="A1101">
        <v>1117</v>
      </c>
      <c r="B1101" t="s">
        <v>2679</v>
      </c>
      <c r="C1101" t="s">
        <v>376</v>
      </c>
      <c r="D1101" t="s">
        <v>2604</v>
      </c>
      <c r="E1101" t="s">
        <v>37</v>
      </c>
      <c r="G1101" s="2">
        <v>45847</v>
      </c>
      <c r="H1101">
        <v>4</v>
      </c>
      <c r="M1101" t="s">
        <v>2606</v>
      </c>
      <c r="O1101" t="s">
        <v>96</v>
      </c>
      <c r="P1101" t="s">
        <v>97</v>
      </c>
      <c r="Q1101">
        <v>0.19606216632339671</v>
      </c>
      <c r="R1101" t="s">
        <v>60</v>
      </c>
      <c r="S1101" t="s">
        <v>66</v>
      </c>
      <c r="T1101" t="s">
        <v>57</v>
      </c>
      <c r="V1101" t="s">
        <v>397</v>
      </c>
      <c r="X1101" t="s">
        <v>2680</v>
      </c>
      <c r="AD1101" t="s">
        <v>898</v>
      </c>
      <c r="AF1101" t="s">
        <v>2681</v>
      </c>
      <c r="AJ1101">
        <v>114.300514550163</v>
      </c>
      <c r="AK1101">
        <v>793.43861072676395</v>
      </c>
    </row>
    <row r="1102" spans="1:37" hidden="1" x14ac:dyDescent="0.25">
      <c r="A1102">
        <v>1118</v>
      </c>
      <c r="C1102" t="s">
        <v>376</v>
      </c>
      <c r="D1102" t="s">
        <v>2604</v>
      </c>
      <c r="E1102" t="s">
        <v>37</v>
      </c>
      <c r="G1102" s="2">
        <v>45847</v>
      </c>
      <c r="M1102" t="s">
        <v>2606</v>
      </c>
      <c r="O1102" t="s">
        <v>99</v>
      </c>
      <c r="P1102" t="s">
        <v>100</v>
      </c>
      <c r="Q1102">
        <v>7.820706325674022E-2</v>
      </c>
      <c r="R1102" t="s">
        <v>60</v>
      </c>
      <c r="S1102" t="s">
        <v>66</v>
      </c>
      <c r="V1102" t="s">
        <v>182</v>
      </c>
      <c r="AJ1102">
        <v>76.462602612026856</v>
      </c>
      <c r="AK1102">
        <v>316.494022192405</v>
      </c>
    </row>
    <row r="1103" spans="1:37" hidden="1" x14ac:dyDescent="0.25">
      <c r="A1103">
        <v>1119</v>
      </c>
      <c r="C1103" t="s">
        <v>376</v>
      </c>
      <c r="D1103" t="s">
        <v>2604</v>
      </c>
      <c r="E1103" t="s">
        <v>37</v>
      </c>
      <c r="G1103" s="2">
        <v>45847</v>
      </c>
      <c r="M1103" t="s">
        <v>2606</v>
      </c>
      <c r="O1103" t="s">
        <v>99</v>
      </c>
      <c r="P1103" t="s">
        <v>100</v>
      </c>
      <c r="Q1103">
        <v>0.14889855445671729</v>
      </c>
      <c r="R1103" t="s">
        <v>60</v>
      </c>
      <c r="S1103" t="s">
        <v>66</v>
      </c>
      <c r="V1103" t="s">
        <v>182</v>
      </c>
      <c r="AJ1103">
        <v>104.4905990226484</v>
      </c>
      <c r="AK1103">
        <v>602.57348168075919</v>
      </c>
    </row>
    <row r="1104" spans="1:37" hidden="1" x14ac:dyDescent="0.25">
      <c r="A1104">
        <v>1120</v>
      </c>
      <c r="C1104" t="s">
        <v>376</v>
      </c>
      <c r="D1104" t="s">
        <v>2604</v>
      </c>
      <c r="E1104" t="s">
        <v>37</v>
      </c>
      <c r="G1104" s="2">
        <v>45847</v>
      </c>
      <c r="M1104" t="s">
        <v>2606</v>
      </c>
      <c r="O1104" t="s">
        <v>704</v>
      </c>
      <c r="P1104" t="s">
        <v>705</v>
      </c>
      <c r="Q1104">
        <v>4.7056407009648443E-2</v>
      </c>
      <c r="R1104" t="s">
        <v>73</v>
      </c>
      <c r="S1104" t="s">
        <v>74</v>
      </c>
      <c r="V1104" t="s">
        <v>182</v>
      </c>
      <c r="AJ1104">
        <v>55.647106894808417</v>
      </c>
      <c r="AK1104">
        <v>190.43128464644099</v>
      </c>
    </row>
    <row r="1105" spans="1:37" hidden="1" x14ac:dyDescent="0.25">
      <c r="A1105">
        <v>1122</v>
      </c>
      <c r="B1105" t="s">
        <v>2821</v>
      </c>
      <c r="C1105" t="s">
        <v>376</v>
      </c>
      <c r="D1105" t="s">
        <v>2604</v>
      </c>
      <c r="E1105" t="s">
        <v>37</v>
      </c>
      <c r="G1105" s="2">
        <v>45869</v>
      </c>
      <c r="M1105" t="s">
        <v>2606</v>
      </c>
      <c r="O1105" t="s">
        <v>99</v>
      </c>
      <c r="P1105" t="s">
        <v>100</v>
      </c>
      <c r="Q1105">
        <v>0.80449252947757255</v>
      </c>
      <c r="R1105" t="s">
        <v>60</v>
      </c>
      <c r="S1105" t="s">
        <v>66</v>
      </c>
      <c r="T1105" t="s">
        <v>673</v>
      </c>
      <c r="U1105" t="s">
        <v>2822</v>
      </c>
      <c r="V1105" t="s">
        <v>896</v>
      </c>
      <c r="X1105" t="s">
        <v>673</v>
      </c>
      <c r="AE1105" t="s">
        <v>2823</v>
      </c>
      <c r="AJ1105">
        <v>357.99017490305619</v>
      </c>
      <c r="AK1105">
        <v>3255.6787823912418</v>
      </c>
    </row>
    <row r="1106" spans="1:37" x14ac:dyDescent="0.25">
      <c r="A1106">
        <v>1007</v>
      </c>
      <c r="B1106" t="s">
        <v>3363</v>
      </c>
      <c r="C1106" t="s">
        <v>376</v>
      </c>
      <c r="D1106" t="s">
        <v>2604</v>
      </c>
      <c r="E1106" t="s">
        <v>37</v>
      </c>
      <c r="F1106" t="s">
        <v>38</v>
      </c>
      <c r="G1106" s="2">
        <v>45825</v>
      </c>
      <c r="H1106">
        <v>11.7</v>
      </c>
      <c r="I1106" t="s">
        <v>72</v>
      </c>
      <c r="J1106" t="s">
        <v>40</v>
      </c>
      <c r="K1106" t="s">
        <v>41</v>
      </c>
      <c r="L1106" t="s">
        <v>2605</v>
      </c>
      <c r="M1106" t="s">
        <v>2606</v>
      </c>
      <c r="N1106" t="s">
        <v>3027</v>
      </c>
      <c r="O1106" t="s">
        <v>81</v>
      </c>
      <c r="P1106" t="s">
        <v>82</v>
      </c>
      <c r="Q1106">
        <v>1.6494711453107651</v>
      </c>
      <c r="R1106" t="s">
        <v>46</v>
      </c>
      <c r="S1106" t="s">
        <v>47</v>
      </c>
      <c r="T1106" t="s">
        <v>3364</v>
      </c>
      <c r="V1106" t="s">
        <v>110</v>
      </c>
      <c r="X1106" t="s">
        <v>3365</v>
      </c>
      <c r="Y1106" t="s">
        <v>412</v>
      </c>
      <c r="Z1106" t="s">
        <v>2623</v>
      </c>
      <c r="AA1106" t="s">
        <v>121</v>
      </c>
      <c r="AB1106" t="s">
        <v>41</v>
      </c>
      <c r="AD1106" t="s">
        <v>620</v>
      </c>
      <c r="AF1106" t="s">
        <v>3304</v>
      </c>
      <c r="AJ1106">
        <v>495.02293874746698</v>
      </c>
      <c r="AK1106">
        <v>6675.1995987360451</v>
      </c>
    </row>
    <row r="1107" spans="1:37" x14ac:dyDescent="0.25">
      <c r="A1107">
        <v>1012</v>
      </c>
      <c r="B1107" t="s">
        <v>3957</v>
      </c>
      <c r="C1107" t="s">
        <v>376</v>
      </c>
      <c r="D1107" t="s">
        <v>2604</v>
      </c>
      <c r="E1107" t="s">
        <v>37</v>
      </c>
      <c r="F1107" t="s">
        <v>38</v>
      </c>
      <c r="G1107" s="2">
        <v>45825</v>
      </c>
      <c r="H1107">
        <v>19.7</v>
      </c>
      <c r="I1107" t="s">
        <v>72</v>
      </c>
      <c r="J1107" t="s">
        <v>40</v>
      </c>
      <c r="K1107" t="s">
        <v>41</v>
      </c>
      <c r="L1107" t="s">
        <v>2605</v>
      </c>
      <c r="M1107" t="s">
        <v>2606</v>
      </c>
      <c r="N1107" t="s">
        <v>3027</v>
      </c>
      <c r="O1107" t="s">
        <v>81</v>
      </c>
      <c r="P1107" t="s">
        <v>82</v>
      </c>
      <c r="Q1107">
        <v>7.4586533112857047</v>
      </c>
      <c r="R1107" t="s">
        <v>46</v>
      </c>
      <c r="S1107" t="s">
        <v>47</v>
      </c>
      <c r="T1107" t="s">
        <v>3958</v>
      </c>
      <c r="V1107" t="s">
        <v>110</v>
      </c>
      <c r="X1107" t="s">
        <v>3365</v>
      </c>
      <c r="Y1107" t="s">
        <v>382</v>
      </c>
      <c r="Z1107" t="s">
        <v>2623</v>
      </c>
      <c r="AA1107" t="s">
        <v>64</v>
      </c>
      <c r="AB1107" t="s">
        <v>41</v>
      </c>
      <c r="AD1107" t="s">
        <v>620</v>
      </c>
      <c r="AF1107" t="s">
        <v>3304</v>
      </c>
      <c r="AJ1107">
        <v>975.16847393866146</v>
      </c>
      <c r="AK1107">
        <v>30184.21979199001</v>
      </c>
    </row>
  </sheetData>
  <autoFilter ref="A1:AK1107" xr:uid="{00000000-0001-0000-0700-000000000000}">
    <filterColumn colId="15">
      <filters>
        <filter val="Fallow, idle or otherwise not irrigated"/>
        <filter val="Hay (all other)"/>
      </filters>
    </filterColumn>
    <sortState xmlns:xlrd2="http://schemas.microsoft.com/office/spreadsheetml/2017/richdata2" ref="A8:AK1107">
      <sortCondition ref="P1:P1107"/>
    </sortState>
  </autoFilter>
  <sortState xmlns:xlrd2="http://schemas.microsoft.com/office/spreadsheetml/2017/richdata2" ref="A2:AK1107">
    <sortCondition ref="M1:M1107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AJ395"/>
  <sheetViews>
    <sheetView workbookViewId="0">
      <pane ySplit="1" topLeftCell="A301" activePane="bottomLeft" state="frozen"/>
      <selection pane="bottomLeft" activeCell="P399" sqref="P399"/>
    </sheetView>
  </sheetViews>
  <sheetFormatPr defaultRowHeight="15" x14ac:dyDescent="0.25"/>
  <sheetData>
    <row r="1" spans="1:3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>
        <v>1</v>
      </c>
      <c r="B2" t="s">
        <v>2040</v>
      </c>
      <c r="C2" t="s">
        <v>376</v>
      </c>
      <c r="D2" t="s">
        <v>2041</v>
      </c>
      <c r="E2" t="s">
        <v>37</v>
      </c>
      <c r="G2" s="2">
        <v>45854</v>
      </c>
      <c r="H2">
        <v>1</v>
      </c>
      <c r="I2" t="s">
        <v>72</v>
      </c>
      <c r="J2" t="s">
        <v>1024</v>
      </c>
      <c r="K2" t="s">
        <v>1025</v>
      </c>
      <c r="L2" t="s">
        <v>2042</v>
      </c>
      <c r="M2" t="s">
        <v>972</v>
      </c>
      <c r="O2" t="s">
        <v>62</v>
      </c>
      <c r="P2" t="s">
        <v>63</v>
      </c>
      <c r="Q2">
        <v>1.07832962180725</v>
      </c>
      <c r="R2" t="s">
        <v>64</v>
      </c>
      <c r="S2" t="s">
        <v>65</v>
      </c>
      <c r="T2" t="s">
        <v>2043</v>
      </c>
      <c r="V2" t="s">
        <v>71</v>
      </c>
      <c r="X2" t="s">
        <v>2044</v>
      </c>
      <c r="Y2" t="s">
        <v>2045</v>
      </c>
      <c r="Z2" t="s">
        <v>1073</v>
      </c>
      <c r="AA2" t="s">
        <v>76</v>
      </c>
      <c r="AB2" t="s">
        <v>453</v>
      </c>
      <c r="AD2" t="s">
        <v>2046</v>
      </c>
      <c r="AE2" t="s">
        <v>2047</v>
      </c>
      <c r="AI2">
        <v>265.50779105060599</v>
      </c>
      <c r="AJ2">
        <v>4363.8626109078205</v>
      </c>
    </row>
    <row r="3" spans="1:36" hidden="1" x14ac:dyDescent="0.25">
      <c r="A3">
        <v>2</v>
      </c>
      <c r="B3" t="s">
        <v>2048</v>
      </c>
      <c r="C3" t="s">
        <v>376</v>
      </c>
      <c r="D3" t="s">
        <v>2041</v>
      </c>
      <c r="E3" t="s">
        <v>37</v>
      </c>
      <c r="G3" s="2">
        <v>45854</v>
      </c>
      <c r="H3">
        <v>0.5</v>
      </c>
      <c r="I3" t="s">
        <v>72</v>
      </c>
      <c r="J3" t="s">
        <v>1024</v>
      </c>
      <c r="K3" t="s">
        <v>1025</v>
      </c>
      <c r="L3" t="s">
        <v>2042</v>
      </c>
      <c r="M3" t="s">
        <v>972</v>
      </c>
      <c r="O3" t="s">
        <v>402</v>
      </c>
      <c r="P3" t="s">
        <v>403</v>
      </c>
      <c r="Q3">
        <v>0.54497112262717795</v>
      </c>
      <c r="S3" t="s">
        <v>38</v>
      </c>
      <c r="T3" t="s">
        <v>2049</v>
      </c>
      <c r="V3" t="s">
        <v>110</v>
      </c>
      <c r="X3" t="s">
        <v>2050</v>
      </c>
      <c r="Y3" t="s">
        <v>2051</v>
      </c>
      <c r="Z3" t="s">
        <v>1460</v>
      </c>
      <c r="AA3" t="s">
        <v>118</v>
      </c>
      <c r="AB3" t="s">
        <v>453</v>
      </c>
      <c r="AD3" t="s">
        <v>1048</v>
      </c>
      <c r="AE3" t="s">
        <v>2052</v>
      </c>
      <c r="AI3">
        <v>198.0092757987361</v>
      </c>
      <c r="AJ3">
        <v>2205.4287093323492</v>
      </c>
    </row>
    <row r="4" spans="1:36" hidden="1" x14ac:dyDescent="0.25">
      <c r="A4">
        <v>3</v>
      </c>
      <c r="B4" t="s">
        <v>2053</v>
      </c>
      <c r="C4" t="s">
        <v>376</v>
      </c>
      <c r="D4" t="s">
        <v>2041</v>
      </c>
      <c r="E4" t="s">
        <v>37</v>
      </c>
      <c r="G4" s="2">
        <v>45854</v>
      </c>
      <c r="H4">
        <v>1.5</v>
      </c>
      <c r="I4" t="s">
        <v>72</v>
      </c>
      <c r="J4" t="s">
        <v>1024</v>
      </c>
      <c r="K4" t="s">
        <v>1025</v>
      </c>
      <c r="L4" t="s">
        <v>2042</v>
      </c>
      <c r="M4" t="s">
        <v>972</v>
      </c>
      <c r="O4" t="s">
        <v>402</v>
      </c>
      <c r="P4" t="s">
        <v>403</v>
      </c>
      <c r="Q4">
        <v>1.508777031786535</v>
      </c>
      <c r="S4" t="s">
        <v>38</v>
      </c>
      <c r="T4" t="s">
        <v>2049</v>
      </c>
      <c r="V4" t="s">
        <v>110</v>
      </c>
      <c r="X4" t="s">
        <v>2050</v>
      </c>
      <c r="Y4" t="s">
        <v>2051</v>
      </c>
      <c r="Z4" t="s">
        <v>1460</v>
      </c>
      <c r="AA4" t="s">
        <v>118</v>
      </c>
      <c r="AB4" t="s">
        <v>453</v>
      </c>
      <c r="AD4" t="s">
        <v>1048</v>
      </c>
      <c r="AE4" t="s">
        <v>2052</v>
      </c>
      <c r="AI4">
        <v>367.63850008555909</v>
      </c>
      <c r="AJ4">
        <v>6105.8284443442999</v>
      </c>
    </row>
    <row r="5" spans="1:36" hidden="1" x14ac:dyDescent="0.25">
      <c r="A5">
        <v>4</v>
      </c>
      <c r="B5" t="s">
        <v>2054</v>
      </c>
      <c r="C5" t="s">
        <v>376</v>
      </c>
      <c r="D5" t="s">
        <v>2041</v>
      </c>
      <c r="E5" t="s">
        <v>37</v>
      </c>
      <c r="G5" s="2">
        <v>45854</v>
      </c>
      <c r="H5">
        <v>4</v>
      </c>
      <c r="I5" t="s">
        <v>72</v>
      </c>
      <c r="J5" t="s">
        <v>1024</v>
      </c>
      <c r="K5" t="s">
        <v>1025</v>
      </c>
      <c r="L5" t="s">
        <v>2042</v>
      </c>
      <c r="M5" t="s">
        <v>972</v>
      </c>
      <c r="O5" t="s">
        <v>402</v>
      </c>
      <c r="P5" t="s">
        <v>403</v>
      </c>
      <c r="Q5">
        <v>4.085807295424364</v>
      </c>
      <c r="S5" t="s">
        <v>38</v>
      </c>
      <c r="T5" t="s">
        <v>2049</v>
      </c>
      <c r="V5" t="s">
        <v>110</v>
      </c>
      <c r="X5" t="s">
        <v>2050</v>
      </c>
      <c r="Y5" t="s">
        <v>2051</v>
      </c>
      <c r="Z5" t="s">
        <v>1460</v>
      </c>
      <c r="AA5" t="s">
        <v>118</v>
      </c>
      <c r="AB5" t="s">
        <v>453</v>
      </c>
      <c r="AD5" t="s">
        <v>1048</v>
      </c>
      <c r="AE5" t="s">
        <v>2052</v>
      </c>
      <c r="AI5">
        <v>617.89746352798898</v>
      </c>
      <c r="AJ5">
        <v>16534.74163307725</v>
      </c>
    </row>
    <row r="6" spans="1:36" hidden="1" x14ac:dyDescent="0.25">
      <c r="A6">
        <v>5</v>
      </c>
      <c r="B6" t="s">
        <v>2055</v>
      </c>
      <c r="C6" t="s">
        <v>376</v>
      </c>
      <c r="D6" t="s">
        <v>2041</v>
      </c>
      <c r="E6" t="s">
        <v>37</v>
      </c>
      <c r="G6" s="2">
        <v>45854</v>
      </c>
      <c r="H6">
        <v>1</v>
      </c>
      <c r="I6" t="s">
        <v>72</v>
      </c>
      <c r="J6" t="s">
        <v>1024</v>
      </c>
      <c r="K6" t="s">
        <v>1025</v>
      </c>
      <c r="L6" t="s">
        <v>2042</v>
      </c>
      <c r="M6" t="s">
        <v>972</v>
      </c>
      <c r="O6" t="s">
        <v>402</v>
      </c>
      <c r="P6" t="s">
        <v>403</v>
      </c>
      <c r="Q6">
        <v>1.083518471417356</v>
      </c>
      <c r="S6" t="s">
        <v>38</v>
      </c>
      <c r="T6" t="s">
        <v>2049</v>
      </c>
      <c r="V6" t="s">
        <v>110</v>
      </c>
      <c r="X6" t="s">
        <v>2050</v>
      </c>
      <c r="Y6" t="s">
        <v>2051</v>
      </c>
      <c r="Z6" t="s">
        <v>1460</v>
      </c>
      <c r="AA6" t="s">
        <v>86</v>
      </c>
      <c r="AB6" t="s">
        <v>453</v>
      </c>
      <c r="AD6" t="s">
        <v>1048</v>
      </c>
      <c r="AE6" t="s">
        <v>2052</v>
      </c>
      <c r="AI6">
        <v>296.76019132191612</v>
      </c>
      <c r="AJ6">
        <v>4384.8612242717136</v>
      </c>
    </row>
    <row r="7" spans="1:36" x14ac:dyDescent="0.25">
      <c r="A7">
        <v>6</v>
      </c>
      <c r="B7" t="s">
        <v>2056</v>
      </c>
      <c r="C7" t="s">
        <v>376</v>
      </c>
      <c r="D7" t="s">
        <v>2041</v>
      </c>
      <c r="E7" t="s">
        <v>37</v>
      </c>
      <c r="G7" s="2">
        <v>45854</v>
      </c>
      <c r="H7">
        <v>0.5</v>
      </c>
      <c r="I7" t="s">
        <v>72</v>
      </c>
      <c r="J7" t="s">
        <v>1024</v>
      </c>
      <c r="K7" t="s">
        <v>1025</v>
      </c>
      <c r="L7" t="s">
        <v>2042</v>
      </c>
      <c r="M7" t="s">
        <v>972</v>
      </c>
      <c r="N7" t="s">
        <v>2057</v>
      </c>
      <c r="O7" t="s">
        <v>62</v>
      </c>
      <c r="P7" t="s">
        <v>63</v>
      </c>
      <c r="Q7">
        <v>0.53727772487394365</v>
      </c>
      <c r="R7" t="s">
        <v>64</v>
      </c>
      <c r="S7" t="s">
        <v>65</v>
      </c>
      <c r="T7" t="s">
        <v>2058</v>
      </c>
      <c r="V7" t="s">
        <v>118</v>
      </c>
      <c r="X7" t="s">
        <v>2050</v>
      </c>
      <c r="Y7" t="s">
        <v>2051</v>
      </c>
      <c r="Z7" t="s">
        <v>1460</v>
      </c>
      <c r="AA7" t="s">
        <v>50</v>
      </c>
      <c r="AB7" t="s">
        <v>453</v>
      </c>
      <c r="AD7" t="s">
        <v>1048</v>
      </c>
      <c r="AE7" t="s">
        <v>2052</v>
      </c>
      <c r="AI7">
        <v>190.58399950301731</v>
      </c>
      <c r="AJ7">
        <v>2174.2945086879172</v>
      </c>
    </row>
    <row r="8" spans="1:36" x14ac:dyDescent="0.25">
      <c r="A8">
        <v>7</v>
      </c>
      <c r="B8" t="s">
        <v>2059</v>
      </c>
      <c r="C8" t="s">
        <v>376</v>
      </c>
      <c r="D8" t="s">
        <v>2041</v>
      </c>
      <c r="E8" t="s">
        <v>37</v>
      </c>
      <c r="G8" s="2">
        <v>45854</v>
      </c>
      <c r="H8">
        <v>0.2</v>
      </c>
      <c r="I8" t="s">
        <v>72</v>
      </c>
      <c r="J8" t="s">
        <v>1024</v>
      </c>
      <c r="K8" t="s">
        <v>1025</v>
      </c>
      <c r="L8" t="s">
        <v>2042</v>
      </c>
      <c r="M8" t="s">
        <v>972</v>
      </c>
      <c r="N8" t="s">
        <v>2057</v>
      </c>
      <c r="O8" t="s">
        <v>62</v>
      </c>
      <c r="P8" t="s">
        <v>63</v>
      </c>
      <c r="Q8">
        <v>0.1950656333727542</v>
      </c>
      <c r="R8" t="s">
        <v>64</v>
      </c>
      <c r="S8" t="s">
        <v>65</v>
      </c>
      <c r="T8" t="s">
        <v>2058</v>
      </c>
      <c r="V8" t="s">
        <v>118</v>
      </c>
      <c r="X8" t="s">
        <v>2050</v>
      </c>
      <c r="Y8" t="s">
        <v>2051</v>
      </c>
      <c r="Z8" t="s">
        <v>1460</v>
      </c>
      <c r="AA8" t="s">
        <v>50</v>
      </c>
      <c r="AB8" t="s">
        <v>453</v>
      </c>
      <c r="AD8" t="s">
        <v>1048</v>
      </c>
      <c r="AE8" t="s">
        <v>2052</v>
      </c>
      <c r="AI8">
        <v>112.4117756911308</v>
      </c>
      <c r="AJ8">
        <v>789.4057688239717</v>
      </c>
    </row>
    <row r="9" spans="1:36" hidden="1" x14ac:dyDescent="0.25">
      <c r="A9">
        <v>8</v>
      </c>
      <c r="B9" t="s">
        <v>2060</v>
      </c>
      <c r="C9" t="s">
        <v>376</v>
      </c>
      <c r="D9" t="s">
        <v>2041</v>
      </c>
      <c r="E9" t="s">
        <v>37</v>
      </c>
      <c r="G9" s="2">
        <v>45854</v>
      </c>
      <c r="H9">
        <v>3.8</v>
      </c>
      <c r="I9" t="s">
        <v>72</v>
      </c>
      <c r="J9" t="s">
        <v>1024</v>
      </c>
      <c r="K9" t="s">
        <v>1025</v>
      </c>
      <c r="L9" t="s">
        <v>2042</v>
      </c>
      <c r="M9" t="s">
        <v>972</v>
      </c>
      <c r="O9" t="s">
        <v>122</v>
      </c>
      <c r="P9" t="s">
        <v>123</v>
      </c>
      <c r="Q9">
        <v>1.953868085603909</v>
      </c>
      <c r="R9" t="s">
        <v>46</v>
      </c>
      <c r="S9" t="s">
        <v>47</v>
      </c>
      <c r="T9" t="s">
        <v>2061</v>
      </c>
      <c r="V9" t="s">
        <v>118</v>
      </c>
      <c r="X9" t="s">
        <v>2062</v>
      </c>
      <c r="Y9" t="s">
        <v>2051</v>
      </c>
      <c r="Z9" t="s">
        <v>1460</v>
      </c>
      <c r="AA9" t="s">
        <v>50</v>
      </c>
      <c r="AD9" t="s">
        <v>145</v>
      </c>
      <c r="AE9" t="s">
        <v>2063</v>
      </c>
      <c r="AI9">
        <v>702.01521656098896</v>
      </c>
      <c r="AJ9">
        <v>7907.0552389379009</v>
      </c>
    </row>
    <row r="10" spans="1:36" x14ac:dyDescent="0.25">
      <c r="A10">
        <v>9</v>
      </c>
      <c r="B10" t="s">
        <v>2064</v>
      </c>
      <c r="C10" t="s">
        <v>376</v>
      </c>
      <c r="D10" t="s">
        <v>2041</v>
      </c>
      <c r="E10" t="s">
        <v>37</v>
      </c>
      <c r="G10" s="2">
        <v>45854</v>
      </c>
      <c r="H10">
        <v>3.6</v>
      </c>
      <c r="I10" t="s">
        <v>72</v>
      </c>
      <c r="J10" t="s">
        <v>1024</v>
      </c>
      <c r="K10" t="s">
        <v>1025</v>
      </c>
      <c r="L10" t="s">
        <v>2042</v>
      </c>
      <c r="M10" t="s">
        <v>972</v>
      </c>
      <c r="O10" t="s">
        <v>62</v>
      </c>
      <c r="P10" t="s">
        <v>63</v>
      </c>
      <c r="Q10">
        <v>3.629916730249676</v>
      </c>
      <c r="R10" t="s">
        <v>64</v>
      </c>
      <c r="S10" t="s">
        <v>65</v>
      </c>
      <c r="T10" t="s">
        <v>2065</v>
      </c>
      <c r="V10" t="s">
        <v>118</v>
      </c>
      <c r="X10" t="s">
        <v>2062</v>
      </c>
      <c r="Y10" t="s">
        <v>2051</v>
      </c>
      <c r="Z10" t="s">
        <v>1460</v>
      </c>
      <c r="AA10" t="s">
        <v>50</v>
      </c>
      <c r="AB10" t="s">
        <v>453</v>
      </c>
      <c r="AD10" t="s">
        <v>145</v>
      </c>
      <c r="AE10" t="s">
        <v>2063</v>
      </c>
      <c r="AI10">
        <v>591.17158855204571</v>
      </c>
      <c r="AJ10">
        <v>14689.810591771709</v>
      </c>
    </row>
    <row r="11" spans="1:36" hidden="1" x14ac:dyDescent="0.25">
      <c r="A11">
        <v>10</v>
      </c>
      <c r="B11" t="s">
        <v>2066</v>
      </c>
      <c r="C11" t="s">
        <v>376</v>
      </c>
      <c r="D11" t="s">
        <v>2041</v>
      </c>
      <c r="E11" t="s">
        <v>37</v>
      </c>
      <c r="G11" s="2">
        <v>45854</v>
      </c>
      <c r="H11">
        <v>0.2</v>
      </c>
      <c r="I11" t="s">
        <v>72</v>
      </c>
      <c r="J11" t="s">
        <v>1024</v>
      </c>
      <c r="K11" t="s">
        <v>1025</v>
      </c>
      <c r="L11" t="s">
        <v>2042</v>
      </c>
      <c r="M11" t="s">
        <v>972</v>
      </c>
      <c r="N11" t="s">
        <v>2057</v>
      </c>
      <c r="P11" t="s">
        <v>114</v>
      </c>
      <c r="Q11">
        <v>0.2419317689723926</v>
      </c>
      <c r="R11" t="s">
        <v>46</v>
      </c>
      <c r="S11" t="s">
        <v>47</v>
      </c>
      <c r="T11" t="s">
        <v>2067</v>
      </c>
      <c r="V11" t="s">
        <v>118</v>
      </c>
      <c r="X11" t="s">
        <v>2062</v>
      </c>
      <c r="Y11" t="s">
        <v>2051</v>
      </c>
      <c r="Z11" t="s">
        <v>1460</v>
      </c>
      <c r="AA11" t="s">
        <v>50</v>
      </c>
      <c r="AB11" t="s">
        <v>453</v>
      </c>
      <c r="AD11" t="s">
        <v>145</v>
      </c>
      <c r="AE11" t="s">
        <v>2063</v>
      </c>
      <c r="AI11">
        <v>149.55342278013109</v>
      </c>
      <c r="AJ11">
        <v>979.06704931280103</v>
      </c>
    </row>
    <row r="12" spans="1:36" hidden="1" x14ac:dyDescent="0.25">
      <c r="A12">
        <v>11</v>
      </c>
      <c r="B12" t="s">
        <v>2068</v>
      </c>
      <c r="C12" t="s">
        <v>376</v>
      </c>
      <c r="D12" t="s">
        <v>2041</v>
      </c>
      <c r="E12" t="s">
        <v>37</v>
      </c>
      <c r="G12" s="2">
        <v>45854</v>
      </c>
      <c r="H12">
        <v>0.3</v>
      </c>
      <c r="I12" t="s">
        <v>72</v>
      </c>
      <c r="J12" t="s">
        <v>1024</v>
      </c>
      <c r="K12" t="s">
        <v>1025</v>
      </c>
      <c r="L12" t="s">
        <v>2042</v>
      </c>
      <c r="M12" t="s">
        <v>972</v>
      </c>
      <c r="N12" t="s">
        <v>2057</v>
      </c>
      <c r="P12" t="s">
        <v>114</v>
      </c>
      <c r="Q12">
        <v>0.25141703395288417</v>
      </c>
      <c r="R12" t="s">
        <v>46</v>
      </c>
      <c r="S12" t="s">
        <v>47</v>
      </c>
      <c r="T12" t="s">
        <v>2067</v>
      </c>
      <c r="V12" t="s">
        <v>118</v>
      </c>
      <c r="X12" t="s">
        <v>2062</v>
      </c>
      <c r="Y12" t="s">
        <v>2051</v>
      </c>
      <c r="Z12" t="s">
        <v>1460</v>
      </c>
      <c r="AB12" t="s">
        <v>453</v>
      </c>
      <c r="AD12" t="s">
        <v>145</v>
      </c>
      <c r="AE12" t="s">
        <v>2063</v>
      </c>
      <c r="AI12">
        <v>150.8329573256201</v>
      </c>
      <c r="AJ12">
        <v>1017.452708359752</v>
      </c>
    </row>
    <row r="13" spans="1:36" hidden="1" x14ac:dyDescent="0.25">
      <c r="A13">
        <v>12</v>
      </c>
      <c r="B13" t="s">
        <v>2069</v>
      </c>
      <c r="C13" t="s">
        <v>376</v>
      </c>
      <c r="D13" t="s">
        <v>2041</v>
      </c>
      <c r="E13" t="s">
        <v>37</v>
      </c>
      <c r="G13" s="2">
        <v>45854</v>
      </c>
      <c r="H13">
        <v>0.5</v>
      </c>
      <c r="I13" t="s">
        <v>72</v>
      </c>
      <c r="J13" t="s">
        <v>1024</v>
      </c>
      <c r="K13" t="s">
        <v>1025</v>
      </c>
      <c r="L13" t="s">
        <v>2042</v>
      </c>
      <c r="M13" t="s">
        <v>972</v>
      </c>
      <c r="N13" t="s">
        <v>2057</v>
      </c>
      <c r="P13" t="s">
        <v>114</v>
      </c>
      <c r="Q13">
        <v>0.4952610212502464</v>
      </c>
      <c r="R13" t="s">
        <v>46</v>
      </c>
      <c r="S13" t="s">
        <v>47</v>
      </c>
      <c r="T13" t="s">
        <v>2067</v>
      </c>
      <c r="V13" t="s">
        <v>118</v>
      </c>
      <c r="X13" t="s">
        <v>2062</v>
      </c>
      <c r="Y13" t="s">
        <v>2051</v>
      </c>
      <c r="Z13" t="s">
        <v>1460</v>
      </c>
      <c r="AB13" t="s">
        <v>453</v>
      </c>
      <c r="AD13" t="s">
        <v>145</v>
      </c>
      <c r="AE13" t="s">
        <v>2063</v>
      </c>
      <c r="AI13">
        <v>176.19969615269571</v>
      </c>
      <c r="AJ13">
        <v>2004.2582616359721</v>
      </c>
    </row>
    <row r="14" spans="1:36" hidden="1" x14ac:dyDescent="0.25">
      <c r="A14">
        <v>13</v>
      </c>
      <c r="B14" t="s">
        <v>2070</v>
      </c>
      <c r="C14" t="s">
        <v>376</v>
      </c>
      <c r="D14" t="s">
        <v>2041</v>
      </c>
      <c r="E14" t="s">
        <v>37</v>
      </c>
      <c r="G14" s="2">
        <v>45854</v>
      </c>
      <c r="H14">
        <v>16.899999999999999</v>
      </c>
      <c r="I14" t="s">
        <v>72</v>
      </c>
      <c r="J14" t="s">
        <v>1024</v>
      </c>
      <c r="K14" t="s">
        <v>1025</v>
      </c>
      <c r="L14" t="s">
        <v>2042</v>
      </c>
      <c r="M14" t="s">
        <v>972</v>
      </c>
      <c r="N14" t="s">
        <v>2057</v>
      </c>
      <c r="O14" t="s">
        <v>79</v>
      </c>
      <c r="P14" t="s">
        <v>80</v>
      </c>
      <c r="Q14">
        <v>22.08776339618132</v>
      </c>
      <c r="R14" t="s">
        <v>46</v>
      </c>
      <c r="S14" t="s">
        <v>47</v>
      </c>
      <c r="T14" t="s">
        <v>2067</v>
      </c>
      <c r="V14" t="s">
        <v>86</v>
      </c>
      <c r="X14" t="s">
        <v>2062</v>
      </c>
      <c r="Y14" t="s">
        <v>2051</v>
      </c>
      <c r="Z14" t="s">
        <v>1460</v>
      </c>
      <c r="AA14" t="s">
        <v>50</v>
      </c>
      <c r="AB14" t="s">
        <v>453</v>
      </c>
      <c r="AD14" t="s">
        <v>145</v>
      </c>
      <c r="AE14" t="s">
        <v>2071</v>
      </c>
      <c r="AI14">
        <v>1260.2077413084221</v>
      </c>
      <c r="AJ14">
        <v>89386.364701389248</v>
      </c>
    </row>
    <row r="15" spans="1:36" hidden="1" x14ac:dyDescent="0.25">
      <c r="A15">
        <v>14</v>
      </c>
      <c r="B15" t="s">
        <v>2072</v>
      </c>
      <c r="C15" t="s">
        <v>376</v>
      </c>
      <c r="D15" t="s">
        <v>2041</v>
      </c>
      <c r="E15" t="s">
        <v>37</v>
      </c>
      <c r="G15" s="2">
        <v>45854</v>
      </c>
      <c r="H15">
        <v>2.8</v>
      </c>
      <c r="I15" t="s">
        <v>72</v>
      </c>
      <c r="J15" t="s">
        <v>1024</v>
      </c>
      <c r="K15" t="s">
        <v>1025</v>
      </c>
      <c r="L15" t="s">
        <v>2042</v>
      </c>
      <c r="M15" t="s">
        <v>972</v>
      </c>
      <c r="N15" t="s">
        <v>2057</v>
      </c>
      <c r="O15" t="s">
        <v>79</v>
      </c>
      <c r="P15" t="s">
        <v>80</v>
      </c>
      <c r="Q15">
        <v>2.8965114944568122</v>
      </c>
      <c r="R15" t="s">
        <v>46</v>
      </c>
      <c r="S15" t="s">
        <v>47</v>
      </c>
      <c r="T15" t="s">
        <v>2067</v>
      </c>
      <c r="V15" t="s">
        <v>86</v>
      </c>
      <c r="X15" t="s">
        <v>2062</v>
      </c>
      <c r="Y15" t="s">
        <v>2051</v>
      </c>
      <c r="Z15" t="s">
        <v>1460</v>
      </c>
      <c r="AA15" t="s">
        <v>50</v>
      </c>
      <c r="AB15" t="s">
        <v>453</v>
      </c>
      <c r="AD15" t="s">
        <v>145</v>
      </c>
      <c r="AE15" t="s">
        <v>2071</v>
      </c>
      <c r="AI15">
        <v>458.87305243785511</v>
      </c>
      <c r="AJ15">
        <v>11721.813031103209</v>
      </c>
    </row>
    <row r="16" spans="1:36" hidden="1" x14ac:dyDescent="0.25">
      <c r="A16">
        <v>15</v>
      </c>
      <c r="B16" t="s">
        <v>2073</v>
      </c>
      <c r="C16" t="s">
        <v>376</v>
      </c>
      <c r="D16" t="s">
        <v>2041</v>
      </c>
      <c r="E16" t="s">
        <v>37</v>
      </c>
      <c r="G16" s="2">
        <v>45854</v>
      </c>
      <c r="H16">
        <v>0.3</v>
      </c>
      <c r="I16" t="s">
        <v>72</v>
      </c>
      <c r="J16" t="s">
        <v>1024</v>
      </c>
      <c r="K16" t="s">
        <v>1025</v>
      </c>
      <c r="L16" t="s">
        <v>2042</v>
      </c>
      <c r="M16" t="s">
        <v>972</v>
      </c>
      <c r="N16" t="s">
        <v>2057</v>
      </c>
      <c r="O16" t="s">
        <v>79</v>
      </c>
      <c r="P16" t="s">
        <v>80</v>
      </c>
      <c r="Q16">
        <v>0.25943572096096928</v>
      </c>
      <c r="R16" t="s">
        <v>46</v>
      </c>
      <c r="S16" t="s">
        <v>47</v>
      </c>
      <c r="T16" t="s">
        <v>2074</v>
      </c>
      <c r="V16" t="s">
        <v>86</v>
      </c>
      <c r="X16" t="s">
        <v>2062</v>
      </c>
      <c r="Y16" t="s">
        <v>2051</v>
      </c>
      <c r="Z16" t="s">
        <v>1460</v>
      </c>
      <c r="AA16" t="s">
        <v>50</v>
      </c>
      <c r="AB16" t="s">
        <v>453</v>
      </c>
      <c r="AD16" t="s">
        <v>145</v>
      </c>
      <c r="AE16" t="s">
        <v>2071</v>
      </c>
      <c r="AI16">
        <v>159.81613428550631</v>
      </c>
      <c r="AJ16">
        <v>1049.903313179926</v>
      </c>
    </row>
    <row r="17" spans="1:36" hidden="1" x14ac:dyDescent="0.25">
      <c r="A17">
        <v>16</v>
      </c>
      <c r="B17" t="s">
        <v>2075</v>
      </c>
      <c r="C17" t="s">
        <v>376</v>
      </c>
      <c r="D17" t="s">
        <v>2041</v>
      </c>
      <c r="E17" t="s">
        <v>37</v>
      </c>
      <c r="G17" s="2">
        <v>45854</v>
      </c>
      <c r="H17">
        <v>0.1</v>
      </c>
      <c r="I17" t="s">
        <v>72</v>
      </c>
      <c r="J17" t="s">
        <v>1024</v>
      </c>
      <c r="K17" t="s">
        <v>1025</v>
      </c>
      <c r="L17" t="s">
        <v>2042</v>
      </c>
      <c r="M17" t="s">
        <v>972</v>
      </c>
      <c r="N17" t="s">
        <v>2057</v>
      </c>
      <c r="O17" t="s">
        <v>79</v>
      </c>
      <c r="P17" t="s">
        <v>80</v>
      </c>
      <c r="Q17">
        <v>0.16993581212001929</v>
      </c>
      <c r="R17" t="s">
        <v>46</v>
      </c>
      <c r="S17" t="s">
        <v>47</v>
      </c>
      <c r="T17" t="s">
        <v>2074</v>
      </c>
      <c r="V17" t="s">
        <v>86</v>
      </c>
      <c r="X17" t="s">
        <v>2062</v>
      </c>
      <c r="Y17" t="s">
        <v>2051</v>
      </c>
      <c r="Z17" t="s">
        <v>1460</v>
      </c>
      <c r="AA17" t="s">
        <v>50</v>
      </c>
      <c r="AB17" t="s">
        <v>453</v>
      </c>
      <c r="AD17" t="s">
        <v>145</v>
      </c>
      <c r="AE17" t="s">
        <v>2071</v>
      </c>
      <c r="AI17">
        <v>111.2659402391988</v>
      </c>
      <c r="AJ17">
        <v>687.70858350524293</v>
      </c>
    </row>
    <row r="18" spans="1:36" hidden="1" x14ac:dyDescent="0.25">
      <c r="A18">
        <v>17</v>
      </c>
      <c r="B18" t="s">
        <v>2076</v>
      </c>
      <c r="C18" t="s">
        <v>376</v>
      </c>
      <c r="D18" t="s">
        <v>2041</v>
      </c>
      <c r="E18" t="s">
        <v>37</v>
      </c>
      <c r="G18" s="2">
        <v>45854</v>
      </c>
      <c r="H18">
        <v>1.7</v>
      </c>
      <c r="I18" t="s">
        <v>72</v>
      </c>
      <c r="J18" t="s">
        <v>1024</v>
      </c>
      <c r="K18" t="s">
        <v>1025</v>
      </c>
      <c r="L18" t="s">
        <v>2042</v>
      </c>
      <c r="M18" t="s">
        <v>972</v>
      </c>
      <c r="N18" t="s">
        <v>2057</v>
      </c>
      <c r="O18" t="s">
        <v>79</v>
      </c>
      <c r="P18" t="s">
        <v>80</v>
      </c>
      <c r="Q18">
        <v>1.430390760032811</v>
      </c>
      <c r="R18" t="s">
        <v>46</v>
      </c>
      <c r="S18" t="s">
        <v>47</v>
      </c>
      <c r="T18" t="s">
        <v>2074</v>
      </c>
      <c r="V18" t="s">
        <v>86</v>
      </c>
      <c r="X18" t="s">
        <v>2062</v>
      </c>
      <c r="Y18" t="s">
        <v>2051</v>
      </c>
      <c r="Z18" t="s">
        <v>1460</v>
      </c>
      <c r="AA18" t="s">
        <v>563</v>
      </c>
      <c r="AB18" t="s">
        <v>453</v>
      </c>
      <c r="AD18" t="s">
        <v>145</v>
      </c>
      <c r="AE18" t="s">
        <v>2071</v>
      </c>
      <c r="AI18">
        <v>458.7729559801644</v>
      </c>
      <c r="AJ18">
        <v>5788.6091881939947</v>
      </c>
    </row>
    <row r="19" spans="1:36" hidden="1" x14ac:dyDescent="0.25">
      <c r="A19">
        <v>18</v>
      </c>
      <c r="B19" t="s">
        <v>2077</v>
      </c>
      <c r="C19" t="s">
        <v>376</v>
      </c>
      <c r="D19" t="s">
        <v>2041</v>
      </c>
      <c r="E19" t="s">
        <v>37</v>
      </c>
      <c r="G19" s="2">
        <v>45854</v>
      </c>
      <c r="H19">
        <v>0.4</v>
      </c>
      <c r="I19" t="s">
        <v>72</v>
      </c>
      <c r="J19" t="s">
        <v>1024</v>
      </c>
      <c r="K19" t="s">
        <v>1025</v>
      </c>
      <c r="L19" t="s">
        <v>2042</v>
      </c>
      <c r="M19" t="s">
        <v>972</v>
      </c>
      <c r="N19" t="s">
        <v>2057</v>
      </c>
      <c r="O19" t="s">
        <v>79</v>
      </c>
      <c r="P19" t="s">
        <v>80</v>
      </c>
      <c r="Q19">
        <v>1.430523483026062</v>
      </c>
      <c r="R19" t="s">
        <v>46</v>
      </c>
      <c r="S19" t="s">
        <v>47</v>
      </c>
      <c r="T19" t="s">
        <v>2074</v>
      </c>
      <c r="V19" t="s">
        <v>86</v>
      </c>
      <c r="X19" t="s">
        <v>2062</v>
      </c>
      <c r="Y19" t="s">
        <v>2051</v>
      </c>
      <c r="Z19" t="s">
        <v>1460</v>
      </c>
      <c r="AA19" t="s">
        <v>563</v>
      </c>
      <c r="AB19" t="s">
        <v>453</v>
      </c>
      <c r="AD19" t="s">
        <v>145</v>
      </c>
      <c r="AE19" t="s">
        <v>2071</v>
      </c>
      <c r="AI19">
        <v>419.37493105474459</v>
      </c>
      <c r="AJ19">
        <v>5789.1463012400864</v>
      </c>
    </row>
    <row r="20" spans="1:36" hidden="1" x14ac:dyDescent="0.25">
      <c r="A20">
        <v>19</v>
      </c>
      <c r="B20" t="s">
        <v>2078</v>
      </c>
      <c r="C20" t="s">
        <v>376</v>
      </c>
      <c r="D20" t="s">
        <v>2041</v>
      </c>
      <c r="E20" t="s">
        <v>37</v>
      </c>
      <c r="G20" s="2">
        <v>45854</v>
      </c>
      <c r="H20">
        <v>2.9</v>
      </c>
      <c r="I20" t="s">
        <v>72</v>
      </c>
      <c r="J20" t="s">
        <v>1024</v>
      </c>
      <c r="K20" t="s">
        <v>1025</v>
      </c>
      <c r="L20" t="s">
        <v>2042</v>
      </c>
      <c r="M20" t="s">
        <v>972</v>
      </c>
      <c r="N20" t="s">
        <v>2057</v>
      </c>
      <c r="O20" t="s">
        <v>402</v>
      </c>
      <c r="P20" t="s">
        <v>403</v>
      </c>
      <c r="Q20">
        <v>2.7245382516847871</v>
      </c>
      <c r="S20" t="s">
        <v>38</v>
      </c>
      <c r="T20" t="s">
        <v>2074</v>
      </c>
      <c r="V20" t="s">
        <v>86</v>
      </c>
      <c r="X20" t="s">
        <v>2062</v>
      </c>
      <c r="Y20" t="s">
        <v>2051</v>
      </c>
      <c r="Z20" t="s">
        <v>1460</v>
      </c>
      <c r="AA20" t="s">
        <v>563</v>
      </c>
      <c r="AB20" t="s">
        <v>453</v>
      </c>
      <c r="AD20" t="s">
        <v>145</v>
      </c>
      <c r="AE20" t="s">
        <v>2052</v>
      </c>
      <c r="AI20">
        <v>475.78078949883832</v>
      </c>
      <c r="AJ20">
        <v>11025.85922529784</v>
      </c>
    </row>
    <row r="21" spans="1:36" hidden="1" x14ac:dyDescent="0.25">
      <c r="A21">
        <v>20</v>
      </c>
      <c r="B21" t="s">
        <v>2079</v>
      </c>
      <c r="C21" t="s">
        <v>376</v>
      </c>
      <c r="D21" t="s">
        <v>2041</v>
      </c>
      <c r="E21" t="s">
        <v>37</v>
      </c>
      <c r="G21" s="2">
        <v>45854</v>
      </c>
      <c r="H21">
        <v>2.1</v>
      </c>
      <c r="I21" t="s">
        <v>72</v>
      </c>
      <c r="J21" t="s">
        <v>1024</v>
      </c>
      <c r="K21" t="s">
        <v>1025</v>
      </c>
      <c r="L21" t="s">
        <v>2042</v>
      </c>
      <c r="M21" t="s">
        <v>972</v>
      </c>
      <c r="N21" t="s">
        <v>2080</v>
      </c>
      <c r="O21" t="s">
        <v>79</v>
      </c>
      <c r="P21" t="s">
        <v>80</v>
      </c>
      <c r="Q21">
        <v>2.1813363529433252</v>
      </c>
      <c r="R21" t="s">
        <v>46</v>
      </c>
      <c r="S21" t="s">
        <v>47</v>
      </c>
      <c r="T21" t="s">
        <v>2081</v>
      </c>
      <c r="V21" t="s">
        <v>86</v>
      </c>
      <c r="X21" t="s">
        <v>2050</v>
      </c>
      <c r="Y21" t="s">
        <v>2051</v>
      </c>
      <c r="Z21" t="s">
        <v>1460</v>
      </c>
      <c r="AA21" t="s">
        <v>563</v>
      </c>
      <c r="AB21" t="s">
        <v>453</v>
      </c>
      <c r="AD21" t="s">
        <v>1048</v>
      </c>
      <c r="AE21" t="s">
        <v>2052</v>
      </c>
      <c r="AI21">
        <v>386.70968433105742</v>
      </c>
      <c r="AJ21">
        <v>8827.5903396493359</v>
      </c>
    </row>
    <row r="22" spans="1:36" hidden="1" x14ac:dyDescent="0.25">
      <c r="A22">
        <v>21</v>
      </c>
      <c r="B22" t="s">
        <v>2082</v>
      </c>
      <c r="C22" t="s">
        <v>376</v>
      </c>
      <c r="D22" t="s">
        <v>2041</v>
      </c>
      <c r="E22" t="s">
        <v>37</v>
      </c>
      <c r="G22" s="2">
        <v>45854</v>
      </c>
      <c r="H22">
        <v>0.4</v>
      </c>
      <c r="I22" t="s">
        <v>72</v>
      </c>
      <c r="J22" t="s">
        <v>1024</v>
      </c>
      <c r="K22" t="s">
        <v>1025</v>
      </c>
      <c r="L22" t="s">
        <v>2042</v>
      </c>
      <c r="M22" t="s">
        <v>972</v>
      </c>
      <c r="N22" t="s">
        <v>2080</v>
      </c>
      <c r="O22" t="s">
        <v>79</v>
      </c>
      <c r="P22" t="s">
        <v>80</v>
      </c>
      <c r="Q22">
        <v>0.33745601349812221</v>
      </c>
      <c r="R22" t="s">
        <v>46</v>
      </c>
      <c r="S22" t="s">
        <v>47</v>
      </c>
      <c r="T22" t="s">
        <v>2083</v>
      </c>
      <c r="V22" t="s">
        <v>86</v>
      </c>
      <c r="X22" t="s">
        <v>2050</v>
      </c>
      <c r="Y22" t="s">
        <v>2051</v>
      </c>
      <c r="Z22" t="s">
        <v>1460</v>
      </c>
      <c r="AA22" t="s">
        <v>563</v>
      </c>
      <c r="AB22" t="s">
        <v>453</v>
      </c>
      <c r="AD22" t="s">
        <v>1048</v>
      </c>
      <c r="AE22" t="s">
        <v>2052</v>
      </c>
      <c r="AI22">
        <v>217.4387904366603</v>
      </c>
      <c r="AJ22">
        <v>1365.6414980629061</v>
      </c>
    </row>
    <row r="23" spans="1:36" hidden="1" x14ac:dyDescent="0.25">
      <c r="A23">
        <v>22</v>
      </c>
      <c r="B23" t="s">
        <v>2084</v>
      </c>
      <c r="C23" t="s">
        <v>376</v>
      </c>
      <c r="D23" t="s">
        <v>2041</v>
      </c>
      <c r="E23" t="s">
        <v>37</v>
      </c>
      <c r="G23" s="2">
        <v>45854</v>
      </c>
      <c r="H23">
        <v>1</v>
      </c>
      <c r="I23" t="s">
        <v>72</v>
      </c>
      <c r="J23" t="s">
        <v>1024</v>
      </c>
      <c r="K23" t="s">
        <v>1025</v>
      </c>
      <c r="L23" t="s">
        <v>2042</v>
      </c>
      <c r="M23" t="s">
        <v>972</v>
      </c>
      <c r="N23" t="s">
        <v>2080</v>
      </c>
      <c r="O23" t="s">
        <v>79</v>
      </c>
      <c r="P23" t="s">
        <v>80</v>
      </c>
      <c r="Q23">
        <v>1.050242996683493</v>
      </c>
      <c r="R23" t="s">
        <v>46</v>
      </c>
      <c r="S23" t="s">
        <v>47</v>
      </c>
      <c r="T23" t="s">
        <v>2083</v>
      </c>
      <c r="V23" t="s">
        <v>86</v>
      </c>
      <c r="X23" t="s">
        <v>2050</v>
      </c>
      <c r="Y23" t="s">
        <v>2051</v>
      </c>
      <c r="Z23" t="s">
        <v>1460</v>
      </c>
      <c r="AA23" t="s">
        <v>180</v>
      </c>
      <c r="AB23" t="s">
        <v>453</v>
      </c>
      <c r="AD23" t="s">
        <v>1048</v>
      </c>
      <c r="AE23" t="s">
        <v>2052</v>
      </c>
      <c r="AI23">
        <v>287.48954842263601</v>
      </c>
      <c r="AJ23">
        <v>4250.1996169906834</v>
      </c>
    </row>
    <row r="24" spans="1:36" hidden="1" x14ac:dyDescent="0.25">
      <c r="A24">
        <v>23</v>
      </c>
      <c r="B24" t="s">
        <v>2085</v>
      </c>
      <c r="C24" t="s">
        <v>376</v>
      </c>
      <c r="D24" t="s">
        <v>2041</v>
      </c>
      <c r="E24" t="s">
        <v>37</v>
      </c>
      <c r="G24" s="2">
        <v>45854</v>
      </c>
      <c r="H24">
        <v>17.8</v>
      </c>
      <c r="I24" t="s">
        <v>72</v>
      </c>
      <c r="J24" t="s">
        <v>1024</v>
      </c>
      <c r="K24" t="s">
        <v>1025</v>
      </c>
      <c r="L24" t="s">
        <v>2042</v>
      </c>
      <c r="M24" t="s">
        <v>972</v>
      </c>
      <c r="N24" t="s">
        <v>2080</v>
      </c>
      <c r="O24" t="s">
        <v>79</v>
      </c>
      <c r="P24" t="s">
        <v>80</v>
      </c>
      <c r="Q24">
        <v>18.0936545206748</v>
      </c>
      <c r="R24" t="s">
        <v>46</v>
      </c>
      <c r="S24" t="s">
        <v>47</v>
      </c>
      <c r="T24" t="s">
        <v>2083</v>
      </c>
      <c r="V24" t="s">
        <v>86</v>
      </c>
      <c r="X24" t="s">
        <v>2050</v>
      </c>
      <c r="Y24" t="s">
        <v>2051</v>
      </c>
      <c r="Z24" t="s">
        <v>1460</v>
      </c>
      <c r="AA24" t="s">
        <v>563</v>
      </c>
      <c r="AB24" t="s">
        <v>453</v>
      </c>
      <c r="AD24" t="s">
        <v>1048</v>
      </c>
      <c r="AE24" t="s">
        <v>2052</v>
      </c>
      <c r="AI24">
        <v>1400.098122696666</v>
      </c>
      <c r="AJ24">
        <v>73222.714892246266</v>
      </c>
    </row>
    <row r="25" spans="1:36" hidden="1" x14ac:dyDescent="0.25">
      <c r="A25">
        <v>24</v>
      </c>
      <c r="B25" t="s">
        <v>2086</v>
      </c>
      <c r="C25" t="s">
        <v>376</v>
      </c>
      <c r="D25" t="s">
        <v>2041</v>
      </c>
      <c r="E25" t="s">
        <v>37</v>
      </c>
      <c r="G25" s="2">
        <v>45854</v>
      </c>
      <c r="H25">
        <v>0.1</v>
      </c>
      <c r="I25" t="s">
        <v>72</v>
      </c>
      <c r="J25" t="s">
        <v>1024</v>
      </c>
      <c r="K25" t="s">
        <v>1025</v>
      </c>
      <c r="L25" t="s">
        <v>2042</v>
      </c>
      <c r="M25" t="s">
        <v>972</v>
      </c>
      <c r="N25" t="s">
        <v>2080</v>
      </c>
      <c r="O25" t="s">
        <v>79</v>
      </c>
      <c r="P25" t="s">
        <v>80</v>
      </c>
      <c r="Q25">
        <v>0.1226661211322319</v>
      </c>
      <c r="R25" t="s">
        <v>46</v>
      </c>
      <c r="S25" t="s">
        <v>47</v>
      </c>
      <c r="T25" t="s">
        <v>2081</v>
      </c>
      <c r="V25" t="s">
        <v>86</v>
      </c>
      <c r="X25" t="s">
        <v>2050</v>
      </c>
      <c r="Y25" t="s">
        <v>2051</v>
      </c>
      <c r="Z25" t="s">
        <v>1460</v>
      </c>
      <c r="AA25" t="s">
        <v>563</v>
      </c>
      <c r="AB25" t="s">
        <v>453</v>
      </c>
      <c r="AD25" t="s">
        <v>1048</v>
      </c>
      <c r="AE25" t="s">
        <v>2052</v>
      </c>
      <c r="AI25">
        <v>114.9340714705839</v>
      </c>
      <c r="AJ25">
        <v>496.41416576954629</v>
      </c>
    </row>
    <row r="26" spans="1:36" hidden="1" x14ac:dyDescent="0.25">
      <c r="A26">
        <v>25</v>
      </c>
      <c r="B26" t="s">
        <v>2087</v>
      </c>
      <c r="C26" t="s">
        <v>376</v>
      </c>
      <c r="D26" t="s">
        <v>2041</v>
      </c>
      <c r="E26" t="s">
        <v>37</v>
      </c>
      <c r="G26" s="2">
        <v>45854</v>
      </c>
      <c r="H26">
        <v>0.9</v>
      </c>
      <c r="I26" t="s">
        <v>72</v>
      </c>
      <c r="J26" t="s">
        <v>1024</v>
      </c>
      <c r="K26" t="s">
        <v>1025</v>
      </c>
      <c r="L26" t="s">
        <v>2042</v>
      </c>
      <c r="M26" t="s">
        <v>972</v>
      </c>
      <c r="N26" t="s">
        <v>2080</v>
      </c>
      <c r="O26" t="s">
        <v>79</v>
      </c>
      <c r="P26" t="s">
        <v>80</v>
      </c>
      <c r="Q26">
        <v>0.86514301331366261</v>
      </c>
      <c r="R26" t="s">
        <v>46</v>
      </c>
      <c r="S26" t="s">
        <v>47</v>
      </c>
      <c r="T26" t="s">
        <v>2083</v>
      </c>
      <c r="V26" t="s">
        <v>86</v>
      </c>
      <c r="X26" t="s">
        <v>2050</v>
      </c>
      <c r="Y26" t="s">
        <v>2051</v>
      </c>
      <c r="Z26" t="s">
        <v>1460</v>
      </c>
      <c r="AA26" t="s">
        <v>180</v>
      </c>
      <c r="AB26" t="s">
        <v>453</v>
      </c>
      <c r="AD26" t="s">
        <v>1048</v>
      </c>
      <c r="AE26" t="s">
        <v>2052</v>
      </c>
      <c r="AI26">
        <v>243.05507041992101</v>
      </c>
      <c r="AJ26">
        <v>3501.123564203137</v>
      </c>
    </row>
    <row r="27" spans="1:36" hidden="1" x14ac:dyDescent="0.25">
      <c r="A27">
        <v>26</v>
      </c>
      <c r="B27" t="s">
        <v>2088</v>
      </c>
      <c r="C27" t="s">
        <v>376</v>
      </c>
      <c r="D27" t="s">
        <v>2041</v>
      </c>
      <c r="E27" t="s">
        <v>37</v>
      </c>
      <c r="G27" s="2">
        <v>45854</v>
      </c>
      <c r="H27">
        <v>5.3</v>
      </c>
      <c r="I27" t="s">
        <v>72</v>
      </c>
      <c r="J27" t="s">
        <v>1024</v>
      </c>
      <c r="K27" t="s">
        <v>1025</v>
      </c>
      <c r="L27" t="s">
        <v>2042</v>
      </c>
      <c r="M27" t="s">
        <v>972</v>
      </c>
      <c r="N27" t="s">
        <v>2080</v>
      </c>
      <c r="O27" t="s">
        <v>79</v>
      </c>
      <c r="P27" t="s">
        <v>80</v>
      </c>
      <c r="Q27">
        <v>5.3357688098527447</v>
      </c>
      <c r="R27" t="s">
        <v>46</v>
      </c>
      <c r="S27" t="s">
        <v>47</v>
      </c>
      <c r="T27" t="s">
        <v>2083</v>
      </c>
      <c r="V27" t="s">
        <v>86</v>
      </c>
      <c r="X27" t="s">
        <v>2050</v>
      </c>
      <c r="Y27" t="s">
        <v>2051</v>
      </c>
      <c r="Z27" t="s">
        <v>1460</v>
      </c>
      <c r="AA27" t="s">
        <v>180</v>
      </c>
      <c r="AB27" t="s">
        <v>453</v>
      </c>
      <c r="AD27" t="s">
        <v>1048</v>
      </c>
      <c r="AE27" t="s">
        <v>2052</v>
      </c>
      <c r="AI27">
        <v>765.81521164182857</v>
      </c>
      <c r="AJ27">
        <v>21593.176649214409</v>
      </c>
    </row>
    <row r="28" spans="1:36" hidden="1" x14ac:dyDescent="0.25">
      <c r="A28">
        <v>27</v>
      </c>
      <c r="B28" t="s">
        <v>2089</v>
      </c>
      <c r="C28" t="s">
        <v>376</v>
      </c>
      <c r="D28" t="s">
        <v>2041</v>
      </c>
      <c r="E28" t="s">
        <v>37</v>
      </c>
      <c r="G28" s="2">
        <v>45854</v>
      </c>
      <c r="H28">
        <v>8.8000000000000007</v>
      </c>
      <c r="I28" t="s">
        <v>72</v>
      </c>
      <c r="J28" t="s">
        <v>1024</v>
      </c>
      <c r="K28" t="s">
        <v>1025</v>
      </c>
      <c r="L28" t="s">
        <v>2042</v>
      </c>
      <c r="M28" t="s">
        <v>972</v>
      </c>
      <c r="N28" t="s">
        <v>2080</v>
      </c>
      <c r="O28" t="s">
        <v>79</v>
      </c>
      <c r="P28" t="s">
        <v>80</v>
      </c>
      <c r="Q28">
        <v>9.0050345152040077</v>
      </c>
      <c r="R28" t="s">
        <v>46</v>
      </c>
      <c r="S28" t="s">
        <v>47</v>
      </c>
      <c r="T28" t="s">
        <v>2083</v>
      </c>
      <c r="V28" t="s">
        <v>86</v>
      </c>
      <c r="X28" t="s">
        <v>2050</v>
      </c>
      <c r="Y28" t="s">
        <v>2051</v>
      </c>
      <c r="Z28" t="s">
        <v>1460</v>
      </c>
      <c r="AA28" t="s">
        <v>180</v>
      </c>
      <c r="AB28" t="s">
        <v>453</v>
      </c>
      <c r="AD28" t="s">
        <v>1048</v>
      </c>
      <c r="AE28" t="s">
        <v>2052</v>
      </c>
      <c r="AI28">
        <v>869.01861526748633</v>
      </c>
      <c r="AJ28">
        <v>36442.227530551361</v>
      </c>
    </row>
    <row r="29" spans="1:36" hidden="1" x14ac:dyDescent="0.25">
      <c r="A29">
        <v>28</v>
      </c>
      <c r="B29" t="s">
        <v>2090</v>
      </c>
      <c r="C29" t="s">
        <v>376</v>
      </c>
      <c r="D29" t="s">
        <v>2041</v>
      </c>
      <c r="E29" t="s">
        <v>37</v>
      </c>
      <c r="G29" s="2">
        <v>45854</v>
      </c>
      <c r="H29">
        <v>1</v>
      </c>
      <c r="I29" t="s">
        <v>72</v>
      </c>
      <c r="J29" t="s">
        <v>1024</v>
      </c>
      <c r="K29" t="s">
        <v>1025</v>
      </c>
      <c r="L29" t="s">
        <v>2042</v>
      </c>
      <c r="M29" t="s">
        <v>972</v>
      </c>
      <c r="N29" t="s">
        <v>2080</v>
      </c>
      <c r="O29" t="s">
        <v>79</v>
      </c>
      <c r="P29" t="s">
        <v>80</v>
      </c>
      <c r="Q29">
        <v>0.95408873007304307</v>
      </c>
      <c r="R29" t="s">
        <v>46</v>
      </c>
      <c r="S29" t="s">
        <v>47</v>
      </c>
      <c r="T29" t="s">
        <v>2083</v>
      </c>
      <c r="V29" t="s">
        <v>86</v>
      </c>
      <c r="X29" t="s">
        <v>2050</v>
      </c>
      <c r="Y29" t="s">
        <v>2051</v>
      </c>
      <c r="Z29" t="s">
        <v>1460</v>
      </c>
      <c r="AA29" t="s">
        <v>563</v>
      </c>
      <c r="AB29" t="s">
        <v>453</v>
      </c>
      <c r="AD29" t="s">
        <v>1048</v>
      </c>
      <c r="AE29" t="s">
        <v>2052</v>
      </c>
      <c r="AI29">
        <v>269.32390870956709</v>
      </c>
      <c r="AJ29">
        <v>3861.0755491223058</v>
      </c>
    </row>
    <row r="30" spans="1:36" hidden="1" x14ac:dyDescent="0.25">
      <c r="A30">
        <v>29</v>
      </c>
      <c r="B30" t="s">
        <v>2091</v>
      </c>
      <c r="C30" t="s">
        <v>376</v>
      </c>
      <c r="D30" t="s">
        <v>2041</v>
      </c>
      <c r="E30" t="s">
        <v>37</v>
      </c>
      <c r="G30" s="2">
        <v>45854</v>
      </c>
      <c r="H30">
        <v>2.2999999999999998</v>
      </c>
      <c r="I30" t="s">
        <v>72</v>
      </c>
      <c r="J30" t="s">
        <v>1024</v>
      </c>
      <c r="K30" t="s">
        <v>1025</v>
      </c>
      <c r="L30" t="s">
        <v>2042</v>
      </c>
      <c r="M30" t="s">
        <v>972</v>
      </c>
      <c r="N30" t="s">
        <v>2080</v>
      </c>
      <c r="O30" t="s">
        <v>79</v>
      </c>
      <c r="P30" t="s">
        <v>80</v>
      </c>
      <c r="Q30">
        <v>2.33812888035362</v>
      </c>
      <c r="R30" t="s">
        <v>46</v>
      </c>
      <c r="S30" t="s">
        <v>47</v>
      </c>
      <c r="T30" t="s">
        <v>2083</v>
      </c>
      <c r="V30" t="s">
        <v>86</v>
      </c>
      <c r="X30" t="s">
        <v>2050</v>
      </c>
      <c r="Y30" t="s">
        <v>2051</v>
      </c>
      <c r="Z30" t="s">
        <v>1460</v>
      </c>
      <c r="AA30" t="s">
        <v>180</v>
      </c>
      <c r="AB30" t="s">
        <v>453</v>
      </c>
      <c r="AD30" t="s">
        <v>1048</v>
      </c>
      <c r="AE30" t="s">
        <v>2052</v>
      </c>
      <c r="AI30">
        <v>412.2627808614435</v>
      </c>
      <c r="AJ30">
        <v>9462.1097242590149</v>
      </c>
    </row>
    <row r="31" spans="1:36" hidden="1" x14ac:dyDescent="0.25">
      <c r="A31">
        <v>30</v>
      </c>
      <c r="B31" t="s">
        <v>2092</v>
      </c>
      <c r="C31" t="s">
        <v>376</v>
      </c>
      <c r="D31" t="s">
        <v>2041</v>
      </c>
      <c r="E31" t="s">
        <v>37</v>
      </c>
      <c r="G31" s="2">
        <v>45854</v>
      </c>
      <c r="H31">
        <v>1.6</v>
      </c>
      <c r="I31" t="s">
        <v>72</v>
      </c>
      <c r="J31" t="s">
        <v>1024</v>
      </c>
      <c r="K31" t="s">
        <v>1025</v>
      </c>
      <c r="L31" t="s">
        <v>2042</v>
      </c>
      <c r="M31" t="s">
        <v>972</v>
      </c>
      <c r="N31" t="s">
        <v>2080</v>
      </c>
      <c r="O31" t="s">
        <v>79</v>
      </c>
      <c r="P31" t="s">
        <v>80</v>
      </c>
      <c r="Q31">
        <v>1.6185630594103719</v>
      </c>
      <c r="R31" t="s">
        <v>46</v>
      </c>
      <c r="S31" t="s">
        <v>47</v>
      </c>
      <c r="T31" t="s">
        <v>2083</v>
      </c>
      <c r="V31" t="s">
        <v>86</v>
      </c>
      <c r="X31" t="s">
        <v>2050</v>
      </c>
      <c r="Y31" t="s">
        <v>2051</v>
      </c>
      <c r="Z31" t="s">
        <v>1460</v>
      </c>
      <c r="AA31" t="s">
        <v>563</v>
      </c>
      <c r="AB31" t="s">
        <v>453</v>
      </c>
      <c r="AD31" t="s">
        <v>1048</v>
      </c>
      <c r="AE31" t="s">
        <v>2052</v>
      </c>
      <c r="AI31">
        <v>337.09380518091513</v>
      </c>
      <c r="AJ31">
        <v>6550.1185124821059</v>
      </c>
    </row>
    <row r="32" spans="1:36" hidden="1" x14ac:dyDescent="0.25">
      <c r="A32">
        <v>31</v>
      </c>
      <c r="B32" t="s">
        <v>2093</v>
      </c>
      <c r="C32" t="s">
        <v>376</v>
      </c>
      <c r="D32" t="s">
        <v>2041</v>
      </c>
      <c r="E32" t="s">
        <v>37</v>
      </c>
      <c r="G32" s="2">
        <v>45854</v>
      </c>
      <c r="H32">
        <v>0.5</v>
      </c>
      <c r="I32" t="s">
        <v>72</v>
      </c>
      <c r="J32" t="s">
        <v>1024</v>
      </c>
      <c r="K32" t="s">
        <v>1025</v>
      </c>
      <c r="L32" t="s">
        <v>2042</v>
      </c>
      <c r="M32" t="s">
        <v>972</v>
      </c>
      <c r="N32" t="s">
        <v>2080</v>
      </c>
      <c r="O32" t="s">
        <v>79</v>
      </c>
      <c r="P32" t="s">
        <v>80</v>
      </c>
      <c r="Q32">
        <v>0.46842338349744977</v>
      </c>
      <c r="R32" t="s">
        <v>46</v>
      </c>
      <c r="S32" t="s">
        <v>47</v>
      </c>
      <c r="T32" t="s">
        <v>2083</v>
      </c>
      <c r="V32" t="s">
        <v>86</v>
      </c>
      <c r="X32" t="s">
        <v>2050</v>
      </c>
      <c r="Y32" t="s">
        <v>2051</v>
      </c>
      <c r="Z32" t="s">
        <v>1460</v>
      </c>
      <c r="AA32" t="s">
        <v>180</v>
      </c>
      <c r="AB32" t="s">
        <v>453</v>
      </c>
      <c r="AD32" t="s">
        <v>1048</v>
      </c>
      <c r="AE32" t="s">
        <v>2052</v>
      </c>
      <c r="AI32">
        <v>285.81966507034571</v>
      </c>
      <c r="AJ32">
        <v>1895.649760500452</v>
      </c>
    </row>
    <row r="33" spans="1:36" hidden="1" x14ac:dyDescent="0.25">
      <c r="A33">
        <v>32</v>
      </c>
      <c r="B33" t="s">
        <v>2094</v>
      </c>
      <c r="C33" t="s">
        <v>376</v>
      </c>
      <c r="D33" t="s">
        <v>2041</v>
      </c>
      <c r="E33" t="s">
        <v>37</v>
      </c>
      <c r="G33" s="2">
        <v>45854</v>
      </c>
      <c r="H33">
        <v>3.7</v>
      </c>
      <c r="I33" t="s">
        <v>72</v>
      </c>
      <c r="J33" t="s">
        <v>1024</v>
      </c>
      <c r="K33" t="s">
        <v>1025</v>
      </c>
      <c r="L33" t="s">
        <v>2042</v>
      </c>
      <c r="M33" t="s">
        <v>972</v>
      </c>
      <c r="N33" t="s">
        <v>2080</v>
      </c>
      <c r="O33" t="s">
        <v>79</v>
      </c>
      <c r="P33" t="s">
        <v>80</v>
      </c>
      <c r="Q33">
        <v>3.735281753135689</v>
      </c>
      <c r="R33" t="s">
        <v>46</v>
      </c>
      <c r="S33" t="s">
        <v>47</v>
      </c>
      <c r="T33" t="s">
        <v>2083</v>
      </c>
      <c r="V33" t="s">
        <v>86</v>
      </c>
      <c r="X33" t="s">
        <v>2050</v>
      </c>
      <c r="Y33" t="s">
        <v>2051</v>
      </c>
      <c r="Z33" t="s">
        <v>1460</v>
      </c>
      <c r="AA33" t="s">
        <v>180</v>
      </c>
      <c r="AB33" t="s">
        <v>453</v>
      </c>
      <c r="AD33" t="s">
        <v>1048</v>
      </c>
      <c r="AE33" t="s">
        <v>2052</v>
      </c>
      <c r="AI33">
        <v>484.94921791825902</v>
      </c>
      <c r="AJ33">
        <v>15116.209416927901</v>
      </c>
    </row>
    <row r="34" spans="1:36" x14ac:dyDescent="0.25">
      <c r="A34">
        <v>33</v>
      </c>
      <c r="B34" t="s">
        <v>2095</v>
      </c>
      <c r="C34" t="s">
        <v>376</v>
      </c>
      <c r="D34" t="s">
        <v>2041</v>
      </c>
      <c r="E34" t="s">
        <v>37</v>
      </c>
      <c r="G34" s="2">
        <v>45854</v>
      </c>
      <c r="H34">
        <v>2.6</v>
      </c>
      <c r="I34" t="s">
        <v>72</v>
      </c>
      <c r="J34" t="s">
        <v>1024</v>
      </c>
      <c r="K34" t="s">
        <v>1025</v>
      </c>
      <c r="L34" t="s">
        <v>2042</v>
      </c>
      <c r="M34" t="s">
        <v>972</v>
      </c>
      <c r="O34" t="s">
        <v>62</v>
      </c>
      <c r="P34" t="s">
        <v>63</v>
      </c>
      <c r="Q34">
        <v>2.4347979434143712</v>
      </c>
      <c r="R34" t="s">
        <v>64</v>
      </c>
      <c r="S34" t="s">
        <v>65</v>
      </c>
      <c r="T34" t="s">
        <v>2096</v>
      </c>
      <c r="V34" t="s">
        <v>681</v>
      </c>
      <c r="X34" t="s">
        <v>2097</v>
      </c>
      <c r="Y34" t="s">
        <v>2051</v>
      </c>
      <c r="Z34" t="s">
        <v>1073</v>
      </c>
      <c r="AA34" t="s">
        <v>554</v>
      </c>
      <c r="AB34" t="s">
        <v>453</v>
      </c>
      <c r="AD34" t="s">
        <v>911</v>
      </c>
      <c r="AE34" t="s">
        <v>2098</v>
      </c>
      <c r="AI34">
        <v>479.03032542209081</v>
      </c>
      <c r="AJ34">
        <v>9853.3171077817769</v>
      </c>
    </row>
    <row r="35" spans="1:36" hidden="1" x14ac:dyDescent="0.25">
      <c r="A35">
        <v>34</v>
      </c>
      <c r="B35" t="s">
        <v>2099</v>
      </c>
      <c r="C35" t="s">
        <v>376</v>
      </c>
      <c r="D35" t="s">
        <v>2041</v>
      </c>
      <c r="E35" t="s">
        <v>37</v>
      </c>
      <c r="G35" s="2">
        <v>45854</v>
      </c>
      <c r="H35">
        <v>0.8</v>
      </c>
      <c r="I35" t="s">
        <v>72</v>
      </c>
      <c r="J35" t="s">
        <v>1024</v>
      </c>
      <c r="K35" t="s">
        <v>1025</v>
      </c>
      <c r="L35" t="s">
        <v>2042</v>
      </c>
      <c r="M35" t="s">
        <v>972</v>
      </c>
      <c r="O35" t="s">
        <v>141</v>
      </c>
      <c r="P35" t="s">
        <v>142</v>
      </c>
      <c r="Q35">
        <v>0.32878502509537161</v>
      </c>
      <c r="T35" t="s">
        <v>2100</v>
      </c>
      <c r="V35" t="s">
        <v>681</v>
      </c>
      <c r="X35" t="s">
        <v>2097</v>
      </c>
      <c r="Y35" t="s">
        <v>2051</v>
      </c>
      <c r="Z35" t="s">
        <v>1073</v>
      </c>
      <c r="AA35" t="s">
        <v>554</v>
      </c>
      <c r="AB35" t="s">
        <v>453</v>
      </c>
      <c r="AD35" t="s">
        <v>911</v>
      </c>
      <c r="AE35" t="s">
        <v>2098</v>
      </c>
      <c r="AI35">
        <v>136.27205191496199</v>
      </c>
      <c r="AJ35">
        <v>1330.551112595278</v>
      </c>
    </row>
    <row r="36" spans="1:36" x14ac:dyDescent="0.25">
      <c r="A36">
        <v>35</v>
      </c>
      <c r="B36" t="s">
        <v>2101</v>
      </c>
      <c r="C36" t="s">
        <v>376</v>
      </c>
      <c r="D36" t="s">
        <v>2041</v>
      </c>
      <c r="E36" t="s">
        <v>37</v>
      </c>
      <c r="G36" s="2">
        <v>45854</v>
      </c>
      <c r="H36">
        <v>2.7</v>
      </c>
      <c r="I36" t="s">
        <v>72</v>
      </c>
      <c r="J36" t="s">
        <v>1024</v>
      </c>
      <c r="K36" t="s">
        <v>1025</v>
      </c>
      <c r="L36" t="s">
        <v>2042</v>
      </c>
      <c r="M36" t="s">
        <v>972</v>
      </c>
      <c r="O36" t="s">
        <v>62</v>
      </c>
      <c r="P36" t="s">
        <v>63</v>
      </c>
      <c r="Q36">
        <v>2.4522215562447309</v>
      </c>
      <c r="R36" t="s">
        <v>64</v>
      </c>
      <c r="S36" t="s">
        <v>65</v>
      </c>
      <c r="T36" t="s">
        <v>2096</v>
      </c>
      <c r="V36" t="s">
        <v>681</v>
      </c>
      <c r="X36" t="s">
        <v>2097</v>
      </c>
      <c r="Y36" t="s">
        <v>2051</v>
      </c>
      <c r="Z36" t="s">
        <v>1073</v>
      </c>
      <c r="AA36" t="s">
        <v>554</v>
      </c>
      <c r="AB36" t="s">
        <v>453</v>
      </c>
      <c r="AD36" t="s">
        <v>911</v>
      </c>
      <c r="AE36" t="s">
        <v>2098</v>
      </c>
      <c r="AI36">
        <v>457.69362040610253</v>
      </c>
      <c r="AJ36">
        <v>9923.8282493100141</v>
      </c>
    </row>
    <row r="37" spans="1:36" x14ac:dyDescent="0.25">
      <c r="A37">
        <v>36</v>
      </c>
      <c r="B37" t="s">
        <v>2102</v>
      </c>
      <c r="C37" t="s">
        <v>376</v>
      </c>
      <c r="D37" t="s">
        <v>2041</v>
      </c>
      <c r="E37" t="s">
        <v>37</v>
      </c>
      <c r="G37" s="2">
        <v>45854</v>
      </c>
      <c r="H37">
        <v>0.2</v>
      </c>
      <c r="I37" t="s">
        <v>72</v>
      </c>
      <c r="J37" t="s">
        <v>1024</v>
      </c>
      <c r="K37" t="s">
        <v>1025</v>
      </c>
      <c r="L37" t="s">
        <v>2042</v>
      </c>
      <c r="M37" t="s">
        <v>972</v>
      </c>
      <c r="O37" t="s">
        <v>62</v>
      </c>
      <c r="P37" t="s">
        <v>63</v>
      </c>
      <c r="Q37">
        <v>0.17551411045239401</v>
      </c>
      <c r="R37" t="s">
        <v>64</v>
      </c>
      <c r="S37" t="s">
        <v>65</v>
      </c>
      <c r="T37" t="s">
        <v>2096</v>
      </c>
      <c r="V37" t="s">
        <v>681</v>
      </c>
      <c r="X37" t="s">
        <v>2097</v>
      </c>
      <c r="Y37" t="s">
        <v>2051</v>
      </c>
      <c r="Z37" t="s">
        <v>1073</v>
      </c>
      <c r="AA37" t="s">
        <v>554</v>
      </c>
      <c r="AB37" t="s">
        <v>453</v>
      </c>
      <c r="AD37" t="s">
        <v>911</v>
      </c>
      <c r="AE37" t="s">
        <v>2098</v>
      </c>
      <c r="AI37">
        <v>115.8065997856833</v>
      </c>
      <c r="AJ37">
        <v>710.28324623623735</v>
      </c>
    </row>
    <row r="38" spans="1:36" x14ac:dyDescent="0.25">
      <c r="A38">
        <v>37</v>
      </c>
      <c r="B38" t="s">
        <v>2103</v>
      </c>
      <c r="C38" t="s">
        <v>376</v>
      </c>
      <c r="D38" t="s">
        <v>2041</v>
      </c>
      <c r="E38" t="s">
        <v>37</v>
      </c>
      <c r="G38" s="2">
        <v>45854</v>
      </c>
      <c r="H38">
        <v>0.2</v>
      </c>
      <c r="I38" t="s">
        <v>72</v>
      </c>
      <c r="J38" t="s">
        <v>1024</v>
      </c>
      <c r="K38" t="s">
        <v>1025</v>
      </c>
      <c r="L38" t="s">
        <v>2042</v>
      </c>
      <c r="M38" t="s">
        <v>972</v>
      </c>
      <c r="O38" t="s">
        <v>62</v>
      </c>
      <c r="P38" t="s">
        <v>63</v>
      </c>
      <c r="Q38">
        <v>0.1199079277012865</v>
      </c>
      <c r="R38" t="s">
        <v>64</v>
      </c>
      <c r="S38" t="s">
        <v>65</v>
      </c>
      <c r="T38" t="s">
        <v>2096</v>
      </c>
      <c r="V38" t="s">
        <v>681</v>
      </c>
      <c r="X38" t="s">
        <v>2097</v>
      </c>
      <c r="Y38" t="s">
        <v>2051</v>
      </c>
      <c r="Z38" t="s">
        <v>1073</v>
      </c>
      <c r="AA38" t="s">
        <v>554</v>
      </c>
      <c r="AB38" t="s">
        <v>453</v>
      </c>
      <c r="AD38" t="s">
        <v>911</v>
      </c>
      <c r="AE38" t="s">
        <v>2098</v>
      </c>
      <c r="AI38">
        <v>111.4535785746499</v>
      </c>
      <c r="AJ38">
        <v>485.25210832111821</v>
      </c>
    </row>
    <row r="39" spans="1:36" x14ac:dyDescent="0.25">
      <c r="A39">
        <v>38</v>
      </c>
      <c r="B39" t="s">
        <v>2104</v>
      </c>
      <c r="C39" t="s">
        <v>376</v>
      </c>
      <c r="D39" t="s">
        <v>2041</v>
      </c>
      <c r="E39" t="s">
        <v>37</v>
      </c>
      <c r="G39" s="2">
        <v>45854</v>
      </c>
      <c r="H39">
        <v>0.2</v>
      </c>
      <c r="I39" t="s">
        <v>72</v>
      </c>
      <c r="J39" t="s">
        <v>1024</v>
      </c>
      <c r="K39" t="s">
        <v>1025</v>
      </c>
      <c r="L39" t="s">
        <v>2042</v>
      </c>
      <c r="M39" t="s">
        <v>972</v>
      </c>
      <c r="O39" t="s">
        <v>62</v>
      </c>
      <c r="P39" t="s">
        <v>63</v>
      </c>
      <c r="Q39">
        <v>0.15972358503112299</v>
      </c>
      <c r="R39" t="s">
        <v>64</v>
      </c>
      <c r="S39" t="s">
        <v>65</v>
      </c>
      <c r="T39" t="s">
        <v>2096</v>
      </c>
      <c r="V39" t="s">
        <v>681</v>
      </c>
      <c r="X39" t="s">
        <v>2097</v>
      </c>
      <c r="Y39" t="s">
        <v>2051</v>
      </c>
      <c r="Z39" t="s">
        <v>1073</v>
      </c>
      <c r="AA39" t="s">
        <v>554</v>
      </c>
      <c r="AB39" t="s">
        <v>453</v>
      </c>
      <c r="AD39" t="s">
        <v>911</v>
      </c>
      <c r="AE39" t="s">
        <v>2098</v>
      </c>
      <c r="AI39">
        <v>103.56864244241309</v>
      </c>
      <c r="AJ39">
        <v>646.3810014133727</v>
      </c>
    </row>
    <row r="40" spans="1:36" x14ac:dyDescent="0.25">
      <c r="A40">
        <v>39</v>
      </c>
      <c r="B40" t="s">
        <v>2105</v>
      </c>
      <c r="C40" t="s">
        <v>376</v>
      </c>
      <c r="D40" t="s">
        <v>2041</v>
      </c>
      <c r="E40" t="s">
        <v>37</v>
      </c>
      <c r="G40" s="2">
        <v>45854</v>
      </c>
      <c r="H40">
        <v>4.8</v>
      </c>
      <c r="I40" t="s">
        <v>72</v>
      </c>
      <c r="J40" t="s">
        <v>1024</v>
      </c>
      <c r="K40" t="s">
        <v>1025</v>
      </c>
      <c r="L40" t="s">
        <v>2042</v>
      </c>
      <c r="M40" t="s">
        <v>972</v>
      </c>
      <c r="O40" t="s">
        <v>62</v>
      </c>
      <c r="P40" t="s">
        <v>63</v>
      </c>
      <c r="Q40">
        <v>4.4194284878369929</v>
      </c>
      <c r="R40" t="s">
        <v>64</v>
      </c>
      <c r="S40" t="s">
        <v>65</v>
      </c>
      <c r="T40" t="s">
        <v>2096</v>
      </c>
      <c r="V40" t="s">
        <v>681</v>
      </c>
      <c r="X40" t="s">
        <v>2097</v>
      </c>
      <c r="Y40" t="s">
        <v>2051</v>
      </c>
      <c r="Z40" t="s">
        <v>1073</v>
      </c>
      <c r="AA40" t="s">
        <v>554</v>
      </c>
      <c r="AB40" t="s">
        <v>453</v>
      </c>
      <c r="AD40" t="s">
        <v>911</v>
      </c>
      <c r="AE40" t="s">
        <v>2098</v>
      </c>
      <c r="AI40">
        <v>522.34473229217065</v>
      </c>
      <c r="AJ40">
        <v>17884.864098725509</v>
      </c>
    </row>
    <row r="41" spans="1:36" x14ac:dyDescent="0.25">
      <c r="A41">
        <v>40</v>
      </c>
      <c r="B41" t="s">
        <v>2106</v>
      </c>
      <c r="C41" t="s">
        <v>376</v>
      </c>
      <c r="D41" t="s">
        <v>2041</v>
      </c>
      <c r="E41" t="s">
        <v>37</v>
      </c>
      <c r="G41" s="2">
        <v>45854</v>
      </c>
      <c r="H41">
        <v>8.6999999999999993</v>
      </c>
      <c r="I41" t="s">
        <v>72</v>
      </c>
      <c r="J41" t="s">
        <v>1024</v>
      </c>
      <c r="K41" t="s">
        <v>1025</v>
      </c>
      <c r="L41" t="s">
        <v>2042</v>
      </c>
      <c r="M41" t="s">
        <v>972</v>
      </c>
      <c r="O41" t="s">
        <v>62</v>
      </c>
      <c r="P41" t="s">
        <v>63</v>
      </c>
      <c r="Q41">
        <v>8.1488454653518474</v>
      </c>
      <c r="R41" t="s">
        <v>64</v>
      </c>
      <c r="S41" t="s">
        <v>65</v>
      </c>
      <c r="T41" t="s">
        <v>2107</v>
      </c>
      <c r="V41" t="s">
        <v>681</v>
      </c>
      <c r="X41" t="s">
        <v>2108</v>
      </c>
      <c r="Y41" t="s">
        <v>2051</v>
      </c>
      <c r="Z41" t="s">
        <v>1460</v>
      </c>
      <c r="AA41" t="s">
        <v>460</v>
      </c>
      <c r="AB41" t="s">
        <v>453</v>
      </c>
      <c r="AD41" t="s">
        <v>483</v>
      </c>
      <c r="AE41" t="s">
        <v>2109</v>
      </c>
      <c r="AI41">
        <v>1313.116364666238</v>
      </c>
      <c r="AJ41">
        <v>32977.33951583039</v>
      </c>
    </row>
    <row r="42" spans="1:36" x14ac:dyDescent="0.25">
      <c r="A42">
        <v>41</v>
      </c>
      <c r="B42" t="s">
        <v>2110</v>
      </c>
      <c r="C42" t="s">
        <v>376</v>
      </c>
      <c r="D42" t="s">
        <v>2041</v>
      </c>
      <c r="E42" t="s">
        <v>37</v>
      </c>
      <c r="G42" s="2">
        <v>45854</v>
      </c>
      <c r="I42" t="s">
        <v>72</v>
      </c>
      <c r="J42" t="s">
        <v>1024</v>
      </c>
      <c r="K42" t="s">
        <v>1025</v>
      </c>
      <c r="L42" t="s">
        <v>2042</v>
      </c>
      <c r="M42" t="s">
        <v>972</v>
      </c>
      <c r="O42" t="s">
        <v>62</v>
      </c>
      <c r="P42" t="s">
        <v>63</v>
      </c>
      <c r="Q42">
        <v>2.4451480786438919</v>
      </c>
      <c r="R42" t="s">
        <v>64</v>
      </c>
      <c r="S42" t="s">
        <v>65</v>
      </c>
      <c r="T42" t="s">
        <v>673</v>
      </c>
      <c r="V42" t="s">
        <v>618</v>
      </c>
      <c r="X42" t="s">
        <v>673</v>
      </c>
      <c r="Y42" t="s">
        <v>2051</v>
      </c>
      <c r="Z42" t="s">
        <v>1460</v>
      </c>
      <c r="AA42" t="s">
        <v>818</v>
      </c>
      <c r="AB42" t="s">
        <v>453</v>
      </c>
      <c r="AE42" t="s">
        <v>2047</v>
      </c>
      <c r="AF42" t="s">
        <v>2111</v>
      </c>
      <c r="AI42">
        <v>466.86245139939132</v>
      </c>
      <c r="AJ42">
        <v>9895.2027865506188</v>
      </c>
    </row>
    <row r="43" spans="1:36" x14ac:dyDescent="0.25">
      <c r="A43">
        <v>42</v>
      </c>
      <c r="B43" t="s">
        <v>2112</v>
      </c>
      <c r="C43" t="s">
        <v>376</v>
      </c>
      <c r="D43" t="s">
        <v>2041</v>
      </c>
      <c r="E43" t="s">
        <v>37</v>
      </c>
      <c r="G43" s="2">
        <v>45854</v>
      </c>
      <c r="H43">
        <v>0.5</v>
      </c>
      <c r="I43" t="s">
        <v>72</v>
      </c>
      <c r="J43" t="s">
        <v>1024</v>
      </c>
      <c r="K43" t="s">
        <v>1025</v>
      </c>
      <c r="L43" t="s">
        <v>2042</v>
      </c>
      <c r="M43" t="s">
        <v>972</v>
      </c>
      <c r="O43" t="s">
        <v>62</v>
      </c>
      <c r="P43" t="s">
        <v>63</v>
      </c>
      <c r="Q43">
        <v>0.42066483006554928</v>
      </c>
      <c r="R43" t="s">
        <v>75</v>
      </c>
      <c r="S43" t="s">
        <v>83</v>
      </c>
      <c r="T43" t="s">
        <v>2113</v>
      </c>
      <c r="V43" t="s">
        <v>618</v>
      </c>
      <c r="X43" t="s">
        <v>2114</v>
      </c>
      <c r="Y43" t="s">
        <v>2051</v>
      </c>
      <c r="Z43" t="s">
        <v>1460</v>
      </c>
      <c r="AA43" t="s">
        <v>818</v>
      </c>
      <c r="AB43" t="s">
        <v>453</v>
      </c>
      <c r="AD43" t="s">
        <v>589</v>
      </c>
      <c r="AE43" t="s">
        <v>2109</v>
      </c>
      <c r="AI43">
        <v>240.82335307461921</v>
      </c>
      <c r="AJ43">
        <v>1702.3769787296781</v>
      </c>
    </row>
    <row r="44" spans="1:36" x14ac:dyDescent="0.25">
      <c r="A44">
        <v>43</v>
      </c>
      <c r="B44" t="s">
        <v>2115</v>
      </c>
      <c r="C44" t="s">
        <v>376</v>
      </c>
      <c r="D44" t="s">
        <v>2041</v>
      </c>
      <c r="E44" t="s">
        <v>37</v>
      </c>
      <c r="G44" s="2">
        <v>45854</v>
      </c>
      <c r="H44">
        <v>2.6</v>
      </c>
      <c r="I44" t="s">
        <v>72</v>
      </c>
      <c r="J44" t="s">
        <v>1024</v>
      </c>
      <c r="K44" t="s">
        <v>1025</v>
      </c>
      <c r="L44" t="s">
        <v>2042</v>
      </c>
      <c r="M44" t="s">
        <v>972</v>
      </c>
      <c r="O44" t="s">
        <v>62</v>
      </c>
      <c r="P44" t="s">
        <v>63</v>
      </c>
      <c r="Q44">
        <v>2.4858497857954411</v>
      </c>
      <c r="R44" t="s">
        <v>64</v>
      </c>
      <c r="S44" t="s">
        <v>65</v>
      </c>
      <c r="T44" t="s">
        <v>2113</v>
      </c>
      <c r="V44" t="s">
        <v>618</v>
      </c>
      <c r="X44" t="s">
        <v>2114</v>
      </c>
      <c r="Y44" t="s">
        <v>2051</v>
      </c>
      <c r="Z44" t="s">
        <v>1460</v>
      </c>
      <c r="AA44" t="s">
        <v>2116</v>
      </c>
      <c r="AB44" t="s">
        <v>453</v>
      </c>
      <c r="AD44" t="s">
        <v>589</v>
      </c>
      <c r="AE44" t="s">
        <v>2109</v>
      </c>
      <c r="AI44">
        <v>467.85512863375362</v>
      </c>
      <c r="AJ44">
        <v>10059.917410397349</v>
      </c>
    </row>
    <row r="45" spans="1:36" x14ac:dyDescent="0.25">
      <c r="A45">
        <v>44</v>
      </c>
      <c r="B45" t="s">
        <v>2117</v>
      </c>
      <c r="C45" t="s">
        <v>376</v>
      </c>
      <c r="D45" t="s">
        <v>2041</v>
      </c>
      <c r="E45" t="s">
        <v>37</v>
      </c>
      <c r="G45" s="2">
        <v>45854</v>
      </c>
      <c r="I45" t="s">
        <v>72</v>
      </c>
      <c r="J45" t="s">
        <v>1024</v>
      </c>
      <c r="K45" t="s">
        <v>1025</v>
      </c>
      <c r="L45" t="s">
        <v>2042</v>
      </c>
      <c r="M45" t="s">
        <v>972</v>
      </c>
      <c r="O45" t="s">
        <v>62</v>
      </c>
      <c r="P45" t="s">
        <v>63</v>
      </c>
      <c r="Q45">
        <v>0.51948240410657265</v>
      </c>
      <c r="R45" t="s">
        <v>64</v>
      </c>
      <c r="S45" t="s">
        <v>65</v>
      </c>
      <c r="T45" t="s">
        <v>673</v>
      </c>
      <c r="V45" t="s">
        <v>618</v>
      </c>
      <c r="X45" t="s">
        <v>673</v>
      </c>
      <c r="Y45" t="s">
        <v>2045</v>
      </c>
      <c r="Z45" t="s">
        <v>1460</v>
      </c>
      <c r="AA45" t="s">
        <v>606</v>
      </c>
      <c r="AB45" t="s">
        <v>453</v>
      </c>
      <c r="AE45" t="s">
        <v>2047</v>
      </c>
      <c r="AF45" t="s">
        <v>1146</v>
      </c>
      <c r="AI45">
        <v>331.3445980699326</v>
      </c>
      <c r="AJ45">
        <v>2102.279112490517</v>
      </c>
    </row>
    <row r="46" spans="1:36" x14ac:dyDescent="0.25">
      <c r="A46">
        <v>45</v>
      </c>
      <c r="B46" t="s">
        <v>2118</v>
      </c>
      <c r="C46" t="s">
        <v>376</v>
      </c>
      <c r="D46" t="s">
        <v>2041</v>
      </c>
      <c r="E46" t="s">
        <v>37</v>
      </c>
      <c r="G46" s="2">
        <v>45854</v>
      </c>
      <c r="H46">
        <v>1.1000000000000001</v>
      </c>
      <c r="I46" t="s">
        <v>72</v>
      </c>
      <c r="J46" t="s">
        <v>1024</v>
      </c>
      <c r="K46" t="s">
        <v>1025</v>
      </c>
      <c r="L46" t="s">
        <v>2042</v>
      </c>
      <c r="M46" t="s">
        <v>972</v>
      </c>
      <c r="O46" t="s">
        <v>62</v>
      </c>
      <c r="P46" t="s">
        <v>63</v>
      </c>
      <c r="Q46">
        <v>0.98196139452542552</v>
      </c>
      <c r="R46" t="s">
        <v>64</v>
      </c>
      <c r="S46" t="s">
        <v>65</v>
      </c>
      <c r="T46" t="s">
        <v>2113</v>
      </c>
      <c r="V46" t="s">
        <v>618</v>
      </c>
      <c r="X46" t="s">
        <v>2114</v>
      </c>
      <c r="Y46" t="s">
        <v>2045</v>
      </c>
      <c r="Z46" t="s">
        <v>1460</v>
      </c>
      <c r="AA46" t="s">
        <v>606</v>
      </c>
      <c r="AB46" t="s">
        <v>453</v>
      </c>
      <c r="AD46" t="s">
        <v>589</v>
      </c>
      <c r="AE46" t="s">
        <v>2109</v>
      </c>
      <c r="AI46">
        <v>320.22985924392748</v>
      </c>
      <c r="AJ46">
        <v>3973.8726714588688</v>
      </c>
    </row>
    <row r="47" spans="1:36" x14ac:dyDescent="0.25">
      <c r="A47">
        <v>46</v>
      </c>
      <c r="B47" t="s">
        <v>2119</v>
      </c>
      <c r="C47" t="s">
        <v>376</v>
      </c>
      <c r="D47" t="s">
        <v>2041</v>
      </c>
      <c r="E47" t="s">
        <v>37</v>
      </c>
      <c r="G47" s="2">
        <v>45854</v>
      </c>
      <c r="H47">
        <v>2.5</v>
      </c>
      <c r="I47" t="s">
        <v>72</v>
      </c>
      <c r="J47" t="s">
        <v>1024</v>
      </c>
      <c r="K47" t="s">
        <v>1025</v>
      </c>
      <c r="L47" t="s">
        <v>2042</v>
      </c>
      <c r="M47" t="s">
        <v>972</v>
      </c>
      <c r="O47" t="s">
        <v>62</v>
      </c>
      <c r="P47" t="s">
        <v>63</v>
      </c>
      <c r="Q47">
        <v>2.3042398294836062</v>
      </c>
      <c r="R47" t="s">
        <v>64</v>
      </c>
      <c r="S47" t="s">
        <v>65</v>
      </c>
      <c r="T47" t="s">
        <v>2120</v>
      </c>
      <c r="V47" t="s">
        <v>618</v>
      </c>
      <c r="X47" t="s">
        <v>2121</v>
      </c>
      <c r="Y47" t="s">
        <v>2045</v>
      </c>
      <c r="Z47" t="s">
        <v>1460</v>
      </c>
      <c r="AA47" t="s">
        <v>606</v>
      </c>
      <c r="AB47" t="s">
        <v>453</v>
      </c>
      <c r="AD47" t="s">
        <v>2046</v>
      </c>
      <c r="AE47" t="s">
        <v>2047</v>
      </c>
      <c r="AI47">
        <v>393.47900159448102</v>
      </c>
      <c r="AJ47">
        <v>9324.9650525185207</v>
      </c>
    </row>
    <row r="48" spans="1:36" hidden="1" x14ac:dyDescent="0.25">
      <c r="A48">
        <v>47</v>
      </c>
      <c r="B48" t="s">
        <v>2122</v>
      </c>
      <c r="C48" t="s">
        <v>376</v>
      </c>
      <c r="D48" t="s">
        <v>2041</v>
      </c>
      <c r="E48" t="s">
        <v>37</v>
      </c>
      <c r="G48" s="2">
        <v>45854</v>
      </c>
      <c r="H48">
        <v>0.7</v>
      </c>
      <c r="I48" t="s">
        <v>72</v>
      </c>
      <c r="J48" t="s">
        <v>1024</v>
      </c>
      <c r="K48" t="s">
        <v>1025</v>
      </c>
      <c r="L48" t="s">
        <v>2042</v>
      </c>
      <c r="M48" t="s">
        <v>972</v>
      </c>
      <c r="O48" t="s">
        <v>115</v>
      </c>
      <c r="P48" t="s">
        <v>137</v>
      </c>
      <c r="Q48">
        <v>0.29505330574077382</v>
      </c>
      <c r="S48" t="s">
        <v>38</v>
      </c>
      <c r="T48" t="s">
        <v>2123</v>
      </c>
      <c r="V48" t="s">
        <v>618</v>
      </c>
      <c r="X48" t="s">
        <v>2121</v>
      </c>
      <c r="Y48" t="s">
        <v>2045</v>
      </c>
      <c r="Z48" t="s">
        <v>1460</v>
      </c>
      <c r="AA48" t="s">
        <v>606</v>
      </c>
      <c r="AB48" t="s">
        <v>453</v>
      </c>
      <c r="AD48" t="s">
        <v>2046</v>
      </c>
      <c r="AE48" t="s">
        <v>2047</v>
      </c>
      <c r="AI48">
        <v>128.82948993051539</v>
      </c>
      <c r="AJ48">
        <v>1194.0431414551911</v>
      </c>
    </row>
    <row r="49" spans="1:36" x14ac:dyDescent="0.25">
      <c r="A49">
        <v>48</v>
      </c>
      <c r="B49" t="s">
        <v>2124</v>
      </c>
      <c r="C49" t="s">
        <v>376</v>
      </c>
      <c r="D49" t="s">
        <v>2041</v>
      </c>
      <c r="E49" t="s">
        <v>37</v>
      </c>
      <c r="G49" s="2">
        <v>45854</v>
      </c>
      <c r="H49">
        <v>0.1</v>
      </c>
      <c r="I49" t="s">
        <v>72</v>
      </c>
      <c r="J49" t="s">
        <v>1024</v>
      </c>
      <c r="K49" t="s">
        <v>1025</v>
      </c>
      <c r="L49" t="s">
        <v>2042</v>
      </c>
      <c r="M49" t="s">
        <v>972</v>
      </c>
      <c r="O49" t="s">
        <v>62</v>
      </c>
      <c r="P49" t="s">
        <v>63</v>
      </c>
      <c r="Q49">
        <v>6.8466558095536659E-2</v>
      </c>
      <c r="R49" t="s">
        <v>64</v>
      </c>
      <c r="S49" t="s">
        <v>65</v>
      </c>
      <c r="T49" t="s">
        <v>2120</v>
      </c>
      <c r="V49" t="s">
        <v>618</v>
      </c>
      <c r="X49" t="s">
        <v>2121</v>
      </c>
      <c r="Y49" t="s">
        <v>2045</v>
      </c>
      <c r="Z49" t="s">
        <v>1460</v>
      </c>
      <c r="AA49" t="s">
        <v>606</v>
      </c>
      <c r="AB49" t="s">
        <v>453</v>
      </c>
      <c r="AD49" t="s">
        <v>2046</v>
      </c>
      <c r="AE49" t="s">
        <v>2047</v>
      </c>
      <c r="AI49">
        <v>84.330767200697508</v>
      </c>
      <c r="AJ49">
        <v>277.07543864919148</v>
      </c>
    </row>
    <row r="50" spans="1:36" x14ac:dyDescent="0.25">
      <c r="A50">
        <v>49</v>
      </c>
      <c r="B50" t="s">
        <v>2125</v>
      </c>
      <c r="C50" t="s">
        <v>376</v>
      </c>
      <c r="D50" t="s">
        <v>2041</v>
      </c>
      <c r="E50" t="s">
        <v>37</v>
      </c>
      <c r="G50" s="2">
        <v>45854</v>
      </c>
      <c r="H50">
        <v>3.9</v>
      </c>
      <c r="I50" t="s">
        <v>72</v>
      </c>
      <c r="J50" t="s">
        <v>1024</v>
      </c>
      <c r="K50" t="s">
        <v>1025</v>
      </c>
      <c r="L50" t="s">
        <v>2042</v>
      </c>
      <c r="M50" t="s">
        <v>972</v>
      </c>
      <c r="O50" t="s">
        <v>62</v>
      </c>
      <c r="P50" t="s">
        <v>63</v>
      </c>
      <c r="Q50">
        <v>3.71226547101175</v>
      </c>
      <c r="R50" t="s">
        <v>64</v>
      </c>
      <c r="S50" t="s">
        <v>65</v>
      </c>
      <c r="T50" t="s">
        <v>2126</v>
      </c>
      <c r="V50" t="s">
        <v>618</v>
      </c>
      <c r="X50" t="s">
        <v>2121</v>
      </c>
      <c r="Y50" t="s">
        <v>2045</v>
      </c>
      <c r="Z50" t="s">
        <v>2127</v>
      </c>
      <c r="AA50" t="s">
        <v>606</v>
      </c>
      <c r="AB50" t="s">
        <v>453</v>
      </c>
      <c r="AD50" t="s">
        <v>2046</v>
      </c>
      <c r="AE50" t="s">
        <v>2047</v>
      </c>
      <c r="AI50">
        <v>490.64077701304899</v>
      </c>
      <c r="AJ50">
        <v>15023.06545521939</v>
      </c>
    </row>
    <row r="51" spans="1:36" hidden="1" x14ac:dyDescent="0.25">
      <c r="A51">
        <v>50</v>
      </c>
      <c r="B51" t="s">
        <v>2128</v>
      </c>
      <c r="C51" t="s">
        <v>376</v>
      </c>
      <c r="D51" t="s">
        <v>2041</v>
      </c>
      <c r="E51" t="s">
        <v>37</v>
      </c>
      <c r="G51" s="2">
        <v>45854</v>
      </c>
      <c r="I51" t="s">
        <v>72</v>
      </c>
      <c r="J51" t="s">
        <v>1024</v>
      </c>
      <c r="K51" t="s">
        <v>1025</v>
      </c>
      <c r="L51" t="s">
        <v>2042</v>
      </c>
      <c r="M51" t="s">
        <v>972</v>
      </c>
      <c r="O51" t="s">
        <v>402</v>
      </c>
      <c r="P51" t="s">
        <v>403</v>
      </c>
      <c r="Q51">
        <v>0.27462300076944768</v>
      </c>
      <c r="S51" t="s">
        <v>38</v>
      </c>
      <c r="T51" t="s">
        <v>1526</v>
      </c>
      <c r="V51" t="s">
        <v>618</v>
      </c>
      <c r="X51" t="s">
        <v>673</v>
      </c>
      <c r="Y51" t="s">
        <v>2045</v>
      </c>
      <c r="Z51" t="s">
        <v>1460</v>
      </c>
      <c r="AA51" t="s">
        <v>606</v>
      </c>
      <c r="AB51" t="s">
        <v>453</v>
      </c>
      <c r="AE51" t="s">
        <v>2047</v>
      </c>
      <c r="AF51" t="s">
        <v>1146</v>
      </c>
      <c r="AI51">
        <v>122.1097154850127</v>
      </c>
      <c r="AJ51">
        <v>1111.3642998553539</v>
      </c>
    </row>
    <row r="52" spans="1:36" hidden="1" x14ac:dyDescent="0.25">
      <c r="A52">
        <v>51</v>
      </c>
      <c r="B52" t="s">
        <v>2129</v>
      </c>
      <c r="C52" t="s">
        <v>376</v>
      </c>
      <c r="D52" t="s">
        <v>2041</v>
      </c>
      <c r="E52" t="s">
        <v>37</v>
      </c>
      <c r="G52" s="2">
        <v>45854</v>
      </c>
      <c r="H52">
        <v>0.7</v>
      </c>
      <c r="I52" t="s">
        <v>72</v>
      </c>
      <c r="J52" t="s">
        <v>1024</v>
      </c>
      <c r="K52" t="s">
        <v>1025</v>
      </c>
      <c r="L52" t="s">
        <v>2042</v>
      </c>
      <c r="M52" t="s">
        <v>972</v>
      </c>
      <c r="O52" t="s">
        <v>141</v>
      </c>
      <c r="P52" t="s">
        <v>142</v>
      </c>
      <c r="Q52">
        <v>0.54652889580357689</v>
      </c>
      <c r="S52" t="s">
        <v>38</v>
      </c>
      <c r="T52" t="s">
        <v>2130</v>
      </c>
      <c r="V52" t="s">
        <v>125</v>
      </c>
      <c r="X52" t="s">
        <v>2121</v>
      </c>
      <c r="Y52" t="s">
        <v>2045</v>
      </c>
      <c r="Z52" t="s">
        <v>1460</v>
      </c>
      <c r="AA52" t="s">
        <v>603</v>
      </c>
      <c r="AB52" t="s">
        <v>453</v>
      </c>
      <c r="AD52" t="s">
        <v>2046</v>
      </c>
      <c r="AE52" t="s">
        <v>2047</v>
      </c>
      <c r="AI52">
        <v>177.39915810658329</v>
      </c>
      <c r="AJ52">
        <v>2211.7328189323139</v>
      </c>
    </row>
    <row r="53" spans="1:36" hidden="1" x14ac:dyDescent="0.25">
      <c r="A53">
        <v>52</v>
      </c>
      <c r="B53" t="s">
        <v>2131</v>
      </c>
      <c r="C53" t="s">
        <v>376</v>
      </c>
      <c r="D53" t="s">
        <v>2041</v>
      </c>
      <c r="E53" t="s">
        <v>37</v>
      </c>
      <c r="G53" s="2">
        <v>45854</v>
      </c>
      <c r="H53">
        <v>5.7</v>
      </c>
      <c r="I53" t="s">
        <v>72</v>
      </c>
      <c r="J53" t="s">
        <v>1024</v>
      </c>
      <c r="K53" t="s">
        <v>1025</v>
      </c>
      <c r="L53" t="s">
        <v>2042</v>
      </c>
      <c r="M53" t="s">
        <v>972</v>
      </c>
      <c r="O53" t="s">
        <v>55</v>
      </c>
      <c r="P53" t="s">
        <v>56</v>
      </c>
      <c r="Q53">
        <v>5.6831892978179299</v>
      </c>
      <c r="R53" t="s">
        <v>46</v>
      </c>
      <c r="S53" t="s">
        <v>47</v>
      </c>
      <c r="T53" t="s">
        <v>2132</v>
      </c>
      <c r="V53" t="s">
        <v>125</v>
      </c>
      <c r="X53" t="s">
        <v>2121</v>
      </c>
      <c r="Y53" t="s">
        <v>2045</v>
      </c>
      <c r="Z53" t="s">
        <v>1460</v>
      </c>
      <c r="AA53" t="s">
        <v>603</v>
      </c>
      <c r="AB53" t="s">
        <v>453</v>
      </c>
      <c r="AD53" t="s">
        <v>2046</v>
      </c>
      <c r="AE53" t="s">
        <v>2047</v>
      </c>
      <c r="AI53">
        <v>659.1777485480186</v>
      </c>
      <c r="AJ53">
        <v>22999.14310606986</v>
      </c>
    </row>
    <row r="54" spans="1:36" hidden="1" x14ac:dyDescent="0.25">
      <c r="A54">
        <v>53</v>
      </c>
      <c r="B54" t="s">
        <v>2133</v>
      </c>
      <c r="C54" t="s">
        <v>376</v>
      </c>
      <c r="D54" t="s">
        <v>2041</v>
      </c>
      <c r="E54" t="s">
        <v>37</v>
      </c>
      <c r="G54" s="2">
        <v>45854</v>
      </c>
      <c r="H54">
        <v>5.5</v>
      </c>
      <c r="I54" t="s">
        <v>72</v>
      </c>
      <c r="J54" t="s">
        <v>1024</v>
      </c>
      <c r="K54" t="s">
        <v>1025</v>
      </c>
      <c r="L54" t="s">
        <v>2042</v>
      </c>
      <c r="M54" t="s">
        <v>972</v>
      </c>
      <c r="O54" t="s">
        <v>55</v>
      </c>
      <c r="P54" t="s">
        <v>56</v>
      </c>
      <c r="Q54">
        <v>4.9024802142931136</v>
      </c>
      <c r="R54" t="s">
        <v>46</v>
      </c>
      <c r="S54" t="s">
        <v>47</v>
      </c>
      <c r="T54" t="s">
        <v>2134</v>
      </c>
      <c r="V54" t="s">
        <v>125</v>
      </c>
      <c r="X54" t="s">
        <v>2121</v>
      </c>
      <c r="Y54" t="s">
        <v>2045</v>
      </c>
      <c r="Z54" t="s">
        <v>1460</v>
      </c>
      <c r="AA54" t="s">
        <v>603</v>
      </c>
      <c r="AB54" t="s">
        <v>453</v>
      </c>
      <c r="AD54" t="s">
        <v>2046</v>
      </c>
      <c r="AE54" t="s">
        <v>2047</v>
      </c>
      <c r="AI54">
        <v>600.96148640053968</v>
      </c>
      <c r="AJ54">
        <v>19839.71289967325</v>
      </c>
    </row>
    <row r="55" spans="1:36" x14ac:dyDescent="0.25">
      <c r="A55">
        <v>54</v>
      </c>
      <c r="B55" t="s">
        <v>2135</v>
      </c>
      <c r="C55" t="s">
        <v>376</v>
      </c>
      <c r="D55" t="s">
        <v>2041</v>
      </c>
      <c r="E55" t="s">
        <v>37</v>
      </c>
      <c r="G55" s="2">
        <v>45854</v>
      </c>
      <c r="H55">
        <v>4.5</v>
      </c>
      <c r="I55" t="s">
        <v>72</v>
      </c>
      <c r="J55" t="s">
        <v>1024</v>
      </c>
      <c r="K55" t="s">
        <v>1025</v>
      </c>
      <c r="L55" t="s">
        <v>2042</v>
      </c>
      <c r="M55" t="s">
        <v>972</v>
      </c>
      <c r="O55" t="s">
        <v>62</v>
      </c>
      <c r="P55" t="s">
        <v>63</v>
      </c>
      <c r="Q55">
        <v>4.2811596470785727</v>
      </c>
      <c r="R55" t="s">
        <v>64</v>
      </c>
      <c r="S55" t="s">
        <v>65</v>
      </c>
      <c r="T55" t="s">
        <v>2134</v>
      </c>
      <c r="V55" t="s">
        <v>125</v>
      </c>
      <c r="X55" t="s">
        <v>2121</v>
      </c>
      <c r="Y55" t="s">
        <v>2045</v>
      </c>
      <c r="Z55" t="s">
        <v>1460</v>
      </c>
      <c r="AA55" t="s">
        <v>629</v>
      </c>
      <c r="AB55" t="s">
        <v>453</v>
      </c>
      <c r="AD55" t="s">
        <v>2046</v>
      </c>
      <c r="AE55" t="s">
        <v>2047</v>
      </c>
      <c r="AI55">
        <v>616.7378662957791</v>
      </c>
      <c r="AJ55">
        <v>17325.307714261191</v>
      </c>
    </row>
    <row r="56" spans="1:36" hidden="1" x14ac:dyDescent="0.25">
      <c r="A56">
        <v>55</v>
      </c>
      <c r="B56" t="s">
        <v>2136</v>
      </c>
      <c r="C56" t="s">
        <v>376</v>
      </c>
      <c r="D56" t="s">
        <v>2041</v>
      </c>
      <c r="E56" t="s">
        <v>37</v>
      </c>
      <c r="G56" s="2">
        <v>45854</v>
      </c>
      <c r="H56">
        <v>0.4</v>
      </c>
      <c r="I56" t="s">
        <v>72</v>
      </c>
      <c r="J56" t="s">
        <v>1024</v>
      </c>
      <c r="K56" t="s">
        <v>1025</v>
      </c>
      <c r="L56" t="s">
        <v>2042</v>
      </c>
      <c r="M56" t="s">
        <v>972</v>
      </c>
      <c r="O56" t="s">
        <v>141</v>
      </c>
      <c r="P56" t="s">
        <v>142</v>
      </c>
      <c r="Q56">
        <v>0.32969671768545339</v>
      </c>
      <c r="S56" t="s">
        <v>38</v>
      </c>
      <c r="T56" t="s">
        <v>2134</v>
      </c>
      <c r="V56" t="s">
        <v>125</v>
      </c>
      <c r="X56" t="s">
        <v>2121</v>
      </c>
      <c r="Y56" t="s">
        <v>2045</v>
      </c>
      <c r="Z56" t="s">
        <v>1460</v>
      </c>
      <c r="AA56" t="s">
        <v>603</v>
      </c>
      <c r="AB56" t="s">
        <v>453</v>
      </c>
      <c r="AD56" t="s">
        <v>2046</v>
      </c>
      <c r="AE56" t="s">
        <v>2047</v>
      </c>
      <c r="AI56">
        <v>213.0066865543487</v>
      </c>
      <c r="AJ56">
        <v>1334.2406163667049</v>
      </c>
    </row>
    <row r="57" spans="1:36" x14ac:dyDescent="0.25">
      <c r="A57">
        <v>56</v>
      </c>
      <c r="B57" t="s">
        <v>2137</v>
      </c>
      <c r="C57" t="s">
        <v>376</v>
      </c>
      <c r="D57" t="s">
        <v>2041</v>
      </c>
      <c r="E57" t="s">
        <v>37</v>
      </c>
      <c r="G57" s="2">
        <v>45854</v>
      </c>
      <c r="H57">
        <v>2.6</v>
      </c>
      <c r="I57" t="s">
        <v>72</v>
      </c>
      <c r="J57" t="s">
        <v>1024</v>
      </c>
      <c r="K57" t="s">
        <v>1025</v>
      </c>
      <c r="L57" t="s">
        <v>2042</v>
      </c>
      <c r="M57" t="s">
        <v>972</v>
      </c>
      <c r="O57" t="s">
        <v>62</v>
      </c>
      <c r="P57" t="s">
        <v>63</v>
      </c>
      <c r="Q57">
        <v>2.6400644132294171</v>
      </c>
      <c r="R57" t="s">
        <v>64</v>
      </c>
      <c r="S57" t="s">
        <v>65</v>
      </c>
      <c r="T57" t="s">
        <v>2134</v>
      </c>
      <c r="V57" t="s">
        <v>125</v>
      </c>
      <c r="X57" t="s">
        <v>2121</v>
      </c>
      <c r="Y57" t="s">
        <v>2045</v>
      </c>
      <c r="Z57" t="s">
        <v>1460</v>
      </c>
      <c r="AA57" t="s">
        <v>629</v>
      </c>
      <c r="AB57" t="s">
        <v>453</v>
      </c>
      <c r="AD57" t="s">
        <v>2046</v>
      </c>
      <c r="AE57" t="s">
        <v>2047</v>
      </c>
      <c r="AI57">
        <v>662.8183629980673</v>
      </c>
      <c r="AJ57">
        <v>10684.00436220186</v>
      </c>
    </row>
    <row r="58" spans="1:36" x14ac:dyDescent="0.25">
      <c r="A58">
        <v>57</v>
      </c>
      <c r="B58" t="s">
        <v>2138</v>
      </c>
      <c r="C58" t="s">
        <v>376</v>
      </c>
      <c r="D58" t="s">
        <v>2041</v>
      </c>
      <c r="E58" t="s">
        <v>37</v>
      </c>
      <c r="G58" s="2">
        <v>45854</v>
      </c>
      <c r="H58">
        <v>1.3</v>
      </c>
      <c r="I58" t="s">
        <v>72</v>
      </c>
      <c r="J58" t="s">
        <v>1024</v>
      </c>
      <c r="K58" t="s">
        <v>1025</v>
      </c>
      <c r="L58" t="s">
        <v>2042</v>
      </c>
      <c r="M58" t="s">
        <v>972</v>
      </c>
      <c r="O58" t="s">
        <v>62</v>
      </c>
      <c r="P58" t="s">
        <v>63</v>
      </c>
      <c r="Q58">
        <v>1.326136971543461</v>
      </c>
      <c r="R58" t="s">
        <v>64</v>
      </c>
      <c r="S58" t="s">
        <v>65</v>
      </c>
      <c r="T58" t="s">
        <v>2134</v>
      </c>
      <c r="V58" t="s">
        <v>125</v>
      </c>
      <c r="X58" t="s">
        <v>2121</v>
      </c>
      <c r="Y58" t="s">
        <v>2045</v>
      </c>
      <c r="Z58" t="s">
        <v>1460</v>
      </c>
      <c r="AA58" t="s">
        <v>629</v>
      </c>
      <c r="AB58" t="s">
        <v>453</v>
      </c>
      <c r="AD58" t="s">
        <v>2046</v>
      </c>
      <c r="AE58" t="s">
        <v>2047</v>
      </c>
      <c r="AI58">
        <v>325.31530283650068</v>
      </c>
      <c r="AJ58">
        <v>5366.7073870808244</v>
      </c>
    </row>
    <row r="59" spans="1:36" hidden="1" x14ac:dyDescent="0.25">
      <c r="A59">
        <v>58</v>
      </c>
      <c r="B59" t="s">
        <v>2139</v>
      </c>
      <c r="C59" t="s">
        <v>376</v>
      </c>
      <c r="D59" t="s">
        <v>2041</v>
      </c>
      <c r="E59" t="s">
        <v>37</v>
      </c>
      <c r="G59" s="2">
        <v>45854</v>
      </c>
      <c r="H59">
        <v>10.7</v>
      </c>
      <c r="I59" t="s">
        <v>72</v>
      </c>
      <c r="J59" t="s">
        <v>1024</v>
      </c>
      <c r="K59" t="s">
        <v>1025</v>
      </c>
      <c r="L59" t="s">
        <v>2042</v>
      </c>
      <c r="M59" t="s">
        <v>972</v>
      </c>
      <c r="O59" t="s">
        <v>55</v>
      </c>
      <c r="P59" t="s">
        <v>56</v>
      </c>
      <c r="Q59">
        <v>11.149109571144621</v>
      </c>
      <c r="R59" t="s">
        <v>46</v>
      </c>
      <c r="S59" t="s">
        <v>47</v>
      </c>
      <c r="T59" t="s">
        <v>2134</v>
      </c>
      <c r="V59" t="s">
        <v>125</v>
      </c>
      <c r="X59" t="s">
        <v>2121</v>
      </c>
      <c r="Y59" t="s">
        <v>2045</v>
      </c>
      <c r="Z59" t="s">
        <v>1460</v>
      </c>
      <c r="AA59" t="s">
        <v>603</v>
      </c>
      <c r="AB59" t="s">
        <v>453</v>
      </c>
      <c r="AD59" t="s">
        <v>2046</v>
      </c>
      <c r="AE59" t="s">
        <v>2047</v>
      </c>
      <c r="AI59">
        <v>904.83863228985183</v>
      </c>
      <c r="AJ59">
        <v>45119.026147952049</v>
      </c>
    </row>
    <row r="60" spans="1:36" x14ac:dyDescent="0.25">
      <c r="A60">
        <v>59</v>
      </c>
      <c r="B60" t="s">
        <v>2140</v>
      </c>
      <c r="C60" t="s">
        <v>376</v>
      </c>
      <c r="D60" t="s">
        <v>2041</v>
      </c>
      <c r="E60" t="s">
        <v>37</v>
      </c>
      <c r="G60" s="2">
        <v>45854</v>
      </c>
      <c r="H60">
        <v>2</v>
      </c>
      <c r="I60" t="s">
        <v>72</v>
      </c>
      <c r="J60" t="s">
        <v>1024</v>
      </c>
      <c r="K60" t="s">
        <v>1025</v>
      </c>
      <c r="L60" t="s">
        <v>2042</v>
      </c>
      <c r="M60" t="s">
        <v>972</v>
      </c>
      <c r="O60" t="s">
        <v>62</v>
      </c>
      <c r="P60" t="s">
        <v>63</v>
      </c>
      <c r="Q60">
        <v>2.1729984178800539</v>
      </c>
      <c r="R60" t="s">
        <v>64</v>
      </c>
      <c r="S60" t="s">
        <v>65</v>
      </c>
      <c r="T60" t="s">
        <v>2134</v>
      </c>
      <c r="V60" t="s">
        <v>125</v>
      </c>
      <c r="X60" t="s">
        <v>2121</v>
      </c>
      <c r="Y60" t="s">
        <v>2045</v>
      </c>
      <c r="Z60" t="s">
        <v>1460</v>
      </c>
      <c r="AA60" t="s">
        <v>629</v>
      </c>
      <c r="AB60" t="s">
        <v>453</v>
      </c>
      <c r="AD60" t="s">
        <v>2046</v>
      </c>
      <c r="AE60" t="s">
        <v>2047</v>
      </c>
      <c r="AI60">
        <v>435.47007936469168</v>
      </c>
      <c r="AJ60">
        <v>8793.847778618876</v>
      </c>
    </row>
    <row r="61" spans="1:36" x14ac:dyDescent="0.25">
      <c r="A61">
        <v>60</v>
      </c>
      <c r="B61" t="s">
        <v>2141</v>
      </c>
      <c r="C61" t="s">
        <v>376</v>
      </c>
      <c r="D61" t="s">
        <v>2041</v>
      </c>
      <c r="E61" t="s">
        <v>37</v>
      </c>
      <c r="G61" s="2">
        <v>45854</v>
      </c>
      <c r="H61">
        <v>10.9</v>
      </c>
      <c r="I61" t="s">
        <v>72</v>
      </c>
      <c r="J61" t="s">
        <v>1024</v>
      </c>
      <c r="K61" t="s">
        <v>1025</v>
      </c>
      <c r="L61" t="s">
        <v>2042</v>
      </c>
      <c r="M61" t="s">
        <v>972</v>
      </c>
      <c r="O61" t="s">
        <v>62</v>
      </c>
      <c r="P61" t="s">
        <v>63</v>
      </c>
      <c r="Q61">
        <v>10.764525733428719</v>
      </c>
      <c r="R61" t="s">
        <v>64</v>
      </c>
      <c r="S61" t="s">
        <v>65</v>
      </c>
      <c r="T61" t="s">
        <v>2134</v>
      </c>
      <c r="V61" t="s">
        <v>125</v>
      </c>
      <c r="X61" t="s">
        <v>2121</v>
      </c>
      <c r="Y61" t="s">
        <v>2045</v>
      </c>
      <c r="Z61" t="s">
        <v>1460</v>
      </c>
      <c r="AA61" t="s">
        <v>629</v>
      </c>
      <c r="AB61" t="s">
        <v>453</v>
      </c>
      <c r="AD61" t="s">
        <v>2046</v>
      </c>
      <c r="AE61" t="s">
        <v>2047</v>
      </c>
      <c r="AI61">
        <v>970.00341666109387</v>
      </c>
      <c r="AJ61">
        <v>43562.664348899249</v>
      </c>
    </row>
    <row r="62" spans="1:36" x14ac:dyDescent="0.25">
      <c r="A62">
        <v>61</v>
      </c>
      <c r="B62" t="s">
        <v>2142</v>
      </c>
      <c r="C62" t="s">
        <v>376</v>
      </c>
      <c r="D62" t="s">
        <v>2041</v>
      </c>
      <c r="E62" t="s">
        <v>37</v>
      </c>
      <c r="G62" s="2">
        <v>45854</v>
      </c>
      <c r="H62">
        <v>8</v>
      </c>
      <c r="I62" t="s">
        <v>72</v>
      </c>
      <c r="J62" t="s">
        <v>1024</v>
      </c>
      <c r="K62" t="s">
        <v>1025</v>
      </c>
      <c r="L62" t="s">
        <v>2042</v>
      </c>
      <c r="M62" t="s">
        <v>972</v>
      </c>
      <c r="O62" t="s">
        <v>62</v>
      </c>
      <c r="P62" t="s">
        <v>63</v>
      </c>
      <c r="Q62">
        <v>7.9094577018958034</v>
      </c>
      <c r="R62" t="s">
        <v>64</v>
      </c>
      <c r="S62" t="s">
        <v>65</v>
      </c>
      <c r="T62" t="s">
        <v>2134</v>
      </c>
      <c r="V62" t="s">
        <v>125</v>
      </c>
      <c r="X62" t="s">
        <v>2121</v>
      </c>
      <c r="Y62" t="s">
        <v>2045</v>
      </c>
      <c r="Z62" t="s">
        <v>1460</v>
      </c>
      <c r="AA62" t="s">
        <v>629</v>
      </c>
      <c r="AB62" t="s">
        <v>453</v>
      </c>
      <c r="AD62" t="s">
        <v>2046</v>
      </c>
      <c r="AE62" t="s">
        <v>2047</v>
      </c>
      <c r="AI62">
        <v>1157.2241463567841</v>
      </c>
      <c r="AJ62">
        <v>32008.567732761068</v>
      </c>
    </row>
    <row r="63" spans="1:36" x14ac:dyDescent="0.25">
      <c r="A63">
        <v>62</v>
      </c>
      <c r="B63" t="s">
        <v>2143</v>
      </c>
      <c r="C63" t="s">
        <v>376</v>
      </c>
      <c r="D63" t="s">
        <v>2041</v>
      </c>
      <c r="E63" t="s">
        <v>37</v>
      </c>
      <c r="G63" s="2">
        <v>45854</v>
      </c>
      <c r="H63">
        <v>3.2</v>
      </c>
      <c r="I63" t="s">
        <v>72</v>
      </c>
      <c r="J63" t="s">
        <v>1024</v>
      </c>
      <c r="K63" t="s">
        <v>1025</v>
      </c>
      <c r="L63" t="s">
        <v>2042</v>
      </c>
      <c r="M63" t="s">
        <v>972</v>
      </c>
      <c r="O63" t="s">
        <v>62</v>
      </c>
      <c r="P63" t="s">
        <v>63</v>
      </c>
      <c r="Q63">
        <v>8.0514785460300526</v>
      </c>
      <c r="R63" t="s">
        <v>64</v>
      </c>
      <c r="S63" t="s">
        <v>65</v>
      </c>
      <c r="T63" t="s">
        <v>2134</v>
      </c>
      <c r="V63" t="s">
        <v>125</v>
      </c>
      <c r="X63" t="s">
        <v>2121</v>
      </c>
      <c r="Y63" t="s">
        <v>2045</v>
      </c>
      <c r="Z63" t="s">
        <v>1460</v>
      </c>
      <c r="AA63" t="s">
        <v>629</v>
      </c>
      <c r="AB63" t="s">
        <v>453</v>
      </c>
      <c r="AD63" t="s">
        <v>2046</v>
      </c>
      <c r="AE63" t="s">
        <v>2047</v>
      </c>
      <c r="AI63">
        <v>921.25073423887363</v>
      </c>
      <c r="AJ63">
        <v>32583.307996919179</v>
      </c>
    </row>
    <row r="64" spans="1:36" x14ac:dyDescent="0.25">
      <c r="A64">
        <v>63</v>
      </c>
      <c r="B64" t="s">
        <v>2144</v>
      </c>
      <c r="C64" t="s">
        <v>376</v>
      </c>
      <c r="D64" t="s">
        <v>2041</v>
      </c>
      <c r="E64" t="s">
        <v>37</v>
      </c>
      <c r="G64" s="2">
        <v>45854</v>
      </c>
      <c r="I64" t="s">
        <v>72</v>
      </c>
      <c r="J64" t="s">
        <v>1024</v>
      </c>
      <c r="K64" t="s">
        <v>1025</v>
      </c>
      <c r="L64" t="s">
        <v>2042</v>
      </c>
      <c r="M64" t="s">
        <v>972</v>
      </c>
      <c r="O64" t="s">
        <v>62</v>
      </c>
      <c r="P64" t="s">
        <v>63</v>
      </c>
      <c r="Q64">
        <v>0.24742592758670531</v>
      </c>
      <c r="R64" t="s">
        <v>64</v>
      </c>
      <c r="S64" t="s">
        <v>65</v>
      </c>
      <c r="T64" t="s">
        <v>495</v>
      </c>
      <c r="V64" t="s">
        <v>125</v>
      </c>
      <c r="X64" t="s">
        <v>495</v>
      </c>
      <c r="Y64" t="s">
        <v>2045</v>
      </c>
      <c r="Z64" t="s">
        <v>1460</v>
      </c>
      <c r="AA64" t="s">
        <v>629</v>
      </c>
      <c r="AB64" t="s">
        <v>453</v>
      </c>
      <c r="AI64">
        <v>122.5863636903879</v>
      </c>
      <c r="AJ64">
        <v>1001.301209323368</v>
      </c>
    </row>
    <row r="65" spans="1:36" x14ac:dyDescent="0.25">
      <c r="A65">
        <v>64</v>
      </c>
      <c r="B65" t="s">
        <v>2145</v>
      </c>
      <c r="C65" t="s">
        <v>376</v>
      </c>
      <c r="D65" t="s">
        <v>2041</v>
      </c>
      <c r="E65" t="s">
        <v>37</v>
      </c>
      <c r="G65" s="2">
        <v>45854</v>
      </c>
      <c r="H65">
        <v>18.3</v>
      </c>
      <c r="I65" t="s">
        <v>72</v>
      </c>
      <c r="J65" t="s">
        <v>1024</v>
      </c>
      <c r="K65" t="s">
        <v>1025</v>
      </c>
      <c r="L65" t="s">
        <v>2042</v>
      </c>
      <c r="M65" t="s">
        <v>972</v>
      </c>
      <c r="O65" t="s">
        <v>62</v>
      </c>
      <c r="P65" t="s">
        <v>63</v>
      </c>
      <c r="Q65">
        <v>18.09763955924139</v>
      </c>
      <c r="R65" t="s">
        <v>64</v>
      </c>
      <c r="S65" t="s">
        <v>65</v>
      </c>
      <c r="T65" t="s">
        <v>2134</v>
      </c>
      <c r="V65" t="s">
        <v>125</v>
      </c>
      <c r="X65" t="s">
        <v>2121</v>
      </c>
      <c r="Y65" t="s">
        <v>2045</v>
      </c>
      <c r="Z65" t="s">
        <v>1460</v>
      </c>
      <c r="AA65" t="s">
        <v>629</v>
      </c>
      <c r="AB65" t="s">
        <v>453</v>
      </c>
      <c r="AD65" t="s">
        <v>2046</v>
      </c>
      <c r="AE65" t="s">
        <v>2047</v>
      </c>
      <c r="AI65">
        <v>1951.0947226515921</v>
      </c>
      <c r="AJ65">
        <v>73238.841835670726</v>
      </c>
    </row>
    <row r="66" spans="1:36" x14ac:dyDescent="0.25">
      <c r="A66">
        <v>65</v>
      </c>
      <c r="B66" t="s">
        <v>2146</v>
      </c>
      <c r="C66" t="s">
        <v>376</v>
      </c>
      <c r="D66" t="s">
        <v>2041</v>
      </c>
      <c r="E66" t="s">
        <v>37</v>
      </c>
      <c r="G66" s="2">
        <v>45854</v>
      </c>
      <c r="H66">
        <v>4.0999999999999996</v>
      </c>
      <c r="I66" t="s">
        <v>72</v>
      </c>
      <c r="J66" t="s">
        <v>1024</v>
      </c>
      <c r="K66" t="s">
        <v>1025</v>
      </c>
      <c r="L66" t="s">
        <v>2042</v>
      </c>
      <c r="M66" t="s">
        <v>972</v>
      </c>
      <c r="O66" t="s">
        <v>62</v>
      </c>
      <c r="P66" t="s">
        <v>63</v>
      </c>
      <c r="Q66">
        <v>4.1031318725342656</v>
      </c>
      <c r="R66" t="s">
        <v>64</v>
      </c>
      <c r="S66" t="s">
        <v>65</v>
      </c>
      <c r="T66" t="s">
        <v>2147</v>
      </c>
      <c r="V66" t="s">
        <v>125</v>
      </c>
      <c r="X66" t="s">
        <v>2148</v>
      </c>
      <c r="Y66" t="s">
        <v>2045</v>
      </c>
      <c r="Z66" t="s">
        <v>1460</v>
      </c>
      <c r="AA66" t="s">
        <v>629</v>
      </c>
      <c r="AB66" t="s">
        <v>453</v>
      </c>
      <c r="AD66" t="s">
        <v>822</v>
      </c>
      <c r="AE66" t="s">
        <v>2149</v>
      </c>
      <c r="AI66">
        <v>656.49772536846638</v>
      </c>
      <c r="AJ66">
        <v>16604.851989660969</v>
      </c>
    </row>
    <row r="67" spans="1:36" hidden="1" x14ac:dyDescent="0.25">
      <c r="A67">
        <v>66</v>
      </c>
      <c r="B67" t="s">
        <v>2150</v>
      </c>
      <c r="C67" t="s">
        <v>376</v>
      </c>
      <c r="D67" t="s">
        <v>2041</v>
      </c>
      <c r="E67" t="s">
        <v>37</v>
      </c>
      <c r="G67" s="2">
        <v>45854</v>
      </c>
      <c r="H67">
        <v>1.7</v>
      </c>
      <c r="I67" t="s">
        <v>72</v>
      </c>
      <c r="J67" t="s">
        <v>1024</v>
      </c>
      <c r="K67" t="s">
        <v>1025</v>
      </c>
      <c r="L67" t="s">
        <v>2042</v>
      </c>
      <c r="M67" t="s">
        <v>972</v>
      </c>
      <c r="O67" t="s">
        <v>79</v>
      </c>
      <c r="P67" t="s">
        <v>80</v>
      </c>
      <c r="Q67">
        <v>1.653558002747183</v>
      </c>
      <c r="R67" t="s">
        <v>60</v>
      </c>
      <c r="S67" t="s">
        <v>66</v>
      </c>
      <c r="T67" t="s">
        <v>2151</v>
      </c>
      <c r="V67" t="s">
        <v>75</v>
      </c>
      <c r="X67" t="s">
        <v>2152</v>
      </c>
      <c r="Y67" t="s">
        <v>2045</v>
      </c>
      <c r="Z67" t="s">
        <v>1460</v>
      </c>
      <c r="AA67" t="s">
        <v>629</v>
      </c>
      <c r="AB67" t="s">
        <v>453</v>
      </c>
      <c r="AD67" t="s">
        <v>758</v>
      </c>
      <c r="AE67" t="s">
        <v>2153</v>
      </c>
      <c r="AI67">
        <v>333.4108630127663</v>
      </c>
      <c r="AJ67">
        <v>6691.7385901559464</v>
      </c>
    </row>
    <row r="68" spans="1:36" x14ac:dyDescent="0.25">
      <c r="A68">
        <v>67</v>
      </c>
      <c r="B68" t="s">
        <v>2154</v>
      </c>
      <c r="C68" t="s">
        <v>376</v>
      </c>
      <c r="D68" t="s">
        <v>2041</v>
      </c>
      <c r="E68" t="s">
        <v>37</v>
      </c>
      <c r="G68" s="2">
        <v>45854</v>
      </c>
      <c r="H68">
        <v>0.1</v>
      </c>
      <c r="I68" t="s">
        <v>72</v>
      </c>
      <c r="J68" t="s">
        <v>1024</v>
      </c>
      <c r="K68" t="s">
        <v>1025</v>
      </c>
      <c r="L68" t="s">
        <v>2042</v>
      </c>
      <c r="M68" t="s">
        <v>972</v>
      </c>
      <c r="O68" t="s">
        <v>62</v>
      </c>
      <c r="P68" t="s">
        <v>63</v>
      </c>
      <c r="Q68">
        <v>9.3547664300825034E-2</v>
      </c>
      <c r="R68" t="s">
        <v>64</v>
      </c>
      <c r="S68" t="s">
        <v>65</v>
      </c>
      <c r="T68" t="s">
        <v>2151</v>
      </c>
      <c r="V68" t="s">
        <v>75</v>
      </c>
      <c r="X68" t="s">
        <v>2152</v>
      </c>
      <c r="Y68" t="s">
        <v>2045</v>
      </c>
      <c r="Z68" t="s">
        <v>1460</v>
      </c>
      <c r="AA68" t="s">
        <v>629</v>
      </c>
      <c r="AB68" t="s">
        <v>453</v>
      </c>
      <c r="AD68" t="s">
        <v>758</v>
      </c>
      <c r="AE68" t="s">
        <v>2153</v>
      </c>
      <c r="AI68">
        <v>91.159146787292485</v>
      </c>
      <c r="AJ68">
        <v>378.57548037672018</v>
      </c>
    </row>
    <row r="69" spans="1:36" hidden="1" x14ac:dyDescent="0.25">
      <c r="A69">
        <v>68</v>
      </c>
      <c r="B69" t="s">
        <v>2155</v>
      </c>
      <c r="C69" t="s">
        <v>376</v>
      </c>
      <c r="D69" t="s">
        <v>2041</v>
      </c>
      <c r="E69" t="s">
        <v>37</v>
      </c>
      <c r="G69" s="2">
        <v>45854</v>
      </c>
      <c r="I69" t="s">
        <v>72</v>
      </c>
      <c r="J69" t="s">
        <v>1024</v>
      </c>
      <c r="K69" t="s">
        <v>1025</v>
      </c>
      <c r="L69" t="s">
        <v>2042</v>
      </c>
      <c r="M69" t="s">
        <v>972</v>
      </c>
      <c r="O69" t="s">
        <v>141</v>
      </c>
      <c r="P69" t="s">
        <v>142</v>
      </c>
      <c r="Q69">
        <v>0.14810625167196989</v>
      </c>
      <c r="S69" t="s">
        <v>38</v>
      </c>
      <c r="T69" t="s">
        <v>2156</v>
      </c>
      <c r="V69" t="s">
        <v>75</v>
      </c>
      <c r="X69" t="s">
        <v>2157</v>
      </c>
      <c r="Y69" t="s">
        <v>2045</v>
      </c>
      <c r="Z69" t="s">
        <v>1460</v>
      </c>
      <c r="AA69" t="s">
        <v>629</v>
      </c>
      <c r="AB69" t="s">
        <v>453</v>
      </c>
      <c r="AD69" t="s">
        <v>1413</v>
      </c>
      <c r="AE69" t="s">
        <v>1414</v>
      </c>
      <c r="AF69" t="s">
        <v>1185</v>
      </c>
      <c r="AI69">
        <v>90.316617344219054</v>
      </c>
      <c r="AJ69">
        <v>599.36713324243783</v>
      </c>
    </row>
    <row r="70" spans="1:36" hidden="1" x14ac:dyDescent="0.25">
      <c r="A70">
        <v>69</v>
      </c>
      <c r="B70" t="s">
        <v>2158</v>
      </c>
      <c r="C70" t="s">
        <v>376</v>
      </c>
      <c r="D70" t="s">
        <v>2041</v>
      </c>
      <c r="E70" t="s">
        <v>37</v>
      </c>
      <c r="G70" s="2">
        <v>45854</v>
      </c>
      <c r="H70">
        <v>9.3000000000000007</v>
      </c>
      <c r="I70" t="s">
        <v>72</v>
      </c>
      <c r="J70" t="s">
        <v>1024</v>
      </c>
      <c r="K70" t="s">
        <v>1025</v>
      </c>
      <c r="L70" t="s">
        <v>2042</v>
      </c>
      <c r="M70" t="s">
        <v>972</v>
      </c>
      <c r="O70" t="s">
        <v>55</v>
      </c>
      <c r="P70" t="s">
        <v>56</v>
      </c>
      <c r="Q70">
        <v>5.90143512787877</v>
      </c>
      <c r="R70" t="s">
        <v>46</v>
      </c>
      <c r="S70" t="s">
        <v>47</v>
      </c>
      <c r="T70" t="s">
        <v>2159</v>
      </c>
      <c r="V70" t="s">
        <v>75</v>
      </c>
      <c r="X70" t="s">
        <v>2157</v>
      </c>
      <c r="Y70" t="s">
        <v>2045</v>
      </c>
      <c r="Z70" t="s">
        <v>1460</v>
      </c>
      <c r="AA70" t="s">
        <v>635</v>
      </c>
      <c r="AD70" t="s">
        <v>1413</v>
      </c>
      <c r="AE70" t="s">
        <v>1414</v>
      </c>
      <c r="AI70">
        <v>634.42859815940437</v>
      </c>
      <c r="AJ70">
        <v>23882.356177962349</v>
      </c>
    </row>
    <row r="71" spans="1:36" x14ac:dyDescent="0.25">
      <c r="A71">
        <v>70</v>
      </c>
      <c r="B71" t="s">
        <v>2160</v>
      </c>
      <c r="C71" t="s">
        <v>376</v>
      </c>
      <c r="D71" t="s">
        <v>2041</v>
      </c>
      <c r="E71" t="s">
        <v>37</v>
      </c>
      <c r="G71" s="2">
        <v>45854</v>
      </c>
      <c r="H71">
        <v>0.2</v>
      </c>
      <c r="I71" t="s">
        <v>72</v>
      </c>
      <c r="J71" t="s">
        <v>1024</v>
      </c>
      <c r="K71" t="s">
        <v>1025</v>
      </c>
      <c r="L71" t="s">
        <v>2042</v>
      </c>
      <c r="M71" t="s">
        <v>972</v>
      </c>
      <c r="O71" t="s">
        <v>62</v>
      </c>
      <c r="P71" t="s">
        <v>63</v>
      </c>
      <c r="Q71">
        <v>0.1518518462789977</v>
      </c>
      <c r="R71" t="s">
        <v>64</v>
      </c>
      <c r="S71" t="s">
        <v>65</v>
      </c>
      <c r="T71" t="s">
        <v>2151</v>
      </c>
      <c r="V71" t="s">
        <v>75</v>
      </c>
      <c r="X71" t="s">
        <v>2152</v>
      </c>
      <c r="Y71" t="s">
        <v>2045</v>
      </c>
      <c r="Z71" t="s">
        <v>1460</v>
      </c>
      <c r="AA71" t="s">
        <v>629</v>
      </c>
      <c r="AB71" t="s">
        <v>453</v>
      </c>
      <c r="AD71" t="s">
        <v>758</v>
      </c>
      <c r="AE71" t="s">
        <v>2153</v>
      </c>
      <c r="AI71">
        <v>102.2546629320051</v>
      </c>
      <c r="AJ71">
        <v>614.52507746531114</v>
      </c>
    </row>
    <row r="72" spans="1:36" x14ac:dyDescent="0.25">
      <c r="A72">
        <v>71</v>
      </c>
      <c r="B72" t="s">
        <v>2161</v>
      </c>
      <c r="C72" t="s">
        <v>376</v>
      </c>
      <c r="D72" t="s">
        <v>2041</v>
      </c>
      <c r="E72" t="s">
        <v>37</v>
      </c>
      <c r="G72" s="2">
        <v>45854</v>
      </c>
      <c r="H72">
        <v>1</v>
      </c>
      <c r="I72" t="s">
        <v>72</v>
      </c>
      <c r="J72" t="s">
        <v>1024</v>
      </c>
      <c r="K72" t="s">
        <v>1025</v>
      </c>
      <c r="L72" t="s">
        <v>2042</v>
      </c>
      <c r="M72" t="s">
        <v>972</v>
      </c>
      <c r="O72" t="s">
        <v>62</v>
      </c>
      <c r="P72" t="s">
        <v>63</v>
      </c>
      <c r="Q72">
        <v>1.022300383177511</v>
      </c>
      <c r="R72" t="s">
        <v>64</v>
      </c>
      <c r="S72" t="s">
        <v>65</v>
      </c>
      <c r="T72" t="s">
        <v>2159</v>
      </c>
      <c r="V72" t="s">
        <v>75</v>
      </c>
      <c r="X72" t="s">
        <v>2157</v>
      </c>
      <c r="Y72" t="s">
        <v>2045</v>
      </c>
      <c r="Z72" t="s">
        <v>1460</v>
      </c>
      <c r="AA72" t="s">
        <v>635</v>
      </c>
      <c r="AB72" t="s">
        <v>453</v>
      </c>
      <c r="AD72" t="s">
        <v>1413</v>
      </c>
      <c r="AE72" t="s">
        <v>1414</v>
      </c>
      <c r="AI72">
        <v>307.29826577443117</v>
      </c>
      <c r="AJ72">
        <v>4137.1194197450204</v>
      </c>
    </row>
    <row r="73" spans="1:36" x14ac:dyDescent="0.25">
      <c r="A73">
        <v>72</v>
      </c>
      <c r="B73" t="s">
        <v>2162</v>
      </c>
      <c r="C73" t="s">
        <v>376</v>
      </c>
      <c r="D73" t="s">
        <v>2041</v>
      </c>
      <c r="E73" t="s">
        <v>37</v>
      </c>
      <c r="G73" s="2">
        <v>45854</v>
      </c>
      <c r="H73">
        <v>0.5</v>
      </c>
      <c r="I73" t="s">
        <v>72</v>
      </c>
      <c r="J73" t="s">
        <v>1024</v>
      </c>
      <c r="K73" t="s">
        <v>1025</v>
      </c>
      <c r="L73" t="s">
        <v>2042</v>
      </c>
      <c r="M73" t="s">
        <v>972</v>
      </c>
      <c r="O73" t="s">
        <v>62</v>
      </c>
      <c r="P73" t="s">
        <v>63</v>
      </c>
      <c r="Q73">
        <v>0.25509094360372758</v>
      </c>
      <c r="R73" t="s">
        <v>64</v>
      </c>
      <c r="S73" t="s">
        <v>65</v>
      </c>
      <c r="T73" t="s">
        <v>2163</v>
      </c>
      <c r="V73" t="s">
        <v>75</v>
      </c>
      <c r="X73" t="s">
        <v>2157</v>
      </c>
      <c r="Y73" t="s">
        <v>2045</v>
      </c>
      <c r="Z73" t="s">
        <v>1460</v>
      </c>
      <c r="AA73" t="s">
        <v>629</v>
      </c>
      <c r="AB73" t="s">
        <v>453</v>
      </c>
      <c r="AD73" t="s">
        <v>1413</v>
      </c>
      <c r="AE73" t="s">
        <v>1414</v>
      </c>
      <c r="AI73">
        <v>159.5981862140564</v>
      </c>
      <c r="AJ73">
        <v>1032.320552696903</v>
      </c>
    </row>
    <row r="74" spans="1:36" x14ac:dyDescent="0.25">
      <c r="A74">
        <v>73</v>
      </c>
      <c r="B74" t="s">
        <v>2164</v>
      </c>
      <c r="C74" t="s">
        <v>376</v>
      </c>
      <c r="D74" t="s">
        <v>2041</v>
      </c>
      <c r="E74" t="s">
        <v>37</v>
      </c>
      <c r="G74" s="2">
        <v>45854</v>
      </c>
      <c r="H74">
        <v>7.78</v>
      </c>
      <c r="I74" t="s">
        <v>72</v>
      </c>
      <c r="J74" t="s">
        <v>1024</v>
      </c>
      <c r="K74" t="s">
        <v>1025</v>
      </c>
      <c r="L74" t="s">
        <v>2042</v>
      </c>
      <c r="M74" t="s">
        <v>972</v>
      </c>
      <c r="O74" t="s">
        <v>62</v>
      </c>
      <c r="P74" t="s">
        <v>63</v>
      </c>
      <c r="Q74">
        <v>8.7585754383657566</v>
      </c>
      <c r="R74" t="s">
        <v>64</v>
      </c>
      <c r="S74" t="s">
        <v>65</v>
      </c>
      <c r="T74" t="s">
        <v>2159</v>
      </c>
      <c r="V74" t="s">
        <v>75</v>
      </c>
      <c r="X74" t="s">
        <v>2157</v>
      </c>
      <c r="Y74" t="s">
        <v>2045</v>
      </c>
      <c r="Z74" t="s">
        <v>1460</v>
      </c>
      <c r="AA74" t="s">
        <v>635</v>
      </c>
      <c r="AB74" t="s">
        <v>453</v>
      </c>
      <c r="AD74" t="s">
        <v>1413</v>
      </c>
      <c r="AE74" t="s">
        <v>1414</v>
      </c>
      <c r="AI74">
        <v>1116.816103235851</v>
      </c>
      <c r="AJ74">
        <v>35444.839043039749</v>
      </c>
    </row>
    <row r="75" spans="1:36" x14ac:dyDescent="0.25">
      <c r="A75">
        <v>74</v>
      </c>
      <c r="B75" t="s">
        <v>2165</v>
      </c>
      <c r="C75" t="s">
        <v>376</v>
      </c>
      <c r="D75" t="s">
        <v>2041</v>
      </c>
      <c r="E75" t="s">
        <v>37</v>
      </c>
      <c r="G75" s="2">
        <v>45855</v>
      </c>
      <c r="H75">
        <v>8.1999999999999993</v>
      </c>
      <c r="I75" t="s">
        <v>72</v>
      </c>
      <c r="J75" t="s">
        <v>1024</v>
      </c>
      <c r="K75" t="s">
        <v>1025</v>
      </c>
      <c r="L75" t="s">
        <v>2042</v>
      </c>
      <c r="M75" t="s">
        <v>972</v>
      </c>
      <c r="O75" t="s">
        <v>62</v>
      </c>
      <c r="P75" t="s">
        <v>63</v>
      </c>
      <c r="Q75">
        <v>6.0353038447164318</v>
      </c>
      <c r="R75" t="s">
        <v>64</v>
      </c>
      <c r="S75" t="s">
        <v>65</v>
      </c>
      <c r="T75" t="s">
        <v>2166</v>
      </c>
      <c r="V75" t="s">
        <v>119</v>
      </c>
      <c r="X75" t="s">
        <v>2167</v>
      </c>
      <c r="Y75" t="s">
        <v>2045</v>
      </c>
      <c r="Z75" t="s">
        <v>1460</v>
      </c>
      <c r="AA75" t="s">
        <v>182</v>
      </c>
      <c r="AB75" t="s">
        <v>453</v>
      </c>
      <c r="AD75" t="s">
        <v>399</v>
      </c>
      <c r="AE75" t="s">
        <v>2168</v>
      </c>
      <c r="AI75">
        <v>801.34911147052287</v>
      </c>
      <c r="AJ75">
        <v>24424.105821451689</v>
      </c>
    </row>
    <row r="76" spans="1:36" x14ac:dyDescent="0.25">
      <c r="A76">
        <v>75</v>
      </c>
      <c r="B76" t="s">
        <v>2169</v>
      </c>
      <c r="C76" t="s">
        <v>376</v>
      </c>
      <c r="D76" t="s">
        <v>2041</v>
      </c>
      <c r="E76" t="s">
        <v>37</v>
      </c>
      <c r="G76" s="2">
        <v>45855</v>
      </c>
      <c r="H76">
        <v>0.2</v>
      </c>
      <c r="I76" t="s">
        <v>72</v>
      </c>
      <c r="J76" t="s">
        <v>1024</v>
      </c>
      <c r="K76" t="s">
        <v>1025</v>
      </c>
      <c r="L76" t="s">
        <v>2042</v>
      </c>
      <c r="M76" t="s">
        <v>972</v>
      </c>
      <c r="O76" t="s">
        <v>62</v>
      </c>
      <c r="P76" t="s">
        <v>63</v>
      </c>
      <c r="Q76">
        <v>0.19320257191503751</v>
      </c>
      <c r="R76" t="s">
        <v>64</v>
      </c>
      <c r="S76" t="s">
        <v>65</v>
      </c>
      <c r="T76" t="s">
        <v>2166</v>
      </c>
      <c r="V76" t="s">
        <v>119</v>
      </c>
      <c r="X76" t="s">
        <v>2167</v>
      </c>
      <c r="Y76" t="s">
        <v>2045</v>
      </c>
      <c r="Z76" t="s">
        <v>1460</v>
      </c>
      <c r="AA76" t="s">
        <v>182</v>
      </c>
      <c r="AB76" t="s">
        <v>453</v>
      </c>
      <c r="AD76" t="s">
        <v>399</v>
      </c>
      <c r="AE76" t="s">
        <v>2168</v>
      </c>
      <c r="AI76">
        <v>112.7937619672301</v>
      </c>
      <c r="AJ76">
        <v>781.86619644022539</v>
      </c>
    </row>
    <row r="77" spans="1:36" x14ac:dyDescent="0.25">
      <c r="A77">
        <v>76</v>
      </c>
      <c r="B77" t="s">
        <v>2170</v>
      </c>
      <c r="C77" t="s">
        <v>376</v>
      </c>
      <c r="D77" t="s">
        <v>2041</v>
      </c>
      <c r="E77" t="s">
        <v>37</v>
      </c>
      <c r="G77" s="2">
        <v>45855</v>
      </c>
      <c r="H77">
        <v>2.9</v>
      </c>
      <c r="I77" t="s">
        <v>72</v>
      </c>
      <c r="J77" t="s">
        <v>1024</v>
      </c>
      <c r="K77" t="s">
        <v>1025</v>
      </c>
      <c r="L77" t="s">
        <v>2042</v>
      </c>
      <c r="M77" t="s">
        <v>972</v>
      </c>
      <c r="O77" t="s">
        <v>62</v>
      </c>
      <c r="P77" t="s">
        <v>63</v>
      </c>
      <c r="Q77">
        <v>1.3987350926383699</v>
      </c>
      <c r="R77" t="s">
        <v>64</v>
      </c>
      <c r="S77" t="s">
        <v>65</v>
      </c>
      <c r="T77" t="s">
        <v>2166</v>
      </c>
      <c r="V77" t="s">
        <v>119</v>
      </c>
      <c r="X77" t="s">
        <v>2167</v>
      </c>
      <c r="Y77" t="s">
        <v>2045</v>
      </c>
      <c r="Z77" t="s">
        <v>1460</v>
      </c>
      <c r="AA77" t="s">
        <v>182</v>
      </c>
      <c r="AB77" t="s">
        <v>453</v>
      </c>
      <c r="AD77" t="s">
        <v>399</v>
      </c>
      <c r="AE77" t="s">
        <v>2168</v>
      </c>
      <c r="AI77">
        <v>347.9160273208837</v>
      </c>
      <c r="AJ77">
        <v>5660.5027348681424</v>
      </c>
    </row>
    <row r="78" spans="1:36" x14ac:dyDescent="0.25">
      <c r="A78">
        <v>77</v>
      </c>
      <c r="B78" t="s">
        <v>2171</v>
      </c>
      <c r="C78" t="s">
        <v>376</v>
      </c>
      <c r="D78" t="s">
        <v>2041</v>
      </c>
      <c r="E78" t="s">
        <v>37</v>
      </c>
      <c r="G78" s="2">
        <v>45855</v>
      </c>
      <c r="H78">
        <v>0.26700000000000002</v>
      </c>
      <c r="I78" t="s">
        <v>72</v>
      </c>
      <c r="J78" t="s">
        <v>1024</v>
      </c>
      <c r="K78" t="s">
        <v>1025</v>
      </c>
      <c r="L78" t="s">
        <v>2042</v>
      </c>
      <c r="M78" t="s">
        <v>972</v>
      </c>
      <c r="O78" t="s">
        <v>62</v>
      </c>
      <c r="P78" t="s">
        <v>63</v>
      </c>
      <c r="Q78">
        <v>0.1908963053822233</v>
      </c>
      <c r="R78" t="s">
        <v>64</v>
      </c>
      <c r="S78" t="s">
        <v>65</v>
      </c>
      <c r="T78" t="s">
        <v>2172</v>
      </c>
      <c r="V78" t="s">
        <v>119</v>
      </c>
      <c r="X78" t="s">
        <v>2173</v>
      </c>
      <c r="Y78" t="s">
        <v>2045</v>
      </c>
      <c r="Z78" t="s">
        <v>1460</v>
      </c>
      <c r="AA78" t="s">
        <v>397</v>
      </c>
      <c r="AB78" t="s">
        <v>453</v>
      </c>
      <c r="AD78" t="s">
        <v>1215</v>
      </c>
      <c r="AE78" t="s">
        <v>2174</v>
      </c>
      <c r="AI78">
        <v>132.12317943689251</v>
      </c>
      <c r="AJ78">
        <v>772.53302957751021</v>
      </c>
    </row>
    <row r="79" spans="1:36" x14ac:dyDescent="0.25">
      <c r="A79">
        <v>78</v>
      </c>
      <c r="B79" t="s">
        <v>2175</v>
      </c>
      <c r="C79" t="s">
        <v>376</v>
      </c>
      <c r="D79" t="s">
        <v>2041</v>
      </c>
      <c r="E79" t="s">
        <v>37</v>
      </c>
      <c r="G79" s="2">
        <v>45855</v>
      </c>
      <c r="H79">
        <v>1</v>
      </c>
      <c r="I79" t="s">
        <v>72</v>
      </c>
      <c r="J79" t="s">
        <v>1024</v>
      </c>
      <c r="K79" t="s">
        <v>1025</v>
      </c>
      <c r="L79" t="s">
        <v>2042</v>
      </c>
      <c r="M79" t="s">
        <v>972</v>
      </c>
      <c r="O79" t="s">
        <v>62</v>
      </c>
      <c r="P79" t="s">
        <v>63</v>
      </c>
      <c r="Q79">
        <v>1.014600075034958</v>
      </c>
      <c r="R79" t="s">
        <v>64</v>
      </c>
      <c r="S79" t="s">
        <v>65</v>
      </c>
      <c r="T79" t="s">
        <v>2176</v>
      </c>
      <c r="V79" t="s">
        <v>119</v>
      </c>
      <c r="X79" t="s">
        <v>2173</v>
      </c>
      <c r="Y79" t="s">
        <v>2045</v>
      </c>
      <c r="Z79" t="s">
        <v>1460</v>
      </c>
      <c r="AA79" t="s">
        <v>397</v>
      </c>
      <c r="AB79" t="s">
        <v>453</v>
      </c>
      <c r="AD79" t="s">
        <v>1215</v>
      </c>
      <c r="AE79" t="s">
        <v>2174</v>
      </c>
      <c r="AI79">
        <v>371.48290331253082</v>
      </c>
      <c r="AJ79">
        <v>4105.9572536353326</v>
      </c>
    </row>
    <row r="80" spans="1:36" hidden="1" x14ac:dyDescent="0.25">
      <c r="A80">
        <v>79</v>
      </c>
      <c r="B80" t="s">
        <v>2177</v>
      </c>
      <c r="C80" t="s">
        <v>376</v>
      </c>
      <c r="D80" t="s">
        <v>2041</v>
      </c>
      <c r="E80" t="s">
        <v>37</v>
      </c>
      <c r="G80" s="2">
        <v>45855</v>
      </c>
      <c r="H80">
        <v>3.5</v>
      </c>
      <c r="I80" t="s">
        <v>72</v>
      </c>
      <c r="J80" t="s">
        <v>1024</v>
      </c>
      <c r="K80" t="s">
        <v>1025</v>
      </c>
      <c r="L80" t="s">
        <v>2042</v>
      </c>
      <c r="M80" t="s">
        <v>972</v>
      </c>
      <c r="O80" t="s">
        <v>99</v>
      </c>
      <c r="P80" t="s">
        <v>100</v>
      </c>
      <c r="Q80">
        <v>2.999189910444279</v>
      </c>
      <c r="R80" t="s">
        <v>60</v>
      </c>
      <c r="S80" t="s">
        <v>66</v>
      </c>
      <c r="T80" t="s">
        <v>2178</v>
      </c>
      <c r="V80" t="s">
        <v>119</v>
      </c>
      <c r="X80" t="s">
        <v>2179</v>
      </c>
      <c r="Y80" t="s">
        <v>2045</v>
      </c>
      <c r="Z80" t="s">
        <v>1460</v>
      </c>
      <c r="AA80" t="s">
        <v>397</v>
      </c>
      <c r="AB80" t="s">
        <v>453</v>
      </c>
      <c r="AD80" t="s">
        <v>758</v>
      </c>
      <c r="AE80" t="s">
        <v>86</v>
      </c>
      <c r="AI80">
        <v>689.32610544904651</v>
      </c>
      <c r="AJ80">
        <v>12137.33950038816</v>
      </c>
    </row>
    <row r="81" spans="1:36" hidden="1" x14ac:dyDescent="0.25">
      <c r="A81">
        <v>80</v>
      </c>
      <c r="B81" t="s">
        <v>2180</v>
      </c>
      <c r="C81" t="s">
        <v>376</v>
      </c>
      <c r="D81" t="s">
        <v>2041</v>
      </c>
      <c r="E81" t="s">
        <v>37</v>
      </c>
      <c r="G81" s="2">
        <v>45855</v>
      </c>
      <c r="H81">
        <v>0.1</v>
      </c>
      <c r="I81" t="s">
        <v>72</v>
      </c>
      <c r="J81" t="s">
        <v>1024</v>
      </c>
      <c r="K81" t="s">
        <v>1025</v>
      </c>
      <c r="L81" t="s">
        <v>2042</v>
      </c>
      <c r="M81" t="s">
        <v>972</v>
      </c>
      <c r="O81" t="s">
        <v>96</v>
      </c>
      <c r="P81" t="s">
        <v>97</v>
      </c>
      <c r="Q81">
        <v>7.6400281390764629E-2</v>
      </c>
      <c r="R81" t="s">
        <v>60</v>
      </c>
      <c r="S81" t="s">
        <v>66</v>
      </c>
      <c r="T81" t="s">
        <v>2181</v>
      </c>
      <c r="V81" t="s">
        <v>64</v>
      </c>
      <c r="X81" t="s">
        <v>2182</v>
      </c>
      <c r="Y81" t="s">
        <v>2045</v>
      </c>
      <c r="Z81" t="s">
        <v>1460</v>
      </c>
      <c r="AA81" t="s">
        <v>452</v>
      </c>
      <c r="AB81" t="s">
        <v>453</v>
      </c>
      <c r="AD81" t="s">
        <v>2183</v>
      </c>
      <c r="AE81" t="s">
        <v>2174</v>
      </c>
      <c r="AI81">
        <v>87.159779403446834</v>
      </c>
      <c r="AJ81">
        <v>309.18220614697088</v>
      </c>
    </row>
    <row r="82" spans="1:36" hidden="1" x14ac:dyDescent="0.25">
      <c r="A82">
        <v>81</v>
      </c>
      <c r="B82" t="s">
        <v>2184</v>
      </c>
      <c r="C82" t="s">
        <v>376</v>
      </c>
      <c r="D82" t="s">
        <v>2041</v>
      </c>
      <c r="E82" t="s">
        <v>37</v>
      </c>
      <c r="G82" s="2">
        <v>45855</v>
      </c>
      <c r="H82">
        <v>2.1</v>
      </c>
      <c r="I82" t="s">
        <v>72</v>
      </c>
      <c r="J82" t="s">
        <v>1024</v>
      </c>
      <c r="K82" t="s">
        <v>1025</v>
      </c>
      <c r="L82" t="s">
        <v>2042</v>
      </c>
      <c r="M82" t="s">
        <v>972</v>
      </c>
      <c r="N82" t="s">
        <v>2185</v>
      </c>
      <c r="O82" t="s">
        <v>96</v>
      </c>
      <c r="P82" t="s">
        <v>97</v>
      </c>
      <c r="Q82">
        <v>1.9083938976369881</v>
      </c>
      <c r="R82" t="s">
        <v>60</v>
      </c>
      <c r="S82" t="s">
        <v>66</v>
      </c>
      <c r="T82" t="s">
        <v>2186</v>
      </c>
      <c r="V82" t="s">
        <v>64</v>
      </c>
      <c r="X82" t="s">
        <v>2187</v>
      </c>
      <c r="Y82" t="s">
        <v>2045</v>
      </c>
      <c r="Z82" t="s">
        <v>1460</v>
      </c>
      <c r="AA82" t="s">
        <v>452</v>
      </c>
      <c r="AB82" t="s">
        <v>453</v>
      </c>
      <c r="AD82" t="s">
        <v>758</v>
      </c>
      <c r="AE82" t="s">
        <v>1429</v>
      </c>
      <c r="AI82">
        <v>384.68221573066501</v>
      </c>
      <c r="AJ82">
        <v>7723.0269931982939</v>
      </c>
    </row>
    <row r="83" spans="1:36" hidden="1" x14ac:dyDescent="0.25">
      <c r="A83">
        <v>82</v>
      </c>
      <c r="B83" t="s">
        <v>2188</v>
      </c>
      <c r="C83" t="s">
        <v>376</v>
      </c>
      <c r="D83" t="s">
        <v>2041</v>
      </c>
      <c r="E83" t="s">
        <v>37</v>
      </c>
      <c r="G83" s="2">
        <v>45855</v>
      </c>
      <c r="H83">
        <v>0.38</v>
      </c>
      <c r="I83" t="s">
        <v>72</v>
      </c>
      <c r="J83" t="s">
        <v>1024</v>
      </c>
      <c r="K83" t="s">
        <v>1025</v>
      </c>
      <c r="L83" t="s">
        <v>2042</v>
      </c>
      <c r="M83" t="s">
        <v>972</v>
      </c>
      <c r="N83" t="s">
        <v>2185</v>
      </c>
      <c r="O83" t="s">
        <v>115</v>
      </c>
      <c r="P83" t="s">
        <v>137</v>
      </c>
      <c r="Q83">
        <v>0.38581005851716887</v>
      </c>
      <c r="T83" t="s">
        <v>2189</v>
      </c>
      <c r="V83" t="s">
        <v>64</v>
      </c>
      <c r="X83" t="s">
        <v>2187</v>
      </c>
      <c r="Y83" t="s">
        <v>2045</v>
      </c>
      <c r="Z83" t="s">
        <v>1460</v>
      </c>
      <c r="AA83" t="s">
        <v>452</v>
      </c>
      <c r="AB83" t="s">
        <v>453</v>
      </c>
      <c r="AE83" t="s">
        <v>2187</v>
      </c>
      <c r="AI83">
        <v>169.6160425361283</v>
      </c>
      <c r="AJ83">
        <v>1561.3241584271129</v>
      </c>
    </row>
    <row r="84" spans="1:36" hidden="1" x14ac:dyDescent="0.25">
      <c r="A84">
        <v>83</v>
      </c>
      <c r="B84" t="s">
        <v>2190</v>
      </c>
      <c r="C84" t="s">
        <v>376</v>
      </c>
      <c r="D84" t="s">
        <v>2041</v>
      </c>
      <c r="E84" t="s">
        <v>37</v>
      </c>
      <c r="G84" s="2">
        <v>45855</v>
      </c>
      <c r="H84">
        <v>0.14000000000000001</v>
      </c>
      <c r="I84" t="s">
        <v>72</v>
      </c>
      <c r="J84" t="s">
        <v>1024</v>
      </c>
      <c r="K84" t="s">
        <v>1025</v>
      </c>
      <c r="L84" t="s">
        <v>2042</v>
      </c>
      <c r="M84" t="s">
        <v>972</v>
      </c>
      <c r="N84" t="s">
        <v>2185</v>
      </c>
      <c r="O84" t="s">
        <v>79</v>
      </c>
      <c r="P84" t="s">
        <v>80</v>
      </c>
      <c r="Q84">
        <v>0.25950740348535578</v>
      </c>
      <c r="R84" t="s">
        <v>60</v>
      </c>
      <c r="S84" t="s">
        <v>66</v>
      </c>
      <c r="T84" t="s">
        <v>2186</v>
      </c>
      <c r="V84" t="s">
        <v>64</v>
      </c>
      <c r="X84" t="s">
        <v>2187</v>
      </c>
      <c r="Y84" t="s">
        <v>2045</v>
      </c>
      <c r="Z84" t="s">
        <v>1460</v>
      </c>
      <c r="AA84" t="s">
        <v>452</v>
      </c>
      <c r="AB84" t="s">
        <v>453</v>
      </c>
      <c r="AE84" t="s">
        <v>2187</v>
      </c>
      <c r="AI84">
        <v>137.562816769943</v>
      </c>
      <c r="AJ84">
        <v>1050.1934032244719</v>
      </c>
    </row>
    <row r="85" spans="1:36" hidden="1" x14ac:dyDescent="0.25">
      <c r="A85">
        <v>84</v>
      </c>
      <c r="B85" t="s">
        <v>2191</v>
      </c>
      <c r="C85" t="s">
        <v>376</v>
      </c>
      <c r="D85" t="s">
        <v>2041</v>
      </c>
      <c r="E85" t="s">
        <v>37</v>
      </c>
      <c r="G85" s="2">
        <v>45855</v>
      </c>
      <c r="H85">
        <v>0.7</v>
      </c>
      <c r="I85" t="s">
        <v>72</v>
      </c>
      <c r="J85" t="s">
        <v>1024</v>
      </c>
      <c r="K85" t="s">
        <v>1025</v>
      </c>
      <c r="L85" t="s">
        <v>2042</v>
      </c>
      <c r="M85" t="s">
        <v>972</v>
      </c>
      <c r="N85" t="s">
        <v>2185</v>
      </c>
      <c r="O85" t="s">
        <v>115</v>
      </c>
      <c r="P85" t="s">
        <v>137</v>
      </c>
      <c r="Q85">
        <v>0.37709825937767871</v>
      </c>
      <c r="T85" t="s">
        <v>2189</v>
      </c>
      <c r="V85" t="s">
        <v>64</v>
      </c>
      <c r="X85" t="s">
        <v>2187</v>
      </c>
      <c r="Y85" t="s">
        <v>2045</v>
      </c>
      <c r="Z85" t="s">
        <v>1460</v>
      </c>
      <c r="AA85" t="s">
        <v>452</v>
      </c>
      <c r="AB85" t="s">
        <v>453</v>
      </c>
      <c r="AD85" t="s">
        <v>758</v>
      </c>
      <c r="AE85" t="s">
        <v>1429</v>
      </c>
      <c r="AI85">
        <v>150.5774111979363</v>
      </c>
      <c r="AJ85">
        <v>1526.0686171067839</v>
      </c>
    </row>
    <row r="86" spans="1:36" x14ac:dyDescent="0.25">
      <c r="A86">
        <v>85</v>
      </c>
      <c r="B86" t="s">
        <v>2192</v>
      </c>
      <c r="C86" t="s">
        <v>376</v>
      </c>
      <c r="D86" t="s">
        <v>2041</v>
      </c>
      <c r="E86" t="s">
        <v>37</v>
      </c>
      <c r="G86" s="2">
        <v>45855</v>
      </c>
      <c r="H86">
        <v>10.6</v>
      </c>
      <c r="I86" t="s">
        <v>72</v>
      </c>
      <c r="J86" t="s">
        <v>1024</v>
      </c>
      <c r="K86" t="s">
        <v>1025</v>
      </c>
      <c r="L86" t="s">
        <v>2042</v>
      </c>
      <c r="M86" t="s">
        <v>972</v>
      </c>
      <c r="O86" t="s">
        <v>62</v>
      </c>
      <c r="P86" t="s">
        <v>63</v>
      </c>
      <c r="Q86">
        <v>9.0218194163464496</v>
      </c>
      <c r="R86" t="s">
        <v>64</v>
      </c>
      <c r="S86" t="s">
        <v>65</v>
      </c>
      <c r="T86" t="s">
        <v>2193</v>
      </c>
      <c r="V86" t="s">
        <v>64</v>
      </c>
      <c r="X86" t="s">
        <v>2194</v>
      </c>
      <c r="Y86" t="s">
        <v>2045</v>
      </c>
      <c r="Z86" t="s">
        <v>1460</v>
      </c>
      <c r="AA86" t="s">
        <v>452</v>
      </c>
      <c r="AB86" t="s">
        <v>453</v>
      </c>
      <c r="AD86" t="s">
        <v>758</v>
      </c>
      <c r="AE86" t="s">
        <v>76</v>
      </c>
      <c r="AI86">
        <v>784.07130084989967</v>
      </c>
      <c r="AJ86">
        <v>36510.153887244152</v>
      </c>
    </row>
    <row r="87" spans="1:36" x14ac:dyDescent="0.25">
      <c r="A87">
        <v>86</v>
      </c>
      <c r="B87" t="s">
        <v>2195</v>
      </c>
      <c r="C87" t="s">
        <v>376</v>
      </c>
      <c r="D87" t="s">
        <v>2041</v>
      </c>
      <c r="E87" t="s">
        <v>37</v>
      </c>
      <c r="G87" s="2">
        <v>45855</v>
      </c>
      <c r="H87">
        <v>3.14</v>
      </c>
      <c r="I87" t="s">
        <v>72</v>
      </c>
      <c r="J87" t="s">
        <v>1024</v>
      </c>
      <c r="K87" t="s">
        <v>1025</v>
      </c>
      <c r="L87" t="s">
        <v>2042</v>
      </c>
      <c r="M87" t="s">
        <v>972</v>
      </c>
      <c r="O87" t="s">
        <v>62</v>
      </c>
      <c r="P87" t="s">
        <v>63</v>
      </c>
      <c r="Q87">
        <v>3.1771921122376039</v>
      </c>
      <c r="R87" t="s">
        <v>64</v>
      </c>
      <c r="S87" t="s">
        <v>65</v>
      </c>
      <c r="T87" t="s">
        <v>2196</v>
      </c>
      <c r="V87" t="s">
        <v>64</v>
      </c>
      <c r="X87" t="s">
        <v>2197</v>
      </c>
      <c r="Y87" t="s">
        <v>2045</v>
      </c>
      <c r="Z87" t="s">
        <v>1460</v>
      </c>
      <c r="AA87" t="s">
        <v>452</v>
      </c>
      <c r="AB87" t="s">
        <v>453</v>
      </c>
      <c r="AD87" t="s">
        <v>758</v>
      </c>
      <c r="AE87" t="s">
        <v>76</v>
      </c>
      <c r="AI87">
        <v>1165.636586041848</v>
      </c>
      <c r="AJ87">
        <v>12857.69173532288</v>
      </c>
    </row>
    <row r="88" spans="1:36" x14ac:dyDescent="0.25">
      <c r="A88">
        <v>87</v>
      </c>
      <c r="B88" t="s">
        <v>2198</v>
      </c>
      <c r="C88" t="s">
        <v>376</v>
      </c>
      <c r="D88" t="s">
        <v>2041</v>
      </c>
      <c r="E88" t="s">
        <v>37</v>
      </c>
      <c r="G88" s="2">
        <v>45855</v>
      </c>
      <c r="H88">
        <v>2.54</v>
      </c>
      <c r="I88" t="s">
        <v>72</v>
      </c>
      <c r="J88" t="s">
        <v>1024</v>
      </c>
      <c r="K88" t="s">
        <v>1025</v>
      </c>
      <c r="L88" t="s">
        <v>2042</v>
      </c>
      <c r="M88" t="s">
        <v>972</v>
      </c>
      <c r="O88" t="s">
        <v>62</v>
      </c>
      <c r="P88" t="s">
        <v>63</v>
      </c>
      <c r="Q88">
        <v>2.1469621491520958</v>
      </c>
      <c r="R88" t="s">
        <v>64</v>
      </c>
      <c r="S88" t="s">
        <v>65</v>
      </c>
      <c r="T88" t="s">
        <v>2196</v>
      </c>
      <c r="V88" t="s">
        <v>64</v>
      </c>
      <c r="X88" t="s">
        <v>2197</v>
      </c>
      <c r="Y88" t="s">
        <v>2045</v>
      </c>
      <c r="Z88" t="s">
        <v>1460</v>
      </c>
      <c r="AA88" t="s">
        <v>452</v>
      </c>
      <c r="AB88" t="s">
        <v>453</v>
      </c>
      <c r="AD88" t="s">
        <v>758</v>
      </c>
      <c r="AE88" t="s">
        <v>76</v>
      </c>
      <c r="AI88">
        <v>758.38060072233179</v>
      </c>
      <c r="AJ88">
        <v>8688.4823158403742</v>
      </c>
    </row>
    <row r="89" spans="1:36" x14ac:dyDescent="0.25">
      <c r="A89">
        <v>88</v>
      </c>
      <c r="B89" t="s">
        <v>2199</v>
      </c>
      <c r="C89" t="s">
        <v>376</v>
      </c>
      <c r="D89" t="s">
        <v>2041</v>
      </c>
      <c r="E89" t="s">
        <v>37</v>
      </c>
      <c r="G89" s="2">
        <v>45855</v>
      </c>
      <c r="H89">
        <v>0.4</v>
      </c>
      <c r="I89" t="s">
        <v>72</v>
      </c>
      <c r="J89" t="s">
        <v>1024</v>
      </c>
      <c r="K89" t="s">
        <v>1025</v>
      </c>
      <c r="L89" t="s">
        <v>2042</v>
      </c>
      <c r="M89" t="s">
        <v>972</v>
      </c>
      <c r="O89" t="s">
        <v>62</v>
      </c>
      <c r="P89" t="s">
        <v>63</v>
      </c>
      <c r="Q89">
        <v>0.38299334725199702</v>
      </c>
      <c r="R89" t="s">
        <v>64</v>
      </c>
      <c r="S89" t="s">
        <v>65</v>
      </c>
      <c r="T89" t="s">
        <v>2200</v>
      </c>
      <c r="V89" t="s">
        <v>64</v>
      </c>
      <c r="X89" t="s">
        <v>2197</v>
      </c>
      <c r="Y89" t="s">
        <v>2045</v>
      </c>
      <c r="Z89" t="s">
        <v>1460</v>
      </c>
      <c r="AA89" t="s">
        <v>452</v>
      </c>
      <c r="AB89" t="s">
        <v>453</v>
      </c>
      <c r="AD89" t="s">
        <v>758</v>
      </c>
      <c r="AE89" t="s">
        <v>76</v>
      </c>
      <c r="AI89">
        <v>175.5884546486283</v>
      </c>
      <c r="AJ89">
        <v>1549.925286758164</v>
      </c>
    </row>
    <row r="90" spans="1:36" x14ac:dyDescent="0.25">
      <c r="A90">
        <v>89</v>
      </c>
      <c r="B90" t="s">
        <v>2201</v>
      </c>
      <c r="C90" t="s">
        <v>376</v>
      </c>
      <c r="D90" t="s">
        <v>2041</v>
      </c>
      <c r="E90" t="s">
        <v>37</v>
      </c>
      <c r="G90" s="2">
        <v>45855</v>
      </c>
      <c r="H90">
        <v>0.2</v>
      </c>
      <c r="I90" t="s">
        <v>72</v>
      </c>
      <c r="J90" t="s">
        <v>1024</v>
      </c>
      <c r="K90" t="s">
        <v>1025</v>
      </c>
      <c r="L90" t="s">
        <v>2042</v>
      </c>
      <c r="M90" t="s">
        <v>972</v>
      </c>
      <c r="O90" t="s">
        <v>62</v>
      </c>
      <c r="P90" t="s">
        <v>63</v>
      </c>
      <c r="Q90">
        <v>7.2571893490475783E-2</v>
      </c>
      <c r="R90" t="s">
        <v>64</v>
      </c>
      <c r="S90" t="s">
        <v>65</v>
      </c>
      <c r="T90" t="s">
        <v>2202</v>
      </c>
      <c r="V90" t="s">
        <v>64</v>
      </c>
      <c r="X90" t="s">
        <v>2197</v>
      </c>
      <c r="Y90" t="s">
        <v>2045</v>
      </c>
      <c r="Z90" t="s">
        <v>1460</v>
      </c>
      <c r="AA90" t="s">
        <v>452</v>
      </c>
      <c r="AB90" t="s">
        <v>453</v>
      </c>
      <c r="AD90" t="s">
        <v>758</v>
      </c>
      <c r="AE90" t="s">
        <v>76</v>
      </c>
      <c r="AI90">
        <v>79.049557879599618</v>
      </c>
      <c r="AJ90">
        <v>293.68920801331802</v>
      </c>
    </row>
    <row r="91" spans="1:36" x14ac:dyDescent="0.25">
      <c r="A91">
        <v>90</v>
      </c>
      <c r="B91" t="s">
        <v>2203</v>
      </c>
      <c r="C91" t="s">
        <v>376</v>
      </c>
      <c r="D91" t="s">
        <v>2041</v>
      </c>
      <c r="E91" t="s">
        <v>37</v>
      </c>
      <c r="G91" s="2">
        <v>45855</v>
      </c>
      <c r="H91">
        <v>16.899999999999999</v>
      </c>
      <c r="I91" t="s">
        <v>72</v>
      </c>
      <c r="J91" t="s">
        <v>1024</v>
      </c>
      <c r="K91" t="s">
        <v>1025</v>
      </c>
      <c r="L91" t="s">
        <v>2042</v>
      </c>
      <c r="M91" t="s">
        <v>972</v>
      </c>
      <c r="O91" t="s">
        <v>62</v>
      </c>
      <c r="P91" t="s">
        <v>63</v>
      </c>
      <c r="Q91">
        <v>15.85194336188099</v>
      </c>
      <c r="R91" t="s">
        <v>64</v>
      </c>
      <c r="S91" t="s">
        <v>65</v>
      </c>
      <c r="T91" t="s">
        <v>2204</v>
      </c>
      <c r="V91" t="s">
        <v>64</v>
      </c>
      <c r="X91" t="s">
        <v>2197</v>
      </c>
      <c r="Y91" t="s">
        <v>2045</v>
      </c>
      <c r="Z91" t="s">
        <v>1460</v>
      </c>
      <c r="AA91" t="s">
        <v>942</v>
      </c>
      <c r="AB91" t="s">
        <v>453</v>
      </c>
      <c r="AD91" t="s">
        <v>758</v>
      </c>
      <c r="AE91" t="s">
        <v>76</v>
      </c>
      <c r="AI91">
        <v>1602.471246542116</v>
      </c>
      <c r="AJ91">
        <v>64150.795404474156</v>
      </c>
    </row>
    <row r="92" spans="1:36" x14ac:dyDescent="0.25">
      <c r="A92">
        <v>91</v>
      </c>
      <c r="B92" t="s">
        <v>2205</v>
      </c>
      <c r="C92" t="s">
        <v>376</v>
      </c>
      <c r="D92" t="s">
        <v>2041</v>
      </c>
      <c r="E92" t="s">
        <v>37</v>
      </c>
      <c r="G92" s="2">
        <v>45855</v>
      </c>
      <c r="H92">
        <v>0.2</v>
      </c>
      <c r="I92" t="s">
        <v>72</v>
      </c>
      <c r="J92" t="s">
        <v>1024</v>
      </c>
      <c r="K92" t="s">
        <v>1025</v>
      </c>
      <c r="L92" t="s">
        <v>2042</v>
      </c>
      <c r="M92" t="s">
        <v>972</v>
      </c>
      <c r="O92" t="s">
        <v>62</v>
      </c>
      <c r="P92" t="s">
        <v>63</v>
      </c>
      <c r="Q92">
        <v>0.1234282773658245</v>
      </c>
      <c r="R92" t="s">
        <v>64</v>
      </c>
      <c r="S92" t="s">
        <v>65</v>
      </c>
      <c r="T92" t="s">
        <v>2206</v>
      </c>
      <c r="V92" t="s">
        <v>64</v>
      </c>
      <c r="X92" t="s">
        <v>2197</v>
      </c>
      <c r="Y92" t="s">
        <v>2045</v>
      </c>
      <c r="Z92" t="s">
        <v>1460</v>
      </c>
      <c r="AA92" t="s">
        <v>452</v>
      </c>
      <c r="AB92" t="s">
        <v>453</v>
      </c>
      <c r="AD92" t="s">
        <v>758</v>
      </c>
      <c r="AE92" t="s">
        <v>2207</v>
      </c>
      <c r="AI92">
        <v>91.371961233337288</v>
      </c>
      <c r="AJ92">
        <v>499.49851495571721</v>
      </c>
    </row>
    <row r="93" spans="1:36" hidden="1" x14ac:dyDescent="0.25">
      <c r="A93">
        <v>92</v>
      </c>
      <c r="B93" t="s">
        <v>2208</v>
      </c>
      <c r="C93" t="s">
        <v>376</v>
      </c>
      <c r="D93" t="s">
        <v>2041</v>
      </c>
      <c r="E93" t="s">
        <v>37</v>
      </c>
      <c r="G93" s="2">
        <v>45855</v>
      </c>
      <c r="H93">
        <v>0.2</v>
      </c>
      <c r="I93" t="s">
        <v>72</v>
      </c>
      <c r="J93" t="s">
        <v>1024</v>
      </c>
      <c r="K93" t="s">
        <v>1025</v>
      </c>
      <c r="L93" t="s">
        <v>2042</v>
      </c>
      <c r="M93" t="s">
        <v>972</v>
      </c>
      <c r="O93" t="s">
        <v>408</v>
      </c>
      <c r="P93" t="s">
        <v>409</v>
      </c>
      <c r="Q93">
        <v>0.33967468120707539</v>
      </c>
      <c r="R93" t="s">
        <v>60</v>
      </c>
      <c r="S93" t="s">
        <v>66</v>
      </c>
      <c r="T93" t="s">
        <v>2200</v>
      </c>
      <c r="V93" t="s">
        <v>64</v>
      </c>
      <c r="X93" t="s">
        <v>2197</v>
      </c>
      <c r="Y93" t="s">
        <v>2045</v>
      </c>
      <c r="Z93" t="s">
        <v>1460</v>
      </c>
      <c r="AA93" t="s">
        <v>452</v>
      </c>
      <c r="AB93" t="s">
        <v>453</v>
      </c>
      <c r="AD93" t="s">
        <v>758</v>
      </c>
      <c r="AE93" t="s">
        <v>2209</v>
      </c>
      <c r="AI93">
        <v>198.28450831486259</v>
      </c>
      <c r="AJ93">
        <v>1374.620163644682</v>
      </c>
    </row>
    <row r="94" spans="1:36" hidden="1" x14ac:dyDescent="0.25">
      <c r="A94">
        <v>93</v>
      </c>
      <c r="B94" t="s">
        <v>2210</v>
      </c>
      <c r="C94" t="s">
        <v>376</v>
      </c>
      <c r="D94" t="s">
        <v>2041</v>
      </c>
      <c r="E94" t="s">
        <v>37</v>
      </c>
      <c r="G94" s="2">
        <v>45855</v>
      </c>
      <c r="H94">
        <v>0.2</v>
      </c>
      <c r="I94" t="s">
        <v>72</v>
      </c>
      <c r="J94" t="s">
        <v>1024</v>
      </c>
      <c r="K94" t="s">
        <v>1025</v>
      </c>
      <c r="L94" t="s">
        <v>2042</v>
      </c>
      <c r="M94" t="s">
        <v>972</v>
      </c>
      <c r="O94" t="s">
        <v>87</v>
      </c>
      <c r="P94" t="s">
        <v>88</v>
      </c>
      <c r="Q94">
        <v>0.1845108293498576</v>
      </c>
      <c r="R94" t="s">
        <v>46</v>
      </c>
      <c r="S94" t="s">
        <v>47</v>
      </c>
      <c r="T94" t="s">
        <v>2200</v>
      </c>
      <c r="V94" t="s">
        <v>64</v>
      </c>
      <c r="X94" t="s">
        <v>2197</v>
      </c>
      <c r="Y94" t="s">
        <v>2045</v>
      </c>
      <c r="Z94" t="s">
        <v>1460</v>
      </c>
      <c r="AA94" t="s">
        <v>452</v>
      </c>
      <c r="AB94" t="s">
        <v>453</v>
      </c>
      <c r="AD94" t="s">
        <v>758</v>
      </c>
      <c r="AE94" t="s">
        <v>2209</v>
      </c>
      <c r="AI94">
        <v>109.95347522613071</v>
      </c>
      <c r="AJ94">
        <v>746.69182152112091</v>
      </c>
    </row>
    <row r="95" spans="1:36" hidden="1" x14ac:dyDescent="0.25">
      <c r="A95">
        <v>94</v>
      </c>
      <c r="B95" t="s">
        <v>2211</v>
      </c>
      <c r="C95" t="s">
        <v>376</v>
      </c>
      <c r="D95" t="s">
        <v>2041</v>
      </c>
      <c r="E95" t="s">
        <v>37</v>
      </c>
      <c r="G95" s="2">
        <v>45855</v>
      </c>
      <c r="H95">
        <v>0.4</v>
      </c>
      <c r="I95" t="s">
        <v>72</v>
      </c>
      <c r="J95" t="s">
        <v>1024</v>
      </c>
      <c r="K95" t="s">
        <v>1025</v>
      </c>
      <c r="L95" t="s">
        <v>2042</v>
      </c>
      <c r="M95" t="s">
        <v>972</v>
      </c>
      <c r="O95" t="s">
        <v>87</v>
      </c>
      <c r="P95" t="s">
        <v>88</v>
      </c>
      <c r="Q95">
        <v>0.39304472177409061</v>
      </c>
      <c r="R95" t="s">
        <v>46</v>
      </c>
      <c r="S95" t="s">
        <v>47</v>
      </c>
      <c r="T95" t="s">
        <v>2200</v>
      </c>
      <c r="V95" t="s">
        <v>64</v>
      </c>
      <c r="X95" t="s">
        <v>2197</v>
      </c>
      <c r="Y95" t="s">
        <v>2045</v>
      </c>
      <c r="Z95" t="s">
        <v>1460</v>
      </c>
      <c r="AA95" t="s">
        <v>452</v>
      </c>
      <c r="AB95" t="s">
        <v>453</v>
      </c>
      <c r="AD95" t="s">
        <v>758</v>
      </c>
      <c r="AE95" t="s">
        <v>2209</v>
      </c>
      <c r="AI95">
        <v>158.55513172484149</v>
      </c>
      <c r="AJ95">
        <v>1590.601919003213</v>
      </c>
    </row>
    <row r="96" spans="1:36" x14ac:dyDescent="0.25">
      <c r="A96">
        <v>95</v>
      </c>
      <c r="B96" t="s">
        <v>2212</v>
      </c>
      <c r="C96" t="s">
        <v>376</v>
      </c>
      <c r="D96" t="s">
        <v>2041</v>
      </c>
      <c r="E96" t="s">
        <v>37</v>
      </c>
      <c r="G96" s="2">
        <v>45855</v>
      </c>
      <c r="H96">
        <v>0.3</v>
      </c>
      <c r="I96" t="s">
        <v>72</v>
      </c>
      <c r="J96" t="s">
        <v>1024</v>
      </c>
      <c r="K96" t="s">
        <v>1025</v>
      </c>
      <c r="L96" t="s">
        <v>2042</v>
      </c>
      <c r="M96" t="s">
        <v>972</v>
      </c>
      <c r="O96" t="s">
        <v>62</v>
      </c>
      <c r="P96" t="s">
        <v>63</v>
      </c>
      <c r="Q96">
        <v>0.2446047837585556</v>
      </c>
      <c r="R96" t="s">
        <v>64</v>
      </c>
      <c r="S96" t="s">
        <v>65</v>
      </c>
      <c r="T96" t="s">
        <v>2213</v>
      </c>
      <c r="V96" t="s">
        <v>64</v>
      </c>
      <c r="X96" t="s">
        <v>2214</v>
      </c>
      <c r="Y96" t="s">
        <v>2045</v>
      </c>
      <c r="Z96" t="s">
        <v>1460</v>
      </c>
      <c r="AA96" t="s">
        <v>452</v>
      </c>
      <c r="AB96" t="s">
        <v>453</v>
      </c>
      <c r="AD96" t="s">
        <v>758</v>
      </c>
      <c r="AE96" t="s">
        <v>2215</v>
      </c>
      <c r="AI96">
        <v>139.9741522890408</v>
      </c>
      <c r="AJ96">
        <v>989.88439963671306</v>
      </c>
    </row>
    <row r="97" spans="1:36" x14ac:dyDescent="0.25">
      <c r="A97">
        <v>96</v>
      </c>
      <c r="B97" t="s">
        <v>2216</v>
      </c>
      <c r="C97" t="s">
        <v>376</v>
      </c>
      <c r="D97" t="s">
        <v>2041</v>
      </c>
      <c r="E97" t="s">
        <v>37</v>
      </c>
      <c r="G97" s="2">
        <v>45855</v>
      </c>
      <c r="H97">
        <v>1.2</v>
      </c>
      <c r="I97" t="s">
        <v>72</v>
      </c>
      <c r="J97" t="s">
        <v>1024</v>
      </c>
      <c r="K97" t="s">
        <v>1025</v>
      </c>
      <c r="L97" t="s">
        <v>2042</v>
      </c>
      <c r="M97" t="s">
        <v>972</v>
      </c>
      <c r="O97" t="s">
        <v>62</v>
      </c>
      <c r="P97" t="s">
        <v>63</v>
      </c>
      <c r="Q97">
        <v>1.61531949526838</v>
      </c>
      <c r="R97" t="s">
        <v>64</v>
      </c>
      <c r="S97" t="s">
        <v>65</v>
      </c>
      <c r="T97" t="s">
        <v>2213</v>
      </c>
      <c r="V97" t="s">
        <v>64</v>
      </c>
      <c r="X97" t="s">
        <v>2214</v>
      </c>
      <c r="Y97" t="s">
        <v>2045</v>
      </c>
      <c r="Z97" t="s">
        <v>1460</v>
      </c>
      <c r="AA97" t="s">
        <v>452</v>
      </c>
      <c r="AB97" t="s">
        <v>453</v>
      </c>
      <c r="AD97" t="s">
        <v>758</v>
      </c>
      <c r="AE97" t="s">
        <v>2215</v>
      </c>
      <c r="AI97">
        <v>367.034505266851</v>
      </c>
      <c r="AJ97">
        <v>6536.9922215975084</v>
      </c>
    </row>
    <row r="98" spans="1:36" x14ac:dyDescent="0.25">
      <c r="A98">
        <v>97</v>
      </c>
      <c r="B98" t="s">
        <v>2217</v>
      </c>
      <c r="C98" t="s">
        <v>376</v>
      </c>
      <c r="D98" t="s">
        <v>2041</v>
      </c>
      <c r="E98" t="s">
        <v>37</v>
      </c>
      <c r="G98" s="2">
        <v>45855</v>
      </c>
      <c r="H98">
        <v>10.7</v>
      </c>
      <c r="I98" t="s">
        <v>72</v>
      </c>
      <c r="J98" t="s">
        <v>1024</v>
      </c>
      <c r="K98" t="s">
        <v>1025</v>
      </c>
      <c r="L98" t="s">
        <v>2042</v>
      </c>
      <c r="M98" t="s">
        <v>972</v>
      </c>
      <c r="O98" t="s">
        <v>62</v>
      </c>
      <c r="P98" t="s">
        <v>63</v>
      </c>
      <c r="Q98">
        <v>10.92398137948277</v>
      </c>
      <c r="R98" t="s">
        <v>64</v>
      </c>
      <c r="S98" t="s">
        <v>65</v>
      </c>
      <c r="T98" t="s">
        <v>2213</v>
      </c>
      <c r="V98" t="s">
        <v>64</v>
      </c>
      <c r="X98" t="s">
        <v>2214</v>
      </c>
      <c r="Y98" t="s">
        <v>2045</v>
      </c>
      <c r="Z98" t="s">
        <v>1460</v>
      </c>
      <c r="AA98" t="s">
        <v>452</v>
      </c>
      <c r="AB98" t="s">
        <v>453</v>
      </c>
      <c r="AD98" t="s">
        <v>758</v>
      </c>
      <c r="AE98" t="s">
        <v>2215</v>
      </c>
      <c r="AI98">
        <v>1041.32844737904</v>
      </c>
      <c r="AJ98">
        <v>44207.961035405177</v>
      </c>
    </row>
    <row r="99" spans="1:36" hidden="1" x14ac:dyDescent="0.25">
      <c r="A99">
        <v>98</v>
      </c>
      <c r="B99" t="s">
        <v>2218</v>
      </c>
      <c r="C99" t="s">
        <v>376</v>
      </c>
      <c r="D99" t="s">
        <v>2041</v>
      </c>
      <c r="E99" t="s">
        <v>37</v>
      </c>
      <c r="G99" s="2">
        <v>45855</v>
      </c>
      <c r="H99">
        <v>0.16</v>
      </c>
      <c r="I99" t="s">
        <v>72</v>
      </c>
      <c r="J99" t="s">
        <v>1024</v>
      </c>
      <c r="K99" t="s">
        <v>1025</v>
      </c>
      <c r="L99" t="s">
        <v>2042</v>
      </c>
      <c r="M99" t="s">
        <v>972</v>
      </c>
      <c r="O99" t="s">
        <v>87</v>
      </c>
      <c r="P99" t="s">
        <v>88</v>
      </c>
      <c r="Q99">
        <v>0.16766765787720769</v>
      </c>
      <c r="R99" t="s">
        <v>46</v>
      </c>
      <c r="S99" t="s">
        <v>47</v>
      </c>
      <c r="T99" t="s">
        <v>2200</v>
      </c>
      <c r="V99" t="s">
        <v>64</v>
      </c>
      <c r="X99" t="s">
        <v>2197</v>
      </c>
      <c r="Y99" t="s">
        <v>2045</v>
      </c>
      <c r="Z99" t="s">
        <v>1460</v>
      </c>
      <c r="AA99" t="s">
        <v>452</v>
      </c>
      <c r="AB99" t="s">
        <v>453</v>
      </c>
      <c r="AD99" t="s">
        <v>758</v>
      </c>
      <c r="AE99" t="s">
        <v>76</v>
      </c>
      <c r="AI99">
        <v>115.3478161979405</v>
      </c>
      <c r="AJ99">
        <v>678.52965222503849</v>
      </c>
    </row>
    <row r="100" spans="1:36" hidden="1" x14ac:dyDescent="0.25">
      <c r="A100">
        <v>99</v>
      </c>
      <c r="B100" t="s">
        <v>2219</v>
      </c>
      <c r="C100" t="s">
        <v>376</v>
      </c>
      <c r="D100" t="s">
        <v>2041</v>
      </c>
      <c r="E100" t="s">
        <v>37</v>
      </c>
      <c r="G100" s="2">
        <v>45855</v>
      </c>
      <c r="H100">
        <v>2.9</v>
      </c>
      <c r="I100" t="s">
        <v>72</v>
      </c>
      <c r="J100" t="s">
        <v>1024</v>
      </c>
      <c r="K100" t="s">
        <v>1025</v>
      </c>
      <c r="L100" t="s">
        <v>2042</v>
      </c>
      <c r="M100" t="s">
        <v>972</v>
      </c>
      <c r="O100" t="s">
        <v>96</v>
      </c>
      <c r="P100" t="s">
        <v>97</v>
      </c>
      <c r="Q100">
        <v>2.8513266979852041</v>
      </c>
      <c r="R100" t="s">
        <v>60</v>
      </c>
      <c r="S100" t="s">
        <v>66</v>
      </c>
      <c r="T100" t="s">
        <v>2220</v>
      </c>
      <c r="V100" t="s">
        <v>64</v>
      </c>
      <c r="X100" t="s">
        <v>2194</v>
      </c>
      <c r="Y100" t="s">
        <v>2045</v>
      </c>
      <c r="Z100" t="s">
        <v>1460</v>
      </c>
      <c r="AA100" t="s">
        <v>452</v>
      </c>
      <c r="AB100" t="s">
        <v>453</v>
      </c>
      <c r="AD100" t="s">
        <v>1215</v>
      </c>
      <c r="AE100" t="s">
        <v>2221</v>
      </c>
      <c r="AI100">
        <v>424.57021415900329</v>
      </c>
      <c r="AJ100">
        <v>11538.955915879509</v>
      </c>
    </row>
    <row r="101" spans="1:36" hidden="1" x14ac:dyDescent="0.25">
      <c r="A101">
        <v>100</v>
      </c>
      <c r="B101" t="s">
        <v>2222</v>
      </c>
      <c r="C101" t="s">
        <v>376</v>
      </c>
      <c r="D101" t="s">
        <v>2041</v>
      </c>
      <c r="E101" t="s">
        <v>37</v>
      </c>
      <c r="G101" s="2">
        <v>45855</v>
      </c>
      <c r="I101" t="s">
        <v>72</v>
      </c>
      <c r="J101" t="s">
        <v>1024</v>
      </c>
      <c r="K101" t="s">
        <v>1025</v>
      </c>
      <c r="L101" t="s">
        <v>2042</v>
      </c>
      <c r="M101" t="s">
        <v>972</v>
      </c>
      <c r="O101" t="s">
        <v>402</v>
      </c>
      <c r="P101" t="s">
        <v>403</v>
      </c>
      <c r="Q101">
        <v>6.3258463077289937</v>
      </c>
      <c r="T101" t="s">
        <v>673</v>
      </c>
      <c r="V101" t="s">
        <v>64</v>
      </c>
      <c r="X101" t="s">
        <v>673</v>
      </c>
      <c r="Y101" t="s">
        <v>2045</v>
      </c>
      <c r="Z101" t="s">
        <v>1460</v>
      </c>
      <c r="AA101" t="s">
        <v>942</v>
      </c>
      <c r="AB101" t="s">
        <v>453</v>
      </c>
      <c r="AF101" t="s">
        <v>2223</v>
      </c>
      <c r="AI101">
        <v>786.12693620383789</v>
      </c>
      <c r="AJ101">
        <v>25599.894157022631</v>
      </c>
    </row>
    <row r="102" spans="1:36" x14ac:dyDescent="0.25">
      <c r="A102">
        <v>101</v>
      </c>
      <c r="B102" t="s">
        <v>2224</v>
      </c>
      <c r="C102" t="s">
        <v>376</v>
      </c>
      <c r="D102" t="s">
        <v>2041</v>
      </c>
      <c r="E102" t="s">
        <v>37</v>
      </c>
      <c r="G102" s="2">
        <v>45855</v>
      </c>
      <c r="H102">
        <v>0.3</v>
      </c>
      <c r="I102" t="s">
        <v>72</v>
      </c>
      <c r="J102" t="s">
        <v>1024</v>
      </c>
      <c r="K102" t="s">
        <v>1025</v>
      </c>
      <c r="L102" t="s">
        <v>2042</v>
      </c>
      <c r="M102" t="s">
        <v>972</v>
      </c>
      <c r="O102" t="s">
        <v>62</v>
      </c>
      <c r="P102" t="s">
        <v>63</v>
      </c>
      <c r="Q102">
        <v>0.22079554548945271</v>
      </c>
      <c r="R102" t="s">
        <v>64</v>
      </c>
      <c r="S102" t="s">
        <v>65</v>
      </c>
      <c r="T102" t="s">
        <v>2225</v>
      </c>
      <c r="V102" t="s">
        <v>64</v>
      </c>
      <c r="X102" t="s">
        <v>2226</v>
      </c>
      <c r="Y102" t="s">
        <v>2045</v>
      </c>
      <c r="Z102" t="s">
        <v>1460</v>
      </c>
      <c r="AA102" t="s">
        <v>452</v>
      </c>
      <c r="AB102" t="s">
        <v>453</v>
      </c>
      <c r="AI102">
        <v>125.5728698356484</v>
      </c>
      <c r="AJ102">
        <v>893.53144542351072</v>
      </c>
    </row>
    <row r="103" spans="1:36" x14ac:dyDescent="0.25">
      <c r="A103">
        <v>102</v>
      </c>
      <c r="B103" t="s">
        <v>2227</v>
      </c>
      <c r="C103" t="s">
        <v>376</v>
      </c>
      <c r="D103" t="s">
        <v>2041</v>
      </c>
      <c r="E103" t="s">
        <v>37</v>
      </c>
      <c r="G103" s="2">
        <v>45855</v>
      </c>
      <c r="H103">
        <v>0.4</v>
      </c>
      <c r="I103" t="s">
        <v>72</v>
      </c>
      <c r="J103" t="s">
        <v>1024</v>
      </c>
      <c r="K103" t="s">
        <v>1025</v>
      </c>
      <c r="L103" t="s">
        <v>2042</v>
      </c>
      <c r="M103" t="s">
        <v>972</v>
      </c>
      <c r="O103" t="s">
        <v>62</v>
      </c>
      <c r="P103" t="s">
        <v>63</v>
      </c>
      <c r="Q103">
        <v>0.3656253449258639</v>
      </c>
      <c r="R103" t="s">
        <v>64</v>
      </c>
      <c r="S103" t="s">
        <v>65</v>
      </c>
      <c r="T103" t="s">
        <v>2228</v>
      </c>
      <c r="V103" t="s">
        <v>64</v>
      </c>
      <c r="X103" t="s">
        <v>2229</v>
      </c>
      <c r="Y103" t="s">
        <v>2045</v>
      </c>
      <c r="Z103" t="s">
        <v>1460</v>
      </c>
      <c r="AA103" t="s">
        <v>942</v>
      </c>
      <c r="AB103" t="s">
        <v>453</v>
      </c>
      <c r="AD103" t="s">
        <v>2230</v>
      </c>
      <c r="AE103" t="s">
        <v>2231</v>
      </c>
      <c r="AI103">
        <v>180.47146417628241</v>
      </c>
      <c r="AJ103">
        <v>1479.639193856304</v>
      </c>
    </row>
    <row r="104" spans="1:36" x14ac:dyDescent="0.25">
      <c r="A104">
        <v>103</v>
      </c>
      <c r="B104" t="s">
        <v>2232</v>
      </c>
      <c r="C104" t="s">
        <v>376</v>
      </c>
      <c r="D104" t="s">
        <v>2041</v>
      </c>
      <c r="E104" t="s">
        <v>37</v>
      </c>
      <c r="G104" s="2">
        <v>45855</v>
      </c>
      <c r="I104" t="s">
        <v>72</v>
      </c>
      <c r="J104" t="s">
        <v>1024</v>
      </c>
      <c r="K104" t="s">
        <v>1025</v>
      </c>
      <c r="L104" t="s">
        <v>2042</v>
      </c>
      <c r="M104" t="s">
        <v>972</v>
      </c>
      <c r="O104" t="s">
        <v>62</v>
      </c>
      <c r="P104" t="s">
        <v>63</v>
      </c>
      <c r="Q104">
        <v>1.584327916460909</v>
      </c>
      <c r="R104" t="s">
        <v>64</v>
      </c>
      <c r="S104" t="s">
        <v>65</v>
      </c>
      <c r="T104" t="s">
        <v>673</v>
      </c>
      <c r="V104" t="s">
        <v>73</v>
      </c>
      <c r="X104" t="s">
        <v>673</v>
      </c>
      <c r="Y104" t="s">
        <v>2233</v>
      </c>
      <c r="Z104" t="s">
        <v>1460</v>
      </c>
      <c r="AA104" t="s">
        <v>603</v>
      </c>
      <c r="AB104" t="s">
        <v>453</v>
      </c>
      <c r="AF104" t="s">
        <v>2234</v>
      </c>
      <c r="AI104">
        <v>354.10543820530472</v>
      </c>
      <c r="AJ104">
        <v>6411.5732501847942</v>
      </c>
    </row>
    <row r="105" spans="1:36" x14ac:dyDescent="0.25">
      <c r="A105">
        <v>104</v>
      </c>
      <c r="B105" t="s">
        <v>2235</v>
      </c>
      <c r="C105" t="s">
        <v>376</v>
      </c>
      <c r="D105" t="s">
        <v>2041</v>
      </c>
      <c r="E105" t="s">
        <v>37</v>
      </c>
      <c r="G105" s="2">
        <v>45855</v>
      </c>
      <c r="I105" t="s">
        <v>72</v>
      </c>
      <c r="J105" t="s">
        <v>1024</v>
      </c>
      <c r="K105" t="s">
        <v>1025</v>
      </c>
      <c r="L105" t="s">
        <v>2042</v>
      </c>
      <c r="M105" t="s">
        <v>972</v>
      </c>
      <c r="O105" t="s">
        <v>62</v>
      </c>
      <c r="P105" t="s">
        <v>63</v>
      </c>
      <c r="Q105">
        <v>1.259194095508291</v>
      </c>
      <c r="R105" t="s">
        <v>64</v>
      </c>
      <c r="S105" t="s">
        <v>65</v>
      </c>
      <c r="T105" t="s">
        <v>673</v>
      </c>
      <c r="V105" t="s">
        <v>73</v>
      </c>
      <c r="X105" t="s">
        <v>673</v>
      </c>
      <c r="Y105" t="s">
        <v>2233</v>
      </c>
      <c r="Z105" t="s">
        <v>1460</v>
      </c>
      <c r="AA105" t="s">
        <v>603</v>
      </c>
      <c r="AB105" t="s">
        <v>453</v>
      </c>
      <c r="AF105" t="s">
        <v>1279</v>
      </c>
      <c r="AI105">
        <v>396.10403587383797</v>
      </c>
      <c r="AJ105">
        <v>5095.7980956278843</v>
      </c>
    </row>
    <row r="106" spans="1:36" x14ac:dyDescent="0.25">
      <c r="A106">
        <v>105</v>
      </c>
      <c r="B106" t="s">
        <v>2236</v>
      </c>
      <c r="C106" t="s">
        <v>376</v>
      </c>
      <c r="D106" t="s">
        <v>2041</v>
      </c>
      <c r="E106" t="s">
        <v>37</v>
      </c>
      <c r="G106" s="2">
        <v>45855</v>
      </c>
      <c r="I106" t="s">
        <v>72</v>
      </c>
      <c r="J106" t="s">
        <v>1024</v>
      </c>
      <c r="K106" t="s">
        <v>1025</v>
      </c>
      <c r="L106" t="s">
        <v>2042</v>
      </c>
      <c r="M106" t="s">
        <v>972</v>
      </c>
      <c r="O106" t="s">
        <v>62</v>
      </c>
      <c r="P106" t="s">
        <v>63</v>
      </c>
      <c r="Q106">
        <v>1.3481943857275009</v>
      </c>
      <c r="R106" t="s">
        <v>64</v>
      </c>
      <c r="S106" t="s">
        <v>65</v>
      </c>
      <c r="T106" t="s">
        <v>673</v>
      </c>
      <c r="V106" t="s">
        <v>73</v>
      </c>
      <c r="X106" t="s">
        <v>673</v>
      </c>
      <c r="Y106" t="s">
        <v>2233</v>
      </c>
      <c r="Z106" t="s">
        <v>1460</v>
      </c>
      <c r="AA106" t="s">
        <v>603</v>
      </c>
      <c r="AB106" t="s">
        <v>453</v>
      </c>
      <c r="AF106" t="s">
        <v>1423</v>
      </c>
      <c r="AI106">
        <v>441.70866241454411</v>
      </c>
      <c r="AJ106">
        <v>5455.9709323868674</v>
      </c>
    </row>
    <row r="107" spans="1:36" x14ac:dyDescent="0.25">
      <c r="A107">
        <v>106</v>
      </c>
      <c r="B107" t="s">
        <v>2237</v>
      </c>
      <c r="C107" t="s">
        <v>376</v>
      </c>
      <c r="D107" t="s">
        <v>2041</v>
      </c>
      <c r="E107" t="s">
        <v>37</v>
      </c>
      <c r="G107" s="2">
        <v>45855</v>
      </c>
      <c r="I107" t="s">
        <v>72</v>
      </c>
      <c r="J107" t="s">
        <v>1024</v>
      </c>
      <c r="K107" t="s">
        <v>1025</v>
      </c>
      <c r="L107" t="s">
        <v>2042</v>
      </c>
      <c r="M107" t="s">
        <v>972</v>
      </c>
      <c r="O107" t="s">
        <v>62</v>
      </c>
      <c r="P107" t="s">
        <v>63</v>
      </c>
      <c r="Q107">
        <v>1.2654033210927469</v>
      </c>
      <c r="R107" t="s">
        <v>64</v>
      </c>
      <c r="S107" t="s">
        <v>65</v>
      </c>
      <c r="T107" t="s">
        <v>673</v>
      </c>
      <c r="V107" t="s">
        <v>73</v>
      </c>
      <c r="X107" t="s">
        <v>673</v>
      </c>
      <c r="Y107" t="s">
        <v>2233</v>
      </c>
      <c r="Z107" t="s">
        <v>1460</v>
      </c>
      <c r="AA107" t="s">
        <v>603</v>
      </c>
      <c r="AB107" t="s">
        <v>453</v>
      </c>
      <c r="AF107" t="s">
        <v>2238</v>
      </c>
      <c r="AI107">
        <v>465.05485514034473</v>
      </c>
      <c r="AJ107">
        <v>5120.9260405741506</v>
      </c>
    </row>
    <row r="108" spans="1:36" x14ac:dyDescent="0.25">
      <c r="A108">
        <v>107</v>
      </c>
      <c r="B108" t="s">
        <v>2239</v>
      </c>
      <c r="C108" t="s">
        <v>376</v>
      </c>
      <c r="D108" t="s">
        <v>2041</v>
      </c>
      <c r="E108" t="s">
        <v>37</v>
      </c>
      <c r="G108" s="2">
        <v>45855</v>
      </c>
      <c r="I108" t="s">
        <v>72</v>
      </c>
      <c r="J108" t="s">
        <v>1024</v>
      </c>
      <c r="K108" t="s">
        <v>1025</v>
      </c>
      <c r="L108" t="s">
        <v>2042</v>
      </c>
      <c r="M108" t="s">
        <v>972</v>
      </c>
      <c r="O108" t="s">
        <v>62</v>
      </c>
      <c r="P108" t="s">
        <v>63</v>
      </c>
      <c r="Q108">
        <v>1.3608615808141289</v>
      </c>
      <c r="R108" t="s">
        <v>64</v>
      </c>
      <c r="S108" t="s">
        <v>65</v>
      </c>
      <c r="T108" t="s">
        <v>673</v>
      </c>
      <c r="V108" t="s">
        <v>73</v>
      </c>
      <c r="X108" t="s">
        <v>673</v>
      </c>
      <c r="Y108" t="s">
        <v>2233</v>
      </c>
      <c r="Z108" t="s">
        <v>1460</v>
      </c>
      <c r="AA108" t="s">
        <v>603</v>
      </c>
      <c r="AB108" t="s">
        <v>453</v>
      </c>
      <c r="AF108" t="s">
        <v>1604</v>
      </c>
      <c r="AI108">
        <v>483.20757555835229</v>
      </c>
      <c r="AJ108">
        <v>5507.2334572268746</v>
      </c>
    </row>
    <row r="109" spans="1:36" hidden="1" x14ac:dyDescent="0.25">
      <c r="A109">
        <v>108</v>
      </c>
      <c r="B109" t="s">
        <v>2240</v>
      </c>
      <c r="C109" t="s">
        <v>376</v>
      </c>
      <c r="D109" t="s">
        <v>2041</v>
      </c>
      <c r="E109" t="s">
        <v>37</v>
      </c>
      <c r="G109" s="2">
        <v>45855</v>
      </c>
      <c r="H109">
        <v>6.4</v>
      </c>
      <c r="I109" t="s">
        <v>72</v>
      </c>
      <c r="J109" t="s">
        <v>1024</v>
      </c>
      <c r="K109" t="s">
        <v>1025</v>
      </c>
      <c r="L109" t="s">
        <v>2042</v>
      </c>
      <c r="M109" t="s">
        <v>972</v>
      </c>
      <c r="N109" t="s">
        <v>2241</v>
      </c>
      <c r="O109" t="s">
        <v>79</v>
      </c>
      <c r="P109" t="s">
        <v>80</v>
      </c>
      <c r="Q109">
        <v>10.52568979288087</v>
      </c>
      <c r="R109" t="s">
        <v>46</v>
      </c>
      <c r="S109" t="s">
        <v>47</v>
      </c>
      <c r="T109" t="s">
        <v>2242</v>
      </c>
      <c r="V109" t="s">
        <v>73</v>
      </c>
      <c r="X109" t="s">
        <v>2243</v>
      </c>
      <c r="Y109" t="s">
        <v>2233</v>
      </c>
      <c r="Z109" t="s">
        <v>1460</v>
      </c>
      <c r="AA109" t="s">
        <v>629</v>
      </c>
      <c r="AB109" t="s">
        <v>453</v>
      </c>
      <c r="AD109" t="s">
        <v>145</v>
      </c>
      <c r="AE109" t="s">
        <v>2244</v>
      </c>
      <c r="AI109">
        <v>994.1506498510937</v>
      </c>
      <c r="AJ109">
        <v>42596.125722842582</v>
      </c>
    </row>
    <row r="110" spans="1:36" x14ac:dyDescent="0.25">
      <c r="A110">
        <v>109</v>
      </c>
      <c r="B110" t="s">
        <v>2245</v>
      </c>
      <c r="C110" t="s">
        <v>376</v>
      </c>
      <c r="D110" t="s">
        <v>2041</v>
      </c>
      <c r="E110" t="s">
        <v>37</v>
      </c>
      <c r="G110" s="2">
        <v>45855</v>
      </c>
      <c r="I110" t="s">
        <v>72</v>
      </c>
      <c r="J110" t="s">
        <v>1024</v>
      </c>
      <c r="K110" t="s">
        <v>1025</v>
      </c>
      <c r="L110" t="s">
        <v>2042</v>
      </c>
      <c r="M110" t="s">
        <v>972</v>
      </c>
      <c r="O110" t="s">
        <v>62</v>
      </c>
      <c r="P110" t="s">
        <v>63</v>
      </c>
      <c r="Q110">
        <v>1.4817266710920709</v>
      </c>
      <c r="R110" t="s">
        <v>64</v>
      </c>
      <c r="S110" t="s">
        <v>65</v>
      </c>
      <c r="T110" t="s">
        <v>673</v>
      </c>
      <c r="V110" t="s">
        <v>73</v>
      </c>
      <c r="X110" t="s">
        <v>673</v>
      </c>
      <c r="Y110" t="s">
        <v>2233</v>
      </c>
      <c r="Z110" t="s">
        <v>1460</v>
      </c>
      <c r="AA110" t="s">
        <v>603</v>
      </c>
      <c r="AB110" t="s">
        <v>453</v>
      </c>
      <c r="AF110" t="s">
        <v>2246</v>
      </c>
      <c r="AI110">
        <v>498.93663353889059</v>
      </c>
      <c r="AJ110">
        <v>5996.3590805626582</v>
      </c>
    </row>
    <row r="111" spans="1:36" x14ac:dyDescent="0.25">
      <c r="A111">
        <v>110</v>
      </c>
      <c r="B111" t="s">
        <v>2247</v>
      </c>
      <c r="C111" t="s">
        <v>376</v>
      </c>
      <c r="D111" t="s">
        <v>2041</v>
      </c>
      <c r="E111" t="s">
        <v>37</v>
      </c>
      <c r="G111" s="2">
        <v>45855</v>
      </c>
      <c r="I111" t="s">
        <v>72</v>
      </c>
      <c r="J111" t="s">
        <v>1024</v>
      </c>
      <c r="K111" t="s">
        <v>1025</v>
      </c>
      <c r="L111" t="s">
        <v>2042</v>
      </c>
      <c r="M111" t="s">
        <v>972</v>
      </c>
      <c r="O111" t="s">
        <v>62</v>
      </c>
      <c r="P111" t="s">
        <v>63</v>
      </c>
      <c r="Q111">
        <v>1.354416281475745</v>
      </c>
      <c r="R111" t="s">
        <v>64</v>
      </c>
      <c r="S111" t="s">
        <v>65</v>
      </c>
      <c r="T111" t="s">
        <v>673</v>
      </c>
      <c r="V111" t="s">
        <v>73</v>
      </c>
      <c r="X111" t="s">
        <v>673</v>
      </c>
      <c r="Y111" t="s">
        <v>2233</v>
      </c>
      <c r="Z111" t="s">
        <v>1073</v>
      </c>
      <c r="AA111" t="s">
        <v>603</v>
      </c>
      <c r="AB111" t="s">
        <v>453</v>
      </c>
      <c r="AF111" t="s">
        <v>2248</v>
      </c>
      <c r="AI111">
        <v>499.37288215997307</v>
      </c>
      <c r="AJ111">
        <v>5481.150151871926</v>
      </c>
    </row>
    <row r="112" spans="1:36" x14ac:dyDescent="0.25">
      <c r="A112">
        <v>111</v>
      </c>
      <c r="B112" t="s">
        <v>2249</v>
      </c>
      <c r="C112" t="s">
        <v>376</v>
      </c>
      <c r="D112" t="s">
        <v>2041</v>
      </c>
      <c r="E112" t="s">
        <v>37</v>
      </c>
      <c r="G112" s="2">
        <v>45855</v>
      </c>
      <c r="I112" t="s">
        <v>72</v>
      </c>
      <c r="J112" t="s">
        <v>1024</v>
      </c>
      <c r="K112" t="s">
        <v>1025</v>
      </c>
      <c r="L112" t="s">
        <v>2042</v>
      </c>
      <c r="M112" t="s">
        <v>972</v>
      </c>
      <c r="O112" t="s">
        <v>62</v>
      </c>
      <c r="P112" t="s">
        <v>63</v>
      </c>
      <c r="Q112">
        <v>1.40580912752752</v>
      </c>
      <c r="R112" t="s">
        <v>64</v>
      </c>
      <c r="S112" t="s">
        <v>65</v>
      </c>
      <c r="T112" t="s">
        <v>673</v>
      </c>
      <c r="V112" t="s">
        <v>73</v>
      </c>
      <c r="X112" t="s">
        <v>673</v>
      </c>
      <c r="Y112" t="s">
        <v>2233</v>
      </c>
      <c r="Z112" t="s">
        <v>1460</v>
      </c>
      <c r="AA112" t="s">
        <v>603</v>
      </c>
      <c r="AB112" t="s">
        <v>453</v>
      </c>
      <c r="AF112" t="s">
        <v>2250</v>
      </c>
      <c r="AI112">
        <v>500.019226530472</v>
      </c>
      <c r="AJ112">
        <v>5689.1304529023382</v>
      </c>
    </row>
    <row r="113" spans="1:36" x14ac:dyDescent="0.25">
      <c r="A113">
        <v>112</v>
      </c>
      <c r="B113" t="s">
        <v>2251</v>
      </c>
      <c r="C113" t="s">
        <v>376</v>
      </c>
      <c r="D113" t="s">
        <v>2041</v>
      </c>
      <c r="E113" t="s">
        <v>37</v>
      </c>
      <c r="G113" s="2">
        <v>45855</v>
      </c>
      <c r="I113" t="s">
        <v>72</v>
      </c>
      <c r="J113" t="s">
        <v>1024</v>
      </c>
      <c r="K113" t="s">
        <v>1025</v>
      </c>
      <c r="L113" t="s">
        <v>2042</v>
      </c>
      <c r="M113" t="s">
        <v>972</v>
      </c>
      <c r="O113" t="s">
        <v>62</v>
      </c>
      <c r="P113" t="s">
        <v>63</v>
      </c>
      <c r="Q113">
        <v>1.4961368236678589</v>
      </c>
      <c r="R113" t="s">
        <v>64</v>
      </c>
      <c r="S113" t="s">
        <v>65</v>
      </c>
      <c r="T113" t="s">
        <v>673</v>
      </c>
      <c r="V113" t="s">
        <v>73</v>
      </c>
      <c r="X113" t="s">
        <v>673</v>
      </c>
      <c r="Y113" t="s">
        <v>2233</v>
      </c>
      <c r="Z113" t="s">
        <v>1460</v>
      </c>
      <c r="AA113" t="s">
        <v>603</v>
      </c>
      <c r="AB113" t="s">
        <v>453</v>
      </c>
      <c r="AF113" t="s">
        <v>2252</v>
      </c>
      <c r="AI113">
        <v>502.9759504756147</v>
      </c>
      <c r="AJ113">
        <v>6054.6751323257222</v>
      </c>
    </row>
    <row r="114" spans="1:36" x14ac:dyDescent="0.25">
      <c r="A114">
        <v>113</v>
      </c>
      <c r="B114" t="s">
        <v>2253</v>
      </c>
      <c r="C114" t="s">
        <v>376</v>
      </c>
      <c r="D114" t="s">
        <v>2041</v>
      </c>
      <c r="E114" t="s">
        <v>37</v>
      </c>
      <c r="G114" s="2">
        <v>45855</v>
      </c>
      <c r="I114" t="s">
        <v>72</v>
      </c>
      <c r="J114" t="s">
        <v>1024</v>
      </c>
      <c r="K114" t="s">
        <v>1025</v>
      </c>
      <c r="L114" t="s">
        <v>2042</v>
      </c>
      <c r="M114" t="s">
        <v>972</v>
      </c>
      <c r="O114" t="s">
        <v>62</v>
      </c>
      <c r="P114" t="s">
        <v>63</v>
      </c>
      <c r="Q114">
        <v>1.928901636707788</v>
      </c>
      <c r="R114" t="s">
        <v>64</v>
      </c>
      <c r="S114" t="s">
        <v>65</v>
      </c>
      <c r="T114" t="s">
        <v>673</v>
      </c>
      <c r="V114" t="s">
        <v>73</v>
      </c>
      <c r="X114" t="s">
        <v>673</v>
      </c>
      <c r="Y114" t="s">
        <v>2233</v>
      </c>
      <c r="Z114" t="s">
        <v>1460</v>
      </c>
      <c r="AA114" t="s">
        <v>603</v>
      </c>
      <c r="AB114" t="s">
        <v>453</v>
      </c>
      <c r="AF114" t="s">
        <v>2254</v>
      </c>
      <c r="AI114">
        <v>504.3317685661296</v>
      </c>
      <c r="AJ114">
        <v>7806.0192007343621</v>
      </c>
    </row>
    <row r="115" spans="1:36" x14ac:dyDescent="0.25">
      <c r="A115">
        <v>114</v>
      </c>
      <c r="B115" t="s">
        <v>2255</v>
      </c>
      <c r="C115" t="s">
        <v>376</v>
      </c>
      <c r="D115" t="s">
        <v>2041</v>
      </c>
      <c r="E115" t="s">
        <v>37</v>
      </c>
      <c r="G115" s="2">
        <v>45855</v>
      </c>
      <c r="I115" t="s">
        <v>72</v>
      </c>
      <c r="J115" t="s">
        <v>1024</v>
      </c>
      <c r="K115" t="s">
        <v>1025</v>
      </c>
      <c r="L115" t="s">
        <v>2042</v>
      </c>
      <c r="M115" t="s">
        <v>972</v>
      </c>
      <c r="O115" t="s">
        <v>62</v>
      </c>
      <c r="P115" t="s">
        <v>63</v>
      </c>
      <c r="Q115">
        <v>2.2210602848452679</v>
      </c>
      <c r="R115" t="s">
        <v>64</v>
      </c>
      <c r="S115" t="s">
        <v>65</v>
      </c>
      <c r="T115" t="s">
        <v>673</v>
      </c>
      <c r="V115" t="s">
        <v>73</v>
      </c>
      <c r="X115" t="s">
        <v>673</v>
      </c>
      <c r="Y115" t="s">
        <v>2233</v>
      </c>
      <c r="Z115" t="s">
        <v>1460</v>
      </c>
      <c r="AA115" t="s">
        <v>603</v>
      </c>
      <c r="AB115" t="s">
        <v>453</v>
      </c>
      <c r="AF115" t="s">
        <v>1182</v>
      </c>
      <c r="AI115">
        <v>446.07596177039551</v>
      </c>
      <c r="AJ115">
        <v>8988.3480316198184</v>
      </c>
    </row>
    <row r="116" spans="1:36" x14ac:dyDescent="0.25">
      <c r="A116">
        <v>115</v>
      </c>
      <c r="B116" t="s">
        <v>2256</v>
      </c>
      <c r="C116" t="s">
        <v>376</v>
      </c>
      <c r="D116" t="s">
        <v>2041</v>
      </c>
      <c r="E116" t="s">
        <v>37</v>
      </c>
      <c r="G116" s="2">
        <v>45855</v>
      </c>
      <c r="H116">
        <v>5.9</v>
      </c>
      <c r="I116" t="s">
        <v>72</v>
      </c>
      <c r="J116" t="s">
        <v>1024</v>
      </c>
      <c r="K116" t="s">
        <v>1025</v>
      </c>
      <c r="L116" t="s">
        <v>2042</v>
      </c>
      <c r="M116" t="s">
        <v>972</v>
      </c>
      <c r="N116" t="s">
        <v>2241</v>
      </c>
      <c r="O116" t="s">
        <v>62</v>
      </c>
      <c r="P116" t="s">
        <v>63</v>
      </c>
      <c r="Q116">
        <v>1.2159747103152649</v>
      </c>
      <c r="R116" t="s">
        <v>64</v>
      </c>
      <c r="S116" t="s">
        <v>65</v>
      </c>
      <c r="T116" t="s">
        <v>2257</v>
      </c>
      <c r="V116" t="s">
        <v>73</v>
      </c>
      <c r="X116" t="s">
        <v>2243</v>
      </c>
      <c r="Y116" t="s">
        <v>2233</v>
      </c>
      <c r="Z116" t="s">
        <v>1460</v>
      </c>
      <c r="AA116" t="s">
        <v>603</v>
      </c>
      <c r="AB116" t="s">
        <v>453</v>
      </c>
      <c r="AD116" t="s">
        <v>93</v>
      </c>
      <c r="AE116" t="s">
        <v>2258</v>
      </c>
      <c r="AI116">
        <v>816.01227085490007</v>
      </c>
      <c r="AJ116">
        <v>4920.8947494746253</v>
      </c>
    </row>
    <row r="117" spans="1:36" x14ac:dyDescent="0.25">
      <c r="A117">
        <v>116</v>
      </c>
      <c r="B117" t="s">
        <v>2259</v>
      </c>
      <c r="C117" t="s">
        <v>376</v>
      </c>
      <c r="D117" t="s">
        <v>2041</v>
      </c>
      <c r="E117" t="s">
        <v>37</v>
      </c>
      <c r="G117" s="2">
        <v>45855</v>
      </c>
      <c r="H117">
        <v>0.2</v>
      </c>
      <c r="I117" t="s">
        <v>72</v>
      </c>
      <c r="J117" t="s">
        <v>1024</v>
      </c>
      <c r="K117" t="s">
        <v>1025</v>
      </c>
      <c r="L117" t="s">
        <v>2042</v>
      </c>
      <c r="M117" t="s">
        <v>972</v>
      </c>
      <c r="O117" t="s">
        <v>62</v>
      </c>
      <c r="P117" t="s">
        <v>63</v>
      </c>
      <c r="Q117">
        <v>0.24282065897194269</v>
      </c>
      <c r="R117" t="s">
        <v>64</v>
      </c>
      <c r="S117" t="s">
        <v>65</v>
      </c>
      <c r="T117" t="s">
        <v>2260</v>
      </c>
      <c r="V117" t="s">
        <v>73</v>
      </c>
      <c r="X117" t="s">
        <v>2261</v>
      </c>
      <c r="Y117" t="s">
        <v>2233</v>
      </c>
      <c r="Z117" t="s">
        <v>1460</v>
      </c>
      <c r="AA117" t="s">
        <v>629</v>
      </c>
      <c r="AB117" t="s">
        <v>453</v>
      </c>
      <c r="AD117" t="s">
        <v>93</v>
      </c>
      <c r="AE117" t="s">
        <v>2258</v>
      </c>
      <c r="AI117">
        <v>135.7513190051921</v>
      </c>
      <c r="AJ117">
        <v>982.66427390517129</v>
      </c>
    </row>
    <row r="118" spans="1:36" x14ac:dyDescent="0.25">
      <c r="A118">
        <v>117</v>
      </c>
      <c r="B118" t="s">
        <v>2262</v>
      </c>
      <c r="C118" t="s">
        <v>376</v>
      </c>
      <c r="D118" t="s">
        <v>2041</v>
      </c>
      <c r="E118" t="s">
        <v>37</v>
      </c>
      <c r="G118" s="2">
        <v>45855</v>
      </c>
      <c r="H118">
        <v>1.3</v>
      </c>
      <c r="I118" t="s">
        <v>72</v>
      </c>
      <c r="J118" t="s">
        <v>1024</v>
      </c>
      <c r="K118" t="s">
        <v>1025</v>
      </c>
      <c r="L118" t="s">
        <v>2042</v>
      </c>
      <c r="M118" t="s">
        <v>972</v>
      </c>
      <c r="O118" t="s">
        <v>62</v>
      </c>
      <c r="P118" t="s">
        <v>63</v>
      </c>
      <c r="Q118">
        <v>1.247395390076929</v>
      </c>
      <c r="R118" t="s">
        <v>64</v>
      </c>
      <c r="S118" t="s">
        <v>65</v>
      </c>
      <c r="T118" t="s">
        <v>2260</v>
      </c>
      <c r="V118" t="s">
        <v>73</v>
      </c>
      <c r="X118" t="s">
        <v>2261</v>
      </c>
      <c r="Y118" t="s">
        <v>2233</v>
      </c>
      <c r="Z118" t="s">
        <v>1460</v>
      </c>
      <c r="AA118" t="s">
        <v>629</v>
      </c>
      <c r="AB118" t="s">
        <v>453</v>
      </c>
      <c r="AD118" t="s">
        <v>93</v>
      </c>
      <c r="AE118" t="s">
        <v>2258</v>
      </c>
      <c r="AI118">
        <v>322.11619762787871</v>
      </c>
      <c r="AJ118">
        <v>5048.0502377857301</v>
      </c>
    </row>
    <row r="119" spans="1:36" x14ac:dyDescent="0.25">
      <c r="A119">
        <v>118</v>
      </c>
      <c r="B119" t="s">
        <v>2263</v>
      </c>
      <c r="C119" t="s">
        <v>376</v>
      </c>
      <c r="D119" t="s">
        <v>2041</v>
      </c>
      <c r="E119" t="s">
        <v>37</v>
      </c>
      <c r="G119" s="2">
        <v>45855</v>
      </c>
      <c r="H119">
        <v>5.3</v>
      </c>
      <c r="I119" t="s">
        <v>72</v>
      </c>
      <c r="J119" t="s">
        <v>1024</v>
      </c>
      <c r="K119" t="s">
        <v>1025</v>
      </c>
      <c r="L119" t="s">
        <v>2042</v>
      </c>
      <c r="M119" t="s">
        <v>972</v>
      </c>
      <c r="O119" t="s">
        <v>62</v>
      </c>
      <c r="P119" t="s">
        <v>63</v>
      </c>
      <c r="Q119">
        <v>5.2114990301402067</v>
      </c>
      <c r="R119" t="s">
        <v>64</v>
      </c>
      <c r="S119" t="s">
        <v>65</v>
      </c>
      <c r="T119" t="s">
        <v>2260</v>
      </c>
      <c r="V119" t="s">
        <v>73</v>
      </c>
      <c r="X119" t="s">
        <v>2261</v>
      </c>
      <c r="Y119" t="s">
        <v>2233</v>
      </c>
      <c r="Z119" t="s">
        <v>1460</v>
      </c>
      <c r="AA119" t="s">
        <v>603</v>
      </c>
      <c r="AB119" t="s">
        <v>453</v>
      </c>
      <c r="AD119" t="s">
        <v>93</v>
      </c>
      <c r="AE119" t="s">
        <v>2258</v>
      </c>
      <c r="AI119">
        <v>1035.7131152564741</v>
      </c>
      <c r="AJ119">
        <v>21090.272681460629</v>
      </c>
    </row>
    <row r="120" spans="1:36" x14ac:dyDescent="0.25">
      <c r="A120">
        <v>119</v>
      </c>
      <c r="B120" t="s">
        <v>2264</v>
      </c>
      <c r="C120" t="s">
        <v>376</v>
      </c>
      <c r="D120" t="s">
        <v>2041</v>
      </c>
      <c r="E120" t="s">
        <v>37</v>
      </c>
      <c r="G120" s="2">
        <v>45855</v>
      </c>
      <c r="H120">
        <v>1</v>
      </c>
      <c r="I120" t="s">
        <v>72</v>
      </c>
      <c r="J120" t="s">
        <v>1024</v>
      </c>
      <c r="K120" t="s">
        <v>1025</v>
      </c>
      <c r="L120" t="s">
        <v>2042</v>
      </c>
      <c r="M120" t="s">
        <v>972</v>
      </c>
      <c r="O120" t="s">
        <v>62</v>
      </c>
      <c r="P120" t="s">
        <v>63</v>
      </c>
      <c r="Q120">
        <v>0.9281232848807659</v>
      </c>
      <c r="R120" t="s">
        <v>64</v>
      </c>
      <c r="S120" t="s">
        <v>65</v>
      </c>
      <c r="T120" t="s">
        <v>2260</v>
      </c>
      <c r="V120" t="s">
        <v>73</v>
      </c>
      <c r="X120" t="s">
        <v>2261</v>
      </c>
      <c r="Y120" t="s">
        <v>2233</v>
      </c>
      <c r="Z120" t="s">
        <v>1460</v>
      </c>
      <c r="AA120" t="s">
        <v>603</v>
      </c>
      <c r="AB120" t="s">
        <v>453</v>
      </c>
      <c r="AD120" t="s">
        <v>93</v>
      </c>
      <c r="AE120" t="s">
        <v>2258</v>
      </c>
      <c r="AI120">
        <v>274.35578196820211</v>
      </c>
      <c r="AJ120">
        <v>3755.996700170489</v>
      </c>
    </row>
    <row r="121" spans="1:36" hidden="1" x14ac:dyDescent="0.25">
      <c r="A121">
        <v>120</v>
      </c>
      <c r="B121" t="s">
        <v>2265</v>
      </c>
      <c r="C121" t="s">
        <v>376</v>
      </c>
      <c r="D121" t="s">
        <v>2041</v>
      </c>
      <c r="E121" t="s">
        <v>37</v>
      </c>
      <c r="G121" s="2">
        <v>45855</v>
      </c>
      <c r="H121">
        <v>2.2999999999999998</v>
      </c>
      <c r="I121" t="s">
        <v>72</v>
      </c>
      <c r="J121" t="s">
        <v>1024</v>
      </c>
      <c r="K121" t="s">
        <v>1025</v>
      </c>
      <c r="L121" t="s">
        <v>2042</v>
      </c>
      <c r="M121" t="s">
        <v>972</v>
      </c>
      <c r="N121" t="s">
        <v>2241</v>
      </c>
      <c r="O121" t="s">
        <v>79</v>
      </c>
      <c r="P121" t="s">
        <v>80</v>
      </c>
      <c r="Q121">
        <v>2.4106005346253641</v>
      </c>
      <c r="R121" t="s">
        <v>46</v>
      </c>
      <c r="S121" t="s">
        <v>47</v>
      </c>
      <c r="T121" t="s">
        <v>2257</v>
      </c>
      <c r="V121" t="s">
        <v>73</v>
      </c>
      <c r="X121" t="s">
        <v>2243</v>
      </c>
      <c r="Y121" t="s">
        <v>2233</v>
      </c>
      <c r="Z121" t="s">
        <v>1460</v>
      </c>
      <c r="AA121" t="s">
        <v>603</v>
      </c>
      <c r="AD121" t="s">
        <v>93</v>
      </c>
      <c r="AE121" t="s">
        <v>2258</v>
      </c>
      <c r="AI121">
        <v>489.41545848820368</v>
      </c>
      <c r="AJ121">
        <v>9755.3932769236126</v>
      </c>
    </row>
    <row r="122" spans="1:36" x14ac:dyDescent="0.25">
      <c r="A122">
        <v>121</v>
      </c>
      <c r="B122" t="s">
        <v>2266</v>
      </c>
      <c r="C122" t="s">
        <v>376</v>
      </c>
      <c r="D122" t="s">
        <v>2041</v>
      </c>
      <c r="E122" t="s">
        <v>37</v>
      </c>
      <c r="G122" s="2">
        <v>45855</v>
      </c>
      <c r="H122">
        <v>4.3</v>
      </c>
      <c r="I122" t="s">
        <v>72</v>
      </c>
      <c r="J122" t="s">
        <v>1024</v>
      </c>
      <c r="K122" t="s">
        <v>1025</v>
      </c>
      <c r="L122" t="s">
        <v>2042</v>
      </c>
      <c r="M122" t="s">
        <v>972</v>
      </c>
      <c r="O122" t="s">
        <v>62</v>
      </c>
      <c r="P122" t="s">
        <v>63</v>
      </c>
      <c r="Q122">
        <v>4.0722633944124222</v>
      </c>
      <c r="R122" t="s">
        <v>64</v>
      </c>
      <c r="S122" t="s">
        <v>65</v>
      </c>
      <c r="T122" t="s">
        <v>2260</v>
      </c>
      <c r="V122" t="s">
        <v>73</v>
      </c>
      <c r="X122" t="s">
        <v>2261</v>
      </c>
      <c r="Y122" t="s">
        <v>2233</v>
      </c>
      <c r="Z122" t="s">
        <v>1460</v>
      </c>
      <c r="AA122" t="s">
        <v>603</v>
      </c>
      <c r="AB122" t="s">
        <v>453</v>
      </c>
      <c r="AD122" t="s">
        <v>93</v>
      </c>
      <c r="AE122" t="s">
        <v>2258</v>
      </c>
      <c r="AI122">
        <v>692.60173044974192</v>
      </c>
      <c r="AJ122">
        <v>16479.931191041182</v>
      </c>
    </row>
    <row r="123" spans="1:36" x14ac:dyDescent="0.25">
      <c r="A123">
        <v>122</v>
      </c>
      <c r="B123" t="s">
        <v>2267</v>
      </c>
      <c r="C123" t="s">
        <v>376</v>
      </c>
      <c r="D123" t="s">
        <v>2041</v>
      </c>
      <c r="E123" t="s">
        <v>37</v>
      </c>
      <c r="G123" s="2">
        <v>45855</v>
      </c>
      <c r="H123">
        <v>1.4</v>
      </c>
      <c r="I123" t="s">
        <v>72</v>
      </c>
      <c r="J123" t="s">
        <v>1024</v>
      </c>
      <c r="K123" t="s">
        <v>1025</v>
      </c>
      <c r="L123" t="s">
        <v>2042</v>
      </c>
      <c r="M123" t="s">
        <v>972</v>
      </c>
      <c r="N123" t="s">
        <v>2241</v>
      </c>
      <c r="O123" t="s">
        <v>62</v>
      </c>
      <c r="P123" t="s">
        <v>63</v>
      </c>
      <c r="Q123">
        <v>1.325186336766109</v>
      </c>
      <c r="R123" t="s">
        <v>64</v>
      </c>
      <c r="S123" t="s">
        <v>65</v>
      </c>
      <c r="T123" t="s">
        <v>2257</v>
      </c>
      <c r="V123" t="s">
        <v>73</v>
      </c>
      <c r="X123" t="s">
        <v>2243</v>
      </c>
      <c r="Y123" t="s">
        <v>2233</v>
      </c>
      <c r="Z123" t="s">
        <v>1460</v>
      </c>
      <c r="AA123" t="s">
        <v>603</v>
      </c>
      <c r="AB123" t="s">
        <v>453</v>
      </c>
      <c r="AD123" t="s">
        <v>145</v>
      </c>
      <c r="AE123" t="s">
        <v>2268</v>
      </c>
      <c r="AI123">
        <v>496.79669944230471</v>
      </c>
      <c r="AJ123">
        <v>5362.8602892383624</v>
      </c>
    </row>
    <row r="124" spans="1:36" x14ac:dyDescent="0.25">
      <c r="A124">
        <v>123</v>
      </c>
      <c r="B124" t="s">
        <v>2269</v>
      </c>
      <c r="C124" t="s">
        <v>376</v>
      </c>
      <c r="D124" t="s">
        <v>2041</v>
      </c>
      <c r="E124" t="s">
        <v>37</v>
      </c>
      <c r="G124" s="2">
        <v>45855</v>
      </c>
      <c r="H124">
        <v>9.5</v>
      </c>
      <c r="I124" t="s">
        <v>72</v>
      </c>
      <c r="J124" t="s">
        <v>1024</v>
      </c>
      <c r="K124" t="s">
        <v>1025</v>
      </c>
      <c r="L124" t="s">
        <v>2042</v>
      </c>
      <c r="M124" t="s">
        <v>972</v>
      </c>
      <c r="O124" t="s">
        <v>62</v>
      </c>
      <c r="P124" t="s">
        <v>63</v>
      </c>
      <c r="Q124">
        <v>9.2017163311203394</v>
      </c>
      <c r="R124" t="s">
        <v>64</v>
      </c>
      <c r="S124" t="s">
        <v>65</v>
      </c>
      <c r="T124" t="s">
        <v>2270</v>
      </c>
      <c r="V124" t="s">
        <v>73</v>
      </c>
      <c r="X124" t="s">
        <v>2271</v>
      </c>
      <c r="Y124" t="s">
        <v>2233</v>
      </c>
      <c r="Z124" t="s">
        <v>1460</v>
      </c>
      <c r="AA124" t="s">
        <v>603</v>
      </c>
      <c r="AB124" t="s">
        <v>453</v>
      </c>
      <c r="AD124" t="s">
        <v>1493</v>
      </c>
      <c r="AE124" t="s">
        <v>2268</v>
      </c>
      <c r="AI124">
        <v>1045.8753459796119</v>
      </c>
      <c r="AJ124">
        <v>37238.173784243503</v>
      </c>
    </row>
    <row r="125" spans="1:36" x14ac:dyDescent="0.25">
      <c r="A125">
        <v>124</v>
      </c>
      <c r="B125" t="s">
        <v>2272</v>
      </c>
      <c r="C125" t="s">
        <v>376</v>
      </c>
      <c r="D125" t="s">
        <v>2041</v>
      </c>
      <c r="E125" t="s">
        <v>37</v>
      </c>
      <c r="G125" s="2">
        <v>45855</v>
      </c>
      <c r="H125">
        <v>1.2</v>
      </c>
      <c r="I125" t="s">
        <v>72</v>
      </c>
      <c r="J125" t="s">
        <v>1024</v>
      </c>
      <c r="K125" t="s">
        <v>1025</v>
      </c>
      <c r="L125" t="s">
        <v>2042</v>
      </c>
      <c r="M125" t="s">
        <v>972</v>
      </c>
      <c r="N125" t="s">
        <v>2241</v>
      </c>
      <c r="O125" t="s">
        <v>62</v>
      </c>
      <c r="P125" t="s">
        <v>63</v>
      </c>
      <c r="Q125">
        <v>1.171868810949755</v>
      </c>
      <c r="R125" t="s">
        <v>64</v>
      </c>
      <c r="S125" t="s">
        <v>65</v>
      </c>
      <c r="T125" t="s">
        <v>2257</v>
      </c>
      <c r="V125" t="s">
        <v>73</v>
      </c>
      <c r="X125" t="s">
        <v>2243</v>
      </c>
      <c r="Y125" t="s">
        <v>2233</v>
      </c>
      <c r="Z125" t="s">
        <v>1460</v>
      </c>
      <c r="AA125" t="s">
        <v>603</v>
      </c>
      <c r="AB125" t="s">
        <v>453</v>
      </c>
      <c r="AD125" t="s">
        <v>145</v>
      </c>
      <c r="AE125" t="s">
        <v>2268</v>
      </c>
      <c r="AI125">
        <v>485.23933414986112</v>
      </c>
      <c r="AJ125">
        <v>4742.4037933984719</v>
      </c>
    </row>
    <row r="126" spans="1:36" x14ac:dyDescent="0.25">
      <c r="A126">
        <v>125</v>
      </c>
      <c r="B126" t="s">
        <v>2273</v>
      </c>
      <c r="C126" t="s">
        <v>376</v>
      </c>
      <c r="D126" t="s">
        <v>2041</v>
      </c>
      <c r="E126" t="s">
        <v>37</v>
      </c>
      <c r="G126" s="2">
        <v>45855</v>
      </c>
      <c r="H126">
        <v>12.9</v>
      </c>
      <c r="I126" t="s">
        <v>72</v>
      </c>
      <c r="J126" t="s">
        <v>1024</v>
      </c>
      <c r="K126" t="s">
        <v>1025</v>
      </c>
      <c r="L126" t="s">
        <v>2042</v>
      </c>
      <c r="M126" t="s">
        <v>972</v>
      </c>
      <c r="N126" t="s">
        <v>2241</v>
      </c>
      <c r="O126" t="s">
        <v>62</v>
      </c>
      <c r="P126" t="s">
        <v>63</v>
      </c>
      <c r="Q126">
        <v>8.7126772484187835</v>
      </c>
      <c r="R126" t="s">
        <v>64</v>
      </c>
      <c r="S126" t="s">
        <v>65</v>
      </c>
      <c r="T126" t="s">
        <v>2257</v>
      </c>
      <c r="V126" t="s">
        <v>73</v>
      </c>
      <c r="X126" t="s">
        <v>2243</v>
      </c>
      <c r="Y126" t="s">
        <v>2233</v>
      </c>
      <c r="Z126" t="s">
        <v>1460</v>
      </c>
      <c r="AA126" t="s">
        <v>603</v>
      </c>
      <c r="AB126" t="s">
        <v>453</v>
      </c>
      <c r="AD126" t="s">
        <v>145</v>
      </c>
      <c r="AE126" t="s">
        <v>2268</v>
      </c>
      <c r="AI126">
        <v>897.86463060116193</v>
      </c>
      <c r="AJ126">
        <v>35259.094915300528</v>
      </c>
    </row>
    <row r="127" spans="1:36" hidden="1" x14ac:dyDescent="0.25">
      <c r="A127">
        <v>126</v>
      </c>
      <c r="B127" t="s">
        <v>2274</v>
      </c>
      <c r="C127" t="s">
        <v>376</v>
      </c>
      <c r="D127" t="s">
        <v>2041</v>
      </c>
      <c r="E127" t="s">
        <v>37</v>
      </c>
      <c r="G127" s="2">
        <v>45855</v>
      </c>
      <c r="H127">
        <v>1.2</v>
      </c>
      <c r="I127" t="s">
        <v>72</v>
      </c>
      <c r="J127" t="s">
        <v>1024</v>
      </c>
      <c r="K127" t="s">
        <v>1025</v>
      </c>
      <c r="L127" t="s">
        <v>2042</v>
      </c>
      <c r="M127" t="s">
        <v>972</v>
      </c>
      <c r="N127" t="s">
        <v>2241</v>
      </c>
      <c r="O127" t="s">
        <v>79</v>
      </c>
      <c r="P127" t="s">
        <v>80</v>
      </c>
      <c r="Q127">
        <v>0.84590710085404386</v>
      </c>
      <c r="R127" t="s">
        <v>46</v>
      </c>
      <c r="S127" t="s">
        <v>47</v>
      </c>
      <c r="T127" t="s">
        <v>2257</v>
      </c>
      <c r="V127" t="s">
        <v>73</v>
      </c>
      <c r="X127" t="s">
        <v>2243</v>
      </c>
      <c r="Y127" t="s">
        <v>2233</v>
      </c>
      <c r="Z127" t="s">
        <v>1460</v>
      </c>
      <c r="AA127" t="s">
        <v>603</v>
      </c>
      <c r="AD127" t="s">
        <v>145</v>
      </c>
      <c r="AE127" t="s">
        <v>2275</v>
      </c>
      <c r="AI127">
        <v>257.70432246722447</v>
      </c>
      <c r="AJ127">
        <v>3423.278276944367</v>
      </c>
    </row>
    <row r="128" spans="1:36" x14ac:dyDescent="0.25">
      <c r="A128">
        <v>127</v>
      </c>
      <c r="B128" t="s">
        <v>2276</v>
      </c>
      <c r="C128" t="s">
        <v>376</v>
      </c>
      <c r="D128" t="s">
        <v>2041</v>
      </c>
      <c r="E128" t="s">
        <v>37</v>
      </c>
      <c r="G128" s="2">
        <v>45855</v>
      </c>
      <c r="H128">
        <v>0.8</v>
      </c>
      <c r="I128" t="s">
        <v>72</v>
      </c>
      <c r="J128" t="s">
        <v>1024</v>
      </c>
      <c r="K128" t="s">
        <v>1025</v>
      </c>
      <c r="L128" t="s">
        <v>2042</v>
      </c>
      <c r="M128" t="s">
        <v>972</v>
      </c>
      <c r="N128" t="s">
        <v>2241</v>
      </c>
      <c r="O128" t="s">
        <v>62</v>
      </c>
      <c r="P128" t="s">
        <v>63</v>
      </c>
      <c r="Q128">
        <v>0.73413158132264944</v>
      </c>
      <c r="R128" t="s">
        <v>64</v>
      </c>
      <c r="S128" t="s">
        <v>65</v>
      </c>
      <c r="T128" t="s">
        <v>2257</v>
      </c>
      <c r="V128" t="s">
        <v>73</v>
      </c>
      <c r="X128" t="s">
        <v>2243</v>
      </c>
      <c r="Y128" t="s">
        <v>2233</v>
      </c>
      <c r="Z128" t="s">
        <v>1460</v>
      </c>
      <c r="AA128" t="s">
        <v>603</v>
      </c>
      <c r="AB128" t="s">
        <v>453</v>
      </c>
      <c r="AD128" t="s">
        <v>145</v>
      </c>
      <c r="AE128" t="s">
        <v>2275</v>
      </c>
      <c r="AI128">
        <v>307.82155758057257</v>
      </c>
      <c r="AJ128">
        <v>2970.9369884983021</v>
      </c>
    </row>
    <row r="129" spans="1:36" hidden="1" x14ac:dyDescent="0.25">
      <c r="A129">
        <v>128</v>
      </c>
      <c r="B129" t="s">
        <v>2277</v>
      </c>
      <c r="C129" t="s">
        <v>376</v>
      </c>
      <c r="D129" t="s">
        <v>2041</v>
      </c>
      <c r="E129" t="s">
        <v>37</v>
      </c>
      <c r="G129" s="2">
        <v>45855</v>
      </c>
      <c r="H129">
        <v>0.1</v>
      </c>
      <c r="I129" t="s">
        <v>72</v>
      </c>
      <c r="J129" t="s">
        <v>1024</v>
      </c>
      <c r="K129" t="s">
        <v>1025</v>
      </c>
      <c r="L129" t="s">
        <v>2042</v>
      </c>
      <c r="M129" t="s">
        <v>972</v>
      </c>
      <c r="N129" t="s">
        <v>2241</v>
      </c>
      <c r="O129" t="s">
        <v>96</v>
      </c>
      <c r="P129" t="s">
        <v>97</v>
      </c>
      <c r="Q129">
        <v>5.605171064998616E-2</v>
      </c>
      <c r="R129" t="s">
        <v>60</v>
      </c>
      <c r="S129" t="s">
        <v>66</v>
      </c>
      <c r="T129" t="s">
        <v>2257</v>
      </c>
      <c r="V129" t="s">
        <v>73</v>
      </c>
      <c r="X129" t="s">
        <v>2243</v>
      </c>
      <c r="Y129" t="s">
        <v>2233</v>
      </c>
      <c r="Z129" t="s">
        <v>1460</v>
      </c>
      <c r="AA129" t="s">
        <v>603</v>
      </c>
      <c r="AB129" t="s">
        <v>453</v>
      </c>
      <c r="AD129" t="s">
        <v>145</v>
      </c>
      <c r="AE129" t="s">
        <v>2278</v>
      </c>
      <c r="AI129">
        <v>60.85090670204282</v>
      </c>
      <c r="AJ129">
        <v>226.83413256602589</v>
      </c>
    </row>
    <row r="130" spans="1:36" x14ac:dyDescent="0.25">
      <c r="A130">
        <v>129</v>
      </c>
      <c r="B130" t="s">
        <v>2279</v>
      </c>
      <c r="C130" t="s">
        <v>376</v>
      </c>
      <c r="D130" t="s">
        <v>2041</v>
      </c>
      <c r="E130" t="s">
        <v>37</v>
      </c>
      <c r="G130" s="2">
        <v>45855</v>
      </c>
      <c r="H130">
        <v>5.9</v>
      </c>
      <c r="I130" t="s">
        <v>72</v>
      </c>
      <c r="J130" t="s">
        <v>1024</v>
      </c>
      <c r="K130" t="s">
        <v>1025</v>
      </c>
      <c r="L130" t="s">
        <v>2042</v>
      </c>
      <c r="M130" t="s">
        <v>972</v>
      </c>
      <c r="O130" t="s">
        <v>62</v>
      </c>
      <c r="P130" t="s">
        <v>63</v>
      </c>
      <c r="Q130">
        <v>5.733617487001184</v>
      </c>
      <c r="R130" t="s">
        <v>64</v>
      </c>
      <c r="S130" t="s">
        <v>65</v>
      </c>
      <c r="T130" t="s">
        <v>2270</v>
      </c>
      <c r="V130" t="s">
        <v>73</v>
      </c>
      <c r="X130" t="s">
        <v>2271</v>
      </c>
      <c r="Y130" t="s">
        <v>2233</v>
      </c>
      <c r="Z130" t="s">
        <v>1460</v>
      </c>
      <c r="AA130" t="s">
        <v>603</v>
      </c>
      <c r="AB130" t="s">
        <v>453</v>
      </c>
      <c r="AD130" t="s">
        <v>1493</v>
      </c>
      <c r="AE130" t="s">
        <v>2268</v>
      </c>
      <c r="AI130">
        <v>611.44998851657647</v>
      </c>
      <c r="AJ130">
        <v>23203.219563641131</v>
      </c>
    </row>
    <row r="131" spans="1:36" x14ac:dyDescent="0.25">
      <c r="A131">
        <v>130</v>
      </c>
      <c r="B131" t="s">
        <v>2280</v>
      </c>
      <c r="C131" t="s">
        <v>376</v>
      </c>
      <c r="D131" t="s">
        <v>2041</v>
      </c>
      <c r="E131" t="s">
        <v>37</v>
      </c>
      <c r="G131" s="2">
        <v>45855</v>
      </c>
      <c r="H131">
        <v>2.6</v>
      </c>
      <c r="I131" t="s">
        <v>72</v>
      </c>
      <c r="J131" t="s">
        <v>1024</v>
      </c>
      <c r="K131" t="s">
        <v>1025</v>
      </c>
      <c r="L131" t="s">
        <v>2042</v>
      </c>
      <c r="M131" t="s">
        <v>972</v>
      </c>
      <c r="N131" t="s">
        <v>2241</v>
      </c>
      <c r="O131" t="s">
        <v>62</v>
      </c>
      <c r="P131" t="s">
        <v>63</v>
      </c>
      <c r="Q131">
        <v>2.149968006395901</v>
      </c>
      <c r="R131" t="s">
        <v>64</v>
      </c>
      <c r="S131" t="s">
        <v>65</v>
      </c>
      <c r="T131" t="s">
        <v>2257</v>
      </c>
      <c r="V131" t="s">
        <v>73</v>
      </c>
      <c r="X131" t="s">
        <v>2243</v>
      </c>
      <c r="Y131" t="s">
        <v>2233</v>
      </c>
      <c r="Z131" t="s">
        <v>1460</v>
      </c>
      <c r="AA131" t="s">
        <v>119</v>
      </c>
      <c r="AB131" t="s">
        <v>453</v>
      </c>
      <c r="AD131" t="s">
        <v>145</v>
      </c>
      <c r="AE131" t="s">
        <v>2281</v>
      </c>
      <c r="AI131">
        <v>553.84715584678372</v>
      </c>
      <c r="AJ131">
        <v>8700.646637189524</v>
      </c>
    </row>
    <row r="132" spans="1:36" x14ac:dyDescent="0.25">
      <c r="A132">
        <v>131</v>
      </c>
      <c r="B132" t="s">
        <v>2282</v>
      </c>
      <c r="C132" t="s">
        <v>376</v>
      </c>
      <c r="D132" t="s">
        <v>2041</v>
      </c>
      <c r="E132" t="s">
        <v>37</v>
      </c>
      <c r="G132" s="2">
        <v>45855</v>
      </c>
      <c r="H132">
        <v>1.1000000000000001</v>
      </c>
      <c r="I132" t="s">
        <v>72</v>
      </c>
      <c r="J132" t="s">
        <v>1024</v>
      </c>
      <c r="K132" t="s">
        <v>1025</v>
      </c>
      <c r="L132" t="s">
        <v>2042</v>
      </c>
      <c r="M132" t="s">
        <v>972</v>
      </c>
      <c r="O132" t="s">
        <v>62</v>
      </c>
      <c r="P132" t="s">
        <v>63</v>
      </c>
      <c r="Q132">
        <v>0.99830084872709579</v>
      </c>
      <c r="R132" t="s">
        <v>64</v>
      </c>
      <c r="S132" t="s">
        <v>65</v>
      </c>
      <c r="T132" t="s">
        <v>2270</v>
      </c>
      <c r="V132" t="s">
        <v>73</v>
      </c>
      <c r="X132" t="s">
        <v>2271</v>
      </c>
      <c r="Y132" t="s">
        <v>2233</v>
      </c>
      <c r="Z132" t="s">
        <v>1460</v>
      </c>
      <c r="AA132" t="s">
        <v>119</v>
      </c>
      <c r="AB132" t="s">
        <v>453</v>
      </c>
      <c r="AD132" t="s">
        <v>1493</v>
      </c>
      <c r="AE132" t="s">
        <v>2268</v>
      </c>
      <c r="AI132">
        <v>338.68266311445842</v>
      </c>
      <c r="AJ132">
        <v>4039.9963611279031</v>
      </c>
    </row>
    <row r="133" spans="1:36" x14ac:dyDescent="0.25">
      <c r="A133">
        <v>132</v>
      </c>
      <c r="B133" t="s">
        <v>2283</v>
      </c>
      <c r="C133" t="s">
        <v>376</v>
      </c>
      <c r="D133" t="s">
        <v>2041</v>
      </c>
      <c r="E133" t="s">
        <v>37</v>
      </c>
      <c r="G133" s="2">
        <v>45855</v>
      </c>
      <c r="H133">
        <v>1.8</v>
      </c>
      <c r="I133" t="s">
        <v>72</v>
      </c>
      <c r="J133" t="s">
        <v>1024</v>
      </c>
      <c r="K133" t="s">
        <v>1025</v>
      </c>
      <c r="L133" t="s">
        <v>2042</v>
      </c>
      <c r="M133" t="s">
        <v>972</v>
      </c>
      <c r="O133" t="s">
        <v>62</v>
      </c>
      <c r="P133" t="s">
        <v>63</v>
      </c>
      <c r="Q133">
        <v>0.99499688841466283</v>
      </c>
      <c r="R133" t="s">
        <v>64</v>
      </c>
      <c r="S133" t="s">
        <v>65</v>
      </c>
      <c r="T133" t="s">
        <v>2284</v>
      </c>
      <c r="V133" t="s">
        <v>60</v>
      </c>
      <c r="X133" t="s">
        <v>2243</v>
      </c>
      <c r="Y133" t="s">
        <v>2233</v>
      </c>
      <c r="Z133" t="s">
        <v>1460</v>
      </c>
      <c r="AA133" t="s">
        <v>119</v>
      </c>
      <c r="AB133" t="s">
        <v>453</v>
      </c>
      <c r="AD133" t="s">
        <v>1215</v>
      </c>
      <c r="AE133" t="s">
        <v>2285</v>
      </c>
      <c r="AI133">
        <v>245.6817170401126</v>
      </c>
      <c r="AJ133">
        <v>4026.6256546354061</v>
      </c>
    </row>
    <row r="134" spans="1:36" x14ac:dyDescent="0.25">
      <c r="A134">
        <v>133</v>
      </c>
      <c r="B134" t="s">
        <v>2286</v>
      </c>
      <c r="C134" t="s">
        <v>376</v>
      </c>
      <c r="D134" t="s">
        <v>2041</v>
      </c>
      <c r="E134" t="s">
        <v>37</v>
      </c>
      <c r="G134" s="2">
        <v>45855</v>
      </c>
      <c r="H134">
        <v>1.2</v>
      </c>
      <c r="I134" t="s">
        <v>72</v>
      </c>
      <c r="J134" t="s">
        <v>1024</v>
      </c>
      <c r="K134" t="s">
        <v>1025</v>
      </c>
      <c r="L134" t="s">
        <v>2042</v>
      </c>
      <c r="M134" t="s">
        <v>972</v>
      </c>
      <c r="O134" t="s">
        <v>62</v>
      </c>
      <c r="P134" t="s">
        <v>63</v>
      </c>
      <c r="Q134">
        <v>1.1675209608101711</v>
      </c>
      <c r="R134" t="s">
        <v>64</v>
      </c>
      <c r="S134" t="s">
        <v>65</v>
      </c>
      <c r="T134" t="s">
        <v>2287</v>
      </c>
      <c r="V134" t="s">
        <v>60</v>
      </c>
      <c r="X134" t="s">
        <v>2243</v>
      </c>
      <c r="Y134" t="s">
        <v>2233</v>
      </c>
      <c r="Z134" t="s">
        <v>1460</v>
      </c>
      <c r="AA134" t="s">
        <v>119</v>
      </c>
      <c r="AB134" t="s">
        <v>453</v>
      </c>
      <c r="AD134" t="s">
        <v>1215</v>
      </c>
      <c r="AE134" t="s">
        <v>2285</v>
      </c>
      <c r="AI134">
        <v>325.31839711652782</v>
      </c>
      <c r="AJ134">
        <v>4724.8085977567489</v>
      </c>
    </row>
    <row r="135" spans="1:36" x14ac:dyDescent="0.25">
      <c r="A135">
        <v>134</v>
      </c>
      <c r="B135" t="s">
        <v>2288</v>
      </c>
      <c r="C135" t="s">
        <v>376</v>
      </c>
      <c r="D135" t="s">
        <v>2041</v>
      </c>
      <c r="E135" t="s">
        <v>37</v>
      </c>
      <c r="G135" s="2">
        <v>45855</v>
      </c>
      <c r="H135">
        <v>1.8</v>
      </c>
      <c r="I135" t="s">
        <v>72</v>
      </c>
      <c r="J135" t="s">
        <v>1024</v>
      </c>
      <c r="K135" t="s">
        <v>1025</v>
      </c>
      <c r="L135" t="s">
        <v>2042</v>
      </c>
      <c r="M135" t="s">
        <v>972</v>
      </c>
      <c r="N135" t="s">
        <v>2241</v>
      </c>
      <c r="O135" t="s">
        <v>62</v>
      </c>
      <c r="P135" t="s">
        <v>63</v>
      </c>
      <c r="Q135">
        <v>1.499819390495791</v>
      </c>
      <c r="R135" t="s">
        <v>64</v>
      </c>
      <c r="S135" t="s">
        <v>65</v>
      </c>
      <c r="T135" t="s">
        <v>2257</v>
      </c>
      <c r="V135" t="s">
        <v>60</v>
      </c>
      <c r="X135" t="s">
        <v>2243</v>
      </c>
      <c r="Y135" t="s">
        <v>2233</v>
      </c>
      <c r="Z135" t="s">
        <v>1460</v>
      </c>
      <c r="AA135" t="s">
        <v>119</v>
      </c>
      <c r="AB135" t="s">
        <v>453</v>
      </c>
      <c r="AD135" t="s">
        <v>145</v>
      </c>
      <c r="AE135" t="s">
        <v>1466</v>
      </c>
      <c r="AI135">
        <v>356.54371691926832</v>
      </c>
      <c r="AJ135">
        <v>6069.5780111557133</v>
      </c>
    </row>
    <row r="136" spans="1:36" x14ac:dyDescent="0.25">
      <c r="A136">
        <v>135</v>
      </c>
      <c r="B136" t="s">
        <v>2289</v>
      </c>
      <c r="C136" t="s">
        <v>376</v>
      </c>
      <c r="D136" t="s">
        <v>2041</v>
      </c>
      <c r="E136" t="s">
        <v>37</v>
      </c>
      <c r="G136" s="2">
        <v>45855</v>
      </c>
      <c r="H136">
        <v>0.4</v>
      </c>
      <c r="I136" t="s">
        <v>72</v>
      </c>
      <c r="J136" t="s">
        <v>1024</v>
      </c>
      <c r="K136" t="s">
        <v>1025</v>
      </c>
      <c r="L136" t="s">
        <v>2042</v>
      </c>
      <c r="M136" t="s">
        <v>972</v>
      </c>
      <c r="N136" t="s">
        <v>2241</v>
      </c>
      <c r="O136" t="s">
        <v>62</v>
      </c>
      <c r="P136" t="s">
        <v>63</v>
      </c>
      <c r="Q136">
        <v>0.39798142707271161</v>
      </c>
      <c r="R136" t="s">
        <v>64</v>
      </c>
      <c r="S136" t="s">
        <v>65</v>
      </c>
      <c r="T136" t="s">
        <v>2257</v>
      </c>
      <c r="V136" t="s">
        <v>60</v>
      </c>
      <c r="X136" t="s">
        <v>2243</v>
      </c>
      <c r="Y136" t="s">
        <v>2233</v>
      </c>
      <c r="Z136" t="s">
        <v>1460</v>
      </c>
      <c r="AA136" t="s">
        <v>119</v>
      </c>
      <c r="AB136" t="s">
        <v>453</v>
      </c>
      <c r="AD136" t="s">
        <v>145</v>
      </c>
      <c r="AE136" t="s">
        <v>1466</v>
      </c>
      <c r="AI136">
        <v>161.037048617257</v>
      </c>
      <c r="AJ136">
        <v>1610.580136459223</v>
      </c>
    </row>
    <row r="137" spans="1:36" x14ac:dyDescent="0.25">
      <c r="A137">
        <v>136</v>
      </c>
      <c r="B137" t="s">
        <v>2290</v>
      </c>
      <c r="C137" t="s">
        <v>376</v>
      </c>
      <c r="D137" t="s">
        <v>2041</v>
      </c>
      <c r="E137" t="s">
        <v>37</v>
      </c>
      <c r="G137" s="2">
        <v>45855</v>
      </c>
      <c r="H137">
        <v>10.5</v>
      </c>
      <c r="I137" t="s">
        <v>72</v>
      </c>
      <c r="J137" t="s">
        <v>1024</v>
      </c>
      <c r="K137" t="s">
        <v>1025</v>
      </c>
      <c r="L137" t="s">
        <v>2042</v>
      </c>
      <c r="M137" t="s">
        <v>972</v>
      </c>
      <c r="N137" t="s">
        <v>2241</v>
      </c>
      <c r="O137" t="s">
        <v>62</v>
      </c>
      <c r="P137" t="s">
        <v>63</v>
      </c>
      <c r="Q137">
        <v>9.0903605476835541</v>
      </c>
      <c r="R137" t="s">
        <v>64</v>
      </c>
      <c r="S137" t="s">
        <v>65</v>
      </c>
      <c r="T137" t="s">
        <v>2257</v>
      </c>
      <c r="V137" t="s">
        <v>60</v>
      </c>
      <c r="X137" t="s">
        <v>2243</v>
      </c>
      <c r="Y137" t="s">
        <v>2233</v>
      </c>
      <c r="Z137" t="s">
        <v>1460</v>
      </c>
      <c r="AA137" t="s">
        <v>119</v>
      </c>
      <c r="AB137" t="s">
        <v>453</v>
      </c>
      <c r="AD137" t="s">
        <v>145</v>
      </c>
      <c r="AE137" t="s">
        <v>1466</v>
      </c>
      <c r="AI137">
        <v>1021.372441385589</v>
      </c>
      <c r="AJ137">
        <v>36787.531114302081</v>
      </c>
    </row>
    <row r="138" spans="1:36" x14ac:dyDescent="0.25">
      <c r="A138">
        <v>137</v>
      </c>
      <c r="B138" t="s">
        <v>2291</v>
      </c>
      <c r="C138" t="s">
        <v>376</v>
      </c>
      <c r="D138" t="s">
        <v>2041</v>
      </c>
      <c r="E138" t="s">
        <v>37</v>
      </c>
      <c r="G138" s="2">
        <v>45855</v>
      </c>
      <c r="H138">
        <v>24</v>
      </c>
      <c r="I138" t="s">
        <v>72</v>
      </c>
      <c r="J138" t="s">
        <v>1024</v>
      </c>
      <c r="K138" t="s">
        <v>1025</v>
      </c>
      <c r="L138" t="s">
        <v>2042</v>
      </c>
      <c r="M138" t="s">
        <v>972</v>
      </c>
      <c r="O138" t="s">
        <v>62</v>
      </c>
      <c r="P138" t="s">
        <v>63</v>
      </c>
      <c r="Q138">
        <v>23.926971599874591</v>
      </c>
      <c r="R138" t="s">
        <v>64</v>
      </c>
      <c r="S138" t="s">
        <v>65</v>
      </c>
      <c r="T138" t="s">
        <v>2287</v>
      </c>
      <c r="V138" t="s">
        <v>60</v>
      </c>
      <c r="X138" t="s">
        <v>2243</v>
      </c>
      <c r="Y138" t="s">
        <v>2233</v>
      </c>
      <c r="Z138" t="s">
        <v>1460</v>
      </c>
      <c r="AA138" t="s">
        <v>119</v>
      </c>
      <c r="AB138" t="s">
        <v>453</v>
      </c>
      <c r="AD138" t="s">
        <v>1215</v>
      </c>
      <c r="AE138" t="s">
        <v>2285</v>
      </c>
      <c r="AI138">
        <v>1738.425327250148</v>
      </c>
      <c r="AJ138">
        <v>96829.406004771605</v>
      </c>
    </row>
    <row r="139" spans="1:36" hidden="1" x14ac:dyDescent="0.25">
      <c r="A139">
        <v>138</v>
      </c>
      <c r="B139" t="s">
        <v>2292</v>
      </c>
      <c r="C139" t="s">
        <v>376</v>
      </c>
      <c r="D139" t="s">
        <v>2041</v>
      </c>
      <c r="E139" t="s">
        <v>37</v>
      </c>
      <c r="G139" s="2">
        <v>45855</v>
      </c>
      <c r="H139">
        <v>1.2</v>
      </c>
      <c r="I139" t="s">
        <v>72</v>
      </c>
      <c r="J139" t="s">
        <v>1024</v>
      </c>
      <c r="K139" t="s">
        <v>1025</v>
      </c>
      <c r="L139" t="s">
        <v>2042</v>
      </c>
      <c r="M139" t="s">
        <v>972</v>
      </c>
      <c r="N139" t="s">
        <v>2241</v>
      </c>
      <c r="O139" t="s">
        <v>87</v>
      </c>
      <c r="P139" t="s">
        <v>88</v>
      </c>
      <c r="Q139">
        <v>0.46667928161543631</v>
      </c>
      <c r="R139" t="s">
        <v>46</v>
      </c>
      <c r="S139" t="s">
        <v>47</v>
      </c>
      <c r="T139" t="s">
        <v>2293</v>
      </c>
      <c r="V139" t="s">
        <v>60</v>
      </c>
      <c r="X139" t="s">
        <v>2243</v>
      </c>
      <c r="Y139" t="s">
        <v>2233</v>
      </c>
      <c r="Z139" t="s">
        <v>1460</v>
      </c>
      <c r="AA139" t="s">
        <v>119</v>
      </c>
      <c r="AB139" t="s">
        <v>453</v>
      </c>
      <c r="AD139" t="s">
        <v>145</v>
      </c>
      <c r="AE139" t="s">
        <v>1466</v>
      </c>
      <c r="AI139">
        <v>175.90353106254221</v>
      </c>
      <c r="AJ139">
        <v>1888.5916023653019</v>
      </c>
    </row>
    <row r="140" spans="1:36" hidden="1" x14ac:dyDescent="0.25">
      <c r="A140">
        <v>139</v>
      </c>
      <c r="B140" t="s">
        <v>2294</v>
      </c>
      <c r="C140" t="s">
        <v>376</v>
      </c>
      <c r="D140" t="s">
        <v>2041</v>
      </c>
      <c r="E140" t="s">
        <v>37</v>
      </c>
      <c r="G140" s="2">
        <v>45855</v>
      </c>
      <c r="H140">
        <v>2.4</v>
      </c>
      <c r="I140" t="s">
        <v>72</v>
      </c>
      <c r="J140" t="s">
        <v>1024</v>
      </c>
      <c r="K140" t="s">
        <v>1025</v>
      </c>
      <c r="L140" t="s">
        <v>2042</v>
      </c>
      <c r="M140" t="s">
        <v>972</v>
      </c>
      <c r="N140" t="s">
        <v>2241</v>
      </c>
      <c r="O140" t="s">
        <v>79</v>
      </c>
      <c r="P140" t="s">
        <v>80</v>
      </c>
      <c r="Q140">
        <v>1.3699322915338961</v>
      </c>
      <c r="R140" t="s">
        <v>46</v>
      </c>
      <c r="S140" t="s">
        <v>47</v>
      </c>
      <c r="T140" t="s">
        <v>2257</v>
      </c>
      <c r="V140" t="s">
        <v>60</v>
      </c>
      <c r="X140" t="s">
        <v>2243</v>
      </c>
      <c r="Y140" t="s">
        <v>2233</v>
      </c>
      <c r="Z140" t="s">
        <v>1460</v>
      </c>
      <c r="AA140" t="s">
        <v>119</v>
      </c>
      <c r="AB140" t="s">
        <v>453</v>
      </c>
      <c r="AD140" t="s">
        <v>145</v>
      </c>
      <c r="AE140" t="s">
        <v>1466</v>
      </c>
      <c r="AI140">
        <v>299.05196624695429</v>
      </c>
      <c r="AJ140">
        <v>5543.9414679907932</v>
      </c>
    </row>
    <row r="141" spans="1:36" x14ac:dyDescent="0.25">
      <c r="A141">
        <v>140</v>
      </c>
      <c r="B141" t="s">
        <v>2295</v>
      </c>
      <c r="C141" t="s">
        <v>376</v>
      </c>
      <c r="D141" t="s">
        <v>2041</v>
      </c>
      <c r="E141" t="s">
        <v>37</v>
      </c>
      <c r="G141" s="2">
        <v>45855</v>
      </c>
      <c r="H141">
        <v>7.5</v>
      </c>
      <c r="I141" t="s">
        <v>72</v>
      </c>
      <c r="J141" t="s">
        <v>1024</v>
      </c>
      <c r="K141" t="s">
        <v>1025</v>
      </c>
      <c r="L141" t="s">
        <v>2042</v>
      </c>
      <c r="M141" t="s">
        <v>972</v>
      </c>
      <c r="O141" t="s">
        <v>62</v>
      </c>
      <c r="P141" t="s">
        <v>63</v>
      </c>
      <c r="Q141">
        <v>7.8259524503021316</v>
      </c>
      <c r="R141" t="s">
        <v>64</v>
      </c>
      <c r="S141" t="s">
        <v>65</v>
      </c>
      <c r="T141" t="s">
        <v>2296</v>
      </c>
      <c r="V141" t="s">
        <v>60</v>
      </c>
      <c r="X141" t="s">
        <v>2297</v>
      </c>
      <c r="Y141" t="s">
        <v>2233</v>
      </c>
      <c r="Z141" t="s">
        <v>1460</v>
      </c>
      <c r="AA141" t="s">
        <v>119</v>
      </c>
      <c r="AB141" t="s">
        <v>453</v>
      </c>
      <c r="AD141" t="s">
        <v>93</v>
      </c>
      <c r="AE141" t="s">
        <v>2298</v>
      </c>
      <c r="AI141">
        <v>711.14851840292397</v>
      </c>
      <c r="AJ141">
        <v>31670.632617305979</v>
      </c>
    </row>
    <row r="142" spans="1:36" x14ac:dyDescent="0.25">
      <c r="A142">
        <v>141</v>
      </c>
      <c r="B142" t="s">
        <v>2299</v>
      </c>
      <c r="C142" t="s">
        <v>376</v>
      </c>
      <c r="D142" t="s">
        <v>2041</v>
      </c>
      <c r="E142" t="s">
        <v>37</v>
      </c>
      <c r="G142" s="2">
        <v>45855</v>
      </c>
      <c r="H142">
        <v>2.7</v>
      </c>
      <c r="I142" t="s">
        <v>72</v>
      </c>
      <c r="J142" t="s">
        <v>1024</v>
      </c>
      <c r="K142" t="s">
        <v>1025</v>
      </c>
      <c r="L142" t="s">
        <v>2042</v>
      </c>
      <c r="M142" t="s">
        <v>972</v>
      </c>
      <c r="O142" t="s">
        <v>62</v>
      </c>
      <c r="P142" t="s">
        <v>63</v>
      </c>
      <c r="Q142">
        <v>0.84179525057500437</v>
      </c>
      <c r="R142" t="s">
        <v>64</v>
      </c>
      <c r="S142" t="s">
        <v>65</v>
      </c>
      <c r="T142" t="s">
        <v>2257</v>
      </c>
      <c r="V142" t="s">
        <v>60</v>
      </c>
      <c r="X142" t="s">
        <v>2243</v>
      </c>
      <c r="Y142" t="s">
        <v>2233</v>
      </c>
      <c r="Z142" t="s">
        <v>1460</v>
      </c>
      <c r="AA142" t="s">
        <v>119</v>
      </c>
      <c r="AD142" t="s">
        <v>145</v>
      </c>
      <c r="AE142" t="s">
        <v>2300</v>
      </c>
      <c r="AI142">
        <v>270.35298687011982</v>
      </c>
      <c r="AJ142">
        <v>3406.6381426742182</v>
      </c>
    </row>
    <row r="143" spans="1:36" hidden="1" x14ac:dyDescent="0.25">
      <c r="A143">
        <v>142</v>
      </c>
      <c r="B143" t="s">
        <v>2301</v>
      </c>
      <c r="C143" t="s">
        <v>376</v>
      </c>
      <c r="D143" t="s">
        <v>2041</v>
      </c>
      <c r="E143" t="s">
        <v>37</v>
      </c>
      <c r="G143" s="2">
        <v>45855</v>
      </c>
      <c r="H143">
        <v>1.8</v>
      </c>
      <c r="I143" t="s">
        <v>72</v>
      </c>
      <c r="J143" t="s">
        <v>1024</v>
      </c>
      <c r="K143" t="s">
        <v>1025</v>
      </c>
      <c r="L143" t="s">
        <v>2042</v>
      </c>
      <c r="M143" t="s">
        <v>972</v>
      </c>
      <c r="N143" t="s">
        <v>2241</v>
      </c>
      <c r="O143" t="s">
        <v>79</v>
      </c>
      <c r="P143" t="s">
        <v>80</v>
      </c>
      <c r="Q143">
        <v>1.1897753719336179</v>
      </c>
      <c r="R143" t="s">
        <v>46</v>
      </c>
      <c r="S143" t="s">
        <v>47</v>
      </c>
      <c r="T143" t="s">
        <v>2293</v>
      </c>
      <c r="V143" t="s">
        <v>60</v>
      </c>
      <c r="X143" t="s">
        <v>2243</v>
      </c>
      <c r="Y143" t="s">
        <v>2233</v>
      </c>
      <c r="Z143" t="s">
        <v>1460</v>
      </c>
      <c r="AA143" t="s">
        <v>119</v>
      </c>
      <c r="AB143" t="s">
        <v>453</v>
      </c>
      <c r="AC143" t="s">
        <v>2302</v>
      </c>
      <c r="AD143" t="s">
        <v>145</v>
      </c>
      <c r="AE143" t="s">
        <v>2300</v>
      </c>
      <c r="AI143">
        <v>326.54673101093817</v>
      </c>
      <c r="AJ143">
        <v>4814.8693645811081</v>
      </c>
    </row>
    <row r="144" spans="1:36" hidden="1" x14ac:dyDescent="0.25">
      <c r="A144">
        <v>143</v>
      </c>
      <c r="B144" t="s">
        <v>2303</v>
      </c>
      <c r="C144" t="s">
        <v>376</v>
      </c>
      <c r="D144" t="s">
        <v>2041</v>
      </c>
      <c r="E144" t="s">
        <v>37</v>
      </c>
      <c r="G144" s="2">
        <v>45855</v>
      </c>
      <c r="H144">
        <v>3.1</v>
      </c>
      <c r="I144" t="s">
        <v>72</v>
      </c>
      <c r="J144" t="s">
        <v>1024</v>
      </c>
      <c r="K144" t="s">
        <v>1025</v>
      </c>
      <c r="L144" t="s">
        <v>2042</v>
      </c>
      <c r="M144" t="s">
        <v>972</v>
      </c>
      <c r="N144" t="s">
        <v>2241</v>
      </c>
      <c r="O144" t="s">
        <v>146</v>
      </c>
      <c r="P144" t="s">
        <v>147</v>
      </c>
      <c r="Q144">
        <v>3.452241514997568</v>
      </c>
      <c r="R144" t="s">
        <v>46</v>
      </c>
      <c r="S144" t="s">
        <v>47</v>
      </c>
      <c r="T144" t="s">
        <v>2293</v>
      </c>
      <c r="V144" t="s">
        <v>60</v>
      </c>
      <c r="X144" t="s">
        <v>2243</v>
      </c>
      <c r="Y144" t="s">
        <v>2233</v>
      </c>
      <c r="Z144" t="s">
        <v>1460</v>
      </c>
      <c r="AA144" t="s">
        <v>119</v>
      </c>
      <c r="AB144" t="s">
        <v>453</v>
      </c>
      <c r="AC144" t="s">
        <v>2302</v>
      </c>
      <c r="AD144" t="s">
        <v>145</v>
      </c>
      <c r="AE144" t="s">
        <v>2300</v>
      </c>
      <c r="AI144">
        <v>495.81008782189582</v>
      </c>
      <c r="AJ144">
        <v>13970.781629714451</v>
      </c>
    </row>
    <row r="145" spans="1:36" hidden="1" x14ac:dyDescent="0.25">
      <c r="A145">
        <v>144</v>
      </c>
      <c r="B145" t="s">
        <v>2304</v>
      </c>
      <c r="C145" t="s">
        <v>376</v>
      </c>
      <c r="D145" t="s">
        <v>2041</v>
      </c>
      <c r="E145" t="s">
        <v>37</v>
      </c>
      <c r="G145" s="2">
        <v>45855</v>
      </c>
      <c r="H145">
        <v>2</v>
      </c>
      <c r="I145" t="s">
        <v>72</v>
      </c>
      <c r="J145" t="s">
        <v>1024</v>
      </c>
      <c r="K145" t="s">
        <v>1025</v>
      </c>
      <c r="L145" t="s">
        <v>2042</v>
      </c>
      <c r="M145" t="s">
        <v>972</v>
      </c>
      <c r="N145" t="s">
        <v>2241</v>
      </c>
      <c r="O145" t="s">
        <v>79</v>
      </c>
      <c r="P145" t="s">
        <v>80</v>
      </c>
      <c r="Q145">
        <v>2.4162983119358108</v>
      </c>
      <c r="R145" t="s">
        <v>46</v>
      </c>
      <c r="S145" t="s">
        <v>47</v>
      </c>
      <c r="T145" t="s">
        <v>2257</v>
      </c>
      <c r="V145" t="s">
        <v>60</v>
      </c>
      <c r="X145" t="s">
        <v>2243</v>
      </c>
      <c r="Y145" t="s">
        <v>2233</v>
      </c>
      <c r="Z145" t="s">
        <v>1460</v>
      </c>
      <c r="AA145" t="s">
        <v>119</v>
      </c>
      <c r="AB145" t="s">
        <v>453</v>
      </c>
      <c r="AC145" t="s">
        <v>2302</v>
      </c>
      <c r="AD145" t="s">
        <v>145</v>
      </c>
      <c r="AE145" t="s">
        <v>2300</v>
      </c>
      <c r="AI145">
        <v>407.97951473780739</v>
      </c>
      <c r="AJ145">
        <v>9778.4514558584233</v>
      </c>
    </row>
    <row r="146" spans="1:36" x14ac:dyDescent="0.25">
      <c r="A146">
        <v>145</v>
      </c>
      <c r="B146" t="s">
        <v>2305</v>
      </c>
      <c r="C146" t="s">
        <v>376</v>
      </c>
      <c r="D146" t="s">
        <v>2041</v>
      </c>
      <c r="E146" t="s">
        <v>37</v>
      </c>
      <c r="G146" s="2">
        <v>45855</v>
      </c>
      <c r="H146">
        <v>0.3</v>
      </c>
      <c r="J146" t="s">
        <v>1024</v>
      </c>
      <c r="K146" t="s">
        <v>1025</v>
      </c>
      <c r="L146" t="s">
        <v>2042</v>
      </c>
      <c r="M146" t="s">
        <v>972</v>
      </c>
      <c r="O146" t="s">
        <v>62</v>
      </c>
      <c r="P146" t="s">
        <v>63</v>
      </c>
      <c r="Q146">
        <v>0.16151451837378611</v>
      </c>
      <c r="R146" t="s">
        <v>64</v>
      </c>
      <c r="S146" t="s">
        <v>65</v>
      </c>
      <c r="T146" t="s">
        <v>2296</v>
      </c>
      <c r="V146" t="s">
        <v>60</v>
      </c>
      <c r="X146" t="s">
        <v>2297</v>
      </c>
      <c r="Y146" t="s">
        <v>2233</v>
      </c>
      <c r="Z146" t="s">
        <v>1460</v>
      </c>
      <c r="AA146" t="s">
        <v>119</v>
      </c>
      <c r="AD146" t="s">
        <v>93</v>
      </c>
      <c r="AE146" t="s">
        <v>2298</v>
      </c>
      <c r="AI146">
        <v>101.89952737575609</v>
      </c>
      <c r="AJ146">
        <v>653.62868050390659</v>
      </c>
    </row>
    <row r="147" spans="1:36" hidden="1" x14ac:dyDescent="0.25">
      <c r="A147">
        <v>146</v>
      </c>
      <c r="B147" t="s">
        <v>2306</v>
      </c>
      <c r="C147" t="s">
        <v>376</v>
      </c>
      <c r="D147" t="s">
        <v>2041</v>
      </c>
      <c r="E147" t="s">
        <v>37</v>
      </c>
      <c r="G147" s="2">
        <v>45855</v>
      </c>
      <c r="H147">
        <v>0.9</v>
      </c>
      <c r="I147" t="s">
        <v>72</v>
      </c>
      <c r="J147" t="s">
        <v>1024</v>
      </c>
      <c r="K147" t="s">
        <v>1025</v>
      </c>
      <c r="L147" t="s">
        <v>2042</v>
      </c>
      <c r="M147" t="s">
        <v>972</v>
      </c>
      <c r="N147" t="s">
        <v>2241</v>
      </c>
      <c r="O147" t="s">
        <v>79</v>
      </c>
      <c r="P147" t="s">
        <v>80</v>
      </c>
      <c r="Q147">
        <v>0.8533746878609838</v>
      </c>
      <c r="R147" t="s">
        <v>46</v>
      </c>
      <c r="S147" t="s">
        <v>47</v>
      </c>
      <c r="T147" t="s">
        <v>2257</v>
      </c>
      <c r="V147" t="s">
        <v>60</v>
      </c>
      <c r="X147" t="s">
        <v>2243</v>
      </c>
      <c r="Y147" t="s">
        <v>2233</v>
      </c>
      <c r="Z147" t="s">
        <v>1460</v>
      </c>
      <c r="AA147" t="s">
        <v>119</v>
      </c>
      <c r="AB147" t="s">
        <v>453</v>
      </c>
      <c r="AD147" t="s">
        <v>145</v>
      </c>
      <c r="AE147" t="s">
        <v>2307</v>
      </c>
      <c r="AI147">
        <v>238.17970851137181</v>
      </c>
      <c r="AJ147">
        <v>3453.4986502646038</v>
      </c>
    </row>
    <row r="148" spans="1:36" hidden="1" x14ac:dyDescent="0.25">
      <c r="A148">
        <v>147</v>
      </c>
      <c r="B148" t="s">
        <v>2308</v>
      </c>
      <c r="C148" t="s">
        <v>376</v>
      </c>
      <c r="D148" t="s">
        <v>2041</v>
      </c>
      <c r="E148" t="s">
        <v>37</v>
      </c>
      <c r="G148" s="2">
        <v>45855</v>
      </c>
      <c r="H148">
        <v>2</v>
      </c>
      <c r="I148" t="s">
        <v>72</v>
      </c>
      <c r="J148" t="s">
        <v>1024</v>
      </c>
      <c r="K148" t="s">
        <v>1025</v>
      </c>
      <c r="L148" t="s">
        <v>2042</v>
      </c>
      <c r="M148" t="s">
        <v>972</v>
      </c>
      <c r="N148" t="s">
        <v>2241</v>
      </c>
      <c r="O148" t="s">
        <v>79</v>
      </c>
      <c r="P148" t="s">
        <v>80</v>
      </c>
      <c r="Q148">
        <v>2.1525359180108801</v>
      </c>
      <c r="R148" t="s">
        <v>46</v>
      </c>
      <c r="S148" t="s">
        <v>47</v>
      </c>
      <c r="T148" t="s">
        <v>2257</v>
      </c>
      <c r="V148" t="s">
        <v>60</v>
      </c>
      <c r="X148" t="s">
        <v>2243</v>
      </c>
      <c r="Y148" t="s">
        <v>2233</v>
      </c>
      <c r="Z148" t="s">
        <v>1460</v>
      </c>
      <c r="AA148" t="s">
        <v>119</v>
      </c>
      <c r="AB148" t="s">
        <v>453</v>
      </c>
      <c r="AD148" t="s">
        <v>656</v>
      </c>
      <c r="AE148" t="s">
        <v>2285</v>
      </c>
      <c r="AI148">
        <v>380.58087628638862</v>
      </c>
      <c r="AJ148">
        <v>8711.0386483687562</v>
      </c>
    </row>
    <row r="149" spans="1:36" hidden="1" x14ac:dyDescent="0.25">
      <c r="A149">
        <v>148</v>
      </c>
      <c r="B149" t="s">
        <v>2309</v>
      </c>
      <c r="C149" t="s">
        <v>376</v>
      </c>
      <c r="D149" t="s">
        <v>2041</v>
      </c>
      <c r="E149" t="s">
        <v>37</v>
      </c>
      <c r="G149" s="2">
        <v>45855</v>
      </c>
      <c r="H149">
        <v>0.2</v>
      </c>
      <c r="I149" t="s">
        <v>72</v>
      </c>
      <c r="J149" t="s">
        <v>1024</v>
      </c>
      <c r="K149" t="s">
        <v>1025</v>
      </c>
      <c r="L149" t="s">
        <v>2042</v>
      </c>
      <c r="M149" t="s">
        <v>972</v>
      </c>
      <c r="N149" t="s">
        <v>2241</v>
      </c>
      <c r="O149" t="s">
        <v>79</v>
      </c>
      <c r="P149" t="s">
        <v>80</v>
      </c>
      <c r="Q149">
        <v>0.162999288064682</v>
      </c>
      <c r="R149" t="s">
        <v>46</v>
      </c>
      <c r="S149" t="s">
        <v>47</v>
      </c>
      <c r="T149" t="s">
        <v>2257</v>
      </c>
      <c r="V149" t="s">
        <v>60</v>
      </c>
      <c r="X149" t="s">
        <v>2243</v>
      </c>
      <c r="Y149" t="s">
        <v>2233</v>
      </c>
      <c r="Z149" t="s">
        <v>1460</v>
      </c>
      <c r="AA149" t="s">
        <v>119</v>
      </c>
      <c r="AB149" t="s">
        <v>453</v>
      </c>
      <c r="AD149" t="s">
        <v>656</v>
      </c>
      <c r="AE149" t="s">
        <v>2285</v>
      </c>
      <c r="AI149">
        <v>140.73699366017809</v>
      </c>
      <c r="AJ149">
        <v>659.63735429796452</v>
      </c>
    </row>
    <row r="150" spans="1:36" hidden="1" x14ac:dyDescent="0.25">
      <c r="A150">
        <v>149</v>
      </c>
      <c r="B150" t="s">
        <v>2310</v>
      </c>
      <c r="C150" t="s">
        <v>376</v>
      </c>
      <c r="D150" t="s">
        <v>2041</v>
      </c>
      <c r="E150" t="s">
        <v>37</v>
      </c>
      <c r="G150" s="2">
        <v>45855</v>
      </c>
      <c r="H150">
        <v>1.4</v>
      </c>
      <c r="I150" t="s">
        <v>72</v>
      </c>
      <c r="J150" t="s">
        <v>1024</v>
      </c>
      <c r="K150" t="s">
        <v>1025</v>
      </c>
      <c r="L150" t="s">
        <v>2042</v>
      </c>
      <c r="M150" t="s">
        <v>972</v>
      </c>
      <c r="N150" t="s">
        <v>2241</v>
      </c>
      <c r="O150" t="s">
        <v>79</v>
      </c>
      <c r="P150" t="s">
        <v>80</v>
      </c>
      <c r="Q150">
        <v>1.177829994079834</v>
      </c>
      <c r="R150" t="s">
        <v>46</v>
      </c>
      <c r="S150" t="s">
        <v>47</v>
      </c>
      <c r="T150" t="s">
        <v>2257</v>
      </c>
      <c r="V150" t="s">
        <v>60</v>
      </c>
      <c r="X150" t="s">
        <v>2243</v>
      </c>
      <c r="Y150" t="s">
        <v>2233</v>
      </c>
      <c r="Z150" t="s">
        <v>1460</v>
      </c>
      <c r="AA150" t="s">
        <v>119</v>
      </c>
      <c r="AB150" t="s">
        <v>453</v>
      </c>
      <c r="AD150" t="s">
        <v>656</v>
      </c>
      <c r="AE150" t="s">
        <v>2285</v>
      </c>
      <c r="AI150">
        <v>288.41149854480642</v>
      </c>
      <c r="AJ150">
        <v>4766.5279421300311</v>
      </c>
    </row>
    <row r="151" spans="1:36" x14ac:dyDescent="0.25">
      <c r="A151">
        <v>150</v>
      </c>
      <c r="B151" t="s">
        <v>2311</v>
      </c>
      <c r="C151" t="s">
        <v>376</v>
      </c>
      <c r="D151" t="s">
        <v>2041</v>
      </c>
      <c r="E151" t="s">
        <v>37</v>
      </c>
      <c r="G151" s="2">
        <v>45855</v>
      </c>
      <c r="H151">
        <v>16</v>
      </c>
      <c r="I151" t="s">
        <v>72</v>
      </c>
      <c r="J151" t="s">
        <v>1024</v>
      </c>
      <c r="K151" t="s">
        <v>1025</v>
      </c>
      <c r="L151" t="s">
        <v>2042</v>
      </c>
      <c r="M151" t="s">
        <v>972</v>
      </c>
      <c r="O151" t="s">
        <v>62</v>
      </c>
      <c r="P151" t="s">
        <v>63</v>
      </c>
      <c r="Q151">
        <v>15.773044850434941</v>
      </c>
      <c r="R151" t="s">
        <v>64</v>
      </c>
      <c r="S151" t="s">
        <v>65</v>
      </c>
      <c r="T151" t="s">
        <v>2270</v>
      </c>
      <c r="V151" t="s">
        <v>60</v>
      </c>
      <c r="X151" t="s">
        <v>2271</v>
      </c>
      <c r="Y151" t="s">
        <v>2233</v>
      </c>
      <c r="Z151" t="s">
        <v>1460</v>
      </c>
      <c r="AA151" t="s">
        <v>119</v>
      </c>
      <c r="AB151" t="s">
        <v>453</v>
      </c>
      <c r="AD151" t="s">
        <v>1493</v>
      </c>
      <c r="AE151" t="s">
        <v>2312</v>
      </c>
      <c r="AI151">
        <v>1608.938406199858</v>
      </c>
      <c r="AJ151">
        <v>63831.503179543251</v>
      </c>
    </row>
    <row r="152" spans="1:36" hidden="1" x14ac:dyDescent="0.25">
      <c r="A152">
        <v>151</v>
      </c>
      <c r="B152" t="s">
        <v>2313</v>
      </c>
      <c r="C152" t="s">
        <v>376</v>
      </c>
      <c r="D152" t="s">
        <v>2041</v>
      </c>
      <c r="E152" t="s">
        <v>37</v>
      </c>
      <c r="G152" s="2">
        <v>45855</v>
      </c>
      <c r="H152">
        <v>17.3</v>
      </c>
      <c r="I152" t="s">
        <v>72</v>
      </c>
      <c r="J152" t="s">
        <v>1024</v>
      </c>
      <c r="K152" t="s">
        <v>1025</v>
      </c>
      <c r="L152" t="s">
        <v>2042</v>
      </c>
      <c r="M152" t="s">
        <v>972</v>
      </c>
      <c r="N152" t="s">
        <v>2241</v>
      </c>
      <c r="O152" t="s">
        <v>113</v>
      </c>
      <c r="P152" t="s">
        <v>114</v>
      </c>
      <c r="Q152">
        <v>11.28056629271957</v>
      </c>
      <c r="R152" t="s">
        <v>46</v>
      </c>
      <c r="S152" t="s">
        <v>47</v>
      </c>
      <c r="T152" t="s">
        <v>2257</v>
      </c>
      <c r="V152" t="s">
        <v>60</v>
      </c>
      <c r="X152" t="s">
        <v>2243</v>
      </c>
      <c r="Y152" t="s">
        <v>2233</v>
      </c>
      <c r="Z152" t="s">
        <v>1460</v>
      </c>
      <c r="AA152" t="s">
        <v>119</v>
      </c>
      <c r="AB152" t="s">
        <v>453</v>
      </c>
      <c r="AD152" t="s">
        <v>145</v>
      </c>
      <c r="AE152" t="s">
        <v>2312</v>
      </c>
      <c r="AI152">
        <v>973.65783264277025</v>
      </c>
      <c r="AJ152">
        <v>45651.014753877571</v>
      </c>
    </row>
    <row r="153" spans="1:36" hidden="1" x14ac:dyDescent="0.25">
      <c r="A153">
        <v>152</v>
      </c>
      <c r="B153" t="s">
        <v>2314</v>
      </c>
      <c r="C153" t="s">
        <v>376</v>
      </c>
      <c r="D153" t="s">
        <v>2041</v>
      </c>
      <c r="E153" t="s">
        <v>37</v>
      </c>
      <c r="G153" s="2">
        <v>45855</v>
      </c>
      <c r="H153">
        <v>3.3</v>
      </c>
      <c r="I153" t="s">
        <v>72</v>
      </c>
      <c r="J153" t="s">
        <v>1024</v>
      </c>
      <c r="K153" t="s">
        <v>1025</v>
      </c>
      <c r="L153" t="s">
        <v>2042</v>
      </c>
      <c r="M153" t="s">
        <v>972</v>
      </c>
      <c r="N153" t="s">
        <v>2241</v>
      </c>
      <c r="O153" t="s">
        <v>79</v>
      </c>
      <c r="P153" t="s">
        <v>80</v>
      </c>
      <c r="Q153">
        <v>3.4654157835098438</v>
      </c>
      <c r="R153" t="s">
        <v>46</v>
      </c>
      <c r="S153" t="s">
        <v>47</v>
      </c>
      <c r="T153" t="s">
        <v>2257</v>
      </c>
      <c r="V153" t="s">
        <v>60</v>
      </c>
      <c r="X153" t="s">
        <v>2243</v>
      </c>
      <c r="Y153" t="s">
        <v>2233</v>
      </c>
      <c r="Z153" t="s">
        <v>1460</v>
      </c>
      <c r="AA153" t="s">
        <v>119</v>
      </c>
      <c r="AB153" t="s">
        <v>453</v>
      </c>
      <c r="AD153" t="s">
        <v>145</v>
      </c>
      <c r="AE153" t="s">
        <v>2312</v>
      </c>
      <c r="AI153">
        <v>692.83281008555514</v>
      </c>
      <c r="AJ153">
        <v>14024.09621611191</v>
      </c>
    </row>
    <row r="154" spans="1:36" hidden="1" x14ac:dyDescent="0.25">
      <c r="A154">
        <v>153</v>
      </c>
      <c r="B154" t="s">
        <v>2315</v>
      </c>
      <c r="C154" t="s">
        <v>376</v>
      </c>
      <c r="D154" t="s">
        <v>2041</v>
      </c>
      <c r="E154" t="s">
        <v>37</v>
      </c>
      <c r="G154" s="2">
        <v>45855</v>
      </c>
      <c r="H154">
        <v>0.8</v>
      </c>
      <c r="I154" t="s">
        <v>72</v>
      </c>
      <c r="J154" t="s">
        <v>1024</v>
      </c>
      <c r="K154" t="s">
        <v>1025</v>
      </c>
      <c r="L154" t="s">
        <v>2042</v>
      </c>
      <c r="M154" t="s">
        <v>972</v>
      </c>
      <c r="N154" t="s">
        <v>2241</v>
      </c>
      <c r="O154" t="s">
        <v>115</v>
      </c>
      <c r="P154" t="s">
        <v>137</v>
      </c>
      <c r="Q154">
        <v>0.35771516442493723</v>
      </c>
      <c r="S154" t="s">
        <v>38</v>
      </c>
      <c r="T154" t="s">
        <v>2316</v>
      </c>
      <c r="V154" t="s">
        <v>60</v>
      </c>
      <c r="X154" t="s">
        <v>2243</v>
      </c>
      <c r="Y154" t="s">
        <v>2233</v>
      </c>
      <c r="Z154" t="s">
        <v>1460</v>
      </c>
      <c r="AA154" t="s">
        <v>119</v>
      </c>
      <c r="AB154" t="s">
        <v>453</v>
      </c>
      <c r="AD154" t="s">
        <v>145</v>
      </c>
      <c r="AE154" t="s">
        <v>2312</v>
      </c>
      <c r="AI154">
        <v>142.71411751441201</v>
      </c>
      <c r="AJ154">
        <v>1447.627701047943</v>
      </c>
    </row>
    <row r="155" spans="1:36" hidden="1" x14ac:dyDescent="0.25">
      <c r="A155">
        <v>154</v>
      </c>
      <c r="B155" t="s">
        <v>2317</v>
      </c>
      <c r="C155" t="s">
        <v>376</v>
      </c>
      <c r="D155" t="s">
        <v>2041</v>
      </c>
      <c r="E155" t="s">
        <v>37</v>
      </c>
      <c r="G155" s="2">
        <v>45855</v>
      </c>
      <c r="H155">
        <v>1.4</v>
      </c>
      <c r="I155" t="s">
        <v>72</v>
      </c>
      <c r="J155" t="s">
        <v>1024</v>
      </c>
      <c r="K155" t="s">
        <v>1025</v>
      </c>
      <c r="L155" t="s">
        <v>2042</v>
      </c>
      <c r="M155" t="s">
        <v>972</v>
      </c>
      <c r="N155" t="s">
        <v>2241</v>
      </c>
      <c r="O155" t="s">
        <v>87</v>
      </c>
      <c r="P155" t="s">
        <v>88</v>
      </c>
      <c r="Q155">
        <v>1.200912733954407</v>
      </c>
      <c r="R155" t="s">
        <v>46</v>
      </c>
      <c r="S155" t="s">
        <v>47</v>
      </c>
      <c r="T155" t="s">
        <v>2257</v>
      </c>
      <c r="V155" t="s">
        <v>60</v>
      </c>
      <c r="X155" t="s">
        <v>2243</v>
      </c>
      <c r="Y155" t="s">
        <v>2233</v>
      </c>
      <c r="Z155" t="s">
        <v>1460</v>
      </c>
      <c r="AA155" t="s">
        <v>119</v>
      </c>
      <c r="AB155" t="s">
        <v>453</v>
      </c>
      <c r="AD155" t="s">
        <v>145</v>
      </c>
      <c r="AE155" t="s">
        <v>2312</v>
      </c>
      <c r="AI155">
        <v>349.54831882785629</v>
      </c>
      <c r="AJ155">
        <v>4859.9408498892963</v>
      </c>
    </row>
    <row r="156" spans="1:36" x14ac:dyDescent="0.25">
      <c r="A156">
        <v>155</v>
      </c>
      <c r="B156" t="s">
        <v>2318</v>
      </c>
      <c r="C156" t="s">
        <v>376</v>
      </c>
      <c r="D156" t="s">
        <v>2041</v>
      </c>
      <c r="E156" t="s">
        <v>37</v>
      </c>
      <c r="G156" s="2">
        <v>45855</v>
      </c>
      <c r="H156">
        <v>0.5</v>
      </c>
      <c r="I156" t="s">
        <v>72</v>
      </c>
      <c r="J156" t="s">
        <v>1024</v>
      </c>
      <c r="K156" t="s">
        <v>1025</v>
      </c>
      <c r="L156" t="s">
        <v>2042</v>
      </c>
      <c r="M156" t="s">
        <v>972</v>
      </c>
      <c r="O156" t="s">
        <v>62</v>
      </c>
      <c r="P156" t="s">
        <v>63</v>
      </c>
      <c r="Q156">
        <v>0.51414471344053958</v>
      </c>
      <c r="R156" t="s">
        <v>64</v>
      </c>
      <c r="S156" t="s">
        <v>65</v>
      </c>
      <c r="T156" t="s">
        <v>2270</v>
      </c>
      <c r="V156" t="s">
        <v>60</v>
      </c>
      <c r="X156" t="s">
        <v>2271</v>
      </c>
      <c r="Y156" t="s">
        <v>2233</v>
      </c>
      <c r="Z156" t="s">
        <v>1460</v>
      </c>
      <c r="AA156" t="s">
        <v>119</v>
      </c>
      <c r="AB156" t="s">
        <v>453</v>
      </c>
      <c r="AD156" t="s">
        <v>1493</v>
      </c>
      <c r="AE156" t="s">
        <v>2312</v>
      </c>
      <c r="AI156">
        <v>242.21010867769601</v>
      </c>
      <c r="AJ156">
        <v>2080.6781583341658</v>
      </c>
    </row>
    <row r="157" spans="1:36" hidden="1" x14ac:dyDescent="0.25">
      <c r="A157">
        <v>156</v>
      </c>
      <c r="B157" t="s">
        <v>2319</v>
      </c>
      <c r="C157" t="s">
        <v>376</v>
      </c>
      <c r="D157" t="s">
        <v>2041</v>
      </c>
      <c r="E157" t="s">
        <v>37</v>
      </c>
      <c r="G157" s="2">
        <v>45855</v>
      </c>
      <c r="H157">
        <v>0.3</v>
      </c>
      <c r="I157" t="s">
        <v>72</v>
      </c>
      <c r="J157" t="s">
        <v>1024</v>
      </c>
      <c r="K157" t="s">
        <v>1025</v>
      </c>
      <c r="L157" t="s">
        <v>2042</v>
      </c>
      <c r="M157" t="s">
        <v>972</v>
      </c>
      <c r="N157" t="s">
        <v>2241</v>
      </c>
      <c r="O157" t="s">
        <v>113</v>
      </c>
      <c r="P157" t="s">
        <v>114</v>
      </c>
      <c r="Q157">
        <v>0.2706000102836012</v>
      </c>
      <c r="R157" t="s">
        <v>46</v>
      </c>
      <c r="S157" t="s">
        <v>47</v>
      </c>
      <c r="V157" t="s">
        <v>60</v>
      </c>
      <c r="X157" t="s">
        <v>2243</v>
      </c>
      <c r="Y157" t="s">
        <v>2233</v>
      </c>
      <c r="Z157" t="s">
        <v>1460</v>
      </c>
      <c r="AA157" t="s">
        <v>119</v>
      </c>
      <c r="AB157" t="s">
        <v>453</v>
      </c>
      <c r="AD157" t="s">
        <v>145</v>
      </c>
      <c r="AE157" t="s">
        <v>2320</v>
      </c>
      <c r="AI157">
        <v>178.98563125872619</v>
      </c>
      <c r="AJ157">
        <v>1095.083769848397</v>
      </c>
    </row>
    <row r="158" spans="1:36" hidden="1" x14ac:dyDescent="0.25">
      <c r="A158">
        <v>157</v>
      </c>
      <c r="B158" t="s">
        <v>2321</v>
      </c>
      <c r="C158" t="s">
        <v>376</v>
      </c>
      <c r="D158" t="s">
        <v>2041</v>
      </c>
      <c r="E158" t="s">
        <v>37</v>
      </c>
      <c r="G158" s="2">
        <v>45855</v>
      </c>
      <c r="H158">
        <v>1.4</v>
      </c>
      <c r="I158" t="s">
        <v>72</v>
      </c>
      <c r="J158" t="s">
        <v>1024</v>
      </c>
      <c r="K158" t="s">
        <v>1025</v>
      </c>
      <c r="L158" t="s">
        <v>2042</v>
      </c>
      <c r="M158" t="s">
        <v>972</v>
      </c>
      <c r="N158" t="s">
        <v>2241</v>
      </c>
      <c r="O158" t="s">
        <v>115</v>
      </c>
      <c r="P158" t="s">
        <v>137</v>
      </c>
      <c r="Q158">
        <v>0.78246624981976931</v>
      </c>
      <c r="S158" t="s">
        <v>38</v>
      </c>
      <c r="T158" t="s">
        <v>2322</v>
      </c>
      <c r="V158" t="s">
        <v>60</v>
      </c>
      <c r="X158" t="s">
        <v>2243</v>
      </c>
      <c r="Y158" t="s">
        <v>2233</v>
      </c>
      <c r="Z158" t="s">
        <v>1460</v>
      </c>
      <c r="AA158" t="s">
        <v>119</v>
      </c>
      <c r="AB158" t="s">
        <v>453</v>
      </c>
      <c r="AD158" t="s">
        <v>145</v>
      </c>
      <c r="AE158" t="s">
        <v>2320</v>
      </c>
      <c r="AI158">
        <v>216.1120459955431</v>
      </c>
      <c r="AJ158">
        <v>3166.541234546648</v>
      </c>
    </row>
    <row r="159" spans="1:36" hidden="1" x14ac:dyDescent="0.25">
      <c r="A159">
        <v>158</v>
      </c>
      <c r="B159" t="s">
        <v>2323</v>
      </c>
      <c r="C159" t="s">
        <v>376</v>
      </c>
      <c r="D159" t="s">
        <v>2041</v>
      </c>
      <c r="E159" t="s">
        <v>37</v>
      </c>
      <c r="G159" s="2">
        <v>45855</v>
      </c>
      <c r="H159">
        <v>13.1</v>
      </c>
      <c r="I159" t="s">
        <v>72</v>
      </c>
      <c r="J159" t="s">
        <v>1024</v>
      </c>
      <c r="K159" t="s">
        <v>1025</v>
      </c>
      <c r="L159" t="s">
        <v>2042</v>
      </c>
      <c r="M159" t="s">
        <v>972</v>
      </c>
      <c r="N159" t="s">
        <v>2241</v>
      </c>
      <c r="O159" t="s">
        <v>113</v>
      </c>
      <c r="P159" t="s">
        <v>114</v>
      </c>
      <c r="Q159">
        <v>13.00824284955188</v>
      </c>
      <c r="R159" t="s">
        <v>46</v>
      </c>
      <c r="S159" t="s">
        <v>47</v>
      </c>
      <c r="T159" t="s">
        <v>2324</v>
      </c>
      <c r="V159" t="s">
        <v>60</v>
      </c>
      <c r="X159" t="s">
        <v>2243</v>
      </c>
      <c r="Y159" t="s">
        <v>2233</v>
      </c>
      <c r="Z159" t="s">
        <v>1460</v>
      </c>
      <c r="AA159" t="s">
        <v>119</v>
      </c>
      <c r="AB159" t="s">
        <v>453</v>
      </c>
      <c r="AD159" t="s">
        <v>145</v>
      </c>
      <c r="AE159" t="s">
        <v>2320</v>
      </c>
      <c r="AI159">
        <v>934.60707116350147</v>
      </c>
      <c r="AJ159">
        <v>52642.701690444068</v>
      </c>
    </row>
    <row r="160" spans="1:36" hidden="1" x14ac:dyDescent="0.25">
      <c r="A160">
        <v>159</v>
      </c>
      <c r="B160" t="s">
        <v>2325</v>
      </c>
      <c r="C160" t="s">
        <v>376</v>
      </c>
      <c r="D160" t="s">
        <v>2041</v>
      </c>
      <c r="E160" t="s">
        <v>37</v>
      </c>
      <c r="G160" s="2">
        <v>45855</v>
      </c>
      <c r="H160">
        <v>3.5</v>
      </c>
      <c r="I160" t="s">
        <v>72</v>
      </c>
      <c r="J160" t="s">
        <v>1024</v>
      </c>
      <c r="K160" t="s">
        <v>1025</v>
      </c>
      <c r="L160" t="s">
        <v>2042</v>
      </c>
      <c r="M160" t="s">
        <v>972</v>
      </c>
      <c r="N160" t="s">
        <v>2241</v>
      </c>
      <c r="O160" t="s">
        <v>113</v>
      </c>
      <c r="P160" t="s">
        <v>114</v>
      </c>
      <c r="Q160">
        <v>3.0472409389840061</v>
      </c>
      <c r="R160" t="s">
        <v>46</v>
      </c>
      <c r="S160" t="s">
        <v>47</v>
      </c>
      <c r="T160" t="s">
        <v>2324</v>
      </c>
      <c r="V160" t="s">
        <v>60</v>
      </c>
      <c r="X160" t="s">
        <v>2243</v>
      </c>
      <c r="Y160" t="s">
        <v>2233</v>
      </c>
      <c r="Z160" t="s">
        <v>1460</v>
      </c>
      <c r="AA160" t="s">
        <v>119</v>
      </c>
      <c r="AB160" t="s">
        <v>453</v>
      </c>
      <c r="AD160" t="s">
        <v>145</v>
      </c>
      <c r="AE160" t="s">
        <v>2320</v>
      </c>
      <c r="AI160">
        <v>489.27919583676578</v>
      </c>
      <c r="AJ160">
        <v>12331.79589166187</v>
      </c>
    </row>
    <row r="161" spans="1:36" hidden="1" x14ac:dyDescent="0.25">
      <c r="A161">
        <v>160</v>
      </c>
      <c r="B161" t="s">
        <v>2326</v>
      </c>
      <c r="C161" t="s">
        <v>376</v>
      </c>
      <c r="D161" t="s">
        <v>2041</v>
      </c>
      <c r="E161" t="s">
        <v>37</v>
      </c>
      <c r="G161" s="2">
        <v>45855</v>
      </c>
      <c r="H161">
        <v>0.9</v>
      </c>
      <c r="I161" t="s">
        <v>72</v>
      </c>
      <c r="J161" t="s">
        <v>1024</v>
      </c>
      <c r="K161" t="s">
        <v>1025</v>
      </c>
      <c r="L161" t="s">
        <v>2042</v>
      </c>
      <c r="M161" t="s">
        <v>972</v>
      </c>
      <c r="N161" t="s">
        <v>2241</v>
      </c>
      <c r="O161" t="s">
        <v>704</v>
      </c>
      <c r="P161" t="s">
        <v>705</v>
      </c>
      <c r="Q161">
        <v>0.93897214332764845</v>
      </c>
      <c r="R161" t="s">
        <v>46</v>
      </c>
      <c r="S161" t="s">
        <v>47</v>
      </c>
      <c r="V161" t="s">
        <v>60</v>
      </c>
      <c r="X161" t="s">
        <v>673</v>
      </c>
      <c r="Y161" t="s">
        <v>2233</v>
      </c>
      <c r="Z161" t="s">
        <v>1460</v>
      </c>
      <c r="AA161" t="s">
        <v>119</v>
      </c>
      <c r="AB161" t="s">
        <v>453</v>
      </c>
      <c r="AF161" t="s">
        <v>38</v>
      </c>
      <c r="AI161">
        <v>253.24239687451899</v>
      </c>
      <c r="AJ161">
        <v>3799.9006482675809</v>
      </c>
    </row>
    <row r="162" spans="1:36" hidden="1" x14ac:dyDescent="0.25">
      <c r="A162">
        <v>161</v>
      </c>
      <c r="B162" t="s">
        <v>2327</v>
      </c>
      <c r="C162" t="s">
        <v>376</v>
      </c>
      <c r="D162" t="s">
        <v>2041</v>
      </c>
      <c r="E162" t="s">
        <v>37</v>
      </c>
      <c r="G162" s="2">
        <v>45855</v>
      </c>
      <c r="H162">
        <v>0.4</v>
      </c>
      <c r="I162" t="s">
        <v>72</v>
      </c>
      <c r="J162" t="s">
        <v>1024</v>
      </c>
      <c r="K162" t="s">
        <v>1025</v>
      </c>
      <c r="L162" t="s">
        <v>2042</v>
      </c>
      <c r="M162" t="s">
        <v>972</v>
      </c>
      <c r="N162" t="s">
        <v>2241</v>
      </c>
      <c r="O162" t="s">
        <v>113</v>
      </c>
      <c r="P162" t="s">
        <v>114</v>
      </c>
      <c r="Q162">
        <v>0.43606587312148021</v>
      </c>
      <c r="R162" t="s">
        <v>46</v>
      </c>
      <c r="S162" t="s">
        <v>47</v>
      </c>
      <c r="T162" t="s">
        <v>2328</v>
      </c>
      <c r="V162" t="s">
        <v>60</v>
      </c>
      <c r="X162" t="s">
        <v>2243</v>
      </c>
      <c r="Y162" t="s">
        <v>2233</v>
      </c>
      <c r="Z162" t="s">
        <v>1460</v>
      </c>
      <c r="AA162" t="s">
        <v>125</v>
      </c>
      <c r="AB162" t="s">
        <v>453</v>
      </c>
      <c r="AD162" t="s">
        <v>93</v>
      </c>
      <c r="AE162" t="s">
        <v>2258</v>
      </c>
      <c r="AI162">
        <v>173.03825950981209</v>
      </c>
      <c r="AJ162">
        <v>1764.7030380362189</v>
      </c>
    </row>
    <row r="163" spans="1:36" hidden="1" x14ac:dyDescent="0.25">
      <c r="A163">
        <v>162</v>
      </c>
      <c r="B163" t="s">
        <v>2329</v>
      </c>
      <c r="C163" t="s">
        <v>376</v>
      </c>
      <c r="D163" t="s">
        <v>2041</v>
      </c>
      <c r="E163" t="s">
        <v>37</v>
      </c>
      <c r="G163" s="2">
        <v>45855</v>
      </c>
      <c r="H163">
        <v>27.4</v>
      </c>
      <c r="I163" t="s">
        <v>72</v>
      </c>
      <c r="J163" t="s">
        <v>1024</v>
      </c>
      <c r="K163" t="s">
        <v>1025</v>
      </c>
      <c r="L163" t="s">
        <v>2042</v>
      </c>
      <c r="M163" t="s">
        <v>972</v>
      </c>
      <c r="N163" t="s">
        <v>2241</v>
      </c>
      <c r="O163" t="s">
        <v>113</v>
      </c>
      <c r="P163" t="s">
        <v>114</v>
      </c>
      <c r="Q163">
        <v>30.632060209762461</v>
      </c>
      <c r="R163" t="s">
        <v>46</v>
      </c>
      <c r="S163" t="s">
        <v>47</v>
      </c>
      <c r="T163" t="s">
        <v>2293</v>
      </c>
      <c r="V163" t="s">
        <v>60</v>
      </c>
      <c r="X163" t="s">
        <v>2243</v>
      </c>
      <c r="Y163" t="s">
        <v>2233</v>
      </c>
      <c r="Z163" t="s">
        <v>1460</v>
      </c>
      <c r="AA163" t="s">
        <v>125</v>
      </c>
      <c r="AB163" t="s">
        <v>453</v>
      </c>
      <c r="AD163" t="s">
        <v>145</v>
      </c>
      <c r="AE163" t="s">
        <v>2320</v>
      </c>
      <c r="AI163">
        <v>1402.053707690965</v>
      </c>
      <c r="AJ163">
        <v>123964.0454469066</v>
      </c>
    </row>
    <row r="164" spans="1:36" hidden="1" x14ac:dyDescent="0.25">
      <c r="A164">
        <v>163</v>
      </c>
      <c r="B164" t="s">
        <v>2330</v>
      </c>
      <c r="C164" t="s">
        <v>376</v>
      </c>
      <c r="D164" t="s">
        <v>2041</v>
      </c>
      <c r="E164" t="s">
        <v>37</v>
      </c>
      <c r="G164" s="2">
        <v>45855</v>
      </c>
      <c r="H164">
        <v>1.2</v>
      </c>
      <c r="I164" t="s">
        <v>72</v>
      </c>
      <c r="J164" t="s">
        <v>1024</v>
      </c>
      <c r="K164" t="s">
        <v>1025</v>
      </c>
      <c r="L164" t="s">
        <v>2042</v>
      </c>
      <c r="M164" t="s">
        <v>972</v>
      </c>
      <c r="N164" t="s">
        <v>2241</v>
      </c>
      <c r="O164" t="s">
        <v>115</v>
      </c>
      <c r="P164" t="s">
        <v>137</v>
      </c>
      <c r="Q164">
        <v>0.58221539965143476</v>
      </c>
      <c r="S164" t="s">
        <v>38</v>
      </c>
      <c r="T164" t="s">
        <v>2331</v>
      </c>
      <c r="V164" t="s">
        <v>60</v>
      </c>
      <c r="X164" t="s">
        <v>2243</v>
      </c>
      <c r="Y164" t="s">
        <v>2233</v>
      </c>
      <c r="Z164" t="s">
        <v>1460</v>
      </c>
      <c r="AA164" t="s">
        <v>125</v>
      </c>
      <c r="AB164" t="s">
        <v>453</v>
      </c>
      <c r="AD164" t="s">
        <v>145</v>
      </c>
      <c r="AE164" t="s">
        <v>2320</v>
      </c>
      <c r="AI164">
        <v>213.98957154000641</v>
      </c>
      <c r="AJ164">
        <v>2356.1515538963822</v>
      </c>
    </row>
    <row r="165" spans="1:36" hidden="1" x14ac:dyDescent="0.25">
      <c r="A165">
        <v>164</v>
      </c>
      <c r="B165" t="s">
        <v>2332</v>
      </c>
      <c r="C165" t="s">
        <v>376</v>
      </c>
      <c r="D165" t="s">
        <v>2041</v>
      </c>
      <c r="E165" t="s">
        <v>37</v>
      </c>
      <c r="G165" s="2">
        <v>45855</v>
      </c>
      <c r="H165">
        <v>1.4</v>
      </c>
      <c r="I165" t="s">
        <v>72</v>
      </c>
      <c r="J165" t="s">
        <v>1024</v>
      </c>
      <c r="K165" t="s">
        <v>1025</v>
      </c>
      <c r="L165" t="s">
        <v>2042</v>
      </c>
      <c r="M165" t="s">
        <v>972</v>
      </c>
      <c r="N165" t="s">
        <v>2241</v>
      </c>
      <c r="O165" t="s">
        <v>113</v>
      </c>
      <c r="P165" t="s">
        <v>114</v>
      </c>
      <c r="Q165">
        <v>1.585946580130857</v>
      </c>
      <c r="R165" t="s">
        <v>46</v>
      </c>
      <c r="S165" t="s">
        <v>47</v>
      </c>
      <c r="T165" t="s">
        <v>2293</v>
      </c>
      <c r="V165" t="s">
        <v>60</v>
      </c>
      <c r="X165" t="s">
        <v>2243</v>
      </c>
      <c r="Y165" t="s">
        <v>2233</v>
      </c>
      <c r="Z165" t="s">
        <v>1460</v>
      </c>
      <c r="AA165" t="s">
        <v>125</v>
      </c>
      <c r="AB165" t="s">
        <v>453</v>
      </c>
      <c r="AD165" t="s">
        <v>145</v>
      </c>
      <c r="AE165" t="s">
        <v>2320</v>
      </c>
      <c r="AI165">
        <v>363.25973509783569</v>
      </c>
      <c r="AJ165">
        <v>6418.1237758553052</v>
      </c>
    </row>
    <row r="166" spans="1:36" x14ac:dyDescent="0.25">
      <c r="A166">
        <v>165</v>
      </c>
      <c r="B166" t="s">
        <v>2333</v>
      </c>
      <c r="C166" t="s">
        <v>376</v>
      </c>
      <c r="D166" t="s">
        <v>2041</v>
      </c>
      <c r="E166" t="s">
        <v>37</v>
      </c>
      <c r="G166" s="2">
        <v>45855</v>
      </c>
      <c r="I166" t="s">
        <v>72</v>
      </c>
      <c r="J166" t="s">
        <v>1024</v>
      </c>
      <c r="K166" t="s">
        <v>1025</v>
      </c>
      <c r="L166" t="s">
        <v>2042</v>
      </c>
      <c r="M166" t="s">
        <v>972</v>
      </c>
      <c r="O166" t="s">
        <v>62</v>
      </c>
      <c r="P166" t="s">
        <v>63</v>
      </c>
      <c r="Q166">
        <v>1.389485040714237</v>
      </c>
      <c r="R166" t="s">
        <v>64</v>
      </c>
      <c r="S166" t="s">
        <v>65</v>
      </c>
      <c r="T166" t="s">
        <v>2334</v>
      </c>
      <c r="V166" t="s">
        <v>60</v>
      </c>
      <c r="X166" t="s">
        <v>673</v>
      </c>
      <c r="Y166" t="s">
        <v>2233</v>
      </c>
      <c r="Z166" t="s">
        <v>1460</v>
      </c>
      <c r="AA166" t="s">
        <v>125</v>
      </c>
      <c r="AB166" t="s">
        <v>453</v>
      </c>
      <c r="AF166" t="s">
        <v>2335</v>
      </c>
      <c r="AI166">
        <v>368.79136256246659</v>
      </c>
      <c r="AJ166">
        <v>5623.0689530964546</v>
      </c>
    </row>
    <row r="167" spans="1:36" hidden="1" x14ac:dyDescent="0.25">
      <c r="A167">
        <v>166</v>
      </c>
      <c r="B167" t="s">
        <v>2336</v>
      </c>
      <c r="C167" t="s">
        <v>376</v>
      </c>
      <c r="D167" t="s">
        <v>2041</v>
      </c>
      <c r="E167" t="s">
        <v>37</v>
      </c>
      <c r="G167" s="2">
        <v>45855</v>
      </c>
      <c r="H167">
        <v>10.9</v>
      </c>
      <c r="I167" t="s">
        <v>72</v>
      </c>
      <c r="J167" t="s">
        <v>1024</v>
      </c>
      <c r="K167" t="s">
        <v>1025</v>
      </c>
      <c r="L167" t="s">
        <v>2042</v>
      </c>
      <c r="M167" t="s">
        <v>972</v>
      </c>
      <c r="N167" t="s">
        <v>2241</v>
      </c>
      <c r="O167" t="s">
        <v>113</v>
      </c>
      <c r="P167" t="s">
        <v>114</v>
      </c>
      <c r="Q167">
        <v>9.4554218112503268</v>
      </c>
      <c r="R167" t="s">
        <v>46</v>
      </c>
      <c r="S167" t="s">
        <v>47</v>
      </c>
      <c r="T167" t="s">
        <v>2293</v>
      </c>
      <c r="V167" t="s">
        <v>60</v>
      </c>
      <c r="X167" t="s">
        <v>2243</v>
      </c>
      <c r="Y167" t="s">
        <v>2233</v>
      </c>
      <c r="Z167" t="s">
        <v>1460</v>
      </c>
      <c r="AA167" t="s">
        <v>125</v>
      </c>
      <c r="AB167" t="s">
        <v>453</v>
      </c>
      <c r="AD167" t="s">
        <v>145</v>
      </c>
      <c r="AE167" t="s">
        <v>2320</v>
      </c>
      <c r="AI167">
        <v>807.04365373001031</v>
      </c>
      <c r="AJ167">
        <v>38264.887542756544</v>
      </c>
    </row>
    <row r="168" spans="1:36" hidden="1" x14ac:dyDescent="0.25">
      <c r="A168">
        <v>167</v>
      </c>
      <c r="B168" t="s">
        <v>2337</v>
      </c>
      <c r="C168" t="s">
        <v>376</v>
      </c>
      <c r="D168" t="s">
        <v>2041</v>
      </c>
      <c r="E168" t="s">
        <v>37</v>
      </c>
      <c r="G168" s="2">
        <v>45855</v>
      </c>
      <c r="H168">
        <v>13.5</v>
      </c>
      <c r="I168" t="s">
        <v>72</v>
      </c>
      <c r="J168" t="s">
        <v>1024</v>
      </c>
      <c r="K168" t="s">
        <v>1025</v>
      </c>
      <c r="L168" t="s">
        <v>2042</v>
      </c>
      <c r="M168" t="s">
        <v>972</v>
      </c>
      <c r="N168" t="s">
        <v>2241</v>
      </c>
      <c r="O168" t="s">
        <v>87</v>
      </c>
      <c r="P168" t="s">
        <v>88</v>
      </c>
      <c r="Q168">
        <v>12.92285124175784</v>
      </c>
      <c r="R168" t="s">
        <v>46</v>
      </c>
      <c r="S168" t="s">
        <v>47</v>
      </c>
      <c r="T168" t="s">
        <v>2338</v>
      </c>
      <c r="V168" t="s">
        <v>46</v>
      </c>
      <c r="X168" t="s">
        <v>2243</v>
      </c>
      <c r="Y168" t="s">
        <v>2233</v>
      </c>
      <c r="Z168" t="s">
        <v>1460</v>
      </c>
      <c r="AA168" t="s">
        <v>125</v>
      </c>
      <c r="AB168" t="s">
        <v>453</v>
      </c>
      <c r="AD168" t="s">
        <v>145</v>
      </c>
      <c r="AE168" t="s">
        <v>61</v>
      </c>
      <c r="AI168">
        <v>995.60624310027572</v>
      </c>
      <c r="AJ168">
        <v>52297.132731749269</v>
      </c>
    </row>
    <row r="169" spans="1:36" hidden="1" x14ac:dyDescent="0.25">
      <c r="A169">
        <v>168</v>
      </c>
      <c r="B169" t="s">
        <v>2339</v>
      </c>
      <c r="C169" t="s">
        <v>376</v>
      </c>
      <c r="D169" t="s">
        <v>2041</v>
      </c>
      <c r="E169" t="s">
        <v>37</v>
      </c>
      <c r="G169" s="2">
        <v>45855</v>
      </c>
      <c r="H169">
        <v>1.4</v>
      </c>
      <c r="I169" t="s">
        <v>72</v>
      </c>
      <c r="J169" t="s">
        <v>1024</v>
      </c>
      <c r="K169" t="s">
        <v>1025</v>
      </c>
      <c r="L169" t="s">
        <v>2042</v>
      </c>
      <c r="M169" t="s">
        <v>972</v>
      </c>
      <c r="N169" t="s">
        <v>2241</v>
      </c>
      <c r="O169" t="s">
        <v>87</v>
      </c>
      <c r="P169" t="s">
        <v>88</v>
      </c>
      <c r="Q169">
        <v>1.356901448226105</v>
      </c>
      <c r="R169" t="s">
        <v>46</v>
      </c>
      <c r="S169" t="s">
        <v>47</v>
      </c>
      <c r="T169" t="s">
        <v>2338</v>
      </c>
      <c r="V169" t="s">
        <v>46</v>
      </c>
      <c r="X169" t="s">
        <v>2243</v>
      </c>
      <c r="Y169" t="s">
        <v>2233</v>
      </c>
      <c r="Z169" t="s">
        <v>1460</v>
      </c>
      <c r="AA169" t="s">
        <v>125</v>
      </c>
      <c r="AB169" t="s">
        <v>453</v>
      </c>
      <c r="AD169" t="s">
        <v>145</v>
      </c>
      <c r="AE169" t="s">
        <v>61</v>
      </c>
      <c r="AI169">
        <v>307.989073365997</v>
      </c>
      <c r="AJ169">
        <v>5491.2073051249281</v>
      </c>
    </row>
    <row r="170" spans="1:36" hidden="1" x14ac:dyDescent="0.25">
      <c r="A170">
        <v>169</v>
      </c>
      <c r="B170" t="s">
        <v>2340</v>
      </c>
      <c r="C170" t="s">
        <v>376</v>
      </c>
      <c r="D170" t="s">
        <v>2041</v>
      </c>
      <c r="E170" t="s">
        <v>37</v>
      </c>
      <c r="G170" s="2">
        <v>45855</v>
      </c>
      <c r="H170">
        <v>17.7</v>
      </c>
      <c r="I170" t="s">
        <v>72</v>
      </c>
      <c r="J170" t="s">
        <v>1024</v>
      </c>
      <c r="K170" t="s">
        <v>1025</v>
      </c>
      <c r="L170" t="s">
        <v>2042</v>
      </c>
      <c r="M170" t="s">
        <v>972</v>
      </c>
      <c r="N170" t="s">
        <v>2241</v>
      </c>
      <c r="O170" t="s">
        <v>87</v>
      </c>
      <c r="P170" t="s">
        <v>88</v>
      </c>
      <c r="Q170">
        <v>16.807897949551101</v>
      </c>
      <c r="R170" t="s">
        <v>46</v>
      </c>
      <c r="S170" t="s">
        <v>47</v>
      </c>
      <c r="T170" t="s">
        <v>2338</v>
      </c>
      <c r="V170" t="s">
        <v>46</v>
      </c>
      <c r="X170" t="s">
        <v>2243</v>
      </c>
      <c r="Y170" t="s">
        <v>2233</v>
      </c>
      <c r="Z170" t="s">
        <v>1460</v>
      </c>
      <c r="AA170" t="s">
        <v>125</v>
      </c>
      <c r="AB170" t="s">
        <v>453</v>
      </c>
      <c r="AD170" t="s">
        <v>145</v>
      </c>
      <c r="AE170" t="s">
        <v>61</v>
      </c>
      <c r="AI170">
        <v>1099.8704424983241</v>
      </c>
      <c r="AJ170">
        <v>68019.421841599949</v>
      </c>
    </row>
    <row r="171" spans="1:36" x14ac:dyDescent="0.25">
      <c r="A171">
        <v>170</v>
      </c>
      <c r="B171" t="s">
        <v>2341</v>
      </c>
      <c r="C171" t="s">
        <v>376</v>
      </c>
      <c r="D171" t="s">
        <v>2041</v>
      </c>
      <c r="E171" t="s">
        <v>37</v>
      </c>
      <c r="G171" s="2">
        <v>45855</v>
      </c>
      <c r="H171">
        <v>0.1</v>
      </c>
      <c r="I171" t="s">
        <v>72</v>
      </c>
      <c r="J171" t="s">
        <v>1024</v>
      </c>
      <c r="K171" t="s">
        <v>1025</v>
      </c>
      <c r="L171" t="s">
        <v>2042</v>
      </c>
      <c r="M171" t="s">
        <v>972</v>
      </c>
      <c r="N171" t="s">
        <v>2241</v>
      </c>
      <c r="O171" t="s">
        <v>62</v>
      </c>
      <c r="P171" t="s">
        <v>63</v>
      </c>
      <c r="Q171">
        <v>7.4110655489439139E-2</v>
      </c>
      <c r="R171" t="s">
        <v>64</v>
      </c>
      <c r="S171" t="s">
        <v>65</v>
      </c>
      <c r="T171" t="s">
        <v>2342</v>
      </c>
      <c r="V171" t="s">
        <v>46</v>
      </c>
      <c r="X171" t="s">
        <v>2243</v>
      </c>
      <c r="Y171" t="s">
        <v>2233</v>
      </c>
      <c r="Z171" t="s">
        <v>1460</v>
      </c>
      <c r="AA171" t="s">
        <v>125</v>
      </c>
      <c r="AB171" t="s">
        <v>453</v>
      </c>
      <c r="AD171" t="s">
        <v>145</v>
      </c>
      <c r="AE171" t="s">
        <v>2312</v>
      </c>
      <c r="AI171">
        <v>91.02828773111878</v>
      </c>
      <c r="AJ171">
        <v>299.9163818000381</v>
      </c>
    </row>
    <row r="172" spans="1:36" x14ac:dyDescent="0.25">
      <c r="A172">
        <v>171</v>
      </c>
      <c r="B172" t="s">
        <v>2343</v>
      </c>
      <c r="C172" t="s">
        <v>376</v>
      </c>
      <c r="D172" t="s">
        <v>2041</v>
      </c>
      <c r="E172" t="s">
        <v>37</v>
      </c>
      <c r="G172" s="2">
        <v>45855</v>
      </c>
      <c r="H172">
        <v>0.4</v>
      </c>
      <c r="I172" t="s">
        <v>72</v>
      </c>
      <c r="J172" t="s">
        <v>1024</v>
      </c>
      <c r="K172" t="s">
        <v>1025</v>
      </c>
      <c r="L172" t="s">
        <v>2042</v>
      </c>
      <c r="M172" t="s">
        <v>972</v>
      </c>
      <c r="N172" t="s">
        <v>2241</v>
      </c>
      <c r="O172" t="s">
        <v>62</v>
      </c>
      <c r="P172" t="s">
        <v>63</v>
      </c>
      <c r="Q172">
        <v>0.30505470564547821</v>
      </c>
      <c r="R172" t="s">
        <v>64</v>
      </c>
      <c r="S172" t="s">
        <v>65</v>
      </c>
      <c r="T172" t="s">
        <v>2342</v>
      </c>
      <c r="V172" t="s">
        <v>46</v>
      </c>
      <c r="X172" t="s">
        <v>2243</v>
      </c>
      <c r="Y172" t="s">
        <v>2233</v>
      </c>
      <c r="Z172" t="s">
        <v>1460</v>
      </c>
      <c r="AA172" t="s">
        <v>125</v>
      </c>
      <c r="AB172" t="s">
        <v>453</v>
      </c>
      <c r="AD172" t="s">
        <v>145</v>
      </c>
      <c r="AE172" t="s">
        <v>2312</v>
      </c>
      <c r="AI172">
        <v>140.9342532971655</v>
      </c>
      <c r="AJ172">
        <v>1234.5175327899381</v>
      </c>
    </row>
    <row r="173" spans="1:36" hidden="1" x14ac:dyDescent="0.25">
      <c r="A173">
        <v>172</v>
      </c>
      <c r="B173" t="s">
        <v>2344</v>
      </c>
      <c r="C173" t="s">
        <v>376</v>
      </c>
      <c r="D173" t="s">
        <v>2041</v>
      </c>
      <c r="E173" t="s">
        <v>37</v>
      </c>
      <c r="G173" s="2">
        <v>45855</v>
      </c>
      <c r="H173">
        <v>10.5</v>
      </c>
      <c r="I173" t="s">
        <v>72</v>
      </c>
      <c r="J173" t="s">
        <v>1024</v>
      </c>
      <c r="K173" t="s">
        <v>1025</v>
      </c>
      <c r="L173" t="s">
        <v>2042</v>
      </c>
      <c r="M173" t="s">
        <v>972</v>
      </c>
      <c r="N173" t="s">
        <v>2241</v>
      </c>
      <c r="O173" t="s">
        <v>87</v>
      </c>
      <c r="P173" t="s">
        <v>88</v>
      </c>
      <c r="Q173">
        <v>9.8999697709796433</v>
      </c>
      <c r="R173" t="s">
        <v>46</v>
      </c>
      <c r="S173" t="s">
        <v>47</v>
      </c>
      <c r="T173" t="s">
        <v>2338</v>
      </c>
      <c r="V173" t="s">
        <v>46</v>
      </c>
      <c r="X173" t="s">
        <v>2243</v>
      </c>
      <c r="Y173" t="s">
        <v>2233</v>
      </c>
      <c r="Z173" t="s">
        <v>1460</v>
      </c>
      <c r="AA173" t="s">
        <v>125</v>
      </c>
      <c r="AB173" t="s">
        <v>453</v>
      </c>
      <c r="AD173" t="s">
        <v>145</v>
      </c>
      <c r="AE173" t="s">
        <v>61</v>
      </c>
      <c r="AI173">
        <v>777.77791793308938</v>
      </c>
      <c r="AJ173">
        <v>40063.916504760593</v>
      </c>
    </row>
    <row r="174" spans="1:36" hidden="1" x14ac:dyDescent="0.25">
      <c r="A174">
        <v>173</v>
      </c>
      <c r="B174" t="s">
        <v>2345</v>
      </c>
      <c r="C174" t="s">
        <v>376</v>
      </c>
      <c r="D174" t="s">
        <v>2041</v>
      </c>
      <c r="E174" t="s">
        <v>37</v>
      </c>
      <c r="G174" s="2">
        <v>45854</v>
      </c>
      <c r="H174">
        <v>5.0999999999999996</v>
      </c>
      <c r="I174" t="s">
        <v>72</v>
      </c>
      <c r="J174" t="s">
        <v>1024</v>
      </c>
      <c r="K174" t="s">
        <v>1025</v>
      </c>
      <c r="L174" t="s">
        <v>2042</v>
      </c>
      <c r="M174" t="s">
        <v>972</v>
      </c>
      <c r="N174" t="s">
        <v>2057</v>
      </c>
      <c r="O174" t="s">
        <v>122</v>
      </c>
      <c r="P174" t="s">
        <v>123</v>
      </c>
      <c r="Q174">
        <v>6.262929841523377</v>
      </c>
      <c r="R174" t="s">
        <v>46</v>
      </c>
      <c r="S174" t="s">
        <v>47</v>
      </c>
      <c r="T174" t="s">
        <v>2346</v>
      </c>
      <c r="V174" t="s">
        <v>118</v>
      </c>
      <c r="X174" t="s">
        <v>2062</v>
      </c>
      <c r="Y174" t="s">
        <v>2051</v>
      </c>
      <c r="Z174" t="s">
        <v>1460</v>
      </c>
      <c r="AA174" t="s">
        <v>50</v>
      </c>
      <c r="AD174" t="s">
        <v>145</v>
      </c>
      <c r="AE174" t="s">
        <v>2063</v>
      </c>
      <c r="AI174">
        <v>842.21346518897667</v>
      </c>
      <c r="AJ174">
        <v>25345.279233225039</v>
      </c>
    </row>
    <row r="175" spans="1:36" x14ac:dyDescent="0.25">
      <c r="A175">
        <v>174</v>
      </c>
      <c r="B175" t="s">
        <v>2347</v>
      </c>
      <c r="C175" t="s">
        <v>376</v>
      </c>
      <c r="D175" t="s">
        <v>2041</v>
      </c>
      <c r="E175" t="s">
        <v>37</v>
      </c>
      <c r="G175" s="2">
        <v>45854</v>
      </c>
      <c r="H175">
        <v>4.5</v>
      </c>
      <c r="I175" t="s">
        <v>72</v>
      </c>
      <c r="J175" t="s">
        <v>1024</v>
      </c>
      <c r="K175" t="s">
        <v>1025</v>
      </c>
      <c r="L175" t="s">
        <v>2042</v>
      </c>
      <c r="M175" t="s">
        <v>972</v>
      </c>
      <c r="N175" t="s">
        <v>2080</v>
      </c>
      <c r="O175" t="s">
        <v>62</v>
      </c>
      <c r="P175" t="s">
        <v>63</v>
      </c>
      <c r="Q175">
        <v>4.4694799988778309</v>
      </c>
      <c r="R175" t="s">
        <v>64</v>
      </c>
      <c r="S175" t="s">
        <v>65</v>
      </c>
      <c r="T175" t="s">
        <v>2348</v>
      </c>
      <c r="V175" t="s">
        <v>118</v>
      </c>
      <c r="X175" t="s">
        <v>2062</v>
      </c>
      <c r="Y175" t="s">
        <v>2051</v>
      </c>
      <c r="Z175" t="s">
        <v>1460</v>
      </c>
      <c r="AA175" t="s">
        <v>50</v>
      </c>
      <c r="AB175" t="s">
        <v>453</v>
      </c>
      <c r="AD175" t="s">
        <v>145</v>
      </c>
      <c r="AE175" t="s">
        <v>2063</v>
      </c>
      <c r="AI175">
        <v>630.78210509804228</v>
      </c>
      <c r="AJ175">
        <v>18087.416187839499</v>
      </c>
    </row>
    <row r="176" spans="1:36" x14ac:dyDescent="0.25">
      <c r="A176">
        <v>175</v>
      </c>
      <c r="B176" t="s">
        <v>2349</v>
      </c>
      <c r="C176" t="s">
        <v>376</v>
      </c>
      <c r="D176" t="s">
        <v>2041</v>
      </c>
      <c r="E176" t="s">
        <v>37</v>
      </c>
      <c r="G176" s="2">
        <v>45854</v>
      </c>
      <c r="H176">
        <v>1.5</v>
      </c>
      <c r="I176" t="s">
        <v>72</v>
      </c>
      <c r="J176" t="s">
        <v>1024</v>
      </c>
      <c r="K176" t="s">
        <v>1025</v>
      </c>
      <c r="L176" t="s">
        <v>2042</v>
      </c>
      <c r="M176" t="s">
        <v>972</v>
      </c>
      <c r="O176" t="s">
        <v>62</v>
      </c>
      <c r="P176" t="s">
        <v>63</v>
      </c>
      <c r="Q176">
        <v>1.299258280332404</v>
      </c>
      <c r="R176" t="s">
        <v>64</v>
      </c>
      <c r="S176" t="s">
        <v>65</v>
      </c>
      <c r="T176" t="s">
        <v>2350</v>
      </c>
      <c r="V176" t="s">
        <v>681</v>
      </c>
      <c r="X176" t="s">
        <v>2062</v>
      </c>
      <c r="Y176" t="s">
        <v>2051</v>
      </c>
      <c r="Z176" t="s">
        <v>1460</v>
      </c>
      <c r="AA176" t="s">
        <v>818</v>
      </c>
      <c r="AB176" t="s">
        <v>453</v>
      </c>
      <c r="AD176" t="s">
        <v>483</v>
      </c>
      <c r="AE176" t="s">
        <v>2109</v>
      </c>
      <c r="AI176">
        <v>647.87441672676948</v>
      </c>
      <c r="AJ176">
        <v>5257.9327478295272</v>
      </c>
    </row>
    <row r="177" spans="1:36" x14ac:dyDescent="0.25">
      <c r="A177">
        <v>176</v>
      </c>
      <c r="B177" t="s">
        <v>2351</v>
      </c>
      <c r="C177" t="s">
        <v>376</v>
      </c>
      <c r="D177" t="s">
        <v>2041</v>
      </c>
      <c r="E177" t="s">
        <v>37</v>
      </c>
      <c r="G177" s="2">
        <v>45854</v>
      </c>
      <c r="H177">
        <v>5.9</v>
      </c>
      <c r="I177" t="s">
        <v>72</v>
      </c>
      <c r="J177" t="s">
        <v>1024</v>
      </c>
      <c r="K177" t="s">
        <v>1025</v>
      </c>
      <c r="L177" t="s">
        <v>2042</v>
      </c>
      <c r="M177" t="s">
        <v>972</v>
      </c>
      <c r="O177" t="s">
        <v>62</v>
      </c>
      <c r="P177" t="s">
        <v>63</v>
      </c>
      <c r="Q177">
        <v>5.6078477324136911</v>
      </c>
      <c r="R177" t="s">
        <v>64</v>
      </c>
      <c r="S177" t="s">
        <v>65</v>
      </c>
      <c r="T177" t="s">
        <v>2126</v>
      </c>
      <c r="V177" t="s">
        <v>618</v>
      </c>
      <c r="X177" t="s">
        <v>2121</v>
      </c>
      <c r="Y177" t="s">
        <v>2045</v>
      </c>
      <c r="Z177" t="s">
        <v>1460</v>
      </c>
      <c r="AA177" t="s">
        <v>603</v>
      </c>
      <c r="AB177" t="s">
        <v>453</v>
      </c>
      <c r="AD177" t="s">
        <v>2046</v>
      </c>
      <c r="AE177" t="s">
        <v>2047</v>
      </c>
      <c r="AI177">
        <v>710.46259049231014</v>
      </c>
      <c r="AJ177">
        <v>22694.245388650401</v>
      </c>
    </row>
    <row r="178" spans="1:36" x14ac:dyDescent="0.25">
      <c r="A178">
        <v>177</v>
      </c>
      <c r="B178" t="s">
        <v>2352</v>
      </c>
      <c r="C178" t="s">
        <v>376</v>
      </c>
      <c r="D178" t="s">
        <v>2041</v>
      </c>
      <c r="E178" t="s">
        <v>37</v>
      </c>
      <c r="G178" s="2">
        <v>45854</v>
      </c>
      <c r="H178">
        <v>4.5999999999999996</v>
      </c>
      <c r="I178" t="s">
        <v>72</v>
      </c>
      <c r="J178" t="s">
        <v>1024</v>
      </c>
      <c r="K178" t="s">
        <v>1025</v>
      </c>
      <c r="L178" t="s">
        <v>2042</v>
      </c>
      <c r="M178" t="s">
        <v>972</v>
      </c>
      <c r="O178" t="s">
        <v>62</v>
      </c>
      <c r="P178" t="s">
        <v>63</v>
      </c>
      <c r="Q178">
        <v>4.3365849523193836</v>
      </c>
      <c r="R178" t="s">
        <v>64</v>
      </c>
      <c r="S178" t="s">
        <v>65</v>
      </c>
      <c r="T178" t="s">
        <v>2126</v>
      </c>
      <c r="V178" t="s">
        <v>618</v>
      </c>
      <c r="X178" t="s">
        <v>2121</v>
      </c>
      <c r="Y178" t="s">
        <v>2045</v>
      </c>
      <c r="Z178" t="s">
        <v>1460</v>
      </c>
      <c r="AA178" t="s">
        <v>606</v>
      </c>
      <c r="AB178" t="s">
        <v>453</v>
      </c>
      <c r="AD178" t="s">
        <v>2046</v>
      </c>
      <c r="AE178" t="s">
        <v>2047</v>
      </c>
      <c r="AI178">
        <v>693.18709280885435</v>
      </c>
      <c r="AJ178">
        <v>17549.60686393415</v>
      </c>
    </row>
    <row r="179" spans="1:36" x14ac:dyDescent="0.25">
      <c r="A179">
        <v>178</v>
      </c>
      <c r="B179" t="s">
        <v>2353</v>
      </c>
      <c r="C179" t="s">
        <v>376</v>
      </c>
      <c r="D179" t="s">
        <v>2041</v>
      </c>
      <c r="E179" t="s">
        <v>37</v>
      </c>
      <c r="G179" s="2">
        <v>45854</v>
      </c>
      <c r="I179" t="s">
        <v>72</v>
      </c>
      <c r="J179" t="s">
        <v>1024</v>
      </c>
      <c r="K179" t="s">
        <v>1025</v>
      </c>
      <c r="L179" t="s">
        <v>2042</v>
      </c>
      <c r="M179" t="s">
        <v>972</v>
      </c>
      <c r="O179" t="s">
        <v>62</v>
      </c>
      <c r="P179" t="s">
        <v>63</v>
      </c>
      <c r="Q179">
        <v>2.8932365379299259</v>
      </c>
      <c r="R179" t="s">
        <v>64</v>
      </c>
      <c r="S179" t="s">
        <v>65</v>
      </c>
      <c r="T179" t="s">
        <v>673</v>
      </c>
      <c r="V179" t="s">
        <v>618</v>
      </c>
      <c r="X179" t="s">
        <v>673</v>
      </c>
      <c r="Y179" t="s">
        <v>2045</v>
      </c>
      <c r="Z179" t="s">
        <v>1460</v>
      </c>
      <c r="AA179" t="s">
        <v>606</v>
      </c>
      <c r="AB179" t="s">
        <v>453</v>
      </c>
      <c r="AE179" t="s">
        <v>2047</v>
      </c>
      <c r="AF179" t="s">
        <v>2354</v>
      </c>
      <c r="AI179">
        <v>750.69842060151655</v>
      </c>
      <c r="AJ179">
        <v>11708.55969923603</v>
      </c>
    </row>
    <row r="180" spans="1:36" x14ac:dyDescent="0.25">
      <c r="A180">
        <v>179</v>
      </c>
      <c r="B180" t="s">
        <v>2355</v>
      </c>
      <c r="C180" t="s">
        <v>376</v>
      </c>
      <c r="D180" t="s">
        <v>2041</v>
      </c>
      <c r="E180" t="s">
        <v>37</v>
      </c>
      <c r="G180" s="2">
        <v>45854</v>
      </c>
      <c r="H180">
        <v>4.3</v>
      </c>
      <c r="I180" t="s">
        <v>72</v>
      </c>
      <c r="J180" t="s">
        <v>1024</v>
      </c>
      <c r="K180" t="s">
        <v>1025</v>
      </c>
      <c r="L180" t="s">
        <v>2042</v>
      </c>
      <c r="M180" t="s">
        <v>972</v>
      </c>
      <c r="O180" t="s">
        <v>62</v>
      </c>
      <c r="P180" t="s">
        <v>63</v>
      </c>
      <c r="Q180">
        <v>3.427789363062125</v>
      </c>
      <c r="R180" t="s">
        <v>64</v>
      </c>
      <c r="S180" t="s">
        <v>65</v>
      </c>
      <c r="T180" t="s">
        <v>2356</v>
      </c>
      <c r="V180" t="s">
        <v>75</v>
      </c>
      <c r="X180" t="s">
        <v>2148</v>
      </c>
      <c r="Y180" t="s">
        <v>2045</v>
      </c>
      <c r="Z180" t="s">
        <v>1460</v>
      </c>
      <c r="AA180" t="s">
        <v>629</v>
      </c>
      <c r="AB180" t="s">
        <v>453</v>
      </c>
      <c r="AD180" t="s">
        <v>822</v>
      </c>
      <c r="AE180" t="s">
        <v>2149</v>
      </c>
      <c r="AI180">
        <v>528.41645642593085</v>
      </c>
      <c r="AJ180">
        <v>13871.82688579442</v>
      </c>
    </row>
    <row r="181" spans="1:36" x14ac:dyDescent="0.25">
      <c r="A181">
        <v>180</v>
      </c>
      <c r="B181" t="s">
        <v>2357</v>
      </c>
      <c r="C181" t="s">
        <v>376</v>
      </c>
      <c r="D181" t="s">
        <v>2041</v>
      </c>
      <c r="E181" t="s">
        <v>37</v>
      </c>
      <c r="G181" s="2">
        <v>45854</v>
      </c>
      <c r="H181">
        <v>1.7</v>
      </c>
      <c r="I181" t="s">
        <v>72</v>
      </c>
      <c r="J181" t="s">
        <v>1024</v>
      </c>
      <c r="K181" t="s">
        <v>1025</v>
      </c>
      <c r="L181" t="s">
        <v>2042</v>
      </c>
      <c r="M181" t="s">
        <v>972</v>
      </c>
      <c r="O181" t="s">
        <v>62</v>
      </c>
      <c r="P181" t="s">
        <v>63</v>
      </c>
      <c r="Q181">
        <v>0.75129666264475825</v>
      </c>
      <c r="R181" t="s">
        <v>64</v>
      </c>
      <c r="S181" t="s">
        <v>65</v>
      </c>
      <c r="T181" t="s">
        <v>2356</v>
      </c>
      <c r="V181" t="s">
        <v>125</v>
      </c>
      <c r="X181" t="s">
        <v>2148</v>
      </c>
      <c r="Y181" t="s">
        <v>2045</v>
      </c>
      <c r="Z181" t="s">
        <v>1460</v>
      </c>
      <c r="AA181" t="s">
        <v>629</v>
      </c>
      <c r="AB181" t="s">
        <v>453</v>
      </c>
      <c r="AD181" t="s">
        <v>822</v>
      </c>
      <c r="AE181" t="s">
        <v>2149</v>
      </c>
      <c r="AI181">
        <v>252.51950538486901</v>
      </c>
      <c r="AJ181">
        <v>3040.4018859470079</v>
      </c>
    </row>
    <row r="182" spans="1:36" x14ac:dyDescent="0.25">
      <c r="A182">
        <v>181</v>
      </c>
      <c r="B182" t="s">
        <v>2358</v>
      </c>
      <c r="C182" t="s">
        <v>376</v>
      </c>
      <c r="D182" t="s">
        <v>2041</v>
      </c>
      <c r="E182" t="s">
        <v>37</v>
      </c>
      <c r="G182" s="2">
        <v>45855</v>
      </c>
      <c r="H182">
        <v>4.7</v>
      </c>
      <c r="I182" t="s">
        <v>72</v>
      </c>
      <c r="J182" t="s">
        <v>1024</v>
      </c>
      <c r="K182" t="s">
        <v>1025</v>
      </c>
      <c r="L182" t="s">
        <v>2042</v>
      </c>
      <c r="M182" t="s">
        <v>972</v>
      </c>
      <c r="O182" t="s">
        <v>62</v>
      </c>
      <c r="P182" t="s">
        <v>63</v>
      </c>
      <c r="Q182">
        <v>4.8295257545070216</v>
      </c>
      <c r="R182" t="s">
        <v>64</v>
      </c>
      <c r="S182" t="s">
        <v>65</v>
      </c>
      <c r="T182" t="s">
        <v>2359</v>
      </c>
      <c r="V182" t="s">
        <v>70</v>
      </c>
      <c r="X182" t="s">
        <v>2360</v>
      </c>
      <c r="Y182" t="s">
        <v>2045</v>
      </c>
      <c r="Z182" t="s">
        <v>1073</v>
      </c>
      <c r="AA182" t="s">
        <v>1076</v>
      </c>
      <c r="AB182" t="s">
        <v>453</v>
      </c>
      <c r="AD182" t="s">
        <v>2361</v>
      </c>
      <c r="AE182" t="s">
        <v>2362</v>
      </c>
      <c r="AI182">
        <v>690.13087241863388</v>
      </c>
      <c r="AJ182">
        <v>19544.475494596751</v>
      </c>
    </row>
    <row r="183" spans="1:36" x14ac:dyDescent="0.25">
      <c r="A183">
        <v>182</v>
      </c>
      <c r="B183" t="s">
        <v>2363</v>
      </c>
      <c r="C183" t="s">
        <v>376</v>
      </c>
      <c r="D183" t="s">
        <v>2041</v>
      </c>
      <c r="E183" t="s">
        <v>37</v>
      </c>
      <c r="G183" s="2">
        <v>45855</v>
      </c>
      <c r="H183">
        <v>1.8</v>
      </c>
      <c r="I183" t="s">
        <v>72</v>
      </c>
      <c r="J183" t="s">
        <v>1024</v>
      </c>
      <c r="K183" t="s">
        <v>1025</v>
      </c>
      <c r="L183" t="s">
        <v>2042</v>
      </c>
      <c r="M183" t="s">
        <v>972</v>
      </c>
      <c r="O183" t="s">
        <v>62</v>
      </c>
      <c r="P183" t="s">
        <v>63</v>
      </c>
      <c r="Q183">
        <v>1.786371564040774</v>
      </c>
      <c r="R183" t="s">
        <v>64</v>
      </c>
      <c r="S183" t="s">
        <v>65</v>
      </c>
      <c r="T183" t="s">
        <v>2359</v>
      </c>
      <c r="V183" t="s">
        <v>70</v>
      </c>
      <c r="X183" t="s">
        <v>2360</v>
      </c>
      <c r="Y183" t="s">
        <v>2045</v>
      </c>
      <c r="Z183" t="s">
        <v>1073</v>
      </c>
      <c r="AA183" t="s">
        <v>1076</v>
      </c>
      <c r="AB183" t="s">
        <v>453</v>
      </c>
      <c r="AD183" t="s">
        <v>2361</v>
      </c>
      <c r="AE183" t="s">
        <v>2362</v>
      </c>
      <c r="AI183">
        <v>390.57591440252429</v>
      </c>
      <c r="AJ183">
        <v>7229.2181535748359</v>
      </c>
    </row>
    <row r="184" spans="1:36" hidden="1" x14ac:dyDescent="0.25">
      <c r="A184">
        <v>183</v>
      </c>
      <c r="B184" t="s">
        <v>2364</v>
      </c>
      <c r="C184" t="s">
        <v>376</v>
      </c>
      <c r="D184" t="s">
        <v>2041</v>
      </c>
      <c r="E184" t="s">
        <v>37</v>
      </c>
      <c r="G184" s="2">
        <v>45855</v>
      </c>
      <c r="H184">
        <v>2.4</v>
      </c>
      <c r="I184" t="s">
        <v>72</v>
      </c>
      <c r="J184" t="s">
        <v>1024</v>
      </c>
      <c r="K184" t="s">
        <v>1025</v>
      </c>
      <c r="L184" t="s">
        <v>2042</v>
      </c>
      <c r="M184" t="s">
        <v>972</v>
      </c>
      <c r="O184" t="s">
        <v>99</v>
      </c>
      <c r="P184" t="s">
        <v>100</v>
      </c>
      <c r="Q184">
        <v>2.876585901650083</v>
      </c>
      <c r="R184" t="s">
        <v>60</v>
      </c>
      <c r="S184" t="s">
        <v>66</v>
      </c>
      <c r="T184" t="s">
        <v>2178</v>
      </c>
      <c r="V184" t="s">
        <v>119</v>
      </c>
      <c r="X184" t="s">
        <v>2179</v>
      </c>
      <c r="Y184" t="s">
        <v>2045</v>
      </c>
      <c r="Z184" t="s">
        <v>1460</v>
      </c>
      <c r="AA184" t="s">
        <v>397</v>
      </c>
      <c r="AB184" t="s">
        <v>453</v>
      </c>
      <c r="AD184" t="s">
        <v>758</v>
      </c>
      <c r="AE184" t="s">
        <v>86</v>
      </c>
      <c r="AI184">
        <v>616.78681548877375</v>
      </c>
      <c r="AJ184">
        <v>11641.17669533815</v>
      </c>
    </row>
    <row r="185" spans="1:36" hidden="1" x14ac:dyDescent="0.25">
      <c r="A185">
        <v>184</v>
      </c>
      <c r="B185" t="s">
        <v>2365</v>
      </c>
      <c r="C185" t="s">
        <v>376</v>
      </c>
      <c r="D185" t="s">
        <v>2041</v>
      </c>
      <c r="E185" t="s">
        <v>37</v>
      </c>
      <c r="G185" s="2">
        <v>45855</v>
      </c>
      <c r="H185">
        <v>1.5</v>
      </c>
      <c r="I185" t="s">
        <v>72</v>
      </c>
      <c r="J185" t="s">
        <v>1024</v>
      </c>
      <c r="K185" t="s">
        <v>1025</v>
      </c>
      <c r="L185" t="s">
        <v>2042</v>
      </c>
      <c r="M185" t="s">
        <v>972</v>
      </c>
      <c r="O185" t="s">
        <v>99</v>
      </c>
      <c r="P185" t="s">
        <v>100</v>
      </c>
      <c r="Q185">
        <v>1.1836672435263731</v>
      </c>
      <c r="R185" t="s">
        <v>60</v>
      </c>
      <c r="S185" t="s">
        <v>66</v>
      </c>
      <c r="T185" t="s">
        <v>2366</v>
      </c>
      <c r="V185" t="s">
        <v>119</v>
      </c>
      <c r="X185" t="s">
        <v>2367</v>
      </c>
      <c r="Y185" t="s">
        <v>2045</v>
      </c>
      <c r="Z185" t="s">
        <v>1460</v>
      </c>
      <c r="AA185" t="s">
        <v>397</v>
      </c>
      <c r="AB185" t="s">
        <v>453</v>
      </c>
      <c r="AD185" t="s">
        <v>232</v>
      </c>
      <c r="AE185" t="s">
        <v>2368</v>
      </c>
      <c r="AI185">
        <v>400.0447315467199</v>
      </c>
      <c r="AJ185">
        <v>4790.1505470322336</v>
      </c>
    </row>
    <row r="186" spans="1:36" hidden="1" x14ac:dyDescent="0.25">
      <c r="A186">
        <v>185</v>
      </c>
      <c r="B186" t="s">
        <v>2369</v>
      </c>
      <c r="C186" t="s">
        <v>376</v>
      </c>
      <c r="D186" t="s">
        <v>2041</v>
      </c>
      <c r="E186" t="s">
        <v>37</v>
      </c>
      <c r="G186" s="2">
        <v>45855</v>
      </c>
      <c r="H186">
        <v>2.1</v>
      </c>
      <c r="I186" t="s">
        <v>72</v>
      </c>
      <c r="J186" t="s">
        <v>1024</v>
      </c>
      <c r="K186" t="s">
        <v>1025</v>
      </c>
      <c r="L186" t="s">
        <v>2042</v>
      </c>
      <c r="M186" t="s">
        <v>972</v>
      </c>
      <c r="O186" t="s">
        <v>99</v>
      </c>
      <c r="P186" t="s">
        <v>100</v>
      </c>
      <c r="Q186">
        <v>2.1057396539286319</v>
      </c>
      <c r="R186" t="s">
        <v>60</v>
      </c>
      <c r="S186" t="s">
        <v>66</v>
      </c>
      <c r="T186" t="s">
        <v>2370</v>
      </c>
      <c r="V186" t="s">
        <v>64</v>
      </c>
      <c r="X186" t="s">
        <v>2371</v>
      </c>
      <c r="Y186" t="s">
        <v>2045</v>
      </c>
      <c r="Z186" t="s">
        <v>1460</v>
      </c>
      <c r="AA186" t="s">
        <v>397</v>
      </c>
      <c r="AB186" t="s">
        <v>453</v>
      </c>
      <c r="AD186" t="s">
        <v>2372</v>
      </c>
      <c r="AE186" t="s">
        <v>2373</v>
      </c>
      <c r="AI186">
        <v>410.85967841247759</v>
      </c>
      <c r="AJ186">
        <v>8521.6601290098679</v>
      </c>
    </row>
    <row r="187" spans="1:36" hidden="1" x14ac:dyDescent="0.25">
      <c r="A187">
        <v>186</v>
      </c>
      <c r="B187" t="s">
        <v>2374</v>
      </c>
      <c r="C187" t="s">
        <v>376</v>
      </c>
      <c r="D187" t="s">
        <v>2041</v>
      </c>
      <c r="E187" t="s">
        <v>37</v>
      </c>
      <c r="G187" s="2">
        <v>45855</v>
      </c>
      <c r="H187">
        <v>0.2</v>
      </c>
      <c r="I187" t="s">
        <v>72</v>
      </c>
      <c r="J187" t="s">
        <v>1024</v>
      </c>
      <c r="K187" t="s">
        <v>1025</v>
      </c>
      <c r="L187" t="s">
        <v>2042</v>
      </c>
      <c r="M187" t="s">
        <v>972</v>
      </c>
      <c r="O187" t="s">
        <v>99</v>
      </c>
      <c r="P187" t="s">
        <v>100</v>
      </c>
      <c r="Q187">
        <v>0.1820422903911223</v>
      </c>
      <c r="R187" t="s">
        <v>60</v>
      </c>
      <c r="S187" t="s">
        <v>66</v>
      </c>
      <c r="T187" t="s">
        <v>2370</v>
      </c>
      <c r="V187" t="s">
        <v>64</v>
      </c>
      <c r="X187" t="s">
        <v>2371</v>
      </c>
      <c r="Y187" t="s">
        <v>2045</v>
      </c>
      <c r="Z187" t="s">
        <v>1460</v>
      </c>
      <c r="AA187" t="s">
        <v>397</v>
      </c>
      <c r="AB187" t="s">
        <v>453</v>
      </c>
      <c r="AD187" t="s">
        <v>2372</v>
      </c>
      <c r="AE187" t="s">
        <v>2373</v>
      </c>
      <c r="AI187">
        <v>109.7342816217253</v>
      </c>
      <c r="AJ187">
        <v>736.70195882260737</v>
      </c>
    </row>
    <row r="188" spans="1:36" hidden="1" x14ac:dyDescent="0.25">
      <c r="A188">
        <v>187</v>
      </c>
      <c r="B188" t="s">
        <v>2375</v>
      </c>
      <c r="C188" t="s">
        <v>376</v>
      </c>
      <c r="D188" t="s">
        <v>2041</v>
      </c>
      <c r="E188" t="s">
        <v>37</v>
      </c>
      <c r="G188" s="2">
        <v>45855</v>
      </c>
      <c r="H188">
        <v>0.3</v>
      </c>
      <c r="I188" t="s">
        <v>72</v>
      </c>
      <c r="J188" t="s">
        <v>1024</v>
      </c>
      <c r="K188" t="s">
        <v>1025</v>
      </c>
      <c r="L188" t="s">
        <v>2042</v>
      </c>
      <c r="M188" t="s">
        <v>972</v>
      </c>
      <c r="O188" t="s">
        <v>99</v>
      </c>
      <c r="P188" t="s">
        <v>100</v>
      </c>
      <c r="Q188">
        <v>0.26075036847631727</v>
      </c>
      <c r="R188" t="s">
        <v>60</v>
      </c>
      <c r="S188" t="s">
        <v>66</v>
      </c>
      <c r="T188" t="s">
        <v>2370</v>
      </c>
      <c r="V188" t="s">
        <v>64</v>
      </c>
      <c r="X188" t="s">
        <v>2371</v>
      </c>
      <c r="Y188" t="s">
        <v>2045</v>
      </c>
      <c r="Z188" t="s">
        <v>1460</v>
      </c>
      <c r="AA188" t="s">
        <v>397</v>
      </c>
      <c r="AB188" t="s">
        <v>453</v>
      </c>
      <c r="AD188" t="s">
        <v>2372</v>
      </c>
      <c r="AE188" t="s">
        <v>2373</v>
      </c>
      <c r="AI188">
        <v>162.19057969293871</v>
      </c>
      <c r="AJ188">
        <v>1055.2235242014269</v>
      </c>
    </row>
    <row r="189" spans="1:36" hidden="1" x14ac:dyDescent="0.25">
      <c r="A189">
        <v>188</v>
      </c>
      <c r="B189" t="s">
        <v>2376</v>
      </c>
      <c r="C189" t="s">
        <v>376</v>
      </c>
      <c r="D189" t="s">
        <v>2041</v>
      </c>
      <c r="E189" t="s">
        <v>37</v>
      </c>
      <c r="G189" s="2">
        <v>45855</v>
      </c>
      <c r="H189">
        <v>0.2</v>
      </c>
      <c r="I189" t="s">
        <v>72</v>
      </c>
      <c r="J189" t="s">
        <v>1024</v>
      </c>
      <c r="K189" t="s">
        <v>1025</v>
      </c>
      <c r="L189" t="s">
        <v>2042</v>
      </c>
      <c r="M189" t="s">
        <v>972</v>
      </c>
      <c r="O189" t="s">
        <v>146</v>
      </c>
      <c r="P189" t="s">
        <v>147</v>
      </c>
      <c r="Q189">
        <v>0.1228654389429451</v>
      </c>
      <c r="R189" t="s">
        <v>46</v>
      </c>
      <c r="S189" t="s">
        <v>47</v>
      </c>
      <c r="T189" t="s">
        <v>2370</v>
      </c>
      <c r="V189" t="s">
        <v>64</v>
      </c>
      <c r="X189" t="s">
        <v>2371</v>
      </c>
      <c r="Y189" t="s">
        <v>2045</v>
      </c>
      <c r="Z189" t="s">
        <v>1460</v>
      </c>
      <c r="AA189" t="s">
        <v>452</v>
      </c>
      <c r="AB189" t="s">
        <v>453</v>
      </c>
      <c r="AD189" t="s">
        <v>2372</v>
      </c>
      <c r="AE189" t="s">
        <v>2373</v>
      </c>
      <c r="AI189">
        <v>105.3290926824336</v>
      </c>
      <c r="AJ189">
        <v>497.22077955838188</v>
      </c>
    </row>
    <row r="190" spans="1:36" x14ac:dyDescent="0.25">
      <c r="A190">
        <v>189</v>
      </c>
      <c r="B190" t="s">
        <v>2377</v>
      </c>
      <c r="C190" t="s">
        <v>376</v>
      </c>
      <c r="D190" t="s">
        <v>2041</v>
      </c>
      <c r="E190" t="s">
        <v>37</v>
      </c>
      <c r="G190" s="2">
        <v>45855</v>
      </c>
      <c r="H190">
        <v>0.3</v>
      </c>
      <c r="I190" t="s">
        <v>72</v>
      </c>
      <c r="J190" t="s">
        <v>1024</v>
      </c>
      <c r="K190" t="s">
        <v>1025</v>
      </c>
      <c r="L190" t="s">
        <v>2042</v>
      </c>
      <c r="M190" t="s">
        <v>972</v>
      </c>
      <c r="O190" t="s">
        <v>62</v>
      </c>
      <c r="P190" t="s">
        <v>63</v>
      </c>
      <c r="Q190">
        <v>0.2007186583841391</v>
      </c>
      <c r="R190" t="s">
        <v>64</v>
      </c>
      <c r="S190" t="s">
        <v>65</v>
      </c>
      <c r="T190" t="s">
        <v>2370</v>
      </c>
      <c r="V190" t="s">
        <v>64</v>
      </c>
      <c r="X190" t="s">
        <v>2371</v>
      </c>
      <c r="Y190" t="s">
        <v>2045</v>
      </c>
      <c r="Z190" t="s">
        <v>1460</v>
      </c>
      <c r="AA190" t="s">
        <v>452</v>
      </c>
      <c r="AB190" t="s">
        <v>453</v>
      </c>
      <c r="AD190" t="s">
        <v>2372</v>
      </c>
      <c r="AE190" t="s">
        <v>2373</v>
      </c>
      <c r="AI190">
        <v>203.92946664915689</v>
      </c>
      <c r="AJ190">
        <v>812.28284090547925</v>
      </c>
    </row>
    <row r="191" spans="1:36" x14ac:dyDescent="0.25">
      <c r="A191">
        <v>190</v>
      </c>
      <c r="B191" t="s">
        <v>2378</v>
      </c>
      <c r="C191" t="s">
        <v>376</v>
      </c>
      <c r="D191" t="s">
        <v>2041</v>
      </c>
      <c r="E191" t="s">
        <v>37</v>
      </c>
      <c r="G191" s="2">
        <v>45855</v>
      </c>
      <c r="H191">
        <v>3</v>
      </c>
      <c r="I191" t="s">
        <v>72</v>
      </c>
      <c r="J191" t="s">
        <v>1024</v>
      </c>
      <c r="K191" t="s">
        <v>1025</v>
      </c>
      <c r="L191" t="s">
        <v>2042</v>
      </c>
      <c r="M191" t="s">
        <v>972</v>
      </c>
      <c r="N191" t="s">
        <v>2241</v>
      </c>
      <c r="O191" t="s">
        <v>62</v>
      </c>
      <c r="P191" t="s">
        <v>63</v>
      </c>
      <c r="Q191">
        <v>2.8484719979079141</v>
      </c>
      <c r="R191" t="s">
        <v>64</v>
      </c>
      <c r="S191" t="s">
        <v>65</v>
      </c>
      <c r="T191" t="s">
        <v>2293</v>
      </c>
      <c r="V191" t="s">
        <v>73</v>
      </c>
      <c r="X191" t="s">
        <v>2243</v>
      </c>
      <c r="Y191" t="s">
        <v>2233</v>
      </c>
      <c r="Z191" t="s">
        <v>1460</v>
      </c>
      <c r="AA191" t="s">
        <v>119</v>
      </c>
      <c r="AB191" t="s">
        <v>453</v>
      </c>
      <c r="AD191" t="s">
        <v>145</v>
      </c>
      <c r="AE191" t="s">
        <v>2281</v>
      </c>
      <c r="AI191">
        <v>511.39355953964031</v>
      </c>
      <c r="AJ191">
        <v>11527.403308327321</v>
      </c>
    </row>
    <row r="192" spans="1:36" x14ac:dyDescent="0.25">
      <c r="A192">
        <v>191</v>
      </c>
      <c r="B192" t="s">
        <v>2379</v>
      </c>
      <c r="C192" t="s">
        <v>376</v>
      </c>
      <c r="D192" t="s">
        <v>2041</v>
      </c>
      <c r="E192" t="s">
        <v>37</v>
      </c>
      <c r="G192" s="2">
        <v>45855</v>
      </c>
      <c r="H192">
        <v>7.8</v>
      </c>
      <c r="I192" t="s">
        <v>72</v>
      </c>
      <c r="J192" t="s">
        <v>1024</v>
      </c>
      <c r="K192" t="s">
        <v>1025</v>
      </c>
      <c r="L192" t="s">
        <v>2042</v>
      </c>
      <c r="M192" t="s">
        <v>972</v>
      </c>
      <c r="O192" t="s">
        <v>62</v>
      </c>
      <c r="P192" t="s">
        <v>63</v>
      </c>
      <c r="Q192">
        <v>7.5627389046247702</v>
      </c>
      <c r="R192" t="s">
        <v>64</v>
      </c>
      <c r="S192" t="s">
        <v>65</v>
      </c>
      <c r="T192" t="s">
        <v>2380</v>
      </c>
      <c r="V192" t="s">
        <v>73</v>
      </c>
      <c r="X192" t="s">
        <v>2261</v>
      </c>
      <c r="Y192" t="s">
        <v>2233</v>
      </c>
      <c r="Z192" t="s">
        <v>1460</v>
      </c>
      <c r="AA192" t="s">
        <v>119</v>
      </c>
      <c r="AB192" t="s">
        <v>453</v>
      </c>
      <c r="AD192" t="s">
        <v>93</v>
      </c>
      <c r="AE192" t="s">
        <v>2298</v>
      </c>
      <c r="AI192">
        <v>982.87373146241737</v>
      </c>
      <c r="AJ192">
        <v>30605.440928756379</v>
      </c>
    </row>
    <row r="193" spans="1:36" x14ac:dyDescent="0.25">
      <c r="A193">
        <v>192</v>
      </c>
      <c r="B193" t="s">
        <v>2381</v>
      </c>
      <c r="C193" t="s">
        <v>376</v>
      </c>
      <c r="D193" t="s">
        <v>2041</v>
      </c>
      <c r="E193" t="s">
        <v>37</v>
      </c>
      <c r="G193" s="2">
        <v>45855</v>
      </c>
      <c r="H193">
        <v>0.4</v>
      </c>
      <c r="I193" t="s">
        <v>72</v>
      </c>
      <c r="J193" t="s">
        <v>1024</v>
      </c>
      <c r="K193" t="s">
        <v>1025</v>
      </c>
      <c r="L193" t="s">
        <v>2042</v>
      </c>
      <c r="M193" t="s">
        <v>972</v>
      </c>
      <c r="N193" t="s">
        <v>2241</v>
      </c>
      <c r="O193" t="s">
        <v>62</v>
      </c>
      <c r="P193" t="s">
        <v>63</v>
      </c>
      <c r="Q193">
        <v>0.3621114444757294</v>
      </c>
      <c r="R193" t="s">
        <v>64</v>
      </c>
      <c r="S193" t="s">
        <v>65</v>
      </c>
      <c r="T193" t="s">
        <v>2382</v>
      </c>
      <c r="V193" t="s">
        <v>73</v>
      </c>
      <c r="X193" t="s">
        <v>2243</v>
      </c>
      <c r="Y193" t="s">
        <v>2233</v>
      </c>
      <c r="Z193" t="s">
        <v>1460</v>
      </c>
      <c r="AA193" t="s">
        <v>119</v>
      </c>
      <c r="AB193" t="s">
        <v>453</v>
      </c>
      <c r="AC193" t="s">
        <v>2302</v>
      </c>
      <c r="AD193" t="s">
        <v>145</v>
      </c>
      <c r="AE193" t="s">
        <v>2281</v>
      </c>
      <c r="AI193">
        <v>156.59305942549429</v>
      </c>
      <c r="AJ193">
        <v>1465.41888637083</v>
      </c>
    </row>
    <row r="194" spans="1:36" x14ac:dyDescent="0.25">
      <c r="A194">
        <v>193</v>
      </c>
      <c r="B194" t="s">
        <v>2383</v>
      </c>
      <c r="C194" t="s">
        <v>376</v>
      </c>
      <c r="D194" t="s">
        <v>2041</v>
      </c>
      <c r="E194" t="s">
        <v>37</v>
      </c>
      <c r="G194" s="2">
        <v>45855</v>
      </c>
      <c r="H194">
        <v>0.7</v>
      </c>
      <c r="I194" t="s">
        <v>72</v>
      </c>
      <c r="J194" t="s">
        <v>1024</v>
      </c>
      <c r="K194" t="s">
        <v>1025</v>
      </c>
      <c r="L194" t="s">
        <v>2042</v>
      </c>
      <c r="M194" t="s">
        <v>972</v>
      </c>
      <c r="N194" t="s">
        <v>2241</v>
      </c>
      <c r="O194" t="s">
        <v>62</v>
      </c>
      <c r="P194" t="s">
        <v>63</v>
      </c>
      <c r="Q194">
        <v>0.68161868087903843</v>
      </c>
      <c r="R194" t="s">
        <v>64</v>
      </c>
      <c r="S194" t="s">
        <v>65</v>
      </c>
      <c r="T194" t="s">
        <v>2382</v>
      </c>
      <c r="V194" t="s">
        <v>73</v>
      </c>
      <c r="X194" t="s">
        <v>2243</v>
      </c>
      <c r="Y194" t="s">
        <v>2233</v>
      </c>
      <c r="Z194" t="s">
        <v>1460</v>
      </c>
      <c r="AA194" t="s">
        <v>119</v>
      </c>
      <c r="AB194" t="s">
        <v>453</v>
      </c>
      <c r="AC194" t="s">
        <v>2302</v>
      </c>
      <c r="AD194" t="s">
        <v>145</v>
      </c>
      <c r="AE194" t="s">
        <v>2281</v>
      </c>
      <c r="AI194">
        <v>213.2060211027987</v>
      </c>
      <c r="AJ194">
        <v>2758.4239700279991</v>
      </c>
    </row>
    <row r="195" spans="1:36" x14ac:dyDescent="0.25">
      <c r="A195">
        <v>194</v>
      </c>
      <c r="B195" t="s">
        <v>2384</v>
      </c>
      <c r="C195" t="s">
        <v>376</v>
      </c>
      <c r="D195" t="s">
        <v>2041</v>
      </c>
      <c r="E195" t="s">
        <v>37</v>
      </c>
      <c r="G195" s="2">
        <v>45855</v>
      </c>
      <c r="H195">
        <v>8.4</v>
      </c>
      <c r="I195" t="s">
        <v>72</v>
      </c>
      <c r="J195" t="s">
        <v>1024</v>
      </c>
      <c r="K195" t="s">
        <v>1025</v>
      </c>
      <c r="L195" t="s">
        <v>2042</v>
      </c>
      <c r="M195" t="s">
        <v>972</v>
      </c>
      <c r="N195" t="s">
        <v>2241</v>
      </c>
      <c r="O195" t="s">
        <v>62</v>
      </c>
      <c r="P195" t="s">
        <v>63</v>
      </c>
      <c r="Q195">
        <v>4.0458980932381188</v>
      </c>
      <c r="R195" t="s">
        <v>64</v>
      </c>
      <c r="S195" t="s">
        <v>65</v>
      </c>
      <c r="T195" t="s">
        <v>2293</v>
      </c>
      <c r="V195" t="s">
        <v>60</v>
      </c>
      <c r="X195" t="s">
        <v>2243</v>
      </c>
      <c r="Y195" t="s">
        <v>2233</v>
      </c>
      <c r="Z195" t="s">
        <v>1460</v>
      </c>
      <c r="AA195" t="s">
        <v>119</v>
      </c>
      <c r="AB195" t="s">
        <v>453</v>
      </c>
      <c r="AC195" t="s">
        <v>2302</v>
      </c>
      <c r="AD195" t="s">
        <v>145</v>
      </c>
      <c r="AE195" t="s">
        <v>1466</v>
      </c>
      <c r="AI195">
        <v>837.97985022577416</v>
      </c>
      <c r="AJ195">
        <v>16373.234175867799</v>
      </c>
    </row>
    <row r="196" spans="1:36" x14ac:dyDescent="0.25">
      <c r="A196">
        <v>195</v>
      </c>
      <c r="B196" t="s">
        <v>2385</v>
      </c>
      <c r="C196" t="s">
        <v>376</v>
      </c>
      <c r="D196" t="s">
        <v>2041</v>
      </c>
      <c r="E196" t="s">
        <v>37</v>
      </c>
      <c r="G196" s="2">
        <v>45855</v>
      </c>
      <c r="H196">
        <v>2.2999999999999998</v>
      </c>
      <c r="I196" t="s">
        <v>72</v>
      </c>
      <c r="J196" t="s">
        <v>1024</v>
      </c>
      <c r="K196" t="s">
        <v>1025</v>
      </c>
      <c r="L196" t="s">
        <v>2042</v>
      </c>
      <c r="M196" t="s">
        <v>972</v>
      </c>
      <c r="N196" t="s">
        <v>2241</v>
      </c>
      <c r="O196" t="s">
        <v>62</v>
      </c>
      <c r="P196" t="s">
        <v>63</v>
      </c>
      <c r="Q196">
        <v>2.2364261322535359</v>
      </c>
      <c r="R196" t="s">
        <v>64</v>
      </c>
      <c r="S196" t="s">
        <v>65</v>
      </c>
      <c r="T196" t="s">
        <v>2386</v>
      </c>
      <c r="V196" t="s">
        <v>60</v>
      </c>
      <c r="X196" t="s">
        <v>2243</v>
      </c>
      <c r="Y196" t="s">
        <v>2233</v>
      </c>
      <c r="Z196" t="s">
        <v>1460</v>
      </c>
      <c r="AA196" t="s">
        <v>119</v>
      </c>
      <c r="AB196" t="s">
        <v>453</v>
      </c>
      <c r="AD196" t="s">
        <v>1215</v>
      </c>
      <c r="AE196" t="s">
        <v>2285</v>
      </c>
      <c r="AI196">
        <v>449.34416466748752</v>
      </c>
      <c r="AJ196">
        <v>9050.5316586238459</v>
      </c>
    </row>
    <row r="197" spans="1:36" hidden="1" x14ac:dyDescent="0.25">
      <c r="A197">
        <v>196</v>
      </c>
      <c r="B197" t="s">
        <v>2387</v>
      </c>
      <c r="C197" t="s">
        <v>376</v>
      </c>
      <c r="D197" t="s">
        <v>2041</v>
      </c>
      <c r="E197" t="s">
        <v>37</v>
      </c>
      <c r="G197" s="2">
        <v>45855</v>
      </c>
      <c r="H197">
        <v>41.9</v>
      </c>
      <c r="I197" t="s">
        <v>72</v>
      </c>
      <c r="J197" t="s">
        <v>1024</v>
      </c>
      <c r="K197" t="s">
        <v>1025</v>
      </c>
      <c r="L197" t="s">
        <v>2042</v>
      </c>
      <c r="M197" t="s">
        <v>972</v>
      </c>
      <c r="N197" t="s">
        <v>2241</v>
      </c>
      <c r="O197" t="s">
        <v>113</v>
      </c>
      <c r="P197" t="s">
        <v>114</v>
      </c>
      <c r="Q197">
        <v>42.66493947321738</v>
      </c>
      <c r="R197" t="s">
        <v>46</v>
      </c>
      <c r="S197" t="s">
        <v>47</v>
      </c>
      <c r="T197" t="s">
        <v>2293</v>
      </c>
      <c r="V197" t="s">
        <v>60</v>
      </c>
      <c r="X197" t="s">
        <v>2243</v>
      </c>
      <c r="Y197" t="s">
        <v>2233</v>
      </c>
      <c r="Z197" t="s">
        <v>1460</v>
      </c>
      <c r="AA197" t="s">
        <v>125</v>
      </c>
      <c r="AB197" t="s">
        <v>453</v>
      </c>
      <c r="AD197" t="s">
        <v>145</v>
      </c>
      <c r="AE197" t="s">
        <v>2320</v>
      </c>
      <c r="AI197">
        <v>2142.4323075919169</v>
      </c>
      <c r="AJ197">
        <v>172659.5749561062</v>
      </c>
    </row>
    <row r="198" spans="1:36" hidden="1" x14ac:dyDescent="0.25">
      <c r="A198">
        <v>197</v>
      </c>
      <c r="B198" t="s">
        <v>2388</v>
      </c>
      <c r="C198" t="s">
        <v>376</v>
      </c>
      <c r="D198" t="s">
        <v>2041</v>
      </c>
      <c r="E198" t="s">
        <v>37</v>
      </c>
      <c r="G198" s="2">
        <v>45855</v>
      </c>
      <c r="H198">
        <v>1.6</v>
      </c>
      <c r="I198" t="s">
        <v>72</v>
      </c>
      <c r="J198" t="s">
        <v>1024</v>
      </c>
      <c r="K198" t="s">
        <v>1025</v>
      </c>
      <c r="L198" t="s">
        <v>2042</v>
      </c>
      <c r="M198" t="s">
        <v>972</v>
      </c>
      <c r="N198" t="s">
        <v>2241</v>
      </c>
      <c r="O198" t="s">
        <v>113</v>
      </c>
      <c r="P198" t="s">
        <v>114</v>
      </c>
      <c r="Q198">
        <v>1.533769444942688</v>
      </c>
      <c r="R198" t="s">
        <v>46</v>
      </c>
      <c r="S198" t="s">
        <v>47</v>
      </c>
      <c r="T198" t="s">
        <v>2293</v>
      </c>
      <c r="V198" t="s">
        <v>60</v>
      </c>
      <c r="X198" t="s">
        <v>2243</v>
      </c>
      <c r="Y198" t="s">
        <v>2233</v>
      </c>
      <c r="Z198" t="s">
        <v>1460</v>
      </c>
      <c r="AA198" t="s">
        <v>125</v>
      </c>
      <c r="AB198" t="s">
        <v>453</v>
      </c>
      <c r="AD198" t="s">
        <v>145</v>
      </c>
      <c r="AE198" t="s">
        <v>2320</v>
      </c>
      <c r="AI198">
        <v>311.70815901057449</v>
      </c>
      <c r="AJ198">
        <v>6206.9695566005967</v>
      </c>
    </row>
    <row r="199" spans="1:36" hidden="1" x14ac:dyDescent="0.25">
      <c r="A199">
        <v>198</v>
      </c>
      <c r="B199" t="s">
        <v>2389</v>
      </c>
      <c r="C199" t="s">
        <v>376</v>
      </c>
      <c r="D199" t="s">
        <v>2041</v>
      </c>
      <c r="E199" t="s">
        <v>37</v>
      </c>
      <c r="G199" s="2">
        <v>45855</v>
      </c>
      <c r="H199">
        <v>1.2</v>
      </c>
      <c r="I199" t="s">
        <v>72</v>
      </c>
      <c r="J199" t="s">
        <v>1024</v>
      </c>
      <c r="K199" t="s">
        <v>1025</v>
      </c>
      <c r="L199" t="s">
        <v>2042</v>
      </c>
      <c r="M199" t="s">
        <v>972</v>
      </c>
      <c r="N199" t="s">
        <v>2241</v>
      </c>
      <c r="O199" t="s">
        <v>113</v>
      </c>
      <c r="P199" t="s">
        <v>114</v>
      </c>
      <c r="Q199">
        <v>1.1512087877035839</v>
      </c>
      <c r="R199" t="s">
        <v>46</v>
      </c>
      <c r="S199" t="s">
        <v>47</v>
      </c>
      <c r="T199" t="s">
        <v>2293</v>
      </c>
      <c r="V199" t="s">
        <v>60</v>
      </c>
      <c r="X199" t="s">
        <v>2243</v>
      </c>
      <c r="Y199" t="s">
        <v>2233</v>
      </c>
      <c r="Z199" t="s">
        <v>1460</v>
      </c>
      <c r="AA199" t="s">
        <v>125</v>
      </c>
      <c r="AB199" t="s">
        <v>453</v>
      </c>
      <c r="AD199" t="s">
        <v>145</v>
      </c>
      <c r="AE199" t="s">
        <v>2320</v>
      </c>
      <c r="AI199">
        <v>327.0635173465883</v>
      </c>
      <c r="AJ199">
        <v>4658.795311204176</v>
      </c>
    </row>
    <row r="200" spans="1:36" x14ac:dyDescent="0.25">
      <c r="A200">
        <v>199</v>
      </c>
      <c r="B200" t="s">
        <v>2390</v>
      </c>
      <c r="C200" t="s">
        <v>376</v>
      </c>
      <c r="D200" t="s">
        <v>2041</v>
      </c>
      <c r="E200" t="s">
        <v>37</v>
      </c>
      <c r="G200" s="2">
        <v>45855</v>
      </c>
      <c r="H200">
        <v>0.2</v>
      </c>
      <c r="I200" t="s">
        <v>72</v>
      </c>
      <c r="J200" t="s">
        <v>1024</v>
      </c>
      <c r="K200" t="s">
        <v>1025</v>
      </c>
      <c r="L200" t="s">
        <v>2042</v>
      </c>
      <c r="M200" t="s">
        <v>972</v>
      </c>
      <c r="N200" t="s">
        <v>2241</v>
      </c>
      <c r="O200" t="s">
        <v>62</v>
      </c>
      <c r="P200" t="s">
        <v>63</v>
      </c>
      <c r="Q200">
        <v>0.121268316775135</v>
      </c>
      <c r="R200" t="s">
        <v>64</v>
      </c>
      <c r="S200" t="s">
        <v>65</v>
      </c>
      <c r="T200" t="s">
        <v>2391</v>
      </c>
      <c r="V200" t="s">
        <v>46</v>
      </c>
      <c r="X200" t="s">
        <v>2392</v>
      </c>
      <c r="Y200" t="s">
        <v>2233</v>
      </c>
      <c r="Z200" t="s">
        <v>1460</v>
      </c>
      <c r="AA200" t="s">
        <v>125</v>
      </c>
      <c r="AB200" t="s">
        <v>453</v>
      </c>
      <c r="AE200" t="s">
        <v>2393</v>
      </c>
      <c r="AI200">
        <v>93.778191329251143</v>
      </c>
      <c r="AJ200">
        <v>490.75742960284799</v>
      </c>
    </row>
    <row r="201" spans="1:36" hidden="1" x14ac:dyDescent="0.25">
      <c r="A201">
        <v>200</v>
      </c>
      <c r="B201" t="s">
        <v>2394</v>
      </c>
      <c r="C201" t="s">
        <v>376</v>
      </c>
      <c r="D201" t="s">
        <v>2041</v>
      </c>
      <c r="E201" t="s">
        <v>37</v>
      </c>
      <c r="G201" s="2">
        <v>45855</v>
      </c>
      <c r="H201">
        <v>17.2</v>
      </c>
      <c r="I201" t="s">
        <v>72</v>
      </c>
      <c r="J201" t="s">
        <v>1024</v>
      </c>
      <c r="K201" t="s">
        <v>1025</v>
      </c>
      <c r="L201" t="s">
        <v>2042</v>
      </c>
      <c r="M201" t="s">
        <v>972</v>
      </c>
      <c r="N201" t="s">
        <v>2241</v>
      </c>
      <c r="O201" t="s">
        <v>113</v>
      </c>
      <c r="P201" t="s">
        <v>114</v>
      </c>
      <c r="Q201">
        <v>16.47528457440384</v>
      </c>
      <c r="R201" t="s">
        <v>46</v>
      </c>
      <c r="S201" t="s">
        <v>47</v>
      </c>
      <c r="T201" t="s">
        <v>2293</v>
      </c>
      <c r="V201" t="s">
        <v>46</v>
      </c>
      <c r="X201" t="s">
        <v>2243</v>
      </c>
      <c r="Y201" t="s">
        <v>2233</v>
      </c>
      <c r="Z201" t="s">
        <v>1460</v>
      </c>
      <c r="AA201" t="s">
        <v>125</v>
      </c>
      <c r="AB201" t="s">
        <v>453</v>
      </c>
      <c r="AD201" t="s">
        <v>145</v>
      </c>
      <c r="AE201" t="s">
        <v>61</v>
      </c>
      <c r="AI201">
        <v>1088.260945976544</v>
      </c>
      <c r="AJ201">
        <v>66673.37788403868</v>
      </c>
    </row>
    <row r="202" spans="1:36" hidden="1" x14ac:dyDescent="0.25">
      <c r="A202">
        <v>201</v>
      </c>
      <c r="B202" t="s">
        <v>2395</v>
      </c>
      <c r="C202" t="s">
        <v>376</v>
      </c>
      <c r="D202" t="s">
        <v>2041</v>
      </c>
      <c r="E202" t="s">
        <v>37</v>
      </c>
      <c r="G202" s="2">
        <v>45855</v>
      </c>
      <c r="H202">
        <v>1.1000000000000001</v>
      </c>
      <c r="I202" t="s">
        <v>72</v>
      </c>
      <c r="J202" t="s">
        <v>1024</v>
      </c>
      <c r="K202" t="s">
        <v>1025</v>
      </c>
      <c r="L202" t="s">
        <v>2042</v>
      </c>
      <c r="M202" t="s">
        <v>972</v>
      </c>
      <c r="N202" t="s">
        <v>2241</v>
      </c>
      <c r="O202" t="s">
        <v>115</v>
      </c>
      <c r="P202" t="s">
        <v>137</v>
      </c>
      <c r="Q202">
        <v>0.41491940897448898</v>
      </c>
      <c r="T202" t="s">
        <v>2396</v>
      </c>
      <c r="V202" t="s">
        <v>46</v>
      </c>
      <c r="X202" t="s">
        <v>2243</v>
      </c>
      <c r="Y202" t="s">
        <v>2233</v>
      </c>
      <c r="Z202" t="s">
        <v>1460</v>
      </c>
      <c r="AA202" t="s">
        <v>125</v>
      </c>
      <c r="AB202" t="s">
        <v>453</v>
      </c>
      <c r="AD202" t="s">
        <v>145</v>
      </c>
      <c r="AE202" t="s">
        <v>61</v>
      </c>
      <c r="AI202">
        <v>162.8514010130466</v>
      </c>
      <c r="AJ202">
        <v>1679.125991484073</v>
      </c>
    </row>
    <row r="203" spans="1:36" hidden="1" x14ac:dyDescent="0.25">
      <c r="A203">
        <v>202</v>
      </c>
      <c r="B203" t="s">
        <v>2397</v>
      </c>
      <c r="C203" t="s">
        <v>376</v>
      </c>
      <c r="D203" t="s">
        <v>2041</v>
      </c>
      <c r="E203" t="s">
        <v>37</v>
      </c>
      <c r="G203" s="2">
        <v>45867</v>
      </c>
      <c r="I203" t="s">
        <v>72</v>
      </c>
      <c r="J203" t="s">
        <v>1024</v>
      </c>
      <c r="K203" t="s">
        <v>1025</v>
      </c>
      <c r="L203" t="s">
        <v>2042</v>
      </c>
      <c r="M203" t="s">
        <v>972</v>
      </c>
      <c r="N203" t="s">
        <v>2241</v>
      </c>
      <c r="O203" t="s">
        <v>141</v>
      </c>
      <c r="P203" t="s">
        <v>142</v>
      </c>
      <c r="Q203">
        <v>1.5904854612824271</v>
      </c>
      <c r="T203" t="s">
        <v>2398</v>
      </c>
      <c r="V203" t="s">
        <v>50</v>
      </c>
      <c r="W203" t="s">
        <v>2399</v>
      </c>
      <c r="X203" t="s">
        <v>1172</v>
      </c>
      <c r="Y203" t="s">
        <v>2233</v>
      </c>
      <c r="Z203" t="s">
        <v>1073</v>
      </c>
      <c r="AA203" t="s">
        <v>124</v>
      </c>
      <c r="AB203" t="s">
        <v>453</v>
      </c>
      <c r="AI203">
        <v>309.19065178914047</v>
      </c>
      <c r="AJ203">
        <v>6436.4920496670693</v>
      </c>
    </row>
    <row r="204" spans="1:36" x14ac:dyDescent="0.25">
      <c r="A204">
        <v>203</v>
      </c>
      <c r="B204" t="s">
        <v>2400</v>
      </c>
      <c r="C204" t="s">
        <v>376</v>
      </c>
      <c r="D204" t="s">
        <v>2041</v>
      </c>
      <c r="E204" t="s">
        <v>37</v>
      </c>
      <c r="G204" s="2">
        <v>45867</v>
      </c>
      <c r="I204" t="s">
        <v>72</v>
      </c>
      <c r="J204" t="s">
        <v>1024</v>
      </c>
      <c r="K204" t="s">
        <v>1025</v>
      </c>
      <c r="L204" t="s">
        <v>2042</v>
      </c>
      <c r="M204" t="s">
        <v>972</v>
      </c>
      <c r="O204" t="s">
        <v>62</v>
      </c>
      <c r="P204" t="s">
        <v>63</v>
      </c>
      <c r="Q204">
        <v>0.65828164976257619</v>
      </c>
      <c r="R204" t="s">
        <v>64</v>
      </c>
      <c r="S204" t="s">
        <v>65</v>
      </c>
      <c r="T204" t="s">
        <v>2401</v>
      </c>
      <c r="V204" t="s">
        <v>50</v>
      </c>
      <c r="X204" t="s">
        <v>1172</v>
      </c>
      <c r="Y204" t="s">
        <v>676</v>
      </c>
      <c r="Z204" t="s">
        <v>1073</v>
      </c>
      <c r="AA204" t="s">
        <v>699</v>
      </c>
      <c r="AB204" t="s">
        <v>453</v>
      </c>
      <c r="AI204">
        <v>228.91721962512281</v>
      </c>
      <c r="AJ204">
        <v>2663.9819780070052</v>
      </c>
    </row>
    <row r="205" spans="1:36" x14ac:dyDescent="0.25">
      <c r="A205">
        <v>204</v>
      </c>
      <c r="B205" t="s">
        <v>2402</v>
      </c>
      <c r="C205" t="s">
        <v>376</v>
      </c>
      <c r="D205" t="s">
        <v>2041</v>
      </c>
      <c r="E205" t="s">
        <v>37</v>
      </c>
      <c r="G205" s="2">
        <v>45867</v>
      </c>
      <c r="H205">
        <v>7.1</v>
      </c>
      <c r="I205" t="s">
        <v>72</v>
      </c>
      <c r="J205" t="s">
        <v>1024</v>
      </c>
      <c r="K205" t="s">
        <v>1025</v>
      </c>
      <c r="L205" t="s">
        <v>2042</v>
      </c>
      <c r="M205" t="s">
        <v>972</v>
      </c>
      <c r="O205" t="s">
        <v>62</v>
      </c>
      <c r="P205" t="s">
        <v>63</v>
      </c>
      <c r="Q205">
        <v>7.2287922200946264</v>
      </c>
      <c r="R205" t="s">
        <v>64</v>
      </c>
      <c r="S205" t="s">
        <v>65</v>
      </c>
      <c r="T205" t="s">
        <v>2401</v>
      </c>
      <c r="V205" t="s">
        <v>50</v>
      </c>
      <c r="X205" t="s">
        <v>2403</v>
      </c>
      <c r="Y205" t="s">
        <v>676</v>
      </c>
      <c r="Z205" t="s">
        <v>1073</v>
      </c>
      <c r="AA205" t="s">
        <v>471</v>
      </c>
      <c r="AB205" t="s">
        <v>453</v>
      </c>
      <c r="AD205" t="s">
        <v>399</v>
      </c>
      <c r="AE205" t="s">
        <v>702</v>
      </c>
      <c r="AI205">
        <v>1561.8384344223471</v>
      </c>
      <c r="AJ205">
        <v>29254.001237973029</v>
      </c>
    </row>
    <row r="206" spans="1:36" x14ac:dyDescent="0.25">
      <c r="A206">
        <v>205</v>
      </c>
      <c r="B206" t="s">
        <v>2404</v>
      </c>
      <c r="C206" t="s">
        <v>376</v>
      </c>
      <c r="D206" t="s">
        <v>2041</v>
      </c>
      <c r="E206" t="s">
        <v>37</v>
      </c>
      <c r="G206" s="2">
        <v>45867</v>
      </c>
      <c r="H206">
        <v>0.88</v>
      </c>
      <c r="I206" t="s">
        <v>72</v>
      </c>
      <c r="J206" t="s">
        <v>1024</v>
      </c>
      <c r="K206" t="s">
        <v>1025</v>
      </c>
      <c r="L206" t="s">
        <v>2042</v>
      </c>
      <c r="M206" t="s">
        <v>972</v>
      </c>
      <c r="O206" t="s">
        <v>62</v>
      </c>
      <c r="P206" t="s">
        <v>63</v>
      </c>
      <c r="Q206">
        <v>0.686395560788718</v>
      </c>
      <c r="R206" t="s">
        <v>64</v>
      </c>
      <c r="S206" t="s">
        <v>65</v>
      </c>
      <c r="T206" t="s">
        <v>2401</v>
      </c>
      <c r="V206" t="s">
        <v>50</v>
      </c>
      <c r="X206" t="s">
        <v>2403</v>
      </c>
      <c r="Y206" t="s">
        <v>676</v>
      </c>
      <c r="Z206" t="s">
        <v>1073</v>
      </c>
      <c r="AA206" t="s">
        <v>471</v>
      </c>
      <c r="AB206" t="s">
        <v>453</v>
      </c>
      <c r="AD206" t="s">
        <v>399</v>
      </c>
      <c r="AE206" t="s">
        <v>702</v>
      </c>
      <c r="AI206">
        <v>312.33988153652621</v>
      </c>
      <c r="AJ206">
        <v>2777.7553944951401</v>
      </c>
    </row>
    <row r="207" spans="1:36" hidden="1" x14ac:dyDescent="0.25">
      <c r="A207">
        <v>206</v>
      </c>
      <c r="B207" t="s">
        <v>2405</v>
      </c>
      <c r="C207" t="s">
        <v>376</v>
      </c>
      <c r="D207" t="s">
        <v>2041</v>
      </c>
      <c r="E207" t="s">
        <v>37</v>
      </c>
      <c r="G207" s="2">
        <v>45867</v>
      </c>
      <c r="I207" t="s">
        <v>72</v>
      </c>
      <c r="J207" t="s">
        <v>1024</v>
      </c>
      <c r="K207" t="s">
        <v>1025</v>
      </c>
      <c r="L207" t="s">
        <v>2042</v>
      </c>
      <c r="M207" t="s">
        <v>972</v>
      </c>
      <c r="O207" t="s">
        <v>402</v>
      </c>
      <c r="P207" t="s">
        <v>403</v>
      </c>
      <c r="Q207">
        <v>1.807745481998253</v>
      </c>
      <c r="S207" t="s">
        <v>38</v>
      </c>
      <c r="T207" t="s">
        <v>495</v>
      </c>
      <c r="V207" t="s">
        <v>50</v>
      </c>
      <c r="X207" t="s">
        <v>495</v>
      </c>
      <c r="Y207" t="s">
        <v>676</v>
      </c>
      <c r="Z207" t="s">
        <v>1073</v>
      </c>
      <c r="AA207" t="s">
        <v>471</v>
      </c>
      <c r="AB207" t="s">
        <v>453</v>
      </c>
      <c r="AI207">
        <v>410.89185173938102</v>
      </c>
      <c r="AJ207">
        <v>7315.7156767226579</v>
      </c>
    </row>
    <row r="208" spans="1:36" x14ac:dyDescent="0.25">
      <c r="A208">
        <v>207</v>
      </c>
      <c r="B208" t="s">
        <v>2406</v>
      </c>
      <c r="C208" t="s">
        <v>376</v>
      </c>
      <c r="D208" t="s">
        <v>2041</v>
      </c>
      <c r="E208" t="s">
        <v>37</v>
      </c>
      <c r="G208" s="2">
        <v>45854</v>
      </c>
      <c r="H208">
        <v>0.1</v>
      </c>
      <c r="I208" t="s">
        <v>72</v>
      </c>
      <c r="J208" t="s">
        <v>1024</v>
      </c>
      <c r="K208" t="s">
        <v>1025</v>
      </c>
      <c r="L208" t="s">
        <v>2042</v>
      </c>
      <c r="M208" t="s">
        <v>972</v>
      </c>
      <c r="O208" t="s">
        <v>62</v>
      </c>
      <c r="P208" t="s">
        <v>63</v>
      </c>
      <c r="Q208">
        <v>6.5574952480477303E-2</v>
      </c>
      <c r="R208" t="s">
        <v>64</v>
      </c>
      <c r="S208" t="s">
        <v>65</v>
      </c>
      <c r="T208" t="s">
        <v>2407</v>
      </c>
      <c r="V208" t="s">
        <v>118</v>
      </c>
      <c r="X208" t="s">
        <v>2408</v>
      </c>
      <c r="Y208" t="s">
        <v>2051</v>
      </c>
      <c r="Z208" t="s">
        <v>1460</v>
      </c>
      <c r="AA208" t="s">
        <v>50</v>
      </c>
      <c r="AB208" t="s">
        <v>453</v>
      </c>
      <c r="AI208">
        <v>100.1583696680334</v>
      </c>
      <c r="AJ208">
        <v>265.37347908704919</v>
      </c>
    </row>
    <row r="209" spans="1:36" hidden="1" x14ac:dyDescent="0.25">
      <c r="A209">
        <v>208</v>
      </c>
      <c r="B209" t="s">
        <v>2409</v>
      </c>
      <c r="C209" t="s">
        <v>376</v>
      </c>
      <c r="D209" t="s">
        <v>2041</v>
      </c>
      <c r="E209" t="s">
        <v>37</v>
      </c>
      <c r="G209" s="2">
        <v>45855</v>
      </c>
      <c r="H209">
        <v>1.2</v>
      </c>
      <c r="I209" t="s">
        <v>72</v>
      </c>
      <c r="J209" t="s">
        <v>1024</v>
      </c>
      <c r="K209" t="s">
        <v>1025</v>
      </c>
      <c r="L209" t="s">
        <v>2042</v>
      </c>
      <c r="M209" t="s">
        <v>972</v>
      </c>
      <c r="O209" t="s">
        <v>79</v>
      </c>
      <c r="P209" t="s">
        <v>80</v>
      </c>
      <c r="Q209">
        <v>0.48317601420857692</v>
      </c>
      <c r="R209" t="s">
        <v>46</v>
      </c>
      <c r="S209" t="s">
        <v>47</v>
      </c>
      <c r="T209" t="s">
        <v>2293</v>
      </c>
      <c r="V209" t="s">
        <v>73</v>
      </c>
      <c r="X209" t="s">
        <v>2243</v>
      </c>
      <c r="Y209" t="s">
        <v>2233</v>
      </c>
      <c r="Z209" t="s">
        <v>1460</v>
      </c>
      <c r="AA209" t="s">
        <v>603</v>
      </c>
      <c r="AB209" t="s">
        <v>453</v>
      </c>
      <c r="AD209" t="s">
        <v>145</v>
      </c>
      <c r="AE209" t="s">
        <v>2278</v>
      </c>
      <c r="AI209">
        <v>204.5659018684799</v>
      </c>
      <c r="AJ209">
        <v>1955.351777648902</v>
      </c>
    </row>
    <row r="210" spans="1:36" hidden="1" x14ac:dyDescent="0.25">
      <c r="A210">
        <v>209</v>
      </c>
      <c r="B210" t="s">
        <v>2410</v>
      </c>
      <c r="C210" t="s">
        <v>376</v>
      </c>
      <c r="D210" t="s">
        <v>2041</v>
      </c>
      <c r="E210" t="s">
        <v>37</v>
      </c>
      <c r="G210" s="2">
        <v>45854</v>
      </c>
      <c r="H210">
        <v>2.2000000000000002</v>
      </c>
      <c r="I210" t="s">
        <v>72</v>
      </c>
      <c r="J210" t="s">
        <v>1024</v>
      </c>
      <c r="K210" t="s">
        <v>1025</v>
      </c>
      <c r="L210" t="s">
        <v>2042</v>
      </c>
      <c r="M210" t="s">
        <v>972</v>
      </c>
      <c r="O210" t="s">
        <v>79</v>
      </c>
      <c r="P210" t="s">
        <v>80</v>
      </c>
      <c r="Q210">
        <v>2.1395550508936809</v>
      </c>
      <c r="R210" t="s">
        <v>60</v>
      </c>
      <c r="S210" t="s">
        <v>66</v>
      </c>
      <c r="T210" t="s">
        <v>2411</v>
      </c>
      <c r="V210" t="s">
        <v>75</v>
      </c>
      <c r="X210" t="s">
        <v>2412</v>
      </c>
      <c r="Y210" t="s">
        <v>2045</v>
      </c>
      <c r="Z210" t="s">
        <v>1460</v>
      </c>
      <c r="AA210" t="s">
        <v>629</v>
      </c>
      <c r="AB210" t="s">
        <v>453</v>
      </c>
      <c r="AD210" t="s">
        <v>822</v>
      </c>
      <c r="AE210" t="s">
        <v>2149</v>
      </c>
      <c r="AI210">
        <v>484.30228218180991</v>
      </c>
      <c r="AJ210">
        <v>8658.5067327797478</v>
      </c>
    </row>
    <row r="211" spans="1:36" x14ac:dyDescent="0.25">
      <c r="A211">
        <v>210</v>
      </c>
      <c r="B211" t="s">
        <v>2413</v>
      </c>
      <c r="C211" t="s">
        <v>376</v>
      </c>
      <c r="D211" t="s">
        <v>2041</v>
      </c>
      <c r="E211" t="s">
        <v>37</v>
      </c>
      <c r="G211" s="2">
        <v>45854</v>
      </c>
      <c r="H211">
        <v>2</v>
      </c>
      <c r="I211" t="s">
        <v>72</v>
      </c>
      <c r="J211" t="s">
        <v>1024</v>
      </c>
      <c r="K211" t="s">
        <v>1025</v>
      </c>
      <c r="L211" t="s">
        <v>2042</v>
      </c>
      <c r="M211" t="s">
        <v>972</v>
      </c>
      <c r="O211" t="s">
        <v>62</v>
      </c>
      <c r="P211" t="s">
        <v>63</v>
      </c>
      <c r="Q211">
        <v>2.0263732706738971</v>
      </c>
      <c r="R211" t="s">
        <v>64</v>
      </c>
      <c r="S211" t="s">
        <v>65</v>
      </c>
      <c r="T211" t="s">
        <v>2356</v>
      </c>
      <c r="V211" t="s">
        <v>75</v>
      </c>
      <c r="X211" t="s">
        <v>2148</v>
      </c>
      <c r="Y211" t="s">
        <v>2045</v>
      </c>
      <c r="Z211" t="s">
        <v>1460</v>
      </c>
      <c r="AA211" t="s">
        <v>629</v>
      </c>
      <c r="AB211" t="s">
        <v>453</v>
      </c>
      <c r="AD211" t="s">
        <v>822</v>
      </c>
      <c r="AE211" t="s">
        <v>2149</v>
      </c>
      <c r="AI211">
        <v>538.40166864580419</v>
      </c>
      <c r="AJ211">
        <v>8200.4744864714994</v>
      </c>
    </row>
    <row r="212" spans="1:36" x14ac:dyDescent="0.25">
      <c r="A212">
        <v>211</v>
      </c>
      <c r="B212" t="s">
        <v>2414</v>
      </c>
      <c r="C212" t="s">
        <v>376</v>
      </c>
      <c r="D212" t="s">
        <v>2041</v>
      </c>
      <c r="E212" t="s">
        <v>37</v>
      </c>
      <c r="G212" s="2">
        <v>45854</v>
      </c>
      <c r="H212">
        <v>0.1</v>
      </c>
      <c r="I212" t="s">
        <v>72</v>
      </c>
      <c r="J212" t="s">
        <v>1024</v>
      </c>
      <c r="K212" t="s">
        <v>1025</v>
      </c>
      <c r="L212" t="s">
        <v>2042</v>
      </c>
      <c r="M212" t="s">
        <v>972</v>
      </c>
      <c r="O212" t="s">
        <v>62</v>
      </c>
      <c r="P212" t="s">
        <v>63</v>
      </c>
      <c r="Q212">
        <v>8.1220612421085733E-2</v>
      </c>
      <c r="R212" t="s">
        <v>64</v>
      </c>
      <c r="S212" t="s">
        <v>65</v>
      </c>
      <c r="T212" t="s">
        <v>2159</v>
      </c>
      <c r="V212" t="s">
        <v>75</v>
      </c>
      <c r="X212" t="s">
        <v>2157</v>
      </c>
      <c r="Y212" t="s">
        <v>2045</v>
      </c>
      <c r="Z212" t="s">
        <v>1460</v>
      </c>
      <c r="AA212" t="s">
        <v>629</v>
      </c>
      <c r="AB212" t="s">
        <v>453</v>
      </c>
      <c r="AD212" t="s">
        <v>1413</v>
      </c>
      <c r="AE212" t="s">
        <v>1414</v>
      </c>
      <c r="AI212">
        <v>106.03515217735681</v>
      </c>
      <c r="AJ212">
        <v>328.68947176410433</v>
      </c>
    </row>
    <row r="213" spans="1:36" hidden="1" x14ac:dyDescent="0.25">
      <c r="A213">
        <v>212</v>
      </c>
      <c r="B213" t="s">
        <v>2415</v>
      </c>
      <c r="C213" t="s">
        <v>376</v>
      </c>
      <c r="D213" t="s">
        <v>2041</v>
      </c>
      <c r="E213" t="s">
        <v>37</v>
      </c>
      <c r="G213" s="2">
        <v>45854</v>
      </c>
      <c r="H213">
        <v>0.7</v>
      </c>
      <c r="I213" t="s">
        <v>72</v>
      </c>
      <c r="J213" t="s">
        <v>1024</v>
      </c>
      <c r="K213" t="s">
        <v>1025</v>
      </c>
      <c r="L213" t="s">
        <v>2042</v>
      </c>
      <c r="M213" t="s">
        <v>972</v>
      </c>
      <c r="O213" t="s">
        <v>55</v>
      </c>
      <c r="P213" t="s">
        <v>56</v>
      </c>
      <c r="Q213">
        <v>0.54471024494603171</v>
      </c>
      <c r="R213" t="s">
        <v>46</v>
      </c>
      <c r="S213" t="s">
        <v>47</v>
      </c>
      <c r="T213" t="s">
        <v>2159</v>
      </c>
      <c r="V213" t="s">
        <v>75</v>
      </c>
      <c r="X213" t="s">
        <v>2157</v>
      </c>
      <c r="Y213" t="s">
        <v>2045</v>
      </c>
      <c r="Z213" t="s">
        <v>1460</v>
      </c>
      <c r="AA213" t="s">
        <v>629</v>
      </c>
      <c r="AD213" t="s">
        <v>1413</v>
      </c>
      <c r="AE213" t="s">
        <v>1414</v>
      </c>
      <c r="AI213">
        <v>254.77033675033289</v>
      </c>
      <c r="AJ213">
        <v>2204.37297058999</v>
      </c>
    </row>
    <row r="214" spans="1:36" hidden="1" x14ac:dyDescent="0.25">
      <c r="A214">
        <v>213</v>
      </c>
      <c r="B214" t="s">
        <v>2416</v>
      </c>
      <c r="C214" t="s">
        <v>376</v>
      </c>
      <c r="D214" t="s">
        <v>2041</v>
      </c>
      <c r="E214" t="s">
        <v>37</v>
      </c>
      <c r="G214" s="2">
        <v>45854</v>
      </c>
      <c r="H214">
        <v>0.7</v>
      </c>
      <c r="I214" t="s">
        <v>72</v>
      </c>
      <c r="J214" t="s">
        <v>1024</v>
      </c>
      <c r="K214" t="s">
        <v>1025</v>
      </c>
      <c r="L214" t="s">
        <v>2042</v>
      </c>
      <c r="M214" t="s">
        <v>972</v>
      </c>
      <c r="N214" t="s">
        <v>2080</v>
      </c>
      <c r="O214" t="s">
        <v>115</v>
      </c>
      <c r="P214" t="s">
        <v>137</v>
      </c>
      <c r="Q214">
        <v>0.62489720685254269</v>
      </c>
      <c r="T214" t="s">
        <v>2417</v>
      </c>
      <c r="V214" t="s">
        <v>86</v>
      </c>
      <c r="X214" t="s">
        <v>2050</v>
      </c>
      <c r="Y214" t="s">
        <v>2051</v>
      </c>
      <c r="Z214" t="s">
        <v>1460</v>
      </c>
      <c r="AA214" t="s">
        <v>180</v>
      </c>
      <c r="AB214" t="s">
        <v>453</v>
      </c>
      <c r="AD214" t="s">
        <v>1048</v>
      </c>
      <c r="AE214" t="s">
        <v>2052</v>
      </c>
      <c r="AI214">
        <v>262.00382758420932</v>
      </c>
      <c r="AJ214">
        <v>2528.8793903984802</v>
      </c>
    </row>
    <row r="215" spans="1:36" hidden="1" x14ac:dyDescent="0.25">
      <c r="A215">
        <v>214</v>
      </c>
      <c r="B215" t="s">
        <v>2418</v>
      </c>
      <c r="C215" t="s">
        <v>376</v>
      </c>
      <c r="D215" t="s">
        <v>2041</v>
      </c>
      <c r="E215" t="s">
        <v>37</v>
      </c>
      <c r="G215" s="2">
        <v>45854</v>
      </c>
      <c r="H215">
        <v>0.7</v>
      </c>
      <c r="I215" t="s">
        <v>72</v>
      </c>
      <c r="J215" t="s">
        <v>1024</v>
      </c>
      <c r="K215" t="s">
        <v>1025</v>
      </c>
      <c r="L215" t="s">
        <v>2042</v>
      </c>
      <c r="M215" t="s">
        <v>972</v>
      </c>
      <c r="N215" t="s">
        <v>2080</v>
      </c>
      <c r="O215" t="s">
        <v>115</v>
      </c>
      <c r="P215" t="s">
        <v>137</v>
      </c>
      <c r="Q215">
        <v>1.0340409281929921</v>
      </c>
      <c r="T215" t="s">
        <v>2417</v>
      </c>
      <c r="V215" t="s">
        <v>86</v>
      </c>
      <c r="X215" t="s">
        <v>2050</v>
      </c>
      <c r="Y215" t="s">
        <v>2051</v>
      </c>
      <c r="Z215" t="s">
        <v>1073</v>
      </c>
      <c r="AA215" t="s">
        <v>180</v>
      </c>
      <c r="AB215" t="s">
        <v>453</v>
      </c>
      <c r="AD215" t="s">
        <v>1048</v>
      </c>
      <c r="AE215" t="s">
        <v>2052</v>
      </c>
      <c r="AI215">
        <v>300.64336061448148</v>
      </c>
      <c r="AJ215">
        <v>4184.6319097931673</v>
      </c>
    </row>
    <row r="216" spans="1:36" hidden="1" x14ac:dyDescent="0.25">
      <c r="A216">
        <v>215</v>
      </c>
      <c r="B216" t="s">
        <v>2419</v>
      </c>
      <c r="C216" t="s">
        <v>376</v>
      </c>
      <c r="D216" t="s">
        <v>2041</v>
      </c>
      <c r="E216" t="s">
        <v>37</v>
      </c>
      <c r="G216" s="2">
        <v>45855</v>
      </c>
      <c r="H216">
        <v>2</v>
      </c>
      <c r="I216" t="s">
        <v>72</v>
      </c>
      <c r="J216" t="s">
        <v>1024</v>
      </c>
      <c r="K216" t="s">
        <v>1025</v>
      </c>
      <c r="L216" t="s">
        <v>2042</v>
      </c>
      <c r="M216" t="s">
        <v>972</v>
      </c>
      <c r="O216" t="s">
        <v>115</v>
      </c>
      <c r="P216" t="s">
        <v>137</v>
      </c>
      <c r="Q216">
        <v>1.878993153202094</v>
      </c>
      <c r="S216" t="s">
        <v>38</v>
      </c>
      <c r="T216" t="s">
        <v>2420</v>
      </c>
      <c r="V216" t="s">
        <v>64</v>
      </c>
      <c r="X216" t="s">
        <v>2421</v>
      </c>
      <c r="Y216" t="s">
        <v>2045</v>
      </c>
      <c r="Z216" t="s">
        <v>1460</v>
      </c>
      <c r="AA216" t="s">
        <v>452</v>
      </c>
      <c r="AB216" t="s">
        <v>453</v>
      </c>
      <c r="AD216" t="s">
        <v>2422</v>
      </c>
      <c r="AE216" t="s">
        <v>2423</v>
      </c>
      <c r="AI216">
        <v>370.8003765256264</v>
      </c>
      <c r="AJ216">
        <v>7604.0459258348101</v>
      </c>
    </row>
    <row r="217" spans="1:36" hidden="1" x14ac:dyDescent="0.25">
      <c r="A217">
        <v>216</v>
      </c>
      <c r="B217" t="s">
        <v>2424</v>
      </c>
      <c r="C217" t="s">
        <v>376</v>
      </c>
      <c r="D217" t="s">
        <v>2041</v>
      </c>
      <c r="E217" t="s">
        <v>37</v>
      </c>
      <c r="G217" s="2">
        <v>45855</v>
      </c>
      <c r="H217">
        <v>1.6</v>
      </c>
      <c r="I217" t="s">
        <v>72</v>
      </c>
      <c r="J217" t="s">
        <v>1024</v>
      </c>
      <c r="K217" t="s">
        <v>1025</v>
      </c>
      <c r="L217" t="s">
        <v>2042</v>
      </c>
      <c r="M217" t="s">
        <v>972</v>
      </c>
      <c r="N217" t="s">
        <v>2185</v>
      </c>
      <c r="O217" t="s">
        <v>115</v>
      </c>
      <c r="P217" t="s">
        <v>137</v>
      </c>
      <c r="Q217">
        <v>1.5713861182276789</v>
      </c>
      <c r="S217" t="s">
        <v>38</v>
      </c>
      <c r="T217" t="s">
        <v>2425</v>
      </c>
      <c r="V217" t="s">
        <v>64</v>
      </c>
      <c r="X217" t="s">
        <v>2197</v>
      </c>
      <c r="Y217" t="s">
        <v>2045</v>
      </c>
      <c r="Z217" t="s">
        <v>1460</v>
      </c>
      <c r="AA217" t="s">
        <v>452</v>
      </c>
      <c r="AB217" t="s">
        <v>453</v>
      </c>
      <c r="AD217" t="s">
        <v>758</v>
      </c>
      <c r="AI217">
        <v>301.22075271266658</v>
      </c>
      <c r="AJ217">
        <v>6359.1994413922184</v>
      </c>
    </row>
    <row r="218" spans="1:36" hidden="1" x14ac:dyDescent="0.25">
      <c r="A218">
        <v>217</v>
      </c>
      <c r="B218" t="s">
        <v>2426</v>
      </c>
      <c r="C218" t="s">
        <v>376</v>
      </c>
      <c r="D218" t="s">
        <v>2041</v>
      </c>
      <c r="E218" t="s">
        <v>37</v>
      </c>
      <c r="G218" s="2">
        <v>45855</v>
      </c>
      <c r="H218">
        <v>1.3</v>
      </c>
      <c r="I218" t="s">
        <v>72</v>
      </c>
      <c r="J218" t="s">
        <v>1024</v>
      </c>
      <c r="K218" t="s">
        <v>1025</v>
      </c>
      <c r="L218" t="s">
        <v>2042</v>
      </c>
      <c r="M218" t="s">
        <v>972</v>
      </c>
      <c r="N218" t="s">
        <v>2241</v>
      </c>
      <c r="O218" t="s">
        <v>115</v>
      </c>
      <c r="P218" t="s">
        <v>137</v>
      </c>
      <c r="Q218">
        <v>0.53482576879979349</v>
      </c>
      <c r="S218" t="s">
        <v>38</v>
      </c>
      <c r="T218" t="s">
        <v>2427</v>
      </c>
      <c r="V218" t="s">
        <v>46</v>
      </c>
      <c r="X218" t="s">
        <v>2243</v>
      </c>
      <c r="Y218" t="s">
        <v>2233</v>
      </c>
      <c r="Z218" t="s">
        <v>1460</v>
      </c>
      <c r="AA218" t="s">
        <v>125</v>
      </c>
      <c r="AB218" t="s">
        <v>453</v>
      </c>
      <c r="AD218" t="s">
        <v>145</v>
      </c>
      <c r="AE218" t="s">
        <v>61</v>
      </c>
      <c r="AI218">
        <v>199.23662172825391</v>
      </c>
      <c r="AJ218">
        <v>2164.3717548108229</v>
      </c>
    </row>
    <row r="219" spans="1:36" hidden="1" x14ac:dyDescent="0.25">
      <c r="A219">
        <v>218</v>
      </c>
      <c r="B219" t="s">
        <v>2428</v>
      </c>
      <c r="C219" t="s">
        <v>376</v>
      </c>
      <c r="D219" t="s">
        <v>2041</v>
      </c>
      <c r="E219" t="s">
        <v>37</v>
      </c>
      <c r="G219" s="2">
        <v>45855</v>
      </c>
      <c r="H219">
        <v>1.3</v>
      </c>
      <c r="I219" t="s">
        <v>72</v>
      </c>
      <c r="J219" t="s">
        <v>1024</v>
      </c>
      <c r="K219" t="s">
        <v>1025</v>
      </c>
      <c r="L219" t="s">
        <v>2042</v>
      </c>
      <c r="M219" t="s">
        <v>972</v>
      </c>
      <c r="N219" t="s">
        <v>2241</v>
      </c>
      <c r="O219" t="s">
        <v>115</v>
      </c>
      <c r="P219" t="s">
        <v>137</v>
      </c>
      <c r="Q219">
        <v>0.73738450846752002</v>
      </c>
      <c r="S219" t="s">
        <v>38</v>
      </c>
      <c r="T219" t="s">
        <v>2429</v>
      </c>
      <c r="V219" t="s">
        <v>46</v>
      </c>
      <c r="X219" t="s">
        <v>2243</v>
      </c>
      <c r="Y219" t="s">
        <v>2233</v>
      </c>
      <c r="Z219" t="s">
        <v>1460</v>
      </c>
      <c r="AA219" t="s">
        <v>125</v>
      </c>
      <c r="AB219" t="s">
        <v>453</v>
      </c>
      <c r="AD219" t="s">
        <v>145</v>
      </c>
      <c r="AE219" t="s">
        <v>61</v>
      </c>
      <c r="AI219">
        <v>202.31763630000989</v>
      </c>
      <c r="AJ219">
        <v>2984.1011702627952</v>
      </c>
    </row>
    <row r="220" spans="1:36" hidden="1" x14ac:dyDescent="0.25">
      <c r="A220">
        <v>219</v>
      </c>
      <c r="B220" t="s">
        <v>2430</v>
      </c>
      <c r="C220" t="s">
        <v>376</v>
      </c>
      <c r="D220" t="s">
        <v>2041</v>
      </c>
      <c r="E220" t="s">
        <v>37</v>
      </c>
      <c r="G220" s="2">
        <v>45855</v>
      </c>
      <c r="H220">
        <v>0.56999999999999995</v>
      </c>
      <c r="I220" t="s">
        <v>72</v>
      </c>
      <c r="J220" t="s">
        <v>1024</v>
      </c>
      <c r="K220" t="s">
        <v>1025</v>
      </c>
      <c r="L220" t="s">
        <v>2042</v>
      </c>
      <c r="M220" t="s">
        <v>972</v>
      </c>
      <c r="O220" t="s">
        <v>115</v>
      </c>
      <c r="P220" t="s">
        <v>137</v>
      </c>
      <c r="Q220">
        <v>0.56949893632492665</v>
      </c>
      <c r="S220" t="s">
        <v>38</v>
      </c>
      <c r="T220" t="s">
        <v>2204</v>
      </c>
      <c r="V220" t="s">
        <v>64</v>
      </c>
      <c r="X220" t="s">
        <v>2197</v>
      </c>
      <c r="Y220" t="s">
        <v>2045</v>
      </c>
      <c r="Z220" t="s">
        <v>1460</v>
      </c>
      <c r="AA220" t="s">
        <v>452</v>
      </c>
      <c r="AB220" t="s">
        <v>453</v>
      </c>
      <c r="AD220" t="s">
        <v>758</v>
      </c>
      <c r="AE220" t="s">
        <v>76</v>
      </c>
      <c r="AI220">
        <v>184.74513621785769</v>
      </c>
      <c r="AJ220">
        <v>2304.6896467658662</v>
      </c>
    </row>
    <row r="221" spans="1:36" hidden="1" x14ac:dyDescent="0.25">
      <c r="A221">
        <v>220</v>
      </c>
      <c r="B221" t="s">
        <v>2431</v>
      </c>
      <c r="C221" t="s">
        <v>376</v>
      </c>
      <c r="D221" t="s">
        <v>2041</v>
      </c>
      <c r="E221" t="s">
        <v>37</v>
      </c>
      <c r="G221" s="2">
        <v>45855</v>
      </c>
      <c r="H221">
        <v>13.67</v>
      </c>
      <c r="I221" t="s">
        <v>72</v>
      </c>
      <c r="J221" t="s">
        <v>1024</v>
      </c>
      <c r="K221" t="s">
        <v>1025</v>
      </c>
      <c r="L221" t="s">
        <v>2042</v>
      </c>
      <c r="M221" t="s">
        <v>972</v>
      </c>
      <c r="O221" t="s">
        <v>87</v>
      </c>
      <c r="P221" t="s">
        <v>88</v>
      </c>
      <c r="Q221">
        <v>13.722873982106041</v>
      </c>
      <c r="R221" t="s">
        <v>46</v>
      </c>
      <c r="S221" t="s">
        <v>47</v>
      </c>
      <c r="T221" t="s">
        <v>2200</v>
      </c>
      <c r="V221" t="s">
        <v>64</v>
      </c>
      <c r="X221" t="s">
        <v>2197</v>
      </c>
      <c r="Y221" t="s">
        <v>2045</v>
      </c>
      <c r="Z221" t="s">
        <v>1460</v>
      </c>
      <c r="AA221" t="s">
        <v>452</v>
      </c>
      <c r="AB221" t="s">
        <v>453</v>
      </c>
      <c r="AD221" t="s">
        <v>758</v>
      </c>
      <c r="AE221" t="s">
        <v>76</v>
      </c>
      <c r="AI221">
        <v>1097.8339753083389</v>
      </c>
      <c r="AJ221">
        <v>55534.722846940916</v>
      </c>
    </row>
    <row r="222" spans="1:36" x14ac:dyDescent="0.25">
      <c r="A222">
        <v>221</v>
      </c>
      <c r="B222" t="s">
        <v>2432</v>
      </c>
      <c r="C222" t="s">
        <v>376</v>
      </c>
      <c r="D222" t="s">
        <v>2041</v>
      </c>
      <c r="E222" t="s">
        <v>37</v>
      </c>
      <c r="G222" s="2">
        <v>45855</v>
      </c>
      <c r="H222">
        <v>1.6</v>
      </c>
      <c r="I222" t="s">
        <v>72</v>
      </c>
      <c r="J222" t="s">
        <v>1024</v>
      </c>
      <c r="K222" t="s">
        <v>1025</v>
      </c>
      <c r="L222" t="s">
        <v>2042</v>
      </c>
      <c r="M222" t="s">
        <v>972</v>
      </c>
      <c r="O222" t="s">
        <v>62</v>
      </c>
      <c r="P222" t="s">
        <v>63</v>
      </c>
      <c r="Q222">
        <v>1.6159814640537591</v>
      </c>
      <c r="R222" t="s">
        <v>64</v>
      </c>
      <c r="S222" t="s">
        <v>65</v>
      </c>
      <c r="T222" t="s">
        <v>2433</v>
      </c>
      <c r="V222" t="s">
        <v>64</v>
      </c>
      <c r="X222" t="s">
        <v>2434</v>
      </c>
      <c r="Y222" t="s">
        <v>2045</v>
      </c>
      <c r="Z222" t="s">
        <v>1460</v>
      </c>
      <c r="AA222" t="s">
        <v>452</v>
      </c>
      <c r="AB222" t="s">
        <v>453</v>
      </c>
      <c r="AD222" t="s">
        <v>758</v>
      </c>
      <c r="AE222" t="s">
        <v>1429</v>
      </c>
      <c r="AI222">
        <v>402.93642585139531</v>
      </c>
      <c r="AJ222">
        <v>6539.6711249436503</v>
      </c>
    </row>
    <row r="223" spans="1:36" hidden="1" x14ac:dyDescent="0.25">
      <c r="A223">
        <v>222</v>
      </c>
      <c r="B223" t="s">
        <v>2435</v>
      </c>
      <c r="C223" t="s">
        <v>376</v>
      </c>
      <c r="D223" t="s">
        <v>2041</v>
      </c>
      <c r="E223" t="s">
        <v>37</v>
      </c>
      <c r="G223" s="2">
        <v>45854</v>
      </c>
      <c r="H223">
        <v>5.5</v>
      </c>
      <c r="I223" t="s">
        <v>72</v>
      </c>
      <c r="J223" t="s">
        <v>1024</v>
      </c>
      <c r="K223" t="s">
        <v>1025</v>
      </c>
      <c r="L223" t="s">
        <v>2042</v>
      </c>
      <c r="M223" t="s">
        <v>972</v>
      </c>
      <c r="O223" t="s">
        <v>113</v>
      </c>
      <c r="P223" t="s">
        <v>114</v>
      </c>
      <c r="Q223">
        <v>6.1931503304269766</v>
      </c>
      <c r="R223" t="s">
        <v>60</v>
      </c>
      <c r="S223" t="s">
        <v>66</v>
      </c>
      <c r="T223" t="s">
        <v>2436</v>
      </c>
      <c r="V223" t="s">
        <v>75</v>
      </c>
      <c r="X223" t="s">
        <v>2437</v>
      </c>
      <c r="Y223" t="s">
        <v>2045</v>
      </c>
      <c r="Z223" t="s">
        <v>1460</v>
      </c>
      <c r="AA223" t="s">
        <v>635</v>
      </c>
      <c r="AB223" t="s">
        <v>453</v>
      </c>
      <c r="AD223" t="s">
        <v>1413</v>
      </c>
      <c r="AE223" t="s">
        <v>1414</v>
      </c>
      <c r="AI223">
        <v>642.97678760087149</v>
      </c>
      <c r="AJ223">
        <v>25062.890441038599</v>
      </c>
    </row>
    <row r="224" spans="1:36" x14ac:dyDescent="0.25">
      <c r="A224">
        <v>223</v>
      </c>
      <c r="B224" t="s">
        <v>2438</v>
      </c>
      <c r="C224" t="s">
        <v>376</v>
      </c>
      <c r="D224" t="s">
        <v>2041</v>
      </c>
      <c r="E224" t="s">
        <v>37</v>
      </c>
      <c r="G224" s="2">
        <v>45847</v>
      </c>
      <c r="H224">
        <v>1.64</v>
      </c>
      <c r="I224" t="s">
        <v>72</v>
      </c>
      <c r="J224" t="s">
        <v>1024</v>
      </c>
      <c r="K224" t="s">
        <v>1025</v>
      </c>
      <c r="L224" t="s">
        <v>2042</v>
      </c>
      <c r="M224" t="s">
        <v>972</v>
      </c>
      <c r="O224" t="s">
        <v>62</v>
      </c>
      <c r="P224" t="s">
        <v>63</v>
      </c>
      <c r="Q224">
        <v>1.651987543700016</v>
      </c>
      <c r="R224" t="s">
        <v>64</v>
      </c>
      <c r="S224" t="s">
        <v>65</v>
      </c>
      <c r="T224" t="s">
        <v>2439</v>
      </c>
      <c r="V224" t="s">
        <v>180</v>
      </c>
      <c r="X224" t="s">
        <v>2440</v>
      </c>
      <c r="Y224" t="s">
        <v>2441</v>
      </c>
      <c r="Z224" t="s">
        <v>1460</v>
      </c>
      <c r="AA224" t="s">
        <v>452</v>
      </c>
      <c r="AB224" t="s">
        <v>41</v>
      </c>
      <c r="AE224" t="s">
        <v>2442</v>
      </c>
      <c r="AI224">
        <v>389.87612438627758</v>
      </c>
      <c r="AJ224">
        <v>6685.3831424530372</v>
      </c>
    </row>
    <row r="225" spans="1:36" x14ac:dyDescent="0.25">
      <c r="A225">
        <v>224</v>
      </c>
      <c r="B225" t="s">
        <v>2443</v>
      </c>
      <c r="C225" t="s">
        <v>376</v>
      </c>
      <c r="D225" t="s">
        <v>2041</v>
      </c>
      <c r="E225" t="s">
        <v>37</v>
      </c>
      <c r="G225" s="2">
        <v>45847</v>
      </c>
      <c r="H225">
        <v>5.4</v>
      </c>
      <c r="I225" t="s">
        <v>72</v>
      </c>
      <c r="J225" t="s">
        <v>1024</v>
      </c>
      <c r="K225" t="s">
        <v>1025</v>
      </c>
      <c r="L225" t="s">
        <v>2042</v>
      </c>
      <c r="M225" t="s">
        <v>972</v>
      </c>
      <c r="O225" t="s">
        <v>62</v>
      </c>
      <c r="P225" t="s">
        <v>63</v>
      </c>
      <c r="Q225">
        <v>4.6829699426455056</v>
      </c>
      <c r="R225" t="s">
        <v>64</v>
      </c>
      <c r="S225" t="s">
        <v>65</v>
      </c>
      <c r="T225" t="s">
        <v>2444</v>
      </c>
      <c r="V225" t="s">
        <v>54</v>
      </c>
      <c r="X225" t="s">
        <v>2445</v>
      </c>
      <c r="Y225" t="s">
        <v>2441</v>
      </c>
      <c r="Z225" t="s">
        <v>1411</v>
      </c>
      <c r="AA225" t="s">
        <v>606</v>
      </c>
      <c r="AB225" t="s">
        <v>41</v>
      </c>
      <c r="AD225" t="s">
        <v>2446</v>
      </c>
      <c r="AE225" t="s">
        <v>2447</v>
      </c>
      <c r="AI225">
        <v>576.40889598045578</v>
      </c>
      <c r="AJ225">
        <v>18951.382793756489</v>
      </c>
    </row>
    <row r="226" spans="1:36" x14ac:dyDescent="0.25">
      <c r="A226">
        <v>225</v>
      </c>
      <c r="B226" t="s">
        <v>2448</v>
      </c>
      <c r="C226" t="s">
        <v>376</v>
      </c>
      <c r="D226" t="s">
        <v>2041</v>
      </c>
      <c r="E226" t="s">
        <v>37</v>
      </c>
      <c r="G226" s="2">
        <v>45847</v>
      </c>
      <c r="H226">
        <v>11.2</v>
      </c>
      <c r="I226" t="s">
        <v>72</v>
      </c>
      <c r="J226" t="s">
        <v>1024</v>
      </c>
      <c r="K226" t="s">
        <v>1025</v>
      </c>
      <c r="L226" t="s">
        <v>2042</v>
      </c>
      <c r="M226" t="s">
        <v>972</v>
      </c>
      <c r="O226" t="s">
        <v>62</v>
      </c>
      <c r="P226" t="s">
        <v>63</v>
      </c>
      <c r="Q226">
        <v>10.219302415386959</v>
      </c>
      <c r="R226" t="s">
        <v>64</v>
      </c>
      <c r="S226" t="s">
        <v>65</v>
      </c>
      <c r="T226" t="s">
        <v>2444</v>
      </c>
      <c r="V226" t="s">
        <v>54</v>
      </c>
      <c r="X226" t="s">
        <v>2445</v>
      </c>
      <c r="Y226" t="s">
        <v>2441</v>
      </c>
      <c r="Z226" t="s">
        <v>1411</v>
      </c>
      <c r="AA226" t="s">
        <v>606</v>
      </c>
      <c r="AB226" t="s">
        <v>41</v>
      </c>
      <c r="AD226" t="s">
        <v>2446</v>
      </c>
      <c r="AE226" t="s">
        <v>2447</v>
      </c>
      <c r="AI226">
        <v>808.28780092020497</v>
      </c>
      <c r="AJ226">
        <v>41356.215036851252</v>
      </c>
    </row>
    <row r="227" spans="1:36" x14ac:dyDescent="0.25">
      <c r="A227">
        <v>226</v>
      </c>
      <c r="B227" t="s">
        <v>2449</v>
      </c>
      <c r="C227" t="s">
        <v>376</v>
      </c>
      <c r="D227" t="s">
        <v>2041</v>
      </c>
      <c r="E227" t="s">
        <v>37</v>
      </c>
      <c r="G227" s="2">
        <v>45847</v>
      </c>
      <c r="H227">
        <v>0.4</v>
      </c>
      <c r="I227" t="s">
        <v>72</v>
      </c>
      <c r="J227" t="s">
        <v>1024</v>
      </c>
      <c r="K227" t="s">
        <v>1025</v>
      </c>
      <c r="L227" t="s">
        <v>2042</v>
      </c>
      <c r="M227" t="s">
        <v>972</v>
      </c>
      <c r="O227" t="s">
        <v>62</v>
      </c>
      <c r="P227" t="s">
        <v>63</v>
      </c>
      <c r="Q227">
        <v>0.20726788667624271</v>
      </c>
      <c r="R227" t="s">
        <v>64</v>
      </c>
      <c r="S227" t="s">
        <v>65</v>
      </c>
      <c r="T227" t="s">
        <v>2444</v>
      </c>
      <c r="V227" t="s">
        <v>54</v>
      </c>
      <c r="X227" t="s">
        <v>2445</v>
      </c>
      <c r="Y227" t="s">
        <v>2441</v>
      </c>
      <c r="Z227" t="s">
        <v>1411</v>
      </c>
      <c r="AA227" t="s">
        <v>606</v>
      </c>
      <c r="AB227" t="s">
        <v>41</v>
      </c>
      <c r="AD227" t="s">
        <v>2446</v>
      </c>
      <c r="AE227" t="s">
        <v>2447</v>
      </c>
      <c r="AI227">
        <v>123.9597524877634</v>
      </c>
      <c r="AJ227">
        <v>838.78673349660687</v>
      </c>
    </row>
    <row r="228" spans="1:36" x14ac:dyDescent="0.25">
      <c r="A228">
        <v>227</v>
      </c>
      <c r="B228" t="s">
        <v>2450</v>
      </c>
      <c r="C228" t="s">
        <v>376</v>
      </c>
      <c r="D228" t="s">
        <v>2041</v>
      </c>
      <c r="E228" t="s">
        <v>37</v>
      </c>
      <c r="G228" s="2">
        <v>45847</v>
      </c>
      <c r="H228">
        <v>2.1</v>
      </c>
      <c r="I228" t="s">
        <v>72</v>
      </c>
      <c r="J228" t="s">
        <v>1024</v>
      </c>
      <c r="K228" t="s">
        <v>1025</v>
      </c>
      <c r="L228" t="s">
        <v>2042</v>
      </c>
      <c r="M228" t="s">
        <v>972</v>
      </c>
      <c r="O228" t="s">
        <v>62</v>
      </c>
      <c r="P228" t="s">
        <v>63</v>
      </c>
      <c r="Q228">
        <v>1.7597092281441129</v>
      </c>
      <c r="R228" t="s">
        <v>64</v>
      </c>
      <c r="S228" t="s">
        <v>65</v>
      </c>
      <c r="T228" t="s">
        <v>2444</v>
      </c>
      <c r="V228" t="s">
        <v>54</v>
      </c>
      <c r="X228" t="s">
        <v>2445</v>
      </c>
      <c r="Y228" t="s">
        <v>2441</v>
      </c>
      <c r="Z228" t="s">
        <v>1411</v>
      </c>
      <c r="AA228" t="s">
        <v>606</v>
      </c>
      <c r="AB228" t="s">
        <v>41</v>
      </c>
      <c r="AD228" t="s">
        <v>2446</v>
      </c>
      <c r="AE228" t="s">
        <v>2447</v>
      </c>
      <c r="AI228">
        <v>380.31508144057938</v>
      </c>
      <c r="AJ228">
        <v>7121.3190767193728</v>
      </c>
    </row>
    <row r="229" spans="1:36" x14ac:dyDescent="0.25">
      <c r="A229">
        <v>228</v>
      </c>
      <c r="B229" t="s">
        <v>2451</v>
      </c>
      <c r="C229" t="s">
        <v>376</v>
      </c>
      <c r="D229" t="s">
        <v>2041</v>
      </c>
      <c r="E229" t="s">
        <v>37</v>
      </c>
      <c r="G229" s="2">
        <v>45847</v>
      </c>
      <c r="H229">
        <v>11.5</v>
      </c>
      <c r="I229" t="s">
        <v>72</v>
      </c>
      <c r="J229" t="s">
        <v>1024</v>
      </c>
      <c r="K229" t="s">
        <v>1025</v>
      </c>
      <c r="L229" t="s">
        <v>2042</v>
      </c>
      <c r="M229" t="s">
        <v>972</v>
      </c>
      <c r="O229" t="s">
        <v>62</v>
      </c>
      <c r="P229" t="s">
        <v>63</v>
      </c>
      <c r="Q229">
        <v>10.338216881188471</v>
      </c>
      <c r="R229" t="s">
        <v>64</v>
      </c>
      <c r="S229" t="s">
        <v>65</v>
      </c>
      <c r="T229" t="s">
        <v>2444</v>
      </c>
      <c r="V229" t="s">
        <v>54</v>
      </c>
      <c r="X229" t="s">
        <v>2445</v>
      </c>
      <c r="Y229" t="s">
        <v>2441</v>
      </c>
      <c r="Z229" t="s">
        <v>1411</v>
      </c>
      <c r="AA229" t="s">
        <v>606</v>
      </c>
      <c r="AB229" t="s">
        <v>41</v>
      </c>
      <c r="AD229" t="s">
        <v>2446</v>
      </c>
      <c r="AE229" t="s">
        <v>2447</v>
      </c>
      <c r="AI229">
        <v>831.15607700622866</v>
      </c>
      <c r="AJ229">
        <v>41837.446731421238</v>
      </c>
    </row>
    <row r="230" spans="1:36" x14ac:dyDescent="0.25">
      <c r="A230">
        <v>229</v>
      </c>
      <c r="B230" t="s">
        <v>2452</v>
      </c>
      <c r="C230" t="s">
        <v>376</v>
      </c>
      <c r="D230" t="s">
        <v>2041</v>
      </c>
      <c r="E230" t="s">
        <v>37</v>
      </c>
      <c r="G230" s="2">
        <v>45855</v>
      </c>
      <c r="H230">
        <v>0.01</v>
      </c>
      <c r="I230" t="s">
        <v>72</v>
      </c>
      <c r="J230" t="s">
        <v>1024</v>
      </c>
      <c r="K230" t="s">
        <v>1025</v>
      </c>
      <c r="L230" t="s">
        <v>2042</v>
      </c>
      <c r="M230" t="s">
        <v>972</v>
      </c>
      <c r="O230" t="s">
        <v>62</v>
      </c>
      <c r="P230" t="s">
        <v>63</v>
      </c>
      <c r="Q230">
        <v>9.3565221041629152E-3</v>
      </c>
      <c r="R230" t="s">
        <v>64</v>
      </c>
      <c r="S230" t="s">
        <v>65</v>
      </c>
      <c r="T230" t="s">
        <v>2453</v>
      </c>
      <c r="V230" t="s">
        <v>73</v>
      </c>
      <c r="X230" t="s">
        <v>2454</v>
      </c>
      <c r="Y230" t="s">
        <v>2045</v>
      </c>
      <c r="Z230" t="s">
        <v>1460</v>
      </c>
      <c r="AA230" t="s">
        <v>603</v>
      </c>
      <c r="AB230" t="s">
        <v>453</v>
      </c>
      <c r="AD230" t="s">
        <v>2025</v>
      </c>
      <c r="AE230" t="s">
        <v>2455</v>
      </c>
      <c r="AI230">
        <v>29.890290707904491</v>
      </c>
      <c r="AJ230">
        <v>37.864653027019912</v>
      </c>
    </row>
    <row r="231" spans="1:36" hidden="1" x14ac:dyDescent="0.25">
      <c r="A231">
        <v>230</v>
      </c>
      <c r="B231" t="s">
        <v>2456</v>
      </c>
      <c r="C231" t="s">
        <v>376</v>
      </c>
      <c r="D231" t="s">
        <v>2041</v>
      </c>
      <c r="E231" t="s">
        <v>37</v>
      </c>
      <c r="G231" s="2">
        <v>45855</v>
      </c>
      <c r="H231">
        <v>0.09</v>
      </c>
      <c r="I231" t="s">
        <v>72</v>
      </c>
      <c r="J231" t="s">
        <v>1024</v>
      </c>
      <c r="K231" t="s">
        <v>1025</v>
      </c>
      <c r="L231" t="s">
        <v>2042</v>
      </c>
      <c r="M231" t="s">
        <v>972</v>
      </c>
      <c r="O231" t="s">
        <v>96</v>
      </c>
      <c r="P231" t="s">
        <v>97</v>
      </c>
      <c r="Q231">
        <v>8.1651975027488943E-2</v>
      </c>
      <c r="R231" t="s">
        <v>60</v>
      </c>
      <c r="S231" t="s">
        <v>66</v>
      </c>
      <c r="T231" t="s">
        <v>2453</v>
      </c>
      <c r="V231" t="s">
        <v>73</v>
      </c>
      <c r="X231" t="s">
        <v>2454</v>
      </c>
      <c r="Y231" t="s">
        <v>2045</v>
      </c>
      <c r="Z231" t="s">
        <v>1460</v>
      </c>
      <c r="AA231" t="s">
        <v>603</v>
      </c>
      <c r="AB231" t="s">
        <v>453</v>
      </c>
      <c r="AD231" t="s">
        <v>2025</v>
      </c>
      <c r="AE231" t="s">
        <v>2455</v>
      </c>
      <c r="AI231">
        <v>86.264233731046843</v>
      </c>
      <c r="AJ231">
        <v>330.4351412808814</v>
      </c>
    </row>
    <row r="232" spans="1:36" x14ac:dyDescent="0.25">
      <c r="A232">
        <v>231</v>
      </c>
      <c r="B232" t="s">
        <v>2457</v>
      </c>
      <c r="C232" t="s">
        <v>376</v>
      </c>
      <c r="D232" t="s">
        <v>2041</v>
      </c>
      <c r="E232" t="s">
        <v>37</v>
      </c>
      <c r="G232" s="2">
        <v>45855</v>
      </c>
      <c r="H232">
        <v>0.154</v>
      </c>
      <c r="I232" t="s">
        <v>72</v>
      </c>
      <c r="J232" t="s">
        <v>1024</v>
      </c>
      <c r="K232" t="s">
        <v>1025</v>
      </c>
      <c r="L232" t="s">
        <v>2042</v>
      </c>
      <c r="M232" t="s">
        <v>972</v>
      </c>
      <c r="O232" t="s">
        <v>62</v>
      </c>
      <c r="P232" t="s">
        <v>63</v>
      </c>
      <c r="Q232">
        <v>0.1537239773568623</v>
      </c>
      <c r="R232" t="s">
        <v>64</v>
      </c>
      <c r="S232" t="s">
        <v>65</v>
      </c>
      <c r="T232" t="s">
        <v>2453</v>
      </c>
      <c r="V232" t="s">
        <v>73</v>
      </c>
      <c r="X232" t="s">
        <v>2454</v>
      </c>
      <c r="Y232" t="s">
        <v>2045</v>
      </c>
      <c r="Z232" t="s">
        <v>1460</v>
      </c>
      <c r="AA232" t="s">
        <v>603</v>
      </c>
      <c r="AB232" t="s">
        <v>453</v>
      </c>
      <c r="AD232" t="s">
        <v>2025</v>
      </c>
      <c r="AE232" t="s">
        <v>2455</v>
      </c>
      <c r="AI232">
        <v>142.32023193925949</v>
      </c>
      <c r="AJ232">
        <v>622.10135344641571</v>
      </c>
    </row>
    <row r="233" spans="1:36" hidden="1" x14ac:dyDescent="0.25">
      <c r="A233">
        <v>232</v>
      </c>
      <c r="B233" t="s">
        <v>2458</v>
      </c>
      <c r="C233" t="s">
        <v>376</v>
      </c>
      <c r="D233" t="s">
        <v>2041</v>
      </c>
      <c r="E233" t="s">
        <v>37</v>
      </c>
      <c r="G233" s="2">
        <v>45855</v>
      </c>
      <c r="H233">
        <v>7.0000000000000007E-2</v>
      </c>
      <c r="I233" t="s">
        <v>72</v>
      </c>
      <c r="J233" t="s">
        <v>1024</v>
      </c>
      <c r="K233" t="s">
        <v>1025</v>
      </c>
      <c r="L233" t="s">
        <v>2042</v>
      </c>
      <c r="M233" t="s">
        <v>972</v>
      </c>
      <c r="O233" t="s">
        <v>99</v>
      </c>
      <c r="P233" t="s">
        <v>100</v>
      </c>
      <c r="Q233">
        <v>6.5216793805866299E-2</v>
      </c>
      <c r="R233" t="s">
        <v>60</v>
      </c>
      <c r="S233" t="s">
        <v>66</v>
      </c>
      <c r="T233" t="s">
        <v>2459</v>
      </c>
      <c r="V233" t="s">
        <v>119</v>
      </c>
      <c r="X233" t="s">
        <v>2460</v>
      </c>
      <c r="Y233" t="s">
        <v>2045</v>
      </c>
      <c r="Z233" t="s">
        <v>1460</v>
      </c>
      <c r="AA233" t="s">
        <v>397</v>
      </c>
      <c r="AB233" t="s">
        <v>453</v>
      </c>
      <c r="AD233" t="s">
        <v>758</v>
      </c>
      <c r="AE233" t="s">
        <v>2461</v>
      </c>
      <c r="AI233">
        <v>64.934074379125207</v>
      </c>
      <c r="AJ233">
        <v>263.92405655677709</v>
      </c>
    </row>
    <row r="234" spans="1:36" hidden="1" x14ac:dyDescent="0.25">
      <c r="A234">
        <v>233</v>
      </c>
      <c r="B234" t="s">
        <v>2462</v>
      </c>
      <c r="C234" t="s">
        <v>376</v>
      </c>
      <c r="D234" t="s">
        <v>2041</v>
      </c>
      <c r="E234" t="s">
        <v>37</v>
      </c>
      <c r="G234" s="2">
        <v>45855</v>
      </c>
      <c r="H234">
        <v>0.01</v>
      </c>
      <c r="I234" t="s">
        <v>72</v>
      </c>
      <c r="J234" t="s">
        <v>1024</v>
      </c>
      <c r="K234" t="s">
        <v>1025</v>
      </c>
      <c r="L234" t="s">
        <v>2042</v>
      </c>
      <c r="M234" t="s">
        <v>972</v>
      </c>
      <c r="O234" t="s">
        <v>99</v>
      </c>
      <c r="P234" t="s">
        <v>100</v>
      </c>
      <c r="Q234">
        <v>1.265048470959408E-2</v>
      </c>
      <c r="R234" t="s">
        <v>60</v>
      </c>
      <c r="S234" t="s">
        <v>66</v>
      </c>
      <c r="T234" t="s">
        <v>2459</v>
      </c>
      <c r="V234" t="s">
        <v>119</v>
      </c>
      <c r="X234" t="s">
        <v>2460</v>
      </c>
      <c r="Y234" t="s">
        <v>2045</v>
      </c>
      <c r="Z234" t="s">
        <v>1460</v>
      </c>
      <c r="AA234" t="s">
        <v>397</v>
      </c>
      <c r="AB234" t="s">
        <v>453</v>
      </c>
      <c r="AD234" t="s">
        <v>758</v>
      </c>
      <c r="AE234" t="s">
        <v>2461</v>
      </c>
      <c r="AI234">
        <v>28.629879598598318</v>
      </c>
      <c r="AJ234">
        <v>51.194900072889332</v>
      </c>
    </row>
    <row r="235" spans="1:36" x14ac:dyDescent="0.25">
      <c r="A235">
        <v>234</v>
      </c>
      <c r="B235" t="s">
        <v>2463</v>
      </c>
      <c r="C235" t="s">
        <v>376</v>
      </c>
      <c r="D235" t="s">
        <v>2041</v>
      </c>
      <c r="E235" t="s">
        <v>37</v>
      </c>
      <c r="G235" s="2">
        <v>45855</v>
      </c>
      <c r="H235">
        <v>0.25</v>
      </c>
      <c r="I235" t="s">
        <v>72</v>
      </c>
      <c r="J235" t="s">
        <v>1024</v>
      </c>
      <c r="K235" t="s">
        <v>1025</v>
      </c>
      <c r="L235" t="s">
        <v>2042</v>
      </c>
      <c r="M235" t="s">
        <v>972</v>
      </c>
      <c r="N235" t="s">
        <v>2241</v>
      </c>
      <c r="O235" t="s">
        <v>62</v>
      </c>
      <c r="P235" t="s">
        <v>63</v>
      </c>
      <c r="Q235">
        <v>0.2317576651733351</v>
      </c>
      <c r="R235" t="s">
        <v>64</v>
      </c>
      <c r="S235" t="s">
        <v>65</v>
      </c>
      <c r="T235" t="s">
        <v>2464</v>
      </c>
      <c r="V235" t="s">
        <v>60</v>
      </c>
      <c r="X235" t="s">
        <v>2465</v>
      </c>
      <c r="Y235" t="s">
        <v>2233</v>
      </c>
      <c r="Z235" t="s">
        <v>1460</v>
      </c>
      <c r="AA235" t="s">
        <v>119</v>
      </c>
      <c r="AB235" t="s">
        <v>453</v>
      </c>
      <c r="AD235" t="s">
        <v>2466</v>
      </c>
      <c r="AE235" t="s">
        <v>2300</v>
      </c>
      <c r="AI235">
        <v>193.03736488001101</v>
      </c>
      <c r="AJ235">
        <v>937.89374731837768</v>
      </c>
    </row>
    <row r="236" spans="1:36" x14ac:dyDescent="0.25">
      <c r="A236">
        <v>235</v>
      </c>
      <c r="B236" t="s">
        <v>2467</v>
      </c>
      <c r="C236" t="s">
        <v>376</v>
      </c>
      <c r="D236" t="s">
        <v>2041</v>
      </c>
      <c r="E236" t="s">
        <v>37</v>
      </c>
      <c r="G236" s="2">
        <v>45854</v>
      </c>
      <c r="H236">
        <v>0.25</v>
      </c>
      <c r="I236" t="s">
        <v>72</v>
      </c>
      <c r="J236" t="s">
        <v>1024</v>
      </c>
      <c r="K236" t="s">
        <v>1025</v>
      </c>
      <c r="L236" t="s">
        <v>2042</v>
      </c>
      <c r="M236" t="s">
        <v>972</v>
      </c>
      <c r="O236" t="s">
        <v>62</v>
      </c>
      <c r="P236" t="s">
        <v>63</v>
      </c>
      <c r="Q236">
        <v>0.2585568569708015</v>
      </c>
      <c r="R236" t="s">
        <v>64</v>
      </c>
      <c r="S236" t="s">
        <v>65</v>
      </c>
      <c r="T236" t="s">
        <v>2468</v>
      </c>
      <c r="V236" t="s">
        <v>71</v>
      </c>
      <c r="X236" t="s">
        <v>2469</v>
      </c>
      <c r="Y236" t="s">
        <v>2045</v>
      </c>
      <c r="Z236" t="s">
        <v>1460</v>
      </c>
      <c r="AA236" t="s">
        <v>606</v>
      </c>
      <c r="AB236" t="s">
        <v>453</v>
      </c>
      <c r="AD236" t="s">
        <v>1493</v>
      </c>
      <c r="AE236" t="s">
        <v>2312</v>
      </c>
      <c r="AI236">
        <v>144.35382367404091</v>
      </c>
      <c r="AJ236">
        <v>1046.3466625703111</v>
      </c>
    </row>
    <row r="237" spans="1:36" x14ac:dyDescent="0.25">
      <c r="A237">
        <v>236</v>
      </c>
      <c r="B237" t="s">
        <v>2470</v>
      </c>
      <c r="C237" t="s">
        <v>376</v>
      </c>
      <c r="D237" t="s">
        <v>2041</v>
      </c>
      <c r="E237" t="s">
        <v>37</v>
      </c>
      <c r="G237" s="2">
        <v>45854</v>
      </c>
      <c r="H237">
        <v>1</v>
      </c>
      <c r="I237" t="s">
        <v>72</v>
      </c>
      <c r="J237" t="s">
        <v>1024</v>
      </c>
      <c r="K237" t="s">
        <v>1025</v>
      </c>
      <c r="L237" t="s">
        <v>2042</v>
      </c>
      <c r="M237" t="s">
        <v>972</v>
      </c>
      <c r="O237" t="s">
        <v>62</v>
      </c>
      <c r="P237" t="s">
        <v>63</v>
      </c>
      <c r="Q237">
        <v>0.98997192002755652</v>
      </c>
      <c r="R237" t="s">
        <v>64</v>
      </c>
      <c r="S237" t="s">
        <v>65</v>
      </c>
      <c r="T237" t="s">
        <v>2468</v>
      </c>
      <c r="V237" t="s">
        <v>71</v>
      </c>
      <c r="X237" t="s">
        <v>2469</v>
      </c>
      <c r="Y237" t="s">
        <v>2045</v>
      </c>
      <c r="Z237" t="s">
        <v>1460</v>
      </c>
      <c r="AA237" t="s">
        <v>606</v>
      </c>
      <c r="AB237" t="s">
        <v>453</v>
      </c>
      <c r="AD237" t="s">
        <v>758</v>
      </c>
      <c r="AE237" t="s">
        <v>2215</v>
      </c>
      <c r="AI237">
        <v>260.12629888301183</v>
      </c>
      <c r="AJ237">
        <v>4006.2902477041421</v>
      </c>
    </row>
    <row r="238" spans="1:36" x14ac:dyDescent="0.25">
      <c r="A238">
        <v>237</v>
      </c>
      <c r="B238" t="s">
        <v>2471</v>
      </c>
      <c r="C238" t="s">
        <v>376</v>
      </c>
      <c r="D238" t="s">
        <v>2041</v>
      </c>
      <c r="E238" t="s">
        <v>37</v>
      </c>
      <c r="G238" s="2">
        <v>45855</v>
      </c>
      <c r="H238">
        <v>0.81</v>
      </c>
      <c r="I238" t="s">
        <v>72</v>
      </c>
      <c r="J238" t="s">
        <v>1024</v>
      </c>
      <c r="K238" t="s">
        <v>1025</v>
      </c>
      <c r="L238" t="s">
        <v>2042</v>
      </c>
      <c r="M238" t="s">
        <v>972</v>
      </c>
      <c r="O238" t="s">
        <v>62</v>
      </c>
      <c r="P238" t="s">
        <v>63</v>
      </c>
      <c r="Q238">
        <v>0.81012723024879141</v>
      </c>
      <c r="R238" t="s">
        <v>64</v>
      </c>
      <c r="S238" t="s">
        <v>65</v>
      </c>
      <c r="T238" t="s">
        <v>2472</v>
      </c>
      <c r="V238" t="s">
        <v>64</v>
      </c>
      <c r="X238" t="s">
        <v>2473</v>
      </c>
      <c r="Y238" t="s">
        <v>2045</v>
      </c>
      <c r="Z238" t="s">
        <v>1460</v>
      </c>
      <c r="AA238" t="s">
        <v>452</v>
      </c>
      <c r="AB238" t="s">
        <v>453</v>
      </c>
      <c r="AD238" t="s">
        <v>758</v>
      </c>
      <c r="AE238" t="s">
        <v>2215</v>
      </c>
      <c r="AI238">
        <v>233.6452243916853</v>
      </c>
      <c r="AJ238">
        <v>3278.481698607126</v>
      </c>
    </row>
    <row r="239" spans="1:36" x14ac:dyDescent="0.25">
      <c r="A239">
        <v>238</v>
      </c>
      <c r="B239" t="s">
        <v>2474</v>
      </c>
      <c r="C239" t="s">
        <v>376</v>
      </c>
      <c r="D239" t="s">
        <v>2041</v>
      </c>
      <c r="E239" t="s">
        <v>37</v>
      </c>
      <c r="G239" s="2">
        <v>45855</v>
      </c>
      <c r="H239">
        <v>0.28000000000000003</v>
      </c>
      <c r="I239" t="s">
        <v>72</v>
      </c>
      <c r="J239" t="s">
        <v>1024</v>
      </c>
      <c r="K239" t="s">
        <v>1025</v>
      </c>
      <c r="L239" t="s">
        <v>2042</v>
      </c>
      <c r="M239" t="s">
        <v>972</v>
      </c>
      <c r="O239" t="s">
        <v>62</v>
      </c>
      <c r="P239" t="s">
        <v>63</v>
      </c>
      <c r="Q239">
        <v>0.27917288321951089</v>
      </c>
      <c r="R239" t="s">
        <v>64</v>
      </c>
      <c r="S239" t="s">
        <v>65</v>
      </c>
      <c r="T239" t="s">
        <v>2472</v>
      </c>
      <c r="V239" t="s">
        <v>64</v>
      </c>
      <c r="X239" t="s">
        <v>2473</v>
      </c>
      <c r="Y239" t="s">
        <v>2045</v>
      </c>
      <c r="Z239" t="s">
        <v>1460</v>
      </c>
      <c r="AA239" t="s">
        <v>452</v>
      </c>
      <c r="AB239" t="s">
        <v>453</v>
      </c>
      <c r="AD239" t="s">
        <v>758</v>
      </c>
      <c r="AE239" t="s">
        <v>2215</v>
      </c>
      <c r="AI239">
        <v>158.0571293890014</v>
      </c>
      <c r="AJ239">
        <v>1129.7770945206621</v>
      </c>
    </row>
    <row r="240" spans="1:36" hidden="1" x14ac:dyDescent="0.25">
      <c r="A240">
        <v>239</v>
      </c>
      <c r="B240" t="s">
        <v>2475</v>
      </c>
      <c r="C240" t="s">
        <v>376</v>
      </c>
      <c r="D240" t="s">
        <v>2041</v>
      </c>
      <c r="E240" t="s">
        <v>37</v>
      </c>
      <c r="G240" s="2">
        <v>45847</v>
      </c>
      <c r="H240">
        <v>0.11</v>
      </c>
      <c r="I240" t="s">
        <v>72</v>
      </c>
      <c r="J240" t="s">
        <v>1024</v>
      </c>
      <c r="K240" t="s">
        <v>1025</v>
      </c>
      <c r="L240" t="s">
        <v>2042</v>
      </c>
      <c r="M240" t="s">
        <v>972</v>
      </c>
      <c r="O240" t="s">
        <v>96</v>
      </c>
      <c r="P240" t="s">
        <v>97</v>
      </c>
      <c r="Q240">
        <v>0.1013688320473059</v>
      </c>
      <c r="R240" t="s">
        <v>60</v>
      </c>
      <c r="S240" t="s">
        <v>66</v>
      </c>
      <c r="T240" t="s">
        <v>2476</v>
      </c>
      <c r="V240" t="s">
        <v>54</v>
      </c>
      <c r="X240" t="s">
        <v>2477</v>
      </c>
      <c r="Y240" t="s">
        <v>676</v>
      </c>
      <c r="Z240" t="s">
        <v>1460</v>
      </c>
      <c r="AA240" t="s">
        <v>139</v>
      </c>
      <c r="AB240" t="s">
        <v>41</v>
      </c>
      <c r="AD240" t="s">
        <v>2446</v>
      </c>
      <c r="AE240" t="s">
        <v>2447</v>
      </c>
      <c r="AI240">
        <v>113.67549808716559</v>
      </c>
      <c r="AJ240">
        <v>410.22674990718571</v>
      </c>
    </row>
    <row r="241" spans="1:36" hidden="1" x14ac:dyDescent="0.25">
      <c r="A241">
        <v>240</v>
      </c>
      <c r="B241" t="s">
        <v>2478</v>
      </c>
      <c r="C241" t="s">
        <v>376</v>
      </c>
      <c r="D241" t="s">
        <v>2041</v>
      </c>
      <c r="E241" t="s">
        <v>37</v>
      </c>
      <c r="G241" s="2">
        <v>45847</v>
      </c>
      <c r="H241">
        <v>0.01</v>
      </c>
      <c r="I241" t="s">
        <v>72</v>
      </c>
      <c r="J241" t="s">
        <v>1024</v>
      </c>
      <c r="K241" t="s">
        <v>1025</v>
      </c>
      <c r="L241" t="s">
        <v>2042</v>
      </c>
      <c r="M241" t="s">
        <v>972</v>
      </c>
      <c r="O241" t="s">
        <v>704</v>
      </c>
      <c r="P241" t="s">
        <v>705</v>
      </c>
      <c r="Q241">
        <v>5.5392819705149469E-2</v>
      </c>
      <c r="R241" t="s">
        <v>73</v>
      </c>
      <c r="S241" t="s">
        <v>74</v>
      </c>
      <c r="T241" t="s">
        <v>2476</v>
      </c>
      <c r="V241" t="s">
        <v>54</v>
      </c>
      <c r="X241" t="s">
        <v>2477</v>
      </c>
      <c r="Y241" t="s">
        <v>676</v>
      </c>
      <c r="Z241" t="s">
        <v>1460</v>
      </c>
      <c r="AA241" t="s">
        <v>139</v>
      </c>
      <c r="AB241" t="s">
        <v>41</v>
      </c>
      <c r="AD241" t="s">
        <v>2446</v>
      </c>
      <c r="AE241" t="s">
        <v>2447</v>
      </c>
      <c r="AI241">
        <v>60.931775781995498</v>
      </c>
      <c r="AJ241">
        <v>224.16768484847211</v>
      </c>
    </row>
    <row r="242" spans="1:36" x14ac:dyDescent="0.25">
      <c r="A242">
        <v>241</v>
      </c>
      <c r="B242" t="s">
        <v>2479</v>
      </c>
      <c r="C242" t="s">
        <v>376</v>
      </c>
      <c r="D242" t="s">
        <v>2041</v>
      </c>
      <c r="E242" t="s">
        <v>37</v>
      </c>
      <c r="G242" s="2">
        <v>45847</v>
      </c>
      <c r="H242">
        <v>0.08</v>
      </c>
      <c r="I242" t="s">
        <v>72</v>
      </c>
      <c r="J242" t="s">
        <v>1024</v>
      </c>
      <c r="K242" t="s">
        <v>1025</v>
      </c>
      <c r="L242" t="s">
        <v>2042</v>
      </c>
      <c r="M242" t="s">
        <v>972</v>
      </c>
      <c r="O242" t="s">
        <v>62</v>
      </c>
      <c r="P242" t="s">
        <v>63</v>
      </c>
      <c r="Q242">
        <v>8.3944133898912185E-2</v>
      </c>
      <c r="R242" t="s">
        <v>64</v>
      </c>
      <c r="S242" t="s">
        <v>65</v>
      </c>
      <c r="T242" t="s">
        <v>2476</v>
      </c>
      <c r="V242" t="s">
        <v>54</v>
      </c>
      <c r="X242" t="s">
        <v>2477</v>
      </c>
      <c r="Y242" t="s">
        <v>676</v>
      </c>
      <c r="Z242" t="s">
        <v>1460</v>
      </c>
      <c r="AA242" t="s">
        <v>139</v>
      </c>
      <c r="AB242" t="s">
        <v>41</v>
      </c>
      <c r="AD242" t="s">
        <v>2446</v>
      </c>
      <c r="AE242" t="s">
        <v>2447</v>
      </c>
      <c r="AI242">
        <v>74.803914540653892</v>
      </c>
      <c r="AJ242">
        <v>339.71121623512443</v>
      </c>
    </row>
    <row r="243" spans="1:36" x14ac:dyDescent="0.25">
      <c r="A243">
        <v>242</v>
      </c>
      <c r="B243" t="s">
        <v>2480</v>
      </c>
      <c r="C243" t="s">
        <v>376</v>
      </c>
      <c r="D243" t="s">
        <v>2041</v>
      </c>
      <c r="E243" t="s">
        <v>37</v>
      </c>
      <c r="G243" s="2">
        <v>45855</v>
      </c>
      <c r="H243">
        <v>0.47</v>
      </c>
      <c r="I243" t="s">
        <v>72</v>
      </c>
      <c r="J243" t="s">
        <v>1024</v>
      </c>
      <c r="K243" t="s">
        <v>1025</v>
      </c>
      <c r="L243" t="s">
        <v>2042</v>
      </c>
      <c r="M243" t="s">
        <v>972</v>
      </c>
      <c r="O243" t="s">
        <v>62</v>
      </c>
      <c r="P243" t="s">
        <v>63</v>
      </c>
      <c r="Q243">
        <v>0.46769630631792281</v>
      </c>
      <c r="R243" t="s">
        <v>64</v>
      </c>
      <c r="S243" t="s">
        <v>65</v>
      </c>
      <c r="T243" t="s">
        <v>2481</v>
      </c>
      <c r="V243" t="s">
        <v>46</v>
      </c>
      <c r="X243" t="s">
        <v>2482</v>
      </c>
      <c r="Y243" t="s">
        <v>2233</v>
      </c>
      <c r="Z243" t="s">
        <v>1460</v>
      </c>
      <c r="AA243" t="s">
        <v>125</v>
      </c>
      <c r="AB243" t="s">
        <v>453</v>
      </c>
      <c r="AD243" t="s">
        <v>145</v>
      </c>
      <c r="AE243" t="s">
        <v>61</v>
      </c>
      <c r="AI243">
        <v>184.83784464075529</v>
      </c>
      <c r="AJ243">
        <v>1892.7073717773601</v>
      </c>
    </row>
    <row r="244" spans="1:36" hidden="1" x14ac:dyDescent="0.25">
      <c r="A244">
        <v>243</v>
      </c>
      <c r="B244" t="s">
        <v>2483</v>
      </c>
      <c r="C244" t="s">
        <v>376</v>
      </c>
      <c r="D244" t="s">
        <v>2041</v>
      </c>
      <c r="E244" t="s">
        <v>37</v>
      </c>
      <c r="G244" s="2">
        <v>45855</v>
      </c>
      <c r="H244">
        <v>5</v>
      </c>
      <c r="I244" t="s">
        <v>72</v>
      </c>
      <c r="J244" t="s">
        <v>1024</v>
      </c>
      <c r="K244" t="s">
        <v>1025</v>
      </c>
      <c r="L244" t="s">
        <v>2042</v>
      </c>
      <c r="M244" t="s">
        <v>972</v>
      </c>
      <c r="O244" t="s">
        <v>79</v>
      </c>
      <c r="P244" t="s">
        <v>80</v>
      </c>
      <c r="Q244">
        <v>4.996465430216217</v>
      </c>
      <c r="R244" t="s">
        <v>60</v>
      </c>
      <c r="S244" t="s">
        <v>66</v>
      </c>
      <c r="T244" t="s">
        <v>2484</v>
      </c>
      <c r="V244" t="s">
        <v>70</v>
      </c>
      <c r="X244" t="s">
        <v>2485</v>
      </c>
      <c r="Y244" t="s">
        <v>2045</v>
      </c>
      <c r="Z244" t="s">
        <v>1073</v>
      </c>
      <c r="AA244" t="s">
        <v>1076</v>
      </c>
      <c r="AB244" t="s">
        <v>453</v>
      </c>
      <c r="AD244" t="s">
        <v>399</v>
      </c>
      <c r="AE244" t="s">
        <v>2168</v>
      </c>
      <c r="AI244">
        <v>619.19160414043063</v>
      </c>
      <c r="AJ244">
        <v>20220.059095725581</v>
      </c>
    </row>
    <row r="245" spans="1:36" x14ac:dyDescent="0.25">
      <c r="A245">
        <v>244</v>
      </c>
      <c r="B245" t="s">
        <v>2486</v>
      </c>
      <c r="C245" t="s">
        <v>376</v>
      </c>
      <c r="D245" t="s">
        <v>2041</v>
      </c>
      <c r="E245" t="s">
        <v>37</v>
      </c>
      <c r="G245" s="2">
        <v>45855</v>
      </c>
      <c r="H245">
        <v>0.01</v>
      </c>
      <c r="I245" t="s">
        <v>72</v>
      </c>
      <c r="J245" t="s">
        <v>1024</v>
      </c>
      <c r="K245" t="s">
        <v>1025</v>
      </c>
      <c r="L245" t="s">
        <v>2042</v>
      </c>
      <c r="M245" t="s">
        <v>972</v>
      </c>
      <c r="O245" t="s">
        <v>62</v>
      </c>
      <c r="P245" t="s">
        <v>63</v>
      </c>
      <c r="Q245">
        <v>1.441833751843701E-2</v>
      </c>
      <c r="R245" t="s">
        <v>64</v>
      </c>
      <c r="S245" t="s">
        <v>65</v>
      </c>
      <c r="T245" t="s">
        <v>2487</v>
      </c>
      <c r="V245" t="s">
        <v>73</v>
      </c>
      <c r="X245" t="s">
        <v>2488</v>
      </c>
      <c r="Y245" t="s">
        <v>2233</v>
      </c>
      <c r="Z245" t="s">
        <v>1460</v>
      </c>
      <c r="AA245" t="s">
        <v>603</v>
      </c>
      <c r="AB245" t="s">
        <v>453</v>
      </c>
      <c r="AD245" t="s">
        <v>483</v>
      </c>
      <c r="AE245" t="s">
        <v>1623</v>
      </c>
      <c r="AI245">
        <v>35.781075868170781</v>
      </c>
      <c r="AJ245">
        <v>58.349175183285027</v>
      </c>
    </row>
    <row r="246" spans="1:36" x14ac:dyDescent="0.25">
      <c r="A246">
        <v>245</v>
      </c>
      <c r="B246" t="s">
        <v>2489</v>
      </c>
      <c r="C246" t="s">
        <v>376</v>
      </c>
      <c r="D246" t="s">
        <v>2041</v>
      </c>
      <c r="E246" t="s">
        <v>37</v>
      </c>
      <c r="G246" s="2">
        <v>45855</v>
      </c>
      <c r="H246">
        <v>0.06</v>
      </c>
      <c r="I246" t="s">
        <v>72</v>
      </c>
      <c r="J246" t="s">
        <v>1024</v>
      </c>
      <c r="K246" t="s">
        <v>1025</v>
      </c>
      <c r="L246" t="s">
        <v>2042</v>
      </c>
      <c r="M246" t="s">
        <v>972</v>
      </c>
      <c r="O246" t="s">
        <v>62</v>
      </c>
      <c r="P246" t="s">
        <v>63</v>
      </c>
      <c r="Q246">
        <v>6.4316440214716636E-2</v>
      </c>
      <c r="R246" t="s">
        <v>64</v>
      </c>
      <c r="S246" t="s">
        <v>65</v>
      </c>
      <c r="T246" t="s">
        <v>2487</v>
      </c>
      <c r="V246" t="s">
        <v>73</v>
      </c>
      <c r="X246" t="s">
        <v>2488</v>
      </c>
      <c r="Y246" t="s">
        <v>2233</v>
      </c>
      <c r="Z246" t="s">
        <v>1460</v>
      </c>
      <c r="AA246" t="s">
        <v>603</v>
      </c>
      <c r="AB246" t="s">
        <v>453</v>
      </c>
      <c r="AD246" t="s">
        <v>483</v>
      </c>
      <c r="AE246" t="s">
        <v>1623</v>
      </c>
      <c r="AI246">
        <v>62.555586975082413</v>
      </c>
      <c r="AJ246">
        <v>260.2804402695516</v>
      </c>
    </row>
    <row r="247" spans="1:36" x14ac:dyDescent="0.25">
      <c r="A247">
        <v>246</v>
      </c>
      <c r="B247" t="s">
        <v>2490</v>
      </c>
      <c r="C247" t="s">
        <v>376</v>
      </c>
      <c r="D247" t="s">
        <v>2041</v>
      </c>
      <c r="E247" t="s">
        <v>37</v>
      </c>
      <c r="G247" s="2">
        <v>45855</v>
      </c>
      <c r="H247">
        <v>0.01</v>
      </c>
      <c r="I247" t="s">
        <v>72</v>
      </c>
      <c r="J247" t="s">
        <v>1024</v>
      </c>
      <c r="K247" t="s">
        <v>1025</v>
      </c>
      <c r="L247" t="s">
        <v>2042</v>
      </c>
      <c r="M247" t="s">
        <v>972</v>
      </c>
      <c r="O247" t="s">
        <v>62</v>
      </c>
      <c r="P247" t="s">
        <v>63</v>
      </c>
      <c r="Q247">
        <v>8.7952251676298634E-3</v>
      </c>
      <c r="R247" t="s">
        <v>64</v>
      </c>
      <c r="S247" t="s">
        <v>65</v>
      </c>
      <c r="T247" t="s">
        <v>2487</v>
      </c>
      <c r="V247" t="s">
        <v>73</v>
      </c>
      <c r="X247" t="s">
        <v>2488</v>
      </c>
      <c r="Y247" t="s">
        <v>2233</v>
      </c>
      <c r="Z247" t="s">
        <v>1460</v>
      </c>
      <c r="AA247" t="s">
        <v>603</v>
      </c>
      <c r="AB247" t="s">
        <v>453</v>
      </c>
      <c r="AD247" t="s">
        <v>483</v>
      </c>
      <c r="AE247" t="s">
        <v>1623</v>
      </c>
      <c r="AI247">
        <v>30.360958934428751</v>
      </c>
      <c r="AJ247">
        <v>35.593155828557968</v>
      </c>
    </row>
    <row r="248" spans="1:36" x14ac:dyDescent="0.25">
      <c r="A248">
        <v>247</v>
      </c>
      <c r="B248" t="s">
        <v>2491</v>
      </c>
      <c r="C248" t="s">
        <v>376</v>
      </c>
      <c r="D248" t="s">
        <v>2041</v>
      </c>
      <c r="E248" t="s">
        <v>37</v>
      </c>
      <c r="G248" s="2">
        <v>45855</v>
      </c>
      <c r="H248">
        <v>0.06</v>
      </c>
      <c r="I248" t="s">
        <v>72</v>
      </c>
      <c r="J248" t="s">
        <v>1024</v>
      </c>
      <c r="K248" t="s">
        <v>1025</v>
      </c>
      <c r="L248" t="s">
        <v>2042</v>
      </c>
      <c r="M248" t="s">
        <v>972</v>
      </c>
      <c r="O248" t="s">
        <v>62</v>
      </c>
      <c r="P248" t="s">
        <v>63</v>
      </c>
      <c r="Q248">
        <v>6.143291191264439E-2</v>
      </c>
      <c r="R248" t="s">
        <v>64</v>
      </c>
      <c r="S248" t="s">
        <v>65</v>
      </c>
      <c r="T248" t="s">
        <v>2487</v>
      </c>
      <c r="V248" t="s">
        <v>73</v>
      </c>
      <c r="X248" t="s">
        <v>2488</v>
      </c>
      <c r="Y248" t="s">
        <v>2233</v>
      </c>
      <c r="Z248" t="s">
        <v>1460</v>
      </c>
      <c r="AA248" t="s">
        <v>603</v>
      </c>
      <c r="AB248" t="s">
        <v>453</v>
      </c>
      <c r="AD248" t="s">
        <v>483</v>
      </c>
      <c r="AE248" t="s">
        <v>1623</v>
      </c>
      <c r="AI248">
        <v>67.633522682267255</v>
      </c>
      <c r="AJ248">
        <v>248.61116856409819</v>
      </c>
    </row>
    <row r="249" spans="1:36" x14ac:dyDescent="0.25">
      <c r="A249">
        <v>248</v>
      </c>
      <c r="B249" t="s">
        <v>2492</v>
      </c>
      <c r="C249" t="s">
        <v>376</v>
      </c>
      <c r="D249" t="s">
        <v>2041</v>
      </c>
      <c r="E249" t="s">
        <v>37</v>
      </c>
      <c r="G249" s="2">
        <v>45855</v>
      </c>
      <c r="H249">
        <v>0.02</v>
      </c>
      <c r="I249" t="s">
        <v>72</v>
      </c>
      <c r="J249" t="s">
        <v>1024</v>
      </c>
      <c r="K249" t="s">
        <v>1025</v>
      </c>
      <c r="L249" t="s">
        <v>2042</v>
      </c>
      <c r="M249" t="s">
        <v>972</v>
      </c>
      <c r="O249" t="s">
        <v>62</v>
      </c>
      <c r="P249" t="s">
        <v>63</v>
      </c>
      <c r="Q249">
        <v>1.6274394580191431E-2</v>
      </c>
      <c r="R249" t="s">
        <v>64</v>
      </c>
      <c r="S249" t="s">
        <v>65</v>
      </c>
      <c r="T249" t="s">
        <v>2487</v>
      </c>
      <c r="V249" t="s">
        <v>73</v>
      </c>
      <c r="X249" t="s">
        <v>2488</v>
      </c>
      <c r="Y249" t="s">
        <v>2233</v>
      </c>
      <c r="Z249" t="s">
        <v>1460</v>
      </c>
      <c r="AA249" t="s">
        <v>603</v>
      </c>
      <c r="AB249" t="s">
        <v>453</v>
      </c>
      <c r="AD249" t="s">
        <v>483</v>
      </c>
      <c r="AE249" t="s">
        <v>1623</v>
      </c>
      <c r="AI249">
        <v>42.090861263061058</v>
      </c>
      <c r="AJ249">
        <v>65.860401668862679</v>
      </c>
    </row>
    <row r="250" spans="1:36" x14ac:dyDescent="0.25">
      <c r="A250">
        <v>249</v>
      </c>
      <c r="B250" t="s">
        <v>2493</v>
      </c>
      <c r="C250" t="s">
        <v>376</v>
      </c>
      <c r="D250" t="s">
        <v>2041</v>
      </c>
      <c r="E250" t="s">
        <v>37</v>
      </c>
      <c r="G250" s="2">
        <v>45847</v>
      </c>
      <c r="H250">
        <v>0.25</v>
      </c>
      <c r="I250" t="s">
        <v>72</v>
      </c>
      <c r="J250" t="s">
        <v>1024</v>
      </c>
      <c r="K250" t="s">
        <v>1025</v>
      </c>
      <c r="L250" t="s">
        <v>2042</v>
      </c>
      <c r="M250" t="s">
        <v>972</v>
      </c>
      <c r="O250" t="s">
        <v>62</v>
      </c>
      <c r="P250" t="s">
        <v>63</v>
      </c>
      <c r="Q250">
        <v>0.29915171345777991</v>
      </c>
      <c r="R250" t="s">
        <v>64</v>
      </c>
      <c r="S250" t="s">
        <v>65</v>
      </c>
      <c r="T250" t="s">
        <v>2494</v>
      </c>
      <c r="V250" t="s">
        <v>54</v>
      </c>
      <c r="X250" t="s">
        <v>2495</v>
      </c>
      <c r="Y250" t="s">
        <v>2441</v>
      </c>
      <c r="Z250" t="s">
        <v>1411</v>
      </c>
      <c r="AA250" t="s">
        <v>606</v>
      </c>
      <c r="AB250" t="s">
        <v>41</v>
      </c>
      <c r="AD250" t="s">
        <v>2446</v>
      </c>
      <c r="AE250" t="s">
        <v>2447</v>
      </c>
      <c r="AI250">
        <v>135.3002091180617</v>
      </c>
      <c r="AJ250">
        <v>1210.62887538924</v>
      </c>
    </row>
    <row r="251" spans="1:36" x14ac:dyDescent="0.25">
      <c r="A251">
        <v>250</v>
      </c>
      <c r="B251" t="s">
        <v>2496</v>
      </c>
      <c r="C251" t="s">
        <v>376</v>
      </c>
      <c r="D251" t="s">
        <v>2041</v>
      </c>
      <c r="E251" t="s">
        <v>37</v>
      </c>
      <c r="G251" s="2">
        <v>45855</v>
      </c>
      <c r="H251">
        <v>0.54</v>
      </c>
      <c r="I251" t="s">
        <v>72</v>
      </c>
      <c r="J251" t="s">
        <v>1024</v>
      </c>
      <c r="K251" t="s">
        <v>1025</v>
      </c>
      <c r="L251" t="s">
        <v>2042</v>
      </c>
      <c r="M251" t="s">
        <v>972</v>
      </c>
      <c r="O251" t="s">
        <v>62</v>
      </c>
      <c r="P251" t="s">
        <v>63</v>
      </c>
      <c r="Q251">
        <v>0.54412215021807919</v>
      </c>
      <c r="R251" t="s">
        <v>64</v>
      </c>
      <c r="S251" t="s">
        <v>65</v>
      </c>
      <c r="T251" t="s">
        <v>2497</v>
      </c>
      <c r="V251" t="s">
        <v>73</v>
      </c>
      <c r="X251" t="s">
        <v>2498</v>
      </c>
      <c r="Y251" t="s">
        <v>2233</v>
      </c>
      <c r="Z251" t="s">
        <v>1460</v>
      </c>
      <c r="AA251" t="s">
        <v>603</v>
      </c>
      <c r="AB251" t="s">
        <v>453</v>
      </c>
      <c r="AD251" t="s">
        <v>758</v>
      </c>
      <c r="AE251" t="s">
        <v>2499</v>
      </c>
      <c r="AI251">
        <v>235.72313204004291</v>
      </c>
      <c r="AJ251">
        <v>2201.9930261434279</v>
      </c>
    </row>
    <row r="252" spans="1:36" x14ac:dyDescent="0.25">
      <c r="A252">
        <v>251</v>
      </c>
      <c r="B252" t="s">
        <v>2500</v>
      </c>
      <c r="C252" t="s">
        <v>376</v>
      </c>
      <c r="D252" t="s">
        <v>2041</v>
      </c>
      <c r="E252" t="s">
        <v>37</v>
      </c>
      <c r="G252" s="2">
        <v>45855</v>
      </c>
      <c r="H252">
        <v>0.6</v>
      </c>
      <c r="I252" t="s">
        <v>72</v>
      </c>
      <c r="J252" t="s">
        <v>1024</v>
      </c>
      <c r="K252" t="s">
        <v>1025</v>
      </c>
      <c r="L252" t="s">
        <v>2042</v>
      </c>
      <c r="M252" t="s">
        <v>972</v>
      </c>
      <c r="O252" t="s">
        <v>62</v>
      </c>
      <c r="P252" t="s">
        <v>63</v>
      </c>
      <c r="Q252">
        <v>0.6051548710827207</v>
      </c>
      <c r="R252" t="s">
        <v>64</v>
      </c>
      <c r="S252" t="s">
        <v>65</v>
      </c>
      <c r="T252" t="s">
        <v>2497</v>
      </c>
      <c r="V252" t="s">
        <v>73</v>
      </c>
      <c r="X252" t="s">
        <v>2498</v>
      </c>
      <c r="Y252" t="s">
        <v>2233</v>
      </c>
      <c r="Z252" t="s">
        <v>1460</v>
      </c>
      <c r="AA252" t="s">
        <v>603</v>
      </c>
      <c r="AB252" t="s">
        <v>453</v>
      </c>
      <c r="AD252" t="s">
        <v>758</v>
      </c>
      <c r="AE252" t="s">
        <v>2499</v>
      </c>
      <c r="AI252">
        <v>270.6320753039758</v>
      </c>
      <c r="AJ252">
        <v>2448.9846725166458</v>
      </c>
    </row>
    <row r="253" spans="1:36" x14ac:dyDescent="0.25">
      <c r="A253">
        <v>252</v>
      </c>
      <c r="B253" t="s">
        <v>2501</v>
      </c>
      <c r="C253" t="s">
        <v>376</v>
      </c>
      <c r="D253" t="s">
        <v>2041</v>
      </c>
      <c r="E253" t="s">
        <v>37</v>
      </c>
      <c r="G253" s="2">
        <v>45855</v>
      </c>
      <c r="H253">
        <v>0.64</v>
      </c>
      <c r="I253" t="s">
        <v>72</v>
      </c>
      <c r="J253" t="s">
        <v>1024</v>
      </c>
      <c r="K253" t="s">
        <v>1025</v>
      </c>
      <c r="L253" t="s">
        <v>2042</v>
      </c>
      <c r="M253" t="s">
        <v>972</v>
      </c>
      <c r="O253" t="s">
        <v>62</v>
      </c>
      <c r="P253" t="s">
        <v>63</v>
      </c>
      <c r="Q253">
        <v>0.63807602432082</v>
      </c>
      <c r="R253" t="s">
        <v>64</v>
      </c>
      <c r="S253" t="s">
        <v>65</v>
      </c>
      <c r="T253" t="s">
        <v>2497</v>
      </c>
      <c r="V253" t="s">
        <v>73</v>
      </c>
      <c r="X253" t="s">
        <v>2498</v>
      </c>
      <c r="Y253" t="s">
        <v>2233</v>
      </c>
      <c r="Z253" t="s">
        <v>1460</v>
      </c>
      <c r="AA253" t="s">
        <v>603</v>
      </c>
      <c r="AB253" t="s">
        <v>453</v>
      </c>
      <c r="AD253" t="s">
        <v>758</v>
      </c>
      <c r="AE253" t="s">
        <v>2499</v>
      </c>
      <c r="AI253">
        <v>281.09108179294759</v>
      </c>
      <c r="AJ253">
        <v>2582.2123858413829</v>
      </c>
    </row>
    <row r="254" spans="1:36" x14ac:dyDescent="0.25">
      <c r="A254">
        <v>253</v>
      </c>
      <c r="B254" t="s">
        <v>2502</v>
      </c>
      <c r="C254" t="s">
        <v>376</v>
      </c>
      <c r="D254" t="s">
        <v>2041</v>
      </c>
      <c r="E254" t="s">
        <v>37</v>
      </c>
      <c r="G254" s="2">
        <v>45855</v>
      </c>
      <c r="H254">
        <v>0.67</v>
      </c>
      <c r="I254" t="s">
        <v>72</v>
      </c>
      <c r="J254" t="s">
        <v>1024</v>
      </c>
      <c r="K254" t="s">
        <v>1025</v>
      </c>
      <c r="L254" t="s">
        <v>2042</v>
      </c>
      <c r="M254" t="s">
        <v>972</v>
      </c>
      <c r="O254" t="s">
        <v>62</v>
      </c>
      <c r="P254" t="s">
        <v>63</v>
      </c>
      <c r="Q254">
        <v>0.66760399853233177</v>
      </c>
      <c r="R254" t="s">
        <v>64</v>
      </c>
      <c r="S254" t="s">
        <v>65</v>
      </c>
      <c r="T254" t="s">
        <v>2497</v>
      </c>
      <c r="V254" t="s">
        <v>73</v>
      </c>
      <c r="X254" t="s">
        <v>2498</v>
      </c>
      <c r="Y254" t="s">
        <v>2233</v>
      </c>
      <c r="Z254" t="s">
        <v>1460</v>
      </c>
      <c r="AA254" t="s">
        <v>603</v>
      </c>
      <c r="AB254" t="s">
        <v>453</v>
      </c>
      <c r="AD254" t="s">
        <v>758</v>
      </c>
      <c r="AE254" t="s">
        <v>2499</v>
      </c>
      <c r="AI254">
        <v>278.69260898853719</v>
      </c>
      <c r="AJ254">
        <v>2701.708335903023</v>
      </c>
    </row>
    <row r="255" spans="1:36" x14ac:dyDescent="0.25">
      <c r="A255">
        <v>254</v>
      </c>
      <c r="B255" t="s">
        <v>2503</v>
      </c>
      <c r="C255" t="s">
        <v>376</v>
      </c>
      <c r="D255" t="s">
        <v>2041</v>
      </c>
      <c r="E255" t="s">
        <v>37</v>
      </c>
      <c r="G255" s="2">
        <v>45855</v>
      </c>
      <c r="H255">
        <v>0.56000000000000005</v>
      </c>
      <c r="I255" t="s">
        <v>72</v>
      </c>
      <c r="J255" t="s">
        <v>1024</v>
      </c>
      <c r="K255" t="s">
        <v>1025</v>
      </c>
      <c r="L255" t="s">
        <v>2042</v>
      </c>
      <c r="M255" t="s">
        <v>972</v>
      </c>
      <c r="O255" t="s">
        <v>62</v>
      </c>
      <c r="P255" t="s">
        <v>63</v>
      </c>
      <c r="Q255">
        <v>0.55680881551441141</v>
      </c>
      <c r="R255" t="s">
        <v>64</v>
      </c>
      <c r="S255" t="s">
        <v>65</v>
      </c>
      <c r="T255" t="s">
        <v>2497</v>
      </c>
      <c r="V255" t="s">
        <v>73</v>
      </c>
      <c r="X255" t="s">
        <v>2498</v>
      </c>
      <c r="Y255" t="s">
        <v>2233</v>
      </c>
      <c r="Z255" t="s">
        <v>1460</v>
      </c>
      <c r="AA255" t="s">
        <v>603</v>
      </c>
      <c r="AB255" t="s">
        <v>453</v>
      </c>
      <c r="AD255" t="s">
        <v>758</v>
      </c>
      <c r="AE255" t="s">
        <v>2499</v>
      </c>
      <c r="AI255">
        <v>255.01776882019979</v>
      </c>
      <c r="AJ255">
        <v>2253.3343444417969</v>
      </c>
    </row>
    <row r="256" spans="1:36" x14ac:dyDescent="0.25">
      <c r="A256">
        <v>255</v>
      </c>
      <c r="B256" t="s">
        <v>2504</v>
      </c>
      <c r="C256" t="s">
        <v>376</v>
      </c>
      <c r="D256" t="s">
        <v>2041</v>
      </c>
      <c r="E256" t="s">
        <v>37</v>
      </c>
      <c r="G256" s="2">
        <v>45855</v>
      </c>
      <c r="H256">
        <v>0.06</v>
      </c>
      <c r="I256" t="s">
        <v>72</v>
      </c>
      <c r="J256" t="s">
        <v>1024</v>
      </c>
      <c r="K256" t="s">
        <v>1025</v>
      </c>
      <c r="L256" t="s">
        <v>2042</v>
      </c>
      <c r="M256" t="s">
        <v>972</v>
      </c>
      <c r="O256" t="s">
        <v>62</v>
      </c>
      <c r="P256" t="s">
        <v>63</v>
      </c>
      <c r="Q256">
        <v>6.4882916703015353E-2</v>
      </c>
      <c r="R256" t="s">
        <v>64</v>
      </c>
      <c r="S256" t="s">
        <v>65</v>
      </c>
      <c r="T256" t="s">
        <v>2497</v>
      </c>
      <c r="V256" t="s">
        <v>73</v>
      </c>
      <c r="X256" t="s">
        <v>2498</v>
      </c>
      <c r="Y256" t="s">
        <v>2233</v>
      </c>
      <c r="Z256" t="s">
        <v>1460</v>
      </c>
      <c r="AA256" t="s">
        <v>603</v>
      </c>
      <c r="AB256" t="s">
        <v>453</v>
      </c>
      <c r="AD256" t="s">
        <v>758</v>
      </c>
      <c r="AE256" t="s">
        <v>2499</v>
      </c>
      <c r="AI256">
        <v>65.159465458874209</v>
      </c>
      <c r="AJ256">
        <v>262.57289845418541</v>
      </c>
    </row>
    <row r="257" spans="1:36" x14ac:dyDescent="0.25">
      <c r="A257">
        <v>256</v>
      </c>
      <c r="B257" t="s">
        <v>2505</v>
      </c>
      <c r="C257" t="s">
        <v>376</v>
      </c>
      <c r="D257" t="s">
        <v>2041</v>
      </c>
      <c r="E257" t="s">
        <v>37</v>
      </c>
      <c r="G257" s="2">
        <v>45847</v>
      </c>
      <c r="H257">
        <v>3.5</v>
      </c>
      <c r="I257" t="s">
        <v>72</v>
      </c>
      <c r="J257" t="s">
        <v>1024</v>
      </c>
      <c r="K257" t="s">
        <v>1025</v>
      </c>
      <c r="L257" t="s">
        <v>2042</v>
      </c>
      <c r="M257" t="s">
        <v>972</v>
      </c>
      <c r="O257" t="s">
        <v>62</v>
      </c>
      <c r="P257" t="s">
        <v>63</v>
      </c>
      <c r="Q257">
        <v>3.5822291186299271</v>
      </c>
      <c r="R257" t="s">
        <v>64</v>
      </c>
      <c r="S257" t="s">
        <v>65</v>
      </c>
      <c r="T257" t="s">
        <v>2506</v>
      </c>
      <c r="V257" t="s">
        <v>54</v>
      </c>
      <c r="X257" t="s">
        <v>2507</v>
      </c>
      <c r="Y257" t="s">
        <v>2441</v>
      </c>
      <c r="Z257" t="s">
        <v>1411</v>
      </c>
      <c r="AA257" t="s">
        <v>606</v>
      </c>
      <c r="AB257" t="s">
        <v>41</v>
      </c>
      <c r="AD257" t="s">
        <v>1413</v>
      </c>
      <c r="AE257" t="s">
        <v>1414</v>
      </c>
      <c r="AI257">
        <v>471.11960648453459</v>
      </c>
      <c r="AJ257">
        <v>14496.82490247743</v>
      </c>
    </row>
    <row r="258" spans="1:36" x14ac:dyDescent="0.25">
      <c r="A258">
        <v>258</v>
      </c>
      <c r="B258" t="s">
        <v>2512</v>
      </c>
      <c r="C258" t="s">
        <v>376</v>
      </c>
      <c r="D258" t="s">
        <v>2041</v>
      </c>
      <c r="E258" t="s">
        <v>37</v>
      </c>
      <c r="G258" s="2">
        <v>45867</v>
      </c>
      <c r="H258">
        <v>0.14000000000000001</v>
      </c>
      <c r="I258" t="s">
        <v>72</v>
      </c>
      <c r="J258" t="s">
        <v>1024</v>
      </c>
      <c r="K258" t="s">
        <v>1025</v>
      </c>
      <c r="L258" t="s">
        <v>2042</v>
      </c>
      <c r="M258" t="s">
        <v>972</v>
      </c>
      <c r="O258" t="s">
        <v>62</v>
      </c>
      <c r="P258" t="s">
        <v>63</v>
      </c>
      <c r="Q258">
        <v>0.13872525482534651</v>
      </c>
      <c r="R258" t="s">
        <v>64</v>
      </c>
      <c r="S258" t="s">
        <v>65</v>
      </c>
      <c r="T258" t="s">
        <v>2513</v>
      </c>
      <c r="V258" t="s">
        <v>50</v>
      </c>
      <c r="X258" t="s">
        <v>2514</v>
      </c>
      <c r="Y258" t="s">
        <v>676</v>
      </c>
      <c r="Z258" t="s">
        <v>1073</v>
      </c>
      <c r="AA258" t="s">
        <v>699</v>
      </c>
      <c r="AB258" t="s">
        <v>453</v>
      </c>
      <c r="AD258" t="s">
        <v>1498</v>
      </c>
      <c r="AE258" t="s">
        <v>528</v>
      </c>
      <c r="AI258">
        <v>103.1317962802045</v>
      </c>
      <c r="AJ258">
        <v>561.40343405052045</v>
      </c>
    </row>
    <row r="259" spans="1:36" x14ac:dyDescent="0.25">
      <c r="A259">
        <v>259</v>
      </c>
      <c r="B259" t="s">
        <v>2515</v>
      </c>
      <c r="C259" t="s">
        <v>376</v>
      </c>
      <c r="D259" t="s">
        <v>2041</v>
      </c>
      <c r="E259" t="s">
        <v>37</v>
      </c>
      <c r="G259" s="2">
        <v>45867</v>
      </c>
      <c r="H259">
        <v>0.04</v>
      </c>
      <c r="I259" t="s">
        <v>72</v>
      </c>
      <c r="J259" t="s">
        <v>1024</v>
      </c>
      <c r="K259" t="s">
        <v>1025</v>
      </c>
      <c r="L259" t="s">
        <v>2042</v>
      </c>
      <c r="M259" t="s">
        <v>972</v>
      </c>
      <c r="O259" t="s">
        <v>62</v>
      </c>
      <c r="P259" t="s">
        <v>63</v>
      </c>
      <c r="Q259">
        <v>4.026473572722724E-2</v>
      </c>
      <c r="R259" t="s">
        <v>64</v>
      </c>
      <c r="S259" t="s">
        <v>65</v>
      </c>
      <c r="T259" t="s">
        <v>2516</v>
      </c>
      <c r="V259" t="s">
        <v>50</v>
      </c>
      <c r="X259" t="s">
        <v>2514</v>
      </c>
      <c r="Y259" t="s">
        <v>676</v>
      </c>
      <c r="Z259" t="s">
        <v>1073</v>
      </c>
      <c r="AA259" t="s">
        <v>699</v>
      </c>
      <c r="AB259" t="s">
        <v>453</v>
      </c>
      <c r="AD259" t="s">
        <v>1498</v>
      </c>
      <c r="AE259" t="s">
        <v>528</v>
      </c>
      <c r="AI259">
        <v>84.441964463529473</v>
      </c>
      <c r="AJ259">
        <v>162.9462561583411</v>
      </c>
    </row>
    <row r="260" spans="1:36" x14ac:dyDescent="0.25">
      <c r="A260">
        <v>260</v>
      </c>
      <c r="B260" t="s">
        <v>2517</v>
      </c>
      <c r="C260" t="s">
        <v>376</v>
      </c>
      <c r="D260" t="s">
        <v>2041</v>
      </c>
      <c r="E260" t="s">
        <v>37</v>
      </c>
      <c r="G260" s="2">
        <v>45867</v>
      </c>
      <c r="H260">
        <v>0.03</v>
      </c>
      <c r="I260" t="s">
        <v>72</v>
      </c>
      <c r="J260" t="s">
        <v>1024</v>
      </c>
      <c r="K260" t="s">
        <v>1025</v>
      </c>
      <c r="L260" t="s">
        <v>2042</v>
      </c>
      <c r="M260" t="s">
        <v>972</v>
      </c>
      <c r="O260" t="s">
        <v>62</v>
      </c>
      <c r="P260" t="s">
        <v>63</v>
      </c>
      <c r="Q260">
        <v>2.6060514023438942E-2</v>
      </c>
      <c r="R260" t="s">
        <v>64</v>
      </c>
      <c r="S260" t="s">
        <v>65</v>
      </c>
      <c r="T260" t="s">
        <v>2516</v>
      </c>
      <c r="V260" t="s">
        <v>50</v>
      </c>
      <c r="X260" t="s">
        <v>2514</v>
      </c>
      <c r="Y260" t="s">
        <v>676</v>
      </c>
      <c r="Z260" t="s">
        <v>1073</v>
      </c>
      <c r="AA260" t="s">
        <v>699</v>
      </c>
      <c r="AB260" t="s">
        <v>453</v>
      </c>
      <c r="AD260" t="s">
        <v>1498</v>
      </c>
      <c r="AE260" t="s">
        <v>528</v>
      </c>
      <c r="AI260">
        <v>43.303650973557573</v>
      </c>
      <c r="AJ260">
        <v>105.4635804006989</v>
      </c>
    </row>
    <row r="261" spans="1:36" x14ac:dyDescent="0.25">
      <c r="A261">
        <v>265</v>
      </c>
      <c r="B261" t="s">
        <v>2523</v>
      </c>
      <c r="C261" t="s">
        <v>376</v>
      </c>
      <c r="D261" t="s">
        <v>2041</v>
      </c>
      <c r="E261" t="s">
        <v>37</v>
      </c>
      <c r="G261" s="2">
        <v>45855</v>
      </c>
      <c r="H261">
        <v>0.8</v>
      </c>
      <c r="I261" t="s">
        <v>72</v>
      </c>
      <c r="J261" t="s">
        <v>1024</v>
      </c>
      <c r="K261" t="s">
        <v>1025</v>
      </c>
      <c r="L261" t="s">
        <v>2042</v>
      </c>
      <c r="M261" t="s">
        <v>972</v>
      </c>
      <c r="O261" t="s">
        <v>62</v>
      </c>
      <c r="P261" t="s">
        <v>63</v>
      </c>
      <c r="Q261">
        <v>1.0281993669669229</v>
      </c>
      <c r="R261" t="s">
        <v>64</v>
      </c>
      <c r="S261" t="s">
        <v>65</v>
      </c>
      <c r="T261" t="s">
        <v>2270</v>
      </c>
      <c r="V261" t="s">
        <v>60</v>
      </c>
      <c r="X261" t="s">
        <v>2271</v>
      </c>
      <c r="Y261" t="s">
        <v>2233</v>
      </c>
      <c r="Z261" t="s">
        <v>1460</v>
      </c>
      <c r="AA261" t="s">
        <v>119</v>
      </c>
      <c r="AB261" t="s">
        <v>453</v>
      </c>
      <c r="AD261" t="s">
        <v>1493</v>
      </c>
      <c r="AE261" t="s">
        <v>2312</v>
      </c>
      <c r="AI261">
        <v>275.53155226889561</v>
      </c>
      <c r="AJ261">
        <v>4160.991855668487</v>
      </c>
    </row>
    <row r="262" spans="1:36" hidden="1" x14ac:dyDescent="0.25">
      <c r="A262">
        <v>261</v>
      </c>
      <c r="B262" t="s">
        <v>2518</v>
      </c>
      <c r="C262" t="s">
        <v>376</v>
      </c>
      <c r="D262" t="s">
        <v>2041</v>
      </c>
      <c r="E262" t="s">
        <v>37</v>
      </c>
      <c r="G262" s="2">
        <v>45854</v>
      </c>
      <c r="H262">
        <v>0.35</v>
      </c>
      <c r="I262" t="s">
        <v>72</v>
      </c>
      <c r="J262" t="s">
        <v>1024</v>
      </c>
      <c r="K262" t="s">
        <v>1025</v>
      </c>
      <c r="L262" t="s">
        <v>2042</v>
      </c>
      <c r="M262" t="s">
        <v>972</v>
      </c>
      <c r="O262" t="s">
        <v>1045</v>
      </c>
      <c r="P262" t="s">
        <v>133</v>
      </c>
      <c r="Q262">
        <v>0.36523771126942739</v>
      </c>
      <c r="R262" t="s">
        <v>60</v>
      </c>
      <c r="S262" t="s">
        <v>66</v>
      </c>
      <c r="T262" t="s">
        <v>2519</v>
      </c>
      <c r="V262" t="s">
        <v>110</v>
      </c>
      <c r="X262" t="s">
        <v>2520</v>
      </c>
      <c r="Y262" t="s">
        <v>2521</v>
      </c>
      <c r="Z262" t="s">
        <v>2522</v>
      </c>
      <c r="AA262" t="s">
        <v>86</v>
      </c>
      <c r="AB262" t="s">
        <v>453</v>
      </c>
      <c r="AD262" t="s">
        <v>399</v>
      </c>
      <c r="AE262" t="s">
        <v>2052</v>
      </c>
      <c r="AI262">
        <v>149.76076579071079</v>
      </c>
      <c r="AJ262">
        <v>1478.0704898294059</v>
      </c>
    </row>
    <row r="263" spans="1:36" hidden="1" x14ac:dyDescent="0.25">
      <c r="A263">
        <v>262</v>
      </c>
      <c r="B263" t="s">
        <v>2523</v>
      </c>
      <c r="C263" t="s">
        <v>376</v>
      </c>
      <c r="D263" t="s">
        <v>2041</v>
      </c>
      <c r="E263" t="s">
        <v>37</v>
      </c>
      <c r="G263" s="2">
        <v>45854</v>
      </c>
      <c r="H263">
        <v>1</v>
      </c>
      <c r="I263" t="s">
        <v>72</v>
      </c>
      <c r="J263" t="s">
        <v>1024</v>
      </c>
      <c r="K263" t="s">
        <v>1025</v>
      </c>
      <c r="L263" t="s">
        <v>2042</v>
      </c>
      <c r="M263" t="s">
        <v>972</v>
      </c>
      <c r="O263" t="s">
        <v>1045</v>
      </c>
      <c r="P263" t="s">
        <v>133</v>
      </c>
      <c r="Q263">
        <v>0.96203433813328088</v>
      </c>
      <c r="R263" t="s">
        <v>60</v>
      </c>
      <c r="S263" t="s">
        <v>66</v>
      </c>
      <c r="T263" t="s">
        <v>2519</v>
      </c>
      <c r="V263" t="s">
        <v>110</v>
      </c>
      <c r="X263" t="s">
        <v>2520</v>
      </c>
      <c r="Y263" t="s">
        <v>2521</v>
      </c>
      <c r="Z263" t="s">
        <v>2522</v>
      </c>
      <c r="AA263" t="s">
        <v>86</v>
      </c>
      <c r="AB263" t="s">
        <v>453</v>
      </c>
      <c r="AD263" t="s">
        <v>145</v>
      </c>
      <c r="AE263" t="s">
        <v>61</v>
      </c>
      <c r="AI263">
        <v>258.34147325603521</v>
      </c>
      <c r="AJ263">
        <v>3893.2304127500788</v>
      </c>
    </row>
    <row r="264" spans="1:36" hidden="1" x14ac:dyDescent="0.25">
      <c r="A264">
        <v>263</v>
      </c>
      <c r="B264" t="s">
        <v>2523</v>
      </c>
      <c r="C264" t="s">
        <v>376</v>
      </c>
      <c r="D264" t="s">
        <v>2041</v>
      </c>
      <c r="E264" t="s">
        <v>37</v>
      </c>
      <c r="G264" s="2">
        <v>45855</v>
      </c>
      <c r="H264">
        <v>1.8</v>
      </c>
      <c r="I264" t="s">
        <v>72</v>
      </c>
      <c r="J264" t="s">
        <v>1024</v>
      </c>
      <c r="K264" t="s">
        <v>1025</v>
      </c>
      <c r="L264" t="s">
        <v>2042</v>
      </c>
      <c r="M264" t="s">
        <v>972</v>
      </c>
      <c r="N264" t="s">
        <v>2241</v>
      </c>
      <c r="O264" t="s">
        <v>113</v>
      </c>
      <c r="P264" t="s">
        <v>114</v>
      </c>
      <c r="Q264">
        <v>1.762912550949318</v>
      </c>
      <c r="R264" t="s">
        <v>46</v>
      </c>
      <c r="S264" t="s">
        <v>47</v>
      </c>
      <c r="T264" t="s">
        <v>2524</v>
      </c>
      <c r="V264" t="s">
        <v>46</v>
      </c>
      <c r="X264" t="s">
        <v>2243</v>
      </c>
      <c r="Y264" t="s">
        <v>2233</v>
      </c>
      <c r="Z264" t="s">
        <v>1460</v>
      </c>
      <c r="AA264" t="s">
        <v>125</v>
      </c>
      <c r="AB264" t="s">
        <v>453</v>
      </c>
      <c r="AD264" t="s">
        <v>93</v>
      </c>
      <c r="AE264" t="s">
        <v>2258</v>
      </c>
      <c r="AI264">
        <v>328.51161170383762</v>
      </c>
      <c r="AJ264">
        <v>7134.2825160403409</v>
      </c>
    </row>
    <row r="265" spans="1:36" hidden="1" x14ac:dyDescent="0.25">
      <c r="A265">
        <v>264</v>
      </c>
      <c r="B265" t="s">
        <v>2523</v>
      </c>
      <c r="C265" t="s">
        <v>376</v>
      </c>
      <c r="D265" t="s">
        <v>2041</v>
      </c>
      <c r="E265" t="s">
        <v>37</v>
      </c>
      <c r="G265" s="2">
        <v>45855</v>
      </c>
      <c r="H265">
        <v>0.4</v>
      </c>
      <c r="I265" t="s">
        <v>72</v>
      </c>
      <c r="J265" t="s">
        <v>1024</v>
      </c>
      <c r="K265" t="s">
        <v>1025</v>
      </c>
      <c r="L265" t="s">
        <v>2042</v>
      </c>
      <c r="M265" t="s">
        <v>972</v>
      </c>
      <c r="N265" t="s">
        <v>2241</v>
      </c>
      <c r="O265" t="s">
        <v>113</v>
      </c>
      <c r="P265" t="s">
        <v>114</v>
      </c>
      <c r="Q265">
        <v>0.34640586129457263</v>
      </c>
      <c r="R265" t="s">
        <v>46</v>
      </c>
      <c r="S265" t="s">
        <v>47</v>
      </c>
      <c r="T265" t="s">
        <v>2328</v>
      </c>
      <c r="V265" t="s">
        <v>60</v>
      </c>
      <c r="X265" t="s">
        <v>2243</v>
      </c>
      <c r="Y265" t="s">
        <v>2233</v>
      </c>
      <c r="Z265" t="s">
        <v>1460</v>
      </c>
      <c r="AA265" t="s">
        <v>125</v>
      </c>
      <c r="AB265" t="s">
        <v>453</v>
      </c>
      <c r="AD265" t="s">
        <v>93</v>
      </c>
      <c r="AE265" t="s">
        <v>2258</v>
      </c>
      <c r="AI265">
        <v>153.96003617413831</v>
      </c>
      <c r="AJ265">
        <v>1401.8603919729051</v>
      </c>
    </row>
    <row r="266" spans="1:36" x14ac:dyDescent="0.25">
      <c r="A266">
        <v>266</v>
      </c>
      <c r="B266" t="s">
        <v>2523</v>
      </c>
      <c r="C266" t="s">
        <v>376</v>
      </c>
      <c r="D266" t="s">
        <v>2041</v>
      </c>
      <c r="E266" t="s">
        <v>37</v>
      </c>
      <c r="G266" s="2">
        <v>45855</v>
      </c>
      <c r="H266">
        <v>6.1</v>
      </c>
      <c r="I266" t="s">
        <v>72</v>
      </c>
      <c r="J266" t="s">
        <v>1024</v>
      </c>
      <c r="K266" t="s">
        <v>1025</v>
      </c>
      <c r="L266" t="s">
        <v>2042</v>
      </c>
      <c r="M266" t="s">
        <v>972</v>
      </c>
      <c r="O266" t="s">
        <v>62</v>
      </c>
      <c r="P266" t="s">
        <v>63</v>
      </c>
      <c r="Q266">
        <v>5.4287917941306327</v>
      </c>
      <c r="R266" t="s">
        <v>64</v>
      </c>
      <c r="S266" t="s">
        <v>65</v>
      </c>
      <c r="T266" t="s">
        <v>2287</v>
      </c>
      <c r="V266" t="s">
        <v>60</v>
      </c>
      <c r="X266" t="s">
        <v>2243</v>
      </c>
      <c r="Y266" t="s">
        <v>2233</v>
      </c>
      <c r="Z266" t="s">
        <v>1460</v>
      </c>
      <c r="AA266" t="s">
        <v>119</v>
      </c>
      <c r="AB266" t="s">
        <v>453</v>
      </c>
      <c r="AD266" t="s">
        <v>1215</v>
      </c>
      <c r="AE266" t="s">
        <v>2285</v>
      </c>
      <c r="AI266">
        <v>1002.317473874478</v>
      </c>
      <c r="AJ266">
        <v>21969.628816377361</v>
      </c>
    </row>
    <row r="267" spans="1:36" x14ac:dyDescent="0.25">
      <c r="A267">
        <v>268</v>
      </c>
      <c r="B267" t="s">
        <v>2523</v>
      </c>
      <c r="C267" t="s">
        <v>376</v>
      </c>
      <c r="D267" t="s">
        <v>2041</v>
      </c>
      <c r="E267" t="s">
        <v>37</v>
      </c>
      <c r="G267" s="2">
        <v>45867</v>
      </c>
      <c r="H267">
        <v>4.8</v>
      </c>
      <c r="I267" t="s">
        <v>72</v>
      </c>
      <c r="J267" t="s">
        <v>1024</v>
      </c>
      <c r="K267" t="s">
        <v>1025</v>
      </c>
      <c r="L267" t="s">
        <v>2042</v>
      </c>
      <c r="M267" t="s">
        <v>972</v>
      </c>
      <c r="O267" t="s">
        <v>62</v>
      </c>
      <c r="P267" t="s">
        <v>63</v>
      </c>
      <c r="Q267">
        <v>4.7612850560767797</v>
      </c>
      <c r="R267" t="s">
        <v>64</v>
      </c>
      <c r="S267" t="s">
        <v>65</v>
      </c>
      <c r="T267" t="s">
        <v>2527</v>
      </c>
      <c r="V267" t="s">
        <v>50</v>
      </c>
      <c r="X267" t="s">
        <v>2403</v>
      </c>
      <c r="Y267" t="s">
        <v>676</v>
      </c>
      <c r="Z267" t="s">
        <v>1073</v>
      </c>
      <c r="AA267" t="s">
        <v>471</v>
      </c>
      <c r="AB267" t="s">
        <v>453</v>
      </c>
      <c r="AD267" t="s">
        <v>399</v>
      </c>
      <c r="AE267" t="s">
        <v>702</v>
      </c>
      <c r="AI267">
        <v>699.84396088216522</v>
      </c>
      <c r="AJ267">
        <v>19268.314081240711</v>
      </c>
    </row>
    <row r="268" spans="1:36" hidden="1" x14ac:dyDescent="0.25">
      <c r="A268">
        <v>267</v>
      </c>
      <c r="B268" t="s">
        <v>2523</v>
      </c>
      <c r="C268" t="s">
        <v>376</v>
      </c>
      <c r="D268" t="s">
        <v>2041</v>
      </c>
      <c r="E268" t="s">
        <v>37</v>
      </c>
      <c r="G268" s="2">
        <v>45855</v>
      </c>
      <c r="H268">
        <v>0.1</v>
      </c>
      <c r="I268" t="s">
        <v>72</v>
      </c>
      <c r="J268" t="s">
        <v>1024</v>
      </c>
      <c r="K268" t="s">
        <v>1025</v>
      </c>
      <c r="L268" t="s">
        <v>2042</v>
      </c>
      <c r="M268" t="s">
        <v>972</v>
      </c>
      <c r="O268" t="s">
        <v>1081</v>
      </c>
      <c r="P268" t="s">
        <v>116</v>
      </c>
      <c r="Q268">
        <v>7.6471681920796147E-2</v>
      </c>
      <c r="T268" t="s">
        <v>2525</v>
      </c>
      <c r="V268" t="s">
        <v>64</v>
      </c>
      <c r="X268" t="s">
        <v>2526</v>
      </c>
      <c r="Y268" t="s">
        <v>2045</v>
      </c>
      <c r="Z268" t="s">
        <v>1460</v>
      </c>
      <c r="AA268" t="s">
        <v>452</v>
      </c>
      <c r="AB268" t="s">
        <v>453</v>
      </c>
      <c r="AI268">
        <v>70.450113678362641</v>
      </c>
      <c r="AJ268">
        <v>309.47115499628592</v>
      </c>
    </row>
    <row r="269" spans="1:36" x14ac:dyDescent="0.25">
      <c r="A269">
        <v>270</v>
      </c>
      <c r="B269" t="s">
        <v>2523</v>
      </c>
      <c r="C269" t="s">
        <v>376</v>
      </c>
      <c r="D269" t="s">
        <v>2041</v>
      </c>
      <c r="E269" t="s">
        <v>37</v>
      </c>
      <c r="G269" s="2">
        <v>45854</v>
      </c>
      <c r="H269">
        <v>1</v>
      </c>
      <c r="I269" t="s">
        <v>72</v>
      </c>
      <c r="J269" t="s">
        <v>1024</v>
      </c>
      <c r="K269" t="s">
        <v>1025</v>
      </c>
      <c r="L269" t="s">
        <v>2042</v>
      </c>
      <c r="M269" t="s">
        <v>972</v>
      </c>
      <c r="O269" t="s">
        <v>62</v>
      </c>
      <c r="P269" t="s">
        <v>63</v>
      </c>
      <c r="Q269">
        <v>0.98078181340369142</v>
      </c>
      <c r="R269" t="s">
        <v>64</v>
      </c>
      <c r="S269" t="s">
        <v>65</v>
      </c>
      <c r="T269" t="s">
        <v>2528</v>
      </c>
      <c r="V269" t="s">
        <v>75</v>
      </c>
      <c r="X269" t="s">
        <v>673</v>
      </c>
      <c r="Y269" t="s">
        <v>2045</v>
      </c>
      <c r="Z269" t="s">
        <v>1460</v>
      </c>
      <c r="AA269" t="s">
        <v>635</v>
      </c>
      <c r="AB269" t="s">
        <v>453</v>
      </c>
      <c r="AI269">
        <v>274.39287910381341</v>
      </c>
      <c r="AJ269">
        <v>3969.099056926198</v>
      </c>
    </row>
    <row r="270" spans="1:36" x14ac:dyDescent="0.25">
      <c r="A270">
        <v>271</v>
      </c>
      <c r="B270" t="s">
        <v>2523</v>
      </c>
      <c r="C270" t="s">
        <v>376</v>
      </c>
      <c r="D270" t="s">
        <v>2041</v>
      </c>
      <c r="E270" t="s">
        <v>37</v>
      </c>
      <c r="G270" s="2">
        <v>45854</v>
      </c>
      <c r="H270">
        <v>1.76</v>
      </c>
      <c r="I270" t="s">
        <v>72</v>
      </c>
      <c r="J270" t="s">
        <v>1024</v>
      </c>
      <c r="K270" t="s">
        <v>1025</v>
      </c>
      <c r="L270" t="s">
        <v>2042</v>
      </c>
      <c r="M270" t="s">
        <v>972</v>
      </c>
      <c r="O270" t="s">
        <v>62</v>
      </c>
      <c r="P270" t="s">
        <v>63</v>
      </c>
      <c r="Q270">
        <v>2.671646277418696</v>
      </c>
      <c r="R270" t="s">
        <v>64</v>
      </c>
      <c r="S270" t="s">
        <v>65</v>
      </c>
      <c r="T270" t="s">
        <v>2509</v>
      </c>
      <c r="V270" t="s">
        <v>75</v>
      </c>
      <c r="X270" t="s">
        <v>2529</v>
      </c>
      <c r="Y270" t="s">
        <v>2045</v>
      </c>
      <c r="Z270" t="s">
        <v>1460</v>
      </c>
      <c r="AA270" t="s">
        <v>635</v>
      </c>
      <c r="AB270" t="s">
        <v>453</v>
      </c>
      <c r="AD270" t="s">
        <v>1413</v>
      </c>
      <c r="AE270" t="s">
        <v>2530</v>
      </c>
      <c r="AI270">
        <v>498.49937550247972</v>
      </c>
      <c r="AJ270">
        <v>10811.812143358229</v>
      </c>
    </row>
    <row r="271" spans="1:36" x14ac:dyDescent="0.25">
      <c r="A271">
        <v>272</v>
      </c>
      <c r="B271" t="s">
        <v>2523</v>
      </c>
      <c r="C271" t="s">
        <v>376</v>
      </c>
      <c r="D271" t="s">
        <v>2041</v>
      </c>
      <c r="E271" t="s">
        <v>37</v>
      </c>
      <c r="G271" s="2">
        <v>45854</v>
      </c>
      <c r="H271">
        <v>1.25</v>
      </c>
      <c r="I271" t="s">
        <v>72</v>
      </c>
      <c r="J271" t="s">
        <v>1024</v>
      </c>
      <c r="K271" t="s">
        <v>1025</v>
      </c>
      <c r="L271" t="s">
        <v>2042</v>
      </c>
      <c r="M271" t="s">
        <v>972</v>
      </c>
      <c r="O271" t="s">
        <v>62</v>
      </c>
      <c r="P271" t="s">
        <v>63</v>
      </c>
      <c r="Q271">
        <v>1.24400647537468</v>
      </c>
      <c r="R271" t="s">
        <v>64</v>
      </c>
      <c r="S271" t="s">
        <v>65</v>
      </c>
      <c r="T271" t="s">
        <v>2528</v>
      </c>
      <c r="V271" t="s">
        <v>75</v>
      </c>
      <c r="X271" t="s">
        <v>673</v>
      </c>
      <c r="Y271" t="s">
        <v>2045</v>
      </c>
      <c r="Z271" t="s">
        <v>1460</v>
      </c>
      <c r="AA271" t="s">
        <v>635</v>
      </c>
      <c r="AB271" t="s">
        <v>453</v>
      </c>
      <c r="AI271">
        <v>352.48200376079723</v>
      </c>
      <c r="AJ271">
        <v>5034.3357317000018</v>
      </c>
    </row>
    <row r="272" spans="1:36" x14ac:dyDescent="0.25">
      <c r="A272">
        <v>275</v>
      </c>
      <c r="B272" t="s">
        <v>2523</v>
      </c>
      <c r="C272" t="s">
        <v>376</v>
      </c>
      <c r="D272" t="s">
        <v>2041</v>
      </c>
      <c r="E272" t="s">
        <v>37</v>
      </c>
      <c r="G272" s="2">
        <v>45854</v>
      </c>
      <c r="H272">
        <v>25.4</v>
      </c>
      <c r="I272" t="s">
        <v>72</v>
      </c>
      <c r="J272" t="s">
        <v>1024</v>
      </c>
      <c r="K272" t="s">
        <v>1025</v>
      </c>
      <c r="L272" t="s">
        <v>2042</v>
      </c>
      <c r="M272" t="s">
        <v>972</v>
      </c>
      <c r="O272" t="s">
        <v>62</v>
      </c>
      <c r="P272" t="s">
        <v>63</v>
      </c>
      <c r="Q272">
        <v>24.588389411611939</v>
      </c>
      <c r="R272" t="s">
        <v>64</v>
      </c>
      <c r="S272" t="s">
        <v>65</v>
      </c>
      <c r="T272" t="s">
        <v>2533</v>
      </c>
      <c r="V272" t="s">
        <v>2534</v>
      </c>
      <c r="X272" t="s">
        <v>376</v>
      </c>
      <c r="Y272" t="s">
        <v>2051</v>
      </c>
      <c r="Z272" t="s">
        <v>1460</v>
      </c>
      <c r="AA272" t="s">
        <v>125</v>
      </c>
      <c r="AB272" t="s">
        <v>453</v>
      </c>
      <c r="AI272">
        <v>1746.7171793149009</v>
      </c>
      <c r="AJ272">
        <v>99506.079630774446</v>
      </c>
    </row>
    <row r="273" spans="1:36" x14ac:dyDescent="0.25">
      <c r="A273">
        <v>277</v>
      </c>
      <c r="B273" t="s">
        <v>2523</v>
      </c>
      <c r="C273" t="s">
        <v>376</v>
      </c>
      <c r="D273" t="s">
        <v>2041</v>
      </c>
      <c r="E273" t="s">
        <v>37</v>
      </c>
      <c r="G273" s="2">
        <v>45854</v>
      </c>
      <c r="H273">
        <v>4.8</v>
      </c>
      <c r="I273" t="s">
        <v>72</v>
      </c>
      <c r="J273" t="s">
        <v>1024</v>
      </c>
      <c r="K273" t="s">
        <v>1025</v>
      </c>
      <c r="L273" t="s">
        <v>2042</v>
      </c>
      <c r="M273" t="s">
        <v>972</v>
      </c>
      <c r="O273" t="s">
        <v>62</v>
      </c>
      <c r="P273" t="s">
        <v>63</v>
      </c>
      <c r="Q273">
        <v>3.3896000077423349</v>
      </c>
      <c r="R273" t="s">
        <v>64</v>
      </c>
      <c r="S273" t="s">
        <v>65</v>
      </c>
      <c r="T273" t="s">
        <v>2537</v>
      </c>
      <c r="V273" t="s">
        <v>75</v>
      </c>
      <c r="Y273" t="s">
        <v>2045</v>
      </c>
      <c r="Z273" t="s">
        <v>1460</v>
      </c>
      <c r="AA273" t="s">
        <v>635</v>
      </c>
      <c r="AB273" t="s">
        <v>453</v>
      </c>
      <c r="AI273">
        <v>514.93393541702858</v>
      </c>
      <c r="AJ273">
        <v>13717.279429762009</v>
      </c>
    </row>
    <row r="274" spans="1:36" hidden="1" x14ac:dyDescent="0.25">
      <c r="A274">
        <v>273</v>
      </c>
      <c r="B274" t="s">
        <v>2523</v>
      </c>
      <c r="C274" t="s">
        <v>376</v>
      </c>
      <c r="D274" t="s">
        <v>2041</v>
      </c>
      <c r="E274" t="s">
        <v>37</v>
      </c>
      <c r="G274" s="2">
        <v>45854</v>
      </c>
      <c r="H274">
        <v>9.4</v>
      </c>
      <c r="I274" t="s">
        <v>72</v>
      </c>
      <c r="J274" t="s">
        <v>1024</v>
      </c>
      <c r="K274" t="s">
        <v>1025</v>
      </c>
      <c r="L274" t="s">
        <v>2042</v>
      </c>
      <c r="M274" t="s">
        <v>972</v>
      </c>
      <c r="O274" t="s">
        <v>79</v>
      </c>
      <c r="P274" t="s">
        <v>80</v>
      </c>
      <c r="Q274">
        <v>8.4945204485158872</v>
      </c>
      <c r="R274" t="s">
        <v>60</v>
      </c>
      <c r="S274" t="s">
        <v>66</v>
      </c>
      <c r="T274" t="s">
        <v>2531</v>
      </c>
      <c r="V274" t="s">
        <v>110</v>
      </c>
      <c r="X274" t="s">
        <v>2532</v>
      </c>
      <c r="Y274" t="s">
        <v>2051</v>
      </c>
      <c r="Z274" t="s">
        <v>1460</v>
      </c>
      <c r="AA274" t="s">
        <v>441</v>
      </c>
      <c r="AB274" t="s">
        <v>453</v>
      </c>
      <c r="AI274">
        <v>844.24594018874939</v>
      </c>
      <c r="AJ274">
        <v>34376.242137115689</v>
      </c>
    </row>
    <row r="275" spans="1:36" hidden="1" x14ac:dyDescent="0.25">
      <c r="A275">
        <v>274</v>
      </c>
      <c r="B275" t="s">
        <v>2523</v>
      </c>
      <c r="C275" t="s">
        <v>376</v>
      </c>
      <c r="D275" t="s">
        <v>2041</v>
      </c>
      <c r="E275" t="s">
        <v>37</v>
      </c>
      <c r="G275" s="2">
        <v>45854</v>
      </c>
      <c r="H275">
        <v>9.3000000000000007</v>
      </c>
      <c r="I275" t="s">
        <v>72</v>
      </c>
      <c r="J275" t="s">
        <v>1024</v>
      </c>
      <c r="K275" t="s">
        <v>1025</v>
      </c>
      <c r="L275" t="s">
        <v>2042</v>
      </c>
      <c r="M275" t="s">
        <v>972</v>
      </c>
      <c r="O275" t="s">
        <v>402</v>
      </c>
      <c r="P275" t="s">
        <v>403</v>
      </c>
      <c r="Q275">
        <v>9.9785745870998124</v>
      </c>
      <c r="T275" t="s">
        <v>2533</v>
      </c>
      <c r="V275" t="s">
        <v>2534</v>
      </c>
      <c r="X275" t="s">
        <v>376</v>
      </c>
      <c r="Y275" t="s">
        <v>2051</v>
      </c>
      <c r="Z275" t="s">
        <v>1460</v>
      </c>
      <c r="AA275" t="s">
        <v>125</v>
      </c>
      <c r="AB275" t="s">
        <v>453</v>
      </c>
      <c r="AI275">
        <v>835.88233614700891</v>
      </c>
      <c r="AJ275">
        <v>40382.020182121501</v>
      </c>
    </row>
    <row r="276" spans="1:36" x14ac:dyDescent="0.25">
      <c r="A276">
        <v>280</v>
      </c>
      <c r="B276" t="s">
        <v>2540</v>
      </c>
      <c r="C276" t="s">
        <v>376</v>
      </c>
      <c r="D276" t="s">
        <v>2041</v>
      </c>
      <c r="E276" t="s">
        <v>37</v>
      </c>
      <c r="G276" s="2">
        <v>45855</v>
      </c>
      <c r="H276">
        <v>1</v>
      </c>
      <c r="I276" t="s">
        <v>72</v>
      </c>
      <c r="J276" t="s">
        <v>1024</v>
      </c>
      <c r="K276" t="s">
        <v>1025</v>
      </c>
      <c r="L276" t="s">
        <v>2042</v>
      </c>
      <c r="M276" t="s">
        <v>972</v>
      </c>
      <c r="O276" t="s">
        <v>62</v>
      </c>
      <c r="P276" t="s">
        <v>63</v>
      </c>
      <c r="Q276">
        <v>1.2010841818612219</v>
      </c>
      <c r="R276" t="s">
        <v>64</v>
      </c>
      <c r="S276" t="s">
        <v>65</v>
      </c>
      <c r="T276" t="s">
        <v>2541</v>
      </c>
      <c r="V276" t="s">
        <v>119</v>
      </c>
      <c r="X276" t="s">
        <v>2173</v>
      </c>
      <c r="Y276" t="s">
        <v>2045</v>
      </c>
      <c r="Z276" t="s">
        <v>1460</v>
      </c>
      <c r="AA276" t="s">
        <v>397</v>
      </c>
      <c r="AB276" t="s">
        <v>453</v>
      </c>
      <c r="AD276" t="s">
        <v>1215</v>
      </c>
      <c r="AE276" t="s">
        <v>2174</v>
      </c>
      <c r="AI276">
        <v>388.49802016112022</v>
      </c>
      <c r="AJ276">
        <v>4860.6346777274048</v>
      </c>
    </row>
    <row r="277" spans="1:36" hidden="1" x14ac:dyDescent="0.25">
      <c r="A277">
        <v>276</v>
      </c>
      <c r="B277" t="s">
        <v>2535</v>
      </c>
      <c r="C277" t="s">
        <v>376</v>
      </c>
      <c r="D277" t="s">
        <v>2041</v>
      </c>
      <c r="E277" t="s">
        <v>37</v>
      </c>
      <c r="G277" s="2">
        <v>45855</v>
      </c>
      <c r="H277">
        <v>5</v>
      </c>
      <c r="I277" t="s">
        <v>72</v>
      </c>
      <c r="J277" t="s">
        <v>1024</v>
      </c>
      <c r="K277" t="s">
        <v>1025</v>
      </c>
      <c r="L277" t="s">
        <v>2042</v>
      </c>
      <c r="M277" t="s">
        <v>972</v>
      </c>
      <c r="O277" t="s">
        <v>402</v>
      </c>
      <c r="P277" t="s">
        <v>403</v>
      </c>
      <c r="Q277">
        <v>5.1197713986294362</v>
      </c>
      <c r="S277" t="s">
        <v>38</v>
      </c>
      <c r="T277" t="s">
        <v>2536</v>
      </c>
      <c r="V277" t="s">
        <v>119</v>
      </c>
      <c r="X277" t="s">
        <v>2167</v>
      </c>
      <c r="Y277" t="s">
        <v>2045</v>
      </c>
      <c r="Z277" t="s">
        <v>1460</v>
      </c>
      <c r="AA277" t="s">
        <v>182</v>
      </c>
      <c r="AB277" t="s">
        <v>453</v>
      </c>
      <c r="AD277" t="s">
        <v>399</v>
      </c>
      <c r="AE277" t="s">
        <v>2168</v>
      </c>
      <c r="AI277">
        <v>671.28072232102886</v>
      </c>
      <c r="AJ277">
        <v>20719.06264193105</v>
      </c>
    </row>
    <row r="278" spans="1:36" x14ac:dyDescent="0.25">
      <c r="A278">
        <v>281</v>
      </c>
      <c r="B278" t="s">
        <v>2540</v>
      </c>
      <c r="C278" t="s">
        <v>376</v>
      </c>
      <c r="D278" t="s">
        <v>2041</v>
      </c>
      <c r="E278" t="s">
        <v>37</v>
      </c>
      <c r="G278" s="2">
        <v>45855</v>
      </c>
      <c r="H278">
        <v>0.96699999999999997</v>
      </c>
      <c r="I278" t="s">
        <v>72</v>
      </c>
      <c r="J278" t="s">
        <v>1024</v>
      </c>
      <c r="K278" t="s">
        <v>1025</v>
      </c>
      <c r="L278" t="s">
        <v>2042</v>
      </c>
      <c r="M278" t="s">
        <v>972</v>
      </c>
      <c r="O278" t="s">
        <v>62</v>
      </c>
      <c r="P278" t="s">
        <v>63</v>
      </c>
      <c r="Q278">
        <v>0.69943179114108711</v>
      </c>
      <c r="R278" t="s">
        <v>64</v>
      </c>
      <c r="S278" t="s">
        <v>65</v>
      </c>
      <c r="T278" t="s">
        <v>2542</v>
      </c>
      <c r="V278" t="s">
        <v>119</v>
      </c>
      <c r="X278" t="s">
        <v>2173</v>
      </c>
      <c r="Y278" t="s">
        <v>2045</v>
      </c>
      <c r="Z278" t="s">
        <v>1460</v>
      </c>
      <c r="AA278" t="s">
        <v>397</v>
      </c>
      <c r="AB278" t="s">
        <v>453</v>
      </c>
      <c r="AD278" t="s">
        <v>1215</v>
      </c>
      <c r="AE278" t="s">
        <v>2174</v>
      </c>
      <c r="AI278">
        <v>272.90976962098642</v>
      </c>
      <c r="AJ278">
        <v>2830.5113580441539</v>
      </c>
    </row>
    <row r="279" spans="1:36" hidden="1" x14ac:dyDescent="0.25">
      <c r="A279">
        <v>278</v>
      </c>
      <c r="B279" t="s">
        <v>2141</v>
      </c>
      <c r="C279" t="s">
        <v>376</v>
      </c>
      <c r="D279" t="s">
        <v>2041</v>
      </c>
      <c r="E279" t="s">
        <v>37</v>
      </c>
      <c r="G279" s="2">
        <v>45854</v>
      </c>
      <c r="H279">
        <v>10.9</v>
      </c>
      <c r="I279" t="s">
        <v>72</v>
      </c>
      <c r="J279" t="s">
        <v>1024</v>
      </c>
      <c r="K279" t="s">
        <v>1025</v>
      </c>
      <c r="L279" t="s">
        <v>2042</v>
      </c>
      <c r="M279" t="s">
        <v>972</v>
      </c>
      <c r="O279" t="s">
        <v>115</v>
      </c>
      <c r="P279" t="s">
        <v>137</v>
      </c>
      <c r="Q279">
        <v>0.91680168478083235</v>
      </c>
      <c r="S279" t="s">
        <v>38</v>
      </c>
      <c r="T279" t="s">
        <v>2538</v>
      </c>
      <c r="V279" t="s">
        <v>125</v>
      </c>
      <c r="X279" t="s">
        <v>2121</v>
      </c>
      <c r="Y279" t="s">
        <v>2045</v>
      </c>
      <c r="Z279" t="s">
        <v>1460</v>
      </c>
      <c r="AA279" t="s">
        <v>629</v>
      </c>
      <c r="AB279" t="s">
        <v>453</v>
      </c>
      <c r="AD279" t="s">
        <v>2046</v>
      </c>
      <c r="AE279" t="s">
        <v>2047</v>
      </c>
      <c r="AI279">
        <v>230.50037976145299</v>
      </c>
      <c r="AJ279">
        <v>3710.1796268261178</v>
      </c>
    </row>
    <row r="280" spans="1:36" hidden="1" x14ac:dyDescent="0.25">
      <c r="A280">
        <v>279</v>
      </c>
      <c r="B280" t="s">
        <v>2523</v>
      </c>
      <c r="C280" t="s">
        <v>376</v>
      </c>
      <c r="D280" t="s">
        <v>2041</v>
      </c>
      <c r="E280" t="s">
        <v>37</v>
      </c>
      <c r="G280" s="2">
        <v>45854</v>
      </c>
      <c r="H280">
        <v>0.75</v>
      </c>
      <c r="I280" t="s">
        <v>72</v>
      </c>
      <c r="J280" t="s">
        <v>1024</v>
      </c>
      <c r="K280" t="s">
        <v>1025</v>
      </c>
      <c r="L280" t="s">
        <v>2042</v>
      </c>
      <c r="M280" t="s">
        <v>972</v>
      </c>
      <c r="O280" t="s">
        <v>55</v>
      </c>
      <c r="P280" t="s">
        <v>56</v>
      </c>
      <c r="Q280">
        <v>0.53419645704821461</v>
      </c>
      <c r="R280" t="s">
        <v>46</v>
      </c>
      <c r="S280" t="s">
        <v>47</v>
      </c>
      <c r="T280" t="s">
        <v>2539</v>
      </c>
      <c r="V280" t="s">
        <v>125</v>
      </c>
      <c r="X280" t="s">
        <v>2121</v>
      </c>
      <c r="Y280" t="s">
        <v>2045</v>
      </c>
      <c r="Z280" t="s">
        <v>1460</v>
      </c>
      <c r="AA280" t="s">
        <v>603</v>
      </c>
      <c r="AB280" t="s">
        <v>453</v>
      </c>
      <c r="AI280">
        <v>188.3091630782009</v>
      </c>
      <c r="AJ280">
        <v>2161.8250103202872</v>
      </c>
    </row>
    <row r="281" spans="1:36" x14ac:dyDescent="0.25">
      <c r="A281">
        <v>282</v>
      </c>
      <c r="B281" t="s">
        <v>2171</v>
      </c>
      <c r="C281" t="s">
        <v>376</v>
      </c>
      <c r="D281" t="s">
        <v>2041</v>
      </c>
      <c r="E281" t="s">
        <v>37</v>
      </c>
      <c r="G281" s="2">
        <v>45855</v>
      </c>
      <c r="H281">
        <v>0.5</v>
      </c>
      <c r="I281" t="s">
        <v>72</v>
      </c>
      <c r="J281" t="s">
        <v>1024</v>
      </c>
      <c r="K281" t="s">
        <v>1025</v>
      </c>
      <c r="L281" t="s">
        <v>2042</v>
      </c>
      <c r="M281" t="s">
        <v>972</v>
      </c>
      <c r="O281" t="s">
        <v>62</v>
      </c>
      <c r="P281" t="s">
        <v>63</v>
      </c>
      <c r="Q281">
        <v>0.55824554645247848</v>
      </c>
      <c r="R281" t="s">
        <v>64</v>
      </c>
      <c r="S281" t="s">
        <v>65</v>
      </c>
      <c r="T281" t="s">
        <v>2543</v>
      </c>
      <c r="V281" t="s">
        <v>119</v>
      </c>
      <c r="X281" t="s">
        <v>2173</v>
      </c>
      <c r="Y281" t="s">
        <v>2045</v>
      </c>
      <c r="Z281" t="s">
        <v>1460</v>
      </c>
      <c r="AA281" t="s">
        <v>397</v>
      </c>
      <c r="AB281" t="s">
        <v>453</v>
      </c>
      <c r="AD281" t="s">
        <v>1215</v>
      </c>
      <c r="AE281" t="s">
        <v>2174</v>
      </c>
      <c r="AI281">
        <v>230.30474400532199</v>
      </c>
      <c r="AJ281">
        <v>2259.148611522819</v>
      </c>
    </row>
    <row r="282" spans="1:36" x14ac:dyDescent="0.25">
      <c r="A282">
        <v>283</v>
      </c>
      <c r="B282" t="s">
        <v>2171</v>
      </c>
      <c r="C282" t="s">
        <v>376</v>
      </c>
      <c r="D282" t="s">
        <v>2041</v>
      </c>
      <c r="E282" t="s">
        <v>37</v>
      </c>
      <c r="G282" s="2">
        <v>45855</v>
      </c>
      <c r="H282">
        <v>0.5</v>
      </c>
      <c r="I282" t="s">
        <v>72</v>
      </c>
      <c r="J282" t="s">
        <v>1024</v>
      </c>
      <c r="K282" t="s">
        <v>1025</v>
      </c>
      <c r="L282" t="s">
        <v>2042</v>
      </c>
      <c r="M282" t="s">
        <v>972</v>
      </c>
      <c r="O282" t="s">
        <v>62</v>
      </c>
      <c r="P282" t="s">
        <v>63</v>
      </c>
      <c r="Q282">
        <v>0.58690990670871801</v>
      </c>
      <c r="R282" t="s">
        <v>64</v>
      </c>
      <c r="S282" t="s">
        <v>65</v>
      </c>
      <c r="T282" t="s">
        <v>2544</v>
      </c>
      <c r="V282" t="s">
        <v>119</v>
      </c>
      <c r="X282" t="s">
        <v>2173</v>
      </c>
      <c r="Y282" t="s">
        <v>2045</v>
      </c>
      <c r="Z282" t="s">
        <v>1460</v>
      </c>
      <c r="AA282" t="s">
        <v>397</v>
      </c>
      <c r="AB282" t="s">
        <v>453</v>
      </c>
      <c r="AD282" t="s">
        <v>1215</v>
      </c>
      <c r="AE282" t="s">
        <v>2174</v>
      </c>
      <c r="AI282">
        <v>238.71079360587851</v>
      </c>
      <c r="AJ282">
        <v>2375.1496259233631</v>
      </c>
    </row>
    <row r="283" spans="1:36" x14ac:dyDescent="0.25">
      <c r="A283">
        <v>284</v>
      </c>
      <c r="B283" t="s">
        <v>2171</v>
      </c>
      <c r="C283" t="s">
        <v>376</v>
      </c>
      <c r="D283" t="s">
        <v>2041</v>
      </c>
      <c r="E283" t="s">
        <v>37</v>
      </c>
      <c r="G283" s="2">
        <v>45855</v>
      </c>
      <c r="H283">
        <v>0.26700000000000002</v>
      </c>
      <c r="I283" t="s">
        <v>72</v>
      </c>
      <c r="J283" t="s">
        <v>1024</v>
      </c>
      <c r="K283" t="s">
        <v>1025</v>
      </c>
      <c r="L283" t="s">
        <v>2042</v>
      </c>
      <c r="M283" t="s">
        <v>972</v>
      </c>
      <c r="O283" t="s">
        <v>62</v>
      </c>
      <c r="P283" t="s">
        <v>63</v>
      </c>
      <c r="Q283">
        <v>0.18822389497003711</v>
      </c>
      <c r="R283" t="s">
        <v>64</v>
      </c>
      <c r="S283" t="s">
        <v>65</v>
      </c>
      <c r="T283" t="s">
        <v>2542</v>
      </c>
      <c r="V283" t="s">
        <v>119</v>
      </c>
      <c r="X283" t="s">
        <v>2173</v>
      </c>
      <c r="Y283" t="s">
        <v>2045</v>
      </c>
      <c r="Z283" t="s">
        <v>1460</v>
      </c>
      <c r="AA283" t="s">
        <v>397</v>
      </c>
      <c r="AB283" t="s">
        <v>453</v>
      </c>
      <c r="AD283" t="s">
        <v>1215</v>
      </c>
      <c r="AE283" t="s">
        <v>2174</v>
      </c>
      <c r="AI283">
        <v>129.5008674839091</v>
      </c>
      <c r="AJ283">
        <v>761.71812507809113</v>
      </c>
    </row>
    <row r="284" spans="1:36" x14ac:dyDescent="0.25">
      <c r="A284">
        <v>285</v>
      </c>
      <c r="B284" t="s">
        <v>2175</v>
      </c>
      <c r="C284" t="s">
        <v>376</v>
      </c>
      <c r="D284" t="s">
        <v>2041</v>
      </c>
      <c r="E284" t="s">
        <v>37</v>
      </c>
      <c r="G284" s="2">
        <v>45855</v>
      </c>
      <c r="H284">
        <v>0.96599999999999997</v>
      </c>
      <c r="I284" t="s">
        <v>72</v>
      </c>
      <c r="J284" t="s">
        <v>1024</v>
      </c>
      <c r="K284" t="s">
        <v>1025</v>
      </c>
      <c r="L284" t="s">
        <v>2042</v>
      </c>
      <c r="M284" t="s">
        <v>972</v>
      </c>
      <c r="O284" t="s">
        <v>62</v>
      </c>
      <c r="P284" t="s">
        <v>63</v>
      </c>
      <c r="Q284">
        <v>0.65652806388545271</v>
      </c>
      <c r="R284" t="s">
        <v>64</v>
      </c>
      <c r="S284" t="s">
        <v>65</v>
      </c>
      <c r="T284" t="s">
        <v>2545</v>
      </c>
      <c r="V284" t="s">
        <v>119</v>
      </c>
      <c r="X284" t="s">
        <v>2173</v>
      </c>
      <c r="Y284" t="s">
        <v>2045</v>
      </c>
      <c r="Z284" t="s">
        <v>1460</v>
      </c>
      <c r="AA284" t="s">
        <v>397</v>
      </c>
      <c r="AB284" t="s">
        <v>453</v>
      </c>
      <c r="AD284" t="s">
        <v>1215</v>
      </c>
      <c r="AE284" t="s">
        <v>2174</v>
      </c>
      <c r="AI284">
        <v>256.52700531322228</v>
      </c>
      <c r="AJ284">
        <v>2656.8854393518109</v>
      </c>
    </row>
    <row r="285" spans="1:36" x14ac:dyDescent="0.25">
      <c r="A285">
        <v>291</v>
      </c>
      <c r="B285" t="s">
        <v>57</v>
      </c>
      <c r="C285" t="s">
        <v>376</v>
      </c>
      <c r="D285" t="s">
        <v>2041</v>
      </c>
      <c r="E285" t="s">
        <v>37</v>
      </c>
      <c r="G285" s="2">
        <v>45854</v>
      </c>
      <c r="H285">
        <v>1.1000000000000001</v>
      </c>
      <c r="I285" t="s">
        <v>72</v>
      </c>
      <c r="J285" t="s">
        <v>1024</v>
      </c>
      <c r="K285" t="s">
        <v>1025</v>
      </c>
      <c r="L285" t="s">
        <v>2042</v>
      </c>
      <c r="M285" t="s">
        <v>972</v>
      </c>
      <c r="N285" t="s">
        <v>57</v>
      </c>
      <c r="O285" t="s">
        <v>62</v>
      </c>
      <c r="P285" t="s">
        <v>63</v>
      </c>
      <c r="Q285">
        <v>1.0847885520662091</v>
      </c>
      <c r="R285" t="s">
        <v>64</v>
      </c>
      <c r="S285" t="s">
        <v>65</v>
      </c>
      <c r="T285" t="s">
        <v>2546</v>
      </c>
      <c r="V285" t="s">
        <v>75</v>
      </c>
      <c r="X285" t="s">
        <v>2547</v>
      </c>
      <c r="Y285" t="s">
        <v>2045</v>
      </c>
      <c r="Z285" t="s">
        <v>2548</v>
      </c>
      <c r="AA285" t="s">
        <v>635</v>
      </c>
      <c r="AB285" t="s">
        <v>453</v>
      </c>
      <c r="AC285" t="s">
        <v>2549</v>
      </c>
      <c r="AD285" t="s">
        <v>145</v>
      </c>
      <c r="AE285" t="s">
        <v>57</v>
      </c>
      <c r="AI285">
        <v>403.96752055177308</v>
      </c>
      <c r="AJ285">
        <v>4390.001078861892</v>
      </c>
    </row>
    <row r="286" spans="1:36" x14ac:dyDescent="0.25">
      <c r="A286">
        <v>294</v>
      </c>
      <c r="B286" t="s">
        <v>2551</v>
      </c>
      <c r="C286" t="s">
        <v>376</v>
      </c>
      <c r="D286" t="s">
        <v>2041</v>
      </c>
      <c r="E286" t="s">
        <v>37</v>
      </c>
      <c r="G286" s="2">
        <v>45855</v>
      </c>
      <c r="H286">
        <v>6.25E-2</v>
      </c>
      <c r="I286" t="s">
        <v>72</v>
      </c>
      <c r="J286" t="s">
        <v>1024</v>
      </c>
      <c r="K286" t="s">
        <v>1025</v>
      </c>
      <c r="L286" t="s">
        <v>2042</v>
      </c>
      <c r="M286" t="s">
        <v>972</v>
      </c>
      <c r="O286" t="s">
        <v>62</v>
      </c>
      <c r="P286" t="s">
        <v>63</v>
      </c>
      <c r="Q286">
        <v>6.2570905728714182E-2</v>
      </c>
      <c r="R286" t="s">
        <v>64</v>
      </c>
      <c r="S286" t="s">
        <v>65</v>
      </c>
      <c r="T286" t="s">
        <v>2552</v>
      </c>
      <c r="V286" t="s">
        <v>64</v>
      </c>
      <c r="X286" t="s">
        <v>2553</v>
      </c>
      <c r="Y286" t="s">
        <v>2045</v>
      </c>
      <c r="Z286" t="s">
        <v>1460</v>
      </c>
      <c r="AA286" t="s">
        <v>452</v>
      </c>
      <c r="AB286" t="s">
        <v>453</v>
      </c>
      <c r="AC286" t="s">
        <v>2554</v>
      </c>
      <c r="AD286" t="s">
        <v>399</v>
      </c>
      <c r="AE286" t="s">
        <v>2555</v>
      </c>
      <c r="AI286">
        <v>103.3058730166964</v>
      </c>
      <c r="AJ286">
        <v>253.21648456855729</v>
      </c>
    </row>
    <row r="287" spans="1:36" hidden="1" x14ac:dyDescent="0.25">
      <c r="A287">
        <v>286</v>
      </c>
      <c r="B287" t="s">
        <v>2177</v>
      </c>
      <c r="C287" t="s">
        <v>376</v>
      </c>
      <c r="D287" t="s">
        <v>2041</v>
      </c>
      <c r="E287" t="s">
        <v>37</v>
      </c>
      <c r="G287" s="2">
        <v>45855</v>
      </c>
      <c r="H287">
        <v>1.7</v>
      </c>
      <c r="I287" t="s">
        <v>72</v>
      </c>
      <c r="J287" t="s">
        <v>1024</v>
      </c>
      <c r="K287" t="s">
        <v>1025</v>
      </c>
      <c r="L287" t="s">
        <v>2042</v>
      </c>
      <c r="M287" t="s">
        <v>972</v>
      </c>
      <c r="O287" t="s">
        <v>87</v>
      </c>
      <c r="P287" t="s">
        <v>88</v>
      </c>
      <c r="Q287">
        <v>1.7013863352735821</v>
      </c>
      <c r="R287" t="s">
        <v>46</v>
      </c>
      <c r="S287" t="s">
        <v>47</v>
      </c>
      <c r="V287" t="s">
        <v>64</v>
      </c>
      <c r="W287" t="s">
        <v>452</v>
      </c>
      <c r="X287" t="s">
        <v>2197</v>
      </c>
      <c r="Y287" t="s">
        <v>2045</v>
      </c>
      <c r="Z287" t="s">
        <v>1460</v>
      </c>
      <c r="AA287" t="s">
        <v>452</v>
      </c>
      <c r="AB287" t="s">
        <v>453</v>
      </c>
      <c r="AD287" t="s">
        <v>758</v>
      </c>
      <c r="AE287" t="s">
        <v>76</v>
      </c>
      <c r="AI287">
        <v>357.04049188493502</v>
      </c>
      <c r="AJ287">
        <v>6885.2937590329884</v>
      </c>
    </row>
    <row r="288" spans="1:36" hidden="1" x14ac:dyDescent="0.25">
      <c r="A288">
        <v>287</v>
      </c>
      <c r="B288" t="s">
        <v>2177</v>
      </c>
      <c r="C288" t="s">
        <v>376</v>
      </c>
      <c r="D288" t="s">
        <v>2041</v>
      </c>
      <c r="E288" t="s">
        <v>37</v>
      </c>
      <c r="G288" s="2">
        <v>45855</v>
      </c>
      <c r="H288">
        <v>0.47</v>
      </c>
      <c r="I288" t="s">
        <v>72</v>
      </c>
      <c r="J288" t="s">
        <v>1024</v>
      </c>
      <c r="K288" t="s">
        <v>1025</v>
      </c>
      <c r="L288" t="s">
        <v>2042</v>
      </c>
      <c r="M288" t="s">
        <v>972</v>
      </c>
      <c r="O288" t="s">
        <v>87</v>
      </c>
      <c r="P288" t="s">
        <v>88</v>
      </c>
      <c r="Q288">
        <v>0.46751127417258492</v>
      </c>
      <c r="R288" t="s">
        <v>46</v>
      </c>
      <c r="S288" t="s">
        <v>47</v>
      </c>
      <c r="V288" t="s">
        <v>64</v>
      </c>
      <c r="W288" t="s">
        <v>452</v>
      </c>
      <c r="X288" t="s">
        <v>2197</v>
      </c>
      <c r="Y288" t="s">
        <v>2045</v>
      </c>
      <c r="Z288" t="s">
        <v>1460</v>
      </c>
      <c r="AA288" t="s">
        <v>452</v>
      </c>
      <c r="AB288" t="s">
        <v>453</v>
      </c>
      <c r="AD288" t="s">
        <v>758</v>
      </c>
      <c r="AE288" t="s">
        <v>76</v>
      </c>
      <c r="AI288">
        <v>213.83296426712121</v>
      </c>
      <c r="AJ288">
        <v>1891.9585702564459</v>
      </c>
    </row>
    <row r="289" spans="1:36" hidden="1" x14ac:dyDescent="0.25">
      <c r="A289">
        <v>288</v>
      </c>
      <c r="B289" t="s">
        <v>2177</v>
      </c>
      <c r="C289" t="s">
        <v>376</v>
      </c>
      <c r="D289" t="s">
        <v>2041</v>
      </c>
      <c r="E289" t="s">
        <v>37</v>
      </c>
      <c r="G289" s="2">
        <v>45855</v>
      </c>
      <c r="H289">
        <v>0.5</v>
      </c>
      <c r="I289" t="s">
        <v>72</v>
      </c>
      <c r="J289" t="s">
        <v>1024</v>
      </c>
      <c r="K289" t="s">
        <v>1025</v>
      </c>
      <c r="L289" t="s">
        <v>2042</v>
      </c>
      <c r="M289" t="s">
        <v>972</v>
      </c>
      <c r="O289" t="s">
        <v>87</v>
      </c>
      <c r="P289" t="s">
        <v>88</v>
      </c>
      <c r="Q289">
        <v>0.49961684651010491</v>
      </c>
      <c r="R289" t="s">
        <v>46</v>
      </c>
      <c r="S289" t="s">
        <v>47</v>
      </c>
      <c r="V289" t="s">
        <v>64</v>
      </c>
      <c r="W289" t="s">
        <v>452</v>
      </c>
      <c r="X289" t="s">
        <v>2197</v>
      </c>
      <c r="Y289" t="s">
        <v>2045</v>
      </c>
      <c r="Z289" t="s">
        <v>1460</v>
      </c>
      <c r="AA289" t="s">
        <v>452</v>
      </c>
      <c r="AB289" t="s">
        <v>453</v>
      </c>
      <c r="AD289" t="s">
        <v>758</v>
      </c>
      <c r="AE289" t="s">
        <v>76</v>
      </c>
      <c r="AI289">
        <v>218.1965663001757</v>
      </c>
      <c r="AJ289">
        <v>2021.885731573492</v>
      </c>
    </row>
    <row r="290" spans="1:36" hidden="1" x14ac:dyDescent="0.25">
      <c r="A290">
        <v>289</v>
      </c>
      <c r="B290" t="s">
        <v>2177</v>
      </c>
      <c r="C290" t="s">
        <v>376</v>
      </c>
      <c r="D290" t="s">
        <v>2041</v>
      </c>
      <c r="E290" t="s">
        <v>37</v>
      </c>
      <c r="G290" s="2">
        <v>45855</v>
      </c>
      <c r="H290">
        <v>0.5</v>
      </c>
      <c r="I290" t="s">
        <v>72</v>
      </c>
      <c r="J290" t="s">
        <v>1024</v>
      </c>
      <c r="K290" t="s">
        <v>1025</v>
      </c>
      <c r="L290" t="s">
        <v>2042</v>
      </c>
      <c r="M290" t="s">
        <v>972</v>
      </c>
      <c r="O290" t="s">
        <v>87</v>
      </c>
      <c r="P290" t="s">
        <v>88</v>
      </c>
      <c r="Q290">
        <v>0.49549590364488372</v>
      </c>
      <c r="R290" t="s">
        <v>46</v>
      </c>
      <c r="S290" t="s">
        <v>47</v>
      </c>
      <c r="V290" t="s">
        <v>64</v>
      </c>
      <c r="W290" t="s">
        <v>452</v>
      </c>
      <c r="X290" t="s">
        <v>2197</v>
      </c>
      <c r="Y290" t="s">
        <v>2045</v>
      </c>
      <c r="Z290" t="s">
        <v>1460</v>
      </c>
      <c r="AA290" t="s">
        <v>452</v>
      </c>
      <c r="AB290" t="s">
        <v>453</v>
      </c>
      <c r="AD290" t="s">
        <v>758</v>
      </c>
      <c r="AE290" t="s">
        <v>76</v>
      </c>
      <c r="AI290">
        <v>218.1678672041707</v>
      </c>
      <c r="AJ290">
        <v>2005.2088007653711</v>
      </c>
    </row>
    <row r="291" spans="1:36" hidden="1" x14ac:dyDescent="0.25">
      <c r="A291">
        <v>290</v>
      </c>
      <c r="B291" t="s">
        <v>2177</v>
      </c>
      <c r="C291" t="s">
        <v>376</v>
      </c>
      <c r="D291" t="s">
        <v>2041</v>
      </c>
      <c r="E291" t="s">
        <v>37</v>
      </c>
      <c r="G291" s="2">
        <v>45855</v>
      </c>
      <c r="H291">
        <v>0.27</v>
      </c>
      <c r="I291" t="s">
        <v>72</v>
      </c>
      <c r="J291" t="s">
        <v>1024</v>
      </c>
      <c r="K291" t="s">
        <v>1025</v>
      </c>
      <c r="L291" t="s">
        <v>2042</v>
      </c>
      <c r="M291" t="s">
        <v>972</v>
      </c>
      <c r="O291" t="s">
        <v>87</v>
      </c>
      <c r="P291" t="s">
        <v>88</v>
      </c>
      <c r="Q291">
        <v>0.27070602698798207</v>
      </c>
      <c r="R291" t="s">
        <v>46</v>
      </c>
      <c r="S291" t="s">
        <v>47</v>
      </c>
      <c r="V291" t="s">
        <v>64</v>
      </c>
      <c r="W291" t="s">
        <v>452</v>
      </c>
      <c r="X291" t="s">
        <v>2197</v>
      </c>
      <c r="Y291" t="s">
        <v>2045</v>
      </c>
      <c r="Z291" t="s">
        <v>1460</v>
      </c>
      <c r="AA291" t="s">
        <v>452</v>
      </c>
      <c r="AB291" t="s">
        <v>453</v>
      </c>
      <c r="AD291" t="s">
        <v>758</v>
      </c>
      <c r="AE291" t="s">
        <v>76</v>
      </c>
      <c r="AI291">
        <v>215.03410841294399</v>
      </c>
      <c r="AJ291">
        <v>1095.5128059455451</v>
      </c>
    </row>
    <row r="292" spans="1:36" x14ac:dyDescent="0.25">
      <c r="A292">
        <v>295</v>
      </c>
      <c r="B292" t="s">
        <v>2551</v>
      </c>
      <c r="C292" t="s">
        <v>376</v>
      </c>
      <c r="D292" t="s">
        <v>2041</v>
      </c>
      <c r="E292" t="s">
        <v>37</v>
      </c>
      <c r="G292" s="2">
        <v>45855</v>
      </c>
      <c r="H292">
        <v>1.35</v>
      </c>
      <c r="I292" t="s">
        <v>72</v>
      </c>
      <c r="J292" t="s">
        <v>1024</v>
      </c>
      <c r="K292" t="s">
        <v>1025</v>
      </c>
      <c r="L292" t="s">
        <v>2042</v>
      </c>
      <c r="M292" t="s">
        <v>972</v>
      </c>
      <c r="O292" t="s">
        <v>62</v>
      </c>
      <c r="P292" t="s">
        <v>63</v>
      </c>
      <c r="Q292">
        <v>1.3581936822757421</v>
      </c>
      <c r="R292" t="s">
        <v>64</v>
      </c>
      <c r="S292" t="s">
        <v>65</v>
      </c>
      <c r="T292" t="s">
        <v>2556</v>
      </c>
      <c r="V292" t="s">
        <v>64</v>
      </c>
      <c r="X292" t="s">
        <v>2557</v>
      </c>
      <c r="Y292" t="s">
        <v>2045</v>
      </c>
      <c r="Z292" t="s">
        <v>1460</v>
      </c>
      <c r="AA292" t="s">
        <v>452</v>
      </c>
      <c r="AB292" t="s">
        <v>453</v>
      </c>
      <c r="AC292" t="s">
        <v>2558</v>
      </c>
      <c r="AD292" t="s">
        <v>399</v>
      </c>
      <c r="AE292" t="s">
        <v>2555</v>
      </c>
      <c r="AI292">
        <v>299.77551299104948</v>
      </c>
      <c r="AJ292">
        <v>5496.436811705953</v>
      </c>
    </row>
    <row r="293" spans="1:36" hidden="1" x14ac:dyDescent="0.25">
      <c r="A293">
        <v>292</v>
      </c>
      <c r="B293" t="s">
        <v>57</v>
      </c>
      <c r="C293" t="s">
        <v>376</v>
      </c>
      <c r="D293" t="s">
        <v>2041</v>
      </c>
      <c r="E293" t="s">
        <v>37</v>
      </c>
      <c r="G293" s="2">
        <v>45847</v>
      </c>
      <c r="I293" t="s">
        <v>72</v>
      </c>
      <c r="J293" t="s">
        <v>1024</v>
      </c>
      <c r="K293" t="s">
        <v>1025</v>
      </c>
      <c r="L293" t="s">
        <v>2042</v>
      </c>
      <c r="M293" t="s">
        <v>972</v>
      </c>
      <c r="N293" t="s">
        <v>57</v>
      </c>
      <c r="O293" t="s">
        <v>96</v>
      </c>
      <c r="P293" t="s">
        <v>97</v>
      </c>
      <c r="Q293">
        <v>2.2625166206174122E-2</v>
      </c>
      <c r="R293" t="s">
        <v>60</v>
      </c>
      <c r="S293" t="s">
        <v>66</v>
      </c>
      <c r="T293" t="s">
        <v>57</v>
      </c>
      <c r="V293" t="s">
        <v>54</v>
      </c>
      <c r="Y293" t="s">
        <v>676</v>
      </c>
      <c r="Z293" t="s">
        <v>2548</v>
      </c>
      <c r="AA293" t="s">
        <v>2550</v>
      </c>
      <c r="AB293" t="s">
        <v>41</v>
      </c>
      <c r="AE293" t="s">
        <v>57</v>
      </c>
      <c r="AI293">
        <v>42.526278993801377</v>
      </c>
      <c r="AJ293">
        <v>91.561165413618582</v>
      </c>
    </row>
    <row r="294" spans="1:36" hidden="1" x14ac:dyDescent="0.25">
      <c r="A294">
        <v>293</v>
      </c>
      <c r="B294" t="s">
        <v>57</v>
      </c>
      <c r="C294" t="s">
        <v>376</v>
      </c>
      <c r="D294" t="s">
        <v>2041</v>
      </c>
      <c r="E294" t="s">
        <v>37</v>
      </c>
      <c r="G294" s="2">
        <v>45847</v>
      </c>
      <c r="I294" t="s">
        <v>72</v>
      </c>
      <c r="J294" t="s">
        <v>1024</v>
      </c>
      <c r="K294" t="s">
        <v>1025</v>
      </c>
      <c r="L294" t="s">
        <v>2042</v>
      </c>
      <c r="M294" t="s">
        <v>972</v>
      </c>
      <c r="N294" t="s">
        <v>57</v>
      </c>
      <c r="O294" t="s">
        <v>96</v>
      </c>
      <c r="P294" t="s">
        <v>97</v>
      </c>
      <c r="Q294">
        <v>5.0676492039568748E-2</v>
      </c>
      <c r="R294" t="s">
        <v>60</v>
      </c>
      <c r="S294" t="s">
        <v>66</v>
      </c>
      <c r="T294" t="s">
        <v>57</v>
      </c>
      <c r="V294" t="s">
        <v>54</v>
      </c>
      <c r="Y294" t="s">
        <v>57</v>
      </c>
      <c r="Z294" t="s">
        <v>57</v>
      </c>
      <c r="AA294" t="s">
        <v>57</v>
      </c>
      <c r="AB294" t="s">
        <v>41</v>
      </c>
      <c r="AE294" t="s">
        <v>57</v>
      </c>
      <c r="AI294">
        <v>60.777312425460408</v>
      </c>
      <c r="AJ294">
        <v>205.08130759944129</v>
      </c>
    </row>
    <row r="295" spans="1:36" x14ac:dyDescent="0.25">
      <c r="A295">
        <v>296</v>
      </c>
      <c r="B295" t="s">
        <v>2559</v>
      </c>
      <c r="C295" t="s">
        <v>376</v>
      </c>
      <c r="D295" t="s">
        <v>2041</v>
      </c>
      <c r="E295" t="s">
        <v>37</v>
      </c>
      <c r="G295" s="2">
        <v>45855</v>
      </c>
      <c r="H295">
        <v>2.65</v>
      </c>
      <c r="I295" t="s">
        <v>72</v>
      </c>
      <c r="J295" t="s">
        <v>1024</v>
      </c>
      <c r="K295" t="s">
        <v>1025</v>
      </c>
      <c r="L295" t="s">
        <v>2042</v>
      </c>
      <c r="M295" t="s">
        <v>972</v>
      </c>
      <c r="O295" t="s">
        <v>62</v>
      </c>
      <c r="P295" t="s">
        <v>63</v>
      </c>
      <c r="Q295">
        <v>2.6572962178698969</v>
      </c>
      <c r="R295" t="s">
        <v>64</v>
      </c>
      <c r="S295" t="s">
        <v>65</v>
      </c>
      <c r="T295" t="s">
        <v>2556</v>
      </c>
      <c r="V295" t="s">
        <v>64</v>
      </c>
      <c r="X295" t="s">
        <v>2560</v>
      </c>
      <c r="Y295" t="s">
        <v>2045</v>
      </c>
      <c r="Z295" t="s">
        <v>1460</v>
      </c>
      <c r="AA295" t="s">
        <v>452</v>
      </c>
      <c r="AB295" t="s">
        <v>453</v>
      </c>
      <c r="AC295" t="s">
        <v>2561</v>
      </c>
      <c r="AD295" t="s">
        <v>399</v>
      </c>
      <c r="AE295" t="s">
        <v>2555</v>
      </c>
      <c r="AI295">
        <v>413.62639437405159</v>
      </c>
      <c r="AJ295">
        <v>10753.73928042013</v>
      </c>
    </row>
    <row r="296" spans="1:36" x14ac:dyDescent="0.25">
      <c r="A296">
        <v>297</v>
      </c>
      <c r="B296" t="s">
        <v>2559</v>
      </c>
      <c r="C296" t="s">
        <v>376</v>
      </c>
      <c r="D296" t="s">
        <v>2041</v>
      </c>
      <c r="E296" t="s">
        <v>37</v>
      </c>
      <c r="G296" s="2">
        <v>45855</v>
      </c>
      <c r="H296">
        <v>0.65</v>
      </c>
      <c r="I296" t="s">
        <v>72</v>
      </c>
      <c r="J296" t="s">
        <v>1024</v>
      </c>
      <c r="K296" t="s">
        <v>1025</v>
      </c>
      <c r="L296" t="s">
        <v>2042</v>
      </c>
      <c r="M296" t="s">
        <v>972</v>
      </c>
      <c r="O296" t="s">
        <v>62</v>
      </c>
      <c r="P296" t="s">
        <v>63</v>
      </c>
      <c r="Q296">
        <v>0.6505105023411939</v>
      </c>
      <c r="R296" t="s">
        <v>64</v>
      </c>
      <c r="S296" t="s">
        <v>65</v>
      </c>
      <c r="T296" t="s">
        <v>2562</v>
      </c>
      <c r="V296" t="s">
        <v>64</v>
      </c>
      <c r="X296" t="s">
        <v>2563</v>
      </c>
      <c r="Y296" t="s">
        <v>2045</v>
      </c>
      <c r="Z296" t="s">
        <v>1460</v>
      </c>
      <c r="AA296" t="s">
        <v>452</v>
      </c>
      <c r="AB296" t="s">
        <v>453</v>
      </c>
      <c r="AC296" t="s">
        <v>2564</v>
      </c>
      <c r="AD296" t="s">
        <v>399</v>
      </c>
      <c r="AE296" t="s">
        <v>2555</v>
      </c>
      <c r="AI296">
        <v>239.71165585062221</v>
      </c>
      <c r="AJ296">
        <v>2632.5331343601179</v>
      </c>
    </row>
    <row r="297" spans="1:36" x14ac:dyDescent="0.25">
      <c r="A297">
        <v>298</v>
      </c>
      <c r="B297" t="s">
        <v>2565</v>
      </c>
      <c r="C297" t="s">
        <v>376</v>
      </c>
      <c r="D297" t="s">
        <v>2041</v>
      </c>
      <c r="E297" t="s">
        <v>37</v>
      </c>
      <c r="G297" s="2">
        <v>45855</v>
      </c>
      <c r="H297">
        <v>0.3</v>
      </c>
      <c r="I297" t="s">
        <v>72</v>
      </c>
      <c r="J297" t="s">
        <v>1024</v>
      </c>
      <c r="K297" t="s">
        <v>1025</v>
      </c>
      <c r="L297" t="s">
        <v>2042</v>
      </c>
      <c r="M297" t="s">
        <v>972</v>
      </c>
      <c r="O297" t="s">
        <v>62</v>
      </c>
      <c r="P297" t="s">
        <v>63</v>
      </c>
      <c r="Q297">
        <v>0.32064460178637788</v>
      </c>
      <c r="R297" t="s">
        <v>64</v>
      </c>
      <c r="S297" t="s">
        <v>65</v>
      </c>
      <c r="T297" t="s">
        <v>2556</v>
      </c>
      <c r="V297" t="s">
        <v>64</v>
      </c>
      <c r="X297" t="s">
        <v>2557</v>
      </c>
      <c r="Y297" t="s">
        <v>2045</v>
      </c>
      <c r="Z297" t="s">
        <v>1460</v>
      </c>
      <c r="AA297" t="s">
        <v>452</v>
      </c>
      <c r="AB297" t="s">
        <v>453</v>
      </c>
      <c r="AC297" t="s">
        <v>2558</v>
      </c>
      <c r="AD297" t="s">
        <v>399</v>
      </c>
      <c r="AE297" t="s">
        <v>2555</v>
      </c>
      <c r="AI297">
        <v>144.72677700677849</v>
      </c>
      <c r="AJ297">
        <v>1297.6078564733291</v>
      </c>
    </row>
    <row r="298" spans="1:36" x14ac:dyDescent="0.25">
      <c r="A298">
        <v>299</v>
      </c>
      <c r="C298" t="s">
        <v>376</v>
      </c>
      <c r="D298" t="s">
        <v>2041</v>
      </c>
      <c r="E298" t="s">
        <v>37</v>
      </c>
      <c r="G298" s="2">
        <v>45847</v>
      </c>
      <c r="H298">
        <v>0.4</v>
      </c>
      <c r="I298" t="s">
        <v>72</v>
      </c>
      <c r="J298" t="s">
        <v>1024</v>
      </c>
      <c r="K298" t="s">
        <v>1025</v>
      </c>
      <c r="L298" t="s">
        <v>2042</v>
      </c>
      <c r="M298" t="s">
        <v>972</v>
      </c>
      <c r="O298" t="s">
        <v>62</v>
      </c>
      <c r="P298" t="s">
        <v>63</v>
      </c>
      <c r="Q298">
        <v>4.0651382281030308E-4</v>
      </c>
      <c r="R298" t="s">
        <v>64</v>
      </c>
      <c r="S298" t="s">
        <v>65</v>
      </c>
      <c r="T298" t="s">
        <v>2566</v>
      </c>
      <c r="V298" t="s">
        <v>563</v>
      </c>
      <c r="X298" t="s">
        <v>2567</v>
      </c>
      <c r="Y298" t="s">
        <v>2568</v>
      </c>
      <c r="Z298" t="s">
        <v>1411</v>
      </c>
      <c r="AA298" t="s">
        <v>125</v>
      </c>
      <c r="AB298" t="s">
        <v>41</v>
      </c>
      <c r="AC298" t="s">
        <v>2569</v>
      </c>
      <c r="AD298" t="s">
        <v>2570</v>
      </c>
      <c r="AE298" t="s">
        <v>2571</v>
      </c>
      <c r="AG298" t="s">
        <v>2572</v>
      </c>
      <c r="AH298" t="s">
        <v>2573</v>
      </c>
      <c r="AI298">
        <v>6.6806206252934626</v>
      </c>
      <c r="AJ298">
        <v>1.64510965506629</v>
      </c>
    </row>
    <row r="299" spans="1:36" x14ac:dyDescent="0.25">
      <c r="A299">
        <v>300</v>
      </c>
      <c r="C299" t="s">
        <v>376</v>
      </c>
      <c r="D299" t="s">
        <v>2041</v>
      </c>
      <c r="E299" t="s">
        <v>37</v>
      </c>
      <c r="G299" s="2">
        <v>45847</v>
      </c>
      <c r="H299">
        <v>0.4</v>
      </c>
      <c r="I299" t="s">
        <v>72</v>
      </c>
      <c r="J299" t="s">
        <v>1024</v>
      </c>
      <c r="K299" t="s">
        <v>1025</v>
      </c>
      <c r="L299" t="s">
        <v>2042</v>
      </c>
      <c r="M299" t="s">
        <v>972</v>
      </c>
      <c r="O299" t="s">
        <v>62</v>
      </c>
      <c r="P299" t="s">
        <v>63</v>
      </c>
      <c r="Q299">
        <v>5.8339201228060746E-3</v>
      </c>
      <c r="R299" t="s">
        <v>64</v>
      </c>
      <c r="S299" t="s">
        <v>65</v>
      </c>
      <c r="T299" t="s">
        <v>2566</v>
      </c>
      <c r="V299" t="s">
        <v>563</v>
      </c>
      <c r="X299" t="s">
        <v>2567</v>
      </c>
      <c r="Y299" t="s">
        <v>2568</v>
      </c>
      <c r="Z299" t="s">
        <v>1411</v>
      </c>
      <c r="AA299" t="s">
        <v>125</v>
      </c>
      <c r="AB299" t="s">
        <v>41</v>
      </c>
      <c r="AC299" t="s">
        <v>2569</v>
      </c>
      <c r="AD299" t="s">
        <v>2570</v>
      </c>
      <c r="AE299" t="s">
        <v>2571</v>
      </c>
      <c r="AG299" t="s">
        <v>2572</v>
      </c>
      <c r="AH299" t="s">
        <v>2573</v>
      </c>
      <c r="AI299">
        <v>24.356215581031559</v>
      </c>
      <c r="AJ299">
        <v>23.609131553178141</v>
      </c>
    </row>
    <row r="300" spans="1:36" x14ac:dyDescent="0.25">
      <c r="A300">
        <v>301</v>
      </c>
      <c r="C300" t="s">
        <v>376</v>
      </c>
      <c r="D300" t="s">
        <v>2041</v>
      </c>
      <c r="E300" t="s">
        <v>37</v>
      </c>
      <c r="G300" s="2">
        <v>45847</v>
      </c>
      <c r="H300">
        <v>0.4</v>
      </c>
      <c r="I300" t="s">
        <v>72</v>
      </c>
      <c r="J300" t="s">
        <v>1024</v>
      </c>
      <c r="K300" t="s">
        <v>1025</v>
      </c>
      <c r="L300" t="s">
        <v>2042</v>
      </c>
      <c r="M300" t="s">
        <v>972</v>
      </c>
      <c r="O300" t="s">
        <v>62</v>
      </c>
      <c r="P300" t="s">
        <v>63</v>
      </c>
      <c r="Q300">
        <v>2.3004600032906629E-2</v>
      </c>
      <c r="R300" t="s">
        <v>64</v>
      </c>
      <c r="S300" t="s">
        <v>65</v>
      </c>
      <c r="T300" t="s">
        <v>2566</v>
      </c>
      <c r="V300" t="s">
        <v>563</v>
      </c>
      <c r="X300" t="s">
        <v>2567</v>
      </c>
      <c r="Y300" t="s">
        <v>2568</v>
      </c>
      <c r="Z300" t="s">
        <v>1411</v>
      </c>
      <c r="AA300" t="s">
        <v>125</v>
      </c>
      <c r="AB300" t="s">
        <v>41</v>
      </c>
      <c r="AC300" t="s">
        <v>2569</v>
      </c>
      <c r="AD300" t="s">
        <v>2570</v>
      </c>
      <c r="AE300" t="s">
        <v>2571</v>
      </c>
      <c r="AG300" t="s">
        <v>2572</v>
      </c>
      <c r="AH300" t="s">
        <v>2573</v>
      </c>
      <c r="AI300">
        <v>61.787476511163391</v>
      </c>
      <c r="AJ300">
        <v>93.096685774282165</v>
      </c>
    </row>
    <row r="301" spans="1:36" x14ac:dyDescent="0.25">
      <c r="A301">
        <v>302</v>
      </c>
      <c r="C301" t="s">
        <v>376</v>
      </c>
      <c r="D301" t="s">
        <v>2041</v>
      </c>
      <c r="E301" t="s">
        <v>37</v>
      </c>
      <c r="G301" s="2">
        <v>45847</v>
      </c>
      <c r="H301">
        <v>0.4</v>
      </c>
      <c r="I301" t="s">
        <v>72</v>
      </c>
      <c r="J301" t="s">
        <v>1024</v>
      </c>
      <c r="K301" t="s">
        <v>1025</v>
      </c>
      <c r="L301" t="s">
        <v>2042</v>
      </c>
      <c r="M301" t="s">
        <v>972</v>
      </c>
      <c r="O301" t="s">
        <v>62</v>
      </c>
      <c r="P301" t="s">
        <v>63</v>
      </c>
      <c r="Q301">
        <v>2.1899640758404749E-3</v>
      </c>
      <c r="R301" t="s">
        <v>64</v>
      </c>
      <c r="S301" t="s">
        <v>65</v>
      </c>
      <c r="T301" t="s">
        <v>2566</v>
      </c>
      <c r="V301" t="s">
        <v>563</v>
      </c>
      <c r="X301" t="s">
        <v>2567</v>
      </c>
      <c r="Y301" t="s">
        <v>2568</v>
      </c>
      <c r="Z301" t="s">
        <v>1411</v>
      </c>
      <c r="AA301" t="s">
        <v>125</v>
      </c>
      <c r="AB301" t="s">
        <v>41</v>
      </c>
      <c r="AC301" t="s">
        <v>2569</v>
      </c>
      <c r="AD301" t="s">
        <v>2570</v>
      </c>
      <c r="AE301" t="s">
        <v>2571</v>
      </c>
      <c r="AG301" t="s">
        <v>2572</v>
      </c>
      <c r="AH301" t="s">
        <v>2573</v>
      </c>
      <c r="AI301">
        <v>12.17682119683508</v>
      </c>
      <c r="AJ301">
        <v>8.8625056351273983</v>
      </c>
    </row>
    <row r="302" spans="1:36" x14ac:dyDescent="0.25">
      <c r="A302">
        <v>303</v>
      </c>
      <c r="C302" t="s">
        <v>376</v>
      </c>
      <c r="D302" t="s">
        <v>2041</v>
      </c>
      <c r="E302" t="s">
        <v>37</v>
      </c>
      <c r="G302" s="2">
        <v>45847</v>
      </c>
      <c r="H302">
        <v>0.4</v>
      </c>
      <c r="I302" t="s">
        <v>72</v>
      </c>
      <c r="J302" t="s">
        <v>1024</v>
      </c>
      <c r="K302" t="s">
        <v>1025</v>
      </c>
      <c r="L302" t="s">
        <v>2042</v>
      </c>
      <c r="M302" t="s">
        <v>972</v>
      </c>
      <c r="O302" t="s">
        <v>62</v>
      </c>
      <c r="P302" t="s">
        <v>63</v>
      </c>
      <c r="Q302">
        <v>1.365406982628963E-2</v>
      </c>
      <c r="R302" t="s">
        <v>64</v>
      </c>
      <c r="S302" t="s">
        <v>65</v>
      </c>
      <c r="T302" t="s">
        <v>2566</v>
      </c>
      <c r="V302" t="s">
        <v>563</v>
      </c>
      <c r="X302" t="s">
        <v>2567</v>
      </c>
      <c r="Y302" t="s">
        <v>2568</v>
      </c>
      <c r="Z302" t="s">
        <v>1411</v>
      </c>
      <c r="AA302" t="s">
        <v>125</v>
      </c>
      <c r="AB302" t="s">
        <v>41</v>
      </c>
      <c r="AC302" t="s">
        <v>2569</v>
      </c>
      <c r="AD302" t="s">
        <v>2570</v>
      </c>
      <c r="AE302" t="s">
        <v>2571</v>
      </c>
      <c r="AG302" t="s">
        <v>2572</v>
      </c>
      <c r="AH302" t="s">
        <v>2573</v>
      </c>
      <c r="AI302">
        <v>32.798769589565673</v>
      </c>
      <c r="AJ302">
        <v>55.256281193321989</v>
      </c>
    </row>
    <row r="303" spans="1:36" x14ac:dyDescent="0.25">
      <c r="A303">
        <v>305</v>
      </c>
      <c r="C303" t="s">
        <v>376</v>
      </c>
      <c r="D303" t="s">
        <v>2041</v>
      </c>
      <c r="E303" t="s">
        <v>37</v>
      </c>
      <c r="G303" s="2">
        <v>45854</v>
      </c>
      <c r="H303">
        <v>0.1241799928070844</v>
      </c>
      <c r="I303" t="s">
        <v>72</v>
      </c>
      <c r="J303" t="s">
        <v>1024</v>
      </c>
      <c r="K303" t="s">
        <v>1025</v>
      </c>
      <c r="L303" t="s">
        <v>2042</v>
      </c>
      <c r="M303" t="s">
        <v>972</v>
      </c>
      <c r="O303" t="s">
        <v>62</v>
      </c>
      <c r="P303" t="s">
        <v>63</v>
      </c>
      <c r="Q303">
        <v>0.12417949608760991</v>
      </c>
      <c r="R303" t="s">
        <v>64</v>
      </c>
      <c r="S303" t="s">
        <v>65</v>
      </c>
      <c r="V303" t="s">
        <v>110</v>
      </c>
      <c r="X303" t="s">
        <v>2574</v>
      </c>
      <c r="Y303" t="s">
        <v>2051</v>
      </c>
      <c r="Z303" t="s">
        <v>1460</v>
      </c>
      <c r="AA303" t="s">
        <v>441</v>
      </c>
      <c r="AB303" t="s">
        <v>453</v>
      </c>
      <c r="AC303" t="s">
        <v>2575</v>
      </c>
      <c r="AD303" t="s">
        <v>1048</v>
      </c>
      <c r="AE303" t="s">
        <v>2052</v>
      </c>
      <c r="AG303" t="s">
        <v>2576</v>
      </c>
      <c r="AI303">
        <v>87.772645066557686</v>
      </c>
      <c r="AJ303">
        <v>502.53860142493551</v>
      </c>
    </row>
    <row r="304" spans="1:36" x14ac:dyDescent="0.25">
      <c r="A304">
        <v>306</v>
      </c>
      <c r="C304" t="s">
        <v>376</v>
      </c>
      <c r="D304" t="s">
        <v>2041</v>
      </c>
      <c r="E304" t="s">
        <v>37</v>
      </c>
      <c r="G304" s="2">
        <v>45847</v>
      </c>
      <c r="I304" t="s">
        <v>72</v>
      </c>
      <c r="J304" t="s">
        <v>1024</v>
      </c>
      <c r="K304" t="s">
        <v>1025</v>
      </c>
      <c r="L304" t="s">
        <v>2042</v>
      </c>
      <c r="M304" t="s">
        <v>972</v>
      </c>
      <c r="O304" t="s">
        <v>62</v>
      </c>
      <c r="P304" t="s">
        <v>63</v>
      </c>
      <c r="Q304">
        <v>5.7039455507940966</v>
      </c>
      <c r="R304" t="s">
        <v>64</v>
      </c>
      <c r="S304" t="s">
        <v>65</v>
      </c>
      <c r="T304" t="s">
        <v>2577</v>
      </c>
      <c r="V304" t="s">
        <v>2578</v>
      </c>
      <c r="Y304" t="s">
        <v>2441</v>
      </c>
      <c r="Z304" t="s">
        <v>1460</v>
      </c>
      <c r="AA304" t="s">
        <v>441</v>
      </c>
      <c r="AB304" t="s">
        <v>41</v>
      </c>
      <c r="AI304">
        <v>729.78032902318273</v>
      </c>
      <c r="AJ304">
        <v>23083.141017722741</v>
      </c>
    </row>
    <row r="305" spans="1:36" hidden="1" x14ac:dyDescent="0.25">
      <c r="A305">
        <v>304</v>
      </c>
      <c r="C305" t="s">
        <v>376</v>
      </c>
      <c r="D305" t="s">
        <v>2041</v>
      </c>
      <c r="E305" t="s">
        <v>37</v>
      </c>
      <c r="G305" s="2">
        <v>45854</v>
      </c>
      <c r="H305">
        <v>0.10501845379077521</v>
      </c>
      <c r="I305" t="s">
        <v>72</v>
      </c>
      <c r="J305" t="s">
        <v>1024</v>
      </c>
      <c r="K305" t="s">
        <v>1025</v>
      </c>
      <c r="L305" t="s">
        <v>2042</v>
      </c>
      <c r="M305" t="s">
        <v>972</v>
      </c>
      <c r="O305" t="s">
        <v>1045</v>
      </c>
      <c r="P305" t="s">
        <v>133</v>
      </c>
      <c r="Q305">
        <v>0.1050180337173801</v>
      </c>
      <c r="R305" t="s">
        <v>73</v>
      </c>
      <c r="S305" t="s">
        <v>74</v>
      </c>
      <c r="V305" t="s">
        <v>110</v>
      </c>
      <c r="X305" t="s">
        <v>2574</v>
      </c>
      <c r="Y305" t="s">
        <v>2051</v>
      </c>
      <c r="Z305" t="s">
        <v>1460</v>
      </c>
      <c r="AA305" t="s">
        <v>441</v>
      </c>
      <c r="AB305" t="s">
        <v>453</v>
      </c>
      <c r="AC305" t="s">
        <v>2575</v>
      </c>
      <c r="AD305" t="s">
        <v>1048</v>
      </c>
      <c r="AE305" t="s">
        <v>2052</v>
      </c>
      <c r="AG305" t="s">
        <v>2576</v>
      </c>
      <c r="AI305">
        <v>86.882731755804073</v>
      </c>
      <c r="AJ305">
        <v>424.99460419371633</v>
      </c>
    </row>
    <row r="306" spans="1:36" x14ac:dyDescent="0.25">
      <c r="A306">
        <v>308</v>
      </c>
      <c r="B306" t="s">
        <v>2357</v>
      </c>
      <c r="C306" t="s">
        <v>376</v>
      </c>
      <c r="D306" t="s">
        <v>2041</v>
      </c>
      <c r="E306" t="s">
        <v>37</v>
      </c>
      <c r="G306" s="2">
        <v>45854</v>
      </c>
      <c r="H306">
        <v>1.7</v>
      </c>
      <c r="I306" t="s">
        <v>72</v>
      </c>
      <c r="J306" t="s">
        <v>1024</v>
      </c>
      <c r="K306" t="s">
        <v>1025</v>
      </c>
      <c r="L306" t="s">
        <v>2042</v>
      </c>
      <c r="M306" t="s">
        <v>972</v>
      </c>
      <c r="O306" t="s">
        <v>62</v>
      </c>
      <c r="P306" t="s">
        <v>63</v>
      </c>
      <c r="Q306">
        <v>0.74210702730316536</v>
      </c>
      <c r="R306" t="s">
        <v>64</v>
      </c>
      <c r="S306" t="s">
        <v>65</v>
      </c>
      <c r="T306" t="s">
        <v>2356</v>
      </c>
      <c r="V306" t="s">
        <v>125</v>
      </c>
      <c r="X306" t="s">
        <v>2148</v>
      </c>
      <c r="Y306" t="s">
        <v>2045</v>
      </c>
      <c r="Z306" t="s">
        <v>1460</v>
      </c>
      <c r="AA306" t="s">
        <v>629</v>
      </c>
      <c r="AB306" t="s">
        <v>453</v>
      </c>
      <c r="AD306" t="s">
        <v>822</v>
      </c>
      <c r="AE306" t="s">
        <v>2149</v>
      </c>
      <c r="AI306">
        <v>238.4109787051072</v>
      </c>
      <c r="AJ306">
        <v>3003.2126023883829</v>
      </c>
    </row>
    <row r="307" spans="1:36" x14ac:dyDescent="0.25">
      <c r="A307">
        <v>309</v>
      </c>
      <c r="B307" t="s">
        <v>2355</v>
      </c>
      <c r="C307" t="s">
        <v>376</v>
      </c>
      <c r="D307" t="s">
        <v>2041</v>
      </c>
      <c r="E307" t="s">
        <v>37</v>
      </c>
      <c r="G307" s="2">
        <v>45854</v>
      </c>
      <c r="H307">
        <v>4.3</v>
      </c>
      <c r="I307" t="s">
        <v>72</v>
      </c>
      <c r="J307" t="s">
        <v>1024</v>
      </c>
      <c r="K307" t="s">
        <v>1025</v>
      </c>
      <c r="L307" t="s">
        <v>2042</v>
      </c>
      <c r="M307" t="s">
        <v>972</v>
      </c>
      <c r="O307" t="s">
        <v>62</v>
      </c>
      <c r="P307" t="s">
        <v>63</v>
      </c>
      <c r="Q307">
        <v>0.62682775423324366</v>
      </c>
      <c r="R307" t="s">
        <v>64</v>
      </c>
      <c r="S307" t="s">
        <v>65</v>
      </c>
      <c r="T307" t="s">
        <v>2356</v>
      </c>
      <c r="V307" t="s">
        <v>75</v>
      </c>
      <c r="X307" t="s">
        <v>2148</v>
      </c>
      <c r="Y307" t="s">
        <v>2045</v>
      </c>
      <c r="Z307" t="s">
        <v>1460</v>
      </c>
      <c r="AA307" t="s">
        <v>629</v>
      </c>
      <c r="AB307" t="s">
        <v>453</v>
      </c>
      <c r="AD307" t="s">
        <v>822</v>
      </c>
      <c r="AE307" t="s">
        <v>2149</v>
      </c>
      <c r="AI307">
        <v>306.8173990901862</v>
      </c>
      <c r="AJ307">
        <v>2536.6920697155028</v>
      </c>
    </row>
    <row r="308" spans="1:36" hidden="1" x14ac:dyDescent="0.25">
      <c r="A308">
        <v>307</v>
      </c>
      <c r="C308" t="s">
        <v>376</v>
      </c>
      <c r="D308" t="s">
        <v>2041</v>
      </c>
      <c r="E308" t="s">
        <v>37</v>
      </c>
      <c r="G308" s="2">
        <v>45867</v>
      </c>
      <c r="I308" t="s">
        <v>72</v>
      </c>
      <c r="J308" t="s">
        <v>1024</v>
      </c>
      <c r="K308" t="s">
        <v>1025</v>
      </c>
      <c r="L308" t="s">
        <v>2042</v>
      </c>
      <c r="M308" t="s">
        <v>972</v>
      </c>
      <c r="O308" t="s">
        <v>79</v>
      </c>
      <c r="P308" t="s">
        <v>80</v>
      </c>
      <c r="Q308">
        <v>2.5868319848651549</v>
      </c>
      <c r="R308" t="s">
        <v>60</v>
      </c>
      <c r="S308" t="s">
        <v>66</v>
      </c>
      <c r="V308" t="s">
        <v>50</v>
      </c>
      <c r="Y308" t="s">
        <v>2233</v>
      </c>
      <c r="Z308" t="s">
        <v>1460</v>
      </c>
      <c r="AA308" t="s">
        <v>139</v>
      </c>
      <c r="AB308" t="s">
        <v>453</v>
      </c>
      <c r="AI308">
        <v>392.47939402559388</v>
      </c>
      <c r="AJ308">
        <v>10468.57950589744</v>
      </c>
    </row>
    <row r="309" spans="1:36" x14ac:dyDescent="0.25">
      <c r="A309">
        <v>310</v>
      </c>
      <c r="B309" t="s">
        <v>2146</v>
      </c>
      <c r="C309" t="s">
        <v>376</v>
      </c>
      <c r="D309" t="s">
        <v>2041</v>
      </c>
      <c r="E309" t="s">
        <v>37</v>
      </c>
      <c r="G309" s="2">
        <v>45854</v>
      </c>
      <c r="H309">
        <v>4.0999999999999996</v>
      </c>
      <c r="I309" t="s">
        <v>72</v>
      </c>
      <c r="J309" t="s">
        <v>1024</v>
      </c>
      <c r="K309" t="s">
        <v>1025</v>
      </c>
      <c r="L309" t="s">
        <v>2042</v>
      </c>
      <c r="M309" t="s">
        <v>972</v>
      </c>
      <c r="O309" t="s">
        <v>62</v>
      </c>
      <c r="P309" t="s">
        <v>63</v>
      </c>
      <c r="Q309">
        <v>0.37255099404551362</v>
      </c>
      <c r="R309" t="s">
        <v>64</v>
      </c>
      <c r="S309" t="s">
        <v>65</v>
      </c>
      <c r="T309" t="s">
        <v>2147</v>
      </c>
      <c r="V309" t="s">
        <v>125</v>
      </c>
      <c r="X309" t="s">
        <v>2148</v>
      </c>
      <c r="Y309" t="s">
        <v>2045</v>
      </c>
      <c r="Z309" t="s">
        <v>1460</v>
      </c>
      <c r="AA309" t="s">
        <v>629</v>
      </c>
      <c r="AB309" t="s">
        <v>453</v>
      </c>
      <c r="AD309" t="s">
        <v>822</v>
      </c>
      <c r="AE309" t="s">
        <v>2149</v>
      </c>
      <c r="AI309">
        <v>248.83145619198001</v>
      </c>
      <c r="AJ309">
        <v>1507.6664135842141</v>
      </c>
    </row>
    <row r="310" spans="1:36" x14ac:dyDescent="0.25">
      <c r="A310">
        <v>311</v>
      </c>
      <c r="B310" t="s">
        <v>2117</v>
      </c>
      <c r="C310" t="s">
        <v>376</v>
      </c>
      <c r="D310" t="s">
        <v>2041</v>
      </c>
      <c r="E310" t="s">
        <v>37</v>
      </c>
      <c r="G310" s="2">
        <v>45854</v>
      </c>
      <c r="I310" t="s">
        <v>72</v>
      </c>
      <c r="J310" t="s">
        <v>1024</v>
      </c>
      <c r="K310" t="s">
        <v>1025</v>
      </c>
      <c r="L310" t="s">
        <v>2042</v>
      </c>
      <c r="M310" t="s">
        <v>972</v>
      </c>
      <c r="O310" t="s">
        <v>62</v>
      </c>
      <c r="P310" t="s">
        <v>63</v>
      </c>
      <c r="Q310">
        <v>0.16817866215874</v>
      </c>
      <c r="R310" t="s">
        <v>64</v>
      </c>
      <c r="S310" t="s">
        <v>65</v>
      </c>
      <c r="T310" t="s">
        <v>673</v>
      </c>
      <c r="V310" t="s">
        <v>618</v>
      </c>
      <c r="X310" t="s">
        <v>673</v>
      </c>
      <c r="Y310" t="s">
        <v>2045</v>
      </c>
      <c r="Z310" t="s">
        <v>1460</v>
      </c>
      <c r="AA310" t="s">
        <v>606</v>
      </c>
      <c r="AB310" t="s">
        <v>453</v>
      </c>
      <c r="AE310" t="s">
        <v>2047</v>
      </c>
      <c r="AF310" t="s">
        <v>1146</v>
      </c>
      <c r="AI310">
        <v>110.63793221538459</v>
      </c>
      <c r="AJ310">
        <v>680.59762145550019</v>
      </c>
    </row>
    <row r="311" spans="1:36" x14ac:dyDescent="0.25">
      <c r="A311">
        <v>320</v>
      </c>
      <c r="B311" t="s">
        <v>2299</v>
      </c>
      <c r="C311" t="s">
        <v>376</v>
      </c>
      <c r="D311" t="s">
        <v>2041</v>
      </c>
      <c r="E311" t="s">
        <v>37</v>
      </c>
      <c r="G311" s="2">
        <v>45855</v>
      </c>
      <c r="H311">
        <v>2.7</v>
      </c>
      <c r="I311" t="s">
        <v>72</v>
      </c>
      <c r="J311" t="s">
        <v>1024</v>
      </c>
      <c r="K311" t="s">
        <v>1025</v>
      </c>
      <c r="L311" t="s">
        <v>2042</v>
      </c>
      <c r="M311" t="s">
        <v>972</v>
      </c>
      <c r="N311" t="s">
        <v>2241</v>
      </c>
      <c r="O311" t="s">
        <v>62</v>
      </c>
      <c r="P311" t="s">
        <v>63</v>
      </c>
      <c r="Q311">
        <v>0.67883675331081028</v>
      </c>
      <c r="R311" t="s">
        <v>64</v>
      </c>
      <c r="S311" t="s">
        <v>65</v>
      </c>
      <c r="T311" t="s">
        <v>2257</v>
      </c>
      <c r="V311" t="s">
        <v>60</v>
      </c>
      <c r="X311" t="s">
        <v>2243</v>
      </c>
      <c r="Y311" t="s">
        <v>2233</v>
      </c>
      <c r="Z311" t="s">
        <v>1460</v>
      </c>
      <c r="AA311" t="s">
        <v>119</v>
      </c>
      <c r="AB311" t="s">
        <v>453</v>
      </c>
      <c r="AC311" t="s">
        <v>2302</v>
      </c>
      <c r="AD311" t="s">
        <v>145</v>
      </c>
      <c r="AE311" t="s">
        <v>2300</v>
      </c>
      <c r="AI311">
        <v>228.29017584383169</v>
      </c>
      <c r="AJ311">
        <v>2747.1658635494819</v>
      </c>
    </row>
    <row r="312" spans="1:36" x14ac:dyDescent="0.25">
      <c r="A312">
        <v>322</v>
      </c>
      <c r="C312" t="s">
        <v>376</v>
      </c>
      <c r="D312" t="s">
        <v>2041</v>
      </c>
      <c r="E312" t="s">
        <v>37</v>
      </c>
      <c r="G312" s="2">
        <v>45855</v>
      </c>
      <c r="H312">
        <v>3.26</v>
      </c>
      <c r="I312" t="s">
        <v>72</v>
      </c>
      <c r="J312" t="s">
        <v>1024</v>
      </c>
      <c r="K312" t="s">
        <v>1025</v>
      </c>
      <c r="L312" t="s">
        <v>2042</v>
      </c>
      <c r="M312" t="s">
        <v>972</v>
      </c>
      <c r="O312" t="s">
        <v>62</v>
      </c>
      <c r="P312" t="s">
        <v>63</v>
      </c>
      <c r="Q312">
        <v>2.582697064417852</v>
      </c>
      <c r="R312" t="s">
        <v>64</v>
      </c>
      <c r="S312" t="s">
        <v>65</v>
      </c>
      <c r="V312" t="s">
        <v>64</v>
      </c>
      <c r="X312" t="s">
        <v>2581</v>
      </c>
      <c r="Y312" t="s">
        <v>2045</v>
      </c>
      <c r="Z312" t="s">
        <v>1460</v>
      </c>
      <c r="AA312" t="s">
        <v>452</v>
      </c>
      <c r="AB312" t="s">
        <v>453</v>
      </c>
      <c r="AD312" t="s">
        <v>758</v>
      </c>
      <c r="AI312">
        <v>504.86476220793332</v>
      </c>
      <c r="AJ312">
        <v>10451.84600959524</v>
      </c>
    </row>
    <row r="313" spans="1:36" hidden="1" x14ac:dyDescent="0.25">
      <c r="A313">
        <v>313</v>
      </c>
      <c r="C313" t="s">
        <v>376</v>
      </c>
      <c r="D313" t="s">
        <v>2041</v>
      </c>
      <c r="E313" t="s">
        <v>37</v>
      </c>
      <c r="G313" s="2">
        <v>45855</v>
      </c>
      <c r="I313" t="s">
        <v>72</v>
      </c>
      <c r="J313" t="s">
        <v>1024</v>
      </c>
      <c r="K313" t="s">
        <v>1025</v>
      </c>
      <c r="L313" t="s">
        <v>2042</v>
      </c>
      <c r="M313" t="s">
        <v>972</v>
      </c>
      <c r="O313" t="s">
        <v>87</v>
      </c>
      <c r="P313" t="s">
        <v>88</v>
      </c>
      <c r="Q313">
        <v>4.8812991419824021</v>
      </c>
      <c r="R313" t="s">
        <v>60</v>
      </c>
      <c r="S313" t="s">
        <v>66</v>
      </c>
      <c r="V313" t="s">
        <v>119</v>
      </c>
      <c r="Y313" t="s">
        <v>2045</v>
      </c>
      <c r="Z313" t="s">
        <v>1460</v>
      </c>
      <c r="AA313" t="s">
        <v>182</v>
      </c>
      <c r="AB313" t="s">
        <v>453</v>
      </c>
      <c r="AI313">
        <v>625.3787002406774</v>
      </c>
      <c r="AJ313">
        <v>19753.995798291271</v>
      </c>
    </row>
    <row r="314" spans="1:36" hidden="1" x14ac:dyDescent="0.25">
      <c r="A314">
        <v>314</v>
      </c>
      <c r="C314" t="s">
        <v>376</v>
      </c>
      <c r="D314" t="s">
        <v>2041</v>
      </c>
      <c r="E314" t="s">
        <v>37</v>
      </c>
      <c r="G314" s="2">
        <v>45855</v>
      </c>
      <c r="I314" t="s">
        <v>72</v>
      </c>
      <c r="J314" t="s">
        <v>1024</v>
      </c>
      <c r="K314" t="s">
        <v>1025</v>
      </c>
      <c r="L314" t="s">
        <v>2042</v>
      </c>
      <c r="M314" t="s">
        <v>972</v>
      </c>
      <c r="O314" t="s">
        <v>87</v>
      </c>
      <c r="P314" t="s">
        <v>88</v>
      </c>
      <c r="Q314">
        <v>2.7231993888776111</v>
      </c>
      <c r="R314" t="s">
        <v>60</v>
      </c>
      <c r="S314" t="s">
        <v>66</v>
      </c>
      <c r="V314" t="s">
        <v>119</v>
      </c>
      <c r="Y314" t="s">
        <v>2045</v>
      </c>
      <c r="Z314" t="s">
        <v>1460</v>
      </c>
      <c r="AA314" t="s">
        <v>182</v>
      </c>
      <c r="AB314" t="s">
        <v>453</v>
      </c>
      <c r="AI314">
        <v>605.97358685916117</v>
      </c>
      <c r="AJ314">
        <v>11020.4410180751</v>
      </c>
    </row>
    <row r="315" spans="1:36" hidden="1" x14ac:dyDescent="0.25">
      <c r="A315">
        <v>315</v>
      </c>
      <c r="B315" t="s">
        <v>2060</v>
      </c>
      <c r="C315" t="s">
        <v>376</v>
      </c>
      <c r="D315" t="s">
        <v>2041</v>
      </c>
      <c r="E315" t="s">
        <v>37</v>
      </c>
      <c r="G315" s="2">
        <v>45854</v>
      </c>
      <c r="H315">
        <v>3.8</v>
      </c>
      <c r="I315" t="s">
        <v>72</v>
      </c>
      <c r="J315" t="s">
        <v>1024</v>
      </c>
      <c r="K315" t="s">
        <v>1025</v>
      </c>
      <c r="L315" t="s">
        <v>2042</v>
      </c>
      <c r="M315" t="s">
        <v>972</v>
      </c>
      <c r="N315" t="s">
        <v>2057</v>
      </c>
      <c r="O315" t="s">
        <v>96</v>
      </c>
      <c r="P315" t="s">
        <v>97</v>
      </c>
      <c r="Q315">
        <v>1.532930902837115</v>
      </c>
      <c r="R315" t="s">
        <v>46</v>
      </c>
      <c r="S315" t="s">
        <v>47</v>
      </c>
      <c r="T315" t="s">
        <v>2067</v>
      </c>
      <c r="V315" t="s">
        <v>118</v>
      </c>
      <c r="X315" t="s">
        <v>2062</v>
      </c>
      <c r="Y315" t="s">
        <v>2051</v>
      </c>
      <c r="Z315" t="s">
        <v>1460</v>
      </c>
      <c r="AA315" t="s">
        <v>50</v>
      </c>
      <c r="AB315" t="s">
        <v>453</v>
      </c>
      <c r="AD315" t="s">
        <v>145</v>
      </c>
      <c r="AE315" t="s">
        <v>2063</v>
      </c>
      <c r="AI315">
        <v>300.74825105248158</v>
      </c>
      <c r="AJ315">
        <v>6203.5760835213268</v>
      </c>
    </row>
    <row r="316" spans="1:36" hidden="1" x14ac:dyDescent="0.25">
      <c r="A316">
        <v>316</v>
      </c>
      <c r="C316" t="s">
        <v>376</v>
      </c>
      <c r="D316" t="s">
        <v>2041</v>
      </c>
      <c r="E316" t="s">
        <v>37</v>
      </c>
      <c r="G316" s="2">
        <v>45855</v>
      </c>
      <c r="I316" t="s">
        <v>72</v>
      </c>
      <c r="J316" t="s">
        <v>1024</v>
      </c>
      <c r="K316" t="s">
        <v>1025</v>
      </c>
      <c r="L316" t="s">
        <v>2042</v>
      </c>
      <c r="M316" t="s">
        <v>972</v>
      </c>
      <c r="O316" t="s">
        <v>79</v>
      </c>
      <c r="P316" t="s">
        <v>80</v>
      </c>
      <c r="Q316">
        <v>1.9496962121412591</v>
      </c>
      <c r="R316" t="s">
        <v>46</v>
      </c>
      <c r="S316" t="s">
        <v>47</v>
      </c>
      <c r="V316" t="s">
        <v>73</v>
      </c>
      <c r="Y316" t="s">
        <v>2233</v>
      </c>
      <c r="Z316" t="s">
        <v>1460</v>
      </c>
      <c r="AA316" t="s">
        <v>629</v>
      </c>
      <c r="AB316" t="s">
        <v>453</v>
      </c>
      <c r="AI316">
        <v>360.01214201262661</v>
      </c>
      <c r="AJ316">
        <v>7890.1721984900396</v>
      </c>
    </row>
    <row r="317" spans="1:36" hidden="1" x14ac:dyDescent="0.25">
      <c r="A317">
        <v>317</v>
      </c>
      <c r="B317" t="s">
        <v>2273</v>
      </c>
      <c r="C317" t="s">
        <v>376</v>
      </c>
      <c r="D317" t="s">
        <v>2041</v>
      </c>
      <c r="E317" t="s">
        <v>37</v>
      </c>
      <c r="G317" s="2">
        <v>45855</v>
      </c>
      <c r="H317">
        <v>12.9</v>
      </c>
      <c r="I317" t="s">
        <v>72</v>
      </c>
      <c r="J317" t="s">
        <v>1024</v>
      </c>
      <c r="K317" t="s">
        <v>1025</v>
      </c>
      <c r="L317" t="s">
        <v>2042</v>
      </c>
      <c r="M317" t="s">
        <v>972</v>
      </c>
      <c r="N317" t="s">
        <v>2241</v>
      </c>
      <c r="O317" t="s">
        <v>79</v>
      </c>
      <c r="P317" t="s">
        <v>80</v>
      </c>
      <c r="Q317">
        <v>4.0188975041131823</v>
      </c>
      <c r="R317" t="s">
        <v>46</v>
      </c>
      <c r="S317" t="s">
        <v>47</v>
      </c>
      <c r="T317" t="s">
        <v>2257</v>
      </c>
      <c r="V317" t="s">
        <v>73</v>
      </c>
      <c r="X317" t="s">
        <v>2243</v>
      </c>
      <c r="Y317" t="s">
        <v>2233</v>
      </c>
      <c r="Z317" t="s">
        <v>1460</v>
      </c>
      <c r="AA317" t="s">
        <v>603</v>
      </c>
      <c r="AB317" t="s">
        <v>453</v>
      </c>
      <c r="AD317" t="s">
        <v>145</v>
      </c>
      <c r="AE317" t="s">
        <v>2268</v>
      </c>
      <c r="AI317">
        <v>559.60285215726356</v>
      </c>
      <c r="AJ317">
        <v>16263.96623128763</v>
      </c>
    </row>
    <row r="318" spans="1:36" hidden="1" x14ac:dyDescent="0.25">
      <c r="A318">
        <v>318</v>
      </c>
      <c r="B318" t="s">
        <v>2384</v>
      </c>
      <c r="C318" t="s">
        <v>376</v>
      </c>
      <c r="D318" t="s">
        <v>2041</v>
      </c>
      <c r="E318" t="s">
        <v>37</v>
      </c>
      <c r="G318" s="2">
        <v>45855</v>
      </c>
      <c r="H318">
        <v>8.4</v>
      </c>
      <c r="I318" t="s">
        <v>72</v>
      </c>
      <c r="J318" t="s">
        <v>1024</v>
      </c>
      <c r="K318" t="s">
        <v>1025</v>
      </c>
      <c r="L318" t="s">
        <v>2042</v>
      </c>
      <c r="M318" t="s">
        <v>972</v>
      </c>
      <c r="N318" t="s">
        <v>2241</v>
      </c>
      <c r="O318" t="s">
        <v>96</v>
      </c>
      <c r="P318" t="s">
        <v>97</v>
      </c>
      <c r="Q318">
        <v>0.83908037697288906</v>
      </c>
      <c r="R318" t="s">
        <v>46</v>
      </c>
      <c r="S318" t="s">
        <v>47</v>
      </c>
      <c r="T318" t="s">
        <v>2293</v>
      </c>
      <c r="V318" t="s">
        <v>60</v>
      </c>
      <c r="X318" t="s">
        <v>2243</v>
      </c>
      <c r="Y318" t="s">
        <v>2233</v>
      </c>
      <c r="Z318" t="s">
        <v>1460</v>
      </c>
      <c r="AA318" t="s">
        <v>119</v>
      </c>
      <c r="AB318" t="s">
        <v>453</v>
      </c>
      <c r="AC318" t="s">
        <v>2302</v>
      </c>
      <c r="AD318" t="s">
        <v>145</v>
      </c>
      <c r="AE318" t="s">
        <v>1466</v>
      </c>
      <c r="AI318">
        <v>258.17774054476598</v>
      </c>
      <c r="AJ318">
        <v>3395.6513950545468</v>
      </c>
    </row>
    <row r="319" spans="1:36" hidden="1" x14ac:dyDescent="0.25">
      <c r="A319">
        <v>319</v>
      </c>
      <c r="C319" t="s">
        <v>376</v>
      </c>
      <c r="D319" t="s">
        <v>2041</v>
      </c>
      <c r="E319" t="s">
        <v>37</v>
      </c>
      <c r="G319" s="2">
        <v>45855</v>
      </c>
      <c r="I319" t="s">
        <v>72</v>
      </c>
      <c r="J319" t="s">
        <v>1024</v>
      </c>
      <c r="K319" t="s">
        <v>1025</v>
      </c>
      <c r="L319" t="s">
        <v>2042</v>
      </c>
      <c r="M319" t="s">
        <v>972</v>
      </c>
      <c r="O319" t="s">
        <v>1081</v>
      </c>
      <c r="P319" t="s">
        <v>116</v>
      </c>
      <c r="Q319">
        <v>0.48918993461248839</v>
      </c>
      <c r="T319" t="s">
        <v>2579</v>
      </c>
      <c r="V319" t="s">
        <v>60</v>
      </c>
      <c r="Y319" t="s">
        <v>2233</v>
      </c>
      <c r="Z319" t="s">
        <v>1460</v>
      </c>
      <c r="AA319" t="s">
        <v>119</v>
      </c>
      <c r="AB319" t="s">
        <v>453</v>
      </c>
      <c r="AI319">
        <v>177.97889215698481</v>
      </c>
      <c r="AJ319">
        <v>1979.6893474094561</v>
      </c>
    </row>
    <row r="320" spans="1:36" x14ac:dyDescent="0.25">
      <c r="A320">
        <v>324</v>
      </c>
      <c r="B320" t="s">
        <v>2288</v>
      </c>
      <c r="C320" t="s">
        <v>376</v>
      </c>
      <c r="D320" t="s">
        <v>2041</v>
      </c>
      <c r="E320" t="s">
        <v>37</v>
      </c>
      <c r="G320" s="2">
        <v>45855</v>
      </c>
      <c r="H320">
        <v>1.8</v>
      </c>
      <c r="I320" t="s">
        <v>72</v>
      </c>
      <c r="J320" t="s">
        <v>1024</v>
      </c>
      <c r="K320" t="s">
        <v>1025</v>
      </c>
      <c r="L320" t="s">
        <v>2042</v>
      </c>
      <c r="M320" t="s">
        <v>972</v>
      </c>
      <c r="N320" t="s">
        <v>2241</v>
      </c>
      <c r="O320" t="s">
        <v>62</v>
      </c>
      <c r="P320" t="s">
        <v>63</v>
      </c>
      <c r="Q320">
        <v>0.4444277617629051</v>
      </c>
      <c r="R320" t="s">
        <v>64</v>
      </c>
      <c r="S320" t="s">
        <v>65</v>
      </c>
      <c r="T320" t="s">
        <v>2257</v>
      </c>
      <c r="V320" t="s">
        <v>60</v>
      </c>
      <c r="X320" t="s">
        <v>2243</v>
      </c>
      <c r="Y320" t="s">
        <v>2233</v>
      </c>
      <c r="Z320" t="s">
        <v>1460</v>
      </c>
      <c r="AA320" t="s">
        <v>119</v>
      </c>
      <c r="AB320" t="s">
        <v>453</v>
      </c>
      <c r="AD320" t="s">
        <v>145</v>
      </c>
      <c r="AE320" t="s">
        <v>1466</v>
      </c>
      <c r="AI320">
        <v>174.2955129447154</v>
      </c>
      <c r="AJ320">
        <v>1798.54253614602</v>
      </c>
    </row>
    <row r="321" spans="1:36" hidden="1" x14ac:dyDescent="0.25">
      <c r="A321">
        <v>321</v>
      </c>
      <c r="B321" t="s">
        <v>2299</v>
      </c>
      <c r="C321" t="s">
        <v>376</v>
      </c>
      <c r="D321" t="s">
        <v>2041</v>
      </c>
      <c r="E321" t="s">
        <v>37</v>
      </c>
      <c r="G321" s="2">
        <v>45855</v>
      </c>
      <c r="H321">
        <v>2.7</v>
      </c>
      <c r="I321" t="s">
        <v>72</v>
      </c>
      <c r="J321" t="s">
        <v>1024</v>
      </c>
      <c r="K321" t="s">
        <v>1025</v>
      </c>
      <c r="L321" t="s">
        <v>2042</v>
      </c>
      <c r="M321" t="s">
        <v>972</v>
      </c>
      <c r="N321" t="s">
        <v>2241</v>
      </c>
      <c r="O321" t="s">
        <v>99</v>
      </c>
      <c r="P321" t="s">
        <v>100</v>
      </c>
      <c r="Q321">
        <v>0.35930032955247621</v>
      </c>
      <c r="R321" t="s">
        <v>46</v>
      </c>
      <c r="S321" t="s">
        <v>47</v>
      </c>
      <c r="T321" t="s">
        <v>2580</v>
      </c>
      <c r="V321" t="s">
        <v>60</v>
      </c>
      <c r="X321" t="s">
        <v>2243</v>
      </c>
      <c r="Y321" t="s">
        <v>2233</v>
      </c>
      <c r="Z321" t="s">
        <v>1460</v>
      </c>
      <c r="AA321" t="s">
        <v>119</v>
      </c>
      <c r="AB321" t="s">
        <v>453</v>
      </c>
      <c r="AC321" t="s">
        <v>2302</v>
      </c>
      <c r="AD321" t="s">
        <v>145</v>
      </c>
      <c r="AE321" t="s">
        <v>2300</v>
      </c>
      <c r="AI321">
        <v>167.76961819622531</v>
      </c>
      <c r="AJ321">
        <v>1454.0426623847079</v>
      </c>
    </row>
    <row r="322" spans="1:36" x14ac:dyDescent="0.25">
      <c r="A322">
        <v>325</v>
      </c>
      <c r="C322" t="s">
        <v>376</v>
      </c>
      <c r="D322" t="s">
        <v>2041</v>
      </c>
      <c r="E322" t="s">
        <v>37</v>
      </c>
      <c r="G322" s="2">
        <v>45855</v>
      </c>
      <c r="H322">
        <v>3.26</v>
      </c>
      <c r="I322" t="s">
        <v>72</v>
      </c>
      <c r="J322" t="s">
        <v>1024</v>
      </c>
      <c r="K322" t="s">
        <v>1025</v>
      </c>
      <c r="L322" t="s">
        <v>2042</v>
      </c>
      <c r="M322" t="s">
        <v>972</v>
      </c>
      <c r="O322" t="s">
        <v>62</v>
      </c>
      <c r="P322" t="s">
        <v>63</v>
      </c>
      <c r="Q322">
        <v>0.68111616456215673</v>
      </c>
      <c r="R322" t="s">
        <v>64</v>
      </c>
      <c r="S322" t="s">
        <v>65</v>
      </c>
      <c r="V322" t="s">
        <v>64</v>
      </c>
      <c r="X322" t="s">
        <v>2581</v>
      </c>
      <c r="Y322" t="s">
        <v>2045</v>
      </c>
      <c r="Z322" t="s">
        <v>1460</v>
      </c>
      <c r="AA322" t="s">
        <v>452</v>
      </c>
      <c r="AB322" t="s">
        <v>453</v>
      </c>
      <c r="AD322" t="s">
        <v>758</v>
      </c>
      <c r="AI322">
        <v>205.1209610270453</v>
      </c>
      <c r="AJ322">
        <v>2756.3903505091962</v>
      </c>
    </row>
    <row r="323" spans="1:36" hidden="1" x14ac:dyDescent="0.25">
      <c r="A323">
        <v>323</v>
      </c>
      <c r="B323" t="s">
        <v>2313</v>
      </c>
      <c r="C323" t="s">
        <v>376</v>
      </c>
      <c r="D323" t="s">
        <v>2041</v>
      </c>
      <c r="E323" t="s">
        <v>37</v>
      </c>
      <c r="G323" s="2">
        <v>45855</v>
      </c>
      <c r="H323">
        <v>17.3</v>
      </c>
      <c r="I323" t="s">
        <v>72</v>
      </c>
      <c r="J323" t="s">
        <v>1024</v>
      </c>
      <c r="K323" t="s">
        <v>1025</v>
      </c>
      <c r="L323" t="s">
        <v>2042</v>
      </c>
      <c r="M323" t="s">
        <v>972</v>
      </c>
      <c r="N323" t="s">
        <v>2241</v>
      </c>
      <c r="O323" t="s">
        <v>79</v>
      </c>
      <c r="P323" t="s">
        <v>80</v>
      </c>
      <c r="Q323">
        <v>5.884213109474449</v>
      </c>
      <c r="R323" t="s">
        <v>46</v>
      </c>
      <c r="S323" t="s">
        <v>47</v>
      </c>
      <c r="T323" t="s">
        <v>2257</v>
      </c>
      <c r="V323" t="s">
        <v>60</v>
      </c>
      <c r="X323" t="s">
        <v>2243</v>
      </c>
      <c r="Y323" t="s">
        <v>2233</v>
      </c>
      <c r="Z323" t="s">
        <v>1460</v>
      </c>
      <c r="AA323" t="s">
        <v>119</v>
      </c>
      <c r="AB323" t="s">
        <v>453</v>
      </c>
      <c r="AD323" t="s">
        <v>145</v>
      </c>
      <c r="AE323" t="s">
        <v>2312</v>
      </c>
      <c r="AI323">
        <v>866.60687852082765</v>
      </c>
      <c r="AJ323">
        <v>23812.660863395151</v>
      </c>
    </row>
    <row r="324" spans="1:36" x14ac:dyDescent="0.25">
      <c r="A324">
        <v>326</v>
      </c>
      <c r="C324" t="s">
        <v>376</v>
      </c>
      <c r="D324" t="s">
        <v>2041</v>
      </c>
      <c r="E324" t="s">
        <v>37</v>
      </c>
      <c r="G324" s="2">
        <v>45854</v>
      </c>
      <c r="I324" t="s">
        <v>72</v>
      </c>
      <c r="J324" t="s">
        <v>1024</v>
      </c>
      <c r="K324" t="s">
        <v>1025</v>
      </c>
      <c r="L324" t="s">
        <v>2042</v>
      </c>
      <c r="M324" t="s">
        <v>972</v>
      </c>
      <c r="O324" t="s">
        <v>62</v>
      </c>
      <c r="P324" t="s">
        <v>63</v>
      </c>
      <c r="Q324">
        <v>0.12769744370677519</v>
      </c>
      <c r="R324" t="s">
        <v>64</v>
      </c>
      <c r="S324" t="s">
        <v>65</v>
      </c>
      <c r="V324" t="s">
        <v>75</v>
      </c>
      <c r="Y324" t="s">
        <v>2045</v>
      </c>
      <c r="Z324" t="s">
        <v>1460</v>
      </c>
      <c r="AA324" t="s">
        <v>629</v>
      </c>
      <c r="AB324" t="s">
        <v>453</v>
      </c>
      <c r="AI324">
        <v>133.74086793815599</v>
      </c>
      <c r="AJ324">
        <v>516.77528728790753</v>
      </c>
    </row>
    <row r="325" spans="1:36" x14ac:dyDescent="0.25">
      <c r="A325">
        <v>329</v>
      </c>
      <c r="C325" t="s">
        <v>376</v>
      </c>
      <c r="D325" t="s">
        <v>2041</v>
      </c>
      <c r="E325" t="s">
        <v>37</v>
      </c>
      <c r="G325" s="2">
        <v>45854</v>
      </c>
      <c r="I325" t="s">
        <v>72</v>
      </c>
      <c r="J325" t="s">
        <v>1024</v>
      </c>
      <c r="K325" t="s">
        <v>1025</v>
      </c>
      <c r="L325" t="s">
        <v>2042</v>
      </c>
      <c r="M325" t="s">
        <v>972</v>
      </c>
      <c r="O325" t="s">
        <v>62</v>
      </c>
      <c r="P325" t="s">
        <v>63</v>
      </c>
      <c r="Q325">
        <v>4.2822742858372953E-2</v>
      </c>
      <c r="R325" t="s">
        <v>64</v>
      </c>
      <c r="S325" t="s">
        <v>65</v>
      </c>
      <c r="V325" t="s">
        <v>110</v>
      </c>
      <c r="Y325" t="s">
        <v>2051</v>
      </c>
      <c r="Z325" t="s">
        <v>1460</v>
      </c>
      <c r="AA325" t="s">
        <v>441</v>
      </c>
      <c r="AB325" t="s">
        <v>453</v>
      </c>
      <c r="AI325">
        <v>66.162231132615005</v>
      </c>
      <c r="AJ325">
        <v>173.29818515323771</v>
      </c>
    </row>
    <row r="326" spans="1:36" x14ac:dyDescent="0.25">
      <c r="A326">
        <v>331</v>
      </c>
      <c r="B326" t="s">
        <v>2299</v>
      </c>
      <c r="C326" t="s">
        <v>376</v>
      </c>
      <c r="D326" t="s">
        <v>2041</v>
      </c>
      <c r="E326" t="s">
        <v>37</v>
      </c>
      <c r="G326" s="2">
        <v>45855</v>
      </c>
      <c r="H326">
        <v>2.7</v>
      </c>
      <c r="I326" t="s">
        <v>72</v>
      </c>
      <c r="J326" t="s">
        <v>1024</v>
      </c>
      <c r="K326" t="s">
        <v>1025</v>
      </c>
      <c r="L326" t="s">
        <v>2042</v>
      </c>
      <c r="M326" t="s">
        <v>972</v>
      </c>
      <c r="N326" t="s">
        <v>2241</v>
      </c>
      <c r="O326" t="s">
        <v>62</v>
      </c>
      <c r="P326" t="s">
        <v>63</v>
      </c>
      <c r="Q326">
        <v>0.17268241867803041</v>
      </c>
      <c r="R326" t="s">
        <v>64</v>
      </c>
      <c r="S326" t="s">
        <v>65</v>
      </c>
      <c r="T326" t="s">
        <v>2257</v>
      </c>
      <c r="V326" t="s">
        <v>60</v>
      </c>
      <c r="X326" t="s">
        <v>2243</v>
      </c>
      <c r="Y326" t="s">
        <v>2233</v>
      </c>
      <c r="Z326" t="s">
        <v>1460</v>
      </c>
      <c r="AA326" t="s">
        <v>119</v>
      </c>
      <c r="AB326" t="s">
        <v>453</v>
      </c>
      <c r="AC326" t="s">
        <v>2302</v>
      </c>
      <c r="AD326" t="s">
        <v>145</v>
      </c>
      <c r="AE326" t="s">
        <v>2300</v>
      </c>
      <c r="AI326">
        <v>116.4856197999851</v>
      </c>
      <c r="AJ326">
        <v>698.82375035495897</v>
      </c>
    </row>
    <row r="327" spans="1:36" hidden="1" x14ac:dyDescent="0.25">
      <c r="A327">
        <v>327</v>
      </c>
      <c r="B327" t="s">
        <v>2384</v>
      </c>
      <c r="C327" t="s">
        <v>376</v>
      </c>
      <c r="D327" t="s">
        <v>2041</v>
      </c>
      <c r="E327" t="s">
        <v>37</v>
      </c>
      <c r="G327" s="2">
        <v>45855</v>
      </c>
      <c r="H327">
        <v>8.4</v>
      </c>
      <c r="I327" t="s">
        <v>72</v>
      </c>
      <c r="J327" t="s">
        <v>1024</v>
      </c>
      <c r="K327" t="s">
        <v>1025</v>
      </c>
      <c r="L327" t="s">
        <v>2042</v>
      </c>
      <c r="M327" t="s">
        <v>972</v>
      </c>
      <c r="N327" t="s">
        <v>2241</v>
      </c>
      <c r="O327" t="s">
        <v>96</v>
      </c>
      <c r="P327" t="s">
        <v>97</v>
      </c>
      <c r="Q327">
        <v>0.81619179449469514</v>
      </c>
      <c r="R327" t="s">
        <v>46</v>
      </c>
      <c r="S327" t="s">
        <v>47</v>
      </c>
      <c r="T327" t="s">
        <v>2293</v>
      </c>
      <c r="V327" t="s">
        <v>60</v>
      </c>
      <c r="X327" t="s">
        <v>2243</v>
      </c>
      <c r="Y327" t="s">
        <v>2233</v>
      </c>
      <c r="Z327" t="s">
        <v>1460</v>
      </c>
      <c r="AA327" t="s">
        <v>119</v>
      </c>
      <c r="AB327" t="s">
        <v>453</v>
      </c>
      <c r="AC327" t="s">
        <v>2302</v>
      </c>
      <c r="AD327" t="s">
        <v>145</v>
      </c>
      <c r="AE327" t="s">
        <v>1466</v>
      </c>
      <c r="AI327">
        <v>245.3349511534912</v>
      </c>
      <c r="AJ327">
        <v>3303.0242175446961</v>
      </c>
    </row>
    <row r="328" spans="1:36" hidden="1" x14ac:dyDescent="0.25">
      <c r="A328">
        <v>328</v>
      </c>
      <c r="B328" t="s">
        <v>2518</v>
      </c>
      <c r="C328" t="s">
        <v>376</v>
      </c>
      <c r="D328" t="s">
        <v>2041</v>
      </c>
      <c r="E328" t="s">
        <v>37</v>
      </c>
      <c r="G328" s="2">
        <v>45854</v>
      </c>
      <c r="H328">
        <v>0.35</v>
      </c>
      <c r="I328" t="s">
        <v>72</v>
      </c>
      <c r="J328" t="s">
        <v>1024</v>
      </c>
      <c r="K328" t="s">
        <v>1025</v>
      </c>
      <c r="L328" t="s">
        <v>2042</v>
      </c>
      <c r="M328" t="s">
        <v>972</v>
      </c>
      <c r="O328" t="s">
        <v>96</v>
      </c>
      <c r="P328" t="s">
        <v>97</v>
      </c>
      <c r="Q328">
        <v>0.1197825575637927</v>
      </c>
      <c r="R328" t="s">
        <v>60</v>
      </c>
      <c r="S328" t="s">
        <v>66</v>
      </c>
      <c r="T328" t="s">
        <v>2519</v>
      </c>
      <c r="V328" t="s">
        <v>110</v>
      </c>
      <c r="X328" t="s">
        <v>2520</v>
      </c>
      <c r="Y328" t="s">
        <v>2521</v>
      </c>
      <c r="Z328" t="s">
        <v>2522</v>
      </c>
      <c r="AA328" t="s">
        <v>86</v>
      </c>
      <c r="AB328" t="s">
        <v>453</v>
      </c>
      <c r="AD328" t="s">
        <v>399</v>
      </c>
      <c r="AE328" t="s">
        <v>2052</v>
      </c>
      <c r="AI328">
        <v>84.461716192070739</v>
      </c>
      <c r="AJ328">
        <v>484.74475134559862</v>
      </c>
    </row>
    <row r="329" spans="1:36" x14ac:dyDescent="0.25">
      <c r="A329">
        <v>334</v>
      </c>
      <c r="C329" t="s">
        <v>376</v>
      </c>
      <c r="D329" t="s">
        <v>2041</v>
      </c>
      <c r="E329" t="s">
        <v>37</v>
      </c>
      <c r="G329" s="2">
        <v>45847</v>
      </c>
      <c r="I329" t="s">
        <v>72</v>
      </c>
      <c r="J329" t="s">
        <v>1024</v>
      </c>
      <c r="K329" t="s">
        <v>1025</v>
      </c>
      <c r="L329" t="s">
        <v>2042</v>
      </c>
      <c r="M329" t="s">
        <v>972</v>
      </c>
      <c r="O329" t="s">
        <v>62</v>
      </c>
      <c r="P329" t="s">
        <v>63</v>
      </c>
      <c r="Q329">
        <v>0.18694867304077439</v>
      </c>
      <c r="R329" t="s">
        <v>64</v>
      </c>
      <c r="S329" t="s">
        <v>65</v>
      </c>
      <c r="V329" t="s">
        <v>180</v>
      </c>
      <c r="Y329" t="s">
        <v>2441</v>
      </c>
      <c r="Z329" t="s">
        <v>1460</v>
      </c>
      <c r="AA329" t="s">
        <v>452</v>
      </c>
      <c r="AB329" t="s">
        <v>41</v>
      </c>
      <c r="AI329">
        <v>180.02652009476401</v>
      </c>
      <c r="AJ329">
        <v>756.55746438104711</v>
      </c>
    </row>
    <row r="330" spans="1:36" hidden="1" x14ac:dyDescent="0.25">
      <c r="A330">
        <v>330</v>
      </c>
      <c r="C330" t="s">
        <v>376</v>
      </c>
      <c r="D330" t="s">
        <v>2041</v>
      </c>
      <c r="E330" t="s">
        <v>37</v>
      </c>
      <c r="G330" s="2">
        <v>45854</v>
      </c>
      <c r="I330" t="s">
        <v>72</v>
      </c>
      <c r="J330" t="s">
        <v>1024</v>
      </c>
      <c r="K330" t="s">
        <v>1025</v>
      </c>
      <c r="L330" t="s">
        <v>2042</v>
      </c>
      <c r="M330" t="s">
        <v>972</v>
      </c>
      <c r="O330" t="s">
        <v>96</v>
      </c>
      <c r="P330" t="s">
        <v>97</v>
      </c>
      <c r="Q330">
        <v>3.8527095802506642E-2</v>
      </c>
      <c r="R330" t="s">
        <v>60</v>
      </c>
      <c r="S330" t="s">
        <v>66</v>
      </c>
      <c r="V330" t="s">
        <v>110</v>
      </c>
      <c r="Y330" t="s">
        <v>2051</v>
      </c>
      <c r="Z330" t="s">
        <v>1460</v>
      </c>
      <c r="AA330" t="s">
        <v>441</v>
      </c>
      <c r="AB330" t="s">
        <v>453</v>
      </c>
      <c r="AI330">
        <v>51.070227710526993</v>
      </c>
      <c r="AJ330">
        <v>155.91424874116541</v>
      </c>
    </row>
    <row r="331" spans="1:36" x14ac:dyDescent="0.25">
      <c r="A331">
        <v>335</v>
      </c>
      <c r="C331" t="s">
        <v>376</v>
      </c>
      <c r="D331" t="s">
        <v>2041</v>
      </c>
      <c r="E331" t="s">
        <v>37</v>
      </c>
      <c r="G331" s="2">
        <v>45855</v>
      </c>
      <c r="I331" t="s">
        <v>72</v>
      </c>
      <c r="J331" t="s">
        <v>150</v>
      </c>
      <c r="K331" t="s">
        <v>1025</v>
      </c>
      <c r="L331" t="s">
        <v>2042</v>
      </c>
      <c r="M331" t="s">
        <v>972</v>
      </c>
      <c r="O331" t="s">
        <v>62</v>
      </c>
      <c r="P331" t="s">
        <v>63</v>
      </c>
      <c r="Q331">
        <v>0.1540370630102384</v>
      </c>
      <c r="R331" t="s">
        <v>64</v>
      </c>
      <c r="S331" t="s">
        <v>65</v>
      </c>
      <c r="V331" t="s">
        <v>119</v>
      </c>
      <c r="Y331" t="s">
        <v>2045</v>
      </c>
      <c r="Z331" t="s">
        <v>1460</v>
      </c>
      <c r="AA331" t="s">
        <v>182</v>
      </c>
      <c r="AB331" t="s">
        <v>453</v>
      </c>
      <c r="AI331">
        <v>101.2187683397772</v>
      </c>
      <c r="AJ331">
        <v>623.36837120160794</v>
      </c>
    </row>
    <row r="332" spans="1:36" hidden="1" x14ac:dyDescent="0.25">
      <c r="A332">
        <v>332</v>
      </c>
      <c r="B332" t="s">
        <v>2290</v>
      </c>
      <c r="C332" t="s">
        <v>376</v>
      </c>
      <c r="D332" t="s">
        <v>2041</v>
      </c>
      <c r="E332" t="s">
        <v>37</v>
      </c>
      <c r="G332" s="2">
        <v>45855</v>
      </c>
      <c r="H332">
        <v>10.5</v>
      </c>
      <c r="I332" t="s">
        <v>72</v>
      </c>
      <c r="J332" t="s">
        <v>1024</v>
      </c>
      <c r="K332" t="s">
        <v>1025</v>
      </c>
      <c r="L332" t="s">
        <v>2042</v>
      </c>
      <c r="M332" t="s">
        <v>972</v>
      </c>
      <c r="N332" t="s">
        <v>2241</v>
      </c>
      <c r="O332" t="s">
        <v>96</v>
      </c>
      <c r="P332" t="s">
        <v>97</v>
      </c>
      <c r="Q332">
        <v>0.89273665938334024</v>
      </c>
      <c r="R332" t="s">
        <v>60</v>
      </c>
      <c r="S332" t="s">
        <v>66</v>
      </c>
      <c r="T332" t="s">
        <v>2257</v>
      </c>
      <c r="V332" t="s">
        <v>60</v>
      </c>
      <c r="X332" t="s">
        <v>2243</v>
      </c>
      <c r="Y332" t="s">
        <v>2233</v>
      </c>
      <c r="Z332" t="s">
        <v>1460</v>
      </c>
      <c r="AA332" t="s">
        <v>119</v>
      </c>
      <c r="AB332" t="s">
        <v>453</v>
      </c>
      <c r="AD332" t="s">
        <v>145</v>
      </c>
      <c r="AE332" t="s">
        <v>1466</v>
      </c>
      <c r="AI332">
        <v>248.17638513757461</v>
      </c>
      <c r="AJ332">
        <v>3612.7915346890791</v>
      </c>
    </row>
    <row r="333" spans="1:36" hidden="1" x14ac:dyDescent="0.25">
      <c r="A333">
        <v>333</v>
      </c>
      <c r="B333" t="s">
        <v>2294</v>
      </c>
      <c r="C333" t="s">
        <v>376</v>
      </c>
      <c r="D333" t="s">
        <v>2041</v>
      </c>
      <c r="E333" t="s">
        <v>37</v>
      </c>
      <c r="G333" s="2">
        <v>45855</v>
      </c>
      <c r="H333">
        <v>2.4</v>
      </c>
      <c r="I333" t="s">
        <v>72</v>
      </c>
      <c r="J333" t="s">
        <v>1024</v>
      </c>
      <c r="K333" t="s">
        <v>1025</v>
      </c>
      <c r="L333" t="s">
        <v>2042</v>
      </c>
      <c r="M333" t="s">
        <v>972</v>
      </c>
      <c r="N333" t="s">
        <v>2241</v>
      </c>
      <c r="O333" t="s">
        <v>79</v>
      </c>
      <c r="P333" t="s">
        <v>80</v>
      </c>
      <c r="Q333">
        <v>0.89463246901244087</v>
      </c>
      <c r="R333" t="s">
        <v>46</v>
      </c>
      <c r="S333" t="s">
        <v>47</v>
      </c>
      <c r="T333" t="s">
        <v>2257</v>
      </c>
      <c r="V333" t="s">
        <v>60</v>
      </c>
      <c r="X333" t="s">
        <v>2243</v>
      </c>
      <c r="Y333" t="s">
        <v>2233</v>
      </c>
      <c r="Z333" t="s">
        <v>1460</v>
      </c>
      <c r="AA333" t="s">
        <v>119</v>
      </c>
      <c r="AB333" t="s">
        <v>453</v>
      </c>
      <c r="AD333" t="s">
        <v>145</v>
      </c>
      <c r="AE333" t="s">
        <v>1466</v>
      </c>
      <c r="AI333">
        <v>247.4385673391867</v>
      </c>
      <c r="AJ333">
        <v>3620.4636347506221</v>
      </c>
    </row>
    <row r="334" spans="1:36" x14ac:dyDescent="0.25">
      <c r="A334">
        <v>341</v>
      </c>
      <c r="C334" t="s">
        <v>376</v>
      </c>
      <c r="D334" t="s">
        <v>2041</v>
      </c>
      <c r="E334" t="s">
        <v>37</v>
      </c>
      <c r="G334" s="2">
        <v>45854</v>
      </c>
      <c r="I334" t="s">
        <v>72</v>
      </c>
      <c r="J334" t="s">
        <v>1024</v>
      </c>
      <c r="K334" t="s">
        <v>1025</v>
      </c>
      <c r="L334" t="s">
        <v>2042</v>
      </c>
      <c r="M334" t="s">
        <v>972</v>
      </c>
      <c r="O334" t="s">
        <v>62</v>
      </c>
      <c r="P334" t="s">
        <v>63</v>
      </c>
      <c r="Q334">
        <v>31.73372227447129</v>
      </c>
      <c r="R334" t="s">
        <v>64</v>
      </c>
      <c r="S334" t="s">
        <v>65</v>
      </c>
      <c r="V334" t="s">
        <v>75</v>
      </c>
      <c r="Y334" t="s">
        <v>2045</v>
      </c>
      <c r="Z334" t="s">
        <v>1460</v>
      </c>
      <c r="AA334" t="s">
        <v>64</v>
      </c>
      <c r="AB334" t="s">
        <v>453</v>
      </c>
      <c r="AI334">
        <v>1465.397668298252</v>
      </c>
      <c r="AJ334">
        <v>128422.3314819143</v>
      </c>
    </row>
    <row r="335" spans="1:36" x14ac:dyDescent="0.25">
      <c r="A335">
        <v>347</v>
      </c>
      <c r="C335" t="s">
        <v>376</v>
      </c>
      <c r="D335" t="s">
        <v>2041</v>
      </c>
      <c r="E335" t="s">
        <v>37</v>
      </c>
      <c r="G335" s="2">
        <v>45854</v>
      </c>
      <c r="I335" t="s">
        <v>72</v>
      </c>
      <c r="J335" t="s">
        <v>1024</v>
      </c>
      <c r="K335" t="s">
        <v>1025</v>
      </c>
      <c r="L335" t="s">
        <v>2042</v>
      </c>
      <c r="M335" t="s">
        <v>972</v>
      </c>
      <c r="N335" t="s">
        <v>2586</v>
      </c>
      <c r="O335" t="s">
        <v>62</v>
      </c>
      <c r="P335" t="s">
        <v>63</v>
      </c>
      <c r="Q335">
        <v>0.75786329844397315</v>
      </c>
      <c r="R335" t="s">
        <v>64</v>
      </c>
      <c r="S335" t="s">
        <v>65</v>
      </c>
      <c r="T335" t="s">
        <v>2591</v>
      </c>
      <c r="V335" t="s">
        <v>76</v>
      </c>
      <c r="X335" t="s">
        <v>2589</v>
      </c>
      <c r="Y335" t="s">
        <v>2051</v>
      </c>
      <c r="Z335" t="s">
        <v>1460</v>
      </c>
      <c r="AA335" t="s">
        <v>121</v>
      </c>
      <c r="AB335" t="s">
        <v>453</v>
      </c>
      <c r="AD335" t="s">
        <v>1413</v>
      </c>
      <c r="AE335" t="s">
        <v>1414</v>
      </c>
      <c r="AI335">
        <v>257.4414268670493</v>
      </c>
      <c r="AJ335">
        <v>3066.976224501871</v>
      </c>
    </row>
    <row r="336" spans="1:36" hidden="1" x14ac:dyDescent="0.25">
      <c r="A336">
        <v>336</v>
      </c>
      <c r="B336" t="s">
        <v>2582</v>
      </c>
      <c r="C336" t="s">
        <v>376</v>
      </c>
      <c r="D336" t="s">
        <v>2041</v>
      </c>
      <c r="E336" t="s">
        <v>37</v>
      </c>
      <c r="G336" s="2">
        <v>45854</v>
      </c>
      <c r="I336" t="s">
        <v>72</v>
      </c>
      <c r="J336" t="s">
        <v>1024</v>
      </c>
      <c r="K336" t="s">
        <v>1025</v>
      </c>
      <c r="L336" t="s">
        <v>2042</v>
      </c>
      <c r="M336" t="s">
        <v>972</v>
      </c>
      <c r="O336" t="s">
        <v>402</v>
      </c>
      <c r="P336" t="s">
        <v>403</v>
      </c>
      <c r="Q336">
        <v>2.2835798368489701</v>
      </c>
      <c r="S336" t="s">
        <v>38</v>
      </c>
      <c r="T336" t="s">
        <v>673</v>
      </c>
      <c r="V336" t="s">
        <v>61</v>
      </c>
      <c r="X336" t="s">
        <v>673</v>
      </c>
      <c r="Y336" t="s">
        <v>2051</v>
      </c>
      <c r="Z336" t="s">
        <v>1460</v>
      </c>
      <c r="AA336" t="s">
        <v>858</v>
      </c>
      <c r="AB336" t="s">
        <v>453</v>
      </c>
      <c r="AE336" t="s">
        <v>2583</v>
      </c>
      <c r="AF336" t="s">
        <v>1182</v>
      </c>
      <c r="AI336">
        <v>410.98972231065483</v>
      </c>
      <c r="AJ336">
        <v>9241.3566942052075</v>
      </c>
    </row>
    <row r="337" spans="1:36" hidden="1" x14ac:dyDescent="0.25">
      <c r="A337">
        <v>337</v>
      </c>
      <c r="B337" t="s">
        <v>2584</v>
      </c>
      <c r="C337" t="s">
        <v>376</v>
      </c>
      <c r="D337" t="s">
        <v>2041</v>
      </c>
      <c r="E337" t="s">
        <v>37</v>
      </c>
      <c r="G337" s="2">
        <v>45854</v>
      </c>
      <c r="I337" t="s">
        <v>72</v>
      </c>
      <c r="J337" t="s">
        <v>1024</v>
      </c>
      <c r="K337" t="s">
        <v>1025</v>
      </c>
      <c r="L337" t="s">
        <v>2042</v>
      </c>
      <c r="M337" t="s">
        <v>972</v>
      </c>
      <c r="O337" t="s">
        <v>402</v>
      </c>
      <c r="P337" t="s">
        <v>403</v>
      </c>
      <c r="Q337">
        <v>14.03209360258105</v>
      </c>
      <c r="S337" t="s">
        <v>38</v>
      </c>
      <c r="T337" t="s">
        <v>673</v>
      </c>
      <c r="V337" t="s">
        <v>61</v>
      </c>
      <c r="X337" t="s">
        <v>673</v>
      </c>
      <c r="Y337" t="s">
        <v>2051</v>
      </c>
      <c r="Z337" t="s">
        <v>1460</v>
      </c>
      <c r="AA337" t="s">
        <v>124</v>
      </c>
      <c r="AB337" t="s">
        <v>453</v>
      </c>
      <c r="AE337" t="s">
        <v>2583</v>
      </c>
      <c r="AF337" t="s">
        <v>1087</v>
      </c>
      <c r="AI337">
        <v>1000.914091649117</v>
      </c>
      <c r="AJ337">
        <v>56786.095259476962</v>
      </c>
    </row>
    <row r="338" spans="1:36" hidden="1" x14ac:dyDescent="0.25">
      <c r="A338">
        <v>338</v>
      </c>
      <c r="C338" t="s">
        <v>376</v>
      </c>
      <c r="D338" t="s">
        <v>2041</v>
      </c>
      <c r="E338" t="s">
        <v>37</v>
      </c>
      <c r="G338" s="2">
        <v>45854</v>
      </c>
      <c r="I338" t="s">
        <v>72</v>
      </c>
      <c r="J338" t="s">
        <v>1024</v>
      </c>
      <c r="K338" t="s">
        <v>1025</v>
      </c>
      <c r="L338" t="s">
        <v>2042</v>
      </c>
      <c r="M338" t="s">
        <v>972</v>
      </c>
      <c r="O338" t="s">
        <v>87</v>
      </c>
      <c r="P338" t="s">
        <v>88</v>
      </c>
      <c r="Q338">
        <v>9.612235761975775</v>
      </c>
      <c r="R338" t="s">
        <v>46</v>
      </c>
      <c r="S338" t="s">
        <v>47</v>
      </c>
      <c r="V338" t="s">
        <v>76</v>
      </c>
      <c r="Y338" t="s">
        <v>2051</v>
      </c>
      <c r="Z338" t="s">
        <v>1460</v>
      </c>
      <c r="AA338" t="s">
        <v>121</v>
      </c>
      <c r="AB338" t="s">
        <v>453</v>
      </c>
      <c r="AI338">
        <v>806.92112452067772</v>
      </c>
      <c r="AJ338">
        <v>38899.493624793518</v>
      </c>
    </row>
    <row r="339" spans="1:36" hidden="1" x14ac:dyDescent="0.25">
      <c r="A339">
        <v>339</v>
      </c>
      <c r="C339" t="s">
        <v>376</v>
      </c>
      <c r="D339" t="s">
        <v>2041</v>
      </c>
      <c r="E339" t="s">
        <v>37</v>
      </c>
      <c r="G339" s="2">
        <v>45854</v>
      </c>
      <c r="I339" t="s">
        <v>72</v>
      </c>
      <c r="J339" t="s">
        <v>1024</v>
      </c>
      <c r="K339" t="s">
        <v>1025</v>
      </c>
      <c r="L339" t="s">
        <v>2042</v>
      </c>
      <c r="M339" t="s">
        <v>972</v>
      </c>
      <c r="O339" t="s">
        <v>880</v>
      </c>
      <c r="P339" t="s">
        <v>881</v>
      </c>
      <c r="Q339">
        <v>11.73603137699136</v>
      </c>
      <c r="T339" t="s">
        <v>57</v>
      </c>
      <c r="V339" t="s">
        <v>76</v>
      </c>
      <c r="Y339" t="s">
        <v>2045</v>
      </c>
      <c r="Z339" t="s">
        <v>1460</v>
      </c>
      <c r="AA339" t="s">
        <v>635</v>
      </c>
      <c r="AB339" t="s">
        <v>453</v>
      </c>
      <c r="AI339">
        <v>923.06794702200739</v>
      </c>
      <c r="AJ339">
        <v>47494.223928171137</v>
      </c>
    </row>
    <row r="340" spans="1:36" hidden="1" x14ac:dyDescent="0.25">
      <c r="A340">
        <v>340</v>
      </c>
      <c r="C340" t="s">
        <v>376</v>
      </c>
      <c r="D340" t="s">
        <v>2041</v>
      </c>
      <c r="E340" t="s">
        <v>37</v>
      </c>
      <c r="G340" s="2">
        <v>45854</v>
      </c>
      <c r="I340" t="s">
        <v>72</v>
      </c>
      <c r="J340" t="s">
        <v>1024</v>
      </c>
      <c r="K340" t="s">
        <v>1025</v>
      </c>
      <c r="L340" t="s">
        <v>2042</v>
      </c>
      <c r="M340" t="s">
        <v>972</v>
      </c>
      <c r="O340" t="s">
        <v>87</v>
      </c>
      <c r="P340" t="s">
        <v>88</v>
      </c>
      <c r="Q340">
        <v>13.116214125298489</v>
      </c>
      <c r="R340" t="s">
        <v>46</v>
      </c>
      <c r="S340" t="s">
        <v>47</v>
      </c>
      <c r="V340" t="s">
        <v>75</v>
      </c>
      <c r="Y340" t="s">
        <v>2045</v>
      </c>
      <c r="Z340" t="s">
        <v>1460</v>
      </c>
      <c r="AA340" t="s">
        <v>64</v>
      </c>
      <c r="AB340" t="s">
        <v>453</v>
      </c>
      <c r="AC340" t="s">
        <v>2585</v>
      </c>
      <c r="AI340">
        <v>1034.988730560736</v>
      </c>
      <c r="AJ340">
        <v>53079.647688916237</v>
      </c>
    </row>
    <row r="341" spans="1:36" x14ac:dyDescent="0.25">
      <c r="A341">
        <v>357</v>
      </c>
      <c r="B341" t="s">
        <v>2523</v>
      </c>
      <c r="C341" t="s">
        <v>376</v>
      </c>
      <c r="D341" t="s">
        <v>2041</v>
      </c>
      <c r="E341" t="s">
        <v>37</v>
      </c>
      <c r="G341" s="2">
        <v>45854</v>
      </c>
      <c r="H341">
        <v>5.86</v>
      </c>
      <c r="I341" t="s">
        <v>72</v>
      </c>
      <c r="J341" t="s">
        <v>1024</v>
      </c>
      <c r="K341" t="s">
        <v>1025</v>
      </c>
      <c r="L341" t="s">
        <v>2042</v>
      </c>
      <c r="M341" t="s">
        <v>972</v>
      </c>
      <c r="N341" t="s">
        <v>2586</v>
      </c>
      <c r="O341" t="s">
        <v>62</v>
      </c>
      <c r="P341" t="s">
        <v>63</v>
      </c>
      <c r="Q341">
        <v>6.1791149706052284</v>
      </c>
      <c r="R341" t="s">
        <v>64</v>
      </c>
      <c r="S341" t="s">
        <v>65</v>
      </c>
      <c r="T341" t="s">
        <v>2593</v>
      </c>
      <c r="V341" t="s">
        <v>61</v>
      </c>
      <c r="X341" t="s">
        <v>2589</v>
      </c>
      <c r="Y341" t="s">
        <v>2051</v>
      </c>
      <c r="Z341" t="s">
        <v>1460</v>
      </c>
      <c r="AA341" t="s">
        <v>858</v>
      </c>
      <c r="AB341" t="s">
        <v>453</v>
      </c>
      <c r="AD341" t="s">
        <v>1413</v>
      </c>
      <c r="AE341" t="s">
        <v>2583</v>
      </c>
      <c r="AI341">
        <v>714.46421451657125</v>
      </c>
      <c r="AJ341">
        <v>25006.091127806241</v>
      </c>
    </row>
    <row r="342" spans="1:36" hidden="1" x14ac:dyDescent="0.25">
      <c r="A342">
        <v>342</v>
      </c>
      <c r="C342" t="s">
        <v>376</v>
      </c>
      <c r="D342" t="s">
        <v>2041</v>
      </c>
      <c r="E342" t="s">
        <v>37</v>
      </c>
      <c r="G342" s="2">
        <v>45854</v>
      </c>
      <c r="I342" t="s">
        <v>72</v>
      </c>
      <c r="J342" t="s">
        <v>1024</v>
      </c>
      <c r="K342" t="s">
        <v>1025</v>
      </c>
      <c r="L342" t="s">
        <v>2042</v>
      </c>
      <c r="M342" t="s">
        <v>972</v>
      </c>
      <c r="N342" t="s">
        <v>2586</v>
      </c>
      <c r="O342" t="s">
        <v>87</v>
      </c>
      <c r="P342" t="s">
        <v>88</v>
      </c>
      <c r="Q342">
        <v>7.4676452952661414</v>
      </c>
      <c r="R342" t="s">
        <v>46</v>
      </c>
      <c r="S342" t="s">
        <v>47</v>
      </c>
      <c r="V342" t="s">
        <v>75</v>
      </c>
      <c r="Y342" t="s">
        <v>2051</v>
      </c>
      <c r="Z342" t="s">
        <v>1460</v>
      </c>
      <c r="AA342" t="s">
        <v>121</v>
      </c>
      <c r="AB342" t="s">
        <v>453</v>
      </c>
      <c r="AI342">
        <v>715.98393263948344</v>
      </c>
      <c r="AJ342">
        <v>30220.609205668861</v>
      </c>
    </row>
    <row r="343" spans="1:36" hidden="1" x14ac:dyDescent="0.25">
      <c r="A343">
        <v>343</v>
      </c>
      <c r="B343" t="s">
        <v>2587</v>
      </c>
      <c r="C343" t="s">
        <v>376</v>
      </c>
      <c r="D343" t="s">
        <v>2041</v>
      </c>
      <c r="E343" t="s">
        <v>37</v>
      </c>
      <c r="G343" s="2">
        <v>45854</v>
      </c>
      <c r="H343">
        <v>0.8</v>
      </c>
      <c r="I343" t="s">
        <v>72</v>
      </c>
      <c r="J343" t="s">
        <v>1024</v>
      </c>
      <c r="K343" t="s">
        <v>1025</v>
      </c>
      <c r="L343" t="s">
        <v>2042</v>
      </c>
      <c r="M343" t="s">
        <v>972</v>
      </c>
      <c r="N343" t="s">
        <v>2586</v>
      </c>
      <c r="O343" t="s">
        <v>115</v>
      </c>
      <c r="P343" t="s">
        <v>137</v>
      </c>
      <c r="Q343">
        <v>0.74842001390668034</v>
      </c>
      <c r="S343" t="s">
        <v>38</v>
      </c>
      <c r="T343" t="s">
        <v>2588</v>
      </c>
      <c r="V343" t="s">
        <v>76</v>
      </c>
      <c r="X343" t="s">
        <v>2589</v>
      </c>
      <c r="Y343" t="s">
        <v>2051</v>
      </c>
      <c r="Z343" t="s">
        <v>1460</v>
      </c>
      <c r="AA343" t="s">
        <v>121</v>
      </c>
      <c r="AB343" t="s">
        <v>453</v>
      </c>
      <c r="AD343" t="s">
        <v>1413</v>
      </c>
      <c r="AE343" t="s">
        <v>1414</v>
      </c>
      <c r="AI343">
        <v>255.8103451211559</v>
      </c>
      <c r="AJ343">
        <v>3028.7604549606508</v>
      </c>
    </row>
    <row r="344" spans="1:36" hidden="1" x14ac:dyDescent="0.25">
      <c r="A344">
        <v>344</v>
      </c>
      <c r="B344" t="s">
        <v>2590</v>
      </c>
      <c r="C344" t="s">
        <v>376</v>
      </c>
      <c r="D344" t="s">
        <v>2041</v>
      </c>
      <c r="E344" t="s">
        <v>37</v>
      </c>
      <c r="G344" s="2">
        <v>45854</v>
      </c>
      <c r="H344">
        <v>5.7</v>
      </c>
      <c r="I344" t="s">
        <v>72</v>
      </c>
      <c r="J344" t="s">
        <v>1024</v>
      </c>
      <c r="K344" t="s">
        <v>1025</v>
      </c>
      <c r="L344" t="s">
        <v>2042</v>
      </c>
      <c r="M344" t="s">
        <v>972</v>
      </c>
      <c r="N344" t="s">
        <v>2586</v>
      </c>
      <c r="O344" t="s">
        <v>113</v>
      </c>
      <c r="P344" t="s">
        <v>114</v>
      </c>
      <c r="Q344">
        <v>3.994752449536878</v>
      </c>
      <c r="R344" t="s">
        <v>46</v>
      </c>
      <c r="S344" t="s">
        <v>47</v>
      </c>
      <c r="T344" t="s">
        <v>2591</v>
      </c>
      <c r="V344" t="s">
        <v>76</v>
      </c>
      <c r="X344" t="s">
        <v>2589</v>
      </c>
      <c r="Y344" t="s">
        <v>2051</v>
      </c>
      <c r="Z344" t="s">
        <v>1460</v>
      </c>
      <c r="AA344" t="s">
        <v>121</v>
      </c>
      <c r="AB344" t="s">
        <v>453</v>
      </c>
      <c r="AD344" t="s">
        <v>1413</v>
      </c>
      <c r="AE344" t="s">
        <v>1414</v>
      </c>
      <c r="AF344" t="s">
        <v>38</v>
      </c>
      <c r="AI344">
        <v>720.92970217251059</v>
      </c>
      <c r="AJ344">
        <v>16166.25427125886</v>
      </c>
    </row>
    <row r="345" spans="1:36" hidden="1" x14ac:dyDescent="0.25">
      <c r="A345">
        <v>345</v>
      </c>
      <c r="C345" t="s">
        <v>376</v>
      </c>
      <c r="D345" t="s">
        <v>2041</v>
      </c>
      <c r="E345" t="s">
        <v>37</v>
      </c>
      <c r="G345" s="2">
        <v>45854</v>
      </c>
      <c r="I345" t="s">
        <v>72</v>
      </c>
      <c r="J345" t="s">
        <v>1024</v>
      </c>
      <c r="K345" t="s">
        <v>1025</v>
      </c>
      <c r="L345" t="s">
        <v>2042</v>
      </c>
      <c r="M345" t="s">
        <v>972</v>
      </c>
      <c r="N345" t="s">
        <v>2586</v>
      </c>
      <c r="O345" t="s">
        <v>113</v>
      </c>
      <c r="P345" t="s">
        <v>114</v>
      </c>
      <c r="Q345">
        <v>1.129988570980607</v>
      </c>
      <c r="R345" t="s">
        <v>46</v>
      </c>
      <c r="S345" t="s">
        <v>47</v>
      </c>
      <c r="T345" t="s">
        <v>2591</v>
      </c>
      <c r="V345" t="s">
        <v>76</v>
      </c>
      <c r="X345" t="s">
        <v>2589</v>
      </c>
      <c r="Y345" t="s">
        <v>2051</v>
      </c>
      <c r="Z345" t="s">
        <v>1460</v>
      </c>
      <c r="AA345" t="s">
        <v>121</v>
      </c>
      <c r="AB345" t="s">
        <v>453</v>
      </c>
      <c r="AD345" t="s">
        <v>1413</v>
      </c>
      <c r="AE345" t="s">
        <v>1414</v>
      </c>
      <c r="AI345">
        <v>340.89290388713272</v>
      </c>
      <c r="AJ345">
        <v>4572.9197973723649</v>
      </c>
    </row>
    <row r="346" spans="1:36" hidden="1" x14ac:dyDescent="0.25">
      <c r="A346">
        <v>346</v>
      </c>
      <c r="C346" t="s">
        <v>376</v>
      </c>
      <c r="D346" t="s">
        <v>2041</v>
      </c>
      <c r="E346" t="s">
        <v>37</v>
      </c>
      <c r="G346" s="2">
        <v>45854</v>
      </c>
      <c r="I346" t="s">
        <v>72</v>
      </c>
      <c r="J346" t="s">
        <v>1024</v>
      </c>
      <c r="K346" t="s">
        <v>1025</v>
      </c>
      <c r="L346" t="s">
        <v>2042</v>
      </c>
      <c r="M346" t="s">
        <v>972</v>
      </c>
      <c r="N346" t="s">
        <v>2586</v>
      </c>
      <c r="O346" t="s">
        <v>113</v>
      </c>
      <c r="P346" t="s">
        <v>114</v>
      </c>
      <c r="Q346">
        <v>11.979197149353389</v>
      </c>
      <c r="R346" t="s">
        <v>46</v>
      </c>
      <c r="S346" t="s">
        <v>47</v>
      </c>
      <c r="T346" t="s">
        <v>2591</v>
      </c>
      <c r="V346" t="s">
        <v>76</v>
      </c>
      <c r="X346" t="s">
        <v>2589</v>
      </c>
      <c r="Y346" t="s">
        <v>2051</v>
      </c>
      <c r="Z346" t="s">
        <v>1460</v>
      </c>
      <c r="AA346" t="s">
        <v>121</v>
      </c>
      <c r="AB346" t="s">
        <v>453</v>
      </c>
      <c r="AD346" t="s">
        <v>1413</v>
      </c>
      <c r="AE346" t="s">
        <v>1414</v>
      </c>
      <c r="AI346">
        <v>987.46810712456374</v>
      </c>
      <c r="AJ346">
        <v>48478.284832001969</v>
      </c>
    </row>
    <row r="347" spans="1:36" x14ac:dyDescent="0.25">
      <c r="A347">
        <v>362</v>
      </c>
      <c r="B347" t="s">
        <v>2523</v>
      </c>
      <c r="C347" t="s">
        <v>376</v>
      </c>
      <c r="D347" t="s">
        <v>2041</v>
      </c>
      <c r="E347" t="s">
        <v>37</v>
      </c>
      <c r="G347" s="2">
        <v>45854</v>
      </c>
      <c r="H347">
        <v>0</v>
      </c>
      <c r="I347" t="s">
        <v>72</v>
      </c>
      <c r="J347" t="s">
        <v>1024</v>
      </c>
      <c r="K347" t="s">
        <v>1025</v>
      </c>
      <c r="L347" t="s">
        <v>2042</v>
      </c>
      <c r="M347" t="s">
        <v>972</v>
      </c>
      <c r="N347" t="s">
        <v>2586</v>
      </c>
      <c r="O347" t="s">
        <v>62</v>
      </c>
      <c r="P347" t="s">
        <v>63</v>
      </c>
      <c r="Q347">
        <v>3.490302469865441</v>
      </c>
      <c r="R347" t="s">
        <v>64</v>
      </c>
      <c r="S347" t="s">
        <v>65</v>
      </c>
      <c r="T347" t="s">
        <v>2595</v>
      </c>
      <c r="V347" t="s">
        <v>61</v>
      </c>
      <c r="X347" t="s">
        <v>2589</v>
      </c>
      <c r="Y347" t="s">
        <v>2051</v>
      </c>
      <c r="Z347" t="s">
        <v>1460</v>
      </c>
      <c r="AA347" t="s">
        <v>860</v>
      </c>
      <c r="AB347" t="s">
        <v>453</v>
      </c>
      <c r="AD347" t="s">
        <v>1413</v>
      </c>
      <c r="AE347" t="s">
        <v>2583</v>
      </c>
      <c r="AI347">
        <v>487.28263700531488</v>
      </c>
      <c r="AJ347">
        <v>14124.8094654749</v>
      </c>
    </row>
    <row r="348" spans="1:36" hidden="1" x14ac:dyDescent="0.25">
      <c r="A348">
        <v>348</v>
      </c>
      <c r="C348" t="s">
        <v>376</v>
      </c>
      <c r="D348" t="s">
        <v>2041</v>
      </c>
      <c r="E348" t="s">
        <v>37</v>
      </c>
      <c r="G348" s="2">
        <v>45854</v>
      </c>
      <c r="I348" t="s">
        <v>72</v>
      </c>
      <c r="J348" t="s">
        <v>1024</v>
      </c>
      <c r="K348" t="s">
        <v>1025</v>
      </c>
      <c r="L348" t="s">
        <v>2042</v>
      </c>
      <c r="M348" t="s">
        <v>972</v>
      </c>
      <c r="N348" t="s">
        <v>2586</v>
      </c>
      <c r="O348" t="s">
        <v>113</v>
      </c>
      <c r="P348" t="s">
        <v>114</v>
      </c>
      <c r="Q348">
        <v>1.767967228607757</v>
      </c>
      <c r="R348" t="s">
        <v>46</v>
      </c>
      <c r="S348" t="s">
        <v>47</v>
      </c>
      <c r="T348" t="s">
        <v>2591</v>
      </c>
      <c r="V348" t="s">
        <v>76</v>
      </c>
      <c r="X348" t="s">
        <v>2589</v>
      </c>
      <c r="Y348" t="s">
        <v>2051</v>
      </c>
      <c r="Z348" t="s">
        <v>1460</v>
      </c>
      <c r="AA348" t="s">
        <v>121</v>
      </c>
      <c r="AB348" t="s">
        <v>453</v>
      </c>
      <c r="AD348" t="s">
        <v>1413</v>
      </c>
      <c r="AE348" t="s">
        <v>1414</v>
      </c>
      <c r="AI348">
        <v>354.88996789435521</v>
      </c>
      <c r="AJ348">
        <v>7154.7381526080198</v>
      </c>
    </row>
    <row r="349" spans="1:36" hidden="1" x14ac:dyDescent="0.25">
      <c r="A349">
        <v>349</v>
      </c>
      <c r="C349" t="s">
        <v>376</v>
      </c>
      <c r="D349" t="s">
        <v>2041</v>
      </c>
      <c r="E349" t="s">
        <v>37</v>
      </c>
      <c r="G349" s="2">
        <v>45854</v>
      </c>
      <c r="I349" t="s">
        <v>72</v>
      </c>
      <c r="J349" t="s">
        <v>1024</v>
      </c>
      <c r="K349" t="s">
        <v>1025</v>
      </c>
      <c r="L349" t="s">
        <v>2042</v>
      </c>
      <c r="M349" t="s">
        <v>972</v>
      </c>
      <c r="N349" t="s">
        <v>2586</v>
      </c>
      <c r="O349" t="s">
        <v>113</v>
      </c>
      <c r="P349" t="s">
        <v>114</v>
      </c>
      <c r="Q349">
        <v>23.29927945778778</v>
      </c>
      <c r="R349" t="s">
        <v>46</v>
      </c>
      <c r="S349" t="s">
        <v>47</v>
      </c>
      <c r="T349" t="s">
        <v>2591</v>
      </c>
      <c r="V349" t="s">
        <v>76</v>
      </c>
      <c r="X349" t="s">
        <v>2589</v>
      </c>
      <c r="Y349" t="s">
        <v>2051</v>
      </c>
      <c r="Z349" t="s">
        <v>1460</v>
      </c>
      <c r="AA349" t="s">
        <v>121</v>
      </c>
      <c r="AB349" t="s">
        <v>453</v>
      </c>
      <c r="AD349" t="s">
        <v>1413</v>
      </c>
      <c r="AE349" t="s">
        <v>1414</v>
      </c>
      <c r="AI349">
        <v>1303.7307930686959</v>
      </c>
      <c r="AJ349">
        <v>94289.215867527164</v>
      </c>
    </row>
    <row r="350" spans="1:36" hidden="1" x14ac:dyDescent="0.25">
      <c r="A350">
        <v>350</v>
      </c>
      <c r="C350" t="s">
        <v>376</v>
      </c>
      <c r="D350" t="s">
        <v>2041</v>
      </c>
      <c r="E350" t="s">
        <v>37</v>
      </c>
      <c r="G350" s="2">
        <v>45854</v>
      </c>
      <c r="I350" t="s">
        <v>72</v>
      </c>
      <c r="J350" t="s">
        <v>1024</v>
      </c>
      <c r="K350" t="s">
        <v>1025</v>
      </c>
      <c r="L350" t="s">
        <v>2042</v>
      </c>
      <c r="M350" t="s">
        <v>972</v>
      </c>
      <c r="N350" t="s">
        <v>2586</v>
      </c>
      <c r="O350" t="s">
        <v>113</v>
      </c>
      <c r="P350" t="s">
        <v>114</v>
      </c>
      <c r="Q350">
        <v>12.128439073493571</v>
      </c>
      <c r="R350" t="s">
        <v>46</v>
      </c>
      <c r="S350" t="s">
        <v>47</v>
      </c>
      <c r="T350" t="s">
        <v>2591</v>
      </c>
      <c r="V350" t="s">
        <v>76</v>
      </c>
      <c r="X350" t="s">
        <v>2589</v>
      </c>
      <c r="Y350" t="s">
        <v>2051</v>
      </c>
      <c r="Z350" t="s">
        <v>1460</v>
      </c>
      <c r="AA350" t="s">
        <v>121</v>
      </c>
      <c r="AB350" t="s">
        <v>453</v>
      </c>
      <c r="AD350" t="s">
        <v>1413</v>
      </c>
      <c r="AE350" t="s">
        <v>1414</v>
      </c>
      <c r="AI350">
        <v>914.54918612602387</v>
      </c>
      <c r="AJ350">
        <v>49082.247887049787</v>
      </c>
    </row>
    <row r="351" spans="1:36" hidden="1" x14ac:dyDescent="0.25">
      <c r="A351">
        <v>351</v>
      </c>
      <c r="C351" t="s">
        <v>376</v>
      </c>
      <c r="D351" t="s">
        <v>2041</v>
      </c>
      <c r="E351" t="s">
        <v>37</v>
      </c>
      <c r="G351" s="2">
        <v>45854</v>
      </c>
      <c r="I351" t="s">
        <v>72</v>
      </c>
      <c r="J351" t="s">
        <v>1024</v>
      </c>
      <c r="K351" t="s">
        <v>1025</v>
      </c>
      <c r="L351" t="s">
        <v>2042</v>
      </c>
      <c r="M351" t="s">
        <v>972</v>
      </c>
      <c r="N351" t="s">
        <v>2586</v>
      </c>
      <c r="O351" t="s">
        <v>113</v>
      </c>
      <c r="P351" t="s">
        <v>114</v>
      </c>
      <c r="Q351">
        <v>6.3051794957301643</v>
      </c>
      <c r="R351" t="s">
        <v>46</v>
      </c>
      <c r="S351" t="s">
        <v>47</v>
      </c>
      <c r="T351" t="s">
        <v>2591</v>
      </c>
      <c r="V351" t="s">
        <v>76</v>
      </c>
      <c r="X351" t="s">
        <v>2589</v>
      </c>
      <c r="Y351" t="s">
        <v>2051</v>
      </c>
      <c r="Z351" t="s">
        <v>1460</v>
      </c>
      <c r="AA351" t="s">
        <v>121</v>
      </c>
      <c r="AB351" t="s">
        <v>453</v>
      </c>
      <c r="AD351" t="s">
        <v>1413</v>
      </c>
      <c r="AE351" t="s">
        <v>1414</v>
      </c>
      <c r="AI351">
        <v>907.37291739284831</v>
      </c>
      <c r="AJ351">
        <v>25516.258201611148</v>
      </c>
    </row>
    <row r="352" spans="1:36" hidden="1" x14ac:dyDescent="0.25">
      <c r="A352">
        <v>352</v>
      </c>
      <c r="C352" t="s">
        <v>376</v>
      </c>
      <c r="D352" t="s">
        <v>2041</v>
      </c>
      <c r="E352" t="s">
        <v>37</v>
      </c>
      <c r="G352" s="2">
        <v>45854</v>
      </c>
      <c r="I352" t="s">
        <v>72</v>
      </c>
      <c r="J352" t="s">
        <v>1024</v>
      </c>
      <c r="K352" t="s">
        <v>1025</v>
      </c>
      <c r="L352" t="s">
        <v>2042</v>
      </c>
      <c r="M352" t="s">
        <v>972</v>
      </c>
      <c r="N352" t="s">
        <v>2586</v>
      </c>
      <c r="O352" t="s">
        <v>402</v>
      </c>
      <c r="P352" t="s">
        <v>403</v>
      </c>
      <c r="Q352">
        <v>6.635598869157028</v>
      </c>
      <c r="S352" t="s">
        <v>38</v>
      </c>
      <c r="T352" t="s">
        <v>2591</v>
      </c>
      <c r="V352" t="s">
        <v>76</v>
      </c>
      <c r="X352" t="s">
        <v>2589</v>
      </c>
      <c r="Y352" t="s">
        <v>2051</v>
      </c>
      <c r="Z352" t="s">
        <v>1460</v>
      </c>
      <c r="AA352" t="s">
        <v>121</v>
      </c>
      <c r="AB352" t="s">
        <v>453</v>
      </c>
      <c r="AD352" t="s">
        <v>145</v>
      </c>
      <c r="AI352">
        <v>787.85620418139069</v>
      </c>
      <c r="AJ352">
        <v>26853.423313704141</v>
      </c>
    </row>
    <row r="353" spans="1:36" hidden="1" x14ac:dyDescent="0.25">
      <c r="A353">
        <v>353</v>
      </c>
      <c r="C353" t="s">
        <v>376</v>
      </c>
      <c r="D353" t="s">
        <v>2041</v>
      </c>
      <c r="E353" t="s">
        <v>37</v>
      </c>
      <c r="G353" s="2">
        <v>45854</v>
      </c>
      <c r="I353" t="s">
        <v>72</v>
      </c>
      <c r="J353" t="s">
        <v>1024</v>
      </c>
      <c r="K353" t="s">
        <v>1025</v>
      </c>
      <c r="L353" t="s">
        <v>2042</v>
      </c>
      <c r="M353" t="s">
        <v>972</v>
      </c>
      <c r="N353" t="s">
        <v>2586</v>
      </c>
      <c r="O353" t="s">
        <v>113</v>
      </c>
      <c r="P353" t="s">
        <v>114</v>
      </c>
      <c r="Q353">
        <v>5.480352862809486</v>
      </c>
      <c r="R353" t="s">
        <v>46</v>
      </c>
      <c r="S353" t="s">
        <v>47</v>
      </c>
      <c r="T353" t="s">
        <v>2591</v>
      </c>
      <c r="V353" t="s">
        <v>76</v>
      </c>
      <c r="X353" t="s">
        <v>2589</v>
      </c>
      <c r="Y353" t="s">
        <v>2051</v>
      </c>
      <c r="Z353" t="s">
        <v>1460</v>
      </c>
      <c r="AA353" t="s">
        <v>121</v>
      </c>
      <c r="AB353" t="s">
        <v>453</v>
      </c>
      <c r="AD353" t="s">
        <v>1413</v>
      </c>
      <c r="AE353" t="s">
        <v>1414</v>
      </c>
      <c r="AI353">
        <v>924.13182687383733</v>
      </c>
      <c r="AJ353">
        <v>22178.289892949651</v>
      </c>
    </row>
    <row r="354" spans="1:36" hidden="1" x14ac:dyDescent="0.25">
      <c r="A354">
        <v>354</v>
      </c>
      <c r="C354" t="s">
        <v>376</v>
      </c>
      <c r="D354" t="s">
        <v>2041</v>
      </c>
      <c r="E354" t="s">
        <v>37</v>
      </c>
      <c r="G354" s="2">
        <v>45854</v>
      </c>
      <c r="I354" t="s">
        <v>72</v>
      </c>
      <c r="J354" t="s">
        <v>1024</v>
      </c>
      <c r="K354" t="s">
        <v>1025</v>
      </c>
      <c r="L354" t="s">
        <v>2042</v>
      </c>
      <c r="M354" t="s">
        <v>972</v>
      </c>
      <c r="N354" t="s">
        <v>2586</v>
      </c>
      <c r="O354" t="s">
        <v>113</v>
      </c>
      <c r="P354" t="s">
        <v>114</v>
      </c>
      <c r="Q354">
        <v>0.88384661930083153</v>
      </c>
      <c r="R354" t="s">
        <v>46</v>
      </c>
      <c r="S354" t="s">
        <v>47</v>
      </c>
      <c r="T354" t="s">
        <v>2591</v>
      </c>
      <c r="V354" t="s">
        <v>76</v>
      </c>
      <c r="X354" t="s">
        <v>2589</v>
      </c>
      <c r="Y354" t="s">
        <v>2051</v>
      </c>
      <c r="Z354" t="s">
        <v>1460</v>
      </c>
      <c r="AA354" t="s">
        <v>121</v>
      </c>
      <c r="AB354" t="s">
        <v>453</v>
      </c>
      <c r="AD354" t="s">
        <v>1413</v>
      </c>
      <c r="AE354" t="s">
        <v>1414</v>
      </c>
      <c r="AI354">
        <v>440.39916690402339</v>
      </c>
      <c r="AJ354">
        <v>3576.814674978491</v>
      </c>
    </row>
    <row r="355" spans="1:36" hidden="1" x14ac:dyDescent="0.25">
      <c r="A355">
        <v>355</v>
      </c>
      <c r="B355" t="s">
        <v>2523</v>
      </c>
      <c r="C355" t="s">
        <v>376</v>
      </c>
      <c r="D355" t="s">
        <v>2041</v>
      </c>
      <c r="E355" t="s">
        <v>37</v>
      </c>
      <c r="G355" s="2">
        <v>45854</v>
      </c>
      <c r="H355">
        <v>0.73</v>
      </c>
      <c r="I355" t="s">
        <v>72</v>
      </c>
      <c r="J355" t="s">
        <v>1024</v>
      </c>
      <c r="K355" t="s">
        <v>1025</v>
      </c>
      <c r="L355" t="s">
        <v>2042</v>
      </c>
      <c r="M355" t="s">
        <v>972</v>
      </c>
      <c r="N355" t="s">
        <v>2586</v>
      </c>
      <c r="O355" t="s">
        <v>115</v>
      </c>
      <c r="P355" t="s">
        <v>137</v>
      </c>
      <c r="Q355">
        <v>0.72567879993212803</v>
      </c>
      <c r="S355" t="s">
        <v>38</v>
      </c>
      <c r="T355" t="s">
        <v>2592</v>
      </c>
      <c r="V355" t="s">
        <v>61</v>
      </c>
      <c r="X355" t="s">
        <v>2589</v>
      </c>
      <c r="Y355" t="s">
        <v>2051</v>
      </c>
      <c r="Z355" t="s">
        <v>1460</v>
      </c>
      <c r="AA355" t="s">
        <v>860</v>
      </c>
      <c r="AB355" t="s">
        <v>453</v>
      </c>
      <c r="AD355" t="s">
        <v>1413</v>
      </c>
      <c r="AE355" t="s">
        <v>2583</v>
      </c>
      <c r="AI355">
        <v>208.00940463864561</v>
      </c>
      <c r="AJ355">
        <v>2936.7296590117462</v>
      </c>
    </row>
    <row r="356" spans="1:36" x14ac:dyDescent="0.25">
      <c r="A356">
        <v>367</v>
      </c>
      <c r="B356" t="s">
        <v>2596</v>
      </c>
      <c r="C356" t="s">
        <v>376</v>
      </c>
      <c r="D356" t="s">
        <v>2041</v>
      </c>
      <c r="E356" t="s">
        <v>37</v>
      </c>
      <c r="G356" s="2">
        <v>45854</v>
      </c>
      <c r="H356">
        <v>7.4</v>
      </c>
      <c r="I356" t="s">
        <v>72</v>
      </c>
      <c r="J356" t="s">
        <v>1024</v>
      </c>
      <c r="K356" t="s">
        <v>1025</v>
      </c>
      <c r="L356" t="s">
        <v>2042</v>
      </c>
      <c r="M356" t="s">
        <v>972</v>
      </c>
      <c r="O356" t="s">
        <v>62</v>
      </c>
      <c r="P356" t="s">
        <v>63</v>
      </c>
      <c r="Q356">
        <v>5.1688751698270261</v>
      </c>
      <c r="R356" t="s">
        <v>64</v>
      </c>
      <c r="S356" t="s">
        <v>65</v>
      </c>
      <c r="T356" t="s">
        <v>2597</v>
      </c>
      <c r="V356" t="s">
        <v>75</v>
      </c>
      <c r="X356" t="s">
        <v>2598</v>
      </c>
      <c r="Y356" t="s">
        <v>2045</v>
      </c>
      <c r="Z356" t="s">
        <v>1460</v>
      </c>
      <c r="AA356" t="s">
        <v>635</v>
      </c>
      <c r="AB356" t="s">
        <v>453</v>
      </c>
      <c r="AD356" t="s">
        <v>2599</v>
      </c>
      <c r="AE356" t="s">
        <v>2511</v>
      </c>
      <c r="AI356">
        <v>816.90267388528684</v>
      </c>
      <c r="AJ356">
        <v>20917.77934863211</v>
      </c>
    </row>
    <row r="357" spans="1:36" x14ac:dyDescent="0.25">
      <c r="A357">
        <v>372</v>
      </c>
      <c r="C357" t="s">
        <v>376</v>
      </c>
      <c r="D357" t="s">
        <v>2041</v>
      </c>
      <c r="E357" t="s">
        <v>37</v>
      </c>
      <c r="G357" s="2">
        <v>45855</v>
      </c>
      <c r="I357" t="s">
        <v>72</v>
      </c>
      <c r="J357" t="s">
        <v>1024</v>
      </c>
      <c r="K357" t="s">
        <v>1025</v>
      </c>
      <c r="L357" t="s">
        <v>2042</v>
      </c>
      <c r="M357" t="s">
        <v>972</v>
      </c>
      <c r="O357" t="s">
        <v>62</v>
      </c>
      <c r="P357" t="s">
        <v>63</v>
      </c>
      <c r="Q357">
        <v>2.0187838811630709</v>
      </c>
      <c r="R357" t="s">
        <v>64</v>
      </c>
      <c r="S357" t="s">
        <v>65</v>
      </c>
      <c r="V357" t="s">
        <v>60</v>
      </c>
      <c r="Y357" t="s">
        <v>2233</v>
      </c>
      <c r="Z357" t="s">
        <v>1460</v>
      </c>
      <c r="AA357" t="s">
        <v>119</v>
      </c>
      <c r="AB357" t="s">
        <v>453</v>
      </c>
      <c r="AI357">
        <v>394.22382079417952</v>
      </c>
      <c r="AJ357">
        <v>8169.7611939344679</v>
      </c>
    </row>
    <row r="358" spans="1:36" x14ac:dyDescent="0.25">
      <c r="A358">
        <v>386</v>
      </c>
      <c r="B358" t="s">
        <v>2345</v>
      </c>
      <c r="C358" t="s">
        <v>376</v>
      </c>
      <c r="D358" t="s">
        <v>2041</v>
      </c>
      <c r="E358" t="s">
        <v>37</v>
      </c>
      <c r="G358" s="2">
        <v>45854</v>
      </c>
      <c r="H358">
        <v>5.0999999999999996</v>
      </c>
      <c r="I358" t="s">
        <v>72</v>
      </c>
      <c r="J358" t="s">
        <v>1024</v>
      </c>
      <c r="K358" t="s">
        <v>1025</v>
      </c>
      <c r="L358" t="s">
        <v>2042</v>
      </c>
      <c r="M358" t="s">
        <v>972</v>
      </c>
      <c r="O358" t="s">
        <v>62</v>
      </c>
      <c r="P358" t="s">
        <v>63</v>
      </c>
      <c r="Q358">
        <v>0.18334357650339081</v>
      </c>
      <c r="R358" t="s">
        <v>64</v>
      </c>
      <c r="S358" t="s">
        <v>65</v>
      </c>
      <c r="T358" t="s">
        <v>2074</v>
      </c>
      <c r="V358" t="s">
        <v>118</v>
      </c>
      <c r="X358" t="s">
        <v>2062</v>
      </c>
      <c r="Y358" t="s">
        <v>2051</v>
      </c>
      <c r="Z358" t="s">
        <v>1460</v>
      </c>
      <c r="AA358" t="s">
        <v>50</v>
      </c>
      <c r="AD358" t="s">
        <v>145</v>
      </c>
      <c r="AE358" t="s">
        <v>2063</v>
      </c>
      <c r="AI358">
        <v>106.0090508715289</v>
      </c>
      <c r="AJ358">
        <v>741.96809794795649</v>
      </c>
    </row>
    <row r="359" spans="1:36" x14ac:dyDescent="0.25">
      <c r="A359">
        <v>390</v>
      </c>
      <c r="B359" t="s">
        <v>2158</v>
      </c>
      <c r="C359" t="s">
        <v>376</v>
      </c>
      <c r="D359" t="s">
        <v>2041</v>
      </c>
      <c r="E359" t="s">
        <v>37</v>
      </c>
      <c r="G359" s="2">
        <v>45854</v>
      </c>
      <c r="H359">
        <v>9.3000000000000007</v>
      </c>
      <c r="I359" t="s">
        <v>72</v>
      </c>
      <c r="J359" t="s">
        <v>1024</v>
      </c>
      <c r="K359" t="s">
        <v>1025</v>
      </c>
      <c r="L359" t="s">
        <v>2042</v>
      </c>
      <c r="M359" t="s">
        <v>972</v>
      </c>
      <c r="O359" t="s">
        <v>62</v>
      </c>
      <c r="P359" t="s">
        <v>63</v>
      </c>
      <c r="Q359">
        <v>3.3737160784050402</v>
      </c>
      <c r="R359" t="s">
        <v>64</v>
      </c>
      <c r="S359" t="s">
        <v>65</v>
      </c>
      <c r="T359" t="s">
        <v>2159</v>
      </c>
      <c r="V359" t="s">
        <v>75</v>
      </c>
      <c r="X359" t="s">
        <v>2157</v>
      </c>
      <c r="Y359" t="s">
        <v>2045</v>
      </c>
      <c r="Z359" t="s">
        <v>1460</v>
      </c>
      <c r="AA359" t="s">
        <v>635</v>
      </c>
      <c r="AD359" t="s">
        <v>1413</v>
      </c>
      <c r="AE359" t="s">
        <v>1414</v>
      </c>
      <c r="AI359">
        <v>678.05727680500422</v>
      </c>
      <c r="AJ359">
        <v>13652.99919118973</v>
      </c>
    </row>
    <row r="360" spans="1:36" x14ac:dyDescent="0.25">
      <c r="A360">
        <v>391</v>
      </c>
      <c r="B360" t="s">
        <v>2415</v>
      </c>
      <c r="C360" t="s">
        <v>376</v>
      </c>
      <c r="D360" t="s">
        <v>2041</v>
      </c>
      <c r="E360" t="s">
        <v>37</v>
      </c>
      <c r="G360" s="2">
        <v>45854</v>
      </c>
      <c r="H360">
        <v>0.7</v>
      </c>
      <c r="I360" t="s">
        <v>72</v>
      </c>
      <c r="J360" t="s">
        <v>1024</v>
      </c>
      <c r="K360" t="s">
        <v>1025</v>
      </c>
      <c r="L360" t="s">
        <v>2042</v>
      </c>
      <c r="M360" t="s">
        <v>972</v>
      </c>
      <c r="O360" t="s">
        <v>62</v>
      </c>
      <c r="P360" t="s">
        <v>63</v>
      </c>
      <c r="Q360">
        <v>0.11561961036232039</v>
      </c>
      <c r="R360" t="s">
        <v>64</v>
      </c>
      <c r="S360" t="s">
        <v>65</v>
      </c>
      <c r="T360" t="s">
        <v>2159</v>
      </c>
      <c r="V360" t="s">
        <v>75</v>
      </c>
      <c r="X360" t="s">
        <v>2157</v>
      </c>
      <c r="Y360" t="s">
        <v>2045</v>
      </c>
      <c r="Z360" t="s">
        <v>1460</v>
      </c>
      <c r="AA360" t="s">
        <v>629</v>
      </c>
      <c r="AD360" t="s">
        <v>1413</v>
      </c>
      <c r="AE360" t="s">
        <v>1414</v>
      </c>
      <c r="AI360">
        <v>113.0614181787852</v>
      </c>
      <c r="AJ360">
        <v>467.89783433960758</v>
      </c>
    </row>
    <row r="361" spans="1:36" hidden="1" x14ac:dyDescent="0.25">
      <c r="A361">
        <v>361</v>
      </c>
      <c r="B361" t="s">
        <v>2523</v>
      </c>
      <c r="C361" t="s">
        <v>376</v>
      </c>
      <c r="D361" t="s">
        <v>2041</v>
      </c>
      <c r="E361" t="s">
        <v>37</v>
      </c>
      <c r="G361" s="2">
        <v>45854</v>
      </c>
      <c r="H361">
        <v>0</v>
      </c>
      <c r="I361" t="s">
        <v>72</v>
      </c>
      <c r="J361" t="s">
        <v>1024</v>
      </c>
      <c r="K361" t="s">
        <v>1025</v>
      </c>
      <c r="L361" t="s">
        <v>2042</v>
      </c>
      <c r="M361" t="s">
        <v>972</v>
      </c>
      <c r="N361" t="s">
        <v>2586</v>
      </c>
      <c r="O361" t="s">
        <v>115</v>
      </c>
      <c r="P361" t="s">
        <v>137</v>
      </c>
      <c r="Q361">
        <v>1.048103727795985</v>
      </c>
      <c r="S361" t="s">
        <v>38</v>
      </c>
      <c r="T361" t="s">
        <v>2594</v>
      </c>
      <c r="V361" t="s">
        <v>61</v>
      </c>
      <c r="X361" t="s">
        <v>2589</v>
      </c>
      <c r="Y361" t="s">
        <v>2051</v>
      </c>
      <c r="Z361" t="s">
        <v>1460</v>
      </c>
      <c r="AA361" t="s">
        <v>860</v>
      </c>
      <c r="AB361" t="s">
        <v>453</v>
      </c>
      <c r="AD361" t="s">
        <v>1413</v>
      </c>
      <c r="AE361" t="s">
        <v>2583</v>
      </c>
      <c r="AI361">
        <v>252.2482551695015</v>
      </c>
      <c r="AJ361">
        <v>4241.5422683246697</v>
      </c>
    </row>
    <row r="362" spans="1:36" x14ac:dyDescent="0.25">
      <c r="A362">
        <v>400</v>
      </c>
      <c r="C362" t="s">
        <v>376</v>
      </c>
      <c r="D362" t="s">
        <v>2041</v>
      </c>
      <c r="E362" t="s">
        <v>37</v>
      </c>
      <c r="G362" s="2">
        <v>45855</v>
      </c>
      <c r="H362">
        <v>5.9</v>
      </c>
      <c r="I362" t="s">
        <v>72</v>
      </c>
      <c r="J362" t="s">
        <v>1024</v>
      </c>
      <c r="K362" t="s">
        <v>1025</v>
      </c>
      <c r="L362" t="s">
        <v>2042</v>
      </c>
      <c r="M362" t="s">
        <v>972</v>
      </c>
      <c r="O362" t="s">
        <v>62</v>
      </c>
      <c r="P362" t="s">
        <v>63</v>
      </c>
      <c r="Q362">
        <v>1.609641550349667</v>
      </c>
      <c r="R362" t="s">
        <v>64</v>
      </c>
      <c r="S362" t="s">
        <v>65</v>
      </c>
      <c r="T362" t="s">
        <v>2257</v>
      </c>
      <c r="V362" t="s">
        <v>73</v>
      </c>
      <c r="X362" t="s">
        <v>2243</v>
      </c>
      <c r="Y362" t="s">
        <v>2233</v>
      </c>
      <c r="Z362" t="s">
        <v>1460</v>
      </c>
      <c r="AA362" t="s">
        <v>603</v>
      </c>
      <c r="AD362" t="s">
        <v>93</v>
      </c>
      <c r="AE362" t="s">
        <v>2258</v>
      </c>
      <c r="AI362">
        <v>374.49729997807481</v>
      </c>
      <c r="AJ362">
        <v>6514.0143018255922</v>
      </c>
    </row>
    <row r="363" spans="1:36" x14ac:dyDescent="0.25">
      <c r="A363">
        <v>401</v>
      </c>
      <c r="B363" t="s">
        <v>2265</v>
      </c>
      <c r="C363" t="s">
        <v>376</v>
      </c>
      <c r="D363" t="s">
        <v>2041</v>
      </c>
      <c r="E363" t="s">
        <v>37</v>
      </c>
      <c r="G363" s="2">
        <v>45855</v>
      </c>
      <c r="H363">
        <v>2.2999999999999998</v>
      </c>
      <c r="I363" t="s">
        <v>72</v>
      </c>
      <c r="J363" t="s">
        <v>1024</v>
      </c>
      <c r="K363" t="s">
        <v>1025</v>
      </c>
      <c r="L363" t="s">
        <v>2042</v>
      </c>
      <c r="M363" t="s">
        <v>972</v>
      </c>
      <c r="O363" t="s">
        <v>62</v>
      </c>
      <c r="P363" t="s">
        <v>63</v>
      </c>
      <c r="Q363">
        <v>0.96501477183357243</v>
      </c>
      <c r="R363" t="s">
        <v>64</v>
      </c>
      <c r="S363" t="s">
        <v>65</v>
      </c>
      <c r="T363" t="s">
        <v>2257</v>
      </c>
      <c r="V363" t="s">
        <v>73</v>
      </c>
      <c r="X363" t="s">
        <v>2243</v>
      </c>
      <c r="Y363" t="s">
        <v>2233</v>
      </c>
      <c r="Z363" t="s">
        <v>1460</v>
      </c>
      <c r="AA363" t="s">
        <v>603</v>
      </c>
      <c r="AD363" t="s">
        <v>93</v>
      </c>
      <c r="AE363" t="s">
        <v>2258</v>
      </c>
      <c r="AI363">
        <v>295.88024950578802</v>
      </c>
      <c r="AJ363">
        <v>3905.291848257335</v>
      </c>
    </row>
    <row r="364" spans="1:36" x14ac:dyDescent="0.25">
      <c r="A364">
        <v>257</v>
      </c>
      <c r="B364" t="s">
        <v>2508</v>
      </c>
      <c r="C364" t="s">
        <v>376</v>
      </c>
      <c r="D364" t="s">
        <v>2041</v>
      </c>
      <c r="E364" t="s">
        <v>37</v>
      </c>
      <c r="G364" s="2">
        <v>45854</v>
      </c>
      <c r="H364">
        <v>11.14</v>
      </c>
      <c r="I364" t="s">
        <v>72</v>
      </c>
      <c r="J364" t="s">
        <v>1024</v>
      </c>
      <c r="K364" t="s">
        <v>1025</v>
      </c>
      <c r="L364" t="s">
        <v>2042</v>
      </c>
      <c r="M364" t="s">
        <v>972</v>
      </c>
      <c r="O364" t="s">
        <v>81</v>
      </c>
      <c r="P364" t="s">
        <v>82</v>
      </c>
      <c r="Q364">
        <v>12.58045568174111</v>
      </c>
      <c r="R364" t="s">
        <v>60</v>
      </c>
      <c r="S364" t="s">
        <v>66</v>
      </c>
      <c r="T364" t="s">
        <v>2509</v>
      </c>
      <c r="V364" t="s">
        <v>75</v>
      </c>
      <c r="X364" t="s">
        <v>2510</v>
      </c>
      <c r="Y364" t="s">
        <v>2045</v>
      </c>
      <c r="Z364" t="s">
        <v>1460</v>
      </c>
      <c r="AA364" t="s">
        <v>635</v>
      </c>
      <c r="AB364" t="s">
        <v>453</v>
      </c>
      <c r="AD364" t="s">
        <v>2025</v>
      </c>
      <c r="AE364" t="s">
        <v>2511</v>
      </c>
      <c r="AI364">
        <v>979.38347137398</v>
      </c>
      <c r="AJ364">
        <v>50911.501518174977</v>
      </c>
    </row>
    <row r="365" spans="1:36" x14ac:dyDescent="0.25">
      <c r="A365">
        <v>269</v>
      </c>
      <c r="B365" t="s">
        <v>2523</v>
      </c>
      <c r="C365" t="s">
        <v>376</v>
      </c>
      <c r="D365" t="s">
        <v>2041</v>
      </c>
      <c r="E365" t="s">
        <v>37</v>
      </c>
      <c r="G365" s="2">
        <v>45854</v>
      </c>
      <c r="H365">
        <v>6.96</v>
      </c>
      <c r="I365" t="s">
        <v>72</v>
      </c>
      <c r="J365" t="s">
        <v>1024</v>
      </c>
      <c r="K365" t="s">
        <v>1025</v>
      </c>
      <c r="L365" t="s">
        <v>2042</v>
      </c>
      <c r="M365" t="s">
        <v>972</v>
      </c>
      <c r="O365" t="s">
        <v>81</v>
      </c>
      <c r="P365" t="s">
        <v>82</v>
      </c>
      <c r="Q365">
        <v>5.9618748451720016</v>
      </c>
      <c r="R365" t="s">
        <v>60</v>
      </c>
      <c r="S365" t="s">
        <v>66</v>
      </c>
      <c r="T365" t="s">
        <v>2509</v>
      </c>
      <c r="V365" t="s">
        <v>75</v>
      </c>
      <c r="X365" t="s">
        <v>2510</v>
      </c>
      <c r="Y365" t="s">
        <v>2045</v>
      </c>
      <c r="Z365" t="s">
        <v>1460</v>
      </c>
      <c r="AA365" t="s">
        <v>635</v>
      </c>
      <c r="AB365" t="s">
        <v>453</v>
      </c>
      <c r="AD365" t="s">
        <v>2025</v>
      </c>
      <c r="AE365" t="s">
        <v>2511</v>
      </c>
      <c r="AI365">
        <v>752.05309927026929</v>
      </c>
      <c r="AJ365">
        <v>24126.94801442487</v>
      </c>
    </row>
    <row r="366" spans="1:36" hidden="1" x14ac:dyDescent="0.25">
      <c r="A366">
        <v>366</v>
      </c>
      <c r="B366" t="s">
        <v>2596</v>
      </c>
      <c r="C366" t="s">
        <v>376</v>
      </c>
      <c r="D366" t="s">
        <v>2041</v>
      </c>
      <c r="E366" t="s">
        <v>37</v>
      </c>
      <c r="G366" s="2">
        <v>45854</v>
      </c>
      <c r="H366">
        <v>8.4</v>
      </c>
      <c r="I366" t="s">
        <v>72</v>
      </c>
      <c r="J366" t="s">
        <v>1024</v>
      </c>
      <c r="K366" t="s">
        <v>1025</v>
      </c>
      <c r="L366" t="s">
        <v>2042</v>
      </c>
      <c r="M366" t="s">
        <v>972</v>
      </c>
      <c r="O366" t="s">
        <v>79</v>
      </c>
      <c r="P366" t="s">
        <v>80</v>
      </c>
      <c r="Q366">
        <v>6.1439803955519361</v>
      </c>
      <c r="R366" t="s">
        <v>60</v>
      </c>
      <c r="S366" t="s">
        <v>66</v>
      </c>
      <c r="T366" t="s">
        <v>2597</v>
      </c>
      <c r="V366" t="s">
        <v>75</v>
      </c>
      <c r="X366" t="s">
        <v>2598</v>
      </c>
      <c r="Y366" t="s">
        <v>2045</v>
      </c>
      <c r="Z366" t="s">
        <v>1460</v>
      </c>
      <c r="AA366" t="s">
        <v>635</v>
      </c>
      <c r="AB366" t="s">
        <v>453</v>
      </c>
      <c r="AD366" t="s">
        <v>2599</v>
      </c>
      <c r="AE366" t="s">
        <v>2511</v>
      </c>
      <c r="AI366">
        <v>919.54766656386391</v>
      </c>
      <c r="AJ366">
        <v>24863.905978363498</v>
      </c>
    </row>
    <row r="367" spans="1:36" x14ac:dyDescent="0.25">
      <c r="A367">
        <v>356</v>
      </c>
      <c r="B367" t="s">
        <v>2523</v>
      </c>
      <c r="C367" t="s">
        <v>376</v>
      </c>
      <c r="D367" t="s">
        <v>2041</v>
      </c>
      <c r="E367" t="s">
        <v>37</v>
      </c>
      <c r="G367" s="2">
        <v>45854</v>
      </c>
      <c r="H367">
        <v>1.08</v>
      </c>
      <c r="I367" t="s">
        <v>72</v>
      </c>
      <c r="J367" t="s">
        <v>1024</v>
      </c>
      <c r="K367" t="s">
        <v>1025</v>
      </c>
      <c r="L367" t="s">
        <v>2042</v>
      </c>
      <c r="M367" t="s">
        <v>972</v>
      </c>
      <c r="N367" t="s">
        <v>2586</v>
      </c>
      <c r="O367" t="s">
        <v>81</v>
      </c>
      <c r="P367" t="s">
        <v>82</v>
      </c>
      <c r="Q367">
        <v>2.5079265194002121</v>
      </c>
      <c r="R367" t="s">
        <v>46</v>
      </c>
      <c r="S367" t="s">
        <v>47</v>
      </c>
      <c r="T367" t="s">
        <v>2593</v>
      </c>
      <c r="V367" t="s">
        <v>61</v>
      </c>
      <c r="X367" t="s">
        <v>2589</v>
      </c>
      <c r="Y367" t="s">
        <v>2051</v>
      </c>
      <c r="Z367" t="s">
        <v>1460</v>
      </c>
      <c r="AA367" t="s">
        <v>860</v>
      </c>
      <c r="AB367" t="s">
        <v>453</v>
      </c>
      <c r="AD367" t="s">
        <v>1413</v>
      </c>
      <c r="AE367" t="s">
        <v>2583</v>
      </c>
      <c r="AI367">
        <v>476.28910013894262</v>
      </c>
      <c r="AJ367">
        <v>10149.25913893798</v>
      </c>
    </row>
    <row r="368" spans="1:36" hidden="1" x14ac:dyDescent="0.25">
      <c r="A368">
        <v>368</v>
      </c>
      <c r="C368" t="s">
        <v>376</v>
      </c>
      <c r="D368" t="s">
        <v>2041</v>
      </c>
      <c r="E368" t="s">
        <v>37</v>
      </c>
      <c r="G368" s="2">
        <v>45854</v>
      </c>
      <c r="H368">
        <v>1.6</v>
      </c>
      <c r="I368" t="s">
        <v>72</v>
      </c>
      <c r="J368" t="s">
        <v>1024</v>
      </c>
      <c r="K368" t="s">
        <v>1025</v>
      </c>
      <c r="L368" t="s">
        <v>2042</v>
      </c>
      <c r="M368" t="s">
        <v>972</v>
      </c>
      <c r="O368" t="s">
        <v>115</v>
      </c>
      <c r="P368" t="s">
        <v>137</v>
      </c>
      <c r="Q368">
        <v>1.6563852877444269</v>
      </c>
      <c r="S368" t="s">
        <v>38</v>
      </c>
      <c r="T368" t="s">
        <v>2600</v>
      </c>
      <c r="V368" t="s">
        <v>75</v>
      </c>
      <c r="Y368" t="s">
        <v>2051</v>
      </c>
      <c r="Z368" t="s">
        <v>1460</v>
      </c>
      <c r="AA368" t="s">
        <v>121</v>
      </c>
      <c r="AB368" t="s">
        <v>453</v>
      </c>
      <c r="AI368">
        <v>296.04781131998789</v>
      </c>
      <c r="AJ368">
        <v>6703.1802523716005</v>
      </c>
    </row>
    <row r="369" spans="1:36" hidden="1" x14ac:dyDescent="0.25">
      <c r="A369">
        <v>370</v>
      </c>
      <c r="B369" t="s">
        <v>2292</v>
      </c>
      <c r="C369" t="s">
        <v>376</v>
      </c>
      <c r="D369" t="s">
        <v>2041</v>
      </c>
      <c r="E369" t="s">
        <v>37</v>
      </c>
      <c r="G369" s="2">
        <v>45855</v>
      </c>
      <c r="H369">
        <v>1.2</v>
      </c>
      <c r="I369" t="s">
        <v>72</v>
      </c>
      <c r="J369" t="s">
        <v>1024</v>
      </c>
      <c r="K369" t="s">
        <v>1025</v>
      </c>
      <c r="L369" t="s">
        <v>2042</v>
      </c>
      <c r="M369" t="s">
        <v>972</v>
      </c>
      <c r="N369" t="s">
        <v>2241</v>
      </c>
      <c r="O369" t="s">
        <v>99</v>
      </c>
      <c r="P369" t="s">
        <v>100</v>
      </c>
      <c r="Q369">
        <v>0.35809092716188612</v>
      </c>
      <c r="R369" t="s">
        <v>46</v>
      </c>
      <c r="S369" t="s">
        <v>47</v>
      </c>
      <c r="T369" t="s">
        <v>2293</v>
      </c>
      <c r="V369" t="s">
        <v>60</v>
      </c>
      <c r="X369" t="s">
        <v>2243</v>
      </c>
      <c r="Y369" t="s">
        <v>2233</v>
      </c>
      <c r="Z369" t="s">
        <v>1460</v>
      </c>
      <c r="AA369" t="s">
        <v>119</v>
      </c>
      <c r="AB369" t="s">
        <v>453</v>
      </c>
      <c r="AD369" t="s">
        <v>145</v>
      </c>
      <c r="AE369" t="s">
        <v>1466</v>
      </c>
      <c r="AI369">
        <v>158.79273696224541</v>
      </c>
      <c r="AJ369">
        <v>1449.148364975913</v>
      </c>
    </row>
    <row r="370" spans="1:36" hidden="1" x14ac:dyDescent="0.25">
      <c r="A370">
        <v>371</v>
      </c>
      <c r="B370" t="s">
        <v>2292</v>
      </c>
      <c r="C370" t="s">
        <v>376</v>
      </c>
      <c r="D370" t="s">
        <v>2041</v>
      </c>
      <c r="E370" t="s">
        <v>37</v>
      </c>
      <c r="G370" s="2">
        <v>45855</v>
      </c>
      <c r="H370">
        <v>1.2</v>
      </c>
      <c r="I370" t="s">
        <v>72</v>
      </c>
      <c r="J370" t="s">
        <v>1024</v>
      </c>
      <c r="K370" t="s">
        <v>1025</v>
      </c>
      <c r="L370" t="s">
        <v>2042</v>
      </c>
      <c r="M370" t="s">
        <v>972</v>
      </c>
      <c r="N370" t="s">
        <v>2241</v>
      </c>
      <c r="O370" t="s">
        <v>1045</v>
      </c>
      <c r="P370" t="s">
        <v>133</v>
      </c>
      <c r="Q370">
        <v>0.26671513395003232</v>
      </c>
      <c r="R370" t="s">
        <v>46</v>
      </c>
      <c r="S370" t="s">
        <v>47</v>
      </c>
      <c r="T370" t="s">
        <v>2293</v>
      </c>
      <c r="V370" t="s">
        <v>60</v>
      </c>
      <c r="X370" t="s">
        <v>2243</v>
      </c>
      <c r="Y370" t="s">
        <v>2233</v>
      </c>
      <c r="Z370" t="s">
        <v>1460</v>
      </c>
      <c r="AA370" t="s">
        <v>119</v>
      </c>
      <c r="AB370" t="s">
        <v>453</v>
      </c>
      <c r="AD370" t="s">
        <v>145</v>
      </c>
      <c r="AE370" t="s">
        <v>1466</v>
      </c>
      <c r="AI370">
        <v>133.91414481540079</v>
      </c>
      <c r="AJ370">
        <v>1079.3621702213279</v>
      </c>
    </row>
    <row r="371" spans="1:36" x14ac:dyDescent="0.25">
      <c r="A371">
        <v>358</v>
      </c>
      <c r="B371" t="s">
        <v>2523</v>
      </c>
      <c r="C371" t="s">
        <v>376</v>
      </c>
      <c r="D371" t="s">
        <v>2041</v>
      </c>
      <c r="E371" t="s">
        <v>37</v>
      </c>
      <c r="G371" s="2">
        <v>45854</v>
      </c>
      <c r="H371">
        <v>3</v>
      </c>
      <c r="I371" t="s">
        <v>72</v>
      </c>
      <c r="J371" t="s">
        <v>1024</v>
      </c>
      <c r="K371" t="s">
        <v>1025</v>
      </c>
      <c r="L371" t="s">
        <v>2042</v>
      </c>
      <c r="M371" t="s">
        <v>972</v>
      </c>
      <c r="N371" t="s">
        <v>2586</v>
      </c>
      <c r="O371" t="s">
        <v>81</v>
      </c>
      <c r="P371" t="s">
        <v>82</v>
      </c>
      <c r="Q371">
        <v>5.7227079176114648</v>
      </c>
      <c r="R371" t="s">
        <v>46</v>
      </c>
      <c r="S371" t="s">
        <v>47</v>
      </c>
      <c r="T371" t="s">
        <v>2593</v>
      </c>
      <c r="V371" t="s">
        <v>61</v>
      </c>
      <c r="X371" t="s">
        <v>2589</v>
      </c>
      <c r="Y371" t="s">
        <v>2051</v>
      </c>
      <c r="Z371" t="s">
        <v>1460</v>
      </c>
      <c r="AA371" t="s">
        <v>860</v>
      </c>
      <c r="AB371" t="s">
        <v>453</v>
      </c>
      <c r="AD371" t="s">
        <v>1413</v>
      </c>
      <c r="AE371" t="s">
        <v>2583</v>
      </c>
      <c r="AI371">
        <v>643.16208883137767</v>
      </c>
      <c r="AJ371">
        <v>23159.06992609235</v>
      </c>
    </row>
    <row r="372" spans="1:36" hidden="1" x14ac:dyDescent="0.25">
      <c r="A372">
        <v>373</v>
      </c>
      <c r="C372" t="s">
        <v>376</v>
      </c>
      <c r="D372" t="s">
        <v>2041</v>
      </c>
      <c r="E372" t="s">
        <v>37</v>
      </c>
      <c r="G372" s="2">
        <v>45855</v>
      </c>
      <c r="H372">
        <v>5.9</v>
      </c>
      <c r="I372" t="s">
        <v>72</v>
      </c>
      <c r="J372" t="s">
        <v>1024</v>
      </c>
      <c r="K372" t="s">
        <v>1025</v>
      </c>
      <c r="L372" t="s">
        <v>2042</v>
      </c>
      <c r="M372" t="s">
        <v>972</v>
      </c>
      <c r="O372" t="s">
        <v>79</v>
      </c>
      <c r="P372" t="s">
        <v>80</v>
      </c>
      <c r="Q372">
        <v>3.0583374191349009</v>
      </c>
      <c r="R372" t="s">
        <v>46</v>
      </c>
      <c r="S372" t="s">
        <v>47</v>
      </c>
      <c r="T372" t="s">
        <v>2257</v>
      </c>
      <c r="V372" t="s">
        <v>73</v>
      </c>
      <c r="X372" t="s">
        <v>2243</v>
      </c>
      <c r="Y372" t="s">
        <v>2233</v>
      </c>
      <c r="Z372" t="s">
        <v>1460</v>
      </c>
      <c r="AA372" t="s">
        <v>603</v>
      </c>
      <c r="AD372" t="s">
        <v>93</v>
      </c>
      <c r="AE372" t="s">
        <v>2258</v>
      </c>
      <c r="AI372">
        <v>449.96500075184991</v>
      </c>
      <c r="AJ372">
        <v>12376.701933250541</v>
      </c>
    </row>
    <row r="373" spans="1:36" hidden="1" x14ac:dyDescent="0.25">
      <c r="A373">
        <v>374</v>
      </c>
      <c r="C373" t="s">
        <v>376</v>
      </c>
      <c r="D373" t="s">
        <v>2041</v>
      </c>
      <c r="E373" t="s">
        <v>37</v>
      </c>
      <c r="G373" s="2">
        <v>45855</v>
      </c>
      <c r="I373" t="s">
        <v>72</v>
      </c>
      <c r="J373" t="s">
        <v>1024</v>
      </c>
      <c r="K373" t="s">
        <v>1025</v>
      </c>
      <c r="L373" t="s">
        <v>2042</v>
      </c>
      <c r="M373" t="s">
        <v>972</v>
      </c>
      <c r="O373" t="s">
        <v>79</v>
      </c>
      <c r="P373" t="s">
        <v>80</v>
      </c>
      <c r="Q373">
        <v>4.8396089029203662</v>
      </c>
      <c r="R373" t="s">
        <v>60</v>
      </c>
      <c r="S373" t="s">
        <v>66</v>
      </c>
      <c r="T373" t="s">
        <v>2601</v>
      </c>
      <c r="V373" t="s">
        <v>46</v>
      </c>
      <c r="Y373" t="s">
        <v>2233</v>
      </c>
      <c r="Z373" t="s">
        <v>1460</v>
      </c>
      <c r="AA373" t="s">
        <v>125</v>
      </c>
      <c r="AB373" t="s">
        <v>453</v>
      </c>
      <c r="AI373">
        <v>674.15291931503089</v>
      </c>
      <c r="AJ373">
        <v>19585.280711732012</v>
      </c>
    </row>
    <row r="374" spans="1:36" hidden="1" x14ac:dyDescent="0.25">
      <c r="A374">
        <v>377</v>
      </c>
      <c r="C374" t="s">
        <v>376</v>
      </c>
      <c r="D374" t="s">
        <v>2041</v>
      </c>
      <c r="E374" t="s">
        <v>37</v>
      </c>
      <c r="G374" s="2">
        <v>45855</v>
      </c>
      <c r="I374" t="s">
        <v>72</v>
      </c>
      <c r="J374" t="s">
        <v>1024</v>
      </c>
      <c r="K374" t="s">
        <v>1025</v>
      </c>
      <c r="L374" t="s">
        <v>2042</v>
      </c>
      <c r="M374" t="s">
        <v>972</v>
      </c>
      <c r="N374" t="s">
        <v>2241</v>
      </c>
      <c r="O374" t="s">
        <v>79</v>
      </c>
      <c r="P374" t="s">
        <v>80</v>
      </c>
      <c r="Q374">
        <v>1.503702523050813</v>
      </c>
      <c r="R374" t="s">
        <v>60</v>
      </c>
      <c r="S374" t="s">
        <v>66</v>
      </c>
      <c r="T374" t="s">
        <v>2601</v>
      </c>
      <c r="V374" t="s">
        <v>46</v>
      </c>
      <c r="Y374" t="s">
        <v>2233</v>
      </c>
      <c r="Z374" t="s">
        <v>1460</v>
      </c>
      <c r="AA374" t="s">
        <v>125</v>
      </c>
      <c r="AB374" t="s">
        <v>453</v>
      </c>
      <c r="AI374">
        <v>322.32748532948477</v>
      </c>
      <c r="AJ374">
        <v>6085.2925539331427</v>
      </c>
    </row>
    <row r="375" spans="1:36" hidden="1" x14ac:dyDescent="0.25">
      <c r="A375">
        <v>378</v>
      </c>
      <c r="C375" t="s">
        <v>376</v>
      </c>
      <c r="D375" t="s">
        <v>2041</v>
      </c>
      <c r="E375" t="s">
        <v>37</v>
      </c>
      <c r="G375" s="2">
        <v>45854</v>
      </c>
      <c r="I375" t="s">
        <v>72</v>
      </c>
      <c r="J375" t="s">
        <v>1024</v>
      </c>
      <c r="K375" t="s">
        <v>1025</v>
      </c>
      <c r="L375" t="s">
        <v>2042</v>
      </c>
      <c r="M375" t="s">
        <v>972</v>
      </c>
      <c r="O375" t="s">
        <v>134</v>
      </c>
      <c r="P375" t="s">
        <v>135</v>
      </c>
      <c r="Q375">
        <v>6.5794345801238385E-2</v>
      </c>
      <c r="R375" t="s">
        <v>73</v>
      </c>
      <c r="S375" t="s">
        <v>74</v>
      </c>
      <c r="V375" t="s">
        <v>110</v>
      </c>
      <c r="AI375">
        <v>107.1061575915751</v>
      </c>
      <c r="AJ375">
        <v>266.26133590762657</v>
      </c>
    </row>
    <row r="376" spans="1:36" hidden="1" x14ac:dyDescent="0.25">
      <c r="A376">
        <v>379</v>
      </c>
      <c r="C376" t="s">
        <v>376</v>
      </c>
      <c r="D376" t="s">
        <v>2041</v>
      </c>
      <c r="E376" t="s">
        <v>37</v>
      </c>
      <c r="G376" s="2">
        <v>45854</v>
      </c>
      <c r="I376" t="s">
        <v>72</v>
      </c>
      <c r="J376" t="s">
        <v>1024</v>
      </c>
      <c r="K376" t="s">
        <v>1025</v>
      </c>
      <c r="L376" t="s">
        <v>2042</v>
      </c>
      <c r="M376" t="s">
        <v>972</v>
      </c>
      <c r="O376" t="s">
        <v>99</v>
      </c>
      <c r="P376" t="s">
        <v>100</v>
      </c>
      <c r="Q376">
        <v>0.17982215636199381</v>
      </c>
      <c r="R376" t="s">
        <v>60</v>
      </c>
      <c r="S376" t="s">
        <v>66</v>
      </c>
      <c r="V376" t="s">
        <v>110</v>
      </c>
      <c r="AI376">
        <v>110.6226182680228</v>
      </c>
      <c r="AJ376">
        <v>727.71735922987762</v>
      </c>
    </row>
    <row r="377" spans="1:36" hidden="1" x14ac:dyDescent="0.25">
      <c r="A377">
        <v>380</v>
      </c>
      <c r="C377" t="s">
        <v>376</v>
      </c>
      <c r="D377" t="s">
        <v>2041</v>
      </c>
      <c r="E377" t="s">
        <v>37</v>
      </c>
      <c r="G377" s="2">
        <v>45854</v>
      </c>
      <c r="I377" t="s">
        <v>72</v>
      </c>
      <c r="J377" t="s">
        <v>1024</v>
      </c>
      <c r="K377" t="s">
        <v>1025</v>
      </c>
      <c r="L377" t="s">
        <v>2042</v>
      </c>
      <c r="M377" t="s">
        <v>972</v>
      </c>
      <c r="O377" t="s">
        <v>704</v>
      </c>
      <c r="P377" t="s">
        <v>705</v>
      </c>
      <c r="Q377">
        <v>3.0019115142273931E-2</v>
      </c>
      <c r="R377" t="s">
        <v>60</v>
      </c>
      <c r="S377" t="s">
        <v>66</v>
      </c>
      <c r="V377" t="s">
        <v>110</v>
      </c>
      <c r="AI377">
        <v>44.215944555796398</v>
      </c>
      <c r="AJ377">
        <v>121.4835348419298</v>
      </c>
    </row>
    <row r="378" spans="1:36" hidden="1" x14ac:dyDescent="0.25">
      <c r="A378">
        <v>381</v>
      </c>
      <c r="C378" t="s">
        <v>376</v>
      </c>
      <c r="D378" t="s">
        <v>2041</v>
      </c>
      <c r="E378" t="s">
        <v>37</v>
      </c>
      <c r="G378" s="2">
        <v>45854</v>
      </c>
      <c r="I378" t="s">
        <v>72</v>
      </c>
      <c r="J378" t="s">
        <v>1024</v>
      </c>
      <c r="K378" t="s">
        <v>1025</v>
      </c>
      <c r="L378" t="s">
        <v>2042</v>
      </c>
      <c r="M378" t="s">
        <v>972</v>
      </c>
      <c r="O378" t="s">
        <v>704</v>
      </c>
      <c r="P378" t="s">
        <v>705</v>
      </c>
      <c r="Q378">
        <v>4.4568848883775727E-2</v>
      </c>
      <c r="R378" t="s">
        <v>46</v>
      </c>
      <c r="S378" t="s">
        <v>47</v>
      </c>
      <c r="V378" t="s">
        <v>118</v>
      </c>
      <c r="AI378">
        <v>54.238616522729863</v>
      </c>
      <c r="AJ378">
        <v>180.36445380137661</v>
      </c>
    </row>
    <row r="379" spans="1:36" hidden="1" x14ac:dyDescent="0.25">
      <c r="A379">
        <v>382</v>
      </c>
      <c r="C379" t="s">
        <v>376</v>
      </c>
      <c r="D379" t="s">
        <v>2041</v>
      </c>
      <c r="E379" t="s">
        <v>37</v>
      </c>
      <c r="G379" s="2">
        <v>45854</v>
      </c>
      <c r="I379" t="s">
        <v>72</v>
      </c>
      <c r="J379" t="s">
        <v>1024</v>
      </c>
      <c r="K379" t="s">
        <v>1025</v>
      </c>
      <c r="L379" t="s">
        <v>2042</v>
      </c>
      <c r="M379" t="s">
        <v>972</v>
      </c>
      <c r="O379" t="s">
        <v>96</v>
      </c>
      <c r="P379" t="s">
        <v>97</v>
      </c>
      <c r="Q379">
        <v>4.1006642205384233E-2</v>
      </c>
      <c r="R379" t="s">
        <v>60</v>
      </c>
      <c r="S379" t="s">
        <v>66</v>
      </c>
      <c r="V379" t="s">
        <v>118</v>
      </c>
      <c r="AI379">
        <v>49.74201948328718</v>
      </c>
      <c r="AJ379">
        <v>165.9486571638829</v>
      </c>
    </row>
    <row r="380" spans="1:36" hidden="1" x14ac:dyDescent="0.25">
      <c r="A380">
        <v>383</v>
      </c>
      <c r="C380" t="s">
        <v>376</v>
      </c>
      <c r="D380" t="s">
        <v>2041</v>
      </c>
      <c r="E380" t="s">
        <v>37</v>
      </c>
      <c r="G380" s="2">
        <v>45854</v>
      </c>
      <c r="I380" t="s">
        <v>72</v>
      </c>
      <c r="J380" t="s">
        <v>1024</v>
      </c>
      <c r="K380" t="s">
        <v>1025</v>
      </c>
      <c r="L380" t="s">
        <v>2042</v>
      </c>
      <c r="M380" t="s">
        <v>972</v>
      </c>
      <c r="O380" t="s">
        <v>1045</v>
      </c>
      <c r="P380" t="s">
        <v>133</v>
      </c>
      <c r="Q380">
        <v>9.9097104376470527E-2</v>
      </c>
      <c r="R380" t="s">
        <v>60</v>
      </c>
      <c r="S380" t="s">
        <v>66</v>
      </c>
      <c r="V380" t="s">
        <v>110</v>
      </c>
      <c r="AI380">
        <v>81.30834534637944</v>
      </c>
      <c r="AJ380">
        <v>401.03335741898837</v>
      </c>
    </row>
    <row r="381" spans="1:36" hidden="1" x14ac:dyDescent="0.25">
      <c r="A381">
        <v>384</v>
      </c>
      <c r="B381" t="s">
        <v>2060</v>
      </c>
      <c r="C381" t="s">
        <v>376</v>
      </c>
      <c r="D381" t="s">
        <v>2041</v>
      </c>
      <c r="E381" t="s">
        <v>37</v>
      </c>
      <c r="G381" s="2">
        <v>45854</v>
      </c>
      <c r="H381">
        <v>3.8</v>
      </c>
      <c r="I381" t="s">
        <v>72</v>
      </c>
      <c r="J381" t="s">
        <v>1024</v>
      </c>
      <c r="K381" t="s">
        <v>1025</v>
      </c>
      <c r="L381" t="s">
        <v>2042</v>
      </c>
      <c r="M381" t="s">
        <v>972</v>
      </c>
      <c r="O381" t="s">
        <v>113</v>
      </c>
      <c r="P381" t="s">
        <v>114</v>
      </c>
      <c r="Q381">
        <v>0.57331709568449529</v>
      </c>
      <c r="R381" t="s">
        <v>46</v>
      </c>
      <c r="S381" t="s">
        <v>47</v>
      </c>
      <c r="T381" t="s">
        <v>2067</v>
      </c>
      <c r="V381" t="s">
        <v>118</v>
      </c>
      <c r="X381" t="s">
        <v>2062</v>
      </c>
      <c r="Y381" t="s">
        <v>2051</v>
      </c>
      <c r="Z381" t="s">
        <v>1460</v>
      </c>
      <c r="AA381" t="s">
        <v>50</v>
      </c>
      <c r="AD381" t="s">
        <v>145</v>
      </c>
      <c r="AE381" t="s">
        <v>2063</v>
      </c>
      <c r="AI381">
        <v>244.96488560046831</v>
      </c>
      <c r="AJ381">
        <v>2320.1412512982401</v>
      </c>
    </row>
    <row r="382" spans="1:36" hidden="1" x14ac:dyDescent="0.25">
      <c r="A382">
        <v>385</v>
      </c>
      <c r="B382" t="s">
        <v>2060</v>
      </c>
      <c r="C382" t="s">
        <v>376</v>
      </c>
      <c r="D382" t="s">
        <v>2041</v>
      </c>
      <c r="E382" t="s">
        <v>37</v>
      </c>
      <c r="G382" s="2">
        <v>45854</v>
      </c>
      <c r="H382">
        <v>3.8</v>
      </c>
      <c r="I382" t="s">
        <v>72</v>
      </c>
      <c r="J382" t="s">
        <v>1024</v>
      </c>
      <c r="K382" t="s">
        <v>1025</v>
      </c>
      <c r="L382" t="s">
        <v>2042</v>
      </c>
      <c r="M382" t="s">
        <v>972</v>
      </c>
      <c r="O382" t="s">
        <v>96</v>
      </c>
      <c r="P382" t="s">
        <v>97</v>
      </c>
      <c r="Q382">
        <v>0.21543843770305809</v>
      </c>
      <c r="R382" t="s">
        <v>60</v>
      </c>
      <c r="S382" t="s">
        <v>66</v>
      </c>
      <c r="T382" t="s">
        <v>2067</v>
      </c>
      <c r="V382" t="s">
        <v>118</v>
      </c>
      <c r="X382" t="s">
        <v>2062</v>
      </c>
      <c r="Y382" t="s">
        <v>2051</v>
      </c>
      <c r="Z382" t="s">
        <v>1460</v>
      </c>
      <c r="AA382" t="s">
        <v>50</v>
      </c>
      <c r="AD382" t="s">
        <v>145</v>
      </c>
      <c r="AE382" t="s">
        <v>2063</v>
      </c>
      <c r="AI382">
        <v>116.698276427168</v>
      </c>
      <c r="AJ382">
        <v>871.85191265460639</v>
      </c>
    </row>
    <row r="383" spans="1:36" x14ac:dyDescent="0.25">
      <c r="A383">
        <v>359</v>
      </c>
      <c r="B383" t="s">
        <v>2523</v>
      </c>
      <c r="C383" t="s">
        <v>376</v>
      </c>
      <c r="D383" t="s">
        <v>2041</v>
      </c>
      <c r="E383" t="s">
        <v>37</v>
      </c>
      <c r="G383" s="2">
        <v>45854</v>
      </c>
      <c r="H383">
        <v>13.967000000000001</v>
      </c>
      <c r="I383" t="s">
        <v>72</v>
      </c>
      <c r="J383" t="s">
        <v>1024</v>
      </c>
      <c r="K383" t="s">
        <v>1025</v>
      </c>
      <c r="L383" t="s">
        <v>2042</v>
      </c>
      <c r="M383" t="s">
        <v>972</v>
      </c>
      <c r="N383" t="s">
        <v>2586</v>
      </c>
      <c r="O383" t="s">
        <v>81</v>
      </c>
      <c r="P383" t="s">
        <v>82</v>
      </c>
      <c r="Q383">
        <v>13.856388331978071</v>
      </c>
      <c r="R383" t="s">
        <v>46</v>
      </c>
      <c r="S383" t="s">
        <v>47</v>
      </c>
      <c r="T383" t="s">
        <v>2593</v>
      </c>
      <c r="V383" t="s">
        <v>61</v>
      </c>
      <c r="X383" t="s">
        <v>2589</v>
      </c>
      <c r="Y383" t="s">
        <v>2051</v>
      </c>
      <c r="Z383" t="s">
        <v>1460</v>
      </c>
      <c r="AB383" t="s">
        <v>453</v>
      </c>
      <c r="AD383" t="s">
        <v>1413</v>
      </c>
      <c r="AE383" t="s">
        <v>2583</v>
      </c>
      <c r="AI383">
        <v>939.61573709720903</v>
      </c>
      <c r="AJ383">
        <v>56075.03841246324</v>
      </c>
    </row>
    <row r="384" spans="1:36" x14ac:dyDescent="0.25">
      <c r="A384">
        <v>360</v>
      </c>
      <c r="B384" t="s">
        <v>2523</v>
      </c>
      <c r="C384" t="s">
        <v>376</v>
      </c>
      <c r="D384" t="s">
        <v>2041</v>
      </c>
      <c r="E384" t="s">
        <v>37</v>
      </c>
      <c r="G384" s="2">
        <v>45854</v>
      </c>
      <c r="H384">
        <v>26.496500000000001</v>
      </c>
      <c r="I384" t="s">
        <v>72</v>
      </c>
      <c r="J384" t="s">
        <v>1024</v>
      </c>
      <c r="K384" t="s">
        <v>1025</v>
      </c>
      <c r="L384" t="s">
        <v>2042</v>
      </c>
      <c r="M384" t="s">
        <v>972</v>
      </c>
      <c r="N384" t="s">
        <v>2586</v>
      </c>
      <c r="O384" t="s">
        <v>81</v>
      </c>
      <c r="P384" t="s">
        <v>82</v>
      </c>
      <c r="Q384">
        <v>19.61310746145017</v>
      </c>
      <c r="R384" t="s">
        <v>46</v>
      </c>
      <c r="S384" t="s">
        <v>47</v>
      </c>
      <c r="T384" t="s">
        <v>2593</v>
      </c>
      <c r="V384" t="s">
        <v>61</v>
      </c>
      <c r="X384" t="s">
        <v>2589</v>
      </c>
      <c r="Y384" t="s">
        <v>2051</v>
      </c>
      <c r="Z384" t="s">
        <v>1460</v>
      </c>
      <c r="AB384" t="s">
        <v>453</v>
      </c>
      <c r="AD384" t="s">
        <v>1413</v>
      </c>
      <c r="AE384" t="s">
        <v>2583</v>
      </c>
      <c r="AI384">
        <v>1230.884589855998</v>
      </c>
      <c r="AJ384">
        <v>79371.747380262997</v>
      </c>
    </row>
    <row r="385" spans="1:36" x14ac:dyDescent="0.25">
      <c r="A385">
        <v>363</v>
      </c>
      <c r="B385" t="s">
        <v>2523</v>
      </c>
      <c r="C385" t="s">
        <v>376</v>
      </c>
      <c r="D385" t="s">
        <v>2041</v>
      </c>
      <c r="E385" t="s">
        <v>37</v>
      </c>
      <c r="G385" s="2">
        <v>45854</v>
      </c>
      <c r="H385">
        <v>15.48</v>
      </c>
      <c r="I385" t="s">
        <v>72</v>
      </c>
      <c r="J385" t="s">
        <v>1024</v>
      </c>
      <c r="K385" t="s">
        <v>1025</v>
      </c>
      <c r="L385" t="s">
        <v>2042</v>
      </c>
      <c r="M385" t="s">
        <v>972</v>
      </c>
      <c r="N385" t="s">
        <v>2586</v>
      </c>
      <c r="O385" t="s">
        <v>81</v>
      </c>
      <c r="P385" t="s">
        <v>82</v>
      </c>
      <c r="Q385">
        <v>16.010154907331099</v>
      </c>
      <c r="R385" t="s">
        <v>46</v>
      </c>
      <c r="S385" t="s">
        <v>47</v>
      </c>
      <c r="T385" t="s">
        <v>2593</v>
      </c>
      <c r="V385" t="s">
        <v>61</v>
      </c>
      <c r="X385" t="s">
        <v>2589</v>
      </c>
      <c r="Y385" t="s">
        <v>2051</v>
      </c>
      <c r="Z385" t="s">
        <v>1460</v>
      </c>
      <c r="AB385" t="s">
        <v>453</v>
      </c>
      <c r="AD385" t="s">
        <v>1413</v>
      </c>
      <c r="AE385" t="s">
        <v>2583</v>
      </c>
      <c r="AI385">
        <v>1032.579501542604</v>
      </c>
      <c r="AJ385">
        <v>64791.057374322067</v>
      </c>
    </row>
    <row r="386" spans="1:36" hidden="1" x14ac:dyDescent="0.25">
      <c r="A386">
        <v>392</v>
      </c>
      <c r="C386" t="s">
        <v>376</v>
      </c>
      <c r="D386" t="s">
        <v>2041</v>
      </c>
      <c r="E386" t="s">
        <v>37</v>
      </c>
      <c r="G386" s="2">
        <v>45855</v>
      </c>
      <c r="I386" t="s">
        <v>72</v>
      </c>
      <c r="J386" t="s">
        <v>1024</v>
      </c>
      <c r="K386" t="s">
        <v>1025</v>
      </c>
      <c r="L386" t="s">
        <v>2042</v>
      </c>
      <c r="M386" t="s">
        <v>972</v>
      </c>
      <c r="O386" t="s">
        <v>99</v>
      </c>
      <c r="P386" t="s">
        <v>100</v>
      </c>
      <c r="Q386">
        <v>0.3875137964413482</v>
      </c>
      <c r="R386" t="s">
        <v>60</v>
      </c>
      <c r="S386" t="s">
        <v>66</v>
      </c>
      <c r="V386" t="s">
        <v>60</v>
      </c>
      <c r="AI386">
        <v>184.2523781605945</v>
      </c>
      <c r="AJ386">
        <v>1568.2189687668781</v>
      </c>
    </row>
    <row r="387" spans="1:36" hidden="1" x14ac:dyDescent="0.25">
      <c r="A387">
        <v>393</v>
      </c>
      <c r="B387" t="s">
        <v>2305</v>
      </c>
      <c r="C387" t="s">
        <v>376</v>
      </c>
      <c r="D387" t="s">
        <v>2041</v>
      </c>
      <c r="E387" t="s">
        <v>37</v>
      </c>
      <c r="G387" s="2">
        <v>45855</v>
      </c>
      <c r="H387">
        <v>0.3</v>
      </c>
      <c r="I387" t="s">
        <v>72</v>
      </c>
      <c r="J387" t="s">
        <v>1024</v>
      </c>
      <c r="K387" t="s">
        <v>1025</v>
      </c>
      <c r="L387" t="s">
        <v>2042</v>
      </c>
      <c r="M387" t="s">
        <v>972</v>
      </c>
      <c r="O387" t="s">
        <v>96</v>
      </c>
      <c r="P387" t="s">
        <v>97</v>
      </c>
      <c r="Q387">
        <v>0.1160079646866502</v>
      </c>
      <c r="R387" t="s">
        <v>60</v>
      </c>
      <c r="S387" t="s">
        <v>66</v>
      </c>
      <c r="T387" t="s">
        <v>2296</v>
      </c>
      <c r="V387" t="s">
        <v>60</v>
      </c>
      <c r="X387" t="s">
        <v>2297</v>
      </c>
      <c r="Y387" t="s">
        <v>2233</v>
      </c>
      <c r="Z387" t="s">
        <v>1460</v>
      </c>
      <c r="AA387" t="s">
        <v>119</v>
      </c>
      <c r="AD387" t="s">
        <v>93</v>
      </c>
      <c r="AE387" t="s">
        <v>2298</v>
      </c>
      <c r="AI387">
        <v>87.471094619237846</v>
      </c>
      <c r="AJ387">
        <v>469.46945481766409</v>
      </c>
    </row>
    <row r="388" spans="1:36" hidden="1" x14ac:dyDescent="0.25">
      <c r="A388">
        <v>394</v>
      </c>
      <c r="B388" t="s">
        <v>2299</v>
      </c>
      <c r="C388" t="s">
        <v>376</v>
      </c>
      <c r="D388" t="s">
        <v>2041</v>
      </c>
      <c r="E388" t="s">
        <v>37</v>
      </c>
      <c r="G388" s="2">
        <v>45855</v>
      </c>
      <c r="H388">
        <v>2.7</v>
      </c>
      <c r="I388" t="s">
        <v>72</v>
      </c>
      <c r="J388" t="s">
        <v>1024</v>
      </c>
      <c r="K388" t="s">
        <v>1025</v>
      </c>
      <c r="L388" t="s">
        <v>2042</v>
      </c>
      <c r="M388" t="s">
        <v>972</v>
      </c>
      <c r="O388" t="s">
        <v>99</v>
      </c>
      <c r="P388" t="s">
        <v>100</v>
      </c>
      <c r="Q388">
        <v>0.62793922028910132</v>
      </c>
      <c r="R388" t="s">
        <v>60</v>
      </c>
      <c r="S388" t="s">
        <v>66</v>
      </c>
      <c r="T388" t="s">
        <v>2257</v>
      </c>
      <c r="V388" t="s">
        <v>60</v>
      </c>
      <c r="X388" t="s">
        <v>2243</v>
      </c>
      <c r="Y388" t="s">
        <v>2233</v>
      </c>
      <c r="Z388" t="s">
        <v>1460</v>
      </c>
      <c r="AA388" t="s">
        <v>119</v>
      </c>
      <c r="AD388" t="s">
        <v>145</v>
      </c>
      <c r="AE388" t="s">
        <v>2300</v>
      </c>
      <c r="AI388">
        <v>224.87709818955341</v>
      </c>
      <c r="AJ388">
        <v>2541.1900312537582</v>
      </c>
    </row>
    <row r="389" spans="1:36" hidden="1" x14ac:dyDescent="0.25">
      <c r="A389">
        <v>395</v>
      </c>
      <c r="C389" t="s">
        <v>376</v>
      </c>
      <c r="D389" t="s">
        <v>2041</v>
      </c>
      <c r="E389" t="s">
        <v>37</v>
      </c>
      <c r="G389" s="2">
        <v>45855</v>
      </c>
      <c r="I389" t="s">
        <v>72</v>
      </c>
      <c r="J389" t="s">
        <v>1024</v>
      </c>
      <c r="K389" t="s">
        <v>1025</v>
      </c>
      <c r="L389" t="s">
        <v>2042</v>
      </c>
      <c r="M389" t="s">
        <v>972</v>
      </c>
      <c r="O389" t="s">
        <v>96</v>
      </c>
      <c r="P389" t="s">
        <v>97</v>
      </c>
      <c r="Q389">
        <v>9.4962573415374563E-2</v>
      </c>
      <c r="R389" t="s">
        <v>60</v>
      </c>
      <c r="S389" t="s">
        <v>66</v>
      </c>
      <c r="V389" t="s">
        <v>73</v>
      </c>
      <c r="AI389">
        <v>78.638061146034886</v>
      </c>
      <c r="AJ389">
        <v>384.30143731785211</v>
      </c>
    </row>
    <row r="390" spans="1:36" hidden="1" x14ac:dyDescent="0.25">
      <c r="A390">
        <v>396</v>
      </c>
      <c r="C390" t="s">
        <v>376</v>
      </c>
      <c r="D390" t="s">
        <v>2041</v>
      </c>
      <c r="E390" t="s">
        <v>37</v>
      </c>
      <c r="G390" s="2">
        <v>45855</v>
      </c>
      <c r="I390" t="s">
        <v>72</v>
      </c>
      <c r="J390" t="s">
        <v>1024</v>
      </c>
      <c r="K390" t="s">
        <v>1025</v>
      </c>
      <c r="L390" t="s">
        <v>2042</v>
      </c>
      <c r="M390" t="s">
        <v>972</v>
      </c>
      <c r="O390" t="s">
        <v>96</v>
      </c>
      <c r="P390" t="s">
        <v>97</v>
      </c>
      <c r="Q390">
        <v>6.5346892909352791E-2</v>
      </c>
      <c r="R390" t="s">
        <v>60</v>
      </c>
      <c r="S390" t="s">
        <v>66</v>
      </c>
      <c r="V390" t="s">
        <v>73</v>
      </c>
      <c r="AI390">
        <v>65.873148962429823</v>
      </c>
      <c r="AJ390">
        <v>264.4505510552458</v>
      </c>
    </row>
    <row r="391" spans="1:36" hidden="1" x14ac:dyDescent="0.25">
      <c r="A391">
        <v>397</v>
      </c>
      <c r="C391" t="s">
        <v>376</v>
      </c>
      <c r="D391" t="s">
        <v>2041</v>
      </c>
      <c r="E391" t="s">
        <v>37</v>
      </c>
      <c r="G391" s="2">
        <v>45855</v>
      </c>
      <c r="I391" t="s">
        <v>72</v>
      </c>
      <c r="J391" t="s">
        <v>1024</v>
      </c>
      <c r="K391" t="s">
        <v>1025</v>
      </c>
      <c r="L391" t="s">
        <v>2042</v>
      </c>
      <c r="M391" t="s">
        <v>972</v>
      </c>
      <c r="O391" t="s">
        <v>96</v>
      </c>
      <c r="P391" t="s">
        <v>97</v>
      </c>
      <c r="Q391">
        <v>4.4826150825906297E-2</v>
      </c>
      <c r="R391" t="s">
        <v>60</v>
      </c>
      <c r="S391" t="s">
        <v>66</v>
      </c>
      <c r="V391" t="s">
        <v>73</v>
      </c>
      <c r="AI391">
        <v>55.94159244480818</v>
      </c>
      <c r="AJ391">
        <v>181.40572198345231</v>
      </c>
    </row>
    <row r="392" spans="1:36" hidden="1" x14ac:dyDescent="0.25">
      <c r="A392">
        <v>398</v>
      </c>
      <c r="B392" t="s">
        <v>2274</v>
      </c>
      <c r="C392" t="s">
        <v>376</v>
      </c>
      <c r="D392" t="s">
        <v>2041</v>
      </c>
      <c r="E392" t="s">
        <v>37</v>
      </c>
      <c r="G392" s="2">
        <v>45855</v>
      </c>
      <c r="H392">
        <v>1.2</v>
      </c>
      <c r="I392" t="s">
        <v>72</v>
      </c>
      <c r="J392" t="s">
        <v>1024</v>
      </c>
      <c r="K392" t="s">
        <v>1025</v>
      </c>
      <c r="L392" t="s">
        <v>2042</v>
      </c>
      <c r="M392" t="s">
        <v>972</v>
      </c>
      <c r="O392" t="s">
        <v>79</v>
      </c>
      <c r="P392" t="s">
        <v>80</v>
      </c>
      <c r="Q392">
        <v>0.29189630401412531</v>
      </c>
      <c r="R392" t="s">
        <v>46</v>
      </c>
      <c r="S392" t="s">
        <v>47</v>
      </c>
      <c r="T392" t="s">
        <v>2257</v>
      </c>
      <c r="V392" t="s">
        <v>73</v>
      </c>
      <c r="X392" t="s">
        <v>2243</v>
      </c>
      <c r="Y392" t="s">
        <v>2233</v>
      </c>
      <c r="Z392" t="s">
        <v>1460</v>
      </c>
      <c r="AA392" t="s">
        <v>603</v>
      </c>
      <c r="AD392" t="s">
        <v>145</v>
      </c>
      <c r="AE392" t="s">
        <v>2275</v>
      </c>
      <c r="AI392">
        <v>152.7164908288743</v>
      </c>
      <c r="AJ392">
        <v>1181.2671576382911</v>
      </c>
    </row>
    <row r="393" spans="1:36" x14ac:dyDescent="0.25">
      <c r="A393">
        <v>364</v>
      </c>
      <c r="B393" t="s">
        <v>2523</v>
      </c>
      <c r="C393" t="s">
        <v>376</v>
      </c>
      <c r="D393" t="s">
        <v>2041</v>
      </c>
      <c r="E393" t="s">
        <v>37</v>
      </c>
      <c r="G393" s="2">
        <v>45854</v>
      </c>
      <c r="I393" t="s">
        <v>72</v>
      </c>
      <c r="J393" t="s">
        <v>1024</v>
      </c>
      <c r="K393" t="s">
        <v>1025</v>
      </c>
      <c r="L393" t="s">
        <v>2042</v>
      </c>
      <c r="M393" t="s">
        <v>972</v>
      </c>
      <c r="N393" t="s">
        <v>2586</v>
      </c>
      <c r="O393" t="s">
        <v>81</v>
      </c>
      <c r="P393" t="s">
        <v>82</v>
      </c>
      <c r="Q393">
        <v>14.33097244123601</v>
      </c>
      <c r="R393" t="s">
        <v>46</v>
      </c>
      <c r="S393" t="s">
        <v>47</v>
      </c>
      <c r="T393" t="s">
        <v>2593</v>
      </c>
      <c r="V393" t="s">
        <v>61</v>
      </c>
      <c r="X393" t="s">
        <v>2589</v>
      </c>
      <c r="Y393" t="s">
        <v>2051</v>
      </c>
      <c r="Z393" t="s">
        <v>1460</v>
      </c>
      <c r="AB393" t="s">
        <v>453</v>
      </c>
      <c r="AD393" t="s">
        <v>1413</v>
      </c>
      <c r="AE393" t="s">
        <v>2583</v>
      </c>
      <c r="AI393">
        <v>1008.570046922993</v>
      </c>
      <c r="AJ393">
        <v>57995.619845300738</v>
      </c>
    </row>
    <row r="394" spans="1:36" x14ac:dyDescent="0.25">
      <c r="A394">
        <v>365</v>
      </c>
      <c r="B394" t="s">
        <v>2523</v>
      </c>
      <c r="C394" t="s">
        <v>376</v>
      </c>
      <c r="D394" t="s">
        <v>2041</v>
      </c>
      <c r="E394" t="s">
        <v>37</v>
      </c>
      <c r="G394" s="2">
        <v>45854</v>
      </c>
      <c r="H394">
        <v>0.318</v>
      </c>
      <c r="I394" t="s">
        <v>72</v>
      </c>
      <c r="J394" t="s">
        <v>1024</v>
      </c>
      <c r="K394" t="s">
        <v>1025</v>
      </c>
      <c r="L394" t="s">
        <v>2042</v>
      </c>
      <c r="M394" t="s">
        <v>972</v>
      </c>
      <c r="N394" t="s">
        <v>2586</v>
      </c>
      <c r="O394" t="s">
        <v>81</v>
      </c>
      <c r="P394" t="s">
        <v>82</v>
      </c>
      <c r="Q394">
        <v>0.35000085928111241</v>
      </c>
      <c r="R394" t="s">
        <v>46</v>
      </c>
      <c r="S394" t="s">
        <v>47</v>
      </c>
      <c r="T394" t="s">
        <v>2593</v>
      </c>
      <c r="V394" t="s">
        <v>61</v>
      </c>
      <c r="X394" t="s">
        <v>2589</v>
      </c>
      <c r="Y394" t="s">
        <v>2051</v>
      </c>
      <c r="Z394" t="s">
        <v>1460</v>
      </c>
      <c r="AB394" t="s">
        <v>453</v>
      </c>
      <c r="AD394" t="s">
        <v>1413</v>
      </c>
      <c r="AE394" t="s">
        <v>2583</v>
      </c>
      <c r="AI394">
        <v>167.53017647141121</v>
      </c>
      <c r="AJ394">
        <v>1416.408890857186</v>
      </c>
    </row>
    <row r="395" spans="1:36" hidden="1" x14ac:dyDescent="0.25">
      <c r="A395">
        <v>402</v>
      </c>
      <c r="C395" t="s">
        <v>376</v>
      </c>
      <c r="D395" t="s">
        <v>2041</v>
      </c>
      <c r="E395" t="s">
        <v>37</v>
      </c>
      <c r="G395" s="2">
        <v>45855</v>
      </c>
      <c r="I395" t="s">
        <v>72</v>
      </c>
      <c r="J395" t="s">
        <v>1024</v>
      </c>
      <c r="K395" t="s">
        <v>1025</v>
      </c>
      <c r="L395" t="s">
        <v>2042</v>
      </c>
      <c r="M395" t="s">
        <v>972</v>
      </c>
      <c r="O395" t="s">
        <v>99</v>
      </c>
      <c r="P395" t="s">
        <v>100</v>
      </c>
      <c r="Q395">
        <v>1.7992095340789289</v>
      </c>
      <c r="R395" t="s">
        <v>60</v>
      </c>
      <c r="S395" t="s">
        <v>66</v>
      </c>
      <c r="V395" t="s">
        <v>64</v>
      </c>
      <c r="AI395">
        <v>476.54270722002121</v>
      </c>
      <c r="AJ395">
        <v>7281.1717828886312</v>
      </c>
    </row>
  </sheetData>
  <autoFilter ref="A1:AJ395" xr:uid="{00000000-0001-0000-0600-000000000000}">
    <filterColumn colId="15">
      <filters>
        <filter val="Fallow, idle or otherwise not irrigated"/>
        <filter val="Hay (all other)"/>
      </filters>
    </filterColumn>
    <sortState xmlns:xlrd2="http://schemas.microsoft.com/office/spreadsheetml/2017/richdata2" ref="A2:AJ394">
      <sortCondition ref="P1:P395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274"/>
  <sheetViews>
    <sheetView workbookViewId="0">
      <pane ySplit="1" topLeftCell="A216" activePane="bottomLeft" state="frozen"/>
      <selection pane="bottomLeft" activeCell="P3" sqref="P3"/>
    </sheetView>
  </sheetViews>
  <sheetFormatPr defaultRowHeight="15" x14ac:dyDescent="0.25"/>
  <sheetData>
    <row r="1" spans="1:3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idden="1" x14ac:dyDescent="0.25">
      <c r="A2">
        <v>1</v>
      </c>
      <c r="B2" t="s">
        <v>1480</v>
      </c>
      <c r="C2" t="s">
        <v>376</v>
      </c>
      <c r="D2" t="s">
        <v>1481</v>
      </c>
      <c r="E2" t="s">
        <v>37</v>
      </c>
      <c r="G2" s="2">
        <v>45861</v>
      </c>
      <c r="H2">
        <v>23.61102878427802</v>
      </c>
      <c r="I2" t="s">
        <v>72</v>
      </c>
      <c r="J2" t="s">
        <v>1024</v>
      </c>
      <c r="K2" t="s">
        <v>1025</v>
      </c>
      <c r="L2" t="s">
        <v>1482</v>
      </c>
      <c r="M2" t="s">
        <v>1483</v>
      </c>
      <c r="O2" t="s">
        <v>402</v>
      </c>
      <c r="P2" t="s">
        <v>403</v>
      </c>
      <c r="Q2">
        <v>23.61102878427802</v>
      </c>
      <c r="R2" t="s">
        <v>159</v>
      </c>
      <c r="S2" t="s">
        <v>38</v>
      </c>
      <c r="T2" t="s">
        <v>1484</v>
      </c>
      <c r="V2" t="s">
        <v>61</v>
      </c>
      <c r="W2" t="s">
        <v>1485</v>
      </c>
      <c r="X2" t="s">
        <v>673</v>
      </c>
      <c r="Y2" t="s">
        <v>1486</v>
      </c>
      <c r="Z2" t="s">
        <v>49</v>
      </c>
      <c r="AA2" t="s">
        <v>119</v>
      </c>
      <c r="AB2" t="s">
        <v>453</v>
      </c>
      <c r="AC2" t="s">
        <v>1487</v>
      </c>
      <c r="AD2" t="s">
        <v>57</v>
      </c>
      <c r="AI2">
        <v>1385.230728220032</v>
      </c>
      <c r="AJ2">
        <v>95550.825678047258</v>
      </c>
    </row>
    <row r="3" spans="1:36" hidden="1" x14ac:dyDescent="0.25">
      <c r="A3">
        <v>2</v>
      </c>
      <c r="B3" t="s">
        <v>1488</v>
      </c>
      <c r="C3" t="s">
        <v>376</v>
      </c>
      <c r="D3" t="s">
        <v>1481</v>
      </c>
      <c r="E3" t="s">
        <v>37</v>
      </c>
      <c r="G3" s="2">
        <v>45861</v>
      </c>
      <c r="H3">
        <v>2.2703547533236779</v>
      </c>
      <c r="I3" t="s">
        <v>72</v>
      </c>
      <c r="J3" t="s">
        <v>1024</v>
      </c>
      <c r="K3" t="s">
        <v>1025</v>
      </c>
      <c r="L3" t="s">
        <v>1482</v>
      </c>
      <c r="M3" t="s">
        <v>1483</v>
      </c>
      <c r="O3" t="s">
        <v>402</v>
      </c>
      <c r="P3" t="s">
        <v>403</v>
      </c>
      <c r="Q3">
        <v>2.2703547533236779</v>
      </c>
      <c r="R3" t="s">
        <v>159</v>
      </c>
      <c r="S3" t="s">
        <v>38</v>
      </c>
      <c r="T3" t="s">
        <v>1484</v>
      </c>
      <c r="V3" t="s">
        <v>86</v>
      </c>
      <c r="X3" t="s">
        <v>673</v>
      </c>
      <c r="Y3" t="s">
        <v>1486</v>
      </c>
      <c r="Z3" t="s">
        <v>49</v>
      </c>
      <c r="AA3" t="s">
        <v>618</v>
      </c>
      <c r="AB3" t="s">
        <v>453</v>
      </c>
      <c r="AC3" t="s">
        <v>57</v>
      </c>
      <c r="AD3" t="s">
        <v>57</v>
      </c>
      <c r="AI3">
        <v>427.84416162613422</v>
      </c>
      <c r="AJ3">
        <v>9187.8364659234066</v>
      </c>
    </row>
    <row r="4" spans="1:36" hidden="1" x14ac:dyDescent="0.25">
      <c r="A4">
        <v>3</v>
      </c>
      <c r="B4" t="s">
        <v>1489</v>
      </c>
      <c r="C4" t="s">
        <v>376</v>
      </c>
      <c r="D4" t="s">
        <v>1481</v>
      </c>
      <c r="E4" t="s">
        <v>37</v>
      </c>
      <c r="G4" s="2">
        <v>45861</v>
      </c>
      <c r="H4">
        <v>5.373773555604024</v>
      </c>
      <c r="I4" t="s">
        <v>72</v>
      </c>
      <c r="J4" t="s">
        <v>1024</v>
      </c>
      <c r="K4" t="s">
        <v>1025</v>
      </c>
      <c r="L4" t="s">
        <v>1482</v>
      </c>
      <c r="M4" t="s">
        <v>1483</v>
      </c>
      <c r="O4" t="s">
        <v>79</v>
      </c>
      <c r="P4" t="s">
        <v>80</v>
      </c>
      <c r="Q4">
        <v>5.373773555604024</v>
      </c>
      <c r="R4" t="s">
        <v>46</v>
      </c>
      <c r="S4" t="s">
        <v>47</v>
      </c>
      <c r="T4" t="s">
        <v>1490</v>
      </c>
      <c r="V4" t="s">
        <v>118</v>
      </c>
      <c r="X4" t="s">
        <v>1491</v>
      </c>
      <c r="Y4" t="s">
        <v>1486</v>
      </c>
      <c r="Z4" t="s">
        <v>49</v>
      </c>
      <c r="AA4" t="s">
        <v>182</v>
      </c>
      <c r="AB4" t="s">
        <v>453</v>
      </c>
      <c r="AC4" t="s">
        <v>1492</v>
      </c>
      <c r="AD4" t="s">
        <v>1493</v>
      </c>
      <c r="AE4" t="s">
        <v>808</v>
      </c>
      <c r="AI4">
        <v>926.59136532168816</v>
      </c>
      <c r="AJ4">
        <v>21746.977013840489</v>
      </c>
    </row>
    <row r="5" spans="1:36" hidden="1" x14ac:dyDescent="0.25">
      <c r="A5">
        <v>4</v>
      </c>
      <c r="B5" t="s">
        <v>1494</v>
      </c>
      <c r="C5" t="s">
        <v>376</v>
      </c>
      <c r="D5" t="s">
        <v>1481</v>
      </c>
      <c r="E5" t="s">
        <v>37</v>
      </c>
      <c r="G5" s="2">
        <v>45861</v>
      </c>
      <c r="H5">
        <v>3.7481711437291758</v>
      </c>
      <c r="I5" t="s">
        <v>72</v>
      </c>
      <c r="J5" t="s">
        <v>1024</v>
      </c>
      <c r="K5" t="s">
        <v>1025</v>
      </c>
      <c r="L5" t="s">
        <v>1482</v>
      </c>
      <c r="M5" t="s">
        <v>1483</v>
      </c>
      <c r="O5" t="s">
        <v>79</v>
      </c>
      <c r="P5" t="s">
        <v>80</v>
      </c>
      <c r="Q5">
        <v>3.7481711437291758</v>
      </c>
      <c r="R5" t="s">
        <v>46</v>
      </c>
      <c r="S5" t="s">
        <v>47</v>
      </c>
      <c r="T5" t="s">
        <v>1490</v>
      </c>
      <c r="V5" t="s">
        <v>118</v>
      </c>
      <c r="X5" t="s">
        <v>1491</v>
      </c>
      <c r="Y5" t="s">
        <v>1486</v>
      </c>
      <c r="Z5" t="s">
        <v>49</v>
      </c>
      <c r="AA5" t="s">
        <v>182</v>
      </c>
      <c r="AB5" t="s">
        <v>453</v>
      </c>
      <c r="AC5" t="s">
        <v>1492</v>
      </c>
      <c r="AD5" t="s">
        <v>1493</v>
      </c>
      <c r="AE5" t="s">
        <v>808</v>
      </c>
      <c r="AI5">
        <v>578.57502401701947</v>
      </c>
      <c r="AJ5">
        <v>15168.371138678651</v>
      </c>
    </row>
    <row r="6" spans="1:36" hidden="1" x14ac:dyDescent="0.25">
      <c r="A6">
        <v>5</v>
      </c>
      <c r="B6" t="s">
        <v>1495</v>
      </c>
      <c r="C6" t="s">
        <v>376</v>
      </c>
      <c r="D6" t="s">
        <v>1481</v>
      </c>
      <c r="E6" t="s">
        <v>37</v>
      </c>
      <c r="G6" s="2">
        <v>45861</v>
      </c>
      <c r="H6">
        <v>1.1742684681625231</v>
      </c>
      <c r="I6" t="s">
        <v>72</v>
      </c>
      <c r="J6" t="s">
        <v>1024</v>
      </c>
      <c r="K6" t="s">
        <v>1025</v>
      </c>
      <c r="L6" t="s">
        <v>1482</v>
      </c>
      <c r="M6" t="s">
        <v>1483</v>
      </c>
      <c r="O6" t="s">
        <v>79</v>
      </c>
      <c r="P6" t="s">
        <v>80</v>
      </c>
      <c r="Q6">
        <v>1.1742684681625231</v>
      </c>
      <c r="R6" t="s">
        <v>46</v>
      </c>
      <c r="S6" t="s">
        <v>47</v>
      </c>
      <c r="T6" t="s">
        <v>1490</v>
      </c>
      <c r="V6" t="s">
        <v>118</v>
      </c>
      <c r="X6" t="s">
        <v>1491</v>
      </c>
      <c r="Y6" t="s">
        <v>1486</v>
      </c>
      <c r="Z6" t="s">
        <v>49</v>
      </c>
      <c r="AA6" t="s">
        <v>182</v>
      </c>
      <c r="AB6" t="s">
        <v>453</v>
      </c>
      <c r="AC6" t="s">
        <v>1492</v>
      </c>
      <c r="AD6" t="s">
        <v>1493</v>
      </c>
      <c r="AE6" t="s">
        <v>808</v>
      </c>
      <c r="AI6">
        <v>314.58689601811977</v>
      </c>
      <c r="AJ6">
        <v>4752.1149004459076</v>
      </c>
    </row>
    <row r="7" spans="1:36" hidden="1" x14ac:dyDescent="0.25">
      <c r="A7">
        <v>6</v>
      </c>
      <c r="B7" t="s">
        <v>1496</v>
      </c>
      <c r="C7" t="s">
        <v>376</v>
      </c>
      <c r="D7" t="s">
        <v>1481</v>
      </c>
      <c r="E7" t="s">
        <v>37</v>
      </c>
      <c r="G7" s="2">
        <v>45861</v>
      </c>
      <c r="H7">
        <v>3.604735097724233</v>
      </c>
      <c r="I7" t="s">
        <v>72</v>
      </c>
      <c r="J7" t="s">
        <v>1024</v>
      </c>
      <c r="K7" t="s">
        <v>1025</v>
      </c>
      <c r="L7" t="s">
        <v>1482</v>
      </c>
      <c r="M7" t="s">
        <v>1483</v>
      </c>
      <c r="O7" t="s">
        <v>79</v>
      </c>
      <c r="P7" t="s">
        <v>80</v>
      </c>
      <c r="Q7">
        <v>3.604735097724233</v>
      </c>
      <c r="R7" t="s">
        <v>46</v>
      </c>
      <c r="S7" t="s">
        <v>47</v>
      </c>
      <c r="T7" t="s">
        <v>1490</v>
      </c>
      <c r="V7" t="s">
        <v>118</v>
      </c>
      <c r="X7" t="s">
        <v>1491</v>
      </c>
      <c r="Y7" t="s">
        <v>1486</v>
      </c>
      <c r="Z7" t="s">
        <v>49</v>
      </c>
      <c r="AA7" t="s">
        <v>182</v>
      </c>
      <c r="AB7" t="s">
        <v>453</v>
      </c>
      <c r="AC7" t="s">
        <v>1492</v>
      </c>
      <c r="AD7" t="s">
        <v>1493</v>
      </c>
      <c r="AE7" t="s">
        <v>808</v>
      </c>
      <c r="AI7">
        <v>535.1662423041646</v>
      </c>
      <c r="AJ7">
        <v>14587.903732832579</v>
      </c>
    </row>
    <row r="8" spans="1:36" hidden="1" x14ac:dyDescent="0.25">
      <c r="A8">
        <v>7</v>
      </c>
      <c r="B8" t="s">
        <v>1497</v>
      </c>
      <c r="C8" t="s">
        <v>376</v>
      </c>
      <c r="D8" t="s">
        <v>1481</v>
      </c>
      <c r="E8" t="s">
        <v>37</v>
      </c>
      <c r="G8" s="2">
        <v>45861</v>
      </c>
      <c r="H8">
        <v>1.409283469790815</v>
      </c>
      <c r="I8" t="s">
        <v>72</v>
      </c>
      <c r="J8" t="s">
        <v>1024</v>
      </c>
      <c r="K8" t="s">
        <v>1025</v>
      </c>
      <c r="L8" t="s">
        <v>1482</v>
      </c>
      <c r="M8" t="s">
        <v>1483</v>
      </c>
      <c r="O8" t="s">
        <v>79</v>
      </c>
      <c r="P8" t="s">
        <v>80</v>
      </c>
      <c r="Q8">
        <v>1.409283469790815</v>
      </c>
      <c r="R8" t="s">
        <v>46</v>
      </c>
      <c r="S8" t="s">
        <v>47</v>
      </c>
      <c r="T8" t="s">
        <v>1490</v>
      </c>
      <c r="V8" t="s">
        <v>118</v>
      </c>
      <c r="X8" t="s">
        <v>1491</v>
      </c>
      <c r="Y8" t="s">
        <v>1486</v>
      </c>
      <c r="Z8" t="s">
        <v>49</v>
      </c>
      <c r="AA8" t="s">
        <v>182</v>
      </c>
      <c r="AB8" t="s">
        <v>453</v>
      </c>
      <c r="AC8" t="s">
        <v>1492</v>
      </c>
      <c r="AD8" t="s">
        <v>1498</v>
      </c>
      <c r="AE8" t="s">
        <v>1499</v>
      </c>
      <c r="AI8">
        <v>324.65930228192212</v>
      </c>
      <c r="AJ8">
        <v>5703.1906734449994</v>
      </c>
    </row>
    <row r="9" spans="1:36" hidden="1" x14ac:dyDescent="0.25">
      <c r="A9">
        <v>8</v>
      </c>
      <c r="B9" t="s">
        <v>1500</v>
      </c>
      <c r="C9" t="s">
        <v>376</v>
      </c>
      <c r="D9" t="s">
        <v>1481</v>
      </c>
      <c r="E9" t="s">
        <v>37</v>
      </c>
      <c r="G9" s="2">
        <v>45861</v>
      </c>
      <c r="H9">
        <v>0.85459799167091322</v>
      </c>
      <c r="I9" t="s">
        <v>72</v>
      </c>
      <c r="J9" t="s">
        <v>1024</v>
      </c>
      <c r="K9" t="s">
        <v>1025</v>
      </c>
      <c r="L9" t="s">
        <v>1482</v>
      </c>
      <c r="M9" t="s">
        <v>1483</v>
      </c>
      <c r="O9" t="s">
        <v>906</v>
      </c>
      <c r="P9" t="s">
        <v>671</v>
      </c>
      <c r="Q9">
        <v>0.85459799167091322</v>
      </c>
      <c r="R9" t="s">
        <v>159</v>
      </c>
      <c r="S9" t="s">
        <v>38</v>
      </c>
      <c r="T9" t="s">
        <v>1501</v>
      </c>
      <c r="V9" t="s">
        <v>118</v>
      </c>
      <c r="X9" t="s">
        <v>1502</v>
      </c>
      <c r="Y9" t="s">
        <v>1486</v>
      </c>
      <c r="Z9" t="s">
        <v>49</v>
      </c>
      <c r="AA9" t="s">
        <v>182</v>
      </c>
      <c r="AB9" t="s">
        <v>453</v>
      </c>
      <c r="AC9" t="s">
        <v>1503</v>
      </c>
      <c r="AD9" t="s">
        <v>1493</v>
      </c>
      <c r="AE9" t="s">
        <v>1504</v>
      </c>
      <c r="AI9">
        <v>253.6896715525734</v>
      </c>
      <c r="AJ9">
        <v>3458.449204946563</v>
      </c>
    </row>
    <row r="10" spans="1:36" hidden="1" x14ac:dyDescent="0.25">
      <c r="A10">
        <v>9</v>
      </c>
      <c r="B10" t="s">
        <v>1505</v>
      </c>
      <c r="C10" t="s">
        <v>376</v>
      </c>
      <c r="D10" t="s">
        <v>1481</v>
      </c>
      <c r="E10" t="s">
        <v>37</v>
      </c>
      <c r="G10" s="2">
        <v>45861</v>
      </c>
      <c r="H10">
        <v>0.38043626326618257</v>
      </c>
      <c r="I10" t="s">
        <v>72</v>
      </c>
      <c r="J10" t="s">
        <v>1024</v>
      </c>
      <c r="K10" t="s">
        <v>1025</v>
      </c>
      <c r="L10" t="s">
        <v>1482</v>
      </c>
      <c r="M10" t="s">
        <v>1483</v>
      </c>
      <c r="O10" t="s">
        <v>906</v>
      </c>
      <c r="P10" t="s">
        <v>671</v>
      </c>
      <c r="Q10">
        <v>0.38043626326618257</v>
      </c>
      <c r="R10" t="s">
        <v>159</v>
      </c>
      <c r="S10" t="s">
        <v>38</v>
      </c>
      <c r="T10" t="s">
        <v>1501</v>
      </c>
      <c r="V10" t="s">
        <v>118</v>
      </c>
      <c r="X10" t="s">
        <v>1502</v>
      </c>
      <c r="Y10" t="s">
        <v>1486</v>
      </c>
      <c r="Z10" t="s">
        <v>49</v>
      </c>
      <c r="AA10" t="s">
        <v>182</v>
      </c>
      <c r="AB10" t="s">
        <v>453</v>
      </c>
      <c r="AC10" t="s">
        <v>1506</v>
      </c>
      <c r="AD10" t="s">
        <v>1493</v>
      </c>
      <c r="AE10" t="s">
        <v>1504</v>
      </c>
      <c r="AI10">
        <v>197.63553756421479</v>
      </c>
      <c r="AJ10">
        <v>1539.577093614824</v>
      </c>
    </row>
    <row r="11" spans="1:36" hidden="1" x14ac:dyDescent="0.25">
      <c r="A11">
        <v>10</v>
      </c>
      <c r="B11" t="s">
        <v>1507</v>
      </c>
      <c r="C11" t="s">
        <v>376</v>
      </c>
      <c r="D11" t="s">
        <v>1481</v>
      </c>
      <c r="E11" t="s">
        <v>37</v>
      </c>
      <c r="G11" s="2">
        <v>45861</v>
      </c>
      <c r="H11">
        <v>4.4841213027293563</v>
      </c>
      <c r="I11" t="s">
        <v>72</v>
      </c>
      <c r="J11" t="s">
        <v>1024</v>
      </c>
      <c r="K11" t="s">
        <v>1025</v>
      </c>
      <c r="L11" t="s">
        <v>1482</v>
      </c>
      <c r="M11" t="s">
        <v>1483</v>
      </c>
      <c r="O11" t="s">
        <v>79</v>
      </c>
      <c r="P11" t="s">
        <v>80</v>
      </c>
      <c r="Q11">
        <v>4.4841213027293563</v>
      </c>
      <c r="R11" t="s">
        <v>46</v>
      </c>
      <c r="S11" t="s">
        <v>47</v>
      </c>
      <c r="T11" t="s">
        <v>1490</v>
      </c>
      <c r="V11" t="s">
        <v>118</v>
      </c>
      <c r="X11" t="s">
        <v>1491</v>
      </c>
      <c r="Y11" t="s">
        <v>1486</v>
      </c>
      <c r="Z11" t="s">
        <v>49</v>
      </c>
      <c r="AA11" t="s">
        <v>182</v>
      </c>
      <c r="AB11" t="s">
        <v>453</v>
      </c>
      <c r="AC11" t="s">
        <v>1492</v>
      </c>
      <c r="AD11" t="s">
        <v>1498</v>
      </c>
      <c r="AE11" t="s">
        <v>1499</v>
      </c>
      <c r="AI11">
        <v>563.50372378919587</v>
      </c>
      <c r="AJ11">
        <v>18146.667679369079</v>
      </c>
    </row>
    <row r="12" spans="1:36" hidden="1" x14ac:dyDescent="0.25">
      <c r="A12">
        <v>11</v>
      </c>
      <c r="B12" t="s">
        <v>1508</v>
      </c>
      <c r="C12" t="s">
        <v>376</v>
      </c>
      <c r="D12" t="s">
        <v>1481</v>
      </c>
      <c r="E12" t="s">
        <v>37</v>
      </c>
      <c r="G12" s="2">
        <v>45861</v>
      </c>
      <c r="H12">
        <v>2.2756253099318529</v>
      </c>
      <c r="I12" t="s">
        <v>72</v>
      </c>
      <c r="J12" t="s">
        <v>1024</v>
      </c>
      <c r="K12" t="s">
        <v>1025</v>
      </c>
      <c r="L12" t="s">
        <v>1482</v>
      </c>
      <c r="M12" t="s">
        <v>1483</v>
      </c>
      <c r="O12" t="s">
        <v>79</v>
      </c>
      <c r="P12" t="s">
        <v>80</v>
      </c>
      <c r="Q12">
        <v>2.2756253099318529</v>
      </c>
      <c r="R12" t="s">
        <v>46</v>
      </c>
      <c r="S12" t="s">
        <v>47</v>
      </c>
      <c r="T12" t="s">
        <v>1490</v>
      </c>
      <c r="V12" t="s">
        <v>118</v>
      </c>
      <c r="X12" t="s">
        <v>1491</v>
      </c>
      <c r="Y12" t="s">
        <v>1486</v>
      </c>
      <c r="Z12" t="s">
        <v>49</v>
      </c>
      <c r="AA12" t="s">
        <v>182</v>
      </c>
      <c r="AB12" t="s">
        <v>453</v>
      </c>
      <c r="AC12" t="s">
        <v>1492</v>
      </c>
      <c r="AD12" t="s">
        <v>1493</v>
      </c>
      <c r="AE12" t="s">
        <v>808</v>
      </c>
      <c r="AI12">
        <v>419.92362424766191</v>
      </c>
      <c r="AJ12">
        <v>9209.1657370998219</v>
      </c>
    </row>
    <row r="13" spans="1:36" hidden="1" x14ac:dyDescent="0.25">
      <c r="A13">
        <v>12</v>
      </c>
      <c r="B13" t="s">
        <v>1509</v>
      </c>
      <c r="C13" t="s">
        <v>376</v>
      </c>
      <c r="D13" t="s">
        <v>1481</v>
      </c>
      <c r="E13" t="s">
        <v>37</v>
      </c>
      <c r="G13" s="2">
        <v>45861</v>
      </c>
      <c r="H13">
        <v>3.4686161034215131</v>
      </c>
      <c r="I13" t="s">
        <v>72</v>
      </c>
      <c r="J13" t="s">
        <v>1024</v>
      </c>
      <c r="K13" t="s">
        <v>1025</v>
      </c>
      <c r="L13" t="s">
        <v>1482</v>
      </c>
      <c r="M13" t="s">
        <v>1483</v>
      </c>
      <c r="O13" t="s">
        <v>79</v>
      </c>
      <c r="P13" t="s">
        <v>80</v>
      </c>
      <c r="Q13">
        <v>3.4686161034215131</v>
      </c>
      <c r="R13" t="s">
        <v>46</v>
      </c>
      <c r="S13" t="s">
        <v>47</v>
      </c>
      <c r="T13" t="s">
        <v>1490</v>
      </c>
      <c r="V13" t="s">
        <v>110</v>
      </c>
      <c r="X13" t="s">
        <v>1491</v>
      </c>
      <c r="Y13" t="s">
        <v>1486</v>
      </c>
      <c r="Z13" t="s">
        <v>49</v>
      </c>
      <c r="AA13" t="s">
        <v>182</v>
      </c>
      <c r="AB13" t="s">
        <v>453</v>
      </c>
      <c r="AC13" t="s">
        <v>1506</v>
      </c>
      <c r="AD13" t="s">
        <v>1493</v>
      </c>
      <c r="AE13" t="s">
        <v>1510</v>
      </c>
      <c r="AI13">
        <v>485.62566196884148</v>
      </c>
      <c r="AJ13">
        <v>14037.047503105279</v>
      </c>
    </row>
    <row r="14" spans="1:36" hidden="1" x14ac:dyDescent="0.25">
      <c r="A14">
        <v>13</v>
      </c>
      <c r="B14" t="s">
        <v>1511</v>
      </c>
      <c r="C14" t="s">
        <v>376</v>
      </c>
      <c r="D14" t="s">
        <v>1481</v>
      </c>
      <c r="E14" t="s">
        <v>37</v>
      </c>
      <c r="G14" s="2">
        <v>45861</v>
      </c>
      <c r="H14">
        <v>1.8545624660844831</v>
      </c>
      <c r="I14" t="s">
        <v>72</v>
      </c>
      <c r="J14" t="s">
        <v>1024</v>
      </c>
      <c r="K14" t="s">
        <v>1025</v>
      </c>
      <c r="L14" t="s">
        <v>1482</v>
      </c>
      <c r="M14" t="s">
        <v>1483</v>
      </c>
      <c r="O14" t="s">
        <v>79</v>
      </c>
      <c r="P14" t="s">
        <v>80</v>
      </c>
      <c r="Q14">
        <v>1.8545624660844831</v>
      </c>
      <c r="R14" t="s">
        <v>46</v>
      </c>
      <c r="S14" t="s">
        <v>47</v>
      </c>
      <c r="T14" t="s">
        <v>1490</v>
      </c>
      <c r="V14" t="s">
        <v>110</v>
      </c>
      <c r="X14" t="s">
        <v>1491</v>
      </c>
      <c r="Y14" t="s">
        <v>1486</v>
      </c>
      <c r="Z14" t="s">
        <v>49</v>
      </c>
      <c r="AA14" t="s">
        <v>182</v>
      </c>
      <c r="AB14" t="s">
        <v>453</v>
      </c>
      <c r="AC14" t="s">
        <v>1506</v>
      </c>
      <c r="AD14" t="s">
        <v>1493</v>
      </c>
      <c r="AE14" t="s">
        <v>1510</v>
      </c>
      <c r="AI14">
        <v>403.31654123976301</v>
      </c>
      <c r="AJ14">
        <v>7505.1780472981391</v>
      </c>
    </row>
    <row r="15" spans="1:36" hidden="1" x14ac:dyDescent="0.25">
      <c r="A15">
        <v>14</v>
      </c>
      <c r="B15" t="s">
        <v>1512</v>
      </c>
      <c r="C15" t="s">
        <v>376</v>
      </c>
      <c r="D15" t="s">
        <v>1481</v>
      </c>
      <c r="E15" t="s">
        <v>37</v>
      </c>
      <c r="G15" s="2">
        <v>45861</v>
      </c>
      <c r="H15">
        <v>6.9791336981283241</v>
      </c>
      <c r="I15" t="s">
        <v>72</v>
      </c>
      <c r="J15" t="s">
        <v>1024</v>
      </c>
      <c r="K15" t="s">
        <v>1025</v>
      </c>
      <c r="L15" t="s">
        <v>1482</v>
      </c>
      <c r="M15" t="s">
        <v>1483</v>
      </c>
      <c r="O15" t="s">
        <v>79</v>
      </c>
      <c r="P15" t="s">
        <v>80</v>
      </c>
      <c r="Q15">
        <v>6.9791336981283241</v>
      </c>
      <c r="R15" t="s">
        <v>46</v>
      </c>
      <c r="S15" t="s">
        <v>47</v>
      </c>
      <c r="T15" t="s">
        <v>1490</v>
      </c>
      <c r="V15" t="s">
        <v>110</v>
      </c>
      <c r="X15" t="s">
        <v>1491</v>
      </c>
      <c r="Y15" t="s">
        <v>1486</v>
      </c>
      <c r="Z15" t="s">
        <v>49</v>
      </c>
      <c r="AA15" t="s">
        <v>182</v>
      </c>
      <c r="AB15" t="s">
        <v>453</v>
      </c>
      <c r="AC15" t="s">
        <v>1506</v>
      </c>
      <c r="AD15" t="s">
        <v>1493</v>
      </c>
      <c r="AE15" t="s">
        <v>1510</v>
      </c>
      <c r="AI15">
        <v>899.65428868571723</v>
      </c>
      <c r="AJ15">
        <v>28243.665003605911</v>
      </c>
    </row>
    <row r="16" spans="1:36" hidden="1" x14ac:dyDescent="0.25">
      <c r="A16">
        <v>15</v>
      </c>
      <c r="B16" t="s">
        <v>1513</v>
      </c>
      <c r="C16" t="s">
        <v>376</v>
      </c>
      <c r="D16" t="s">
        <v>1481</v>
      </c>
      <c r="E16" t="s">
        <v>37</v>
      </c>
      <c r="G16" s="2">
        <v>45861</v>
      </c>
      <c r="H16">
        <v>13.53543487234187</v>
      </c>
      <c r="I16" t="s">
        <v>72</v>
      </c>
      <c r="J16" t="s">
        <v>1024</v>
      </c>
      <c r="K16" t="s">
        <v>1025</v>
      </c>
      <c r="L16" t="s">
        <v>1482</v>
      </c>
      <c r="M16" t="s">
        <v>1483</v>
      </c>
      <c r="O16" t="s">
        <v>79</v>
      </c>
      <c r="P16" t="s">
        <v>80</v>
      </c>
      <c r="Q16">
        <v>13.53543487234187</v>
      </c>
      <c r="R16" t="s">
        <v>46</v>
      </c>
      <c r="S16" t="s">
        <v>47</v>
      </c>
      <c r="T16" t="s">
        <v>1514</v>
      </c>
      <c r="V16" t="s">
        <v>110</v>
      </c>
      <c r="X16" t="s">
        <v>673</v>
      </c>
      <c r="Y16" t="s">
        <v>1486</v>
      </c>
      <c r="Z16" t="s">
        <v>49</v>
      </c>
      <c r="AA16" t="s">
        <v>182</v>
      </c>
      <c r="AB16" t="s">
        <v>453</v>
      </c>
      <c r="AC16" t="s">
        <v>1506</v>
      </c>
      <c r="AE16" t="s">
        <v>38</v>
      </c>
      <c r="AF16" t="s">
        <v>1515</v>
      </c>
      <c r="AI16">
        <v>1004.346292977164</v>
      </c>
      <c r="AJ16">
        <v>54776.180647617119</v>
      </c>
    </row>
    <row r="17" spans="1:36" x14ac:dyDescent="0.25">
      <c r="A17">
        <v>16</v>
      </c>
      <c r="B17" t="s">
        <v>1516</v>
      </c>
      <c r="C17" t="s">
        <v>376</v>
      </c>
      <c r="D17" t="s">
        <v>1481</v>
      </c>
      <c r="E17" t="s">
        <v>37</v>
      </c>
      <c r="G17" s="2">
        <v>45861</v>
      </c>
      <c r="H17">
        <v>3.2320483367595569</v>
      </c>
      <c r="I17" t="s">
        <v>72</v>
      </c>
      <c r="J17" t="s">
        <v>1024</v>
      </c>
      <c r="K17" t="s">
        <v>1025</v>
      </c>
      <c r="L17" t="s">
        <v>1482</v>
      </c>
      <c r="M17" t="s">
        <v>1483</v>
      </c>
      <c r="O17" t="s">
        <v>62</v>
      </c>
      <c r="P17" t="s">
        <v>63</v>
      </c>
      <c r="Q17">
        <v>3.2320483367595569</v>
      </c>
      <c r="R17" t="s">
        <v>64</v>
      </c>
      <c r="S17" t="s">
        <v>65</v>
      </c>
      <c r="T17" t="s">
        <v>1490</v>
      </c>
      <c r="V17" t="s">
        <v>110</v>
      </c>
      <c r="X17" t="s">
        <v>1491</v>
      </c>
      <c r="Y17" t="s">
        <v>1486</v>
      </c>
      <c r="Z17" t="s">
        <v>49</v>
      </c>
      <c r="AA17" t="s">
        <v>182</v>
      </c>
      <c r="AB17" t="s">
        <v>453</v>
      </c>
      <c r="AC17" t="s">
        <v>1506</v>
      </c>
      <c r="AD17" t="s">
        <v>1493</v>
      </c>
      <c r="AE17" t="s">
        <v>1510</v>
      </c>
      <c r="AI17">
        <v>518.07104195590682</v>
      </c>
      <c r="AJ17">
        <v>13079.687887821879</v>
      </c>
    </row>
    <row r="18" spans="1:36" x14ac:dyDescent="0.25">
      <c r="A18">
        <v>17</v>
      </c>
      <c r="B18" t="s">
        <v>1517</v>
      </c>
      <c r="C18" t="s">
        <v>376</v>
      </c>
      <c r="D18" t="s">
        <v>1481</v>
      </c>
      <c r="E18" t="s">
        <v>37</v>
      </c>
      <c r="G18" s="2">
        <v>45861</v>
      </c>
      <c r="H18">
        <v>1.0901443563452</v>
      </c>
      <c r="I18" t="s">
        <v>72</v>
      </c>
      <c r="J18" t="s">
        <v>1024</v>
      </c>
      <c r="K18" t="s">
        <v>1025</v>
      </c>
      <c r="L18" t="s">
        <v>1482</v>
      </c>
      <c r="M18" t="s">
        <v>1483</v>
      </c>
      <c r="O18" t="s">
        <v>62</v>
      </c>
      <c r="P18" t="s">
        <v>63</v>
      </c>
      <c r="Q18">
        <v>1.0901443563452</v>
      </c>
      <c r="R18" t="s">
        <v>64</v>
      </c>
      <c r="S18" t="s">
        <v>65</v>
      </c>
      <c r="T18" t="s">
        <v>1490</v>
      </c>
      <c r="V18" t="s">
        <v>110</v>
      </c>
      <c r="X18" t="s">
        <v>1491</v>
      </c>
      <c r="Y18" t="s">
        <v>1486</v>
      </c>
      <c r="Z18" t="s">
        <v>49</v>
      </c>
      <c r="AA18" t="s">
        <v>182</v>
      </c>
      <c r="AB18" t="s">
        <v>453</v>
      </c>
      <c r="AC18" t="s">
        <v>1518</v>
      </c>
      <c r="AD18" t="s">
        <v>1493</v>
      </c>
      <c r="AE18" t="s">
        <v>1510</v>
      </c>
      <c r="AI18">
        <v>358.66546306276689</v>
      </c>
      <c r="AJ18">
        <v>4411.6753365023869</v>
      </c>
    </row>
    <row r="19" spans="1:36" x14ac:dyDescent="0.25">
      <c r="A19">
        <v>18</v>
      </c>
      <c r="B19" t="s">
        <v>1519</v>
      </c>
      <c r="C19" t="s">
        <v>376</v>
      </c>
      <c r="D19" t="s">
        <v>1481</v>
      </c>
      <c r="E19" t="s">
        <v>37</v>
      </c>
      <c r="G19" s="2">
        <v>45861</v>
      </c>
      <c r="H19">
        <v>4.2319617934637508</v>
      </c>
      <c r="I19" t="s">
        <v>72</v>
      </c>
      <c r="J19" t="s">
        <v>1024</v>
      </c>
      <c r="K19" t="s">
        <v>1025</v>
      </c>
      <c r="L19" t="s">
        <v>1482</v>
      </c>
      <c r="M19" t="s">
        <v>1483</v>
      </c>
      <c r="O19" t="s">
        <v>62</v>
      </c>
      <c r="P19" t="s">
        <v>63</v>
      </c>
      <c r="Q19">
        <v>4.2319617934637508</v>
      </c>
      <c r="R19" t="s">
        <v>64</v>
      </c>
      <c r="S19" t="s">
        <v>65</v>
      </c>
      <c r="T19" t="s">
        <v>1490</v>
      </c>
      <c r="V19" t="s">
        <v>110</v>
      </c>
      <c r="X19" t="s">
        <v>1491</v>
      </c>
      <c r="Y19" t="s">
        <v>1486</v>
      </c>
      <c r="Z19" t="s">
        <v>49</v>
      </c>
      <c r="AA19" t="s">
        <v>182</v>
      </c>
      <c r="AB19" t="s">
        <v>453</v>
      </c>
      <c r="AC19" t="s">
        <v>1506</v>
      </c>
      <c r="AD19" t="s">
        <v>1493</v>
      </c>
      <c r="AE19" t="s">
        <v>1510</v>
      </c>
      <c r="AI19">
        <v>608.03212525315303</v>
      </c>
      <c r="AJ19">
        <v>17126.210268002771</v>
      </c>
    </row>
    <row r="20" spans="1:36" hidden="1" x14ac:dyDescent="0.25">
      <c r="A20">
        <v>19</v>
      </c>
      <c r="B20" t="s">
        <v>1520</v>
      </c>
      <c r="C20" t="s">
        <v>376</v>
      </c>
      <c r="D20" t="s">
        <v>1481</v>
      </c>
      <c r="E20" t="s">
        <v>37</v>
      </c>
      <c r="G20" s="2">
        <v>45861</v>
      </c>
      <c r="H20">
        <v>0.45445609288891148</v>
      </c>
      <c r="I20" t="s">
        <v>72</v>
      </c>
      <c r="J20" t="s">
        <v>1024</v>
      </c>
      <c r="K20" t="s">
        <v>1025</v>
      </c>
      <c r="L20" t="s">
        <v>1482</v>
      </c>
      <c r="M20" t="s">
        <v>1483</v>
      </c>
      <c r="O20" t="s">
        <v>141</v>
      </c>
      <c r="P20" t="s">
        <v>142</v>
      </c>
      <c r="Q20">
        <v>0.45445609288891148</v>
      </c>
      <c r="R20" t="s">
        <v>159</v>
      </c>
      <c r="S20" t="s">
        <v>38</v>
      </c>
      <c r="T20" t="s">
        <v>1521</v>
      </c>
      <c r="V20" t="s">
        <v>110</v>
      </c>
      <c r="X20" t="s">
        <v>1491</v>
      </c>
      <c r="Y20" t="s">
        <v>1486</v>
      </c>
      <c r="Z20" t="s">
        <v>49</v>
      </c>
      <c r="AA20" t="s">
        <v>182</v>
      </c>
      <c r="AB20" t="s">
        <v>453</v>
      </c>
      <c r="AC20" t="s">
        <v>1506</v>
      </c>
      <c r="AD20" t="s">
        <v>1493</v>
      </c>
      <c r="AE20" t="s">
        <v>1510</v>
      </c>
      <c r="AF20" t="s">
        <v>38</v>
      </c>
      <c r="AI20">
        <v>164.88402416456509</v>
      </c>
      <c r="AJ20">
        <v>1839.1259147026051</v>
      </c>
    </row>
    <row r="21" spans="1:36" hidden="1" x14ac:dyDescent="0.25">
      <c r="A21">
        <v>20</v>
      </c>
      <c r="B21" t="s">
        <v>1522</v>
      </c>
      <c r="C21" t="s">
        <v>376</v>
      </c>
      <c r="D21" t="s">
        <v>1481</v>
      </c>
      <c r="E21" t="s">
        <v>37</v>
      </c>
      <c r="G21" s="2">
        <v>45861</v>
      </c>
      <c r="H21">
        <v>36.404291645321869</v>
      </c>
      <c r="I21" t="s">
        <v>72</v>
      </c>
      <c r="J21" t="s">
        <v>1024</v>
      </c>
      <c r="K21" t="s">
        <v>1025</v>
      </c>
      <c r="L21" t="s">
        <v>1482</v>
      </c>
      <c r="M21" t="s">
        <v>1483</v>
      </c>
      <c r="O21" t="s">
        <v>402</v>
      </c>
      <c r="P21" t="s">
        <v>403</v>
      </c>
      <c r="Q21">
        <v>36.404291645321869</v>
      </c>
      <c r="R21" t="s">
        <v>159</v>
      </c>
      <c r="S21" t="s">
        <v>38</v>
      </c>
      <c r="T21" t="s">
        <v>1120</v>
      </c>
      <c r="V21" t="s">
        <v>110</v>
      </c>
      <c r="X21" t="s">
        <v>673</v>
      </c>
      <c r="Y21" t="s">
        <v>1486</v>
      </c>
      <c r="Z21" t="s">
        <v>49</v>
      </c>
      <c r="AA21" t="s">
        <v>460</v>
      </c>
      <c r="AB21" t="s">
        <v>453</v>
      </c>
      <c r="AC21" t="s">
        <v>1523</v>
      </c>
      <c r="AD21" t="s">
        <v>57</v>
      </c>
      <c r="AF21" t="s">
        <v>1524</v>
      </c>
      <c r="AI21">
        <v>1738.717830257272</v>
      </c>
      <c r="AJ21">
        <v>147323.53074132709</v>
      </c>
    </row>
    <row r="22" spans="1:36" hidden="1" x14ac:dyDescent="0.25">
      <c r="A22">
        <v>21</v>
      </c>
      <c r="B22" t="s">
        <v>1525</v>
      </c>
      <c r="C22" t="s">
        <v>376</v>
      </c>
      <c r="D22" t="s">
        <v>1481</v>
      </c>
      <c r="E22" t="s">
        <v>37</v>
      </c>
      <c r="G22" s="2">
        <v>45861</v>
      </c>
      <c r="H22">
        <v>0.6921892634793162</v>
      </c>
      <c r="I22" t="s">
        <v>72</v>
      </c>
      <c r="J22" t="s">
        <v>1024</v>
      </c>
      <c r="K22" t="s">
        <v>1025</v>
      </c>
      <c r="L22" t="s">
        <v>1482</v>
      </c>
      <c r="M22" t="s">
        <v>1483</v>
      </c>
      <c r="O22" t="s">
        <v>402</v>
      </c>
      <c r="P22" t="s">
        <v>403</v>
      </c>
      <c r="Q22">
        <v>0.6921892634793162</v>
      </c>
      <c r="R22" t="s">
        <v>159</v>
      </c>
      <c r="S22" t="s">
        <v>38</v>
      </c>
      <c r="T22" t="s">
        <v>1526</v>
      </c>
      <c r="V22" t="s">
        <v>110</v>
      </c>
      <c r="X22" t="s">
        <v>673</v>
      </c>
      <c r="Y22" t="s">
        <v>1486</v>
      </c>
      <c r="Z22" t="s">
        <v>49</v>
      </c>
      <c r="AA22" t="s">
        <v>460</v>
      </c>
      <c r="AB22" t="s">
        <v>453</v>
      </c>
      <c r="AC22" t="s">
        <v>1523</v>
      </c>
      <c r="AD22" t="s">
        <v>57</v>
      </c>
      <c r="AF22" t="s">
        <v>1146</v>
      </c>
      <c r="AI22">
        <v>201.39668338066349</v>
      </c>
      <c r="AJ22">
        <v>2801.201771223476</v>
      </c>
    </row>
    <row r="23" spans="1:36" hidden="1" x14ac:dyDescent="0.25">
      <c r="A23">
        <v>22</v>
      </c>
      <c r="B23" t="s">
        <v>1527</v>
      </c>
      <c r="C23" t="s">
        <v>376</v>
      </c>
      <c r="D23" t="s">
        <v>1481</v>
      </c>
      <c r="E23" t="s">
        <v>37</v>
      </c>
      <c r="G23" s="2">
        <v>45861</v>
      </c>
      <c r="H23">
        <v>6.1873226069886336</v>
      </c>
      <c r="I23" t="s">
        <v>72</v>
      </c>
      <c r="J23" t="s">
        <v>1024</v>
      </c>
      <c r="K23" t="s">
        <v>1025</v>
      </c>
      <c r="L23" t="s">
        <v>1482</v>
      </c>
      <c r="M23" t="s">
        <v>1483</v>
      </c>
      <c r="O23" t="s">
        <v>402</v>
      </c>
      <c r="P23" t="s">
        <v>403</v>
      </c>
      <c r="Q23">
        <v>6.1873226069886336</v>
      </c>
      <c r="R23" t="s">
        <v>159</v>
      </c>
      <c r="S23" t="s">
        <v>38</v>
      </c>
      <c r="T23" t="s">
        <v>1120</v>
      </c>
      <c r="V23" t="s">
        <v>110</v>
      </c>
      <c r="X23" t="s">
        <v>673</v>
      </c>
      <c r="Y23" t="s">
        <v>1486</v>
      </c>
      <c r="Z23" t="s">
        <v>49</v>
      </c>
      <c r="AA23" t="s">
        <v>460</v>
      </c>
      <c r="AB23" t="s">
        <v>453</v>
      </c>
      <c r="AC23" t="s">
        <v>1523</v>
      </c>
      <c r="AD23" t="s">
        <v>57</v>
      </c>
      <c r="AF23" t="s">
        <v>1528</v>
      </c>
      <c r="AI23">
        <v>969.48397495349082</v>
      </c>
      <c r="AJ23">
        <v>25039.30638667805</v>
      </c>
    </row>
    <row r="24" spans="1:36" hidden="1" x14ac:dyDescent="0.25">
      <c r="A24">
        <v>23</v>
      </c>
      <c r="B24" t="s">
        <v>1529</v>
      </c>
      <c r="C24" t="s">
        <v>376</v>
      </c>
      <c r="D24" t="s">
        <v>1481</v>
      </c>
      <c r="E24" t="s">
        <v>37</v>
      </c>
      <c r="G24" s="2">
        <v>45861</v>
      </c>
      <c r="H24">
        <v>18.568413438724871</v>
      </c>
      <c r="I24" t="s">
        <v>72</v>
      </c>
      <c r="J24" t="s">
        <v>1024</v>
      </c>
      <c r="K24" t="s">
        <v>1025</v>
      </c>
      <c r="L24" t="s">
        <v>1482</v>
      </c>
      <c r="M24" t="s">
        <v>1483</v>
      </c>
      <c r="O24" t="s">
        <v>402</v>
      </c>
      <c r="P24" t="s">
        <v>403</v>
      </c>
      <c r="Q24">
        <v>18.568413438724871</v>
      </c>
      <c r="R24" t="s">
        <v>159</v>
      </c>
      <c r="S24" t="s">
        <v>38</v>
      </c>
      <c r="T24" t="s">
        <v>1120</v>
      </c>
      <c r="V24" t="s">
        <v>110</v>
      </c>
      <c r="X24" t="s">
        <v>673</v>
      </c>
      <c r="Y24" t="s">
        <v>1486</v>
      </c>
      <c r="Z24" t="s">
        <v>49</v>
      </c>
      <c r="AA24" t="s">
        <v>460</v>
      </c>
      <c r="AB24" t="s">
        <v>453</v>
      </c>
      <c r="AC24" t="s">
        <v>1523</v>
      </c>
      <c r="AD24" t="s">
        <v>57</v>
      </c>
      <c r="AF24" t="s">
        <v>1530</v>
      </c>
      <c r="AI24">
        <v>1069.5163954129921</v>
      </c>
      <c r="AJ24">
        <v>75144.003753996658</v>
      </c>
    </row>
    <row r="25" spans="1:36" hidden="1" x14ac:dyDescent="0.25">
      <c r="A25">
        <v>24</v>
      </c>
      <c r="B25" t="s">
        <v>1531</v>
      </c>
      <c r="C25" t="s">
        <v>376</v>
      </c>
      <c r="D25" t="s">
        <v>1481</v>
      </c>
      <c r="E25" t="s">
        <v>37</v>
      </c>
      <c r="G25" s="2">
        <v>45861</v>
      </c>
      <c r="H25">
        <v>14.50081750966838</v>
      </c>
      <c r="I25" t="s">
        <v>72</v>
      </c>
      <c r="J25" t="s">
        <v>1024</v>
      </c>
      <c r="K25" t="s">
        <v>1025</v>
      </c>
      <c r="L25" t="s">
        <v>1482</v>
      </c>
      <c r="M25" t="s">
        <v>1483</v>
      </c>
      <c r="O25" t="s">
        <v>402</v>
      </c>
      <c r="P25" t="s">
        <v>403</v>
      </c>
      <c r="Q25">
        <v>14.50081750966838</v>
      </c>
      <c r="R25" t="s">
        <v>159</v>
      </c>
      <c r="S25" t="s">
        <v>38</v>
      </c>
      <c r="T25" t="s">
        <v>1120</v>
      </c>
      <c r="V25" t="s">
        <v>110</v>
      </c>
      <c r="X25" t="s">
        <v>673</v>
      </c>
      <c r="Y25" t="s">
        <v>1486</v>
      </c>
      <c r="Z25" t="s">
        <v>719</v>
      </c>
      <c r="AA25" t="s">
        <v>554</v>
      </c>
      <c r="AB25" t="s">
        <v>453</v>
      </c>
      <c r="AC25" t="s">
        <v>1523</v>
      </c>
      <c r="AD25" t="s">
        <v>57</v>
      </c>
      <c r="AF25" t="s">
        <v>1163</v>
      </c>
      <c r="AI25">
        <v>995.4722056649764</v>
      </c>
      <c r="AJ25">
        <v>58682.961200661943</v>
      </c>
    </row>
    <row r="26" spans="1:36" x14ac:dyDescent="0.25">
      <c r="A26">
        <v>25</v>
      </c>
      <c r="B26" t="s">
        <v>1532</v>
      </c>
      <c r="C26" t="s">
        <v>376</v>
      </c>
      <c r="D26" t="s">
        <v>1481</v>
      </c>
      <c r="E26" t="s">
        <v>37</v>
      </c>
      <c r="G26" s="2">
        <v>45861</v>
      </c>
      <c r="H26">
        <v>17.01342092959424</v>
      </c>
      <c r="I26" t="s">
        <v>72</v>
      </c>
      <c r="J26" t="s">
        <v>1024</v>
      </c>
      <c r="K26" t="s">
        <v>1025</v>
      </c>
      <c r="L26" t="s">
        <v>1482</v>
      </c>
      <c r="M26" t="s">
        <v>1483</v>
      </c>
      <c r="O26" t="s">
        <v>62</v>
      </c>
      <c r="P26" t="s">
        <v>63</v>
      </c>
      <c r="Q26">
        <v>17.01342092959424</v>
      </c>
      <c r="R26" t="s">
        <v>64</v>
      </c>
      <c r="S26" t="s">
        <v>65</v>
      </c>
      <c r="T26" t="s">
        <v>1533</v>
      </c>
      <c r="V26" t="s">
        <v>110</v>
      </c>
      <c r="X26" t="s">
        <v>1534</v>
      </c>
      <c r="Y26" t="s">
        <v>1486</v>
      </c>
      <c r="Z26" t="s">
        <v>719</v>
      </c>
      <c r="AA26" t="s">
        <v>554</v>
      </c>
      <c r="AB26" t="s">
        <v>453</v>
      </c>
      <c r="AC26" t="s">
        <v>1535</v>
      </c>
      <c r="AD26" t="s">
        <v>1493</v>
      </c>
      <c r="AE26" t="s">
        <v>808</v>
      </c>
      <c r="AI26">
        <v>1337.3009791191321</v>
      </c>
      <c r="AJ26">
        <v>68851.147160236273</v>
      </c>
    </row>
    <row r="27" spans="1:36" hidden="1" x14ac:dyDescent="0.25">
      <c r="A27">
        <v>26</v>
      </c>
      <c r="B27" t="s">
        <v>1536</v>
      </c>
      <c r="C27" t="s">
        <v>376</v>
      </c>
      <c r="D27" t="s">
        <v>1481</v>
      </c>
      <c r="E27" t="s">
        <v>37</v>
      </c>
      <c r="G27" s="2">
        <v>45861</v>
      </c>
      <c r="H27">
        <v>12.953952351077969</v>
      </c>
      <c r="I27" t="s">
        <v>72</v>
      </c>
      <c r="J27" t="s">
        <v>1024</v>
      </c>
      <c r="K27" t="s">
        <v>1025</v>
      </c>
      <c r="L27" t="s">
        <v>1482</v>
      </c>
      <c r="M27" t="s">
        <v>1483</v>
      </c>
      <c r="O27" t="s">
        <v>402</v>
      </c>
      <c r="P27" t="s">
        <v>403</v>
      </c>
      <c r="Q27">
        <v>12.953952351077969</v>
      </c>
      <c r="R27" t="s">
        <v>159</v>
      </c>
      <c r="S27" t="s">
        <v>38</v>
      </c>
      <c r="T27" t="s">
        <v>1120</v>
      </c>
      <c r="V27" t="s">
        <v>110</v>
      </c>
      <c r="X27" t="s">
        <v>673</v>
      </c>
      <c r="Y27" t="s">
        <v>1486</v>
      </c>
      <c r="Z27" t="s">
        <v>719</v>
      </c>
      <c r="AA27" t="s">
        <v>554</v>
      </c>
      <c r="AB27" t="s">
        <v>453</v>
      </c>
      <c r="AC27" t="s">
        <v>1535</v>
      </c>
      <c r="AD27" t="s">
        <v>57</v>
      </c>
      <c r="AF27" t="s">
        <v>1537</v>
      </c>
      <c r="AI27">
        <v>952.21565864685067</v>
      </c>
      <c r="AJ27">
        <v>52422.994959193617</v>
      </c>
    </row>
    <row r="28" spans="1:36" hidden="1" x14ac:dyDescent="0.25">
      <c r="A28">
        <v>27</v>
      </c>
      <c r="B28" t="s">
        <v>1538</v>
      </c>
      <c r="C28" t="s">
        <v>376</v>
      </c>
      <c r="D28" t="s">
        <v>1481</v>
      </c>
      <c r="E28" t="s">
        <v>37</v>
      </c>
      <c r="G28" s="2">
        <v>45861</v>
      </c>
      <c r="H28">
        <v>8.3654125402026391</v>
      </c>
      <c r="I28" t="s">
        <v>72</v>
      </c>
      <c r="J28" t="s">
        <v>1024</v>
      </c>
      <c r="K28" t="s">
        <v>1025</v>
      </c>
      <c r="L28" t="s">
        <v>1482</v>
      </c>
      <c r="M28" t="s">
        <v>1483</v>
      </c>
      <c r="O28" t="s">
        <v>402</v>
      </c>
      <c r="P28" t="s">
        <v>403</v>
      </c>
      <c r="Q28">
        <v>8.3654125402026391</v>
      </c>
      <c r="R28" t="s">
        <v>159</v>
      </c>
      <c r="S28" t="s">
        <v>38</v>
      </c>
      <c r="T28" t="s">
        <v>1120</v>
      </c>
      <c r="V28" t="s">
        <v>119</v>
      </c>
      <c r="X28" t="s">
        <v>673</v>
      </c>
      <c r="Y28" t="s">
        <v>1486</v>
      </c>
      <c r="Z28" t="s">
        <v>719</v>
      </c>
      <c r="AA28" t="s">
        <v>554</v>
      </c>
      <c r="AB28" t="s">
        <v>453</v>
      </c>
      <c r="AC28" t="s">
        <v>1535</v>
      </c>
      <c r="AD28" t="s">
        <v>57</v>
      </c>
      <c r="AF28" t="s">
        <v>1539</v>
      </c>
      <c r="AI28">
        <v>787.52575293122732</v>
      </c>
      <c r="AJ28">
        <v>33853.758879244648</v>
      </c>
    </row>
    <row r="29" spans="1:36" hidden="1" x14ac:dyDescent="0.25">
      <c r="A29">
        <v>28</v>
      </c>
      <c r="B29" t="s">
        <v>1540</v>
      </c>
      <c r="C29" t="s">
        <v>376</v>
      </c>
      <c r="D29" t="s">
        <v>1481</v>
      </c>
      <c r="E29" t="s">
        <v>37</v>
      </c>
      <c r="G29" s="2">
        <v>45861</v>
      </c>
      <c r="H29">
        <v>22.683236255780969</v>
      </c>
      <c r="I29" t="s">
        <v>72</v>
      </c>
      <c r="J29" t="s">
        <v>1024</v>
      </c>
      <c r="K29" t="s">
        <v>1025</v>
      </c>
      <c r="L29" t="s">
        <v>1482</v>
      </c>
      <c r="M29" t="s">
        <v>1483</v>
      </c>
      <c r="O29" t="s">
        <v>402</v>
      </c>
      <c r="P29" t="s">
        <v>403</v>
      </c>
      <c r="Q29">
        <v>22.683236255780969</v>
      </c>
      <c r="R29" t="s">
        <v>159</v>
      </c>
      <c r="S29" t="s">
        <v>38</v>
      </c>
      <c r="T29" t="s">
        <v>1120</v>
      </c>
      <c r="V29" t="s">
        <v>119</v>
      </c>
      <c r="X29" t="s">
        <v>673</v>
      </c>
      <c r="Y29" t="s">
        <v>1486</v>
      </c>
      <c r="Z29" t="s">
        <v>719</v>
      </c>
      <c r="AA29" t="s">
        <v>554</v>
      </c>
      <c r="AB29" t="s">
        <v>453</v>
      </c>
      <c r="AC29" t="s">
        <v>1535</v>
      </c>
      <c r="AD29" t="s">
        <v>57</v>
      </c>
      <c r="AF29" t="s">
        <v>1541</v>
      </c>
      <c r="AI29">
        <v>1351.577308949197</v>
      </c>
      <c r="AJ29">
        <v>91796.167506826576</v>
      </c>
    </row>
    <row r="30" spans="1:36" hidden="1" x14ac:dyDescent="0.25">
      <c r="A30">
        <v>29</v>
      </c>
      <c r="B30" t="s">
        <v>1542</v>
      </c>
      <c r="C30" t="s">
        <v>376</v>
      </c>
      <c r="D30" t="s">
        <v>1481</v>
      </c>
      <c r="E30" t="s">
        <v>37</v>
      </c>
      <c r="G30" s="2">
        <v>45861</v>
      </c>
      <c r="H30">
        <v>1.6976453626685299</v>
      </c>
      <c r="I30" t="s">
        <v>72</v>
      </c>
      <c r="J30" t="s">
        <v>1024</v>
      </c>
      <c r="K30" t="s">
        <v>1025</v>
      </c>
      <c r="L30" t="s">
        <v>1482</v>
      </c>
      <c r="M30" t="s">
        <v>1483</v>
      </c>
      <c r="O30" t="s">
        <v>402</v>
      </c>
      <c r="P30" t="s">
        <v>403</v>
      </c>
      <c r="Q30">
        <v>1.6976453626685299</v>
      </c>
      <c r="R30" t="s">
        <v>159</v>
      </c>
      <c r="S30" t="s">
        <v>38</v>
      </c>
      <c r="T30" t="s">
        <v>1120</v>
      </c>
      <c r="V30" t="s">
        <v>119</v>
      </c>
      <c r="X30" t="s">
        <v>673</v>
      </c>
      <c r="Y30" t="s">
        <v>1486</v>
      </c>
      <c r="Z30" t="s">
        <v>719</v>
      </c>
      <c r="AA30" t="s">
        <v>554</v>
      </c>
      <c r="AB30" t="s">
        <v>453</v>
      </c>
      <c r="AC30" t="s">
        <v>1543</v>
      </c>
      <c r="AD30" t="s">
        <v>57</v>
      </c>
      <c r="AF30" t="s">
        <v>1544</v>
      </c>
      <c r="AI30">
        <v>373.31915592406529</v>
      </c>
      <c r="AJ30">
        <v>6870.1545194633154</v>
      </c>
    </row>
    <row r="31" spans="1:36" hidden="1" x14ac:dyDescent="0.25">
      <c r="A31">
        <v>30</v>
      </c>
      <c r="B31" t="s">
        <v>1545</v>
      </c>
      <c r="C31" t="s">
        <v>376</v>
      </c>
      <c r="D31" t="s">
        <v>1481</v>
      </c>
      <c r="E31" t="s">
        <v>37</v>
      </c>
      <c r="G31" s="2">
        <v>45861</v>
      </c>
      <c r="H31">
        <v>1.0987850956476739</v>
      </c>
      <c r="I31" t="s">
        <v>72</v>
      </c>
      <c r="J31" t="s">
        <v>1024</v>
      </c>
      <c r="K31" t="s">
        <v>1025</v>
      </c>
      <c r="L31" t="s">
        <v>1482</v>
      </c>
      <c r="M31" t="s">
        <v>1483</v>
      </c>
      <c r="O31" t="s">
        <v>402</v>
      </c>
      <c r="P31" t="s">
        <v>403</v>
      </c>
      <c r="Q31">
        <v>1.0987850956476739</v>
      </c>
      <c r="R31" t="s">
        <v>159</v>
      </c>
      <c r="S31" t="s">
        <v>38</v>
      </c>
      <c r="T31" t="s">
        <v>1120</v>
      </c>
      <c r="V31" t="s">
        <v>119</v>
      </c>
      <c r="X31" t="s">
        <v>673</v>
      </c>
      <c r="Y31" t="s">
        <v>1486</v>
      </c>
      <c r="Z31" t="s">
        <v>719</v>
      </c>
      <c r="AA31" t="s">
        <v>554</v>
      </c>
      <c r="AB31" t="s">
        <v>453</v>
      </c>
      <c r="AC31" t="s">
        <v>1546</v>
      </c>
      <c r="AD31" t="s">
        <v>57</v>
      </c>
      <c r="AF31" t="s">
        <v>1179</v>
      </c>
      <c r="AI31">
        <v>298.68846973405448</v>
      </c>
      <c r="AJ31">
        <v>4446.6433077146312</v>
      </c>
    </row>
    <row r="32" spans="1:36" hidden="1" x14ac:dyDescent="0.25">
      <c r="A32">
        <v>31</v>
      </c>
      <c r="B32" t="s">
        <v>1547</v>
      </c>
      <c r="C32" t="s">
        <v>376</v>
      </c>
      <c r="D32" t="s">
        <v>1481</v>
      </c>
      <c r="E32" t="s">
        <v>37</v>
      </c>
      <c r="G32" s="2">
        <v>45861</v>
      </c>
      <c r="H32">
        <v>5.297611369336658</v>
      </c>
      <c r="I32" t="s">
        <v>72</v>
      </c>
      <c r="J32" t="s">
        <v>1024</v>
      </c>
      <c r="K32" t="s">
        <v>1025</v>
      </c>
      <c r="L32" t="s">
        <v>1482</v>
      </c>
      <c r="M32" t="s">
        <v>1483</v>
      </c>
      <c r="O32" t="s">
        <v>402</v>
      </c>
      <c r="P32" t="s">
        <v>403</v>
      </c>
      <c r="Q32">
        <v>5.297611369336658</v>
      </c>
      <c r="R32" t="s">
        <v>159</v>
      </c>
      <c r="S32" t="s">
        <v>38</v>
      </c>
      <c r="T32" t="s">
        <v>673</v>
      </c>
      <c r="V32" t="s">
        <v>119</v>
      </c>
      <c r="X32" t="s">
        <v>673</v>
      </c>
      <c r="Y32" t="s">
        <v>1486</v>
      </c>
      <c r="Z32" t="s">
        <v>719</v>
      </c>
      <c r="AA32" t="s">
        <v>124</v>
      </c>
      <c r="AB32" t="s">
        <v>453</v>
      </c>
      <c r="AC32" t="s">
        <v>1548</v>
      </c>
      <c r="AD32" t="s">
        <v>57</v>
      </c>
      <c r="AF32" t="s">
        <v>1121</v>
      </c>
      <c r="AI32">
        <v>587.87375092436548</v>
      </c>
      <c r="AJ32">
        <v>21438.758348326952</v>
      </c>
    </row>
    <row r="33" spans="1:36" hidden="1" x14ac:dyDescent="0.25">
      <c r="A33">
        <v>32</v>
      </c>
      <c r="B33" t="s">
        <v>1549</v>
      </c>
      <c r="C33" t="s">
        <v>376</v>
      </c>
      <c r="D33" t="s">
        <v>1481</v>
      </c>
      <c r="E33" t="s">
        <v>37</v>
      </c>
      <c r="G33" s="2">
        <v>45861</v>
      </c>
      <c r="H33">
        <v>4.8859946847838449</v>
      </c>
      <c r="I33" t="s">
        <v>72</v>
      </c>
      <c r="J33" t="s">
        <v>1024</v>
      </c>
      <c r="K33" t="s">
        <v>1025</v>
      </c>
      <c r="L33" t="s">
        <v>1482</v>
      </c>
      <c r="M33" t="s">
        <v>1483</v>
      </c>
      <c r="N33" t="s">
        <v>1550</v>
      </c>
      <c r="O33" t="s">
        <v>79</v>
      </c>
      <c r="P33" t="s">
        <v>80</v>
      </c>
      <c r="Q33">
        <v>4.8859946847838449</v>
      </c>
      <c r="R33" t="s">
        <v>46</v>
      </c>
      <c r="S33" t="s">
        <v>47</v>
      </c>
      <c r="T33" t="s">
        <v>1551</v>
      </c>
      <c r="V33" t="s">
        <v>70</v>
      </c>
      <c r="X33" t="s">
        <v>1552</v>
      </c>
      <c r="Y33" t="s">
        <v>1486</v>
      </c>
      <c r="Z33" t="s">
        <v>719</v>
      </c>
      <c r="AA33" t="s">
        <v>121</v>
      </c>
      <c r="AB33" t="s">
        <v>453</v>
      </c>
      <c r="AC33" t="s">
        <v>57</v>
      </c>
      <c r="AD33" t="s">
        <v>483</v>
      </c>
      <c r="AE33" t="s">
        <v>1553</v>
      </c>
      <c r="AF33" t="s">
        <v>38</v>
      </c>
      <c r="AI33">
        <v>701.42960965186171</v>
      </c>
      <c r="AJ33">
        <v>19772.998061842922</v>
      </c>
    </row>
    <row r="34" spans="1:36" hidden="1" x14ac:dyDescent="0.25">
      <c r="A34">
        <v>33</v>
      </c>
      <c r="B34" t="s">
        <v>1554</v>
      </c>
      <c r="C34" t="s">
        <v>376</v>
      </c>
      <c r="D34" t="s">
        <v>1481</v>
      </c>
      <c r="E34" t="s">
        <v>37</v>
      </c>
      <c r="G34" s="2">
        <v>45861</v>
      </c>
      <c r="H34">
        <v>8.3864003431877201</v>
      </c>
      <c r="I34" t="s">
        <v>72</v>
      </c>
      <c r="J34" t="s">
        <v>1024</v>
      </c>
      <c r="K34" t="s">
        <v>1025</v>
      </c>
      <c r="L34" t="s">
        <v>1482</v>
      </c>
      <c r="M34" t="s">
        <v>1483</v>
      </c>
      <c r="N34" t="s">
        <v>1550</v>
      </c>
      <c r="O34" t="s">
        <v>79</v>
      </c>
      <c r="P34" t="s">
        <v>80</v>
      </c>
      <c r="Q34">
        <v>8.3864003431877201</v>
      </c>
      <c r="R34" t="s">
        <v>46</v>
      </c>
      <c r="S34" t="s">
        <v>47</v>
      </c>
      <c r="T34" t="s">
        <v>1555</v>
      </c>
      <c r="V34" t="s">
        <v>70</v>
      </c>
      <c r="X34" t="s">
        <v>1556</v>
      </c>
      <c r="Y34" t="s">
        <v>1486</v>
      </c>
      <c r="Z34" t="s">
        <v>719</v>
      </c>
      <c r="AA34" t="s">
        <v>124</v>
      </c>
      <c r="AB34" t="s">
        <v>453</v>
      </c>
      <c r="AC34" t="s">
        <v>1557</v>
      </c>
      <c r="AD34" t="s">
        <v>664</v>
      </c>
      <c r="AE34" t="s">
        <v>487</v>
      </c>
      <c r="AI34">
        <v>731.79330332862992</v>
      </c>
      <c r="AJ34">
        <v>33938.693844286412</v>
      </c>
    </row>
    <row r="35" spans="1:36" hidden="1" x14ac:dyDescent="0.25">
      <c r="A35">
        <v>34</v>
      </c>
      <c r="B35" t="s">
        <v>1558</v>
      </c>
      <c r="C35" t="s">
        <v>376</v>
      </c>
      <c r="D35" t="s">
        <v>1481</v>
      </c>
      <c r="E35" t="s">
        <v>37</v>
      </c>
      <c r="G35" s="2">
        <v>45861</v>
      </c>
      <c r="H35">
        <v>12.87417151379946</v>
      </c>
      <c r="I35" t="s">
        <v>72</v>
      </c>
      <c r="J35" t="s">
        <v>1024</v>
      </c>
      <c r="K35" t="s">
        <v>1025</v>
      </c>
      <c r="L35" t="s">
        <v>1482</v>
      </c>
      <c r="M35" t="s">
        <v>1483</v>
      </c>
      <c r="O35" t="s">
        <v>402</v>
      </c>
      <c r="P35" t="s">
        <v>403</v>
      </c>
      <c r="Q35">
        <v>12.87417151379946</v>
      </c>
      <c r="R35" t="s">
        <v>159</v>
      </c>
      <c r="S35" t="s">
        <v>38</v>
      </c>
      <c r="T35" t="s">
        <v>1120</v>
      </c>
      <c r="V35" t="s">
        <v>119</v>
      </c>
      <c r="X35" t="s">
        <v>673</v>
      </c>
      <c r="Y35" t="s">
        <v>1486</v>
      </c>
      <c r="Z35" t="s">
        <v>719</v>
      </c>
      <c r="AA35" t="s">
        <v>124</v>
      </c>
      <c r="AB35" t="s">
        <v>453</v>
      </c>
      <c r="AC35" t="s">
        <v>1557</v>
      </c>
      <c r="AD35" t="s">
        <v>57</v>
      </c>
      <c r="AF35" t="s">
        <v>1087</v>
      </c>
      <c r="AI35">
        <v>920.77263125337254</v>
      </c>
      <c r="AJ35">
        <v>52100.132074018373</v>
      </c>
    </row>
    <row r="36" spans="1:36" hidden="1" x14ac:dyDescent="0.25">
      <c r="A36">
        <v>35</v>
      </c>
      <c r="B36" t="s">
        <v>1559</v>
      </c>
      <c r="C36" t="s">
        <v>376</v>
      </c>
      <c r="D36" t="s">
        <v>1481</v>
      </c>
      <c r="E36" t="s">
        <v>37</v>
      </c>
      <c r="G36" s="2">
        <v>45861</v>
      </c>
      <c r="H36">
        <v>1.5390916412658771</v>
      </c>
      <c r="I36" t="s">
        <v>72</v>
      </c>
      <c r="J36" t="s">
        <v>1024</v>
      </c>
      <c r="K36" t="s">
        <v>1025</v>
      </c>
      <c r="L36" t="s">
        <v>1482</v>
      </c>
      <c r="M36" t="s">
        <v>1483</v>
      </c>
      <c r="O36" t="s">
        <v>402</v>
      </c>
      <c r="P36" t="s">
        <v>403</v>
      </c>
      <c r="Q36">
        <v>1.5390916412658771</v>
      </c>
      <c r="R36" t="s">
        <v>159</v>
      </c>
      <c r="S36" t="s">
        <v>38</v>
      </c>
      <c r="T36" t="s">
        <v>673</v>
      </c>
      <c r="V36" t="s">
        <v>119</v>
      </c>
      <c r="X36" t="s">
        <v>673</v>
      </c>
      <c r="Y36" t="s">
        <v>1486</v>
      </c>
      <c r="Z36" t="s">
        <v>719</v>
      </c>
      <c r="AA36" t="s">
        <v>124</v>
      </c>
      <c r="AB36" t="s">
        <v>453</v>
      </c>
      <c r="AC36" t="s">
        <v>1548</v>
      </c>
      <c r="AD36" t="s">
        <v>57</v>
      </c>
      <c r="AF36" t="s">
        <v>1560</v>
      </c>
      <c r="AI36">
        <v>448.10647723902127</v>
      </c>
      <c r="AJ36">
        <v>6228.5078071252856</v>
      </c>
    </row>
    <row r="37" spans="1:36" hidden="1" x14ac:dyDescent="0.25">
      <c r="A37">
        <v>36</v>
      </c>
      <c r="B37" t="s">
        <v>1561</v>
      </c>
      <c r="C37" t="s">
        <v>376</v>
      </c>
      <c r="D37" t="s">
        <v>1481</v>
      </c>
      <c r="E37" t="s">
        <v>37</v>
      </c>
      <c r="G37" s="2">
        <v>45861</v>
      </c>
      <c r="H37">
        <v>6.0593554101050398</v>
      </c>
      <c r="I37" t="s">
        <v>72</v>
      </c>
      <c r="J37" t="s">
        <v>1024</v>
      </c>
      <c r="K37" t="s">
        <v>1025</v>
      </c>
      <c r="L37" t="s">
        <v>1482</v>
      </c>
      <c r="M37" t="s">
        <v>1483</v>
      </c>
      <c r="N37" t="s">
        <v>1550</v>
      </c>
      <c r="O37" t="s">
        <v>79</v>
      </c>
      <c r="P37" t="s">
        <v>80</v>
      </c>
      <c r="Q37">
        <v>6.0593554101050398</v>
      </c>
      <c r="R37" t="s">
        <v>46</v>
      </c>
      <c r="S37" t="s">
        <v>47</v>
      </c>
      <c r="T37" t="s">
        <v>1555</v>
      </c>
      <c r="V37" t="s">
        <v>70</v>
      </c>
      <c r="X37" t="s">
        <v>1556</v>
      </c>
      <c r="Y37" t="s">
        <v>1486</v>
      </c>
      <c r="Z37" t="s">
        <v>719</v>
      </c>
      <c r="AA37" t="s">
        <v>124</v>
      </c>
      <c r="AB37" t="s">
        <v>453</v>
      </c>
      <c r="AC37" t="s">
        <v>57</v>
      </c>
      <c r="AD37" t="s">
        <v>530</v>
      </c>
      <c r="AE37" t="s">
        <v>1553</v>
      </c>
      <c r="AI37">
        <v>715.95594271297648</v>
      </c>
      <c r="AJ37">
        <v>24521.43944264745</v>
      </c>
    </row>
    <row r="38" spans="1:36" hidden="1" x14ac:dyDescent="0.25">
      <c r="A38">
        <v>37</v>
      </c>
      <c r="B38" t="s">
        <v>1562</v>
      </c>
      <c r="C38" t="s">
        <v>376</v>
      </c>
      <c r="D38" t="s">
        <v>1481</v>
      </c>
      <c r="E38" t="s">
        <v>37</v>
      </c>
      <c r="G38" s="2">
        <v>45860</v>
      </c>
      <c r="H38">
        <v>100.5650417944472</v>
      </c>
      <c r="I38" t="s">
        <v>72</v>
      </c>
      <c r="J38" t="s">
        <v>1024</v>
      </c>
      <c r="K38" t="s">
        <v>1025</v>
      </c>
      <c r="L38" t="s">
        <v>1482</v>
      </c>
      <c r="M38" t="s">
        <v>1483</v>
      </c>
      <c r="O38" t="s">
        <v>402</v>
      </c>
      <c r="P38" t="s">
        <v>403</v>
      </c>
      <c r="Q38">
        <v>99.093630072117989</v>
      </c>
      <c r="R38" t="s">
        <v>159</v>
      </c>
      <c r="S38" t="s">
        <v>38</v>
      </c>
      <c r="V38" t="s">
        <v>60</v>
      </c>
      <c r="X38" t="s">
        <v>673</v>
      </c>
      <c r="Y38" t="s">
        <v>1486</v>
      </c>
      <c r="Z38" t="s">
        <v>49</v>
      </c>
      <c r="AA38" t="s">
        <v>121</v>
      </c>
      <c r="AB38" t="s">
        <v>453</v>
      </c>
      <c r="AC38" t="s">
        <v>1492</v>
      </c>
      <c r="AD38" t="s">
        <v>57</v>
      </c>
      <c r="AI38">
        <v>3105.6982749460149</v>
      </c>
      <c r="AJ38">
        <v>401019.2973518658</v>
      </c>
    </row>
    <row r="39" spans="1:36" hidden="1" x14ac:dyDescent="0.25">
      <c r="A39">
        <v>38</v>
      </c>
      <c r="B39" t="s">
        <v>1563</v>
      </c>
      <c r="C39" t="s">
        <v>376</v>
      </c>
      <c r="D39" t="s">
        <v>1481</v>
      </c>
      <c r="E39" t="s">
        <v>37</v>
      </c>
      <c r="G39" s="2">
        <v>45861</v>
      </c>
      <c r="H39">
        <v>3.4184929901282111</v>
      </c>
      <c r="I39" t="s">
        <v>72</v>
      </c>
      <c r="J39" t="s">
        <v>1024</v>
      </c>
      <c r="K39" t="s">
        <v>1025</v>
      </c>
      <c r="L39" t="s">
        <v>1482</v>
      </c>
      <c r="M39" t="s">
        <v>1483</v>
      </c>
      <c r="O39" t="s">
        <v>402</v>
      </c>
      <c r="P39" t="s">
        <v>403</v>
      </c>
      <c r="Q39">
        <v>3.4184929901282111</v>
      </c>
      <c r="R39" t="s">
        <v>159</v>
      </c>
      <c r="S39" t="s">
        <v>38</v>
      </c>
      <c r="T39" t="s">
        <v>1120</v>
      </c>
      <c r="V39" t="s">
        <v>70</v>
      </c>
      <c r="X39" t="s">
        <v>673</v>
      </c>
      <c r="Y39" t="s">
        <v>1486</v>
      </c>
      <c r="Z39" t="s">
        <v>719</v>
      </c>
      <c r="AA39" t="s">
        <v>124</v>
      </c>
      <c r="AB39" t="s">
        <v>453</v>
      </c>
      <c r="AC39" t="s">
        <v>1557</v>
      </c>
      <c r="AD39" t="s">
        <v>57</v>
      </c>
      <c r="AF39" t="s">
        <v>1564</v>
      </c>
      <c r="AI39">
        <v>478.51386318480832</v>
      </c>
      <c r="AJ39">
        <v>13834.205648796989</v>
      </c>
    </row>
    <row r="40" spans="1:36" hidden="1" x14ac:dyDescent="0.25">
      <c r="A40">
        <v>39</v>
      </c>
      <c r="B40" t="s">
        <v>1565</v>
      </c>
      <c r="C40" t="s">
        <v>376</v>
      </c>
      <c r="D40" t="s">
        <v>1481</v>
      </c>
      <c r="E40" t="s">
        <v>37</v>
      </c>
      <c r="G40" s="2">
        <v>45861</v>
      </c>
      <c r="H40">
        <v>1.6727741743594009</v>
      </c>
      <c r="I40" t="s">
        <v>72</v>
      </c>
      <c r="J40" t="s">
        <v>1024</v>
      </c>
      <c r="K40" t="s">
        <v>1025</v>
      </c>
      <c r="L40" t="s">
        <v>1482</v>
      </c>
      <c r="M40" t="s">
        <v>1483</v>
      </c>
      <c r="O40" t="s">
        <v>402</v>
      </c>
      <c r="P40" t="s">
        <v>403</v>
      </c>
      <c r="Q40">
        <v>1.6727741743594009</v>
      </c>
      <c r="R40" t="s">
        <v>159</v>
      </c>
      <c r="S40" t="s">
        <v>38</v>
      </c>
      <c r="T40" t="s">
        <v>673</v>
      </c>
      <c r="V40" t="s">
        <v>70</v>
      </c>
      <c r="X40" t="s">
        <v>673</v>
      </c>
      <c r="Y40" t="s">
        <v>1486</v>
      </c>
      <c r="Z40" t="s">
        <v>719</v>
      </c>
      <c r="AA40" t="s">
        <v>124</v>
      </c>
      <c r="AB40" t="s">
        <v>453</v>
      </c>
      <c r="AC40" t="s">
        <v>1548</v>
      </c>
      <c r="AD40" t="s">
        <v>57</v>
      </c>
      <c r="AF40" t="s">
        <v>1544</v>
      </c>
      <c r="AI40">
        <v>402.23160485159161</v>
      </c>
      <c r="AJ40">
        <v>6769.5039887200774</v>
      </c>
    </row>
    <row r="41" spans="1:36" hidden="1" x14ac:dyDescent="0.25">
      <c r="A41">
        <v>40</v>
      </c>
      <c r="B41" t="s">
        <v>1566</v>
      </c>
      <c r="C41" t="s">
        <v>376</v>
      </c>
      <c r="D41" t="s">
        <v>1481</v>
      </c>
      <c r="E41" t="s">
        <v>37</v>
      </c>
      <c r="G41" s="2">
        <v>45861</v>
      </c>
      <c r="H41">
        <v>1.8392729687605229</v>
      </c>
      <c r="I41" t="s">
        <v>72</v>
      </c>
      <c r="J41" t="s">
        <v>1024</v>
      </c>
      <c r="K41" t="s">
        <v>1025</v>
      </c>
      <c r="L41" t="s">
        <v>1482</v>
      </c>
      <c r="M41" t="s">
        <v>1483</v>
      </c>
      <c r="O41" t="s">
        <v>79</v>
      </c>
      <c r="P41" t="s">
        <v>80</v>
      </c>
      <c r="Q41">
        <v>1.8392729687605229</v>
      </c>
      <c r="R41" t="s">
        <v>46</v>
      </c>
      <c r="S41" t="s">
        <v>47</v>
      </c>
      <c r="T41" t="s">
        <v>1567</v>
      </c>
      <c r="V41" t="s">
        <v>70</v>
      </c>
      <c r="X41" t="s">
        <v>1568</v>
      </c>
      <c r="Y41" t="s">
        <v>1486</v>
      </c>
      <c r="Z41" t="s">
        <v>719</v>
      </c>
      <c r="AA41" t="s">
        <v>124</v>
      </c>
      <c r="AB41" t="s">
        <v>453</v>
      </c>
      <c r="AC41" t="s">
        <v>1548</v>
      </c>
      <c r="AD41" t="s">
        <v>1569</v>
      </c>
      <c r="AE41" t="s">
        <v>1553</v>
      </c>
      <c r="AI41">
        <v>420.21104807385359</v>
      </c>
      <c r="AJ41">
        <v>7443.3033993590598</v>
      </c>
    </row>
    <row r="42" spans="1:36" hidden="1" x14ac:dyDescent="0.25">
      <c r="A42">
        <v>41</v>
      </c>
      <c r="B42" t="s">
        <v>1570</v>
      </c>
      <c r="C42" t="s">
        <v>376</v>
      </c>
      <c r="D42" t="s">
        <v>1481</v>
      </c>
      <c r="E42" t="s">
        <v>37</v>
      </c>
      <c r="G42" s="2">
        <v>45861</v>
      </c>
      <c r="H42">
        <v>0.41418326373264069</v>
      </c>
      <c r="I42" t="s">
        <v>72</v>
      </c>
      <c r="J42" t="s">
        <v>1024</v>
      </c>
      <c r="K42" t="s">
        <v>1025</v>
      </c>
      <c r="L42" t="s">
        <v>1482</v>
      </c>
      <c r="M42" t="s">
        <v>1483</v>
      </c>
      <c r="O42" t="s">
        <v>79</v>
      </c>
      <c r="P42" t="s">
        <v>80</v>
      </c>
      <c r="Q42">
        <v>0.41418326373264069</v>
      </c>
      <c r="R42" t="s">
        <v>46</v>
      </c>
      <c r="S42" t="s">
        <v>47</v>
      </c>
      <c r="T42" t="s">
        <v>1567</v>
      </c>
      <c r="V42" t="s">
        <v>70</v>
      </c>
      <c r="X42" t="s">
        <v>1568</v>
      </c>
      <c r="Y42" t="s">
        <v>1486</v>
      </c>
      <c r="Z42" t="s">
        <v>719</v>
      </c>
      <c r="AA42" t="s">
        <v>124</v>
      </c>
      <c r="AB42" t="s">
        <v>453</v>
      </c>
      <c r="AC42" t="s">
        <v>1548</v>
      </c>
      <c r="AD42" t="s">
        <v>1569</v>
      </c>
      <c r="AE42" t="s">
        <v>1553</v>
      </c>
      <c r="AI42">
        <v>252.53444795919009</v>
      </c>
      <c r="AJ42">
        <v>1676.1469054679469</v>
      </c>
    </row>
    <row r="43" spans="1:36" hidden="1" x14ac:dyDescent="0.25">
      <c r="A43">
        <v>42</v>
      </c>
      <c r="B43" t="s">
        <v>1571</v>
      </c>
      <c r="C43" t="s">
        <v>376</v>
      </c>
      <c r="D43" t="s">
        <v>1481</v>
      </c>
      <c r="E43" t="s">
        <v>37</v>
      </c>
      <c r="G43" s="2">
        <v>45860</v>
      </c>
      <c r="H43">
        <v>4.4259179327923146</v>
      </c>
      <c r="I43" t="s">
        <v>72</v>
      </c>
      <c r="J43" t="s">
        <v>1024</v>
      </c>
      <c r="K43" t="s">
        <v>1025</v>
      </c>
      <c r="L43" t="s">
        <v>1482</v>
      </c>
      <c r="M43" t="s">
        <v>1483</v>
      </c>
      <c r="O43" t="s">
        <v>402</v>
      </c>
      <c r="P43" t="s">
        <v>403</v>
      </c>
      <c r="Q43">
        <v>4.4259179327923146</v>
      </c>
      <c r="R43" t="s">
        <v>159</v>
      </c>
      <c r="S43" t="s">
        <v>38</v>
      </c>
      <c r="T43" t="s">
        <v>673</v>
      </c>
      <c r="V43" t="s">
        <v>60</v>
      </c>
      <c r="X43" t="s">
        <v>673</v>
      </c>
      <c r="Y43" t="s">
        <v>1486</v>
      </c>
      <c r="Z43" t="s">
        <v>49</v>
      </c>
      <c r="AA43" t="s">
        <v>121</v>
      </c>
      <c r="AB43" t="s">
        <v>453</v>
      </c>
      <c r="AC43" t="s">
        <v>1492</v>
      </c>
      <c r="AD43" t="s">
        <v>57</v>
      </c>
      <c r="AF43" t="s">
        <v>1572</v>
      </c>
      <c r="AI43">
        <v>564.61126477135758</v>
      </c>
      <c r="AJ43">
        <v>17911.126055768491</v>
      </c>
    </row>
    <row r="44" spans="1:36" x14ac:dyDescent="0.25">
      <c r="A44">
        <v>43</v>
      </c>
      <c r="B44" t="s">
        <v>1573</v>
      </c>
      <c r="C44" t="s">
        <v>376</v>
      </c>
      <c r="D44" t="s">
        <v>1481</v>
      </c>
      <c r="E44" t="s">
        <v>37</v>
      </c>
      <c r="G44" s="2">
        <v>45860</v>
      </c>
      <c r="H44">
        <v>12.234296768443579</v>
      </c>
      <c r="I44" t="s">
        <v>72</v>
      </c>
      <c r="J44" t="s">
        <v>1024</v>
      </c>
      <c r="K44" t="s">
        <v>1025</v>
      </c>
      <c r="L44" t="s">
        <v>1482</v>
      </c>
      <c r="M44" t="s">
        <v>1483</v>
      </c>
      <c r="O44" t="s">
        <v>62</v>
      </c>
      <c r="P44" t="s">
        <v>63</v>
      </c>
      <c r="Q44">
        <v>12.234296768443579</v>
      </c>
      <c r="R44" t="s">
        <v>64</v>
      </c>
      <c r="S44" t="s">
        <v>65</v>
      </c>
      <c r="T44" t="s">
        <v>1574</v>
      </c>
      <c r="V44" t="s">
        <v>60</v>
      </c>
      <c r="X44" t="s">
        <v>1575</v>
      </c>
      <c r="Y44" t="s">
        <v>1486</v>
      </c>
      <c r="Z44" t="s">
        <v>49</v>
      </c>
      <c r="AA44" t="s">
        <v>121</v>
      </c>
      <c r="AB44" t="s">
        <v>453</v>
      </c>
      <c r="AC44" t="s">
        <v>1492</v>
      </c>
      <c r="AD44" t="s">
        <v>656</v>
      </c>
      <c r="AE44" t="s">
        <v>1576</v>
      </c>
      <c r="AI44">
        <v>960.57322293173411</v>
      </c>
      <c r="AJ44">
        <v>49510.640493287407</v>
      </c>
    </row>
    <row r="45" spans="1:36" hidden="1" x14ac:dyDescent="0.25">
      <c r="A45">
        <v>44</v>
      </c>
      <c r="B45" t="s">
        <v>1577</v>
      </c>
      <c r="C45" t="s">
        <v>376</v>
      </c>
      <c r="D45" t="s">
        <v>1481</v>
      </c>
      <c r="E45" t="s">
        <v>37</v>
      </c>
      <c r="G45" s="2">
        <v>45860</v>
      </c>
      <c r="H45">
        <v>0.23550001309197821</v>
      </c>
      <c r="I45" t="s">
        <v>72</v>
      </c>
      <c r="J45" t="s">
        <v>1024</v>
      </c>
      <c r="K45" t="s">
        <v>1025</v>
      </c>
      <c r="L45" t="s">
        <v>1482</v>
      </c>
      <c r="M45" t="s">
        <v>1483</v>
      </c>
      <c r="O45" t="s">
        <v>115</v>
      </c>
      <c r="P45" t="s">
        <v>137</v>
      </c>
      <c r="Q45">
        <v>0.23550001309197821</v>
      </c>
      <c r="R45" t="s">
        <v>159</v>
      </c>
      <c r="S45" t="s">
        <v>38</v>
      </c>
      <c r="T45" t="s">
        <v>1578</v>
      </c>
      <c r="V45" t="s">
        <v>64</v>
      </c>
      <c r="X45" t="s">
        <v>1579</v>
      </c>
      <c r="Y45" t="s">
        <v>1486</v>
      </c>
      <c r="Z45" t="s">
        <v>49</v>
      </c>
      <c r="AA45" t="s">
        <v>121</v>
      </c>
      <c r="AB45" t="s">
        <v>453</v>
      </c>
      <c r="AC45" t="s">
        <v>57</v>
      </c>
      <c r="AD45" t="s">
        <v>57</v>
      </c>
      <c r="AI45">
        <v>114.02723425376909</v>
      </c>
      <c r="AJ45">
        <v>953.03855260695434</v>
      </c>
    </row>
    <row r="46" spans="1:36" x14ac:dyDescent="0.25">
      <c r="A46">
        <v>45</v>
      </c>
      <c r="B46" t="s">
        <v>1580</v>
      </c>
      <c r="C46" t="s">
        <v>376</v>
      </c>
      <c r="D46" t="s">
        <v>1481</v>
      </c>
      <c r="E46" t="s">
        <v>37</v>
      </c>
      <c r="G46" s="2">
        <v>45861</v>
      </c>
      <c r="H46">
        <v>4.514241474729265</v>
      </c>
      <c r="I46" t="s">
        <v>72</v>
      </c>
      <c r="J46" t="s">
        <v>1024</v>
      </c>
      <c r="K46" t="s">
        <v>1025</v>
      </c>
      <c r="L46" t="s">
        <v>1482</v>
      </c>
      <c r="M46" t="s">
        <v>1483</v>
      </c>
      <c r="O46" t="s">
        <v>62</v>
      </c>
      <c r="P46" t="s">
        <v>63</v>
      </c>
      <c r="Q46">
        <v>4.514241474729265</v>
      </c>
      <c r="R46" t="s">
        <v>64</v>
      </c>
      <c r="S46" t="s">
        <v>65</v>
      </c>
      <c r="T46" t="s">
        <v>1581</v>
      </c>
      <c r="V46" t="s">
        <v>60</v>
      </c>
      <c r="X46" t="s">
        <v>1582</v>
      </c>
      <c r="Y46" t="s">
        <v>1486</v>
      </c>
      <c r="Z46" t="s">
        <v>49</v>
      </c>
      <c r="AA46" t="s">
        <v>124</v>
      </c>
      <c r="AB46" t="s">
        <v>453</v>
      </c>
      <c r="AC46" t="s">
        <v>1583</v>
      </c>
      <c r="AD46" t="s">
        <v>1223</v>
      </c>
      <c r="AE46" t="s">
        <v>1584</v>
      </c>
      <c r="AI46">
        <v>660.17391265436629</v>
      </c>
      <c r="AJ46">
        <v>18268.56017844021</v>
      </c>
    </row>
    <row r="47" spans="1:36" x14ac:dyDescent="0.25">
      <c r="A47">
        <v>46</v>
      </c>
      <c r="B47" t="s">
        <v>1585</v>
      </c>
      <c r="C47" t="s">
        <v>376</v>
      </c>
      <c r="D47" t="s">
        <v>1481</v>
      </c>
      <c r="E47" t="s">
        <v>37</v>
      </c>
      <c r="G47" s="2">
        <v>45860</v>
      </c>
      <c r="H47">
        <v>11.642345529142039</v>
      </c>
      <c r="I47" t="s">
        <v>72</v>
      </c>
      <c r="J47" t="s">
        <v>1024</v>
      </c>
      <c r="K47" t="s">
        <v>1025</v>
      </c>
      <c r="L47" t="s">
        <v>1482</v>
      </c>
      <c r="M47" t="s">
        <v>1483</v>
      </c>
      <c r="O47" t="s">
        <v>62</v>
      </c>
      <c r="P47" t="s">
        <v>63</v>
      </c>
      <c r="Q47">
        <v>11.642345529142039</v>
      </c>
      <c r="R47" t="s">
        <v>64</v>
      </c>
      <c r="S47" t="s">
        <v>65</v>
      </c>
      <c r="V47" t="s">
        <v>64</v>
      </c>
      <c r="X47" t="s">
        <v>673</v>
      </c>
      <c r="Y47" t="s">
        <v>1486</v>
      </c>
      <c r="Z47" t="s">
        <v>49</v>
      </c>
      <c r="AA47" t="s">
        <v>121</v>
      </c>
      <c r="AB47" t="s">
        <v>453</v>
      </c>
      <c r="AC47" t="s">
        <v>1492</v>
      </c>
      <c r="AD47" t="s">
        <v>57</v>
      </c>
      <c r="AE47" t="s">
        <v>1576</v>
      </c>
      <c r="AF47" t="s">
        <v>1586</v>
      </c>
      <c r="AI47">
        <v>914.36575413701144</v>
      </c>
      <c r="AJ47">
        <v>47115.089236576889</v>
      </c>
    </row>
    <row r="48" spans="1:36" x14ac:dyDescent="0.25">
      <c r="A48">
        <v>47</v>
      </c>
      <c r="B48" t="s">
        <v>1587</v>
      </c>
      <c r="C48" t="s">
        <v>376</v>
      </c>
      <c r="D48" t="s">
        <v>1481</v>
      </c>
      <c r="E48" t="s">
        <v>37</v>
      </c>
      <c r="G48" s="2">
        <v>45860</v>
      </c>
      <c r="H48">
        <v>0.57061230564123111</v>
      </c>
      <c r="I48" t="s">
        <v>72</v>
      </c>
      <c r="J48" t="s">
        <v>1024</v>
      </c>
      <c r="K48" t="s">
        <v>1025</v>
      </c>
      <c r="L48" t="s">
        <v>1482</v>
      </c>
      <c r="M48" t="s">
        <v>1483</v>
      </c>
      <c r="O48" t="s">
        <v>62</v>
      </c>
      <c r="P48" t="s">
        <v>63</v>
      </c>
      <c r="Q48">
        <v>0.57061230564123111</v>
      </c>
      <c r="R48" t="s">
        <v>64</v>
      </c>
      <c r="S48" t="s">
        <v>65</v>
      </c>
      <c r="V48" t="s">
        <v>64</v>
      </c>
      <c r="X48" t="s">
        <v>673</v>
      </c>
      <c r="Y48" t="s">
        <v>1486</v>
      </c>
      <c r="Z48" t="s">
        <v>49</v>
      </c>
      <c r="AA48" t="s">
        <v>576</v>
      </c>
      <c r="AB48" t="s">
        <v>453</v>
      </c>
      <c r="AC48" t="s">
        <v>1492</v>
      </c>
      <c r="AD48" t="s">
        <v>57</v>
      </c>
      <c r="AF48" t="s">
        <v>1146</v>
      </c>
      <c r="AI48">
        <v>193.2821472960691</v>
      </c>
      <c r="AJ48">
        <v>2309.1953105566931</v>
      </c>
    </row>
    <row r="49" spans="1:36" hidden="1" x14ac:dyDescent="0.25">
      <c r="A49">
        <v>48</v>
      </c>
      <c r="B49" t="s">
        <v>1588</v>
      </c>
      <c r="C49" t="s">
        <v>376</v>
      </c>
      <c r="D49" t="s">
        <v>1481</v>
      </c>
      <c r="E49" t="s">
        <v>37</v>
      </c>
      <c r="G49" s="2">
        <v>45861</v>
      </c>
      <c r="H49">
        <v>41.017024115966983</v>
      </c>
      <c r="I49" t="s">
        <v>72</v>
      </c>
      <c r="J49" t="s">
        <v>1024</v>
      </c>
      <c r="K49" t="s">
        <v>1025</v>
      </c>
      <c r="L49" t="s">
        <v>1482</v>
      </c>
      <c r="M49" t="s">
        <v>1483</v>
      </c>
      <c r="O49" t="s">
        <v>402</v>
      </c>
      <c r="P49" t="s">
        <v>403</v>
      </c>
      <c r="Q49">
        <v>41.017024115966983</v>
      </c>
      <c r="R49" t="s">
        <v>159</v>
      </c>
      <c r="S49" t="s">
        <v>38</v>
      </c>
      <c r="T49" t="s">
        <v>673</v>
      </c>
      <c r="V49" t="s">
        <v>60</v>
      </c>
      <c r="X49" t="s">
        <v>673</v>
      </c>
      <c r="Y49" t="s">
        <v>1486</v>
      </c>
      <c r="Z49" t="s">
        <v>49</v>
      </c>
      <c r="AA49" t="s">
        <v>124</v>
      </c>
      <c r="AB49" t="s">
        <v>453</v>
      </c>
      <c r="AC49" t="s">
        <v>1583</v>
      </c>
      <c r="AD49" t="s">
        <v>57</v>
      </c>
      <c r="AI49">
        <v>1640.1966415675381</v>
      </c>
      <c r="AJ49">
        <v>165990.6714334584</v>
      </c>
    </row>
    <row r="50" spans="1:36" hidden="1" x14ac:dyDescent="0.25">
      <c r="A50">
        <v>49</v>
      </c>
      <c r="B50" t="s">
        <v>1589</v>
      </c>
      <c r="C50" t="s">
        <v>376</v>
      </c>
      <c r="D50" t="s">
        <v>1481</v>
      </c>
      <c r="E50" t="s">
        <v>37</v>
      </c>
      <c r="G50" s="2">
        <v>45860</v>
      </c>
      <c r="H50">
        <v>0.30067876593280529</v>
      </c>
      <c r="I50" t="s">
        <v>72</v>
      </c>
      <c r="J50" t="s">
        <v>1024</v>
      </c>
      <c r="K50" t="s">
        <v>1025</v>
      </c>
      <c r="L50" t="s">
        <v>1482</v>
      </c>
      <c r="M50" t="s">
        <v>1483</v>
      </c>
      <c r="N50" t="s">
        <v>1590</v>
      </c>
      <c r="O50" t="s">
        <v>115</v>
      </c>
      <c r="P50" t="s">
        <v>137</v>
      </c>
      <c r="Q50">
        <v>0.30067876593280529</v>
      </c>
      <c r="S50" t="s">
        <v>38</v>
      </c>
      <c r="T50" t="s">
        <v>1591</v>
      </c>
      <c r="V50" t="s">
        <v>64</v>
      </c>
      <c r="X50" t="s">
        <v>1592</v>
      </c>
      <c r="Y50" t="s">
        <v>1486</v>
      </c>
      <c r="Z50" t="s">
        <v>49</v>
      </c>
      <c r="AA50" t="s">
        <v>576</v>
      </c>
      <c r="AB50" t="s">
        <v>453</v>
      </c>
      <c r="AC50" t="s">
        <v>1593</v>
      </c>
      <c r="AD50" t="s">
        <v>1230</v>
      </c>
      <c r="AE50" t="s">
        <v>1576</v>
      </c>
      <c r="AG50" t="s">
        <v>1594</v>
      </c>
      <c r="AH50" t="s">
        <v>1595</v>
      </c>
      <c r="AI50">
        <v>138.56320639533331</v>
      </c>
      <c r="AJ50">
        <v>1216.8086622242611</v>
      </c>
    </row>
    <row r="51" spans="1:36" x14ac:dyDescent="0.25">
      <c r="A51">
        <v>50</v>
      </c>
      <c r="B51" t="s">
        <v>1596</v>
      </c>
      <c r="C51" t="s">
        <v>376</v>
      </c>
      <c r="D51" t="s">
        <v>1481</v>
      </c>
      <c r="E51" t="s">
        <v>37</v>
      </c>
      <c r="G51" s="2">
        <v>45860</v>
      </c>
      <c r="H51">
        <v>46.401188553043689</v>
      </c>
      <c r="I51" t="s">
        <v>72</v>
      </c>
      <c r="J51" t="s">
        <v>1024</v>
      </c>
      <c r="K51" t="s">
        <v>1025</v>
      </c>
      <c r="L51" t="s">
        <v>1482</v>
      </c>
      <c r="M51" t="s">
        <v>1483</v>
      </c>
      <c r="N51" t="s">
        <v>1590</v>
      </c>
      <c r="O51" t="s">
        <v>62</v>
      </c>
      <c r="P51" t="s">
        <v>63</v>
      </c>
      <c r="Q51">
        <v>46.401188553043689</v>
      </c>
      <c r="R51" t="s">
        <v>64</v>
      </c>
      <c r="S51" t="s">
        <v>65</v>
      </c>
      <c r="T51" t="s">
        <v>1597</v>
      </c>
      <c r="V51" t="s">
        <v>64</v>
      </c>
      <c r="X51" t="s">
        <v>1592</v>
      </c>
      <c r="Y51" t="s">
        <v>1486</v>
      </c>
      <c r="Z51" t="s">
        <v>49</v>
      </c>
      <c r="AA51" t="s">
        <v>576</v>
      </c>
      <c r="AB51" t="s">
        <v>453</v>
      </c>
      <c r="AC51" t="s">
        <v>1593</v>
      </c>
      <c r="AD51" t="s">
        <v>1230</v>
      </c>
      <c r="AE51" t="s">
        <v>1576</v>
      </c>
      <c r="AG51" t="s">
        <v>1598</v>
      </c>
      <c r="AH51" t="s">
        <v>1595</v>
      </c>
      <c r="AI51">
        <v>1864.215307097613</v>
      </c>
      <c r="AJ51">
        <v>187779.6990209232</v>
      </c>
    </row>
    <row r="52" spans="1:36" hidden="1" x14ac:dyDescent="0.25">
      <c r="A52">
        <v>51</v>
      </c>
      <c r="B52" t="s">
        <v>1599</v>
      </c>
      <c r="C52" t="s">
        <v>376</v>
      </c>
      <c r="D52" t="s">
        <v>1481</v>
      </c>
      <c r="E52" t="s">
        <v>37</v>
      </c>
      <c r="G52" s="2">
        <v>45860</v>
      </c>
      <c r="H52">
        <v>12.96754392660819</v>
      </c>
      <c r="I52" t="s">
        <v>72</v>
      </c>
      <c r="J52" t="s">
        <v>1024</v>
      </c>
      <c r="K52" t="s">
        <v>1025</v>
      </c>
      <c r="L52" t="s">
        <v>1482</v>
      </c>
      <c r="M52" t="s">
        <v>1483</v>
      </c>
      <c r="O52" t="s">
        <v>402</v>
      </c>
      <c r="P52" t="s">
        <v>403</v>
      </c>
      <c r="Q52">
        <v>12.96754392660819</v>
      </c>
      <c r="S52" t="s">
        <v>38</v>
      </c>
      <c r="T52" t="s">
        <v>673</v>
      </c>
      <c r="V52" t="s">
        <v>60</v>
      </c>
      <c r="X52" t="s">
        <v>673</v>
      </c>
      <c r="Y52" t="s">
        <v>1486</v>
      </c>
      <c r="Z52" t="s">
        <v>49</v>
      </c>
      <c r="AA52" t="s">
        <v>121</v>
      </c>
      <c r="AB52" t="s">
        <v>453</v>
      </c>
      <c r="AC52" t="s">
        <v>1492</v>
      </c>
      <c r="AD52" t="s">
        <v>57</v>
      </c>
      <c r="AI52">
        <v>2101.1408276464049</v>
      </c>
      <c r="AJ52">
        <v>52477.998333931893</v>
      </c>
    </row>
    <row r="53" spans="1:36" hidden="1" x14ac:dyDescent="0.25">
      <c r="A53">
        <v>52</v>
      </c>
      <c r="B53" t="s">
        <v>1600</v>
      </c>
      <c r="C53" t="s">
        <v>376</v>
      </c>
      <c r="D53" t="s">
        <v>1481</v>
      </c>
      <c r="E53" t="s">
        <v>37</v>
      </c>
      <c r="G53" s="2">
        <v>45860</v>
      </c>
      <c r="H53">
        <v>21.162527107424189</v>
      </c>
      <c r="I53" t="s">
        <v>72</v>
      </c>
      <c r="J53" t="s">
        <v>1024</v>
      </c>
      <c r="K53" t="s">
        <v>1025</v>
      </c>
      <c r="L53" t="s">
        <v>1482</v>
      </c>
      <c r="M53" t="s">
        <v>1483</v>
      </c>
      <c r="O53" t="s">
        <v>402</v>
      </c>
      <c r="P53" t="s">
        <v>403</v>
      </c>
      <c r="Q53">
        <v>21.162527107424189</v>
      </c>
      <c r="S53" t="s">
        <v>38</v>
      </c>
      <c r="T53" t="s">
        <v>1484</v>
      </c>
      <c r="V53" t="s">
        <v>60</v>
      </c>
      <c r="X53" t="s">
        <v>673</v>
      </c>
      <c r="Y53" t="s">
        <v>1486</v>
      </c>
      <c r="Z53" t="s">
        <v>49</v>
      </c>
      <c r="AA53" t="s">
        <v>121</v>
      </c>
      <c r="AB53" t="s">
        <v>453</v>
      </c>
      <c r="AC53" t="s">
        <v>1601</v>
      </c>
      <c r="AD53" t="s">
        <v>57</v>
      </c>
      <c r="AE53" t="s">
        <v>1602</v>
      </c>
      <c r="AI53">
        <v>1669.3325418443781</v>
      </c>
      <c r="AJ53">
        <v>85642.051306756344</v>
      </c>
    </row>
    <row r="54" spans="1:36" x14ac:dyDescent="0.25">
      <c r="A54">
        <v>53</v>
      </c>
      <c r="B54" t="s">
        <v>1603</v>
      </c>
      <c r="C54" t="s">
        <v>376</v>
      </c>
      <c r="D54" t="s">
        <v>1481</v>
      </c>
      <c r="E54" t="s">
        <v>37</v>
      </c>
      <c r="G54" s="2">
        <v>45860</v>
      </c>
      <c r="H54">
        <v>0.78742164858274966</v>
      </c>
      <c r="I54" t="s">
        <v>72</v>
      </c>
      <c r="J54" t="s">
        <v>1024</v>
      </c>
      <c r="K54" t="s">
        <v>1025</v>
      </c>
      <c r="L54" t="s">
        <v>1482</v>
      </c>
      <c r="M54" t="s">
        <v>1483</v>
      </c>
      <c r="O54" t="s">
        <v>62</v>
      </c>
      <c r="P54" t="s">
        <v>63</v>
      </c>
      <c r="Q54">
        <v>0.78742164858274966</v>
      </c>
      <c r="R54" t="s">
        <v>64</v>
      </c>
      <c r="S54" t="s">
        <v>65</v>
      </c>
      <c r="V54" t="s">
        <v>64</v>
      </c>
      <c r="X54" t="s">
        <v>673</v>
      </c>
      <c r="Y54" t="s">
        <v>1486</v>
      </c>
      <c r="Z54" t="s">
        <v>49</v>
      </c>
      <c r="AA54" t="s">
        <v>576</v>
      </c>
      <c r="AB54" t="s">
        <v>453</v>
      </c>
      <c r="AC54" t="s">
        <v>1492</v>
      </c>
      <c r="AD54" t="s">
        <v>57</v>
      </c>
      <c r="AF54" t="s">
        <v>1604</v>
      </c>
      <c r="AI54">
        <v>245.85260338191571</v>
      </c>
      <c r="AJ54">
        <v>3186.5951020715579</v>
      </c>
    </row>
    <row r="55" spans="1:36" hidden="1" x14ac:dyDescent="0.25">
      <c r="A55">
        <v>54</v>
      </c>
      <c r="B55" t="s">
        <v>1605</v>
      </c>
      <c r="C55" t="s">
        <v>376</v>
      </c>
      <c r="D55" t="s">
        <v>1481</v>
      </c>
      <c r="E55" t="s">
        <v>37</v>
      </c>
      <c r="G55" s="2">
        <v>45861</v>
      </c>
      <c r="H55">
        <v>0.5116009016448797</v>
      </c>
      <c r="I55" t="s">
        <v>72</v>
      </c>
      <c r="J55" t="s">
        <v>1024</v>
      </c>
      <c r="K55" t="s">
        <v>1025</v>
      </c>
      <c r="L55" t="s">
        <v>1482</v>
      </c>
      <c r="M55" t="s">
        <v>1483</v>
      </c>
      <c r="O55" t="s">
        <v>402</v>
      </c>
      <c r="P55" t="s">
        <v>403</v>
      </c>
      <c r="Q55">
        <v>0.5116009016448797</v>
      </c>
      <c r="T55" t="s">
        <v>1606</v>
      </c>
      <c r="V55" t="s">
        <v>60</v>
      </c>
      <c r="X55" t="s">
        <v>1582</v>
      </c>
      <c r="Y55" t="s">
        <v>1486</v>
      </c>
      <c r="Z55" t="s">
        <v>49</v>
      </c>
      <c r="AA55" t="s">
        <v>124</v>
      </c>
      <c r="AB55" t="s">
        <v>453</v>
      </c>
      <c r="AC55" t="s">
        <v>1583</v>
      </c>
      <c r="AD55" t="s">
        <v>1230</v>
      </c>
      <c r="AE55" t="s">
        <v>1584</v>
      </c>
      <c r="AI55">
        <v>189.9938877891706</v>
      </c>
      <c r="AJ55">
        <v>2070.3836760536351</v>
      </c>
    </row>
    <row r="56" spans="1:36" hidden="1" x14ac:dyDescent="0.25">
      <c r="A56">
        <v>55</v>
      </c>
      <c r="B56" t="s">
        <v>1607</v>
      </c>
      <c r="C56" t="s">
        <v>376</v>
      </c>
      <c r="D56" t="s">
        <v>1481</v>
      </c>
      <c r="E56" t="s">
        <v>37</v>
      </c>
      <c r="G56" s="2">
        <v>45860</v>
      </c>
      <c r="H56">
        <v>9.7388184941395547E-2</v>
      </c>
      <c r="I56" t="s">
        <v>72</v>
      </c>
      <c r="J56" t="s">
        <v>1024</v>
      </c>
      <c r="K56" t="s">
        <v>1025</v>
      </c>
      <c r="L56" t="s">
        <v>1482</v>
      </c>
      <c r="M56" t="s">
        <v>1483</v>
      </c>
      <c r="O56" t="s">
        <v>906</v>
      </c>
      <c r="P56" t="s">
        <v>671</v>
      </c>
      <c r="Q56">
        <v>9.7388184941395547E-2</v>
      </c>
      <c r="S56" t="s">
        <v>38</v>
      </c>
      <c r="T56" t="s">
        <v>1172</v>
      </c>
      <c r="V56" t="s">
        <v>60</v>
      </c>
      <c r="X56" t="s">
        <v>1608</v>
      </c>
      <c r="Y56" t="s">
        <v>1486</v>
      </c>
      <c r="Z56" t="s">
        <v>49</v>
      </c>
      <c r="AA56" t="s">
        <v>121</v>
      </c>
      <c r="AB56" t="s">
        <v>453</v>
      </c>
      <c r="AC56" t="s">
        <v>1492</v>
      </c>
      <c r="AD56" t="s">
        <v>57</v>
      </c>
      <c r="AI56">
        <v>78.586387910833551</v>
      </c>
      <c r="AJ56">
        <v>394.11757816470168</v>
      </c>
    </row>
    <row r="57" spans="1:36" hidden="1" x14ac:dyDescent="0.25">
      <c r="A57">
        <v>56</v>
      </c>
      <c r="B57" t="s">
        <v>1609</v>
      </c>
      <c r="C57" t="s">
        <v>376</v>
      </c>
      <c r="D57" t="s">
        <v>1481</v>
      </c>
      <c r="E57" t="s">
        <v>37</v>
      </c>
      <c r="G57" s="2">
        <v>45860</v>
      </c>
      <c r="H57">
        <v>4.2562127067892579</v>
      </c>
      <c r="I57" t="s">
        <v>72</v>
      </c>
      <c r="J57" t="s">
        <v>1024</v>
      </c>
      <c r="K57" t="s">
        <v>1025</v>
      </c>
      <c r="L57" t="s">
        <v>1482</v>
      </c>
      <c r="M57" t="s">
        <v>1483</v>
      </c>
      <c r="O57" t="s">
        <v>402</v>
      </c>
      <c r="P57" t="s">
        <v>403</v>
      </c>
      <c r="Q57">
        <v>4.2562127067892579</v>
      </c>
      <c r="S57" t="s">
        <v>38</v>
      </c>
      <c r="T57" t="s">
        <v>1610</v>
      </c>
      <c r="V57" t="s">
        <v>60</v>
      </c>
      <c r="X57" t="s">
        <v>673</v>
      </c>
      <c r="Y57" t="s">
        <v>1486</v>
      </c>
      <c r="Z57" t="s">
        <v>49</v>
      </c>
      <c r="AA57" t="s">
        <v>121</v>
      </c>
      <c r="AB57" t="s">
        <v>453</v>
      </c>
      <c r="AC57" t="s">
        <v>1492</v>
      </c>
      <c r="AD57" t="s">
        <v>57</v>
      </c>
      <c r="AI57">
        <v>734.79613351530497</v>
      </c>
      <c r="AJ57">
        <v>17224.3506249042</v>
      </c>
    </row>
    <row r="58" spans="1:36" x14ac:dyDescent="0.25">
      <c r="A58">
        <v>57</v>
      </c>
      <c r="B58" t="s">
        <v>1611</v>
      </c>
      <c r="C58" t="s">
        <v>376</v>
      </c>
      <c r="D58" t="s">
        <v>1481</v>
      </c>
      <c r="E58" t="s">
        <v>37</v>
      </c>
      <c r="G58" s="2">
        <v>45861</v>
      </c>
      <c r="H58">
        <v>3.964345735962107</v>
      </c>
      <c r="I58" t="s">
        <v>72</v>
      </c>
      <c r="J58" t="s">
        <v>1024</v>
      </c>
      <c r="K58" t="s">
        <v>1025</v>
      </c>
      <c r="L58" t="s">
        <v>1482</v>
      </c>
      <c r="M58" t="s">
        <v>1483</v>
      </c>
      <c r="N58" t="s">
        <v>1612</v>
      </c>
      <c r="O58" t="s">
        <v>62</v>
      </c>
      <c r="P58" t="s">
        <v>63</v>
      </c>
      <c r="Q58">
        <v>3.964345735962107</v>
      </c>
      <c r="R58" t="s">
        <v>64</v>
      </c>
      <c r="S58" t="s">
        <v>65</v>
      </c>
      <c r="T58" t="s">
        <v>1613</v>
      </c>
      <c r="V58" t="s">
        <v>60</v>
      </c>
      <c r="X58" t="s">
        <v>1614</v>
      </c>
      <c r="Y58" t="s">
        <v>1486</v>
      </c>
      <c r="Z58" t="s">
        <v>49</v>
      </c>
      <c r="AA58" t="s">
        <v>124</v>
      </c>
      <c r="AB58" t="s">
        <v>453</v>
      </c>
      <c r="AC58" t="s">
        <v>57</v>
      </c>
      <c r="AD58" t="s">
        <v>1498</v>
      </c>
      <c r="AE58" t="s">
        <v>1584</v>
      </c>
      <c r="AI58">
        <v>519.79867285935848</v>
      </c>
      <c r="AJ58">
        <v>16043.20217493683</v>
      </c>
    </row>
    <row r="59" spans="1:36" hidden="1" x14ac:dyDescent="0.25">
      <c r="A59">
        <v>58</v>
      </c>
      <c r="B59" t="s">
        <v>1615</v>
      </c>
      <c r="C59" t="s">
        <v>376</v>
      </c>
      <c r="D59" t="s">
        <v>1481</v>
      </c>
      <c r="E59" t="s">
        <v>37</v>
      </c>
      <c r="G59" s="2">
        <v>45860</v>
      </c>
      <c r="H59">
        <v>15.63110665783233</v>
      </c>
      <c r="I59" t="s">
        <v>72</v>
      </c>
      <c r="J59" t="s">
        <v>1024</v>
      </c>
      <c r="K59" t="s">
        <v>1025</v>
      </c>
      <c r="L59" t="s">
        <v>1482</v>
      </c>
      <c r="M59" t="s">
        <v>1483</v>
      </c>
      <c r="O59" t="s">
        <v>402</v>
      </c>
      <c r="P59" t="s">
        <v>403</v>
      </c>
      <c r="Q59">
        <v>15.63110665783233</v>
      </c>
      <c r="S59" t="s">
        <v>38</v>
      </c>
      <c r="T59" t="s">
        <v>1610</v>
      </c>
      <c r="V59" t="s">
        <v>60</v>
      </c>
      <c r="X59" t="s">
        <v>673</v>
      </c>
      <c r="Y59" t="s">
        <v>1486</v>
      </c>
      <c r="Z59" t="s">
        <v>49</v>
      </c>
      <c r="AA59" t="s">
        <v>121</v>
      </c>
      <c r="AB59" t="s">
        <v>453</v>
      </c>
      <c r="AC59" t="s">
        <v>1492</v>
      </c>
      <c r="AD59" t="s">
        <v>57</v>
      </c>
      <c r="AI59">
        <v>1122.504074444581</v>
      </c>
      <c r="AJ59">
        <v>63257.097395604716</v>
      </c>
    </row>
    <row r="60" spans="1:36" hidden="1" x14ac:dyDescent="0.25">
      <c r="A60">
        <v>59</v>
      </c>
      <c r="B60" t="s">
        <v>1616</v>
      </c>
      <c r="C60" t="s">
        <v>376</v>
      </c>
      <c r="D60" t="s">
        <v>1481</v>
      </c>
      <c r="E60" t="s">
        <v>37</v>
      </c>
      <c r="G60" s="2">
        <v>45860</v>
      </c>
      <c r="H60">
        <v>0.1014388219709129</v>
      </c>
      <c r="I60" t="s">
        <v>72</v>
      </c>
      <c r="J60" t="s">
        <v>1024</v>
      </c>
      <c r="K60" t="s">
        <v>1025</v>
      </c>
      <c r="L60" t="s">
        <v>1482</v>
      </c>
      <c r="M60" t="s">
        <v>1483</v>
      </c>
      <c r="O60" t="s">
        <v>906</v>
      </c>
      <c r="P60" t="s">
        <v>671</v>
      </c>
      <c r="Q60">
        <v>0.1014388219709129</v>
      </c>
      <c r="S60" t="s">
        <v>38</v>
      </c>
      <c r="T60" t="s">
        <v>1172</v>
      </c>
      <c r="V60" t="s">
        <v>60</v>
      </c>
      <c r="X60" t="s">
        <v>1617</v>
      </c>
      <c r="Y60" t="s">
        <v>1486</v>
      </c>
      <c r="Z60" t="s">
        <v>49</v>
      </c>
      <c r="AA60" t="s">
        <v>121</v>
      </c>
      <c r="AB60" t="s">
        <v>453</v>
      </c>
      <c r="AC60" t="s">
        <v>1492</v>
      </c>
      <c r="AD60" t="s">
        <v>57</v>
      </c>
      <c r="AI60">
        <v>81.528490728264345</v>
      </c>
      <c r="AJ60">
        <v>410.50999021199789</v>
      </c>
    </row>
    <row r="61" spans="1:36" hidden="1" x14ac:dyDescent="0.25">
      <c r="A61">
        <v>60</v>
      </c>
      <c r="B61" t="s">
        <v>1618</v>
      </c>
      <c r="C61" t="s">
        <v>376</v>
      </c>
      <c r="D61" t="s">
        <v>1481</v>
      </c>
      <c r="E61" t="s">
        <v>37</v>
      </c>
      <c r="G61" s="2">
        <v>45860</v>
      </c>
      <c r="H61">
        <v>13.859564264401881</v>
      </c>
      <c r="I61" t="s">
        <v>72</v>
      </c>
      <c r="J61" t="s">
        <v>1024</v>
      </c>
      <c r="K61" t="s">
        <v>1025</v>
      </c>
      <c r="L61" t="s">
        <v>1482</v>
      </c>
      <c r="M61" t="s">
        <v>1483</v>
      </c>
      <c r="O61" t="s">
        <v>402</v>
      </c>
      <c r="P61" t="s">
        <v>403</v>
      </c>
      <c r="Q61">
        <v>13.859564264401881</v>
      </c>
      <c r="S61" t="s">
        <v>38</v>
      </c>
      <c r="T61" t="s">
        <v>673</v>
      </c>
      <c r="V61" t="s">
        <v>60</v>
      </c>
      <c r="X61" t="s">
        <v>673</v>
      </c>
      <c r="Y61" t="s">
        <v>1486</v>
      </c>
      <c r="Z61" t="s">
        <v>49</v>
      </c>
      <c r="AA61" t="s">
        <v>121</v>
      </c>
      <c r="AB61" t="s">
        <v>453</v>
      </c>
      <c r="AC61" t="s">
        <v>1492</v>
      </c>
      <c r="AD61" t="s">
        <v>57</v>
      </c>
      <c r="AI61">
        <v>1098.640664780605</v>
      </c>
      <c r="AJ61">
        <v>56087.89100639995</v>
      </c>
    </row>
    <row r="62" spans="1:36" hidden="1" x14ac:dyDescent="0.25">
      <c r="A62">
        <v>61</v>
      </c>
      <c r="B62" t="s">
        <v>1619</v>
      </c>
      <c r="C62" t="s">
        <v>376</v>
      </c>
      <c r="D62" t="s">
        <v>1481</v>
      </c>
      <c r="E62" t="s">
        <v>37</v>
      </c>
      <c r="G62" s="2">
        <v>45860</v>
      </c>
      <c r="H62">
        <v>0.57618212529880808</v>
      </c>
      <c r="I62" t="s">
        <v>72</v>
      </c>
      <c r="J62" t="s">
        <v>1024</v>
      </c>
      <c r="K62" t="s">
        <v>1025</v>
      </c>
      <c r="L62" t="s">
        <v>1482</v>
      </c>
      <c r="M62" t="s">
        <v>1483</v>
      </c>
      <c r="O62" t="s">
        <v>402</v>
      </c>
      <c r="P62" t="s">
        <v>403</v>
      </c>
      <c r="Q62">
        <v>0.57618212529880808</v>
      </c>
      <c r="S62" t="s">
        <v>38</v>
      </c>
      <c r="T62" t="s">
        <v>673</v>
      </c>
      <c r="V62" t="s">
        <v>60</v>
      </c>
      <c r="X62" t="s">
        <v>673</v>
      </c>
      <c r="Y62" t="s">
        <v>1486</v>
      </c>
      <c r="Z62" t="s">
        <v>49</v>
      </c>
      <c r="AA62" t="s">
        <v>124</v>
      </c>
      <c r="AB62" t="s">
        <v>453</v>
      </c>
      <c r="AC62" t="s">
        <v>1583</v>
      </c>
      <c r="AF62" t="s">
        <v>1132</v>
      </c>
      <c r="AI62">
        <v>227.6006711385364</v>
      </c>
      <c r="AJ62">
        <v>2331.735661170881</v>
      </c>
    </row>
    <row r="63" spans="1:36" hidden="1" x14ac:dyDescent="0.25">
      <c r="A63">
        <v>62</v>
      </c>
      <c r="B63" t="s">
        <v>1620</v>
      </c>
      <c r="C63" t="s">
        <v>376</v>
      </c>
      <c r="D63" t="s">
        <v>1481</v>
      </c>
      <c r="E63" t="s">
        <v>37</v>
      </c>
      <c r="G63" s="2">
        <v>45860</v>
      </c>
      <c r="H63">
        <v>0.1237539034638247</v>
      </c>
      <c r="I63" t="s">
        <v>72</v>
      </c>
      <c r="J63" t="s">
        <v>1024</v>
      </c>
      <c r="K63" t="s">
        <v>1025</v>
      </c>
      <c r="L63" t="s">
        <v>1482</v>
      </c>
      <c r="M63" t="s">
        <v>1483</v>
      </c>
      <c r="O63" t="s">
        <v>906</v>
      </c>
      <c r="P63" t="s">
        <v>671</v>
      </c>
      <c r="Q63">
        <v>0.1237539034638247</v>
      </c>
      <c r="S63" t="s">
        <v>38</v>
      </c>
      <c r="T63" t="s">
        <v>1172</v>
      </c>
      <c r="V63" t="s">
        <v>60</v>
      </c>
      <c r="X63" t="s">
        <v>1172</v>
      </c>
      <c r="Y63" t="s">
        <v>1486</v>
      </c>
      <c r="Z63" t="s">
        <v>49</v>
      </c>
      <c r="AA63" t="s">
        <v>121</v>
      </c>
      <c r="AB63" t="s">
        <v>453</v>
      </c>
      <c r="AC63" t="s">
        <v>1492</v>
      </c>
      <c r="AD63" t="s">
        <v>57</v>
      </c>
      <c r="AI63">
        <v>88.677726075063617</v>
      </c>
      <c r="AJ63">
        <v>500.81628229277459</v>
      </c>
    </row>
    <row r="64" spans="1:36" x14ac:dyDescent="0.25">
      <c r="A64">
        <v>63</v>
      </c>
      <c r="B64" t="s">
        <v>1621</v>
      </c>
      <c r="C64" t="s">
        <v>376</v>
      </c>
      <c r="D64" t="s">
        <v>1481</v>
      </c>
      <c r="E64" t="s">
        <v>37</v>
      </c>
      <c r="G64" s="2">
        <v>45860</v>
      </c>
      <c r="H64">
        <v>2.1379234707117778</v>
      </c>
      <c r="I64" t="s">
        <v>72</v>
      </c>
      <c r="J64" t="s">
        <v>1024</v>
      </c>
      <c r="K64" t="s">
        <v>1025</v>
      </c>
      <c r="L64" t="s">
        <v>1482</v>
      </c>
      <c r="M64" t="s">
        <v>1483</v>
      </c>
      <c r="N64" t="s">
        <v>1612</v>
      </c>
      <c r="O64" t="s">
        <v>62</v>
      </c>
      <c r="P64" t="s">
        <v>63</v>
      </c>
      <c r="Q64">
        <v>2.1379234707117778</v>
      </c>
      <c r="R64" t="s">
        <v>64</v>
      </c>
      <c r="S64" t="s">
        <v>65</v>
      </c>
      <c r="T64" t="s">
        <v>1613</v>
      </c>
      <c r="V64" t="s">
        <v>60</v>
      </c>
      <c r="X64" t="s">
        <v>1614</v>
      </c>
      <c r="Y64" t="s">
        <v>1486</v>
      </c>
      <c r="Z64" t="s">
        <v>49</v>
      </c>
      <c r="AA64" t="s">
        <v>124</v>
      </c>
      <c r="AB64" t="s">
        <v>453</v>
      </c>
      <c r="AC64" t="s">
        <v>1622</v>
      </c>
      <c r="AD64" t="s">
        <v>1498</v>
      </c>
      <c r="AE64" t="s">
        <v>1623</v>
      </c>
      <c r="AI64">
        <v>364.75083238867171</v>
      </c>
      <c r="AJ64">
        <v>8651.9039356307931</v>
      </c>
    </row>
    <row r="65" spans="1:36" x14ac:dyDescent="0.25">
      <c r="A65">
        <v>64</v>
      </c>
      <c r="B65" t="s">
        <v>1624</v>
      </c>
      <c r="C65" t="s">
        <v>376</v>
      </c>
      <c r="D65" t="s">
        <v>1481</v>
      </c>
      <c r="E65" t="s">
        <v>37</v>
      </c>
      <c r="G65" s="2">
        <v>45860</v>
      </c>
      <c r="H65">
        <v>0.27604312309591528</v>
      </c>
      <c r="I65" t="s">
        <v>72</v>
      </c>
      <c r="J65" t="s">
        <v>1024</v>
      </c>
      <c r="K65" t="s">
        <v>1025</v>
      </c>
      <c r="L65" t="s">
        <v>1482</v>
      </c>
      <c r="M65" t="s">
        <v>1483</v>
      </c>
      <c r="N65" t="s">
        <v>1612</v>
      </c>
      <c r="O65" t="s">
        <v>62</v>
      </c>
      <c r="P65" t="s">
        <v>63</v>
      </c>
      <c r="Q65">
        <v>0.27604312309591528</v>
      </c>
      <c r="R65" t="s">
        <v>64</v>
      </c>
      <c r="S65" t="s">
        <v>65</v>
      </c>
      <c r="T65" t="s">
        <v>1613</v>
      </c>
      <c r="V65" t="s">
        <v>60</v>
      </c>
      <c r="X65" t="s">
        <v>1614</v>
      </c>
      <c r="Y65" t="s">
        <v>1486</v>
      </c>
      <c r="Z65" t="s">
        <v>49</v>
      </c>
      <c r="AA65" t="s">
        <v>124</v>
      </c>
      <c r="AB65" t="s">
        <v>453</v>
      </c>
      <c r="AC65" t="s">
        <v>1625</v>
      </c>
      <c r="AD65" t="s">
        <v>1498</v>
      </c>
      <c r="AE65" t="s">
        <v>1626</v>
      </c>
      <c r="AI65">
        <v>151.79458887233091</v>
      </c>
      <c r="AJ65">
        <v>1117.111354001006</v>
      </c>
    </row>
    <row r="66" spans="1:36" x14ac:dyDescent="0.25">
      <c r="A66">
        <v>65</v>
      </c>
      <c r="B66" t="s">
        <v>1627</v>
      </c>
      <c r="C66" t="s">
        <v>376</v>
      </c>
      <c r="D66" t="s">
        <v>1481</v>
      </c>
      <c r="E66" t="s">
        <v>37</v>
      </c>
      <c r="G66" s="2">
        <v>45860</v>
      </c>
      <c r="H66">
        <v>0.1433056485059965</v>
      </c>
      <c r="I66" t="s">
        <v>72</v>
      </c>
      <c r="J66" t="s">
        <v>1024</v>
      </c>
      <c r="K66" t="s">
        <v>1025</v>
      </c>
      <c r="L66" t="s">
        <v>1482</v>
      </c>
      <c r="M66" t="s">
        <v>1483</v>
      </c>
      <c r="O66" t="s">
        <v>62</v>
      </c>
      <c r="P66" t="s">
        <v>63</v>
      </c>
      <c r="Q66">
        <v>0.1433056485059965</v>
      </c>
      <c r="R66" t="s">
        <v>64</v>
      </c>
      <c r="S66" t="s">
        <v>65</v>
      </c>
      <c r="T66" t="s">
        <v>1628</v>
      </c>
      <c r="V66" t="s">
        <v>60</v>
      </c>
      <c r="X66" t="s">
        <v>1126</v>
      </c>
      <c r="Y66" t="s">
        <v>1486</v>
      </c>
      <c r="Z66" t="s">
        <v>49</v>
      </c>
      <c r="AA66" t="s">
        <v>124</v>
      </c>
      <c r="AB66" t="s">
        <v>453</v>
      </c>
      <c r="AC66" t="s">
        <v>1622</v>
      </c>
      <c r="AD66" t="s">
        <v>1498</v>
      </c>
      <c r="AI66">
        <v>96.921907792861219</v>
      </c>
      <c r="AJ66">
        <v>579.93970377918413</v>
      </c>
    </row>
    <row r="67" spans="1:36" x14ac:dyDescent="0.25">
      <c r="A67">
        <v>66</v>
      </c>
      <c r="B67" t="s">
        <v>1629</v>
      </c>
      <c r="C67" t="s">
        <v>376</v>
      </c>
      <c r="D67" t="s">
        <v>1481</v>
      </c>
      <c r="E67" t="s">
        <v>37</v>
      </c>
      <c r="G67" s="2">
        <v>45860</v>
      </c>
      <c r="H67">
        <v>6.1989779739592876</v>
      </c>
      <c r="I67" t="s">
        <v>72</v>
      </c>
      <c r="J67" t="s">
        <v>1024</v>
      </c>
      <c r="K67" t="s">
        <v>1025</v>
      </c>
      <c r="L67" t="s">
        <v>1482</v>
      </c>
      <c r="M67" t="s">
        <v>1483</v>
      </c>
      <c r="N67" t="s">
        <v>1612</v>
      </c>
      <c r="O67" t="s">
        <v>62</v>
      </c>
      <c r="P67" t="s">
        <v>63</v>
      </c>
      <c r="Q67">
        <v>6.1989779739592876</v>
      </c>
      <c r="R67" t="s">
        <v>64</v>
      </c>
      <c r="S67" t="s">
        <v>65</v>
      </c>
      <c r="T67" t="s">
        <v>1613</v>
      </c>
      <c r="V67" t="s">
        <v>60</v>
      </c>
      <c r="X67" t="s">
        <v>1614</v>
      </c>
      <c r="Y67" t="s">
        <v>1486</v>
      </c>
      <c r="Z67" t="s">
        <v>49</v>
      </c>
      <c r="AA67" t="s">
        <v>124</v>
      </c>
      <c r="AB67" t="s">
        <v>453</v>
      </c>
      <c r="AC67" t="s">
        <v>1630</v>
      </c>
      <c r="AD67" t="s">
        <v>1498</v>
      </c>
      <c r="AE67" t="s">
        <v>1631</v>
      </c>
      <c r="AI67">
        <v>778.0180093483433</v>
      </c>
      <c r="AJ67">
        <v>25086.474172029619</v>
      </c>
    </row>
    <row r="68" spans="1:36" x14ac:dyDescent="0.25">
      <c r="A68">
        <v>67</v>
      </c>
      <c r="B68" t="s">
        <v>1632</v>
      </c>
      <c r="C68" t="s">
        <v>376</v>
      </c>
      <c r="D68" t="s">
        <v>1481</v>
      </c>
      <c r="E68" t="s">
        <v>37</v>
      </c>
      <c r="G68" s="2">
        <v>45860</v>
      </c>
      <c r="H68">
        <v>2.866269252016425</v>
      </c>
      <c r="I68" t="s">
        <v>72</v>
      </c>
      <c r="J68" t="s">
        <v>1024</v>
      </c>
      <c r="K68" t="s">
        <v>1025</v>
      </c>
      <c r="L68" t="s">
        <v>1482</v>
      </c>
      <c r="M68" t="s">
        <v>1483</v>
      </c>
      <c r="N68" t="s">
        <v>1612</v>
      </c>
      <c r="O68" t="s">
        <v>62</v>
      </c>
      <c r="P68" t="s">
        <v>63</v>
      </c>
      <c r="Q68">
        <v>2.866269252016425</v>
      </c>
      <c r="R68" t="s">
        <v>64</v>
      </c>
      <c r="S68" t="s">
        <v>65</v>
      </c>
      <c r="T68" t="s">
        <v>1613</v>
      </c>
      <c r="V68" t="s">
        <v>60</v>
      </c>
      <c r="X68" t="s">
        <v>1614</v>
      </c>
      <c r="Y68" t="s">
        <v>1486</v>
      </c>
      <c r="Z68" t="s">
        <v>49</v>
      </c>
      <c r="AA68" t="s">
        <v>124</v>
      </c>
      <c r="AB68" t="s">
        <v>453</v>
      </c>
      <c r="AC68" t="s">
        <v>1622</v>
      </c>
      <c r="AD68" t="s">
        <v>1498</v>
      </c>
      <c r="AE68" t="s">
        <v>1623</v>
      </c>
      <c r="AI68">
        <v>526.20779723949966</v>
      </c>
      <c r="AJ68">
        <v>11599.42652851003</v>
      </c>
    </row>
    <row r="69" spans="1:36" x14ac:dyDescent="0.25">
      <c r="A69">
        <v>68</v>
      </c>
      <c r="B69" t="s">
        <v>1633</v>
      </c>
      <c r="C69" t="s">
        <v>376</v>
      </c>
      <c r="D69" t="s">
        <v>1481</v>
      </c>
      <c r="E69" t="s">
        <v>37</v>
      </c>
      <c r="G69" s="2">
        <v>45860</v>
      </c>
      <c r="H69">
        <v>5.9979624422513744</v>
      </c>
      <c r="I69" t="s">
        <v>72</v>
      </c>
      <c r="J69" t="s">
        <v>1024</v>
      </c>
      <c r="K69" t="s">
        <v>1025</v>
      </c>
      <c r="L69" t="s">
        <v>1482</v>
      </c>
      <c r="M69" t="s">
        <v>1483</v>
      </c>
      <c r="N69" t="s">
        <v>1612</v>
      </c>
      <c r="O69" t="s">
        <v>62</v>
      </c>
      <c r="P69" t="s">
        <v>63</v>
      </c>
      <c r="Q69">
        <v>5.9979624422513744</v>
      </c>
      <c r="R69" t="s">
        <v>64</v>
      </c>
      <c r="S69" t="s">
        <v>65</v>
      </c>
      <c r="T69" t="s">
        <v>1613</v>
      </c>
      <c r="V69" t="s">
        <v>60</v>
      </c>
      <c r="X69" t="s">
        <v>1614</v>
      </c>
      <c r="Y69" t="s">
        <v>1486</v>
      </c>
      <c r="Z69" t="s">
        <v>49</v>
      </c>
      <c r="AA69" t="s">
        <v>124</v>
      </c>
      <c r="AB69" t="s">
        <v>453</v>
      </c>
      <c r="AC69" t="s">
        <v>1630</v>
      </c>
      <c r="AD69" t="s">
        <v>483</v>
      </c>
      <c r="AE69" t="s">
        <v>1634</v>
      </c>
      <c r="AI69">
        <v>792.27693954228971</v>
      </c>
      <c r="AJ69">
        <v>24272.989922601559</v>
      </c>
    </row>
    <row r="70" spans="1:36" x14ac:dyDescent="0.25">
      <c r="A70">
        <v>69</v>
      </c>
      <c r="B70" t="s">
        <v>1635</v>
      </c>
      <c r="C70" t="s">
        <v>376</v>
      </c>
      <c r="D70" t="s">
        <v>1481</v>
      </c>
      <c r="E70" t="s">
        <v>37</v>
      </c>
      <c r="G70" s="2">
        <v>45860</v>
      </c>
      <c r="H70">
        <v>7.8571378459211818</v>
      </c>
      <c r="I70" t="s">
        <v>72</v>
      </c>
      <c r="J70" t="s">
        <v>1024</v>
      </c>
      <c r="K70" t="s">
        <v>1025</v>
      </c>
      <c r="L70" t="s">
        <v>1482</v>
      </c>
      <c r="M70" t="s">
        <v>1483</v>
      </c>
      <c r="O70" t="s">
        <v>62</v>
      </c>
      <c r="P70" t="s">
        <v>63</v>
      </c>
      <c r="Q70">
        <v>7.8571378459211818</v>
      </c>
      <c r="R70" t="s">
        <v>64</v>
      </c>
      <c r="S70" t="s">
        <v>65</v>
      </c>
      <c r="T70" t="s">
        <v>1636</v>
      </c>
      <c r="V70" t="s">
        <v>60</v>
      </c>
      <c r="X70" t="s">
        <v>38</v>
      </c>
      <c r="Y70" t="s">
        <v>1486</v>
      </c>
      <c r="Z70" t="s">
        <v>49</v>
      </c>
      <c r="AA70" t="s">
        <v>121</v>
      </c>
      <c r="AB70" t="s">
        <v>453</v>
      </c>
      <c r="AC70" t="s">
        <v>1637</v>
      </c>
      <c r="AD70" t="s">
        <v>483</v>
      </c>
      <c r="AE70" t="s">
        <v>1638</v>
      </c>
      <c r="AI70">
        <v>847.72488038630695</v>
      </c>
      <c r="AJ70">
        <v>31796.835940664809</v>
      </c>
    </row>
    <row r="71" spans="1:36" hidden="1" x14ac:dyDescent="0.25">
      <c r="A71">
        <v>70</v>
      </c>
      <c r="B71" t="s">
        <v>1639</v>
      </c>
      <c r="C71" t="s">
        <v>376</v>
      </c>
      <c r="D71" t="s">
        <v>1481</v>
      </c>
      <c r="E71" t="s">
        <v>37</v>
      </c>
      <c r="G71" s="2">
        <v>45860</v>
      </c>
      <c r="H71">
        <v>0.47103991525071842</v>
      </c>
      <c r="I71" t="s">
        <v>72</v>
      </c>
      <c r="J71" t="s">
        <v>1024</v>
      </c>
      <c r="K71" t="s">
        <v>1025</v>
      </c>
      <c r="L71" t="s">
        <v>1482</v>
      </c>
      <c r="M71" t="s">
        <v>1483</v>
      </c>
      <c r="O71" t="s">
        <v>408</v>
      </c>
      <c r="P71" t="s">
        <v>409</v>
      </c>
      <c r="Q71">
        <v>0.47103991525071842</v>
      </c>
      <c r="R71" t="s">
        <v>60</v>
      </c>
      <c r="S71" t="s">
        <v>66</v>
      </c>
      <c r="T71" t="s">
        <v>1640</v>
      </c>
      <c r="V71" t="s">
        <v>60</v>
      </c>
      <c r="X71" t="s">
        <v>673</v>
      </c>
      <c r="Y71" t="s">
        <v>1486</v>
      </c>
      <c r="Z71" t="s">
        <v>49</v>
      </c>
      <c r="AA71" t="s">
        <v>124</v>
      </c>
      <c r="AB71" t="s">
        <v>453</v>
      </c>
      <c r="AC71" t="s">
        <v>1641</v>
      </c>
      <c r="AD71" t="s">
        <v>57</v>
      </c>
      <c r="AE71" t="s">
        <v>1642</v>
      </c>
      <c r="AF71" t="s">
        <v>1185</v>
      </c>
      <c r="AI71">
        <v>184.01458454552809</v>
      </c>
      <c r="AJ71">
        <v>1906.238531185621</v>
      </c>
    </row>
    <row r="72" spans="1:36" hidden="1" x14ac:dyDescent="0.25">
      <c r="A72">
        <v>71</v>
      </c>
      <c r="B72" t="s">
        <v>1643</v>
      </c>
      <c r="C72" t="s">
        <v>376</v>
      </c>
      <c r="D72" t="s">
        <v>1481</v>
      </c>
      <c r="E72" t="s">
        <v>37</v>
      </c>
      <c r="G72" s="2">
        <v>45860</v>
      </c>
      <c r="H72">
        <v>0.1635332895983585</v>
      </c>
      <c r="I72" t="s">
        <v>72</v>
      </c>
      <c r="J72" t="s">
        <v>1024</v>
      </c>
      <c r="K72" t="s">
        <v>1025</v>
      </c>
      <c r="L72" t="s">
        <v>1482</v>
      </c>
      <c r="M72" t="s">
        <v>1483</v>
      </c>
      <c r="N72" t="s">
        <v>1612</v>
      </c>
      <c r="O72" t="s">
        <v>141</v>
      </c>
      <c r="P72" t="s">
        <v>142</v>
      </c>
      <c r="Q72">
        <v>0.1635332895983585</v>
      </c>
      <c r="S72" t="s">
        <v>38</v>
      </c>
      <c r="T72" t="s">
        <v>1644</v>
      </c>
      <c r="V72" t="s">
        <v>60</v>
      </c>
      <c r="X72" t="s">
        <v>1645</v>
      </c>
      <c r="Y72" t="s">
        <v>1486</v>
      </c>
      <c r="Z72" t="s">
        <v>49</v>
      </c>
      <c r="AA72" t="s">
        <v>124</v>
      </c>
      <c r="AB72" t="s">
        <v>453</v>
      </c>
      <c r="AC72" t="s">
        <v>57</v>
      </c>
      <c r="AD72" t="s">
        <v>57</v>
      </c>
      <c r="AF72" t="s">
        <v>38</v>
      </c>
      <c r="AI72">
        <v>143.27751204313711</v>
      </c>
      <c r="AJ72">
        <v>661.798390478231</v>
      </c>
    </row>
    <row r="73" spans="1:36" hidden="1" x14ac:dyDescent="0.25">
      <c r="A73">
        <v>72</v>
      </c>
      <c r="B73" t="s">
        <v>1646</v>
      </c>
      <c r="C73" t="s">
        <v>376</v>
      </c>
      <c r="D73" t="s">
        <v>1481</v>
      </c>
      <c r="E73" t="s">
        <v>37</v>
      </c>
      <c r="G73" s="2">
        <v>45860</v>
      </c>
      <c r="H73">
        <v>15.219980559849891</v>
      </c>
      <c r="I73" t="s">
        <v>72</v>
      </c>
      <c r="J73" t="s">
        <v>1024</v>
      </c>
      <c r="K73" t="s">
        <v>1025</v>
      </c>
      <c r="L73" t="s">
        <v>1482</v>
      </c>
      <c r="M73" t="s">
        <v>1483</v>
      </c>
      <c r="O73" t="s">
        <v>402</v>
      </c>
      <c r="P73" t="s">
        <v>403</v>
      </c>
      <c r="Q73">
        <v>15.219980559849891</v>
      </c>
      <c r="S73" t="s">
        <v>38</v>
      </c>
      <c r="T73" t="s">
        <v>673</v>
      </c>
      <c r="V73" t="s">
        <v>60</v>
      </c>
      <c r="X73" t="s">
        <v>673</v>
      </c>
      <c r="Y73" t="s">
        <v>1486</v>
      </c>
      <c r="Z73" t="s">
        <v>49</v>
      </c>
      <c r="AA73" t="s">
        <v>121</v>
      </c>
      <c r="AB73" t="s">
        <v>453</v>
      </c>
      <c r="AC73" t="s">
        <v>1601</v>
      </c>
      <c r="AD73" t="s">
        <v>57</v>
      </c>
      <c r="AF73" t="s">
        <v>1647</v>
      </c>
      <c r="AI73">
        <v>1185.736605089699</v>
      </c>
      <c r="AJ73">
        <v>61593.322450475091</v>
      </c>
    </row>
    <row r="74" spans="1:36" hidden="1" x14ac:dyDescent="0.25">
      <c r="A74">
        <v>73</v>
      </c>
      <c r="B74" t="s">
        <v>1648</v>
      </c>
      <c r="C74" t="s">
        <v>376</v>
      </c>
      <c r="D74" t="s">
        <v>1481</v>
      </c>
      <c r="E74" t="s">
        <v>37</v>
      </c>
      <c r="G74" s="2">
        <v>45860</v>
      </c>
      <c r="H74">
        <v>0.54479169100045843</v>
      </c>
      <c r="I74" t="s">
        <v>72</v>
      </c>
      <c r="J74" t="s">
        <v>1024</v>
      </c>
      <c r="K74" t="s">
        <v>1025</v>
      </c>
      <c r="L74" t="s">
        <v>1482</v>
      </c>
      <c r="M74" t="s">
        <v>1483</v>
      </c>
      <c r="O74" t="s">
        <v>408</v>
      </c>
      <c r="P74" t="s">
        <v>409</v>
      </c>
      <c r="Q74">
        <v>0.54479169100045843</v>
      </c>
      <c r="R74" t="s">
        <v>60</v>
      </c>
      <c r="S74" t="s">
        <v>66</v>
      </c>
      <c r="T74" t="s">
        <v>1640</v>
      </c>
      <c r="V74" t="s">
        <v>60</v>
      </c>
      <c r="X74" t="s">
        <v>673</v>
      </c>
      <c r="Y74" t="s">
        <v>1486</v>
      </c>
      <c r="Z74" t="s">
        <v>49</v>
      </c>
      <c r="AA74" t="s">
        <v>124</v>
      </c>
      <c r="AB74" t="s">
        <v>453</v>
      </c>
      <c r="AC74" t="s">
        <v>1649</v>
      </c>
      <c r="AD74" t="s">
        <v>57</v>
      </c>
      <c r="AE74" t="s">
        <v>1642</v>
      </c>
      <c r="AF74" t="s">
        <v>1132</v>
      </c>
      <c r="AI74">
        <v>214.5305941749657</v>
      </c>
      <c r="AJ74">
        <v>2204.7025723968318</v>
      </c>
    </row>
    <row r="75" spans="1:36" hidden="1" x14ac:dyDescent="0.25">
      <c r="A75">
        <v>74</v>
      </c>
      <c r="B75" t="s">
        <v>1650</v>
      </c>
      <c r="C75" t="s">
        <v>376</v>
      </c>
      <c r="D75" t="s">
        <v>1481</v>
      </c>
      <c r="E75" t="s">
        <v>37</v>
      </c>
      <c r="G75" s="2">
        <v>45860</v>
      </c>
      <c r="H75">
        <v>1.0209556155836079</v>
      </c>
      <c r="I75" t="s">
        <v>72</v>
      </c>
      <c r="J75" t="s">
        <v>1024</v>
      </c>
      <c r="K75" t="s">
        <v>1025</v>
      </c>
      <c r="L75" t="s">
        <v>1482</v>
      </c>
      <c r="M75" t="s">
        <v>1483</v>
      </c>
      <c r="N75" t="s">
        <v>1612</v>
      </c>
      <c r="O75" t="s">
        <v>402</v>
      </c>
      <c r="P75" t="s">
        <v>403</v>
      </c>
      <c r="Q75">
        <v>1.0209556155836079</v>
      </c>
      <c r="S75" t="s">
        <v>38</v>
      </c>
      <c r="T75" t="s">
        <v>673</v>
      </c>
      <c r="V75" t="s">
        <v>46</v>
      </c>
      <c r="X75" t="s">
        <v>673</v>
      </c>
      <c r="Y75" t="s">
        <v>1486</v>
      </c>
      <c r="Z75" t="s">
        <v>49</v>
      </c>
      <c r="AA75" t="s">
        <v>124</v>
      </c>
      <c r="AB75" t="s">
        <v>453</v>
      </c>
      <c r="AC75" t="s">
        <v>1651</v>
      </c>
      <c r="AD75" t="s">
        <v>57</v>
      </c>
      <c r="AE75" t="s">
        <v>1652</v>
      </c>
      <c r="AF75" t="s">
        <v>1604</v>
      </c>
      <c r="AI75">
        <v>271.87882482178281</v>
      </c>
      <c r="AJ75">
        <v>4131.6773166026096</v>
      </c>
    </row>
    <row r="76" spans="1:36" hidden="1" x14ac:dyDescent="0.25">
      <c r="A76">
        <v>75</v>
      </c>
      <c r="B76" t="s">
        <v>1653</v>
      </c>
      <c r="C76" t="s">
        <v>376</v>
      </c>
      <c r="D76" t="s">
        <v>1481</v>
      </c>
      <c r="E76" t="s">
        <v>37</v>
      </c>
      <c r="G76" s="2">
        <v>45860</v>
      </c>
      <c r="H76">
        <v>0.323504196577176</v>
      </c>
      <c r="I76" t="s">
        <v>72</v>
      </c>
      <c r="J76" t="s">
        <v>1024</v>
      </c>
      <c r="K76" t="s">
        <v>1025</v>
      </c>
      <c r="L76" t="s">
        <v>1482</v>
      </c>
      <c r="M76" t="s">
        <v>1483</v>
      </c>
      <c r="N76" t="s">
        <v>1612</v>
      </c>
      <c r="O76" t="s">
        <v>402</v>
      </c>
      <c r="P76" t="s">
        <v>403</v>
      </c>
      <c r="Q76">
        <v>0.323504196577176</v>
      </c>
      <c r="S76" t="s">
        <v>38</v>
      </c>
      <c r="T76" t="s">
        <v>673</v>
      </c>
      <c r="V76" t="s">
        <v>46</v>
      </c>
      <c r="X76" t="s">
        <v>673</v>
      </c>
      <c r="Y76" t="s">
        <v>1486</v>
      </c>
      <c r="Z76" t="s">
        <v>49</v>
      </c>
      <c r="AA76" t="s">
        <v>46</v>
      </c>
      <c r="AB76" t="s">
        <v>453</v>
      </c>
      <c r="AC76" t="s">
        <v>1651</v>
      </c>
      <c r="AE76" t="s">
        <v>38</v>
      </c>
      <c r="AF76" t="s">
        <v>1420</v>
      </c>
      <c r="AI76">
        <v>199.52568038968269</v>
      </c>
      <c r="AJ76">
        <v>1309.1802723075491</v>
      </c>
    </row>
    <row r="77" spans="1:36" x14ac:dyDescent="0.25">
      <c r="A77">
        <v>76</v>
      </c>
      <c r="B77" t="s">
        <v>1654</v>
      </c>
      <c r="C77" t="s">
        <v>376</v>
      </c>
      <c r="D77" t="s">
        <v>1481</v>
      </c>
      <c r="E77" t="s">
        <v>37</v>
      </c>
      <c r="G77" s="2">
        <v>45860</v>
      </c>
      <c r="H77">
        <v>0.72679688937350617</v>
      </c>
      <c r="I77" t="s">
        <v>72</v>
      </c>
      <c r="J77" t="s">
        <v>1024</v>
      </c>
      <c r="K77" t="s">
        <v>1025</v>
      </c>
      <c r="L77" t="s">
        <v>1482</v>
      </c>
      <c r="M77" t="s">
        <v>1483</v>
      </c>
      <c r="N77" t="s">
        <v>1612</v>
      </c>
      <c r="O77" t="s">
        <v>62</v>
      </c>
      <c r="P77" t="s">
        <v>63</v>
      </c>
      <c r="Q77">
        <v>0.72679688937350617</v>
      </c>
      <c r="R77" t="s">
        <v>64</v>
      </c>
      <c r="S77" t="s">
        <v>65</v>
      </c>
      <c r="T77" t="s">
        <v>1655</v>
      </c>
      <c r="V77" t="s">
        <v>60</v>
      </c>
      <c r="X77" t="s">
        <v>1614</v>
      </c>
      <c r="Y77" t="s">
        <v>1486</v>
      </c>
      <c r="Z77" t="s">
        <v>49</v>
      </c>
      <c r="AA77" t="s">
        <v>124</v>
      </c>
      <c r="AB77" t="s">
        <v>453</v>
      </c>
      <c r="AC77" t="s">
        <v>1656</v>
      </c>
      <c r="AD77" t="s">
        <v>1498</v>
      </c>
      <c r="AE77" t="s">
        <v>1657</v>
      </c>
      <c r="AI77">
        <v>230.06009063618541</v>
      </c>
      <c r="AJ77">
        <v>2941.2544245474492</v>
      </c>
    </row>
    <row r="78" spans="1:36" x14ac:dyDescent="0.25">
      <c r="A78">
        <v>77</v>
      </c>
      <c r="B78" t="s">
        <v>1658</v>
      </c>
      <c r="C78" t="s">
        <v>376</v>
      </c>
      <c r="D78" t="s">
        <v>1481</v>
      </c>
      <c r="E78" t="s">
        <v>37</v>
      </c>
      <c r="G78" s="2">
        <v>45860</v>
      </c>
      <c r="H78">
        <v>1.822963497737202</v>
      </c>
      <c r="I78" t="s">
        <v>72</v>
      </c>
      <c r="J78" t="s">
        <v>1024</v>
      </c>
      <c r="K78" t="s">
        <v>1025</v>
      </c>
      <c r="L78" t="s">
        <v>1482</v>
      </c>
      <c r="M78" t="s">
        <v>1483</v>
      </c>
      <c r="N78" t="s">
        <v>1612</v>
      </c>
      <c r="O78" t="s">
        <v>62</v>
      </c>
      <c r="P78" t="s">
        <v>63</v>
      </c>
      <c r="Q78">
        <v>1.822963497737202</v>
      </c>
      <c r="R78" t="s">
        <v>64</v>
      </c>
      <c r="S78" t="s">
        <v>65</v>
      </c>
      <c r="T78" t="s">
        <v>1655</v>
      </c>
      <c r="V78" t="s">
        <v>46</v>
      </c>
      <c r="X78" t="s">
        <v>1614</v>
      </c>
      <c r="Y78" t="s">
        <v>1486</v>
      </c>
      <c r="Z78" t="s">
        <v>49</v>
      </c>
      <c r="AA78" t="s">
        <v>46</v>
      </c>
      <c r="AB78" t="s">
        <v>453</v>
      </c>
      <c r="AC78" t="s">
        <v>1659</v>
      </c>
      <c r="AD78" t="s">
        <v>1498</v>
      </c>
      <c r="AE78" t="s">
        <v>1660</v>
      </c>
      <c r="AI78">
        <v>362.03123970490333</v>
      </c>
      <c r="AJ78">
        <v>7377.3010477932467</v>
      </c>
    </row>
    <row r="79" spans="1:36" hidden="1" x14ac:dyDescent="0.25">
      <c r="A79">
        <v>78</v>
      </c>
      <c r="B79" t="s">
        <v>1661</v>
      </c>
      <c r="C79" t="s">
        <v>376</v>
      </c>
      <c r="D79" t="s">
        <v>1481</v>
      </c>
      <c r="E79" t="s">
        <v>37</v>
      </c>
      <c r="G79" s="2">
        <v>45860</v>
      </c>
      <c r="H79">
        <v>7.226741436772099</v>
      </c>
      <c r="I79" t="s">
        <v>72</v>
      </c>
      <c r="J79" t="s">
        <v>1024</v>
      </c>
      <c r="K79" t="s">
        <v>1025</v>
      </c>
      <c r="L79" t="s">
        <v>1482</v>
      </c>
      <c r="M79" t="s">
        <v>1483</v>
      </c>
      <c r="O79" t="s">
        <v>402</v>
      </c>
      <c r="P79" t="s">
        <v>403</v>
      </c>
      <c r="Q79">
        <v>7.226741436772099</v>
      </c>
      <c r="S79" t="s">
        <v>38</v>
      </c>
      <c r="T79" t="s">
        <v>1484</v>
      </c>
      <c r="V79" t="s">
        <v>60</v>
      </c>
      <c r="X79" t="s">
        <v>673</v>
      </c>
      <c r="Y79" t="s">
        <v>1486</v>
      </c>
      <c r="Z79" t="s">
        <v>49</v>
      </c>
      <c r="AA79" t="s">
        <v>121</v>
      </c>
      <c r="AB79" t="s">
        <v>453</v>
      </c>
      <c r="AC79" t="s">
        <v>1557</v>
      </c>
      <c r="AD79" t="s">
        <v>57</v>
      </c>
      <c r="AE79" t="s">
        <v>487</v>
      </c>
      <c r="AI79">
        <v>730.42269469424468</v>
      </c>
      <c r="AJ79">
        <v>29245.7019791163</v>
      </c>
    </row>
    <row r="80" spans="1:36" x14ac:dyDescent="0.25">
      <c r="A80">
        <v>79</v>
      </c>
      <c r="B80" t="s">
        <v>1662</v>
      </c>
      <c r="C80" t="s">
        <v>376</v>
      </c>
      <c r="D80" t="s">
        <v>1481</v>
      </c>
      <c r="E80" t="s">
        <v>37</v>
      </c>
      <c r="G80" s="2">
        <v>45860</v>
      </c>
      <c r="H80">
        <v>2.8056022791637369</v>
      </c>
      <c r="I80" t="s">
        <v>72</v>
      </c>
      <c r="J80" t="s">
        <v>1024</v>
      </c>
      <c r="K80" t="s">
        <v>1025</v>
      </c>
      <c r="L80" t="s">
        <v>1482</v>
      </c>
      <c r="M80" t="s">
        <v>1483</v>
      </c>
      <c r="N80" t="s">
        <v>1612</v>
      </c>
      <c r="O80" t="s">
        <v>62</v>
      </c>
      <c r="P80" t="s">
        <v>63</v>
      </c>
      <c r="Q80">
        <v>2.8056022791637369</v>
      </c>
      <c r="R80" t="s">
        <v>64</v>
      </c>
      <c r="S80" t="s">
        <v>65</v>
      </c>
      <c r="T80" t="s">
        <v>1655</v>
      </c>
      <c r="V80" t="s">
        <v>46</v>
      </c>
      <c r="X80" t="s">
        <v>1614</v>
      </c>
      <c r="Y80" t="s">
        <v>1486</v>
      </c>
      <c r="Z80" t="s">
        <v>49</v>
      </c>
      <c r="AA80" t="s">
        <v>46</v>
      </c>
      <c r="AB80" t="s">
        <v>453</v>
      </c>
      <c r="AC80" t="s">
        <v>1503</v>
      </c>
      <c r="AD80" t="s">
        <v>1498</v>
      </c>
      <c r="AE80" t="s">
        <v>1663</v>
      </c>
      <c r="AI80">
        <v>514.12643676438972</v>
      </c>
      <c r="AJ80">
        <v>11353.915017748501</v>
      </c>
    </row>
    <row r="81" spans="1:36" hidden="1" x14ac:dyDescent="0.25">
      <c r="A81">
        <v>80</v>
      </c>
      <c r="B81" t="s">
        <v>1664</v>
      </c>
      <c r="C81" t="s">
        <v>376</v>
      </c>
      <c r="D81" t="s">
        <v>1481</v>
      </c>
      <c r="E81" t="s">
        <v>37</v>
      </c>
      <c r="G81" s="2">
        <v>45860</v>
      </c>
      <c r="H81">
        <v>4.5766629146958246</v>
      </c>
      <c r="I81" t="s">
        <v>72</v>
      </c>
      <c r="J81" t="s">
        <v>1024</v>
      </c>
      <c r="K81" t="s">
        <v>1025</v>
      </c>
      <c r="L81" t="s">
        <v>1482</v>
      </c>
      <c r="M81" t="s">
        <v>1483</v>
      </c>
      <c r="O81" t="s">
        <v>402</v>
      </c>
      <c r="P81" t="s">
        <v>403</v>
      </c>
      <c r="Q81">
        <v>4.5766629146958246</v>
      </c>
      <c r="S81" t="s">
        <v>38</v>
      </c>
      <c r="T81" t="s">
        <v>673</v>
      </c>
      <c r="V81" t="s">
        <v>60</v>
      </c>
      <c r="X81" t="s">
        <v>673</v>
      </c>
      <c r="Y81" t="s">
        <v>1486</v>
      </c>
      <c r="Z81" t="s">
        <v>49</v>
      </c>
      <c r="AA81" t="s">
        <v>121</v>
      </c>
      <c r="AB81" t="s">
        <v>453</v>
      </c>
      <c r="AC81" t="s">
        <v>1492</v>
      </c>
      <c r="AI81">
        <v>685.24962545862763</v>
      </c>
      <c r="AJ81">
        <v>18521.171794109789</v>
      </c>
    </row>
    <row r="82" spans="1:36" hidden="1" x14ac:dyDescent="0.25">
      <c r="A82">
        <v>81</v>
      </c>
      <c r="B82" t="s">
        <v>1665</v>
      </c>
      <c r="C82" t="s">
        <v>376</v>
      </c>
      <c r="D82" t="s">
        <v>1481</v>
      </c>
      <c r="E82" t="s">
        <v>37</v>
      </c>
      <c r="G82" s="2">
        <v>45860</v>
      </c>
      <c r="H82">
        <v>6.1121023874034863</v>
      </c>
      <c r="I82" t="s">
        <v>72</v>
      </c>
      <c r="J82" t="s">
        <v>1024</v>
      </c>
      <c r="K82" t="s">
        <v>1025</v>
      </c>
      <c r="L82" t="s">
        <v>1482</v>
      </c>
      <c r="M82" t="s">
        <v>1483</v>
      </c>
      <c r="O82" t="s">
        <v>402</v>
      </c>
      <c r="P82" t="s">
        <v>403</v>
      </c>
      <c r="Q82">
        <v>6.1121023874034863</v>
      </c>
      <c r="S82" t="s">
        <v>38</v>
      </c>
      <c r="T82" t="s">
        <v>673</v>
      </c>
      <c r="V82" t="s">
        <v>60</v>
      </c>
      <c r="X82" t="s">
        <v>673</v>
      </c>
      <c r="Y82" t="s">
        <v>1486</v>
      </c>
      <c r="Z82" t="s">
        <v>49</v>
      </c>
      <c r="AA82" t="s">
        <v>121</v>
      </c>
      <c r="AB82" t="s">
        <v>453</v>
      </c>
      <c r="AC82" t="s">
        <v>1492</v>
      </c>
      <c r="AD82" t="s">
        <v>57</v>
      </c>
      <c r="AI82">
        <v>738.09615064677541</v>
      </c>
      <c r="AJ82">
        <v>24734.899740330191</v>
      </c>
    </row>
    <row r="83" spans="1:36" x14ac:dyDescent="0.25">
      <c r="A83">
        <v>82</v>
      </c>
      <c r="B83" t="s">
        <v>1666</v>
      </c>
      <c r="C83" t="s">
        <v>376</v>
      </c>
      <c r="D83" t="s">
        <v>1481</v>
      </c>
      <c r="E83" t="s">
        <v>37</v>
      </c>
      <c r="G83" s="2">
        <v>45860</v>
      </c>
      <c r="H83">
        <v>1.294584687014833</v>
      </c>
      <c r="I83" t="s">
        <v>72</v>
      </c>
      <c r="J83" t="s">
        <v>1024</v>
      </c>
      <c r="K83" t="s">
        <v>1025</v>
      </c>
      <c r="L83" t="s">
        <v>1482</v>
      </c>
      <c r="M83" t="s">
        <v>1483</v>
      </c>
      <c r="N83" t="s">
        <v>1612</v>
      </c>
      <c r="O83" t="s">
        <v>62</v>
      </c>
      <c r="P83" t="s">
        <v>63</v>
      </c>
      <c r="Q83">
        <v>1.294584687014833</v>
      </c>
      <c r="R83" t="s">
        <v>64</v>
      </c>
      <c r="S83" t="s">
        <v>65</v>
      </c>
      <c r="T83" t="s">
        <v>1655</v>
      </c>
      <c r="V83" t="s">
        <v>60</v>
      </c>
      <c r="X83" t="s">
        <v>1614</v>
      </c>
      <c r="Y83" t="s">
        <v>1486</v>
      </c>
      <c r="Z83" t="s">
        <v>49</v>
      </c>
      <c r="AA83" t="s">
        <v>124</v>
      </c>
      <c r="AB83" t="s">
        <v>453</v>
      </c>
      <c r="AC83" t="s">
        <v>1667</v>
      </c>
      <c r="AD83" t="s">
        <v>1498</v>
      </c>
      <c r="AE83" t="s">
        <v>1668</v>
      </c>
      <c r="AI83">
        <v>305.69499107675159</v>
      </c>
      <c r="AJ83">
        <v>5239.01931104296</v>
      </c>
    </row>
    <row r="84" spans="1:36" x14ac:dyDescent="0.25">
      <c r="A84">
        <v>83</v>
      </c>
      <c r="B84" t="s">
        <v>1669</v>
      </c>
      <c r="C84" t="s">
        <v>376</v>
      </c>
      <c r="D84" t="s">
        <v>1481</v>
      </c>
      <c r="E84" t="s">
        <v>37</v>
      </c>
      <c r="G84" s="2">
        <v>45860</v>
      </c>
      <c r="H84">
        <v>1.2127169120995669</v>
      </c>
      <c r="I84" t="s">
        <v>72</v>
      </c>
      <c r="J84" t="s">
        <v>1024</v>
      </c>
      <c r="K84" t="s">
        <v>1025</v>
      </c>
      <c r="L84" t="s">
        <v>1482</v>
      </c>
      <c r="M84" t="s">
        <v>1483</v>
      </c>
      <c r="N84" t="s">
        <v>1612</v>
      </c>
      <c r="O84" t="s">
        <v>62</v>
      </c>
      <c r="P84" t="s">
        <v>63</v>
      </c>
      <c r="Q84">
        <v>1.2127169120995669</v>
      </c>
      <c r="R84" t="s">
        <v>64</v>
      </c>
      <c r="S84" t="s">
        <v>65</v>
      </c>
      <c r="T84" t="s">
        <v>1655</v>
      </c>
      <c r="V84" t="s">
        <v>60</v>
      </c>
      <c r="X84" t="s">
        <v>1614</v>
      </c>
      <c r="Y84" t="s">
        <v>1486</v>
      </c>
      <c r="Z84" t="s">
        <v>49</v>
      </c>
      <c r="AA84" t="s">
        <v>124</v>
      </c>
      <c r="AB84" t="s">
        <v>453</v>
      </c>
      <c r="AC84" t="s">
        <v>1630</v>
      </c>
      <c r="AD84" t="s">
        <v>93</v>
      </c>
      <c r="AE84" t="s">
        <v>1670</v>
      </c>
      <c r="AI84">
        <v>276.94038109468181</v>
      </c>
      <c r="AJ84">
        <v>4907.7108551070178</v>
      </c>
    </row>
    <row r="85" spans="1:36" x14ac:dyDescent="0.25">
      <c r="A85">
        <v>84</v>
      </c>
      <c r="B85" t="s">
        <v>1671</v>
      </c>
      <c r="C85" t="s">
        <v>376</v>
      </c>
      <c r="D85" t="s">
        <v>1481</v>
      </c>
      <c r="E85" t="s">
        <v>37</v>
      </c>
      <c r="G85" s="2">
        <v>45860</v>
      </c>
      <c r="H85">
        <v>19.639856592375139</v>
      </c>
      <c r="I85" t="s">
        <v>72</v>
      </c>
      <c r="J85" t="s">
        <v>1024</v>
      </c>
      <c r="K85" t="s">
        <v>1025</v>
      </c>
      <c r="L85" t="s">
        <v>1482</v>
      </c>
      <c r="M85" t="s">
        <v>1483</v>
      </c>
      <c r="N85" t="s">
        <v>1612</v>
      </c>
      <c r="O85" t="s">
        <v>62</v>
      </c>
      <c r="P85" t="s">
        <v>63</v>
      </c>
      <c r="Q85">
        <v>19.639856592375139</v>
      </c>
      <c r="R85" t="s">
        <v>64</v>
      </c>
      <c r="S85" t="s">
        <v>65</v>
      </c>
      <c r="T85" t="s">
        <v>1613</v>
      </c>
      <c r="V85" t="s">
        <v>60</v>
      </c>
      <c r="X85" t="s">
        <v>1614</v>
      </c>
      <c r="Y85" t="s">
        <v>1486</v>
      </c>
      <c r="Z85" t="s">
        <v>49</v>
      </c>
      <c r="AA85" t="s">
        <v>124</v>
      </c>
      <c r="AB85" t="s">
        <v>453</v>
      </c>
      <c r="AC85" t="s">
        <v>1583</v>
      </c>
      <c r="AD85" t="s">
        <v>1498</v>
      </c>
      <c r="AE85" t="s">
        <v>1584</v>
      </c>
      <c r="AI85">
        <v>1538.8761885621809</v>
      </c>
      <c r="AJ85">
        <v>79479.997705541202</v>
      </c>
    </row>
    <row r="86" spans="1:36" x14ac:dyDescent="0.25">
      <c r="A86">
        <v>85</v>
      </c>
      <c r="B86" t="s">
        <v>1672</v>
      </c>
      <c r="C86" t="s">
        <v>376</v>
      </c>
      <c r="D86" t="s">
        <v>1481</v>
      </c>
      <c r="E86" t="s">
        <v>37</v>
      </c>
      <c r="G86" s="2">
        <v>45860</v>
      </c>
      <c r="H86">
        <v>0.32754556875718033</v>
      </c>
      <c r="I86" t="s">
        <v>72</v>
      </c>
      <c r="J86" t="s">
        <v>1024</v>
      </c>
      <c r="K86" t="s">
        <v>1025</v>
      </c>
      <c r="L86" t="s">
        <v>1482</v>
      </c>
      <c r="M86" t="s">
        <v>1483</v>
      </c>
      <c r="N86" t="s">
        <v>1612</v>
      </c>
      <c r="O86" t="s">
        <v>62</v>
      </c>
      <c r="P86" t="s">
        <v>63</v>
      </c>
      <c r="Q86">
        <v>0.32754556875718033</v>
      </c>
      <c r="R86" t="s">
        <v>64</v>
      </c>
      <c r="S86" t="s">
        <v>65</v>
      </c>
      <c r="T86" t="s">
        <v>1655</v>
      </c>
      <c r="V86" t="s">
        <v>46</v>
      </c>
      <c r="X86" t="s">
        <v>1614</v>
      </c>
      <c r="Y86" t="s">
        <v>1486</v>
      </c>
      <c r="Z86" t="s">
        <v>49</v>
      </c>
      <c r="AA86" t="s">
        <v>124</v>
      </c>
      <c r="AB86" t="s">
        <v>453</v>
      </c>
      <c r="AC86" t="s">
        <v>1673</v>
      </c>
      <c r="AD86" t="s">
        <v>1498</v>
      </c>
      <c r="AE86" t="s">
        <v>1499</v>
      </c>
      <c r="AI86">
        <v>151.77772753537681</v>
      </c>
      <c r="AJ86">
        <v>1325.535190689116</v>
      </c>
    </row>
    <row r="87" spans="1:36" hidden="1" x14ac:dyDescent="0.25">
      <c r="A87">
        <v>86</v>
      </c>
      <c r="B87" t="s">
        <v>1674</v>
      </c>
      <c r="C87" t="s">
        <v>376</v>
      </c>
      <c r="D87" t="s">
        <v>1481</v>
      </c>
      <c r="E87" t="s">
        <v>37</v>
      </c>
      <c r="G87" s="2">
        <v>45860</v>
      </c>
      <c r="H87">
        <v>1.2977635113177159</v>
      </c>
      <c r="I87" t="s">
        <v>72</v>
      </c>
      <c r="J87" t="s">
        <v>1024</v>
      </c>
      <c r="K87" t="s">
        <v>1025</v>
      </c>
      <c r="L87" t="s">
        <v>1482</v>
      </c>
      <c r="M87" t="s">
        <v>1483</v>
      </c>
      <c r="O87" t="s">
        <v>402</v>
      </c>
      <c r="P87" t="s">
        <v>403</v>
      </c>
      <c r="Q87">
        <v>1.2977635113177159</v>
      </c>
      <c r="T87" t="s">
        <v>1120</v>
      </c>
      <c r="V87" t="s">
        <v>60</v>
      </c>
      <c r="X87" t="s">
        <v>673</v>
      </c>
      <c r="Y87" t="s">
        <v>1486</v>
      </c>
      <c r="Z87" t="s">
        <v>49</v>
      </c>
      <c r="AA87" t="s">
        <v>124</v>
      </c>
      <c r="AB87" t="s">
        <v>453</v>
      </c>
      <c r="AC87" t="s">
        <v>1675</v>
      </c>
      <c r="AD87" t="s">
        <v>93</v>
      </c>
      <c r="AF87" t="s">
        <v>1676</v>
      </c>
      <c r="AI87">
        <v>396.93799363500892</v>
      </c>
      <c r="AJ87">
        <v>5251.8836080458968</v>
      </c>
    </row>
    <row r="88" spans="1:36" x14ac:dyDescent="0.25">
      <c r="A88">
        <v>87</v>
      </c>
      <c r="B88" t="s">
        <v>1677</v>
      </c>
      <c r="C88" t="s">
        <v>376</v>
      </c>
      <c r="D88" t="s">
        <v>1481</v>
      </c>
      <c r="E88" t="s">
        <v>37</v>
      </c>
      <c r="G88" s="2">
        <v>45860</v>
      </c>
      <c r="H88">
        <v>2.0057197685923152</v>
      </c>
      <c r="I88" t="s">
        <v>72</v>
      </c>
      <c r="J88" t="s">
        <v>1024</v>
      </c>
      <c r="K88" t="s">
        <v>1025</v>
      </c>
      <c r="L88" t="s">
        <v>1482</v>
      </c>
      <c r="M88" t="s">
        <v>1483</v>
      </c>
      <c r="O88" t="s">
        <v>62</v>
      </c>
      <c r="P88" t="s">
        <v>63</v>
      </c>
      <c r="Q88">
        <v>2.0057197685923152</v>
      </c>
      <c r="R88" t="s">
        <v>64</v>
      </c>
      <c r="S88" t="s">
        <v>65</v>
      </c>
      <c r="T88" t="s">
        <v>1636</v>
      </c>
      <c r="V88" t="s">
        <v>60</v>
      </c>
      <c r="Y88" t="s">
        <v>1486</v>
      </c>
      <c r="Z88" t="s">
        <v>49</v>
      </c>
      <c r="AA88" t="s">
        <v>121</v>
      </c>
      <c r="AB88" t="s">
        <v>453</v>
      </c>
      <c r="AC88" t="s">
        <v>1637</v>
      </c>
      <c r="AD88" t="s">
        <v>483</v>
      </c>
      <c r="AE88" t="s">
        <v>1638</v>
      </c>
      <c r="AI88">
        <v>458.95507896254293</v>
      </c>
      <c r="AJ88">
        <v>8116.8923945995612</v>
      </c>
    </row>
    <row r="89" spans="1:36" x14ac:dyDescent="0.25">
      <c r="A89">
        <v>88</v>
      </c>
      <c r="B89" t="s">
        <v>1678</v>
      </c>
      <c r="C89" t="s">
        <v>376</v>
      </c>
      <c r="D89" t="s">
        <v>1481</v>
      </c>
      <c r="E89" t="s">
        <v>37</v>
      </c>
      <c r="G89" s="2">
        <v>45860</v>
      </c>
      <c r="H89">
        <v>7.3640709454104218</v>
      </c>
      <c r="I89" t="s">
        <v>72</v>
      </c>
      <c r="J89" t="s">
        <v>1024</v>
      </c>
      <c r="K89" t="s">
        <v>1025</v>
      </c>
      <c r="L89" t="s">
        <v>1482</v>
      </c>
      <c r="M89" t="s">
        <v>1483</v>
      </c>
      <c r="N89" t="s">
        <v>1612</v>
      </c>
      <c r="O89" t="s">
        <v>62</v>
      </c>
      <c r="P89" t="s">
        <v>63</v>
      </c>
      <c r="Q89">
        <v>7.3640709454104218</v>
      </c>
      <c r="R89" t="s">
        <v>64</v>
      </c>
      <c r="S89" t="s">
        <v>65</v>
      </c>
      <c r="T89" t="s">
        <v>1613</v>
      </c>
      <c r="V89" t="s">
        <v>60</v>
      </c>
      <c r="X89" t="s">
        <v>1614</v>
      </c>
      <c r="Y89" t="s">
        <v>1486</v>
      </c>
      <c r="Z89" t="s">
        <v>49</v>
      </c>
      <c r="AA89" t="s">
        <v>124</v>
      </c>
      <c r="AB89" t="s">
        <v>453</v>
      </c>
      <c r="AC89" t="s">
        <v>1583</v>
      </c>
      <c r="AD89" t="s">
        <v>1498</v>
      </c>
      <c r="AE89" t="s">
        <v>1584</v>
      </c>
      <c r="AI89">
        <v>712.99612675103253</v>
      </c>
      <c r="AJ89">
        <v>29801.457006152221</v>
      </c>
    </row>
    <row r="90" spans="1:36" hidden="1" x14ac:dyDescent="0.25">
      <c r="A90">
        <v>89</v>
      </c>
      <c r="B90" t="s">
        <v>1679</v>
      </c>
      <c r="C90" t="s">
        <v>376</v>
      </c>
      <c r="D90" t="s">
        <v>1481</v>
      </c>
      <c r="E90" t="s">
        <v>37</v>
      </c>
      <c r="G90" s="2">
        <v>45860</v>
      </c>
      <c r="H90">
        <v>9.8479510576411045</v>
      </c>
      <c r="I90" t="s">
        <v>72</v>
      </c>
      <c r="J90" t="s">
        <v>1024</v>
      </c>
      <c r="K90" t="s">
        <v>1025</v>
      </c>
      <c r="L90" t="s">
        <v>1482</v>
      </c>
      <c r="M90" t="s">
        <v>1483</v>
      </c>
      <c r="O90" t="s">
        <v>402</v>
      </c>
      <c r="P90" t="s">
        <v>403</v>
      </c>
      <c r="Q90">
        <v>9.8479510576411045</v>
      </c>
      <c r="S90" t="s">
        <v>38</v>
      </c>
      <c r="T90" t="s">
        <v>673</v>
      </c>
      <c r="V90" t="s">
        <v>60</v>
      </c>
      <c r="X90" t="s">
        <v>673</v>
      </c>
      <c r="Y90" t="s">
        <v>1486</v>
      </c>
      <c r="Z90" t="s">
        <v>49</v>
      </c>
      <c r="AA90" t="s">
        <v>121</v>
      </c>
      <c r="AB90" t="s">
        <v>453</v>
      </c>
      <c r="AC90" t="s">
        <v>1492</v>
      </c>
      <c r="AD90" t="s">
        <v>57</v>
      </c>
      <c r="AI90">
        <v>789.9760580737335</v>
      </c>
      <c r="AJ90">
        <v>39853.403398549963</v>
      </c>
    </row>
    <row r="91" spans="1:36" hidden="1" x14ac:dyDescent="0.25">
      <c r="A91">
        <v>90</v>
      </c>
      <c r="B91" t="s">
        <v>1680</v>
      </c>
      <c r="C91" t="s">
        <v>376</v>
      </c>
      <c r="D91" t="s">
        <v>1481</v>
      </c>
      <c r="E91" t="s">
        <v>37</v>
      </c>
      <c r="G91" s="2">
        <v>45860</v>
      </c>
      <c r="H91">
        <v>2.2443214895382582</v>
      </c>
      <c r="I91" t="s">
        <v>72</v>
      </c>
      <c r="J91" t="s">
        <v>1024</v>
      </c>
      <c r="K91" t="s">
        <v>1025</v>
      </c>
      <c r="L91" t="s">
        <v>1482</v>
      </c>
      <c r="M91" t="s">
        <v>1483</v>
      </c>
      <c r="O91" t="s">
        <v>402</v>
      </c>
      <c r="P91" t="s">
        <v>403</v>
      </c>
      <c r="Q91">
        <v>2.2443214895382582</v>
      </c>
      <c r="S91" t="s">
        <v>38</v>
      </c>
      <c r="T91" t="s">
        <v>673</v>
      </c>
      <c r="V91" t="s">
        <v>60</v>
      </c>
      <c r="X91" t="s">
        <v>673</v>
      </c>
      <c r="Y91" t="s">
        <v>1486</v>
      </c>
      <c r="Z91" t="s">
        <v>49</v>
      </c>
      <c r="AA91" t="s">
        <v>121</v>
      </c>
      <c r="AB91" t="s">
        <v>453</v>
      </c>
      <c r="AC91" t="s">
        <v>1492</v>
      </c>
      <c r="AD91" t="s">
        <v>57</v>
      </c>
      <c r="AI91">
        <v>505.29063523433621</v>
      </c>
      <c r="AJ91">
        <v>9082.4831637645584</v>
      </c>
    </row>
    <row r="92" spans="1:36" x14ac:dyDescent="0.25">
      <c r="A92">
        <v>91</v>
      </c>
      <c r="B92" t="s">
        <v>1681</v>
      </c>
      <c r="C92" t="s">
        <v>376</v>
      </c>
      <c r="D92" t="s">
        <v>1481</v>
      </c>
      <c r="E92" t="s">
        <v>37</v>
      </c>
      <c r="G92" s="2">
        <v>45860</v>
      </c>
      <c r="H92">
        <v>0.80065442000949794</v>
      </c>
      <c r="I92" t="s">
        <v>72</v>
      </c>
      <c r="J92" t="s">
        <v>1024</v>
      </c>
      <c r="K92" t="s">
        <v>1025</v>
      </c>
      <c r="L92" t="s">
        <v>1482</v>
      </c>
      <c r="M92" t="s">
        <v>1483</v>
      </c>
      <c r="N92" t="s">
        <v>1612</v>
      </c>
      <c r="O92" t="s">
        <v>62</v>
      </c>
      <c r="P92" t="s">
        <v>63</v>
      </c>
      <c r="Q92">
        <v>0.80065442000949794</v>
      </c>
      <c r="R92" t="s">
        <v>64</v>
      </c>
      <c r="S92" t="s">
        <v>65</v>
      </c>
      <c r="T92" t="s">
        <v>1613</v>
      </c>
      <c r="V92" t="s">
        <v>60</v>
      </c>
      <c r="X92" t="s">
        <v>1614</v>
      </c>
      <c r="Y92" t="s">
        <v>1486</v>
      </c>
      <c r="Z92" t="s">
        <v>49</v>
      </c>
      <c r="AA92" t="s">
        <v>124</v>
      </c>
      <c r="AB92" t="s">
        <v>453</v>
      </c>
      <c r="AC92" t="s">
        <v>1667</v>
      </c>
      <c r="AD92" t="s">
        <v>1498</v>
      </c>
      <c r="AE92" t="s">
        <v>1668</v>
      </c>
      <c r="AI92">
        <v>272.90786469655518</v>
      </c>
      <c r="AJ92">
        <v>3240.146442311192</v>
      </c>
    </row>
    <row r="93" spans="1:36" hidden="1" x14ac:dyDescent="0.25">
      <c r="A93">
        <v>92</v>
      </c>
      <c r="B93" t="s">
        <v>1682</v>
      </c>
      <c r="C93" t="s">
        <v>376</v>
      </c>
      <c r="D93" t="s">
        <v>1481</v>
      </c>
      <c r="E93" t="s">
        <v>37</v>
      </c>
      <c r="G93" s="2">
        <v>45860</v>
      </c>
      <c r="H93">
        <v>0.39742167467916623</v>
      </c>
      <c r="I93" t="s">
        <v>72</v>
      </c>
      <c r="J93" t="s">
        <v>1024</v>
      </c>
      <c r="K93" t="s">
        <v>1025</v>
      </c>
      <c r="L93" t="s">
        <v>1482</v>
      </c>
      <c r="M93" t="s">
        <v>1483</v>
      </c>
      <c r="O93" t="s">
        <v>906</v>
      </c>
      <c r="P93" t="s">
        <v>671</v>
      </c>
      <c r="Q93">
        <v>0.39742167467916623</v>
      </c>
      <c r="S93" t="s">
        <v>38</v>
      </c>
      <c r="T93" t="s">
        <v>1683</v>
      </c>
      <c r="V93" t="s">
        <v>64</v>
      </c>
      <c r="X93" t="s">
        <v>1172</v>
      </c>
      <c r="Y93" t="s">
        <v>1486</v>
      </c>
      <c r="Z93" t="s">
        <v>49</v>
      </c>
      <c r="AA93" t="s">
        <v>121</v>
      </c>
      <c r="AB93" t="s">
        <v>453</v>
      </c>
      <c r="AC93" t="s">
        <v>1684</v>
      </c>
      <c r="AD93" t="s">
        <v>57</v>
      </c>
      <c r="AI93">
        <v>153.5441965290961</v>
      </c>
      <c r="AJ93">
        <v>1608.314889829473</v>
      </c>
    </row>
    <row r="94" spans="1:36" hidden="1" x14ac:dyDescent="0.25">
      <c r="A94">
        <v>93</v>
      </c>
      <c r="B94" t="s">
        <v>1685</v>
      </c>
      <c r="C94" t="s">
        <v>376</v>
      </c>
      <c r="D94" t="s">
        <v>1481</v>
      </c>
      <c r="E94" t="s">
        <v>37</v>
      </c>
      <c r="G94" s="2">
        <v>45860</v>
      </c>
      <c r="H94">
        <v>0.31381347792929398</v>
      </c>
      <c r="I94" t="s">
        <v>72</v>
      </c>
      <c r="J94" t="s">
        <v>1024</v>
      </c>
      <c r="K94" t="s">
        <v>1025</v>
      </c>
      <c r="L94" t="s">
        <v>1482</v>
      </c>
      <c r="M94" t="s">
        <v>1483</v>
      </c>
      <c r="O94" t="s">
        <v>402</v>
      </c>
      <c r="P94" t="s">
        <v>403</v>
      </c>
      <c r="Q94">
        <v>0.31381347792929398</v>
      </c>
      <c r="S94" t="s">
        <v>38</v>
      </c>
      <c r="T94" t="s">
        <v>495</v>
      </c>
      <c r="V94" t="s">
        <v>64</v>
      </c>
      <c r="X94" t="s">
        <v>495</v>
      </c>
      <c r="Y94" t="s">
        <v>1486</v>
      </c>
      <c r="Z94" t="s">
        <v>49</v>
      </c>
      <c r="AA94" t="s">
        <v>121</v>
      </c>
      <c r="AB94" t="s">
        <v>453</v>
      </c>
      <c r="AC94" t="s">
        <v>1684</v>
      </c>
      <c r="AD94" t="s">
        <v>57</v>
      </c>
      <c r="AI94">
        <v>195.7515718752561</v>
      </c>
      <c r="AJ94">
        <v>1269.963168441438</v>
      </c>
    </row>
    <row r="95" spans="1:36" x14ac:dyDescent="0.25">
      <c r="A95">
        <v>94</v>
      </c>
      <c r="B95" t="s">
        <v>1686</v>
      </c>
      <c r="C95" t="s">
        <v>376</v>
      </c>
      <c r="D95" t="s">
        <v>1481</v>
      </c>
      <c r="E95" t="s">
        <v>37</v>
      </c>
      <c r="G95" s="2">
        <v>45860</v>
      </c>
      <c r="H95">
        <v>8.8363887592426966</v>
      </c>
      <c r="I95" t="s">
        <v>72</v>
      </c>
      <c r="J95" t="s">
        <v>1024</v>
      </c>
      <c r="K95" t="s">
        <v>1025</v>
      </c>
      <c r="L95" t="s">
        <v>1482</v>
      </c>
      <c r="M95" t="s">
        <v>1483</v>
      </c>
      <c r="O95" t="s">
        <v>62</v>
      </c>
      <c r="P95" t="s">
        <v>63</v>
      </c>
      <c r="Q95">
        <v>8.8363887592426966</v>
      </c>
      <c r="R95" t="s">
        <v>64</v>
      </c>
      <c r="S95" t="s">
        <v>65</v>
      </c>
      <c r="T95" t="s">
        <v>673</v>
      </c>
      <c r="V95" t="s">
        <v>60</v>
      </c>
      <c r="X95" t="s">
        <v>673</v>
      </c>
      <c r="Y95" t="s">
        <v>1486</v>
      </c>
      <c r="Z95" t="s">
        <v>49</v>
      </c>
      <c r="AA95" t="s">
        <v>124</v>
      </c>
      <c r="AB95" t="s">
        <v>453</v>
      </c>
      <c r="AC95" t="s">
        <v>1630</v>
      </c>
      <c r="AD95" t="s">
        <v>57</v>
      </c>
      <c r="AI95">
        <v>985.84396603065306</v>
      </c>
      <c r="AJ95">
        <v>35759.739639979991</v>
      </c>
    </row>
    <row r="96" spans="1:36" x14ac:dyDescent="0.25">
      <c r="A96">
        <v>95</v>
      </c>
      <c r="B96" t="s">
        <v>1687</v>
      </c>
      <c r="C96" t="s">
        <v>376</v>
      </c>
      <c r="D96" t="s">
        <v>1481</v>
      </c>
      <c r="E96" t="s">
        <v>37</v>
      </c>
      <c r="G96" s="2">
        <v>45860</v>
      </c>
      <c r="H96">
        <v>3.0522739617000409</v>
      </c>
      <c r="I96" t="s">
        <v>72</v>
      </c>
      <c r="J96" t="s">
        <v>1024</v>
      </c>
      <c r="K96" t="s">
        <v>1025</v>
      </c>
      <c r="L96" t="s">
        <v>1482</v>
      </c>
      <c r="M96" t="s">
        <v>1483</v>
      </c>
      <c r="N96" t="s">
        <v>1612</v>
      </c>
      <c r="O96" t="s">
        <v>62</v>
      </c>
      <c r="P96" t="s">
        <v>63</v>
      </c>
      <c r="Q96">
        <v>3.0522739617000409</v>
      </c>
      <c r="R96" t="s">
        <v>64</v>
      </c>
      <c r="S96" t="s">
        <v>65</v>
      </c>
      <c r="T96" t="s">
        <v>1613</v>
      </c>
      <c r="V96" t="s">
        <v>46</v>
      </c>
      <c r="X96" t="s">
        <v>1614</v>
      </c>
      <c r="Y96" t="s">
        <v>1486</v>
      </c>
      <c r="Z96" t="s">
        <v>49</v>
      </c>
      <c r="AA96" t="s">
        <v>46</v>
      </c>
      <c r="AB96" t="s">
        <v>453</v>
      </c>
      <c r="AC96" t="s">
        <v>1688</v>
      </c>
      <c r="AD96" t="s">
        <v>1498</v>
      </c>
      <c r="AE96" t="s">
        <v>528</v>
      </c>
      <c r="AI96">
        <v>461.33707213746732</v>
      </c>
      <c r="AJ96">
        <v>12352.163893436271</v>
      </c>
    </row>
    <row r="97" spans="1:36" hidden="1" x14ac:dyDescent="0.25">
      <c r="A97">
        <v>96</v>
      </c>
      <c r="B97" t="s">
        <v>1689</v>
      </c>
      <c r="C97" t="s">
        <v>376</v>
      </c>
      <c r="D97" t="s">
        <v>1481</v>
      </c>
      <c r="E97" t="s">
        <v>37</v>
      </c>
      <c r="G97" s="2">
        <v>45860</v>
      </c>
      <c r="H97">
        <v>4.0645971670176699</v>
      </c>
      <c r="I97" t="s">
        <v>72</v>
      </c>
      <c r="J97" t="s">
        <v>1024</v>
      </c>
      <c r="K97" t="s">
        <v>1025</v>
      </c>
      <c r="L97" t="s">
        <v>1482</v>
      </c>
      <c r="M97" t="s">
        <v>1483</v>
      </c>
      <c r="N97" t="s">
        <v>1612</v>
      </c>
      <c r="O97" t="s">
        <v>402</v>
      </c>
      <c r="P97" t="s">
        <v>403</v>
      </c>
      <c r="Q97">
        <v>4.0645971670176699</v>
      </c>
      <c r="S97" t="s">
        <v>38</v>
      </c>
      <c r="T97" t="s">
        <v>673</v>
      </c>
      <c r="V97" t="s">
        <v>46</v>
      </c>
      <c r="X97" t="s">
        <v>673</v>
      </c>
      <c r="Y97" t="s">
        <v>1486</v>
      </c>
      <c r="Z97" t="s">
        <v>49</v>
      </c>
      <c r="AA97" t="s">
        <v>46</v>
      </c>
      <c r="AB97" t="s">
        <v>453</v>
      </c>
      <c r="AC97" t="s">
        <v>1659</v>
      </c>
      <c r="AD97" t="s">
        <v>57</v>
      </c>
      <c r="AF97" t="s">
        <v>1690</v>
      </c>
      <c r="AI97">
        <v>564.65066274167282</v>
      </c>
      <c r="AJ97">
        <v>16448.90694537629</v>
      </c>
    </row>
    <row r="98" spans="1:36" x14ac:dyDescent="0.25">
      <c r="A98">
        <v>97</v>
      </c>
      <c r="B98" t="s">
        <v>1691</v>
      </c>
      <c r="C98" t="s">
        <v>376</v>
      </c>
      <c r="D98" t="s">
        <v>1481</v>
      </c>
      <c r="E98" t="s">
        <v>37</v>
      </c>
      <c r="G98" s="2">
        <v>45860</v>
      </c>
      <c r="H98">
        <v>0.69462140502751968</v>
      </c>
      <c r="I98" t="s">
        <v>72</v>
      </c>
      <c r="J98" t="s">
        <v>1024</v>
      </c>
      <c r="K98" t="s">
        <v>1025</v>
      </c>
      <c r="L98" t="s">
        <v>1482</v>
      </c>
      <c r="M98" t="s">
        <v>1483</v>
      </c>
      <c r="N98" t="s">
        <v>1612</v>
      </c>
      <c r="O98" t="s">
        <v>62</v>
      </c>
      <c r="P98" t="s">
        <v>63</v>
      </c>
      <c r="Q98">
        <v>0.69462140502751968</v>
      </c>
      <c r="R98" t="s">
        <v>64</v>
      </c>
      <c r="S98" t="s">
        <v>65</v>
      </c>
      <c r="T98" t="s">
        <v>1613</v>
      </c>
      <c r="V98" t="s">
        <v>46</v>
      </c>
      <c r="X98" t="s">
        <v>1614</v>
      </c>
      <c r="Y98" t="s">
        <v>1486</v>
      </c>
      <c r="Z98" t="s">
        <v>49</v>
      </c>
      <c r="AA98" t="s">
        <v>124</v>
      </c>
      <c r="AB98" t="s">
        <v>453</v>
      </c>
      <c r="AC98" t="s">
        <v>1692</v>
      </c>
      <c r="AD98" t="s">
        <v>1498</v>
      </c>
      <c r="AE98" t="s">
        <v>1693</v>
      </c>
      <c r="AI98">
        <v>228.77902459587759</v>
      </c>
      <c r="AJ98">
        <v>2811.0443382382382</v>
      </c>
    </row>
    <row r="99" spans="1:36" x14ac:dyDescent="0.25">
      <c r="A99">
        <v>98</v>
      </c>
      <c r="B99" t="s">
        <v>1694</v>
      </c>
      <c r="C99" t="s">
        <v>376</v>
      </c>
      <c r="D99" t="s">
        <v>1481</v>
      </c>
      <c r="E99" t="s">
        <v>37</v>
      </c>
      <c r="G99" s="2">
        <v>45860</v>
      </c>
      <c r="H99">
        <v>0.48788184373445792</v>
      </c>
      <c r="I99" t="s">
        <v>72</v>
      </c>
      <c r="J99" t="s">
        <v>1024</v>
      </c>
      <c r="K99" t="s">
        <v>1025</v>
      </c>
      <c r="L99" t="s">
        <v>1482</v>
      </c>
      <c r="M99" t="s">
        <v>1483</v>
      </c>
      <c r="N99" t="s">
        <v>1612</v>
      </c>
      <c r="O99" t="s">
        <v>62</v>
      </c>
      <c r="P99" t="s">
        <v>63</v>
      </c>
      <c r="Q99">
        <v>0.48788184373445792</v>
      </c>
      <c r="R99" t="s">
        <v>64</v>
      </c>
      <c r="S99" t="s">
        <v>65</v>
      </c>
      <c r="T99" t="s">
        <v>1613</v>
      </c>
      <c r="V99" t="s">
        <v>46</v>
      </c>
      <c r="X99" t="s">
        <v>1614</v>
      </c>
      <c r="Y99" t="s">
        <v>1486</v>
      </c>
      <c r="Z99" t="s">
        <v>49</v>
      </c>
      <c r="AA99" t="s">
        <v>46</v>
      </c>
      <c r="AB99" t="s">
        <v>453</v>
      </c>
      <c r="AC99" t="s">
        <v>1673</v>
      </c>
      <c r="AD99" t="s">
        <v>1498</v>
      </c>
      <c r="AE99" t="s">
        <v>1695</v>
      </c>
      <c r="AI99">
        <v>189.9315550170179</v>
      </c>
      <c r="AJ99">
        <v>1974.3956702639271</v>
      </c>
    </row>
    <row r="100" spans="1:36" x14ac:dyDescent="0.25">
      <c r="A100">
        <v>99</v>
      </c>
      <c r="B100" t="s">
        <v>1696</v>
      </c>
      <c r="C100" t="s">
        <v>376</v>
      </c>
      <c r="D100" t="s">
        <v>1481</v>
      </c>
      <c r="E100" t="s">
        <v>37</v>
      </c>
      <c r="G100" s="2">
        <v>45860</v>
      </c>
      <c r="H100">
        <v>3.8000984372227129</v>
      </c>
      <c r="I100" t="s">
        <v>72</v>
      </c>
      <c r="J100" t="s">
        <v>1024</v>
      </c>
      <c r="K100" t="s">
        <v>1025</v>
      </c>
      <c r="L100" t="s">
        <v>1482</v>
      </c>
      <c r="M100" t="s">
        <v>1483</v>
      </c>
      <c r="N100" t="s">
        <v>1612</v>
      </c>
      <c r="O100" t="s">
        <v>62</v>
      </c>
      <c r="P100" t="s">
        <v>63</v>
      </c>
      <c r="Q100">
        <v>3.8000984372227129</v>
      </c>
      <c r="R100" t="s">
        <v>64</v>
      </c>
      <c r="S100" t="s">
        <v>65</v>
      </c>
      <c r="T100" t="s">
        <v>1613</v>
      </c>
      <c r="V100" t="s">
        <v>60</v>
      </c>
      <c r="X100" t="s">
        <v>1614</v>
      </c>
      <c r="Y100" t="s">
        <v>1486</v>
      </c>
      <c r="Z100" t="s">
        <v>49</v>
      </c>
      <c r="AA100" t="s">
        <v>124</v>
      </c>
      <c r="AB100" t="s">
        <v>453</v>
      </c>
      <c r="AC100" t="s">
        <v>1697</v>
      </c>
      <c r="AD100" t="s">
        <v>1498</v>
      </c>
      <c r="AE100" t="s">
        <v>1698</v>
      </c>
      <c r="AI100">
        <v>681.7793521000732</v>
      </c>
      <c r="AJ100">
        <v>15378.514280422551</v>
      </c>
    </row>
    <row r="101" spans="1:36" hidden="1" x14ac:dyDescent="0.25">
      <c r="A101">
        <v>100</v>
      </c>
      <c r="B101" t="s">
        <v>1699</v>
      </c>
      <c r="C101" t="s">
        <v>376</v>
      </c>
      <c r="D101" t="s">
        <v>1481</v>
      </c>
      <c r="E101" t="s">
        <v>37</v>
      </c>
      <c r="G101" s="2">
        <v>45860</v>
      </c>
      <c r="H101">
        <v>0.16184019117444101</v>
      </c>
      <c r="I101" t="s">
        <v>72</v>
      </c>
      <c r="J101" t="s">
        <v>1024</v>
      </c>
      <c r="K101" t="s">
        <v>1025</v>
      </c>
      <c r="L101" t="s">
        <v>1482</v>
      </c>
      <c r="M101" t="s">
        <v>1483</v>
      </c>
      <c r="O101" t="s">
        <v>402</v>
      </c>
      <c r="P101" t="s">
        <v>403</v>
      </c>
      <c r="Q101">
        <v>0.16184019117444101</v>
      </c>
      <c r="S101" t="s">
        <v>38</v>
      </c>
      <c r="T101" t="s">
        <v>1700</v>
      </c>
      <c r="V101" t="s">
        <v>64</v>
      </c>
      <c r="X101" t="s">
        <v>673</v>
      </c>
      <c r="Y101" t="s">
        <v>1486</v>
      </c>
      <c r="Z101" t="s">
        <v>49</v>
      </c>
      <c r="AA101" t="s">
        <v>121</v>
      </c>
      <c r="AB101" t="s">
        <v>453</v>
      </c>
      <c r="AC101" t="s">
        <v>1684</v>
      </c>
      <c r="AD101" t="s">
        <v>57</v>
      </c>
      <c r="AE101" t="s">
        <v>1701</v>
      </c>
      <c r="AI101">
        <v>97.886246262034263</v>
      </c>
      <c r="AJ101">
        <v>654.94663684065779</v>
      </c>
    </row>
    <row r="102" spans="1:36" hidden="1" x14ac:dyDescent="0.25">
      <c r="A102">
        <v>101</v>
      </c>
      <c r="B102" t="s">
        <v>1702</v>
      </c>
      <c r="C102" t="s">
        <v>376</v>
      </c>
      <c r="D102" t="s">
        <v>1481</v>
      </c>
      <c r="E102" t="s">
        <v>37</v>
      </c>
      <c r="G102" s="2">
        <v>45860</v>
      </c>
      <c r="H102">
        <v>0.47241248561948268</v>
      </c>
      <c r="I102" t="s">
        <v>72</v>
      </c>
      <c r="J102" t="s">
        <v>1024</v>
      </c>
      <c r="K102" t="s">
        <v>1025</v>
      </c>
      <c r="L102" t="s">
        <v>1482</v>
      </c>
      <c r="M102" t="s">
        <v>1483</v>
      </c>
      <c r="O102" t="s">
        <v>402</v>
      </c>
      <c r="P102" t="s">
        <v>403</v>
      </c>
      <c r="Q102">
        <v>0.47241248561948268</v>
      </c>
      <c r="S102" t="s">
        <v>38</v>
      </c>
      <c r="T102" t="s">
        <v>673</v>
      </c>
      <c r="V102" t="s">
        <v>60</v>
      </c>
      <c r="X102" t="s">
        <v>673</v>
      </c>
      <c r="Y102" t="s">
        <v>1486</v>
      </c>
      <c r="Z102" t="s">
        <v>49</v>
      </c>
      <c r="AA102" t="s">
        <v>124</v>
      </c>
      <c r="AB102" t="s">
        <v>453</v>
      </c>
      <c r="AC102" t="s">
        <v>1630</v>
      </c>
      <c r="AD102" t="s">
        <v>57</v>
      </c>
      <c r="AF102" t="s">
        <v>1132</v>
      </c>
      <c r="AI102">
        <v>177.22735980761351</v>
      </c>
      <c r="AJ102">
        <v>1911.793148616099</v>
      </c>
    </row>
    <row r="103" spans="1:36" x14ac:dyDescent="0.25">
      <c r="A103">
        <v>102</v>
      </c>
      <c r="B103" t="s">
        <v>1703</v>
      </c>
      <c r="C103" t="s">
        <v>376</v>
      </c>
      <c r="D103" t="s">
        <v>1481</v>
      </c>
      <c r="E103" t="s">
        <v>37</v>
      </c>
      <c r="G103" s="2">
        <v>45860</v>
      </c>
      <c r="H103">
        <v>0.40204534923556129</v>
      </c>
      <c r="I103" t="s">
        <v>72</v>
      </c>
      <c r="J103" t="s">
        <v>1024</v>
      </c>
      <c r="K103" t="s">
        <v>1025</v>
      </c>
      <c r="L103" t="s">
        <v>1482</v>
      </c>
      <c r="M103" t="s">
        <v>1483</v>
      </c>
      <c r="N103" t="s">
        <v>1612</v>
      </c>
      <c r="O103" t="s">
        <v>62</v>
      </c>
      <c r="P103" t="s">
        <v>63</v>
      </c>
      <c r="Q103">
        <v>0.40204534923556129</v>
      </c>
      <c r="R103" t="s">
        <v>64</v>
      </c>
      <c r="S103" t="s">
        <v>65</v>
      </c>
      <c r="T103" t="s">
        <v>1704</v>
      </c>
      <c r="V103" t="s">
        <v>60</v>
      </c>
      <c r="X103" t="s">
        <v>1614</v>
      </c>
      <c r="Y103" t="s">
        <v>1486</v>
      </c>
      <c r="Z103" t="s">
        <v>49</v>
      </c>
      <c r="AA103" t="s">
        <v>124</v>
      </c>
      <c r="AB103" t="s">
        <v>453</v>
      </c>
      <c r="AC103" t="s">
        <v>1705</v>
      </c>
      <c r="AD103" t="s">
        <v>1498</v>
      </c>
      <c r="AE103" t="s">
        <v>1706</v>
      </c>
      <c r="AI103">
        <v>174.08563174481179</v>
      </c>
      <c r="AJ103">
        <v>1627.0263117487209</v>
      </c>
    </row>
    <row r="104" spans="1:36" hidden="1" x14ac:dyDescent="0.25">
      <c r="A104">
        <v>103</v>
      </c>
      <c r="B104" t="s">
        <v>1707</v>
      </c>
      <c r="C104" t="s">
        <v>376</v>
      </c>
      <c r="D104" t="s">
        <v>1481</v>
      </c>
      <c r="E104" t="s">
        <v>37</v>
      </c>
      <c r="G104" s="2">
        <v>45860</v>
      </c>
      <c r="H104">
        <v>0.39719275548284938</v>
      </c>
      <c r="I104" t="s">
        <v>72</v>
      </c>
      <c r="J104" t="s">
        <v>1024</v>
      </c>
      <c r="K104" t="s">
        <v>1025</v>
      </c>
      <c r="L104" t="s">
        <v>1482</v>
      </c>
      <c r="M104" t="s">
        <v>1483</v>
      </c>
      <c r="O104" t="s">
        <v>141</v>
      </c>
      <c r="P104" t="s">
        <v>142</v>
      </c>
      <c r="Q104">
        <v>0.39719275548284938</v>
      </c>
      <c r="S104" t="s">
        <v>38</v>
      </c>
      <c r="T104" t="s">
        <v>1172</v>
      </c>
      <c r="V104" t="s">
        <v>60</v>
      </c>
      <c r="X104" t="s">
        <v>1172</v>
      </c>
      <c r="Y104" t="s">
        <v>1486</v>
      </c>
      <c r="Z104" t="s">
        <v>49</v>
      </c>
      <c r="AA104" t="s">
        <v>121</v>
      </c>
      <c r="AB104" t="s">
        <v>453</v>
      </c>
      <c r="AC104" t="s">
        <v>1492</v>
      </c>
      <c r="AD104" t="s">
        <v>57</v>
      </c>
      <c r="AI104">
        <v>177.09079445433659</v>
      </c>
      <c r="AJ104">
        <v>1607.388483004024</v>
      </c>
    </row>
    <row r="105" spans="1:36" hidden="1" x14ac:dyDescent="0.25">
      <c r="A105">
        <v>104</v>
      </c>
      <c r="B105" t="s">
        <v>1708</v>
      </c>
      <c r="C105" t="s">
        <v>376</v>
      </c>
      <c r="D105" t="s">
        <v>1481</v>
      </c>
      <c r="E105" t="s">
        <v>37</v>
      </c>
      <c r="G105" s="2">
        <v>45860</v>
      </c>
      <c r="H105">
        <v>0.20792662484630919</v>
      </c>
      <c r="I105" t="s">
        <v>72</v>
      </c>
      <c r="J105" t="s">
        <v>1024</v>
      </c>
      <c r="K105" t="s">
        <v>1025</v>
      </c>
      <c r="L105" t="s">
        <v>1482</v>
      </c>
      <c r="M105" t="s">
        <v>1483</v>
      </c>
      <c r="O105" t="s">
        <v>408</v>
      </c>
      <c r="P105" t="s">
        <v>409</v>
      </c>
      <c r="Q105">
        <v>0.20792662484630919</v>
      </c>
      <c r="R105" t="s">
        <v>60</v>
      </c>
      <c r="S105" t="s">
        <v>66</v>
      </c>
      <c r="T105" t="s">
        <v>1700</v>
      </c>
      <c r="V105" t="s">
        <v>64</v>
      </c>
      <c r="X105" t="s">
        <v>673</v>
      </c>
      <c r="Y105" t="s">
        <v>1486</v>
      </c>
      <c r="Z105" t="s">
        <v>49</v>
      </c>
      <c r="AA105" t="s">
        <v>121</v>
      </c>
      <c r="AB105" t="s">
        <v>453</v>
      </c>
      <c r="AC105" t="s">
        <v>1684</v>
      </c>
      <c r="AD105" t="s">
        <v>57</v>
      </c>
      <c r="AE105" t="s">
        <v>1701</v>
      </c>
      <c r="AI105">
        <v>115.91131456756411</v>
      </c>
      <c r="AJ105">
        <v>841.45256295412776</v>
      </c>
    </row>
    <row r="106" spans="1:36" x14ac:dyDescent="0.25">
      <c r="A106">
        <v>105</v>
      </c>
      <c r="B106" t="s">
        <v>1709</v>
      </c>
      <c r="C106" t="s">
        <v>376</v>
      </c>
      <c r="D106" t="s">
        <v>1481</v>
      </c>
      <c r="E106" t="s">
        <v>37</v>
      </c>
      <c r="G106" s="2">
        <v>45860</v>
      </c>
      <c r="H106">
        <v>2.412939105561434</v>
      </c>
      <c r="I106" t="s">
        <v>72</v>
      </c>
      <c r="J106" t="s">
        <v>1024</v>
      </c>
      <c r="K106" t="s">
        <v>1025</v>
      </c>
      <c r="L106" t="s">
        <v>1482</v>
      </c>
      <c r="M106" t="s">
        <v>1483</v>
      </c>
      <c r="N106" t="s">
        <v>1612</v>
      </c>
      <c r="O106" t="s">
        <v>62</v>
      </c>
      <c r="P106" t="s">
        <v>63</v>
      </c>
      <c r="Q106">
        <v>2.412939105561434</v>
      </c>
      <c r="R106" t="s">
        <v>64</v>
      </c>
      <c r="S106" t="s">
        <v>65</v>
      </c>
      <c r="T106" t="s">
        <v>1613</v>
      </c>
      <c r="V106" t="s">
        <v>46</v>
      </c>
      <c r="X106" t="s">
        <v>1614</v>
      </c>
      <c r="Y106" t="s">
        <v>1486</v>
      </c>
      <c r="Z106" t="s">
        <v>49</v>
      </c>
      <c r="AA106" t="s">
        <v>46</v>
      </c>
      <c r="AB106" t="s">
        <v>453</v>
      </c>
      <c r="AC106" t="s">
        <v>1503</v>
      </c>
      <c r="AD106" t="s">
        <v>1498</v>
      </c>
      <c r="AE106" t="s">
        <v>1663</v>
      </c>
      <c r="AI106">
        <v>417.5799915893092</v>
      </c>
      <c r="AJ106">
        <v>9764.8571755910452</v>
      </c>
    </row>
    <row r="107" spans="1:36" hidden="1" x14ac:dyDescent="0.25">
      <c r="A107">
        <v>106</v>
      </c>
      <c r="B107" t="s">
        <v>1710</v>
      </c>
      <c r="C107" t="s">
        <v>376</v>
      </c>
      <c r="D107" t="s">
        <v>1481</v>
      </c>
      <c r="E107" t="s">
        <v>37</v>
      </c>
      <c r="G107" s="2">
        <v>45860</v>
      </c>
      <c r="H107">
        <v>0.86185747806523794</v>
      </c>
      <c r="I107" t="s">
        <v>72</v>
      </c>
      <c r="J107" t="s">
        <v>1024</v>
      </c>
      <c r="K107" t="s">
        <v>1025</v>
      </c>
      <c r="L107" t="s">
        <v>1482</v>
      </c>
      <c r="M107" t="s">
        <v>1483</v>
      </c>
      <c r="O107" t="s">
        <v>402</v>
      </c>
      <c r="P107" t="s">
        <v>403</v>
      </c>
      <c r="Q107">
        <v>0.86185747806523794</v>
      </c>
      <c r="S107" t="s">
        <v>38</v>
      </c>
      <c r="T107" t="s">
        <v>673</v>
      </c>
      <c r="V107" t="s">
        <v>46</v>
      </c>
      <c r="X107" t="s">
        <v>673</v>
      </c>
      <c r="Y107" t="s">
        <v>1486</v>
      </c>
      <c r="Z107" t="s">
        <v>49</v>
      </c>
      <c r="AA107" t="s">
        <v>124</v>
      </c>
      <c r="AB107" t="s">
        <v>453</v>
      </c>
      <c r="AC107" t="s">
        <v>1711</v>
      </c>
      <c r="AD107" t="s">
        <v>57</v>
      </c>
      <c r="AF107" t="s">
        <v>1604</v>
      </c>
      <c r="AI107">
        <v>248.7151080693007</v>
      </c>
      <c r="AJ107">
        <v>3487.8274215975098</v>
      </c>
    </row>
    <row r="108" spans="1:36" hidden="1" x14ac:dyDescent="0.25">
      <c r="A108">
        <v>107</v>
      </c>
      <c r="B108" t="s">
        <v>1712</v>
      </c>
      <c r="C108" t="s">
        <v>376</v>
      </c>
      <c r="D108" t="s">
        <v>1481</v>
      </c>
      <c r="E108" t="s">
        <v>37</v>
      </c>
      <c r="G108" s="2">
        <v>45860</v>
      </c>
      <c r="H108">
        <v>7.4118342457941647E-2</v>
      </c>
      <c r="I108" t="s">
        <v>72</v>
      </c>
      <c r="J108" t="s">
        <v>1024</v>
      </c>
      <c r="K108" t="s">
        <v>1025</v>
      </c>
      <c r="L108" t="s">
        <v>1482</v>
      </c>
      <c r="M108" t="s">
        <v>1483</v>
      </c>
      <c r="O108" t="s">
        <v>402</v>
      </c>
      <c r="P108" t="s">
        <v>403</v>
      </c>
      <c r="Q108">
        <v>7.4118342457941647E-2</v>
      </c>
      <c r="S108" t="s">
        <v>38</v>
      </c>
      <c r="T108" t="s">
        <v>673</v>
      </c>
      <c r="V108" t="s">
        <v>46</v>
      </c>
      <c r="X108" t="s">
        <v>673</v>
      </c>
      <c r="Y108" t="s">
        <v>1486</v>
      </c>
      <c r="Z108" t="s">
        <v>49</v>
      </c>
      <c r="AA108" t="s">
        <v>46</v>
      </c>
      <c r="AB108" t="s">
        <v>453</v>
      </c>
      <c r="AC108" t="s">
        <v>1713</v>
      </c>
      <c r="AE108" t="s">
        <v>38</v>
      </c>
      <c r="AF108" t="s">
        <v>1137</v>
      </c>
      <c r="AI108">
        <v>70.480008775462196</v>
      </c>
      <c r="AJ108">
        <v>299.94748998232387</v>
      </c>
    </row>
    <row r="109" spans="1:36" x14ac:dyDescent="0.25">
      <c r="A109">
        <v>108</v>
      </c>
      <c r="B109" t="s">
        <v>1714</v>
      </c>
      <c r="C109" t="s">
        <v>376</v>
      </c>
      <c r="D109" t="s">
        <v>1481</v>
      </c>
      <c r="E109" t="s">
        <v>37</v>
      </c>
      <c r="G109" s="2">
        <v>45860</v>
      </c>
      <c r="H109">
        <v>22.32232974742633</v>
      </c>
      <c r="I109" t="s">
        <v>72</v>
      </c>
      <c r="J109" t="s">
        <v>1024</v>
      </c>
      <c r="K109" t="s">
        <v>1025</v>
      </c>
      <c r="L109" t="s">
        <v>1482</v>
      </c>
      <c r="M109" t="s">
        <v>1483</v>
      </c>
      <c r="O109" t="s">
        <v>62</v>
      </c>
      <c r="P109" t="s">
        <v>63</v>
      </c>
      <c r="Q109">
        <v>22.32232974742633</v>
      </c>
      <c r="R109" t="s">
        <v>64</v>
      </c>
      <c r="S109" t="s">
        <v>65</v>
      </c>
      <c r="T109" t="s">
        <v>1484</v>
      </c>
      <c r="V109" t="s">
        <v>75</v>
      </c>
      <c r="X109" t="s">
        <v>673</v>
      </c>
      <c r="Y109" t="s">
        <v>1031</v>
      </c>
      <c r="Z109" t="s">
        <v>49</v>
      </c>
      <c r="AA109" t="s">
        <v>64</v>
      </c>
      <c r="AB109" t="s">
        <v>453</v>
      </c>
      <c r="AC109" t="s">
        <v>1715</v>
      </c>
      <c r="AD109" t="s">
        <v>57</v>
      </c>
      <c r="AE109" t="s">
        <v>1716</v>
      </c>
      <c r="AI109">
        <v>1256.351180349511</v>
      </c>
      <c r="AJ109">
        <v>90335.624843440834</v>
      </c>
    </row>
    <row r="110" spans="1:36" x14ac:dyDescent="0.25">
      <c r="A110">
        <v>109</v>
      </c>
      <c r="B110" t="s">
        <v>1717</v>
      </c>
      <c r="C110" t="s">
        <v>376</v>
      </c>
      <c r="D110" t="s">
        <v>1481</v>
      </c>
      <c r="E110" t="s">
        <v>37</v>
      </c>
      <c r="G110" s="2">
        <v>45860</v>
      </c>
      <c r="H110">
        <v>1.8608054694322911</v>
      </c>
      <c r="I110" t="s">
        <v>72</v>
      </c>
      <c r="J110" t="s">
        <v>1024</v>
      </c>
      <c r="K110" t="s">
        <v>1025</v>
      </c>
      <c r="L110" t="s">
        <v>1482</v>
      </c>
      <c r="M110" t="s">
        <v>1483</v>
      </c>
      <c r="N110" t="s">
        <v>1612</v>
      </c>
      <c r="O110" t="s">
        <v>62</v>
      </c>
      <c r="P110" t="s">
        <v>63</v>
      </c>
      <c r="Q110">
        <v>1.8608054694322911</v>
      </c>
      <c r="R110" t="s">
        <v>64</v>
      </c>
      <c r="S110" t="s">
        <v>65</v>
      </c>
      <c r="T110" t="s">
        <v>1704</v>
      </c>
      <c r="V110" t="s">
        <v>60</v>
      </c>
      <c r="X110" t="s">
        <v>1614</v>
      </c>
      <c r="Y110" t="s">
        <v>1486</v>
      </c>
      <c r="Z110" t="s">
        <v>49</v>
      </c>
      <c r="AA110" t="s">
        <v>124</v>
      </c>
      <c r="AB110" t="s">
        <v>453</v>
      </c>
      <c r="AC110" t="s">
        <v>1548</v>
      </c>
      <c r="AD110" t="s">
        <v>1498</v>
      </c>
      <c r="AE110" t="s">
        <v>1553</v>
      </c>
      <c r="AI110">
        <v>405.64547026054458</v>
      </c>
      <c r="AJ110">
        <v>7530.4426865497389</v>
      </c>
    </row>
    <row r="111" spans="1:36" x14ac:dyDescent="0.25">
      <c r="A111">
        <v>110</v>
      </c>
      <c r="B111" t="s">
        <v>1718</v>
      </c>
      <c r="C111" t="s">
        <v>376</v>
      </c>
      <c r="D111" t="s">
        <v>1481</v>
      </c>
      <c r="E111" t="s">
        <v>37</v>
      </c>
      <c r="G111" s="2">
        <v>45860</v>
      </c>
      <c r="H111">
        <v>0.15799481551767641</v>
      </c>
      <c r="I111" t="s">
        <v>72</v>
      </c>
      <c r="J111" t="s">
        <v>1024</v>
      </c>
      <c r="K111" t="s">
        <v>1025</v>
      </c>
      <c r="L111" t="s">
        <v>1482</v>
      </c>
      <c r="M111" t="s">
        <v>1483</v>
      </c>
      <c r="N111" t="s">
        <v>1612</v>
      </c>
      <c r="O111" t="s">
        <v>62</v>
      </c>
      <c r="P111" t="s">
        <v>63</v>
      </c>
      <c r="Q111">
        <v>0.15799481551767641</v>
      </c>
      <c r="R111" t="s">
        <v>64</v>
      </c>
      <c r="S111" t="s">
        <v>65</v>
      </c>
      <c r="T111" t="s">
        <v>1704</v>
      </c>
      <c r="V111" t="s">
        <v>60</v>
      </c>
      <c r="X111" t="s">
        <v>1614</v>
      </c>
      <c r="Y111" t="s">
        <v>1486</v>
      </c>
      <c r="Z111" t="s">
        <v>49</v>
      </c>
      <c r="AA111" t="s">
        <v>124</v>
      </c>
      <c r="AB111" t="s">
        <v>453</v>
      </c>
      <c r="AC111" t="s">
        <v>57</v>
      </c>
      <c r="AD111" t="s">
        <v>1498</v>
      </c>
      <c r="AE111" t="s">
        <v>1706</v>
      </c>
      <c r="AI111">
        <v>108.69477183744389</v>
      </c>
      <c r="AJ111">
        <v>639.38489142061997</v>
      </c>
    </row>
    <row r="112" spans="1:36" hidden="1" x14ac:dyDescent="0.25">
      <c r="A112">
        <v>111</v>
      </c>
      <c r="B112" t="s">
        <v>1719</v>
      </c>
      <c r="C112" t="s">
        <v>376</v>
      </c>
      <c r="D112" t="s">
        <v>1481</v>
      </c>
      <c r="E112" t="s">
        <v>37</v>
      </c>
      <c r="G112" s="2">
        <v>45860</v>
      </c>
      <c r="H112">
        <v>6.1112545481253653</v>
      </c>
      <c r="I112" t="s">
        <v>72</v>
      </c>
      <c r="J112" t="s">
        <v>1024</v>
      </c>
      <c r="K112" t="s">
        <v>1025</v>
      </c>
      <c r="L112" t="s">
        <v>1482</v>
      </c>
      <c r="M112" t="s">
        <v>1483</v>
      </c>
      <c r="O112" t="s">
        <v>115</v>
      </c>
      <c r="P112" t="s">
        <v>137</v>
      </c>
      <c r="Q112">
        <v>6.1112545481253653</v>
      </c>
      <c r="S112" t="s">
        <v>38</v>
      </c>
      <c r="T112" t="s">
        <v>1720</v>
      </c>
      <c r="V112" t="s">
        <v>75</v>
      </c>
      <c r="X112" t="s">
        <v>1721</v>
      </c>
      <c r="Y112" t="s">
        <v>1031</v>
      </c>
      <c r="Z112" t="s">
        <v>49</v>
      </c>
      <c r="AA112" t="s">
        <v>64</v>
      </c>
      <c r="AB112" t="s">
        <v>453</v>
      </c>
      <c r="AC112" t="s">
        <v>1722</v>
      </c>
      <c r="AD112" t="s">
        <v>656</v>
      </c>
      <c r="AE112" t="s">
        <v>506</v>
      </c>
      <c r="AI112">
        <v>783.15469903568658</v>
      </c>
      <c r="AJ112">
        <v>24731.468642777989</v>
      </c>
    </row>
    <row r="113" spans="1:36" x14ac:dyDescent="0.25">
      <c r="A113">
        <v>112</v>
      </c>
      <c r="B113" t="s">
        <v>1723</v>
      </c>
      <c r="C113" t="s">
        <v>376</v>
      </c>
      <c r="D113" t="s">
        <v>1481</v>
      </c>
      <c r="E113" t="s">
        <v>37</v>
      </c>
      <c r="G113" s="2">
        <v>45860</v>
      </c>
      <c r="H113">
        <v>10.307572769801791</v>
      </c>
      <c r="I113" t="s">
        <v>72</v>
      </c>
      <c r="J113" t="s">
        <v>1024</v>
      </c>
      <c r="K113" t="s">
        <v>1025</v>
      </c>
      <c r="L113" t="s">
        <v>1482</v>
      </c>
      <c r="M113" t="s">
        <v>1483</v>
      </c>
      <c r="O113" t="s">
        <v>62</v>
      </c>
      <c r="P113" t="s">
        <v>63</v>
      </c>
      <c r="Q113">
        <v>10.307572769801791</v>
      </c>
      <c r="R113" t="s">
        <v>64</v>
      </c>
      <c r="S113" t="s">
        <v>65</v>
      </c>
      <c r="T113" t="s">
        <v>1484</v>
      </c>
      <c r="V113" t="s">
        <v>75</v>
      </c>
      <c r="X113" t="s">
        <v>673</v>
      </c>
      <c r="Y113" t="s">
        <v>1031</v>
      </c>
      <c r="Z113" t="s">
        <v>49</v>
      </c>
      <c r="AA113" t="s">
        <v>75</v>
      </c>
      <c r="AB113" t="s">
        <v>453</v>
      </c>
      <c r="AC113" t="s">
        <v>1637</v>
      </c>
      <c r="AD113" t="s">
        <v>57</v>
      </c>
      <c r="AE113" t="s">
        <v>1638</v>
      </c>
      <c r="AI113">
        <v>1013.8897629162821</v>
      </c>
      <c r="AJ113">
        <v>41713.433916396549</v>
      </c>
    </row>
    <row r="114" spans="1:36" x14ac:dyDescent="0.25">
      <c r="A114">
        <v>113</v>
      </c>
      <c r="B114" t="s">
        <v>1724</v>
      </c>
      <c r="C114" t="s">
        <v>376</v>
      </c>
      <c r="D114" t="s">
        <v>1481</v>
      </c>
      <c r="E114" t="s">
        <v>37</v>
      </c>
      <c r="G114" s="2">
        <v>45860</v>
      </c>
      <c r="H114">
        <v>0.77540158219733413</v>
      </c>
      <c r="I114" t="s">
        <v>72</v>
      </c>
      <c r="J114" t="s">
        <v>1024</v>
      </c>
      <c r="K114" t="s">
        <v>1025</v>
      </c>
      <c r="L114" t="s">
        <v>1482</v>
      </c>
      <c r="M114" t="s">
        <v>1483</v>
      </c>
      <c r="N114" t="s">
        <v>1612</v>
      </c>
      <c r="O114" t="s">
        <v>62</v>
      </c>
      <c r="P114" t="s">
        <v>63</v>
      </c>
      <c r="Q114">
        <v>0.77540158219733413</v>
      </c>
      <c r="R114" t="s">
        <v>64</v>
      </c>
      <c r="S114" t="s">
        <v>65</v>
      </c>
      <c r="T114" t="s">
        <v>1613</v>
      </c>
      <c r="V114" t="s">
        <v>60</v>
      </c>
      <c r="X114" t="s">
        <v>1614</v>
      </c>
      <c r="Y114" t="s">
        <v>1486</v>
      </c>
      <c r="Z114" t="s">
        <v>49</v>
      </c>
      <c r="AA114" t="s">
        <v>124</v>
      </c>
      <c r="AB114" t="s">
        <v>453</v>
      </c>
      <c r="AC114" t="s">
        <v>1725</v>
      </c>
      <c r="AD114" t="s">
        <v>1498</v>
      </c>
      <c r="AE114" t="s">
        <v>1726</v>
      </c>
      <c r="AI114">
        <v>227.74440355529279</v>
      </c>
      <c r="AJ114">
        <v>3137.9514246475501</v>
      </c>
    </row>
    <row r="115" spans="1:36" hidden="1" x14ac:dyDescent="0.25">
      <c r="A115">
        <v>114</v>
      </c>
      <c r="B115" t="s">
        <v>1727</v>
      </c>
      <c r="C115" t="s">
        <v>376</v>
      </c>
      <c r="D115" t="s">
        <v>1481</v>
      </c>
      <c r="E115" t="s">
        <v>37</v>
      </c>
      <c r="G115" s="2">
        <v>45860</v>
      </c>
      <c r="H115">
        <v>1.186256855291721</v>
      </c>
      <c r="I115" t="s">
        <v>72</v>
      </c>
      <c r="J115" t="s">
        <v>1024</v>
      </c>
      <c r="K115" t="s">
        <v>1025</v>
      </c>
      <c r="L115" t="s">
        <v>1482</v>
      </c>
      <c r="M115" t="s">
        <v>1483</v>
      </c>
      <c r="O115" t="s">
        <v>402</v>
      </c>
      <c r="P115" t="s">
        <v>403</v>
      </c>
      <c r="Q115">
        <v>1.186256855291721</v>
      </c>
      <c r="S115" t="s">
        <v>38</v>
      </c>
      <c r="T115" t="s">
        <v>1484</v>
      </c>
      <c r="V115" t="s">
        <v>75</v>
      </c>
      <c r="X115" t="s">
        <v>673</v>
      </c>
      <c r="Y115" t="s">
        <v>1031</v>
      </c>
      <c r="Z115" t="s">
        <v>49</v>
      </c>
      <c r="AA115" t="s">
        <v>75</v>
      </c>
      <c r="AB115" t="s">
        <v>453</v>
      </c>
      <c r="AC115" t="s">
        <v>1637</v>
      </c>
      <c r="AD115" t="s">
        <v>57</v>
      </c>
      <c r="AE115" t="s">
        <v>1638</v>
      </c>
      <c r="AI115">
        <v>508.58050636741609</v>
      </c>
      <c r="AJ115">
        <v>4800.6303759556313</v>
      </c>
    </row>
    <row r="116" spans="1:36" x14ac:dyDescent="0.25">
      <c r="A116">
        <v>115</v>
      </c>
      <c r="B116" t="s">
        <v>1728</v>
      </c>
      <c r="C116" t="s">
        <v>376</v>
      </c>
      <c r="D116" t="s">
        <v>1481</v>
      </c>
      <c r="E116" t="s">
        <v>37</v>
      </c>
      <c r="G116" s="2">
        <v>45860</v>
      </c>
      <c r="H116">
        <v>0.46353525970399401</v>
      </c>
      <c r="I116" t="s">
        <v>72</v>
      </c>
      <c r="J116" t="s">
        <v>1024</v>
      </c>
      <c r="K116" t="s">
        <v>1025</v>
      </c>
      <c r="L116" t="s">
        <v>1482</v>
      </c>
      <c r="M116" t="s">
        <v>1483</v>
      </c>
      <c r="O116" t="s">
        <v>62</v>
      </c>
      <c r="P116" t="s">
        <v>63</v>
      </c>
      <c r="Q116">
        <v>0.46353525970399401</v>
      </c>
      <c r="R116" t="s">
        <v>64</v>
      </c>
      <c r="S116" t="s">
        <v>65</v>
      </c>
      <c r="T116" t="s">
        <v>1640</v>
      </c>
      <c r="V116" t="s">
        <v>60</v>
      </c>
      <c r="X116" t="s">
        <v>673</v>
      </c>
      <c r="Y116" t="s">
        <v>1486</v>
      </c>
      <c r="Z116" t="s">
        <v>49</v>
      </c>
      <c r="AA116" t="s">
        <v>124</v>
      </c>
      <c r="AB116" t="s">
        <v>453</v>
      </c>
      <c r="AC116" t="s">
        <v>1729</v>
      </c>
      <c r="AD116" t="s">
        <v>57</v>
      </c>
      <c r="AE116" t="s">
        <v>1730</v>
      </c>
      <c r="AF116" t="s">
        <v>1132</v>
      </c>
      <c r="AI116">
        <v>234.1653521108843</v>
      </c>
      <c r="AJ116">
        <v>1875.868146207041</v>
      </c>
    </row>
    <row r="117" spans="1:36" hidden="1" x14ac:dyDescent="0.25">
      <c r="A117">
        <v>116</v>
      </c>
      <c r="B117" t="s">
        <v>1731</v>
      </c>
      <c r="C117" t="s">
        <v>376</v>
      </c>
      <c r="D117" t="s">
        <v>1481</v>
      </c>
      <c r="E117" t="s">
        <v>37</v>
      </c>
      <c r="G117" s="2">
        <v>45860</v>
      </c>
      <c r="H117">
        <v>12.2865627244518</v>
      </c>
      <c r="I117" t="s">
        <v>72</v>
      </c>
      <c r="J117" t="s">
        <v>1024</v>
      </c>
      <c r="K117" t="s">
        <v>1025</v>
      </c>
      <c r="L117" t="s">
        <v>1482</v>
      </c>
      <c r="M117" t="s">
        <v>1483</v>
      </c>
      <c r="O117" t="s">
        <v>402</v>
      </c>
      <c r="P117" t="s">
        <v>403</v>
      </c>
      <c r="Q117">
        <v>12.2865627244518</v>
      </c>
      <c r="S117" t="s">
        <v>38</v>
      </c>
      <c r="T117" t="s">
        <v>1484</v>
      </c>
      <c r="V117" t="s">
        <v>75</v>
      </c>
      <c r="X117" t="s">
        <v>673</v>
      </c>
      <c r="Y117" t="s">
        <v>1031</v>
      </c>
      <c r="Z117" t="s">
        <v>49</v>
      </c>
      <c r="AA117" t="s">
        <v>75</v>
      </c>
      <c r="AB117" t="s">
        <v>453</v>
      </c>
      <c r="AC117" t="s">
        <v>1732</v>
      </c>
      <c r="AD117" t="s">
        <v>57</v>
      </c>
      <c r="AE117" t="s">
        <v>1733</v>
      </c>
      <c r="AI117">
        <v>1170.921232274799</v>
      </c>
      <c r="AJ117">
        <v>49722.154159085971</v>
      </c>
    </row>
    <row r="118" spans="1:36" hidden="1" x14ac:dyDescent="0.25">
      <c r="A118">
        <v>117</v>
      </c>
      <c r="B118" t="s">
        <v>1734</v>
      </c>
      <c r="C118" t="s">
        <v>376</v>
      </c>
      <c r="D118" t="s">
        <v>1481</v>
      </c>
      <c r="E118" t="s">
        <v>37</v>
      </c>
      <c r="G118" s="2">
        <v>45860</v>
      </c>
      <c r="H118">
        <v>0.2863499262696505</v>
      </c>
      <c r="I118" t="s">
        <v>72</v>
      </c>
      <c r="J118" t="s">
        <v>1024</v>
      </c>
      <c r="K118" t="s">
        <v>1025</v>
      </c>
      <c r="L118" t="s">
        <v>1482</v>
      </c>
      <c r="M118" t="s">
        <v>1483</v>
      </c>
      <c r="O118" t="s">
        <v>408</v>
      </c>
      <c r="P118" t="s">
        <v>409</v>
      </c>
      <c r="Q118">
        <v>0.2863499262696505</v>
      </c>
      <c r="R118" t="s">
        <v>60</v>
      </c>
      <c r="S118" t="s">
        <v>66</v>
      </c>
      <c r="T118" t="s">
        <v>1735</v>
      </c>
      <c r="V118" t="s">
        <v>75</v>
      </c>
      <c r="X118" t="s">
        <v>1126</v>
      </c>
      <c r="Y118" t="s">
        <v>1031</v>
      </c>
      <c r="Z118" t="s">
        <v>49</v>
      </c>
      <c r="AA118" t="s">
        <v>75</v>
      </c>
      <c r="AB118" t="s">
        <v>453</v>
      </c>
      <c r="AC118" t="s">
        <v>1732</v>
      </c>
      <c r="AD118" t="s">
        <v>57</v>
      </c>
      <c r="AI118">
        <v>135.40336647395171</v>
      </c>
      <c r="AJ118">
        <v>1158.8216734601599</v>
      </c>
    </row>
    <row r="119" spans="1:36" hidden="1" x14ac:dyDescent="0.25">
      <c r="A119">
        <v>118</v>
      </c>
      <c r="B119" t="s">
        <v>1736</v>
      </c>
      <c r="C119" t="s">
        <v>376</v>
      </c>
      <c r="D119" t="s">
        <v>1481</v>
      </c>
      <c r="E119" t="s">
        <v>37</v>
      </c>
      <c r="G119" s="2">
        <v>45860</v>
      </c>
      <c r="H119">
        <v>12.568750259184659</v>
      </c>
      <c r="I119" t="s">
        <v>72</v>
      </c>
      <c r="J119" t="s">
        <v>1024</v>
      </c>
      <c r="K119" t="s">
        <v>1025</v>
      </c>
      <c r="L119" t="s">
        <v>1482</v>
      </c>
      <c r="M119" t="s">
        <v>1483</v>
      </c>
      <c r="O119" t="s">
        <v>402</v>
      </c>
      <c r="P119" t="s">
        <v>403</v>
      </c>
      <c r="Q119">
        <v>12.568750259184659</v>
      </c>
      <c r="S119" t="s">
        <v>38</v>
      </c>
      <c r="T119" t="s">
        <v>1484</v>
      </c>
      <c r="V119" t="s">
        <v>75</v>
      </c>
      <c r="X119" t="s">
        <v>673</v>
      </c>
      <c r="Y119" t="s">
        <v>1031</v>
      </c>
      <c r="Z119" t="s">
        <v>49</v>
      </c>
      <c r="AA119" t="s">
        <v>75</v>
      </c>
      <c r="AB119" t="s">
        <v>453</v>
      </c>
      <c r="AC119" t="s">
        <v>1737</v>
      </c>
      <c r="AD119" t="s">
        <v>57</v>
      </c>
      <c r="AE119" t="s">
        <v>1738</v>
      </c>
      <c r="AI119">
        <v>1193.4244003960589</v>
      </c>
      <c r="AJ119">
        <v>50864.131164244332</v>
      </c>
    </row>
    <row r="120" spans="1:36" hidden="1" x14ac:dyDescent="0.25">
      <c r="A120">
        <v>119</v>
      </c>
      <c r="B120" t="s">
        <v>1739</v>
      </c>
      <c r="C120" t="s">
        <v>376</v>
      </c>
      <c r="D120" t="s">
        <v>1481</v>
      </c>
      <c r="E120" t="s">
        <v>37</v>
      </c>
      <c r="G120" s="2">
        <v>45860</v>
      </c>
      <c r="H120">
        <v>8.5266255563299538</v>
      </c>
      <c r="I120" t="s">
        <v>72</v>
      </c>
      <c r="J120" t="s">
        <v>1024</v>
      </c>
      <c r="K120" t="s">
        <v>1025</v>
      </c>
      <c r="L120" t="s">
        <v>1482</v>
      </c>
      <c r="M120" t="s">
        <v>1483</v>
      </c>
      <c r="O120" t="s">
        <v>402</v>
      </c>
      <c r="P120" t="s">
        <v>403</v>
      </c>
      <c r="Q120">
        <v>8.5266255563299538</v>
      </c>
      <c r="S120" t="s">
        <v>38</v>
      </c>
      <c r="T120" t="s">
        <v>1484</v>
      </c>
      <c r="V120" t="s">
        <v>75</v>
      </c>
      <c r="X120" t="s">
        <v>673</v>
      </c>
      <c r="Y120" t="s">
        <v>1031</v>
      </c>
      <c r="Z120" t="s">
        <v>49</v>
      </c>
      <c r="AA120" t="s">
        <v>75</v>
      </c>
      <c r="AB120" t="s">
        <v>453</v>
      </c>
      <c r="AC120" t="s">
        <v>1543</v>
      </c>
      <c r="AD120" t="s">
        <v>57</v>
      </c>
      <c r="AE120" t="s">
        <v>1740</v>
      </c>
      <c r="AI120">
        <v>1135.762513144309</v>
      </c>
      <c r="AJ120">
        <v>34506.167418565492</v>
      </c>
    </row>
    <row r="121" spans="1:36" hidden="1" x14ac:dyDescent="0.25">
      <c r="A121">
        <v>120</v>
      </c>
      <c r="B121" t="s">
        <v>1741</v>
      </c>
      <c r="C121" t="s">
        <v>376</v>
      </c>
      <c r="D121" t="s">
        <v>1481</v>
      </c>
      <c r="E121" t="s">
        <v>37</v>
      </c>
      <c r="G121" s="2">
        <v>45860</v>
      </c>
      <c r="H121">
        <v>12.245937074580061</v>
      </c>
      <c r="I121" t="s">
        <v>72</v>
      </c>
      <c r="J121" t="s">
        <v>1024</v>
      </c>
      <c r="K121" t="s">
        <v>1025</v>
      </c>
      <c r="L121" t="s">
        <v>1482</v>
      </c>
      <c r="M121" t="s">
        <v>1483</v>
      </c>
      <c r="O121" t="s">
        <v>402</v>
      </c>
      <c r="P121" t="s">
        <v>403</v>
      </c>
      <c r="Q121">
        <v>12.245937074580061</v>
      </c>
      <c r="S121" t="s">
        <v>38</v>
      </c>
      <c r="T121" t="s">
        <v>1484</v>
      </c>
      <c r="V121" t="s">
        <v>75</v>
      </c>
      <c r="X121" t="s">
        <v>673</v>
      </c>
      <c r="Y121" t="s">
        <v>1031</v>
      </c>
      <c r="Z121" t="s">
        <v>49</v>
      </c>
      <c r="AA121" t="s">
        <v>75</v>
      </c>
      <c r="AB121" t="s">
        <v>453</v>
      </c>
      <c r="AC121" t="s">
        <v>1722</v>
      </c>
      <c r="AD121" t="s">
        <v>57</v>
      </c>
      <c r="AI121">
        <v>1178.251663517329</v>
      </c>
      <c r="AJ121">
        <v>49557.747329361657</v>
      </c>
    </row>
    <row r="122" spans="1:36" x14ac:dyDescent="0.25">
      <c r="A122">
        <v>121</v>
      </c>
      <c r="B122" t="s">
        <v>1742</v>
      </c>
      <c r="C122" t="s">
        <v>376</v>
      </c>
      <c r="D122" t="s">
        <v>1481</v>
      </c>
      <c r="E122" t="s">
        <v>37</v>
      </c>
      <c r="G122" s="2">
        <v>45860</v>
      </c>
      <c r="H122">
        <v>0.72005256782248972</v>
      </c>
      <c r="I122" t="s">
        <v>72</v>
      </c>
      <c r="J122" t="s">
        <v>1024</v>
      </c>
      <c r="K122" t="s">
        <v>1025</v>
      </c>
      <c r="L122" t="s">
        <v>1482</v>
      </c>
      <c r="M122" t="s">
        <v>1483</v>
      </c>
      <c r="N122" t="s">
        <v>1612</v>
      </c>
      <c r="O122" t="s">
        <v>62</v>
      </c>
      <c r="P122" t="s">
        <v>63</v>
      </c>
      <c r="Q122">
        <v>0.72005256782248972</v>
      </c>
      <c r="R122" t="s">
        <v>64</v>
      </c>
      <c r="S122" t="s">
        <v>65</v>
      </c>
      <c r="T122" t="s">
        <v>1613</v>
      </c>
      <c r="V122" t="s">
        <v>46</v>
      </c>
      <c r="X122" t="s">
        <v>1614</v>
      </c>
      <c r="Y122" t="s">
        <v>1031</v>
      </c>
      <c r="Z122" t="s">
        <v>49</v>
      </c>
      <c r="AA122" t="s">
        <v>46</v>
      </c>
      <c r="AB122" t="s">
        <v>453</v>
      </c>
      <c r="AC122" t="s">
        <v>1673</v>
      </c>
      <c r="AD122" t="s">
        <v>1498</v>
      </c>
      <c r="AE122" t="s">
        <v>1499</v>
      </c>
      <c r="AI122">
        <v>223.80724440486631</v>
      </c>
      <c r="AJ122">
        <v>2913.9610143904561</v>
      </c>
    </row>
    <row r="123" spans="1:36" hidden="1" x14ac:dyDescent="0.25">
      <c r="A123">
        <v>122</v>
      </c>
      <c r="B123" t="s">
        <v>1743</v>
      </c>
      <c r="C123" t="s">
        <v>376</v>
      </c>
      <c r="D123" t="s">
        <v>1481</v>
      </c>
      <c r="E123" t="s">
        <v>37</v>
      </c>
      <c r="G123" s="2">
        <v>45860</v>
      </c>
      <c r="H123">
        <v>0.1308301840048508</v>
      </c>
      <c r="I123" t="s">
        <v>72</v>
      </c>
      <c r="J123" t="s">
        <v>1024</v>
      </c>
      <c r="K123" t="s">
        <v>1025</v>
      </c>
      <c r="L123" t="s">
        <v>1482</v>
      </c>
      <c r="M123" t="s">
        <v>1483</v>
      </c>
      <c r="O123" t="s">
        <v>402</v>
      </c>
      <c r="P123" t="s">
        <v>403</v>
      </c>
      <c r="Q123">
        <v>0.1308301840048508</v>
      </c>
      <c r="S123" t="s">
        <v>38</v>
      </c>
      <c r="T123" t="s">
        <v>673</v>
      </c>
      <c r="V123" t="s">
        <v>60</v>
      </c>
      <c r="X123" t="s">
        <v>673</v>
      </c>
      <c r="Y123" t="s">
        <v>1486</v>
      </c>
      <c r="Z123" t="s">
        <v>49</v>
      </c>
      <c r="AA123" t="s">
        <v>124</v>
      </c>
      <c r="AB123" t="s">
        <v>453</v>
      </c>
      <c r="AC123" t="s">
        <v>1697</v>
      </c>
      <c r="AD123" t="s">
        <v>1498</v>
      </c>
      <c r="AF123" t="s">
        <v>1137</v>
      </c>
      <c r="AI123">
        <v>94.223110395107113</v>
      </c>
      <c r="AJ123">
        <v>529.45308819403931</v>
      </c>
    </row>
    <row r="124" spans="1:36" hidden="1" x14ac:dyDescent="0.25">
      <c r="A124">
        <v>123</v>
      </c>
      <c r="B124" t="s">
        <v>1744</v>
      </c>
      <c r="C124" t="s">
        <v>376</v>
      </c>
      <c r="D124" t="s">
        <v>1481</v>
      </c>
      <c r="E124" t="s">
        <v>37</v>
      </c>
      <c r="G124" s="2">
        <v>45860</v>
      </c>
      <c r="H124">
        <v>0.31140318121607008</v>
      </c>
      <c r="I124" t="s">
        <v>72</v>
      </c>
      <c r="J124" t="s">
        <v>1024</v>
      </c>
      <c r="K124" t="s">
        <v>1025</v>
      </c>
      <c r="L124" t="s">
        <v>1482</v>
      </c>
      <c r="M124" t="s">
        <v>1483</v>
      </c>
      <c r="O124" t="s">
        <v>402</v>
      </c>
      <c r="P124" t="s">
        <v>403</v>
      </c>
      <c r="Q124">
        <v>0.31140318121607008</v>
      </c>
      <c r="S124" t="s">
        <v>38</v>
      </c>
      <c r="T124" t="s">
        <v>673</v>
      </c>
      <c r="V124" t="s">
        <v>60</v>
      </c>
      <c r="X124" t="s">
        <v>673</v>
      </c>
      <c r="Y124" t="s">
        <v>1486</v>
      </c>
      <c r="Z124" t="s">
        <v>49</v>
      </c>
      <c r="AA124" t="s">
        <v>124</v>
      </c>
      <c r="AB124" t="s">
        <v>453</v>
      </c>
      <c r="AC124" t="s">
        <v>1630</v>
      </c>
      <c r="AD124" t="s">
        <v>57</v>
      </c>
      <c r="AF124" t="s">
        <v>1420</v>
      </c>
      <c r="AI124">
        <v>159.278112813327</v>
      </c>
      <c r="AJ124">
        <v>1260.2090046910221</v>
      </c>
    </row>
    <row r="125" spans="1:36" hidden="1" x14ac:dyDescent="0.25">
      <c r="A125">
        <v>124</v>
      </c>
      <c r="B125" t="s">
        <v>1745</v>
      </c>
      <c r="C125" t="s">
        <v>376</v>
      </c>
      <c r="D125" t="s">
        <v>1481</v>
      </c>
      <c r="E125" t="s">
        <v>37</v>
      </c>
      <c r="G125" s="2">
        <v>45860</v>
      </c>
      <c r="H125">
        <v>30.573210723606259</v>
      </c>
      <c r="I125" t="s">
        <v>72</v>
      </c>
      <c r="J125" t="s">
        <v>1024</v>
      </c>
      <c r="K125" t="s">
        <v>1025</v>
      </c>
      <c r="L125" t="s">
        <v>1482</v>
      </c>
      <c r="M125" t="s">
        <v>1483</v>
      </c>
      <c r="O125" t="s">
        <v>402</v>
      </c>
      <c r="P125" t="s">
        <v>403</v>
      </c>
      <c r="Q125">
        <v>30.573210723606259</v>
      </c>
      <c r="S125" t="s">
        <v>38</v>
      </c>
      <c r="T125" t="s">
        <v>1484</v>
      </c>
      <c r="V125" t="s">
        <v>73</v>
      </c>
      <c r="X125" t="s">
        <v>673</v>
      </c>
      <c r="Y125" t="s">
        <v>1031</v>
      </c>
      <c r="Z125" t="s">
        <v>49</v>
      </c>
      <c r="AA125" t="s">
        <v>75</v>
      </c>
      <c r="AB125" t="s">
        <v>453</v>
      </c>
      <c r="AC125" t="s">
        <v>1543</v>
      </c>
      <c r="AD125" t="s">
        <v>57</v>
      </c>
      <c r="AI125">
        <v>1746.5964729450441</v>
      </c>
      <c r="AJ125">
        <v>123725.8890732759</v>
      </c>
    </row>
    <row r="126" spans="1:36" hidden="1" x14ac:dyDescent="0.25">
      <c r="A126">
        <v>125</v>
      </c>
      <c r="B126" t="s">
        <v>1746</v>
      </c>
      <c r="C126" t="s">
        <v>376</v>
      </c>
      <c r="D126" t="s">
        <v>1481</v>
      </c>
      <c r="E126" t="s">
        <v>37</v>
      </c>
      <c r="G126" s="2">
        <v>45860</v>
      </c>
      <c r="H126">
        <v>9.0568729276906942E-2</v>
      </c>
      <c r="I126" t="s">
        <v>72</v>
      </c>
      <c r="J126" t="s">
        <v>1024</v>
      </c>
      <c r="K126" t="s">
        <v>1025</v>
      </c>
      <c r="L126" t="s">
        <v>1482</v>
      </c>
      <c r="M126" t="s">
        <v>1483</v>
      </c>
      <c r="O126" t="s">
        <v>408</v>
      </c>
      <c r="P126" t="s">
        <v>409</v>
      </c>
      <c r="Q126">
        <v>9.0568729276906942E-2</v>
      </c>
      <c r="R126" t="s">
        <v>60</v>
      </c>
      <c r="S126" t="s">
        <v>66</v>
      </c>
      <c r="T126" t="s">
        <v>673</v>
      </c>
      <c r="V126" t="s">
        <v>60</v>
      </c>
      <c r="X126" t="s">
        <v>673</v>
      </c>
      <c r="Y126" t="s">
        <v>1486</v>
      </c>
      <c r="Z126" t="s">
        <v>49</v>
      </c>
      <c r="AA126" t="s">
        <v>124</v>
      </c>
      <c r="AB126" t="s">
        <v>453</v>
      </c>
      <c r="AC126" t="s">
        <v>1548</v>
      </c>
      <c r="AD126" t="s">
        <v>57</v>
      </c>
      <c r="AF126" t="s">
        <v>1079</v>
      </c>
      <c r="AI126">
        <v>100.4118802780394</v>
      </c>
      <c r="AJ126">
        <v>366.52010982183089</v>
      </c>
    </row>
    <row r="127" spans="1:36" x14ac:dyDescent="0.25">
      <c r="A127">
        <v>126</v>
      </c>
      <c r="B127" t="s">
        <v>1747</v>
      </c>
      <c r="C127" t="s">
        <v>376</v>
      </c>
      <c r="D127" t="s">
        <v>1481</v>
      </c>
      <c r="E127" t="s">
        <v>37</v>
      </c>
      <c r="G127" s="2">
        <v>45860</v>
      </c>
      <c r="H127">
        <v>0.46570439353213922</v>
      </c>
      <c r="I127" t="s">
        <v>72</v>
      </c>
      <c r="J127" t="s">
        <v>1024</v>
      </c>
      <c r="K127" t="s">
        <v>1025</v>
      </c>
      <c r="L127" t="s">
        <v>1482</v>
      </c>
      <c r="M127" t="s">
        <v>1483</v>
      </c>
      <c r="O127" t="s">
        <v>62</v>
      </c>
      <c r="P127" t="s">
        <v>63</v>
      </c>
      <c r="Q127">
        <v>0.46570439353213922</v>
      </c>
      <c r="R127" t="s">
        <v>64</v>
      </c>
      <c r="S127" t="s">
        <v>65</v>
      </c>
      <c r="T127" t="s">
        <v>1613</v>
      </c>
      <c r="V127" t="s">
        <v>73</v>
      </c>
      <c r="X127" t="s">
        <v>1748</v>
      </c>
      <c r="Y127" t="s">
        <v>1031</v>
      </c>
      <c r="Z127" t="s">
        <v>49</v>
      </c>
      <c r="AA127" t="s">
        <v>75</v>
      </c>
      <c r="AB127" t="s">
        <v>453</v>
      </c>
      <c r="AC127" t="s">
        <v>1543</v>
      </c>
      <c r="AD127" t="s">
        <v>1498</v>
      </c>
      <c r="AE127" t="s">
        <v>1740</v>
      </c>
      <c r="AI127">
        <v>213.66377594854819</v>
      </c>
      <c r="AJ127">
        <v>1884.6463544833141</v>
      </c>
    </row>
    <row r="128" spans="1:36" hidden="1" x14ac:dyDescent="0.25">
      <c r="A128">
        <v>127</v>
      </c>
      <c r="B128" t="s">
        <v>1749</v>
      </c>
      <c r="C128" t="s">
        <v>376</v>
      </c>
      <c r="D128" t="s">
        <v>1481</v>
      </c>
      <c r="E128" t="s">
        <v>37</v>
      </c>
      <c r="G128" s="2">
        <v>45860</v>
      </c>
      <c r="H128">
        <v>1.0991400976765611</v>
      </c>
      <c r="I128" t="s">
        <v>72</v>
      </c>
      <c r="J128" t="s">
        <v>1024</v>
      </c>
      <c r="K128" t="s">
        <v>1025</v>
      </c>
      <c r="L128" t="s">
        <v>1482</v>
      </c>
      <c r="M128" t="s">
        <v>1483</v>
      </c>
      <c r="O128" t="s">
        <v>115</v>
      </c>
      <c r="P128" t="s">
        <v>137</v>
      </c>
      <c r="Q128">
        <v>1.0991400976765611</v>
      </c>
      <c r="S128" t="s">
        <v>38</v>
      </c>
      <c r="T128" t="s">
        <v>1750</v>
      </c>
      <c r="V128" t="s">
        <v>75</v>
      </c>
      <c r="X128" t="s">
        <v>1721</v>
      </c>
      <c r="Y128" t="s">
        <v>1031</v>
      </c>
      <c r="Z128" t="s">
        <v>49</v>
      </c>
      <c r="AA128" t="s">
        <v>64</v>
      </c>
      <c r="AB128" t="s">
        <v>453</v>
      </c>
      <c r="AC128" t="s">
        <v>1722</v>
      </c>
      <c r="AD128" t="s">
        <v>656</v>
      </c>
      <c r="AE128" t="s">
        <v>506</v>
      </c>
      <c r="AI128">
        <v>411.19124905426082</v>
      </c>
      <c r="AJ128">
        <v>4448.0799557017826</v>
      </c>
    </row>
    <row r="129" spans="1:36" x14ac:dyDescent="0.25">
      <c r="A129">
        <v>128</v>
      </c>
      <c r="B129" t="s">
        <v>1751</v>
      </c>
      <c r="C129" t="s">
        <v>376</v>
      </c>
      <c r="D129" t="s">
        <v>1481</v>
      </c>
      <c r="E129" t="s">
        <v>37</v>
      </c>
      <c r="G129" s="2">
        <v>45860</v>
      </c>
      <c r="H129">
        <v>0.78520488100920538</v>
      </c>
      <c r="I129" t="s">
        <v>72</v>
      </c>
      <c r="J129" t="s">
        <v>1024</v>
      </c>
      <c r="K129" t="s">
        <v>1025</v>
      </c>
      <c r="L129" t="s">
        <v>1482</v>
      </c>
      <c r="M129" t="s">
        <v>1483</v>
      </c>
      <c r="N129" t="s">
        <v>1612</v>
      </c>
      <c r="O129" t="s">
        <v>62</v>
      </c>
      <c r="P129" t="s">
        <v>63</v>
      </c>
      <c r="Q129">
        <v>0.78520488100920538</v>
      </c>
      <c r="R129" t="s">
        <v>64</v>
      </c>
      <c r="S129" t="s">
        <v>65</v>
      </c>
      <c r="T129" t="s">
        <v>1613</v>
      </c>
      <c r="V129" t="s">
        <v>73</v>
      </c>
      <c r="X129" t="s">
        <v>1752</v>
      </c>
      <c r="Y129" t="s">
        <v>1031</v>
      </c>
      <c r="Z129" t="s">
        <v>49</v>
      </c>
      <c r="AA129" t="s">
        <v>76</v>
      </c>
      <c r="AB129" t="s">
        <v>453</v>
      </c>
      <c r="AC129" t="s">
        <v>1753</v>
      </c>
      <c r="AD129" t="s">
        <v>1498</v>
      </c>
      <c r="AE129" t="s">
        <v>1754</v>
      </c>
      <c r="AI129">
        <v>230.16589636859709</v>
      </c>
      <c r="AJ129">
        <v>3177.624126095724</v>
      </c>
    </row>
    <row r="130" spans="1:36" hidden="1" x14ac:dyDescent="0.25">
      <c r="A130">
        <v>129</v>
      </c>
      <c r="B130" t="s">
        <v>1755</v>
      </c>
      <c r="C130" t="s">
        <v>376</v>
      </c>
      <c r="D130" t="s">
        <v>1481</v>
      </c>
      <c r="E130" t="s">
        <v>37</v>
      </c>
      <c r="G130" s="2">
        <v>45860</v>
      </c>
      <c r="H130">
        <v>0.1023351455846333</v>
      </c>
      <c r="I130" t="s">
        <v>72</v>
      </c>
      <c r="J130" t="s">
        <v>1024</v>
      </c>
      <c r="K130" t="s">
        <v>1025</v>
      </c>
      <c r="L130" t="s">
        <v>1482</v>
      </c>
      <c r="M130" t="s">
        <v>1483</v>
      </c>
      <c r="O130" t="s">
        <v>402</v>
      </c>
      <c r="P130" t="s">
        <v>403</v>
      </c>
      <c r="Q130">
        <v>0.1023351455846333</v>
      </c>
      <c r="S130" t="s">
        <v>38</v>
      </c>
      <c r="T130" t="s">
        <v>673</v>
      </c>
      <c r="V130" t="s">
        <v>60</v>
      </c>
      <c r="X130" t="s">
        <v>673</v>
      </c>
      <c r="Y130" t="s">
        <v>1486</v>
      </c>
      <c r="Z130" t="s">
        <v>49</v>
      </c>
      <c r="AA130" t="s">
        <v>124</v>
      </c>
      <c r="AB130" t="s">
        <v>453</v>
      </c>
      <c r="AC130" t="s">
        <v>1630</v>
      </c>
      <c r="AD130" t="s">
        <v>57</v>
      </c>
      <c r="AF130" t="s">
        <v>1137</v>
      </c>
      <c r="AI130">
        <v>92.321175524674317</v>
      </c>
      <c r="AJ130">
        <v>414.13729769394638</v>
      </c>
    </row>
    <row r="131" spans="1:36" x14ac:dyDescent="0.25">
      <c r="A131">
        <v>130</v>
      </c>
      <c r="B131" t="s">
        <v>1756</v>
      </c>
      <c r="C131" t="s">
        <v>376</v>
      </c>
      <c r="D131" t="s">
        <v>1481</v>
      </c>
      <c r="E131" t="s">
        <v>37</v>
      </c>
      <c r="G131" s="2">
        <v>45860</v>
      </c>
      <c r="H131">
        <v>0.109672962259944</v>
      </c>
      <c r="I131" t="s">
        <v>72</v>
      </c>
      <c r="J131" t="s">
        <v>1024</v>
      </c>
      <c r="K131" t="s">
        <v>1025</v>
      </c>
      <c r="L131" t="s">
        <v>1482</v>
      </c>
      <c r="M131" t="s">
        <v>1483</v>
      </c>
      <c r="N131" t="s">
        <v>1612</v>
      </c>
      <c r="O131" t="s">
        <v>62</v>
      </c>
      <c r="P131" t="s">
        <v>63</v>
      </c>
      <c r="Q131">
        <v>0.109672962259944</v>
      </c>
      <c r="R131" t="s">
        <v>64</v>
      </c>
      <c r="S131" t="s">
        <v>65</v>
      </c>
      <c r="T131" t="s">
        <v>1613</v>
      </c>
      <c r="V131" t="s">
        <v>46</v>
      </c>
      <c r="X131" t="s">
        <v>1614</v>
      </c>
      <c r="Y131" t="s">
        <v>1486</v>
      </c>
      <c r="Z131" t="s">
        <v>49</v>
      </c>
      <c r="AA131" t="s">
        <v>124</v>
      </c>
      <c r="AB131" t="s">
        <v>453</v>
      </c>
      <c r="AC131" t="s">
        <v>1757</v>
      </c>
      <c r="AD131" t="s">
        <v>1498</v>
      </c>
      <c r="AE131" t="s">
        <v>1693</v>
      </c>
      <c r="AI131">
        <v>99.096792265503794</v>
      </c>
      <c r="AJ131">
        <v>443.8325070135399</v>
      </c>
    </row>
    <row r="132" spans="1:36" x14ac:dyDescent="0.25">
      <c r="A132">
        <v>131</v>
      </c>
      <c r="B132" t="s">
        <v>1758</v>
      </c>
      <c r="C132" t="s">
        <v>376</v>
      </c>
      <c r="D132" t="s">
        <v>1481</v>
      </c>
      <c r="E132" t="s">
        <v>37</v>
      </c>
      <c r="G132" s="2">
        <v>45860</v>
      </c>
      <c r="H132">
        <v>0.1218798604178475</v>
      </c>
      <c r="I132" t="s">
        <v>72</v>
      </c>
      <c r="J132" t="s">
        <v>1024</v>
      </c>
      <c r="K132" t="s">
        <v>1025</v>
      </c>
      <c r="L132" t="s">
        <v>1482</v>
      </c>
      <c r="M132" t="s">
        <v>1483</v>
      </c>
      <c r="N132" t="s">
        <v>1612</v>
      </c>
      <c r="O132" t="s">
        <v>62</v>
      </c>
      <c r="P132" t="s">
        <v>63</v>
      </c>
      <c r="Q132">
        <v>0.1218798604178475</v>
      </c>
      <c r="R132" t="s">
        <v>64</v>
      </c>
      <c r="S132" t="s">
        <v>65</v>
      </c>
      <c r="T132" t="s">
        <v>1613</v>
      </c>
      <c r="V132" t="s">
        <v>60</v>
      </c>
      <c r="X132" t="s">
        <v>1759</v>
      </c>
      <c r="Y132" t="s">
        <v>1486</v>
      </c>
      <c r="Z132" t="s">
        <v>49</v>
      </c>
      <c r="AA132" t="s">
        <v>124</v>
      </c>
      <c r="AB132" t="s">
        <v>453</v>
      </c>
      <c r="AC132" t="s">
        <v>1705</v>
      </c>
      <c r="AD132" t="s">
        <v>1498</v>
      </c>
      <c r="AE132" t="s">
        <v>1706</v>
      </c>
      <c r="AI132">
        <v>120.25122007763891</v>
      </c>
      <c r="AJ132">
        <v>493.23226882028388</v>
      </c>
    </row>
    <row r="133" spans="1:36" hidden="1" x14ac:dyDescent="0.25">
      <c r="A133">
        <v>132</v>
      </c>
      <c r="B133" t="s">
        <v>1760</v>
      </c>
      <c r="C133" t="s">
        <v>376</v>
      </c>
      <c r="D133" t="s">
        <v>1481</v>
      </c>
      <c r="E133" t="s">
        <v>37</v>
      </c>
      <c r="G133" s="2">
        <v>45860</v>
      </c>
      <c r="H133">
        <v>0.22873667254366431</v>
      </c>
      <c r="I133" t="s">
        <v>72</v>
      </c>
      <c r="J133" t="s">
        <v>1024</v>
      </c>
      <c r="K133" t="s">
        <v>1025</v>
      </c>
      <c r="L133" t="s">
        <v>1482</v>
      </c>
      <c r="M133" t="s">
        <v>1483</v>
      </c>
      <c r="O133" t="s">
        <v>408</v>
      </c>
      <c r="P133" t="s">
        <v>409</v>
      </c>
      <c r="Q133">
        <v>0.22873667254366431</v>
      </c>
      <c r="R133" t="s">
        <v>60</v>
      </c>
      <c r="S133" t="s">
        <v>66</v>
      </c>
      <c r="T133" t="s">
        <v>673</v>
      </c>
      <c r="V133" t="s">
        <v>60</v>
      </c>
      <c r="X133" t="s">
        <v>673</v>
      </c>
      <c r="Y133" t="s">
        <v>1486</v>
      </c>
      <c r="Z133" t="s">
        <v>49</v>
      </c>
      <c r="AA133" t="s">
        <v>124</v>
      </c>
      <c r="AB133" t="s">
        <v>453</v>
      </c>
      <c r="AC133" t="s">
        <v>1761</v>
      </c>
      <c r="AD133" t="s">
        <v>57</v>
      </c>
      <c r="AE133" t="s">
        <v>1762</v>
      </c>
      <c r="AF133" t="s">
        <v>1079</v>
      </c>
      <c r="AI133">
        <v>174.14866350978031</v>
      </c>
      <c r="AJ133">
        <v>925.66817499073079</v>
      </c>
    </row>
    <row r="134" spans="1:36" hidden="1" x14ac:dyDescent="0.25">
      <c r="A134">
        <v>133</v>
      </c>
      <c r="B134" t="s">
        <v>1763</v>
      </c>
      <c r="C134" t="s">
        <v>376</v>
      </c>
      <c r="D134" t="s">
        <v>1481</v>
      </c>
      <c r="E134" t="s">
        <v>37</v>
      </c>
      <c r="G134" s="2">
        <v>45860</v>
      </c>
      <c r="H134">
        <v>0.14747127367454321</v>
      </c>
      <c r="I134" t="s">
        <v>72</v>
      </c>
      <c r="J134" t="s">
        <v>1024</v>
      </c>
      <c r="K134" t="s">
        <v>1025</v>
      </c>
      <c r="L134" t="s">
        <v>1482</v>
      </c>
      <c r="M134" t="s">
        <v>1483</v>
      </c>
      <c r="O134" t="s">
        <v>402</v>
      </c>
      <c r="P134" t="s">
        <v>403</v>
      </c>
      <c r="Q134">
        <v>0.14747127367454321</v>
      </c>
      <c r="T134" t="s">
        <v>673</v>
      </c>
      <c r="V134" t="s">
        <v>73</v>
      </c>
      <c r="X134" t="s">
        <v>673</v>
      </c>
      <c r="Y134" t="s">
        <v>1031</v>
      </c>
      <c r="Z134" t="s">
        <v>49</v>
      </c>
      <c r="AA134" t="s">
        <v>76</v>
      </c>
      <c r="AB134" t="s">
        <v>453</v>
      </c>
      <c r="AC134" t="s">
        <v>1764</v>
      </c>
      <c r="AD134" t="s">
        <v>57</v>
      </c>
      <c r="AF134" t="s">
        <v>1137</v>
      </c>
      <c r="AI134">
        <v>98.310655529218309</v>
      </c>
      <c r="AJ134">
        <v>596.7974581767786</v>
      </c>
    </row>
    <row r="135" spans="1:36" x14ac:dyDescent="0.25">
      <c r="A135">
        <v>134</v>
      </c>
      <c r="B135" t="s">
        <v>1765</v>
      </c>
      <c r="C135" t="s">
        <v>376</v>
      </c>
      <c r="D135" t="s">
        <v>1481</v>
      </c>
      <c r="E135" t="s">
        <v>37</v>
      </c>
      <c r="G135" s="2">
        <v>45860</v>
      </c>
      <c r="H135">
        <v>1.9385499944183231</v>
      </c>
      <c r="I135" t="s">
        <v>72</v>
      </c>
      <c r="J135" t="s">
        <v>1024</v>
      </c>
      <c r="K135" t="s">
        <v>1025</v>
      </c>
      <c r="L135" t="s">
        <v>1482</v>
      </c>
      <c r="M135" t="s">
        <v>1483</v>
      </c>
      <c r="N135" t="s">
        <v>1612</v>
      </c>
      <c r="O135" t="s">
        <v>62</v>
      </c>
      <c r="P135" t="s">
        <v>63</v>
      </c>
      <c r="Q135">
        <v>1.9385499944183231</v>
      </c>
      <c r="R135" t="s">
        <v>64</v>
      </c>
      <c r="S135" t="s">
        <v>65</v>
      </c>
      <c r="T135" t="s">
        <v>1613</v>
      </c>
      <c r="V135" t="s">
        <v>73</v>
      </c>
      <c r="X135" t="s">
        <v>1614</v>
      </c>
      <c r="Y135" t="s">
        <v>1031</v>
      </c>
      <c r="Z135" t="s">
        <v>49</v>
      </c>
      <c r="AA135" t="s">
        <v>76</v>
      </c>
      <c r="AB135" t="s">
        <v>453</v>
      </c>
      <c r="AC135" t="s">
        <v>1764</v>
      </c>
      <c r="AD135" t="s">
        <v>1498</v>
      </c>
      <c r="AE135" t="s">
        <v>1766</v>
      </c>
      <c r="AI135">
        <v>407.23547205406271</v>
      </c>
      <c r="AJ135">
        <v>7845.064875283394</v>
      </c>
    </row>
    <row r="136" spans="1:36" x14ac:dyDescent="0.25">
      <c r="A136">
        <v>135</v>
      </c>
      <c r="B136" t="s">
        <v>1767</v>
      </c>
      <c r="C136" t="s">
        <v>376</v>
      </c>
      <c r="D136" t="s">
        <v>1481</v>
      </c>
      <c r="E136" t="s">
        <v>37</v>
      </c>
      <c r="G136" s="2">
        <v>45860</v>
      </c>
      <c r="H136">
        <v>0.38635763824366148</v>
      </c>
      <c r="I136" t="s">
        <v>72</v>
      </c>
      <c r="J136" t="s">
        <v>1024</v>
      </c>
      <c r="K136" t="s">
        <v>1025</v>
      </c>
      <c r="L136" t="s">
        <v>1482</v>
      </c>
      <c r="M136" t="s">
        <v>1483</v>
      </c>
      <c r="N136" t="s">
        <v>1612</v>
      </c>
      <c r="O136" t="s">
        <v>62</v>
      </c>
      <c r="P136" t="s">
        <v>63</v>
      </c>
      <c r="Q136">
        <v>0.38635763824366148</v>
      </c>
      <c r="R136" t="s">
        <v>64</v>
      </c>
      <c r="S136" t="s">
        <v>65</v>
      </c>
      <c r="T136" t="s">
        <v>1613</v>
      </c>
      <c r="V136" t="s">
        <v>73</v>
      </c>
      <c r="X136" t="s">
        <v>1614</v>
      </c>
      <c r="Y136" t="s">
        <v>1031</v>
      </c>
      <c r="Z136" t="s">
        <v>49</v>
      </c>
      <c r="AA136" t="s">
        <v>76</v>
      </c>
      <c r="AB136" t="s">
        <v>453</v>
      </c>
      <c r="AC136" t="s">
        <v>1768</v>
      </c>
      <c r="AD136" t="s">
        <v>1498</v>
      </c>
      <c r="AE136" t="s">
        <v>1769</v>
      </c>
      <c r="AI136">
        <v>187.95309323826959</v>
      </c>
      <c r="AJ136">
        <v>1563.540143823978</v>
      </c>
    </row>
    <row r="137" spans="1:36" hidden="1" x14ac:dyDescent="0.25">
      <c r="A137">
        <v>136</v>
      </c>
      <c r="B137" t="s">
        <v>1770</v>
      </c>
      <c r="C137" t="s">
        <v>376</v>
      </c>
      <c r="D137" t="s">
        <v>1481</v>
      </c>
      <c r="E137" t="s">
        <v>37</v>
      </c>
      <c r="G137" s="2">
        <v>45860</v>
      </c>
      <c r="H137">
        <v>5.3894652866514493E-2</v>
      </c>
      <c r="I137" t="s">
        <v>72</v>
      </c>
      <c r="J137" t="s">
        <v>1024</v>
      </c>
      <c r="K137" t="s">
        <v>1025</v>
      </c>
      <c r="L137" t="s">
        <v>1482</v>
      </c>
      <c r="M137" t="s">
        <v>1483</v>
      </c>
      <c r="O137" t="s">
        <v>402</v>
      </c>
      <c r="P137" t="s">
        <v>403</v>
      </c>
      <c r="Q137">
        <v>5.3894652866514493E-2</v>
      </c>
      <c r="S137" t="s">
        <v>38</v>
      </c>
      <c r="T137" t="s">
        <v>673</v>
      </c>
      <c r="V137" t="s">
        <v>60</v>
      </c>
      <c r="X137" t="s">
        <v>673</v>
      </c>
      <c r="Y137" t="s">
        <v>1486</v>
      </c>
      <c r="Z137" t="s">
        <v>49</v>
      </c>
      <c r="AA137" t="s">
        <v>124</v>
      </c>
      <c r="AB137" t="s">
        <v>453</v>
      </c>
      <c r="AC137" t="s">
        <v>1697</v>
      </c>
      <c r="AF137" t="s">
        <v>1137</v>
      </c>
      <c r="AI137">
        <v>59.145864675948701</v>
      </c>
      <c r="AJ137">
        <v>218.1047945041783</v>
      </c>
    </row>
    <row r="138" spans="1:36" hidden="1" x14ac:dyDescent="0.25">
      <c r="A138">
        <v>137</v>
      </c>
      <c r="B138" t="s">
        <v>1771</v>
      </c>
      <c r="C138" t="s">
        <v>376</v>
      </c>
      <c r="D138" t="s">
        <v>1481</v>
      </c>
      <c r="E138" t="s">
        <v>37</v>
      </c>
      <c r="G138" s="2">
        <v>45860</v>
      </c>
      <c r="H138">
        <v>0.49259909050893841</v>
      </c>
      <c r="I138" t="s">
        <v>72</v>
      </c>
      <c r="J138" t="s">
        <v>1024</v>
      </c>
      <c r="K138" t="s">
        <v>1025</v>
      </c>
      <c r="L138" t="s">
        <v>1482</v>
      </c>
      <c r="M138" t="s">
        <v>1483</v>
      </c>
      <c r="O138" t="s">
        <v>79</v>
      </c>
      <c r="P138" t="s">
        <v>80</v>
      </c>
      <c r="Q138">
        <v>0.49259909050893841</v>
      </c>
      <c r="R138" t="s">
        <v>46</v>
      </c>
      <c r="S138" t="s">
        <v>47</v>
      </c>
      <c r="T138" t="s">
        <v>1772</v>
      </c>
      <c r="V138" t="s">
        <v>75</v>
      </c>
      <c r="X138" t="s">
        <v>1721</v>
      </c>
      <c r="Y138" t="s">
        <v>1031</v>
      </c>
      <c r="Z138" t="s">
        <v>49</v>
      </c>
      <c r="AA138" t="s">
        <v>64</v>
      </c>
      <c r="AB138" t="s">
        <v>453</v>
      </c>
      <c r="AC138" t="s">
        <v>1722</v>
      </c>
      <c r="AD138" t="s">
        <v>656</v>
      </c>
      <c r="AE138" t="s">
        <v>506</v>
      </c>
      <c r="AI138">
        <v>185.36693516167981</v>
      </c>
      <c r="AJ138">
        <v>1993.4857670295901</v>
      </c>
    </row>
    <row r="139" spans="1:36" x14ac:dyDescent="0.25">
      <c r="A139">
        <v>138</v>
      </c>
      <c r="B139" t="s">
        <v>1773</v>
      </c>
      <c r="C139" t="s">
        <v>376</v>
      </c>
      <c r="D139" t="s">
        <v>1481</v>
      </c>
      <c r="E139" t="s">
        <v>37</v>
      </c>
      <c r="G139" s="2">
        <v>45860</v>
      </c>
      <c r="H139">
        <v>8.9458671298815169</v>
      </c>
      <c r="I139" t="s">
        <v>72</v>
      </c>
      <c r="J139" t="s">
        <v>1024</v>
      </c>
      <c r="K139" t="s">
        <v>1025</v>
      </c>
      <c r="L139" t="s">
        <v>1482</v>
      </c>
      <c r="M139" t="s">
        <v>1483</v>
      </c>
      <c r="N139" t="s">
        <v>1612</v>
      </c>
      <c r="O139" t="s">
        <v>62</v>
      </c>
      <c r="P139" t="s">
        <v>63</v>
      </c>
      <c r="Q139">
        <v>8.9458671298815169</v>
      </c>
      <c r="R139" t="s">
        <v>64</v>
      </c>
      <c r="S139" t="s">
        <v>65</v>
      </c>
      <c r="T139" t="s">
        <v>1613</v>
      </c>
      <c r="V139" t="s">
        <v>73</v>
      </c>
      <c r="X139" t="s">
        <v>1614</v>
      </c>
      <c r="Y139" t="s">
        <v>1031</v>
      </c>
      <c r="Z139" t="s">
        <v>49</v>
      </c>
      <c r="AA139" t="s">
        <v>76</v>
      </c>
      <c r="AB139" t="s">
        <v>453</v>
      </c>
      <c r="AC139" t="s">
        <v>1774</v>
      </c>
      <c r="AD139" t="s">
        <v>483</v>
      </c>
      <c r="AE139" t="s">
        <v>1775</v>
      </c>
      <c r="AI139">
        <v>1202.470844590772</v>
      </c>
      <c r="AJ139">
        <v>36202.784659491903</v>
      </c>
    </row>
    <row r="140" spans="1:36" hidden="1" x14ac:dyDescent="0.25">
      <c r="A140">
        <v>139</v>
      </c>
      <c r="B140" t="s">
        <v>1776</v>
      </c>
      <c r="C140" t="s">
        <v>376</v>
      </c>
      <c r="D140" t="s">
        <v>1481</v>
      </c>
      <c r="E140" t="s">
        <v>37</v>
      </c>
      <c r="G140" s="2">
        <v>45860</v>
      </c>
      <c r="H140">
        <v>1.2935958326232611</v>
      </c>
      <c r="I140" t="s">
        <v>72</v>
      </c>
      <c r="J140" t="s">
        <v>1024</v>
      </c>
      <c r="K140" t="s">
        <v>1025</v>
      </c>
      <c r="L140" t="s">
        <v>1482</v>
      </c>
      <c r="M140" t="s">
        <v>1483</v>
      </c>
      <c r="O140" t="s">
        <v>79</v>
      </c>
      <c r="P140" t="s">
        <v>80</v>
      </c>
      <c r="Q140">
        <v>1.2935958326232611</v>
      </c>
      <c r="R140" t="s">
        <v>46</v>
      </c>
      <c r="S140" t="s">
        <v>47</v>
      </c>
      <c r="T140" t="s">
        <v>1772</v>
      </c>
      <c r="V140" t="s">
        <v>75</v>
      </c>
      <c r="X140" t="s">
        <v>1721</v>
      </c>
      <c r="Y140" t="s">
        <v>1031</v>
      </c>
      <c r="Z140" t="s">
        <v>49</v>
      </c>
      <c r="AA140" t="s">
        <v>64</v>
      </c>
      <c r="AB140" t="s">
        <v>453</v>
      </c>
      <c r="AC140" t="s">
        <v>1722</v>
      </c>
      <c r="AD140" t="s">
        <v>656</v>
      </c>
      <c r="AE140" t="s">
        <v>506</v>
      </c>
      <c r="AI140">
        <v>303.893125723016</v>
      </c>
      <c r="AJ140">
        <v>5235.0175432905544</v>
      </c>
    </row>
    <row r="141" spans="1:36" x14ac:dyDescent="0.25">
      <c r="A141">
        <v>140</v>
      </c>
      <c r="B141" t="s">
        <v>1777</v>
      </c>
      <c r="C141" t="s">
        <v>376</v>
      </c>
      <c r="D141" t="s">
        <v>1481</v>
      </c>
      <c r="E141" t="s">
        <v>37</v>
      </c>
      <c r="G141" s="2">
        <v>45860</v>
      </c>
      <c r="H141">
        <v>3.7616173500704488</v>
      </c>
      <c r="I141" t="s">
        <v>72</v>
      </c>
      <c r="J141" t="s">
        <v>1024</v>
      </c>
      <c r="K141" t="s">
        <v>1025</v>
      </c>
      <c r="L141" t="s">
        <v>1482</v>
      </c>
      <c r="M141" t="s">
        <v>1483</v>
      </c>
      <c r="N141" t="s">
        <v>1612</v>
      </c>
      <c r="O141" t="s">
        <v>62</v>
      </c>
      <c r="P141" t="s">
        <v>63</v>
      </c>
      <c r="Q141">
        <v>3.7616173500704488</v>
      </c>
      <c r="R141" t="s">
        <v>64</v>
      </c>
      <c r="S141" t="s">
        <v>65</v>
      </c>
      <c r="T141" t="s">
        <v>1613</v>
      </c>
      <c r="V141" t="s">
        <v>73</v>
      </c>
      <c r="X141" t="s">
        <v>1614</v>
      </c>
      <c r="Y141" t="s">
        <v>1031</v>
      </c>
      <c r="Z141" t="s">
        <v>69</v>
      </c>
      <c r="AA141" t="s">
        <v>76</v>
      </c>
      <c r="AB141" t="s">
        <v>453</v>
      </c>
      <c r="AC141" t="s">
        <v>1651</v>
      </c>
      <c r="AD141" t="s">
        <v>483</v>
      </c>
      <c r="AE141" t="s">
        <v>1652</v>
      </c>
      <c r="AI141">
        <v>655.32550990919344</v>
      </c>
      <c r="AJ141">
        <v>15222.78622282787</v>
      </c>
    </row>
    <row r="142" spans="1:36" hidden="1" x14ac:dyDescent="0.25">
      <c r="A142">
        <v>141</v>
      </c>
      <c r="B142" t="s">
        <v>1778</v>
      </c>
      <c r="C142" t="s">
        <v>376</v>
      </c>
      <c r="D142" t="s">
        <v>1481</v>
      </c>
      <c r="E142" t="s">
        <v>37</v>
      </c>
      <c r="G142" s="2">
        <v>45860</v>
      </c>
      <c r="H142">
        <v>9.761930654116604</v>
      </c>
      <c r="I142" t="s">
        <v>72</v>
      </c>
      <c r="J142" t="s">
        <v>1024</v>
      </c>
      <c r="K142" t="s">
        <v>1025</v>
      </c>
      <c r="L142" t="s">
        <v>1482</v>
      </c>
      <c r="M142" t="s">
        <v>1483</v>
      </c>
      <c r="O142" t="s">
        <v>402</v>
      </c>
      <c r="P142" t="s">
        <v>403</v>
      </c>
      <c r="Q142">
        <v>9.761930654116604</v>
      </c>
      <c r="T142" t="s">
        <v>673</v>
      </c>
      <c r="V142" t="s">
        <v>73</v>
      </c>
      <c r="X142" t="s">
        <v>673</v>
      </c>
      <c r="Y142" t="s">
        <v>1031</v>
      </c>
      <c r="Z142" t="s">
        <v>49</v>
      </c>
      <c r="AA142" t="s">
        <v>76</v>
      </c>
      <c r="AB142" t="s">
        <v>453</v>
      </c>
      <c r="AC142" t="s">
        <v>1774</v>
      </c>
      <c r="AD142" t="s">
        <v>57</v>
      </c>
      <c r="AF142" t="s">
        <v>1779</v>
      </c>
      <c r="AI142">
        <v>806.76252842057988</v>
      </c>
      <c r="AJ142">
        <v>39505.289783636334</v>
      </c>
    </row>
    <row r="143" spans="1:36" x14ac:dyDescent="0.25">
      <c r="A143">
        <v>142</v>
      </c>
      <c r="B143" t="s">
        <v>1780</v>
      </c>
      <c r="C143" t="s">
        <v>376</v>
      </c>
      <c r="D143" t="s">
        <v>1481</v>
      </c>
      <c r="E143" t="s">
        <v>37</v>
      </c>
      <c r="G143" s="2">
        <v>45860</v>
      </c>
      <c r="H143">
        <v>0.55858788027856454</v>
      </c>
      <c r="I143" t="s">
        <v>72</v>
      </c>
      <c r="J143" t="s">
        <v>1024</v>
      </c>
      <c r="K143" t="s">
        <v>1025</v>
      </c>
      <c r="L143" t="s">
        <v>1482</v>
      </c>
      <c r="M143" t="s">
        <v>1483</v>
      </c>
      <c r="N143" t="s">
        <v>1612</v>
      </c>
      <c r="O143" t="s">
        <v>62</v>
      </c>
      <c r="P143" t="s">
        <v>63</v>
      </c>
      <c r="Q143">
        <v>0.55858788027856454</v>
      </c>
      <c r="R143" t="s">
        <v>64</v>
      </c>
      <c r="S143" t="s">
        <v>65</v>
      </c>
      <c r="T143" t="s">
        <v>1613</v>
      </c>
      <c r="V143" t="s">
        <v>73</v>
      </c>
      <c r="X143" t="s">
        <v>1614</v>
      </c>
      <c r="Y143" t="s">
        <v>1031</v>
      </c>
      <c r="Z143" t="s">
        <v>69</v>
      </c>
      <c r="AA143" t="s">
        <v>46</v>
      </c>
      <c r="AB143" t="s">
        <v>453</v>
      </c>
      <c r="AC143" t="s">
        <v>1781</v>
      </c>
      <c r="AD143" t="s">
        <v>1498</v>
      </c>
      <c r="AE143" t="s">
        <v>1782</v>
      </c>
      <c r="AI143">
        <v>261.02140221616338</v>
      </c>
      <c r="AJ143">
        <v>2260.533992907041</v>
      </c>
    </row>
    <row r="144" spans="1:36" hidden="1" x14ac:dyDescent="0.25">
      <c r="A144">
        <v>143</v>
      </c>
      <c r="B144" t="s">
        <v>1783</v>
      </c>
      <c r="C144" t="s">
        <v>376</v>
      </c>
      <c r="D144" t="s">
        <v>1481</v>
      </c>
      <c r="E144" t="s">
        <v>37</v>
      </c>
      <c r="G144" s="2">
        <v>45860</v>
      </c>
      <c r="H144">
        <v>4.0380423997263208E-2</v>
      </c>
      <c r="I144" t="s">
        <v>72</v>
      </c>
      <c r="J144" t="s">
        <v>1024</v>
      </c>
      <c r="K144" t="s">
        <v>1025</v>
      </c>
      <c r="L144" t="s">
        <v>1482</v>
      </c>
      <c r="M144" t="s">
        <v>1483</v>
      </c>
      <c r="O144" t="s">
        <v>408</v>
      </c>
      <c r="P144" t="s">
        <v>409</v>
      </c>
      <c r="Q144">
        <v>4.0380423997263208E-2</v>
      </c>
      <c r="R144" t="s">
        <v>60</v>
      </c>
      <c r="S144" t="s">
        <v>66</v>
      </c>
      <c r="T144" t="s">
        <v>1784</v>
      </c>
      <c r="V144" t="s">
        <v>73</v>
      </c>
      <c r="X144" t="s">
        <v>1126</v>
      </c>
      <c r="Y144" t="s">
        <v>1031</v>
      </c>
      <c r="Z144" t="s">
        <v>49</v>
      </c>
      <c r="AA144" t="s">
        <v>76</v>
      </c>
      <c r="AB144" t="s">
        <v>453</v>
      </c>
      <c r="AC144" t="s">
        <v>57</v>
      </c>
      <c r="AD144" t="s">
        <v>57</v>
      </c>
      <c r="AI144">
        <v>51.487311970666497</v>
      </c>
      <c r="AJ144">
        <v>163.41443184963339</v>
      </c>
    </row>
    <row r="145" spans="1:36" hidden="1" x14ac:dyDescent="0.25">
      <c r="A145">
        <v>144</v>
      </c>
      <c r="B145" t="s">
        <v>1785</v>
      </c>
      <c r="C145" t="s">
        <v>376</v>
      </c>
      <c r="D145" t="s">
        <v>1481</v>
      </c>
      <c r="E145" t="s">
        <v>37</v>
      </c>
      <c r="G145" s="2">
        <v>45860</v>
      </c>
      <c r="H145">
        <v>2.958437017804642E-2</v>
      </c>
      <c r="I145" t="s">
        <v>72</v>
      </c>
      <c r="J145" t="s">
        <v>1024</v>
      </c>
      <c r="K145" t="s">
        <v>1025</v>
      </c>
      <c r="L145" t="s">
        <v>1482</v>
      </c>
      <c r="M145" t="s">
        <v>1483</v>
      </c>
      <c r="O145" t="s">
        <v>408</v>
      </c>
      <c r="P145" t="s">
        <v>409</v>
      </c>
      <c r="Q145">
        <v>2.958437017804642E-2</v>
      </c>
      <c r="R145" t="s">
        <v>60</v>
      </c>
      <c r="S145" t="s">
        <v>66</v>
      </c>
      <c r="T145" t="s">
        <v>1784</v>
      </c>
      <c r="V145" t="s">
        <v>73</v>
      </c>
      <c r="X145" t="s">
        <v>1126</v>
      </c>
      <c r="Y145" t="s">
        <v>1031</v>
      </c>
      <c r="Z145" t="s">
        <v>49</v>
      </c>
      <c r="AA145" t="s">
        <v>76</v>
      </c>
      <c r="AB145" t="s">
        <v>453</v>
      </c>
      <c r="AC145" t="s">
        <v>57</v>
      </c>
      <c r="AD145" t="s">
        <v>57</v>
      </c>
      <c r="AI145">
        <v>42.570510529443673</v>
      </c>
      <c r="AJ145">
        <v>119.7241773539167</v>
      </c>
    </row>
    <row r="146" spans="1:36" x14ac:dyDescent="0.25">
      <c r="A146">
        <v>145</v>
      </c>
      <c r="B146" t="s">
        <v>1786</v>
      </c>
      <c r="C146" t="s">
        <v>376</v>
      </c>
      <c r="D146" t="s">
        <v>1481</v>
      </c>
      <c r="E146" t="s">
        <v>37</v>
      </c>
      <c r="G146" s="2">
        <v>45860</v>
      </c>
      <c r="H146">
        <v>22.156101918095739</v>
      </c>
      <c r="I146" t="s">
        <v>72</v>
      </c>
      <c r="J146" t="s">
        <v>1024</v>
      </c>
      <c r="K146" t="s">
        <v>1025</v>
      </c>
      <c r="L146" t="s">
        <v>1482</v>
      </c>
      <c r="M146" t="s">
        <v>1483</v>
      </c>
      <c r="O146" t="s">
        <v>62</v>
      </c>
      <c r="P146" t="s">
        <v>63</v>
      </c>
      <c r="Q146">
        <v>22.156101918095739</v>
      </c>
      <c r="R146" t="s">
        <v>64</v>
      </c>
      <c r="S146" t="s">
        <v>65</v>
      </c>
      <c r="T146" t="s">
        <v>1484</v>
      </c>
      <c r="V146" t="s">
        <v>75</v>
      </c>
      <c r="X146" t="s">
        <v>673</v>
      </c>
      <c r="Y146" t="s">
        <v>1031</v>
      </c>
      <c r="Z146" t="s">
        <v>49</v>
      </c>
      <c r="AA146" t="s">
        <v>75</v>
      </c>
      <c r="AB146" t="s">
        <v>453</v>
      </c>
      <c r="AC146" t="s">
        <v>1535</v>
      </c>
      <c r="AD146" t="s">
        <v>57</v>
      </c>
      <c r="AE146" t="s">
        <v>808</v>
      </c>
      <c r="AI146">
        <v>1356.4567125028</v>
      </c>
      <c r="AJ146">
        <v>89662.921993924014</v>
      </c>
    </row>
    <row r="147" spans="1:36" x14ac:dyDescent="0.25">
      <c r="A147">
        <v>146</v>
      </c>
      <c r="B147" t="s">
        <v>1787</v>
      </c>
      <c r="C147" t="s">
        <v>376</v>
      </c>
      <c r="D147" t="s">
        <v>1481</v>
      </c>
      <c r="E147" t="s">
        <v>37</v>
      </c>
      <c r="G147" s="2">
        <v>45860</v>
      </c>
      <c r="H147">
        <v>16.16033194629215</v>
      </c>
      <c r="I147" t="s">
        <v>72</v>
      </c>
      <c r="J147" t="s">
        <v>1024</v>
      </c>
      <c r="K147" t="s">
        <v>1025</v>
      </c>
      <c r="L147" t="s">
        <v>1482</v>
      </c>
      <c r="M147" t="s">
        <v>1483</v>
      </c>
      <c r="O147" t="s">
        <v>62</v>
      </c>
      <c r="P147" t="s">
        <v>63</v>
      </c>
      <c r="Q147">
        <v>16.16033194629215</v>
      </c>
      <c r="R147" t="s">
        <v>64</v>
      </c>
      <c r="S147" t="s">
        <v>65</v>
      </c>
      <c r="T147" t="s">
        <v>1788</v>
      </c>
      <c r="V147" t="s">
        <v>75</v>
      </c>
      <c r="X147" t="s">
        <v>1721</v>
      </c>
      <c r="Y147" t="s">
        <v>1031</v>
      </c>
      <c r="Z147" t="s">
        <v>49</v>
      </c>
      <c r="AA147" t="s">
        <v>64</v>
      </c>
      <c r="AB147" t="s">
        <v>453</v>
      </c>
      <c r="AC147" t="s">
        <v>1722</v>
      </c>
      <c r="AD147" t="s">
        <v>656</v>
      </c>
      <c r="AE147" t="s">
        <v>506</v>
      </c>
      <c r="AI147">
        <v>1865.617054895562</v>
      </c>
      <c r="AJ147">
        <v>65398.804719925567</v>
      </c>
    </row>
    <row r="148" spans="1:36" x14ac:dyDescent="0.25">
      <c r="A148">
        <v>147</v>
      </c>
      <c r="B148" t="s">
        <v>1789</v>
      </c>
      <c r="C148" t="s">
        <v>376</v>
      </c>
      <c r="D148" t="s">
        <v>1481</v>
      </c>
      <c r="E148" t="s">
        <v>37</v>
      </c>
      <c r="G148" s="2">
        <v>45860</v>
      </c>
      <c r="H148">
        <v>0.85505589069055155</v>
      </c>
      <c r="I148" t="s">
        <v>72</v>
      </c>
      <c r="J148" t="s">
        <v>1024</v>
      </c>
      <c r="K148" t="s">
        <v>1025</v>
      </c>
      <c r="L148" t="s">
        <v>1482</v>
      </c>
      <c r="M148" t="s">
        <v>1483</v>
      </c>
      <c r="N148" t="s">
        <v>1612</v>
      </c>
      <c r="O148" t="s">
        <v>62</v>
      </c>
      <c r="P148" t="s">
        <v>63</v>
      </c>
      <c r="Q148">
        <v>0.85505589069055155</v>
      </c>
      <c r="R148" t="s">
        <v>64</v>
      </c>
      <c r="S148" t="s">
        <v>65</v>
      </c>
      <c r="T148" t="s">
        <v>1613</v>
      </c>
      <c r="V148" t="s">
        <v>46</v>
      </c>
      <c r="X148" t="s">
        <v>1614</v>
      </c>
      <c r="Y148" t="s">
        <v>1031</v>
      </c>
      <c r="Z148" t="s">
        <v>69</v>
      </c>
      <c r="AA148" t="s">
        <v>46</v>
      </c>
      <c r="AB148" t="s">
        <v>453</v>
      </c>
      <c r="AC148" t="s">
        <v>1523</v>
      </c>
      <c r="AD148" t="s">
        <v>1498</v>
      </c>
      <c r="AE148" t="s">
        <v>1790</v>
      </c>
      <c r="AI148">
        <v>278.9926778321327</v>
      </c>
      <c r="AJ148">
        <v>3460.3022639472251</v>
      </c>
    </row>
    <row r="149" spans="1:36" x14ac:dyDescent="0.25">
      <c r="A149">
        <v>148</v>
      </c>
      <c r="B149" t="s">
        <v>1791</v>
      </c>
      <c r="C149" t="s">
        <v>376</v>
      </c>
      <c r="D149" t="s">
        <v>1481</v>
      </c>
      <c r="E149" t="s">
        <v>37</v>
      </c>
      <c r="G149" s="2">
        <v>45860</v>
      </c>
      <c r="H149">
        <v>1.091804383041415</v>
      </c>
      <c r="I149" t="s">
        <v>72</v>
      </c>
      <c r="J149" t="s">
        <v>1024</v>
      </c>
      <c r="K149" t="s">
        <v>1025</v>
      </c>
      <c r="L149" t="s">
        <v>1482</v>
      </c>
      <c r="M149" t="s">
        <v>1483</v>
      </c>
      <c r="N149" t="s">
        <v>1612</v>
      </c>
      <c r="O149" t="s">
        <v>62</v>
      </c>
      <c r="P149" t="s">
        <v>63</v>
      </c>
      <c r="Q149">
        <v>1.091804383041415</v>
      </c>
      <c r="R149" t="s">
        <v>64</v>
      </c>
      <c r="S149" t="s">
        <v>65</v>
      </c>
      <c r="T149" t="s">
        <v>1613</v>
      </c>
      <c r="V149" t="s">
        <v>73</v>
      </c>
      <c r="X149" t="s">
        <v>1792</v>
      </c>
      <c r="Y149" t="s">
        <v>1031</v>
      </c>
      <c r="Z149" t="s">
        <v>49</v>
      </c>
      <c r="AA149" t="s">
        <v>46</v>
      </c>
      <c r="AB149" t="s">
        <v>453</v>
      </c>
      <c r="AC149" t="s">
        <v>1753</v>
      </c>
      <c r="AD149" t="s">
        <v>1498</v>
      </c>
      <c r="AE149" t="s">
        <v>1754</v>
      </c>
      <c r="AI149">
        <v>402.95001526589027</v>
      </c>
      <c r="AJ149">
        <v>4418.3932530709571</v>
      </c>
    </row>
    <row r="150" spans="1:36" x14ac:dyDescent="0.25">
      <c r="A150">
        <v>149</v>
      </c>
      <c r="B150" t="s">
        <v>1793</v>
      </c>
      <c r="C150" t="s">
        <v>376</v>
      </c>
      <c r="D150" t="s">
        <v>1481</v>
      </c>
      <c r="E150" t="s">
        <v>37</v>
      </c>
      <c r="G150" s="2">
        <v>45860</v>
      </c>
      <c r="H150">
        <v>5.7586106776085881E-2</v>
      </c>
      <c r="I150" t="s">
        <v>72</v>
      </c>
      <c r="J150" t="s">
        <v>1024</v>
      </c>
      <c r="K150" t="s">
        <v>1025</v>
      </c>
      <c r="L150" t="s">
        <v>1482</v>
      </c>
      <c r="M150" t="s">
        <v>1483</v>
      </c>
      <c r="N150" t="s">
        <v>1612</v>
      </c>
      <c r="O150" t="s">
        <v>62</v>
      </c>
      <c r="P150" t="s">
        <v>63</v>
      </c>
      <c r="Q150">
        <v>5.7586106776085881E-2</v>
      </c>
      <c r="R150" t="s">
        <v>64</v>
      </c>
      <c r="S150" t="s">
        <v>65</v>
      </c>
      <c r="T150" t="s">
        <v>1613</v>
      </c>
      <c r="V150" t="s">
        <v>46</v>
      </c>
      <c r="X150" t="s">
        <v>1614</v>
      </c>
      <c r="Y150" t="s">
        <v>1031</v>
      </c>
      <c r="Z150" t="s">
        <v>69</v>
      </c>
      <c r="AA150" t="s">
        <v>46</v>
      </c>
      <c r="AB150" t="s">
        <v>453</v>
      </c>
      <c r="AC150" t="s">
        <v>1794</v>
      </c>
      <c r="AD150" t="s">
        <v>1498</v>
      </c>
      <c r="AE150" t="s">
        <v>1726</v>
      </c>
      <c r="AI150">
        <v>67.315788647068558</v>
      </c>
      <c r="AJ150">
        <v>233.043638221436</v>
      </c>
    </row>
    <row r="151" spans="1:36" hidden="1" x14ac:dyDescent="0.25">
      <c r="A151">
        <v>150</v>
      </c>
      <c r="B151" t="s">
        <v>1795</v>
      </c>
      <c r="C151" t="s">
        <v>376</v>
      </c>
      <c r="D151" t="s">
        <v>1481</v>
      </c>
      <c r="E151" t="s">
        <v>37</v>
      </c>
      <c r="G151" s="2">
        <v>45860</v>
      </c>
      <c r="H151">
        <v>18.612695295675</v>
      </c>
      <c r="I151" t="s">
        <v>72</v>
      </c>
      <c r="J151" t="s">
        <v>1024</v>
      </c>
      <c r="K151" t="s">
        <v>1025</v>
      </c>
      <c r="L151" t="s">
        <v>1482</v>
      </c>
      <c r="M151" t="s">
        <v>1483</v>
      </c>
      <c r="O151" t="s">
        <v>402</v>
      </c>
      <c r="P151" t="s">
        <v>403</v>
      </c>
      <c r="Q151">
        <v>18.612695295675</v>
      </c>
      <c r="S151" t="s">
        <v>38</v>
      </c>
      <c r="T151" t="s">
        <v>673</v>
      </c>
      <c r="V151" t="s">
        <v>75</v>
      </c>
      <c r="X151" t="s">
        <v>673</v>
      </c>
      <c r="Y151" t="s">
        <v>1031</v>
      </c>
      <c r="Z151" t="s">
        <v>49</v>
      </c>
      <c r="AA151" t="s">
        <v>64</v>
      </c>
      <c r="AB151" t="s">
        <v>453</v>
      </c>
      <c r="AC151" t="s">
        <v>1722</v>
      </c>
      <c r="AD151" t="s">
        <v>57</v>
      </c>
      <c r="AE151" t="s">
        <v>1716</v>
      </c>
      <c r="AI151">
        <v>1426.5229465178179</v>
      </c>
      <c r="AJ151">
        <v>75323.206788002499</v>
      </c>
    </row>
    <row r="152" spans="1:36" x14ac:dyDescent="0.25">
      <c r="A152">
        <v>151</v>
      </c>
      <c r="B152" t="s">
        <v>1796</v>
      </c>
      <c r="C152" t="s">
        <v>376</v>
      </c>
      <c r="D152" t="s">
        <v>1481</v>
      </c>
      <c r="E152" t="s">
        <v>37</v>
      </c>
      <c r="G152" s="2">
        <v>45860</v>
      </c>
      <c r="H152">
        <v>0.59196827156965692</v>
      </c>
      <c r="I152" t="s">
        <v>72</v>
      </c>
      <c r="J152" t="s">
        <v>1024</v>
      </c>
      <c r="K152" t="s">
        <v>1025</v>
      </c>
      <c r="L152" t="s">
        <v>1482</v>
      </c>
      <c r="M152" t="s">
        <v>1483</v>
      </c>
      <c r="N152" t="s">
        <v>1612</v>
      </c>
      <c r="O152" t="s">
        <v>62</v>
      </c>
      <c r="P152" t="s">
        <v>63</v>
      </c>
      <c r="Q152">
        <v>0.59196827156965692</v>
      </c>
      <c r="R152" t="s">
        <v>64</v>
      </c>
      <c r="S152" t="s">
        <v>65</v>
      </c>
      <c r="T152" t="s">
        <v>1613</v>
      </c>
      <c r="V152" t="s">
        <v>46</v>
      </c>
      <c r="X152" t="s">
        <v>1614</v>
      </c>
      <c r="Y152" t="s">
        <v>1031</v>
      </c>
      <c r="Z152" t="s">
        <v>69</v>
      </c>
      <c r="AA152" t="s">
        <v>46</v>
      </c>
      <c r="AB152" t="s">
        <v>453</v>
      </c>
      <c r="AC152" t="s">
        <v>1797</v>
      </c>
      <c r="AD152" t="s">
        <v>1498</v>
      </c>
      <c r="AE152" t="s">
        <v>1798</v>
      </c>
      <c r="AI152">
        <v>244.83931597753929</v>
      </c>
      <c r="AJ152">
        <v>2395.620184129848</v>
      </c>
    </row>
    <row r="153" spans="1:36" x14ac:dyDescent="0.25">
      <c r="A153">
        <v>152</v>
      </c>
      <c r="B153" t="s">
        <v>1799</v>
      </c>
      <c r="C153" t="s">
        <v>376</v>
      </c>
      <c r="D153" t="s">
        <v>1481</v>
      </c>
      <c r="E153" t="s">
        <v>37</v>
      </c>
      <c r="G153" s="2">
        <v>45860</v>
      </c>
      <c r="H153">
        <v>0.1008868049499881</v>
      </c>
      <c r="I153" t="s">
        <v>72</v>
      </c>
      <c r="J153" t="s">
        <v>1024</v>
      </c>
      <c r="K153" t="s">
        <v>1025</v>
      </c>
      <c r="L153" t="s">
        <v>1482</v>
      </c>
      <c r="M153" t="s">
        <v>1483</v>
      </c>
      <c r="N153" t="s">
        <v>1612</v>
      </c>
      <c r="O153" t="s">
        <v>62</v>
      </c>
      <c r="P153" t="s">
        <v>63</v>
      </c>
      <c r="Q153">
        <v>0.1008868049499881</v>
      </c>
      <c r="R153" t="s">
        <v>64</v>
      </c>
      <c r="S153" t="s">
        <v>65</v>
      </c>
      <c r="T153" t="s">
        <v>1613</v>
      </c>
      <c r="V153" t="s">
        <v>46</v>
      </c>
      <c r="X153" t="s">
        <v>1614</v>
      </c>
      <c r="Y153" t="s">
        <v>1031</v>
      </c>
      <c r="Z153" t="s">
        <v>69</v>
      </c>
      <c r="AA153" t="s">
        <v>46</v>
      </c>
      <c r="AB153" t="s">
        <v>453</v>
      </c>
      <c r="AC153" t="s">
        <v>1794</v>
      </c>
      <c r="AD153" t="s">
        <v>1498</v>
      </c>
      <c r="AE153" t="s">
        <v>1800</v>
      </c>
      <c r="AI153">
        <v>97.792689550365651</v>
      </c>
      <c r="AJ153">
        <v>408.27604764983278</v>
      </c>
    </row>
    <row r="154" spans="1:36" x14ac:dyDescent="0.25">
      <c r="A154">
        <v>153</v>
      </c>
      <c r="B154" t="s">
        <v>1801</v>
      </c>
      <c r="C154" t="s">
        <v>376</v>
      </c>
      <c r="D154" t="s">
        <v>1481</v>
      </c>
      <c r="E154" t="s">
        <v>37</v>
      </c>
      <c r="G154" s="2">
        <v>45860</v>
      </c>
      <c r="H154">
        <v>9.1854373047690796</v>
      </c>
      <c r="I154" t="s">
        <v>72</v>
      </c>
      <c r="J154" t="s">
        <v>1024</v>
      </c>
      <c r="K154" t="s">
        <v>1025</v>
      </c>
      <c r="L154" t="s">
        <v>1482</v>
      </c>
      <c r="M154" t="s">
        <v>1483</v>
      </c>
      <c r="O154" t="s">
        <v>62</v>
      </c>
      <c r="P154" t="s">
        <v>63</v>
      </c>
      <c r="Q154">
        <v>9.1854373047690796</v>
      </c>
      <c r="R154" t="s">
        <v>64</v>
      </c>
      <c r="S154" t="s">
        <v>65</v>
      </c>
      <c r="T154" t="s">
        <v>673</v>
      </c>
      <c r="V154" t="s">
        <v>73</v>
      </c>
      <c r="X154" t="s">
        <v>673</v>
      </c>
      <c r="Y154" t="s">
        <v>1031</v>
      </c>
      <c r="Z154" t="s">
        <v>49</v>
      </c>
      <c r="AA154" t="s">
        <v>76</v>
      </c>
      <c r="AB154" t="s">
        <v>453</v>
      </c>
      <c r="AC154" t="s">
        <v>57</v>
      </c>
      <c r="AD154" t="s">
        <v>57</v>
      </c>
      <c r="AF154" t="s">
        <v>1802</v>
      </c>
      <c r="AI154">
        <v>1147.349242439785</v>
      </c>
      <c r="AJ154">
        <v>37172.29463838716</v>
      </c>
    </row>
    <row r="155" spans="1:36" x14ac:dyDescent="0.25">
      <c r="A155">
        <v>154</v>
      </c>
      <c r="B155" t="s">
        <v>1803</v>
      </c>
      <c r="C155" t="s">
        <v>376</v>
      </c>
      <c r="D155" t="s">
        <v>1481</v>
      </c>
      <c r="E155" t="s">
        <v>37</v>
      </c>
      <c r="G155" s="2">
        <v>45860</v>
      </c>
      <c r="H155">
        <v>1.273421315342526</v>
      </c>
      <c r="I155" t="s">
        <v>72</v>
      </c>
      <c r="J155" t="s">
        <v>1024</v>
      </c>
      <c r="K155" t="s">
        <v>1025</v>
      </c>
      <c r="L155" t="s">
        <v>1482</v>
      </c>
      <c r="M155" t="s">
        <v>1483</v>
      </c>
      <c r="N155" t="s">
        <v>1612</v>
      </c>
      <c r="O155" t="s">
        <v>62</v>
      </c>
      <c r="P155" t="s">
        <v>63</v>
      </c>
      <c r="Q155">
        <v>1.273421315342526</v>
      </c>
      <c r="R155" t="s">
        <v>64</v>
      </c>
      <c r="S155" t="s">
        <v>65</v>
      </c>
      <c r="T155" t="s">
        <v>1613</v>
      </c>
      <c r="V155" t="s">
        <v>73</v>
      </c>
      <c r="X155" t="s">
        <v>1614</v>
      </c>
      <c r="Y155" t="s">
        <v>1031</v>
      </c>
      <c r="Z155" t="s">
        <v>69</v>
      </c>
      <c r="AA155" t="s">
        <v>46</v>
      </c>
      <c r="AB155" t="s">
        <v>453</v>
      </c>
      <c r="AC155" t="s">
        <v>1804</v>
      </c>
      <c r="AD155" t="s">
        <v>1498</v>
      </c>
      <c r="AE155" t="s">
        <v>1716</v>
      </c>
      <c r="AI155">
        <v>327.7594873255984</v>
      </c>
      <c r="AJ155">
        <v>5153.3738418897128</v>
      </c>
    </row>
    <row r="156" spans="1:36" x14ac:dyDescent="0.25">
      <c r="A156">
        <v>155</v>
      </c>
      <c r="B156" t="s">
        <v>1805</v>
      </c>
      <c r="C156" t="s">
        <v>376</v>
      </c>
      <c r="D156" t="s">
        <v>1481</v>
      </c>
      <c r="E156" t="s">
        <v>37</v>
      </c>
      <c r="G156" s="2">
        <v>45860</v>
      </c>
      <c r="H156">
        <v>6.31482663475465E-2</v>
      </c>
      <c r="I156" t="s">
        <v>72</v>
      </c>
      <c r="J156" t="s">
        <v>1024</v>
      </c>
      <c r="K156" t="s">
        <v>1025</v>
      </c>
      <c r="L156" t="s">
        <v>1482</v>
      </c>
      <c r="M156" t="s">
        <v>1483</v>
      </c>
      <c r="N156" t="s">
        <v>1612</v>
      </c>
      <c r="O156" t="s">
        <v>62</v>
      </c>
      <c r="P156" t="s">
        <v>63</v>
      </c>
      <c r="Q156">
        <v>6.31482663475465E-2</v>
      </c>
      <c r="R156" t="s">
        <v>64</v>
      </c>
      <c r="S156" t="s">
        <v>65</v>
      </c>
      <c r="T156" t="s">
        <v>1613</v>
      </c>
      <c r="V156" t="s">
        <v>46</v>
      </c>
      <c r="X156" t="s">
        <v>1614</v>
      </c>
      <c r="Y156" t="s">
        <v>1031</v>
      </c>
      <c r="Z156" t="s">
        <v>69</v>
      </c>
      <c r="AA156" t="s">
        <v>46</v>
      </c>
      <c r="AB156" t="s">
        <v>453</v>
      </c>
      <c r="AC156" t="s">
        <v>1725</v>
      </c>
      <c r="AD156" t="s">
        <v>1498</v>
      </c>
      <c r="AE156" t="s">
        <v>1726</v>
      </c>
      <c r="AI156">
        <v>67.876990463238698</v>
      </c>
      <c r="AJ156">
        <v>255.55298944292991</v>
      </c>
    </row>
    <row r="157" spans="1:36" x14ac:dyDescent="0.25">
      <c r="A157">
        <v>156</v>
      </c>
      <c r="B157" t="s">
        <v>1806</v>
      </c>
      <c r="C157" t="s">
        <v>376</v>
      </c>
      <c r="D157" t="s">
        <v>1481</v>
      </c>
      <c r="E157" t="s">
        <v>37</v>
      </c>
      <c r="G157" s="2">
        <v>45860</v>
      </c>
      <c r="H157">
        <v>4.3461279168872012E-2</v>
      </c>
      <c r="I157" t="s">
        <v>72</v>
      </c>
      <c r="J157" t="s">
        <v>1024</v>
      </c>
      <c r="K157" t="s">
        <v>1025</v>
      </c>
      <c r="L157" t="s">
        <v>1482</v>
      </c>
      <c r="M157" t="s">
        <v>1483</v>
      </c>
      <c r="O157" t="s">
        <v>62</v>
      </c>
      <c r="P157" t="s">
        <v>63</v>
      </c>
      <c r="Q157">
        <v>4.3461279168872012E-2</v>
      </c>
      <c r="R157" t="s">
        <v>64</v>
      </c>
      <c r="S157" t="s">
        <v>65</v>
      </c>
      <c r="T157" t="s">
        <v>1807</v>
      </c>
      <c r="V157" t="s">
        <v>73</v>
      </c>
      <c r="X157" t="s">
        <v>1126</v>
      </c>
      <c r="Y157" t="s">
        <v>1031</v>
      </c>
      <c r="Z157" t="s">
        <v>49</v>
      </c>
      <c r="AA157" t="s">
        <v>76</v>
      </c>
      <c r="AB157" t="s">
        <v>453</v>
      </c>
      <c r="AC157" t="s">
        <v>57</v>
      </c>
      <c r="AD157" t="s">
        <v>57</v>
      </c>
      <c r="AI157">
        <v>54.001965774668378</v>
      </c>
      <c r="AJ157">
        <v>175.88226025860649</v>
      </c>
    </row>
    <row r="158" spans="1:36" x14ac:dyDescent="0.25">
      <c r="A158">
        <v>157</v>
      </c>
      <c r="B158" t="s">
        <v>1808</v>
      </c>
      <c r="C158" t="s">
        <v>376</v>
      </c>
      <c r="D158" t="s">
        <v>1481</v>
      </c>
      <c r="E158" t="s">
        <v>37</v>
      </c>
      <c r="G158" s="2">
        <v>45860</v>
      </c>
      <c r="H158">
        <v>0.18463598424963881</v>
      </c>
      <c r="I158" t="s">
        <v>72</v>
      </c>
      <c r="J158" t="s">
        <v>1024</v>
      </c>
      <c r="K158" t="s">
        <v>1025</v>
      </c>
      <c r="L158" t="s">
        <v>1482</v>
      </c>
      <c r="M158" t="s">
        <v>1483</v>
      </c>
      <c r="N158" t="s">
        <v>1612</v>
      </c>
      <c r="O158" t="s">
        <v>62</v>
      </c>
      <c r="P158" t="s">
        <v>63</v>
      </c>
      <c r="Q158">
        <v>0.18463598424963881</v>
      </c>
      <c r="R158" t="s">
        <v>64</v>
      </c>
      <c r="S158" t="s">
        <v>65</v>
      </c>
      <c r="T158" t="s">
        <v>1613</v>
      </c>
      <c r="V158" t="s">
        <v>46</v>
      </c>
      <c r="X158" t="s">
        <v>1614</v>
      </c>
      <c r="Y158" t="s">
        <v>1031</v>
      </c>
      <c r="Z158" t="s">
        <v>69</v>
      </c>
      <c r="AA158" t="s">
        <v>46</v>
      </c>
      <c r="AB158" t="s">
        <v>453</v>
      </c>
      <c r="AC158" t="s">
        <v>1797</v>
      </c>
      <c r="AD158" t="s">
        <v>1498</v>
      </c>
      <c r="AE158" t="s">
        <v>1798</v>
      </c>
      <c r="AI158">
        <v>113.0383673168765</v>
      </c>
      <c r="AJ158">
        <v>747.198307457037</v>
      </c>
    </row>
    <row r="159" spans="1:36" x14ac:dyDescent="0.25">
      <c r="A159">
        <v>158</v>
      </c>
      <c r="B159" t="s">
        <v>1809</v>
      </c>
      <c r="C159" t="s">
        <v>376</v>
      </c>
      <c r="D159" t="s">
        <v>1481</v>
      </c>
      <c r="E159" t="s">
        <v>37</v>
      </c>
      <c r="G159" s="2">
        <v>45860</v>
      </c>
      <c r="H159">
        <v>8.9571586768042604</v>
      </c>
      <c r="I159" t="s">
        <v>72</v>
      </c>
      <c r="J159" t="s">
        <v>1024</v>
      </c>
      <c r="K159" t="s">
        <v>1025</v>
      </c>
      <c r="L159" t="s">
        <v>1482</v>
      </c>
      <c r="M159" t="s">
        <v>1483</v>
      </c>
      <c r="N159" t="s">
        <v>1612</v>
      </c>
      <c r="O159" t="s">
        <v>62</v>
      </c>
      <c r="P159" t="s">
        <v>63</v>
      </c>
      <c r="Q159">
        <v>8.9571586768042604</v>
      </c>
      <c r="R159" t="s">
        <v>64</v>
      </c>
      <c r="S159" t="s">
        <v>65</v>
      </c>
      <c r="T159" t="s">
        <v>1613</v>
      </c>
      <c r="V159" t="s">
        <v>46</v>
      </c>
      <c r="X159" t="s">
        <v>1614</v>
      </c>
      <c r="Y159" t="s">
        <v>1031</v>
      </c>
      <c r="Z159" t="s">
        <v>69</v>
      </c>
      <c r="AA159" t="s">
        <v>46</v>
      </c>
      <c r="AB159" t="s">
        <v>453</v>
      </c>
      <c r="AC159" t="s">
        <v>1503</v>
      </c>
      <c r="AD159" t="s">
        <v>1498</v>
      </c>
      <c r="AE159" t="s">
        <v>1663</v>
      </c>
      <c r="AI159">
        <v>842.61746655591821</v>
      </c>
      <c r="AJ159">
        <v>36248.480111456658</v>
      </c>
    </row>
    <row r="160" spans="1:36" x14ac:dyDescent="0.25">
      <c r="A160">
        <v>159</v>
      </c>
      <c r="B160" t="s">
        <v>1810</v>
      </c>
      <c r="C160" t="s">
        <v>376</v>
      </c>
      <c r="D160" t="s">
        <v>1481</v>
      </c>
      <c r="E160" t="s">
        <v>37</v>
      </c>
      <c r="G160" s="2">
        <v>45860</v>
      </c>
      <c r="H160">
        <v>0.1412922425001602</v>
      </c>
      <c r="I160" t="s">
        <v>72</v>
      </c>
      <c r="J160" t="s">
        <v>1024</v>
      </c>
      <c r="K160" t="s">
        <v>1025</v>
      </c>
      <c r="L160" t="s">
        <v>1482</v>
      </c>
      <c r="M160" t="s">
        <v>1483</v>
      </c>
      <c r="N160" t="s">
        <v>1612</v>
      </c>
      <c r="O160" t="s">
        <v>62</v>
      </c>
      <c r="P160" t="s">
        <v>63</v>
      </c>
      <c r="Q160">
        <v>0.1412922425001602</v>
      </c>
      <c r="R160" t="s">
        <v>64</v>
      </c>
      <c r="S160" t="s">
        <v>65</v>
      </c>
      <c r="T160" t="s">
        <v>1613</v>
      </c>
      <c r="V160" t="s">
        <v>73</v>
      </c>
      <c r="X160" t="s">
        <v>1614</v>
      </c>
      <c r="Y160" t="s">
        <v>1031</v>
      </c>
      <c r="Z160" t="s">
        <v>69</v>
      </c>
      <c r="AA160" t="s">
        <v>46</v>
      </c>
      <c r="AB160" t="s">
        <v>453</v>
      </c>
      <c r="AC160" t="s">
        <v>1804</v>
      </c>
      <c r="AD160" t="s">
        <v>1498</v>
      </c>
      <c r="AE160" t="s">
        <v>1716</v>
      </c>
      <c r="AI160">
        <v>104.22021922024339</v>
      </c>
      <c r="AJ160">
        <v>571.79170616160889</v>
      </c>
    </row>
    <row r="161" spans="1:36" hidden="1" x14ac:dyDescent="0.25">
      <c r="A161">
        <v>160</v>
      </c>
      <c r="B161" t="s">
        <v>1811</v>
      </c>
      <c r="C161" t="s">
        <v>376</v>
      </c>
      <c r="D161" t="s">
        <v>1481</v>
      </c>
      <c r="E161" t="s">
        <v>37</v>
      </c>
      <c r="G161" s="2">
        <v>45860</v>
      </c>
      <c r="H161">
        <v>0.42324419563288712</v>
      </c>
      <c r="I161" t="s">
        <v>72</v>
      </c>
      <c r="J161" t="s">
        <v>1024</v>
      </c>
      <c r="K161" t="s">
        <v>1025</v>
      </c>
      <c r="L161" t="s">
        <v>1482</v>
      </c>
      <c r="M161" t="s">
        <v>1483</v>
      </c>
      <c r="N161" t="s">
        <v>1612</v>
      </c>
      <c r="O161" t="s">
        <v>141</v>
      </c>
      <c r="P161" t="s">
        <v>142</v>
      </c>
      <c r="Q161">
        <v>0.42324419563288712</v>
      </c>
      <c r="S161" t="s">
        <v>38</v>
      </c>
      <c r="T161" t="s">
        <v>1812</v>
      </c>
      <c r="V161" t="s">
        <v>46</v>
      </c>
      <c r="X161" t="s">
        <v>1614</v>
      </c>
      <c r="Y161" t="s">
        <v>1031</v>
      </c>
      <c r="Z161" t="s">
        <v>69</v>
      </c>
      <c r="AA161" t="s">
        <v>46</v>
      </c>
      <c r="AB161" t="s">
        <v>453</v>
      </c>
      <c r="AC161" t="s">
        <v>1813</v>
      </c>
      <c r="AD161" t="s">
        <v>1498</v>
      </c>
      <c r="AE161" t="s">
        <v>1814</v>
      </c>
      <c r="AI161">
        <v>158.00859855819621</v>
      </c>
      <c r="AJ161">
        <v>1712.8153425949899</v>
      </c>
    </row>
    <row r="162" spans="1:36" x14ac:dyDescent="0.25">
      <c r="A162">
        <v>161</v>
      </c>
      <c r="B162" t="s">
        <v>1815</v>
      </c>
      <c r="C162" t="s">
        <v>376</v>
      </c>
      <c r="D162" t="s">
        <v>1481</v>
      </c>
      <c r="E162" t="s">
        <v>37</v>
      </c>
      <c r="G162" s="2">
        <v>45860</v>
      </c>
      <c r="H162">
        <v>4.4611193523935357</v>
      </c>
      <c r="I162" t="s">
        <v>72</v>
      </c>
      <c r="J162" t="s">
        <v>1024</v>
      </c>
      <c r="K162" t="s">
        <v>1025</v>
      </c>
      <c r="L162" t="s">
        <v>1482</v>
      </c>
      <c r="M162" t="s">
        <v>1483</v>
      </c>
      <c r="O162" t="s">
        <v>62</v>
      </c>
      <c r="P162" t="s">
        <v>63</v>
      </c>
      <c r="Q162">
        <v>4.4611193523935357</v>
      </c>
      <c r="R162" t="s">
        <v>64</v>
      </c>
      <c r="S162" t="s">
        <v>65</v>
      </c>
      <c r="T162" t="s">
        <v>1120</v>
      </c>
      <c r="V162" t="s">
        <v>73</v>
      </c>
      <c r="X162" t="s">
        <v>673</v>
      </c>
      <c r="Y162" t="s">
        <v>1031</v>
      </c>
      <c r="Z162" t="s">
        <v>69</v>
      </c>
      <c r="AA162" t="s">
        <v>46</v>
      </c>
      <c r="AB162" t="s">
        <v>453</v>
      </c>
      <c r="AC162" t="s">
        <v>1651</v>
      </c>
      <c r="AD162" t="s">
        <v>57</v>
      </c>
      <c r="AF162" t="s">
        <v>1816</v>
      </c>
      <c r="AI162">
        <v>650.79334602145627</v>
      </c>
      <c r="AJ162">
        <v>18053.581716581361</v>
      </c>
    </row>
    <row r="163" spans="1:36" x14ac:dyDescent="0.25">
      <c r="A163">
        <v>162</v>
      </c>
      <c r="B163" t="s">
        <v>1817</v>
      </c>
      <c r="C163" t="s">
        <v>376</v>
      </c>
      <c r="D163" t="s">
        <v>1481</v>
      </c>
      <c r="E163" t="s">
        <v>37</v>
      </c>
      <c r="G163" s="2">
        <v>45860</v>
      </c>
      <c r="H163">
        <v>0.36250418649709448</v>
      </c>
      <c r="I163" t="s">
        <v>72</v>
      </c>
      <c r="J163" t="s">
        <v>1024</v>
      </c>
      <c r="K163" t="s">
        <v>1025</v>
      </c>
      <c r="L163" t="s">
        <v>1482</v>
      </c>
      <c r="M163" t="s">
        <v>1483</v>
      </c>
      <c r="N163" t="s">
        <v>1612</v>
      </c>
      <c r="O163" t="s">
        <v>62</v>
      </c>
      <c r="P163" t="s">
        <v>63</v>
      </c>
      <c r="Q163">
        <v>0.36250418649709448</v>
      </c>
      <c r="R163" t="s">
        <v>64</v>
      </c>
      <c r="S163" t="s">
        <v>65</v>
      </c>
      <c r="T163" t="s">
        <v>1613</v>
      </c>
      <c r="V163" t="s">
        <v>73</v>
      </c>
      <c r="X163" t="s">
        <v>1614</v>
      </c>
      <c r="Y163" t="s">
        <v>1031</v>
      </c>
      <c r="Z163" t="s">
        <v>69</v>
      </c>
      <c r="AA163" t="s">
        <v>46</v>
      </c>
      <c r="AB163" t="s">
        <v>453</v>
      </c>
      <c r="AC163" t="s">
        <v>1818</v>
      </c>
      <c r="AD163" t="s">
        <v>1498</v>
      </c>
      <c r="AE163" t="s">
        <v>1819</v>
      </c>
      <c r="AI163">
        <v>177.05862640175749</v>
      </c>
      <c r="AJ163">
        <v>1467.008263299839</v>
      </c>
    </row>
    <row r="164" spans="1:36" x14ac:dyDescent="0.25">
      <c r="A164">
        <v>163</v>
      </c>
      <c r="B164" t="s">
        <v>1820</v>
      </c>
      <c r="C164" t="s">
        <v>376</v>
      </c>
      <c r="D164" t="s">
        <v>1481</v>
      </c>
      <c r="E164" t="s">
        <v>37</v>
      </c>
      <c r="G164" s="2">
        <v>45860</v>
      </c>
      <c r="H164">
        <v>0.29198512283640249</v>
      </c>
      <c r="I164" t="s">
        <v>72</v>
      </c>
      <c r="J164" t="s">
        <v>1024</v>
      </c>
      <c r="K164" t="s">
        <v>1025</v>
      </c>
      <c r="L164" t="s">
        <v>1482</v>
      </c>
      <c r="M164" t="s">
        <v>1483</v>
      </c>
      <c r="O164" t="s">
        <v>62</v>
      </c>
      <c r="P164" t="s">
        <v>63</v>
      </c>
      <c r="Q164">
        <v>0.29198512283640249</v>
      </c>
      <c r="R164" t="s">
        <v>64</v>
      </c>
      <c r="S164" t="s">
        <v>65</v>
      </c>
      <c r="T164" t="s">
        <v>1821</v>
      </c>
      <c r="V164" t="s">
        <v>73</v>
      </c>
      <c r="X164" t="s">
        <v>1822</v>
      </c>
      <c r="Y164" t="s">
        <v>1031</v>
      </c>
      <c r="Z164" t="s">
        <v>49</v>
      </c>
      <c r="AA164" t="s">
        <v>76</v>
      </c>
      <c r="AB164" t="s">
        <v>453</v>
      </c>
      <c r="AC164" t="s">
        <v>1753</v>
      </c>
      <c r="AD164" t="s">
        <v>1498</v>
      </c>
      <c r="AE164" t="s">
        <v>1754</v>
      </c>
      <c r="AI164">
        <v>208.37748765416961</v>
      </c>
      <c r="AJ164">
        <v>1181.626596097406</v>
      </c>
    </row>
    <row r="165" spans="1:36" x14ac:dyDescent="0.25">
      <c r="A165">
        <v>164</v>
      </c>
      <c r="B165" t="s">
        <v>1823</v>
      </c>
      <c r="C165" t="s">
        <v>376</v>
      </c>
      <c r="D165" t="s">
        <v>1481</v>
      </c>
      <c r="E165" t="s">
        <v>37</v>
      </c>
      <c r="G165" s="2">
        <v>45860</v>
      </c>
      <c r="H165">
        <v>7.0989953397695036</v>
      </c>
      <c r="I165" t="s">
        <v>72</v>
      </c>
      <c r="J165" t="s">
        <v>1024</v>
      </c>
      <c r="K165" t="s">
        <v>1025</v>
      </c>
      <c r="L165" t="s">
        <v>1482</v>
      </c>
      <c r="M165" t="s">
        <v>1483</v>
      </c>
      <c r="N165" t="s">
        <v>1612</v>
      </c>
      <c r="O165" t="s">
        <v>62</v>
      </c>
      <c r="P165" t="s">
        <v>63</v>
      </c>
      <c r="Q165">
        <v>7.0989953397695036</v>
      </c>
      <c r="R165" t="s">
        <v>64</v>
      </c>
      <c r="S165" t="s">
        <v>65</v>
      </c>
      <c r="T165" t="s">
        <v>1613</v>
      </c>
      <c r="V165" t="s">
        <v>73</v>
      </c>
      <c r="X165" t="s">
        <v>1614</v>
      </c>
      <c r="Y165" t="s">
        <v>1031</v>
      </c>
      <c r="Z165" t="s">
        <v>49</v>
      </c>
      <c r="AA165" t="s">
        <v>76</v>
      </c>
      <c r="AB165" t="s">
        <v>453</v>
      </c>
      <c r="AC165" t="s">
        <v>1824</v>
      </c>
      <c r="AD165" t="s">
        <v>1498</v>
      </c>
      <c r="AE165" t="s">
        <v>1825</v>
      </c>
      <c r="AI165">
        <v>671.63825957754307</v>
      </c>
      <c r="AJ165">
        <v>28728.729798138171</v>
      </c>
    </row>
    <row r="166" spans="1:36" x14ac:dyDescent="0.25">
      <c r="A166">
        <v>165</v>
      </c>
      <c r="B166" t="s">
        <v>1826</v>
      </c>
      <c r="C166" t="s">
        <v>376</v>
      </c>
      <c r="D166" t="s">
        <v>1481</v>
      </c>
      <c r="E166" t="s">
        <v>37</v>
      </c>
      <c r="G166" s="2">
        <v>45860</v>
      </c>
      <c r="H166">
        <v>3.640585511600853</v>
      </c>
      <c r="I166" t="s">
        <v>72</v>
      </c>
      <c r="J166" t="s">
        <v>1024</v>
      </c>
      <c r="K166" t="s">
        <v>1025</v>
      </c>
      <c r="L166" t="s">
        <v>1482</v>
      </c>
      <c r="M166" t="s">
        <v>1483</v>
      </c>
      <c r="N166" t="s">
        <v>1612</v>
      </c>
      <c r="O166" t="s">
        <v>62</v>
      </c>
      <c r="P166" t="s">
        <v>63</v>
      </c>
      <c r="Q166">
        <v>3.640585511600853</v>
      </c>
      <c r="R166" t="s">
        <v>64</v>
      </c>
      <c r="S166" t="s">
        <v>65</v>
      </c>
      <c r="T166" t="s">
        <v>1613</v>
      </c>
      <c r="V166" t="s">
        <v>73</v>
      </c>
      <c r="X166" t="s">
        <v>1614</v>
      </c>
      <c r="Y166" t="s">
        <v>1031</v>
      </c>
      <c r="Z166" t="s">
        <v>69</v>
      </c>
      <c r="AA166" t="s">
        <v>76</v>
      </c>
      <c r="AB166" t="s">
        <v>453</v>
      </c>
      <c r="AC166" t="s">
        <v>1818</v>
      </c>
      <c r="AD166" t="s">
        <v>1498</v>
      </c>
      <c r="AE166" t="s">
        <v>1819</v>
      </c>
      <c r="AI166">
        <v>485.64795718894152</v>
      </c>
      <c r="AJ166">
        <v>14732.98579080253</v>
      </c>
    </row>
    <row r="167" spans="1:36" hidden="1" x14ac:dyDescent="0.25">
      <c r="A167">
        <v>166</v>
      </c>
      <c r="B167" t="s">
        <v>1827</v>
      </c>
      <c r="C167" t="s">
        <v>376</v>
      </c>
      <c r="D167" t="s">
        <v>1481</v>
      </c>
      <c r="E167" t="s">
        <v>37</v>
      </c>
      <c r="G167" s="2">
        <v>45860</v>
      </c>
      <c r="H167">
        <v>2.9372962326846941</v>
      </c>
      <c r="I167" t="s">
        <v>72</v>
      </c>
      <c r="J167" t="s">
        <v>1024</v>
      </c>
      <c r="K167" t="s">
        <v>1025</v>
      </c>
      <c r="L167" t="s">
        <v>1482</v>
      </c>
      <c r="M167" t="s">
        <v>1483</v>
      </c>
      <c r="O167" t="s">
        <v>402</v>
      </c>
      <c r="P167" t="s">
        <v>403</v>
      </c>
      <c r="Q167">
        <v>2.9372962326846941</v>
      </c>
      <c r="S167" t="s">
        <v>38</v>
      </c>
      <c r="T167" t="s">
        <v>1484</v>
      </c>
      <c r="V167" t="s">
        <v>75</v>
      </c>
      <c r="X167" t="s">
        <v>673</v>
      </c>
      <c r="Y167" t="s">
        <v>1031</v>
      </c>
      <c r="Z167" t="s">
        <v>49</v>
      </c>
      <c r="AA167" t="s">
        <v>75</v>
      </c>
      <c r="AB167" t="s">
        <v>453</v>
      </c>
      <c r="AC167" t="s">
        <v>1637</v>
      </c>
      <c r="AD167" t="s">
        <v>57</v>
      </c>
      <c r="AE167" t="s">
        <v>1638</v>
      </c>
      <c r="AI167">
        <v>540.13364608242819</v>
      </c>
      <c r="AJ167">
        <v>11886.86367113851</v>
      </c>
    </row>
    <row r="168" spans="1:36" x14ac:dyDescent="0.25">
      <c r="A168">
        <v>167</v>
      </c>
      <c r="B168" t="s">
        <v>1828</v>
      </c>
      <c r="C168" t="s">
        <v>376</v>
      </c>
      <c r="D168" t="s">
        <v>1481</v>
      </c>
      <c r="E168" t="s">
        <v>37</v>
      </c>
      <c r="G168" s="2">
        <v>45860</v>
      </c>
      <c r="H168">
        <v>0.83983947058352748</v>
      </c>
      <c r="I168" t="s">
        <v>72</v>
      </c>
      <c r="J168" t="s">
        <v>1024</v>
      </c>
      <c r="K168" t="s">
        <v>1025</v>
      </c>
      <c r="L168" t="s">
        <v>1482</v>
      </c>
      <c r="M168" t="s">
        <v>1483</v>
      </c>
      <c r="N168" t="s">
        <v>1612</v>
      </c>
      <c r="O168" t="s">
        <v>62</v>
      </c>
      <c r="P168" t="s">
        <v>63</v>
      </c>
      <c r="Q168">
        <v>0.83983947058352748</v>
      </c>
      <c r="R168" t="s">
        <v>64</v>
      </c>
      <c r="S168" t="s">
        <v>65</v>
      </c>
      <c r="T168" t="s">
        <v>1655</v>
      </c>
      <c r="V168" t="s">
        <v>73</v>
      </c>
      <c r="X168" t="s">
        <v>1614</v>
      </c>
      <c r="Y168" t="s">
        <v>1031</v>
      </c>
      <c r="Z168" t="s">
        <v>69</v>
      </c>
      <c r="AA168" t="s">
        <v>46</v>
      </c>
      <c r="AB168" t="s">
        <v>453</v>
      </c>
      <c r="AC168" t="s">
        <v>1818</v>
      </c>
      <c r="AD168" t="s">
        <v>1498</v>
      </c>
      <c r="AE168" t="s">
        <v>1819</v>
      </c>
      <c r="AI168">
        <v>258.09417599887809</v>
      </c>
      <c r="AJ168">
        <v>3398.7233501957699</v>
      </c>
    </row>
    <row r="169" spans="1:36" hidden="1" x14ac:dyDescent="0.25">
      <c r="A169">
        <v>168</v>
      </c>
      <c r="B169" t="s">
        <v>1829</v>
      </c>
      <c r="C169" t="s">
        <v>376</v>
      </c>
      <c r="D169" t="s">
        <v>1481</v>
      </c>
      <c r="E169" t="s">
        <v>37</v>
      </c>
      <c r="G169" s="2">
        <v>45860</v>
      </c>
      <c r="H169">
        <v>6.2801329918649698</v>
      </c>
      <c r="I169" t="s">
        <v>72</v>
      </c>
      <c r="J169" t="s">
        <v>1024</v>
      </c>
      <c r="K169" t="s">
        <v>1025</v>
      </c>
      <c r="L169" t="s">
        <v>1482</v>
      </c>
      <c r="M169" t="s">
        <v>1483</v>
      </c>
      <c r="O169" t="s">
        <v>402</v>
      </c>
      <c r="P169" t="s">
        <v>403</v>
      </c>
      <c r="Q169">
        <v>6.2801329918649698</v>
      </c>
      <c r="R169" t="s">
        <v>159</v>
      </c>
      <c r="S169" t="s">
        <v>38</v>
      </c>
      <c r="T169" t="s">
        <v>673</v>
      </c>
      <c r="V169" t="s">
        <v>75</v>
      </c>
      <c r="X169" t="s">
        <v>673</v>
      </c>
      <c r="Y169" t="s">
        <v>1031</v>
      </c>
      <c r="Z169" t="s">
        <v>49</v>
      </c>
      <c r="AA169" t="s">
        <v>64</v>
      </c>
      <c r="AB169" t="s">
        <v>453</v>
      </c>
      <c r="AC169" t="s">
        <v>1715</v>
      </c>
      <c r="AD169" t="s">
        <v>57</v>
      </c>
      <c r="AE169" t="s">
        <v>1716</v>
      </c>
      <c r="AI169">
        <v>965.25566562992026</v>
      </c>
      <c r="AJ169">
        <v>25414.898191145989</v>
      </c>
    </row>
    <row r="170" spans="1:36" x14ac:dyDescent="0.25">
      <c r="A170">
        <v>169</v>
      </c>
      <c r="B170" t="s">
        <v>1830</v>
      </c>
      <c r="C170" t="s">
        <v>376</v>
      </c>
      <c r="D170" t="s">
        <v>1481</v>
      </c>
      <c r="E170" t="s">
        <v>37</v>
      </c>
      <c r="G170" s="2">
        <v>45860</v>
      </c>
      <c r="H170">
        <v>8.1228021433300466</v>
      </c>
      <c r="I170" t="s">
        <v>72</v>
      </c>
      <c r="J170" t="s">
        <v>1024</v>
      </c>
      <c r="K170" t="s">
        <v>1025</v>
      </c>
      <c r="L170" t="s">
        <v>1482</v>
      </c>
      <c r="M170" t="s">
        <v>1483</v>
      </c>
      <c r="N170" t="s">
        <v>1612</v>
      </c>
      <c r="O170" t="s">
        <v>62</v>
      </c>
      <c r="P170" t="s">
        <v>63</v>
      </c>
      <c r="Q170">
        <v>8.1228021433300466</v>
      </c>
      <c r="R170" t="s">
        <v>64</v>
      </c>
      <c r="S170" t="s">
        <v>65</v>
      </c>
      <c r="T170" t="s">
        <v>1655</v>
      </c>
      <c r="V170" t="s">
        <v>46</v>
      </c>
      <c r="X170" t="s">
        <v>1614</v>
      </c>
      <c r="Y170" t="s">
        <v>1031</v>
      </c>
      <c r="Z170" t="s">
        <v>69</v>
      </c>
      <c r="AA170" t="s">
        <v>46</v>
      </c>
      <c r="AB170" t="s">
        <v>453</v>
      </c>
      <c r="AC170" t="s">
        <v>1813</v>
      </c>
      <c r="AD170" t="s">
        <v>1498</v>
      </c>
      <c r="AE170" t="s">
        <v>1814</v>
      </c>
      <c r="AI170">
        <v>761.35013573074536</v>
      </c>
      <c r="AJ170">
        <v>32871.945509270226</v>
      </c>
    </row>
    <row r="171" spans="1:36" x14ac:dyDescent="0.25">
      <c r="A171">
        <v>170</v>
      </c>
      <c r="B171" t="s">
        <v>1831</v>
      </c>
      <c r="C171" t="s">
        <v>376</v>
      </c>
      <c r="D171" t="s">
        <v>1481</v>
      </c>
      <c r="E171" t="s">
        <v>37</v>
      </c>
      <c r="G171" s="2">
        <v>45860</v>
      </c>
      <c r="H171">
        <v>14.308278423270099</v>
      </c>
      <c r="I171" t="s">
        <v>72</v>
      </c>
      <c r="J171" t="s">
        <v>1024</v>
      </c>
      <c r="K171" t="s">
        <v>1025</v>
      </c>
      <c r="L171" t="s">
        <v>1482</v>
      </c>
      <c r="M171" t="s">
        <v>1483</v>
      </c>
      <c r="N171" t="s">
        <v>1612</v>
      </c>
      <c r="O171" t="s">
        <v>62</v>
      </c>
      <c r="P171" t="s">
        <v>63</v>
      </c>
      <c r="Q171">
        <v>14.308278423270099</v>
      </c>
      <c r="R171" t="s">
        <v>64</v>
      </c>
      <c r="S171" t="s">
        <v>65</v>
      </c>
      <c r="T171" t="s">
        <v>1655</v>
      </c>
      <c r="V171" t="s">
        <v>46</v>
      </c>
      <c r="X171" t="s">
        <v>1614</v>
      </c>
      <c r="Y171" t="s">
        <v>1031</v>
      </c>
      <c r="Z171" t="s">
        <v>69</v>
      </c>
      <c r="AA171" t="s">
        <v>46</v>
      </c>
      <c r="AB171" t="s">
        <v>453</v>
      </c>
      <c r="AC171" t="s">
        <v>1797</v>
      </c>
      <c r="AD171" t="s">
        <v>1498</v>
      </c>
      <c r="AE171" t="s">
        <v>1798</v>
      </c>
      <c r="AI171">
        <v>1016.489357572965</v>
      </c>
      <c r="AJ171">
        <v>57903.780045586507</v>
      </c>
    </row>
    <row r="172" spans="1:36" hidden="1" x14ac:dyDescent="0.25">
      <c r="A172">
        <v>171</v>
      </c>
      <c r="B172" t="s">
        <v>1832</v>
      </c>
      <c r="C172" t="s">
        <v>376</v>
      </c>
      <c r="D172" t="s">
        <v>1481</v>
      </c>
      <c r="E172" t="s">
        <v>37</v>
      </c>
      <c r="G172" s="2">
        <v>45860</v>
      </c>
      <c r="H172">
        <v>13.53234855763743</v>
      </c>
      <c r="I172" t="s">
        <v>72</v>
      </c>
      <c r="J172" t="s">
        <v>1024</v>
      </c>
      <c r="K172" t="s">
        <v>1025</v>
      </c>
      <c r="L172" t="s">
        <v>1482</v>
      </c>
      <c r="M172" t="s">
        <v>1483</v>
      </c>
      <c r="O172" t="s">
        <v>402</v>
      </c>
      <c r="P172" t="s">
        <v>403</v>
      </c>
      <c r="Q172">
        <v>13.53234855763743</v>
      </c>
      <c r="S172" t="s">
        <v>38</v>
      </c>
      <c r="T172" t="s">
        <v>1484</v>
      </c>
      <c r="V172" t="s">
        <v>73</v>
      </c>
      <c r="X172" t="s">
        <v>673</v>
      </c>
      <c r="Y172" t="s">
        <v>1031</v>
      </c>
      <c r="Z172" t="s">
        <v>49</v>
      </c>
      <c r="AA172" t="s">
        <v>76</v>
      </c>
      <c r="AB172" t="s">
        <v>453</v>
      </c>
      <c r="AC172" t="s">
        <v>1774</v>
      </c>
      <c r="AD172" t="s">
        <v>57</v>
      </c>
      <c r="AI172">
        <v>999.70440961771635</v>
      </c>
      <c r="AJ172">
        <v>54763.690725174267</v>
      </c>
    </row>
    <row r="173" spans="1:36" x14ac:dyDescent="0.25">
      <c r="A173">
        <v>172</v>
      </c>
      <c r="B173" t="s">
        <v>1833</v>
      </c>
      <c r="C173" t="s">
        <v>376</v>
      </c>
      <c r="D173" t="s">
        <v>1481</v>
      </c>
      <c r="E173" t="s">
        <v>37</v>
      </c>
      <c r="G173" s="2">
        <v>45860</v>
      </c>
      <c r="H173">
        <v>0.48024827988336027</v>
      </c>
      <c r="I173" t="s">
        <v>72</v>
      </c>
      <c r="J173" t="s">
        <v>1024</v>
      </c>
      <c r="K173" t="s">
        <v>1025</v>
      </c>
      <c r="L173" t="s">
        <v>1482</v>
      </c>
      <c r="M173" t="s">
        <v>1483</v>
      </c>
      <c r="N173" t="s">
        <v>1612</v>
      </c>
      <c r="O173" t="s">
        <v>62</v>
      </c>
      <c r="P173" t="s">
        <v>63</v>
      </c>
      <c r="Q173">
        <v>0.48024827988336027</v>
      </c>
      <c r="R173" t="s">
        <v>64</v>
      </c>
      <c r="S173" t="s">
        <v>65</v>
      </c>
      <c r="T173" t="s">
        <v>1655</v>
      </c>
      <c r="V173" t="s">
        <v>73</v>
      </c>
      <c r="X173" t="s">
        <v>673</v>
      </c>
      <c r="Y173" t="s">
        <v>1031</v>
      </c>
      <c r="Z173" t="s">
        <v>49</v>
      </c>
      <c r="AA173" t="s">
        <v>76</v>
      </c>
      <c r="AB173" t="s">
        <v>453</v>
      </c>
      <c r="AC173" t="s">
        <v>57</v>
      </c>
      <c r="AD173" t="s">
        <v>57</v>
      </c>
      <c r="AI173">
        <v>219.4974406699836</v>
      </c>
      <c r="AJ173">
        <v>1943.503609799194</v>
      </c>
    </row>
    <row r="174" spans="1:36" x14ac:dyDescent="0.25">
      <c r="A174">
        <v>173</v>
      </c>
      <c r="B174" t="s">
        <v>1834</v>
      </c>
      <c r="C174" t="s">
        <v>376</v>
      </c>
      <c r="D174" t="s">
        <v>1481</v>
      </c>
      <c r="E174" t="s">
        <v>37</v>
      </c>
      <c r="G174" s="2">
        <v>45860</v>
      </c>
      <c r="H174">
        <v>4.2129955040606983</v>
      </c>
      <c r="I174" t="s">
        <v>72</v>
      </c>
      <c r="J174" t="s">
        <v>1024</v>
      </c>
      <c r="K174" t="s">
        <v>1025</v>
      </c>
      <c r="L174" t="s">
        <v>1482</v>
      </c>
      <c r="M174" t="s">
        <v>1483</v>
      </c>
      <c r="N174" t="s">
        <v>1612</v>
      </c>
      <c r="O174" t="s">
        <v>62</v>
      </c>
      <c r="P174" t="s">
        <v>63</v>
      </c>
      <c r="Q174">
        <v>4.2129955040606983</v>
      </c>
      <c r="R174" t="s">
        <v>64</v>
      </c>
      <c r="S174" t="s">
        <v>65</v>
      </c>
      <c r="T174" t="s">
        <v>1655</v>
      </c>
      <c r="V174" t="s">
        <v>46</v>
      </c>
      <c r="X174" t="s">
        <v>1614</v>
      </c>
      <c r="Y174" t="s">
        <v>1031</v>
      </c>
      <c r="Z174" t="s">
        <v>69</v>
      </c>
      <c r="AA174" t="s">
        <v>46</v>
      </c>
      <c r="AB174" t="s">
        <v>453</v>
      </c>
      <c r="AC174" t="s">
        <v>1797</v>
      </c>
      <c r="AD174" t="s">
        <v>1498</v>
      </c>
      <c r="AE174" t="s">
        <v>1798</v>
      </c>
      <c r="AI174">
        <v>563.26410475383591</v>
      </c>
      <c r="AJ174">
        <v>17049.456110906609</v>
      </c>
    </row>
    <row r="175" spans="1:36" hidden="1" x14ac:dyDescent="0.25">
      <c r="A175">
        <v>174</v>
      </c>
      <c r="B175" t="s">
        <v>1835</v>
      </c>
      <c r="C175" t="s">
        <v>376</v>
      </c>
      <c r="D175" t="s">
        <v>1481</v>
      </c>
      <c r="E175" t="s">
        <v>37</v>
      </c>
      <c r="G175" s="2">
        <v>45860</v>
      </c>
      <c r="H175">
        <v>35.950931922955341</v>
      </c>
      <c r="I175" t="s">
        <v>72</v>
      </c>
      <c r="J175" t="s">
        <v>1024</v>
      </c>
      <c r="K175" t="s">
        <v>1025</v>
      </c>
      <c r="L175" t="s">
        <v>1482</v>
      </c>
      <c r="M175" t="s">
        <v>1483</v>
      </c>
      <c r="O175" t="s">
        <v>402</v>
      </c>
      <c r="P175" t="s">
        <v>403</v>
      </c>
      <c r="Q175">
        <v>35.950931922955341</v>
      </c>
      <c r="S175" t="s">
        <v>38</v>
      </c>
      <c r="T175" t="s">
        <v>1484</v>
      </c>
      <c r="V175" t="s">
        <v>73</v>
      </c>
      <c r="X175" t="s">
        <v>673</v>
      </c>
      <c r="Y175" t="s">
        <v>1031</v>
      </c>
      <c r="Z175" t="s">
        <v>49</v>
      </c>
      <c r="AA175" t="s">
        <v>76</v>
      </c>
      <c r="AB175" t="s">
        <v>453</v>
      </c>
      <c r="AC175" t="s">
        <v>1503</v>
      </c>
      <c r="AD175" t="s">
        <v>57</v>
      </c>
      <c r="AE175" t="s">
        <v>1663</v>
      </c>
      <c r="AI175">
        <v>1761.439413538445</v>
      </c>
      <c r="AJ175">
        <v>145488.84169846179</v>
      </c>
    </row>
    <row r="176" spans="1:36" x14ac:dyDescent="0.25">
      <c r="A176">
        <v>175</v>
      </c>
      <c r="B176" t="s">
        <v>1836</v>
      </c>
      <c r="C176" t="s">
        <v>376</v>
      </c>
      <c r="D176" t="s">
        <v>1481</v>
      </c>
      <c r="E176" t="s">
        <v>37</v>
      </c>
      <c r="G176" s="2">
        <v>45860</v>
      </c>
      <c r="H176">
        <v>27.781587654249972</v>
      </c>
      <c r="I176" t="s">
        <v>72</v>
      </c>
      <c r="J176" t="s">
        <v>1024</v>
      </c>
      <c r="K176" t="s">
        <v>1025</v>
      </c>
      <c r="L176" t="s">
        <v>1482</v>
      </c>
      <c r="M176" t="s">
        <v>1483</v>
      </c>
      <c r="O176" t="s">
        <v>62</v>
      </c>
      <c r="P176" t="s">
        <v>63</v>
      </c>
      <c r="Q176">
        <v>27.781587654249972</v>
      </c>
      <c r="R176" t="s">
        <v>64</v>
      </c>
      <c r="S176" t="s">
        <v>65</v>
      </c>
      <c r="T176" t="s">
        <v>1837</v>
      </c>
      <c r="V176" t="s">
        <v>73</v>
      </c>
      <c r="X176" t="s">
        <v>1614</v>
      </c>
      <c r="Y176" t="s">
        <v>1031</v>
      </c>
      <c r="Z176" t="s">
        <v>49</v>
      </c>
      <c r="AA176" t="s">
        <v>76</v>
      </c>
      <c r="AB176" t="s">
        <v>453</v>
      </c>
      <c r="AC176" t="s">
        <v>1838</v>
      </c>
      <c r="AD176" t="s">
        <v>1498</v>
      </c>
      <c r="AE176" t="s">
        <v>1839</v>
      </c>
      <c r="AI176">
        <v>1486.114935007276</v>
      </c>
      <c r="AJ176">
        <v>112428.5461368049</v>
      </c>
    </row>
    <row r="177" spans="1:36" hidden="1" x14ac:dyDescent="0.25">
      <c r="A177">
        <v>176</v>
      </c>
      <c r="B177" t="s">
        <v>1840</v>
      </c>
      <c r="C177" t="s">
        <v>376</v>
      </c>
      <c r="D177" t="s">
        <v>1481</v>
      </c>
      <c r="E177" t="s">
        <v>37</v>
      </c>
      <c r="G177" s="2">
        <v>45860</v>
      </c>
      <c r="H177">
        <v>6.2830153029708633</v>
      </c>
      <c r="I177" t="s">
        <v>72</v>
      </c>
      <c r="J177" t="s">
        <v>1024</v>
      </c>
      <c r="K177" t="s">
        <v>1025</v>
      </c>
      <c r="L177" t="s">
        <v>1482</v>
      </c>
      <c r="M177" t="s">
        <v>1483</v>
      </c>
      <c r="O177" t="s">
        <v>402</v>
      </c>
      <c r="P177" t="s">
        <v>403</v>
      </c>
      <c r="Q177">
        <v>6.2830153029708633</v>
      </c>
      <c r="T177" t="s">
        <v>673</v>
      </c>
      <c r="V177" t="s">
        <v>46</v>
      </c>
      <c r="X177" t="s">
        <v>673</v>
      </c>
      <c r="Y177" t="s">
        <v>1031</v>
      </c>
      <c r="Z177" t="s">
        <v>69</v>
      </c>
      <c r="AA177" t="s">
        <v>60</v>
      </c>
      <c r="AB177" t="s">
        <v>453</v>
      </c>
      <c r="AC177" t="s">
        <v>1797</v>
      </c>
      <c r="AD177" t="s">
        <v>57</v>
      </c>
      <c r="AF177" t="s">
        <v>1841</v>
      </c>
      <c r="AI177">
        <v>886.3698254299627</v>
      </c>
      <c r="AJ177">
        <v>25426.56253701356</v>
      </c>
    </row>
    <row r="178" spans="1:36" hidden="1" x14ac:dyDescent="0.25">
      <c r="A178">
        <v>177</v>
      </c>
      <c r="B178" t="s">
        <v>1842</v>
      </c>
      <c r="C178" t="s">
        <v>376</v>
      </c>
      <c r="D178" t="s">
        <v>1481</v>
      </c>
      <c r="E178" t="s">
        <v>37</v>
      </c>
      <c r="G178" s="2">
        <v>45860</v>
      </c>
      <c r="H178">
        <v>8.346073241144893</v>
      </c>
      <c r="I178" t="s">
        <v>72</v>
      </c>
      <c r="J178" t="s">
        <v>1024</v>
      </c>
      <c r="K178" t="s">
        <v>1025</v>
      </c>
      <c r="L178" t="s">
        <v>1482</v>
      </c>
      <c r="M178" t="s">
        <v>1483</v>
      </c>
      <c r="O178" t="s">
        <v>402</v>
      </c>
      <c r="P178" t="s">
        <v>403</v>
      </c>
      <c r="Q178">
        <v>8.346073241144893</v>
      </c>
      <c r="S178" t="s">
        <v>38</v>
      </c>
      <c r="T178" t="s">
        <v>1484</v>
      </c>
      <c r="V178" t="s">
        <v>75</v>
      </c>
      <c r="X178" t="s">
        <v>673</v>
      </c>
      <c r="Y178" t="s">
        <v>1031</v>
      </c>
      <c r="Z178" t="s">
        <v>49</v>
      </c>
      <c r="AA178" t="s">
        <v>64</v>
      </c>
      <c r="AB178" t="s">
        <v>453</v>
      </c>
      <c r="AC178" t="s">
        <v>1715</v>
      </c>
      <c r="AD178" t="s">
        <v>57</v>
      </c>
      <c r="AE178" t="s">
        <v>1716</v>
      </c>
      <c r="AF178" t="s">
        <v>1843</v>
      </c>
      <c r="AI178">
        <v>1026.0949695416771</v>
      </c>
      <c r="AJ178">
        <v>33775.495199593694</v>
      </c>
    </row>
    <row r="179" spans="1:36" hidden="1" x14ac:dyDescent="0.25">
      <c r="A179">
        <v>178</v>
      </c>
      <c r="B179" t="s">
        <v>1844</v>
      </c>
      <c r="C179" t="s">
        <v>376</v>
      </c>
      <c r="D179" t="s">
        <v>1481</v>
      </c>
      <c r="E179" t="s">
        <v>37</v>
      </c>
      <c r="G179" s="2">
        <v>45860</v>
      </c>
      <c r="H179">
        <v>13.14607992431413</v>
      </c>
      <c r="I179" t="s">
        <v>72</v>
      </c>
      <c r="J179" t="s">
        <v>1024</v>
      </c>
      <c r="K179" t="s">
        <v>1025</v>
      </c>
      <c r="L179" t="s">
        <v>1482</v>
      </c>
      <c r="M179" t="s">
        <v>1483</v>
      </c>
      <c r="O179" t="s">
        <v>402</v>
      </c>
      <c r="P179" t="s">
        <v>403</v>
      </c>
      <c r="Q179">
        <v>13.14607992431413</v>
      </c>
      <c r="S179" t="s">
        <v>38</v>
      </c>
      <c r="T179" t="s">
        <v>673</v>
      </c>
      <c r="V179" t="s">
        <v>73</v>
      </c>
      <c r="X179" t="s">
        <v>673</v>
      </c>
      <c r="Y179" t="s">
        <v>1031</v>
      </c>
      <c r="Z179" t="s">
        <v>49</v>
      </c>
      <c r="AA179" t="s">
        <v>76</v>
      </c>
      <c r="AB179" t="s">
        <v>453</v>
      </c>
      <c r="AC179" t="s">
        <v>1845</v>
      </c>
      <c r="AD179" t="s">
        <v>57</v>
      </c>
      <c r="AE179" t="s">
        <v>1846</v>
      </c>
      <c r="AF179" t="s">
        <v>1586</v>
      </c>
      <c r="AI179">
        <v>971.64746292889629</v>
      </c>
      <c r="AJ179">
        <v>53200.510772924652</v>
      </c>
    </row>
    <row r="180" spans="1:36" hidden="1" x14ac:dyDescent="0.25">
      <c r="A180">
        <v>179</v>
      </c>
      <c r="B180" t="s">
        <v>1847</v>
      </c>
      <c r="C180" t="s">
        <v>376</v>
      </c>
      <c r="D180" t="s">
        <v>1481</v>
      </c>
      <c r="E180" t="s">
        <v>37</v>
      </c>
      <c r="G180" s="2">
        <v>45860</v>
      </c>
      <c r="H180">
        <v>0.15018270140084919</v>
      </c>
      <c r="I180" t="s">
        <v>72</v>
      </c>
      <c r="J180" t="s">
        <v>1024</v>
      </c>
      <c r="K180" t="s">
        <v>1025</v>
      </c>
      <c r="L180" t="s">
        <v>1482</v>
      </c>
      <c r="M180" t="s">
        <v>1483</v>
      </c>
      <c r="O180" t="s">
        <v>402</v>
      </c>
      <c r="P180" t="s">
        <v>403</v>
      </c>
      <c r="Q180">
        <v>0.15018270140084919</v>
      </c>
      <c r="S180" t="s">
        <v>38</v>
      </c>
      <c r="T180" t="s">
        <v>673</v>
      </c>
      <c r="V180" t="s">
        <v>73</v>
      </c>
      <c r="X180" t="s">
        <v>673</v>
      </c>
      <c r="Y180" t="s">
        <v>1031</v>
      </c>
      <c r="Z180" t="s">
        <v>69</v>
      </c>
      <c r="AA180" t="s">
        <v>46</v>
      </c>
      <c r="AB180" t="s">
        <v>453</v>
      </c>
      <c r="AC180" t="s">
        <v>1848</v>
      </c>
      <c r="AD180" t="s">
        <v>57</v>
      </c>
      <c r="AE180" t="s">
        <v>1849</v>
      </c>
      <c r="AF180" t="s">
        <v>1079</v>
      </c>
      <c r="AI180">
        <v>94.920935750644759</v>
      </c>
      <c r="AJ180">
        <v>607.77026077602022</v>
      </c>
    </row>
    <row r="181" spans="1:36" hidden="1" x14ac:dyDescent="0.25">
      <c r="A181">
        <v>180</v>
      </c>
      <c r="B181" t="s">
        <v>1850</v>
      </c>
      <c r="C181" t="s">
        <v>376</v>
      </c>
      <c r="D181" t="s">
        <v>1481</v>
      </c>
      <c r="E181" t="s">
        <v>37</v>
      </c>
      <c r="G181" s="2">
        <v>45860</v>
      </c>
      <c r="H181">
        <v>8.9171710164159279</v>
      </c>
      <c r="I181" t="s">
        <v>72</v>
      </c>
      <c r="J181" t="s">
        <v>1024</v>
      </c>
      <c r="K181" t="s">
        <v>1025</v>
      </c>
      <c r="L181" t="s">
        <v>1482</v>
      </c>
      <c r="M181" t="s">
        <v>1483</v>
      </c>
      <c r="O181" t="s">
        <v>402</v>
      </c>
      <c r="P181" t="s">
        <v>403</v>
      </c>
      <c r="Q181">
        <v>8.9171710164159279</v>
      </c>
      <c r="S181" t="s">
        <v>38</v>
      </c>
      <c r="T181" t="s">
        <v>673</v>
      </c>
      <c r="V181" t="s">
        <v>75</v>
      </c>
      <c r="X181" t="s">
        <v>673</v>
      </c>
      <c r="Y181" t="s">
        <v>1031</v>
      </c>
      <c r="Z181" t="s">
        <v>49</v>
      </c>
      <c r="AA181" t="s">
        <v>64</v>
      </c>
      <c r="AB181" t="s">
        <v>453</v>
      </c>
      <c r="AC181" t="s">
        <v>1722</v>
      </c>
      <c r="AD181" t="s">
        <v>57</v>
      </c>
      <c r="AE181" t="s">
        <v>1716</v>
      </c>
      <c r="AF181" t="s">
        <v>1851</v>
      </c>
      <c r="AI181">
        <v>1038.1368576434279</v>
      </c>
      <c r="AJ181">
        <v>36086.655143898162</v>
      </c>
    </row>
    <row r="182" spans="1:36" x14ac:dyDescent="0.25">
      <c r="A182">
        <v>181</v>
      </c>
      <c r="B182" t="s">
        <v>1852</v>
      </c>
      <c r="C182" t="s">
        <v>376</v>
      </c>
      <c r="D182" t="s">
        <v>1481</v>
      </c>
      <c r="E182" t="s">
        <v>37</v>
      </c>
      <c r="G182" s="2">
        <v>45860</v>
      </c>
      <c r="H182">
        <v>1.066451124114091</v>
      </c>
      <c r="I182" t="s">
        <v>72</v>
      </c>
      <c r="J182" t="s">
        <v>1024</v>
      </c>
      <c r="K182" t="s">
        <v>1025</v>
      </c>
      <c r="L182" t="s">
        <v>1482</v>
      </c>
      <c r="M182" t="s">
        <v>1483</v>
      </c>
      <c r="N182" t="s">
        <v>1612</v>
      </c>
      <c r="O182" t="s">
        <v>62</v>
      </c>
      <c r="P182" t="s">
        <v>63</v>
      </c>
      <c r="Q182">
        <v>1.066451124114091</v>
      </c>
      <c r="R182" t="s">
        <v>64</v>
      </c>
      <c r="S182" t="s">
        <v>65</v>
      </c>
      <c r="T182" t="s">
        <v>1613</v>
      </c>
      <c r="V182" t="s">
        <v>73</v>
      </c>
      <c r="X182" t="s">
        <v>1614</v>
      </c>
      <c r="Y182" t="s">
        <v>1031</v>
      </c>
      <c r="Z182" t="s">
        <v>49</v>
      </c>
      <c r="AA182" t="s">
        <v>76</v>
      </c>
      <c r="AB182" t="s">
        <v>453</v>
      </c>
      <c r="AC182" t="s">
        <v>1824</v>
      </c>
      <c r="AD182" t="s">
        <v>1498</v>
      </c>
      <c r="AE182" t="s">
        <v>1825</v>
      </c>
      <c r="AI182">
        <v>326.47687266289</v>
      </c>
      <c r="AJ182">
        <v>4315.7918439469186</v>
      </c>
    </row>
    <row r="183" spans="1:36" x14ac:dyDescent="0.25">
      <c r="A183">
        <v>182</v>
      </c>
      <c r="B183" t="s">
        <v>1853</v>
      </c>
      <c r="C183" t="s">
        <v>376</v>
      </c>
      <c r="D183" t="s">
        <v>1481</v>
      </c>
      <c r="E183" t="s">
        <v>37</v>
      </c>
      <c r="G183" s="2">
        <v>45860</v>
      </c>
      <c r="H183">
        <v>4.4146362860861146</v>
      </c>
      <c r="I183" t="s">
        <v>72</v>
      </c>
      <c r="J183" t="s">
        <v>1024</v>
      </c>
      <c r="K183" t="s">
        <v>1025</v>
      </c>
      <c r="L183" t="s">
        <v>1482</v>
      </c>
      <c r="M183" t="s">
        <v>1483</v>
      </c>
      <c r="N183" t="s">
        <v>1612</v>
      </c>
      <c r="O183" t="s">
        <v>62</v>
      </c>
      <c r="P183" t="s">
        <v>63</v>
      </c>
      <c r="Q183">
        <v>4.4146362860861146</v>
      </c>
      <c r="R183" t="s">
        <v>64</v>
      </c>
      <c r="S183" t="s">
        <v>65</v>
      </c>
      <c r="T183" t="s">
        <v>1613</v>
      </c>
      <c r="V183" t="s">
        <v>46</v>
      </c>
      <c r="X183" t="s">
        <v>1614</v>
      </c>
      <c r="Y183" t="s">
        <v>1031</v>
      </c>
      <c r="Z183" t="s">
        <v>69</v>
      </c>
      <c r="AA183" t="s">
        <v>46</v>
      </c>
      <c r="AB183" t="s">
        <v>453</v>
      </c>
      <c r="AC183" t="s">
        <v>1797</v>
      </c>
      <c r="AD183" t="s">
        <v>1498</v>
      </c>
      <c r="AE183" t="s">
        <v>1798</v>
      </c>
      <c r="AI183">
        <v>641.73334135157108</v>
      </c>
      <c r="AJ183">
        <v>17865.470668718888</v>
      </c>
    </row>
    <row r="184" spans="1:36" hidden="1" x14ac:dyDescent="0.25">
      <c r="A184">
        <v>183</v>
      </c>
      <c r="B184" t="s">
        <v>1854</v>
      </c>
      <c r="C184" t="s">
        <v>376</v>
      </c>
      <c r="D184" t="s">
        <v>1481</v>
      </c>
      <c r="E184" t="s">
        <v>37</v>
      </c>
      <c r="G184" s="2">
        <v>45860</v>
      </c>
      <c r="H184">
        <v>0.145826689770541</v>
      </c>
      <c r="I184" t="s">
        <v>72</v>
      </c>
      <c r="J184" t="s">
        <v>1024</v>
      </c>
      <c r="K184" t="s">
        <v>1025</v>
      </c>
      <c r="L184" t="s">
        <v>1482</v>
      </c>
      <c r="M184" t="s">
        <v>1483</v>
      </c>
      <c r="N184" t="s">
        <v>1612</v>
      </c>
      <c r="O184" t="s">
        <v>141</v>
      </c>
      <c r="P184" t="s">
        <v>142</v>
      </c>
      <c r="Q184">
        <v>0.145826689770541</v>
      </c>
      <c r="S184" t="s">
        <v>38</v>
      </c>
      <c r="T184" t="s">
        <v>1855</v>
      </c>
      <c r="V184" t="s">
        <v>46</v>
      </c>
      <c r="X184" t="s">
        <v>1614</v>
      </c>
      <c r="Y184" t="s">
        <v>1031</v>
      </c>
      <c r="Z184" t="s">
        <v>69</v>
      </c>
      <c r="AA184" t="s">
        <v>46</v>
      </c>
      <c r="AB184" t="s">
        <v>453</v>
      </c>
      <c r="AC184" t="s">
        <v>1797</v>
      </c>
      <c r="AD184" t="s">
        <v>1498</v>
      </c>
      <c r="AE184" t="s">
        <v>1798</v>
      </c>
      <c r="AI184">
        <v>100.543758249962</v>
      </c>
      <c r="AJ184">
        <v>590.14203662103228</v>
      </c>
    </row>
    <row r="185" spans="1:36" hidden="1" x14ac:dyDescent="0.25">
      <c r="A185">
        <v>184</v>
      </c>
      <c r="B185" t="s">
        <v>1856</v>
      </c>
      <c r="C185" t="s">
        <v>376</v>
      </c>
      <c r="D185" t="s">
        <v>1481</v>
      </c>
      <c r="E185" t="s">
        <v>37</v>
      </c>
      <c r="G185" s="2">
        <v>45860</v>
      </c>
      <c r="H185">
        <v>0.68534421934204481</v>
      </c>
      <c r="I185" t="s">
        <v>72</v>
      </c>
      <c r="J185" t="s">
        <v>1024</v>
      </c>
      <c r="K185" t="s">
        <v>1025</v>
      </c>
      <c r="L185" t="s">
        <v>1482</v>
      </c>
      <c r="M185" t="s">
        <v>1483</v>
      </c>
      <c r="N185" t="s">
        <v>1612</v>
      </c>
      <c r="O185" t="s">
        <v>141</v>
      </c>
      <c r="P185" t="s">
        <v>142</v>
      </c>
      <c r="Q185">
        <v>0.68534421934204481</v>
      </c>
      <c r="S185" t="s">
        <v>38</v>
      </c>
      <c r="T185" t="s">
        <v>1857</v>
      </c>
      <c r="V185" t="s">
        <v>46</v>
      </c>
      <c r="X185" t="s">
        <v>1614</v>
      </c>
      <c r="Y185" t="s">
        <v>1031</v>
      </c>
      <c r="Z185" t="s">
        <v>69</v>
      </c>
      <c r="AA185" t="s">
        <v>46</v>
      </c>
      <c r="AB185" t="s">
        <v>453</v>
      </c>
      <c r="AC185" t="s">
        <v>1797</v>
      </c>
      <c r="AD185" t="s">
        <v>1498</v>
      </c>
      <c r="AE185" t="s">
        <v>1798</v>
      </c>
      <c r="AI185">
        <v>260.48203999935657</v>
      </c>
      <c r="AJ185">
        <v>2773.5007495909731</v>
      </c>
    </row>
    <row r="186" spans="1:36" hidden="1" x14ac:dyDescent="0.25">
      <c r="A186">
        <v>185</v>
      </c>
      <c r="B186" t="s">
        <v>1858</v>
      </c>
      <c r="C186" t="s">
        <v>376</v>
      </c>
      <c r="D186" t="s">
        <v>1481</v>
      </c>
      <c r="E186" t="s">
        <v>37</v>
      </c>
      <c r="G186" s="2">
        <v>45860</v>
      </c>
      <c r="H186">
        <v>29.434077933653452</v>
      </c>
      <c r="I186" t="s">
        <v>72</v>
      </c>
      <c r="J186" t="s">
        <v>1024</v>
      </c>
      <c r="K186" t="s">
        <v>1025</v>
      </c>
      <c r="L186" t="s">
        <v>1482</v>
      </c>
      <c r="M186" t="s">
        <v>1483</v>
      </c>
      <c r="O186" t="s">
        <v>402</v>
      </c>
      <c r="P186" t="s">
        <v>403</v>
      </c>
      <c r="Q186">
        <v>29.434077933653452</v>
      </c>
      <c r="S186" t="s">
        <v>38</v>
      </c>
      <c r="T186" t="s">
        <v>1484</v>
      </c>
      <c r="V186" t="s">
        <v>75</v>
      </c>
      <c r="X186" t="s">
        <v>673</v>
      </c>
      <c r="Y186" t="s">
        <v>1031</v>
      </c>
      <c r="Z186" t="s">
        <v>49</v>
      </c>
      <c r="AA186" t="s">
        <v>75</v>
      </c>
      <c r="AB186" t="s">
        <v>453</v>
      </c>
      <c r="AC186" t="s">
        <v>1535</v>
      </c>
      <c r="AD186" t="s">
        <v>57</v>
      </c>
      <c r="AE186" t="s">
        <v>808</v>
      </c>
      <c r="AI186">
        <v>1506.601607681645</v>
      </c>
      <c r="AJ186">
        <v>119115.9637866063</v>
      </c>
    </row>
    <row r="187" spans="1:36" hidden="1" x14ac:dyDescent="0.25">
      <c r="A187">
        <v>186</v>
      </c>
      <c r="B187" t="s">
        <v>1859</v>
      </c>
      <c r="C187" t="s">
        <v>376</v>
      </c>
      <c r="D187" t="s">
        <v>1481</v>
      </c>
      <c r="E187" t="s">
        <v>37</v>
      </c>
      <c r="G187" s="2">
        <v>45860</v>
      </c>
      <c r="H187">
        <v>2.401851771307093</v>
      </c>
      <c r="I187" t="s">
        <v>72</v>
      </c>
      <c r="J187" t="s">
        <v>1024</v>
      </c>
      <c r="K187" t="s">
        <v>1025</v>
      </c>
      <c r="L187" t="s">
        <v>1482</v>
      </c>
      <c r="M187" t="s">
        <v>1483</v>
      </c>
      <c r="N187" t="s">
        <v>1612</v>
      </c>
      <c r="O187" t="s">
        <v>402</v>
      </c>
      <c r="P187" t="s">
        <v>403</v>
      </c>
      <c r="Q187">
        <v>2.401851771307093</v>
      </c>
      <c r="S187" t="s">
        <v>38</v>
      </c>
      <c r="T187" t="s">
        <v>673</v>
      </c>
      <c r="V187" t="s">
        <v>46</v>
      </c>
      <c r="X187" t="s">
        <v>673</v>
      </c>
      <c r="Y187" t="s">
        <v>1031</v>
      </c>
      <c r="Z187" t="s">
        <v>69</v>
      </c>
      <c r="AA187" t="s">
        <v>60</v>
      </c>
      <c r="AB187" t="s">
        <v>453</v>
      </c>
      <c r="AC187" t="s">
        <v>1797</v>
      </c>
      <c r="AD187" t="s">
        <v>57</v>
      </c>
      <c r="AE187" t="s">
        <v>1798</v>
      </c>
      <c r="AF187" t="s">
        <v>1177</v>
      </c>
      <c r="AI187">
        <v>604.47180624257874</v>
      </c>
      <c r="AJ187">
        <v>9719.9881462806297</v>
      </c>
    </row>
    <row r="188" spans="1:36" x14ac:dyDescent="0.25">
      <c r="A188">
        <v>187</v>
      </c>
      <c r="B188" t="s">
        <v>1860</v>
      </c>
      <c r="C188" t="s">
        <v>376</v>
      </c>
      <c r="D188" t="s">
        <v>1481</v>
      </c>
      <c r="E188" t="s">
        <v>37</v>
      </c>
      <c r="G188" s="2">
        <v>45860</v>
      </c>
      <c r="H188">
        <v>16.420184066965351</v>
      </c>
      <c r="I188" t="s">
        <v>72</v>
      </c>
      <c r="J188" t="s">
        <v>1024</v>
      </c>
      <c r="K188" t="s">
        <v>1025</v>
      </c>
      <c r="L188" t="s">
        <v>1482</v>
      </c>
      <c r="M188" t="s">
        <v>1483</v>
      </c>
      <c r="O188" t="s">
        <v>62</v>
      </c>
      <c r="P188" t="s">
        <v>63</v>
      </c>
      <c r="Q188">
        <v>16.420184066965351</v>
      </c>
      <c r="R188" t="s">
        <v>64</v>
      </c>
      <c r="S188" t="s">
        <v>65</v>
      </c>
      <c r="T188" t="s">
        <v>1861</v>
      </c>
      <c r="V188" t="s">
        <v>73</v>
      </c>
      <c r="Y188" t="s">
        <v>1031</v>
      </c>
      <c r="Z188" t="s">
        <v>49</v>
      </c>
      <c r="AA188" t="s">
        <v>76</v>
      </c>
      <c r="AB188" t="s">
        <v>453</v>
      </c>
      <c r="AC188" t="s">
        <v>1824</v>
      </c>
      <c r="AD188" t="s">
        <v>483</v>
      </c>
      <c r="AE188" t="s">
        <v>1825</v>
      </c>
      <c r="AI188">
        <v>1106.897217613275</v>
      </c>
      <c r="AJ188">
        <v>66450.393149695694</v>
      </c>
    </row>
    <row r="189" spans="1:36" hidden="1" x14ac:dyDescent="0.25">
      <c r="A189">
        <v>188</v>
      </c>
      <c r="B189" t="s">
        <v>1862</v>
      </c>
      <c r="C189" t="s">
        <v>376</v>
      </c>
      <c r="D189" t="s">
        <v>1481</v>
      </c>
      <c r="E189" t="s">
        <v>37</v>
      </c>
      <c r="G189" s="2">
        <v>45860</v>
      </c>
      <c r="H189">
        <v>9.8300811956488356</v>
      </c>
      <c r="I189" t="s">
        <v>72</v>
      </c>
      <c r="J189" t="s">
        <v>1024</v>
      </c>
      <c r="K189" t="s">
        <v>1025</v>
      </c>
      <c r="L189" t="s">
        <v>1482</v>
      </c>
      <c r="M189" t="s">
        <v>1483</v>
      </c>
      <c r="O189" t="s">
        <v>402</v>
      </c>
      <c r="P189" t="s">
        <v>403</v>
      </c>
      <c r="Q189">
        <v>9.8300811956488356</v>
      </c>
      <c r="S189" t="s">
        <v>38</v>
      </c>
      <c r="T189" t="s">
        <v>673</v>
      </c>
      <c r="V189" t="s">
        <v>75</v>
      </c>
      <c r="X189" t="s">
        <v>673</v>
      </c>
      <c r="Y189" t="s">
        <v>1031</v>
      </c>
      <c r="Z189" t="s">
        <v>49</v>
      </c>
      <c r="AA189" t="s">
        <v>64</v>
      </c>
      <c r="AB189" t="s">
        <v>453</v>
      </c>
      <c r="AC189" t="s">
        <v>1722</v>
      </c>
      <c r="AD189" t="s">
        <v>57</v>
      </c>
      <c r="AE189" t="s">
        <v>1716</v>
      </c>
      <c r="AF189" t="s">
        <v>1863</v>
      </c>
      <c r="AI189">
        <v>1131.16718557743</v>
      </c>
      <c r="AJ189">
        <v>39781.086343511211</v>
      </c>
    </row>
    <row r="190" spans="1:36" hidden="1" x14ac:dyDescent="0.25">
      <c r="A190">
        <v>189</v>
      </c>
      <c r="B190" t="s">
        <v>1864</v>
      </c>
      <c r="C190" t="s">
        <v>376</v>
      </c>
      <c r="D190" t="s">
        <v>1481</v>
      </c>
      <c r="E190" t="s">
        <v>37</v>
      </c>
      <c r="G190" s="2">
        <v>45860</v>
      </c>
      <c r="H190">
        <v>0.5901007862999964</v>
      </c>
      <c r="I190" t="s">
        <v>72</v>
      </c>
      <c r="J190" t="s">
        <v>1024</v>
      </c>
      <c r="K190" t="s">
        <v>1025</v>
      </c>
      <c r="L190" t="s">
        <v>1482</v>
      </c>
      <c r="M190" t="s">
        <v>1483</v>
      </c>
      <c r="O190" t="s">
        <v>402</v>
      </c>
      <c r="P190" t="s">
        <v>403</v>
      </c>
      <c r="Q190">
        <v>0.5901007862999964</v>
      </c>
      <c r="S190" t="s">
        <v>38</v>
      </c>
      <c r="T190" t="s">
        <v>1865</v>
      </c>
      <c r="V190" t="s">
        <v>75</v>
      </c>
      <c r="X190" t="s">
        <v>1172</v>
      </c>
      <c r="Y190" t="s">
        <v>1031</v>
      </c>
      <c r="Z190" t="s">
        <v>49</v>
      </c>
      <c r="AA190" t="s">
        <v>75</v>
      </c>
      <c r="AB190" t="s">
        <v>453</v>
      </c>
      <c r="AC190" t="s">
        <v>57</v>
      </c>
      <c r="AD190" t="s">
        <v>57</v>
      </c>
      <c r="AI190">
        <v>199.19455173834729</v>
      </c>
      <c r="AJ190">
        <v>2388.062709142715</v>
      </c>
    </row>
    <row r="191" spans="1:36" hidden="1" x14ac:dyDescent="0.25">
      <c r="A191">
        <v>190</v>
      </c>
      <c r="B191" t="s">
        <v>1866</v>
      </c>
      <c r="C191" t="s">
        <v>376</v>
      </c>
      <c r="D191" t="s">
        <v>1481</v>
      </c>
      <c r="E191" t="s">
        <v>37</v>
      </c>
      <c r="G191" s="2">
        <v>45860</v>
      </c>
      <c r="H191">
        <v>42.143763094391488</v>
      </c>
      <c r="I191" t="s">
        <v>72</v>
      </c>
      <c r="J191" t="s">
        <v>1024</v>
      </c>
      <c r="K191" t="s">
        <v>1025</v>
      </c>
      <c r="L191" t="s">
        <v>1482</v>
      </c>
      <c r="M191" t="s">
        <v>1483</v>
      </c>
      <c r="O191" t="s">
        <v>402</v>
      </c>
      <c r="P191" t="s">
        <v>403</v>
      </c>
      <c r="Q191">
        <v>42.143763094391488</v>
      </c>
      <c r="S191" t="s">
        <v>38</v>
      </c>
      <c r="T191" t="s">
        <v>673</v>
      </c>
      <c r="V191" t="s">
        <v>75</v>
      </c>
      <c r="X191" t="s">
        <v>673</v>
      </c>
      <c r="Y191" t="s">
        <v>1031</v>
      </c>
      <c r="Z191" t="s">
        <v>49</v>
      </c>
      <c r="AA191" t="s">
        <v>64</v>
      </c>
      <c r="AB191" t="s">
        <v>453</v>
      </c>
      <c r="AC191" t="s">
        <v>1722</v>
      </c>
      <c r="AD191" t="s">
        <v>57</v>
      </c>
      <c r="AE191" t="s">
        <v>1716</v>
      </c>
      <c r="AI191">
        <v>2191.8167705124538</v>
      </c>
      <c r="AJ191">
        <v>170550.44054372219</v>
      </c>
    </row>
    <row r="192" spans="1:36" x14ac:dyDescent="0.25">
      <c r="A192">
        <v>191</v>
      </c>
      <c r="B192" t="s">
        <v>1867</v>
      </c>
      <c r="C192" t="s">
        <v>376</v>
      </c>
      <c r="D192" t="s">
        <v>1481</v>
      </c>
      <c r="E192" t="s">
        <v>37</v>
      </c>
      <c r="G192" s="2">
        <v>45860</v>
      </c>
      <c r="H192">
        <v>12.50210933935905</v>
      </c>
      <c r="I192" t="s">
        <v>72</v>
      </c>
      <c r="J192" t="s">
        <v>1024</v>
      </c>
      <c r="K192" t="s">
        <v>1025</v>
      </c>
      <c r="L192" t="s">
        <v>1482</v>
      </c>
      <c r="M192" t="s">
        <v>1483</v>
      </c>
      <c r="O192" t="s">
        <v>62</v>
      </c>
      <c r="P192" t="s">
        <v>63</v>
      </c>
      <c r="Q192">
        <v>12.50210933935905</v>
      </c>
      <c r="R192" t="s">
        <v>64</v>
      </c>
      <c r="S192" t="s">
        <v>65</v>
      </c>
      <c r="T192" t="s">
        <v>1861</v>
      </c>
      <c r="V192" t="s">
        <v>73</v>
      </c>
      <c r="Y192" t="s">
        <v>1031</v>
      </c>
      <c r="Z192" t="s">
        <v>49</v>
      </c>
      <c r="AA192" t="s">
        <v>76</v>
      </c>
      <c r="AB192" t="s">
        <v>453</v>
      </c>
      <c r="AC192" t="s">
        <v>1824</v>
      </c>
      <c r="AD192" t="s">
        <v>1498</v>
      </c>
      <c r="AE192" t="s">
        <v>1825</v>
      </c>
      <c r="AI192">
        <v>953.20555399890429</v>
      </c>
      <c r="AJ192">
        <v>50594.443851105229</v>
      </c>
    </row>
    <row r="193" spans="1:36" hidden="1" x14ac:dyDescent="0.25">
      <c r="A193">
        <v>192</v>
      </c>
      <c r="B193" t="s">
        <v>1868</v>
      </c>
      <c r="C193" t="s">
        <v>376</v>
      </c>
      <c r="D193" t="s">
        <v>1481</v>
      </c>
      <c r="E193" t="s">
        <v>37</v>
      </c>
      <c r="G193" s="2">
        <v>45860</v>
      </c>
      <c r="H193">
        <v>5.7485272984377778</v>
      </c>
      <c r="I193" t="s">
        <v>72</v>
      </c>
      <c r="J193" t="s">
        <v>1024</v>
      </c>
      <c r="K193" t="s">
        <v>1025</v>
      </c>
      <c r="L193" t="s">
        <v>1482</v>
      </c>
      <c r="M193" t="s">
        <v>1483</v>
      </c>
      <c r="O193" t="s">
        <v>402</v>
      </c>
      <c r="P193" t="s">
        <v>403</v>
      </c>
      <c r="Q193">
        <v>5.7485272984377778</v>
      </c>
      <c r="S193" t="s">
        <v>38</v>
      </c>
      <c r="T193" t="s">
        <v>673</v>
      </c>
      <c r="V193" t="s">
        <v>46</v>
      </c>
      <c r="X193" t="s">
        <v>673</v>
      </c>
      <c r="Y193" t="s">
        <v>1031</v>
      </c>
      <c r="Z193" t="s">
        <v>69</v>
      </c>
      <c r="AA193" t="s">
        <v>60</v>
      </c>
      <c r="AB193" t="s">
        <v>453</v>
      </c>
      <c r="AC193" t="s">
        <v>1797</v>
      </c>
      <c r="AD193" t="s">
        <v>57</v>
      </c>
      <c r="AE193" t="s">
        <v>1798</v>
      </c>
      <c r="AF193" t="s">
        <v>1869</v>
      </c>
      <c r="AI193">
        <v>698.7396225946643</v>
      </c>
      <c r="AJ193">
        <v>23263.557671162271</v>
      </c>
    </row>
    <row r="194" spans="1:36" hidden="1" x14ac:dyDescent="0.25">
      <c r="A194">
        <v>193</v>
      </c>
      <c r="B194" t="s">
        <v>1870</v>
      </c>
      <c r="C194" t="s">
        <v>376</v>
      </c>
      <c r="D194" t="s">
        <v>1481</v>
      </c>
      <c r="E194" t="s">
        <v>37</v>
      </c>
      <c r="G194" s="2">
        <v>45860</v>
      </c>
      <c r="H194">
        <v>8.4135300161596778</v>
      </c>
      <c r="I194" t="s">
        <v>72</v>
      </c>
      <c r="J194" t="s">
        <v>1024</v>
      </c>
      <c r="K194" t="s">
        <v>1025</v>
      </c>
      <c r="L194" t="s">
        <v>1482</v>
      </c>
      <c r="M194" t="s">
        <v>1483</v>
      </c>
      <c r="O194" t="s">
        <v>402</v>
      </c>
      <c r="P194" t="s">
        <v>403</v>
      </c>
      <c r="Q194">
        <v>8.4135300161596778</v>
      </c>
      <c r="S194" t="s">
        <v>38</v>
      </c>
      <c r="T194" t="s">
        <v>1484</v>
      </c>
      <c r="V194" t="s">
        <v>75</v>
      </c>
      <c r="X194" t="s">
        <v>673</v>
      </c>
      <c r="Y194" t="s">
        <v>1031</v>
      </c>
      <c r="Z194" t="s">
        <v>49</v>
      </c>
      <c r="AA194" t="s">
        <v>75</v>
      </c>
      <c r="AB194" t="s">
        <v>453</v>
      </c>
      <c r="AC194" t="s">
        <v>1622</v>
      </c>
      <c r="AD194" t="s">
        <v>57</v>
      </c>
      <c r="AE194" t="s">
        <v>808</v>
      </c>
      <c r="AI194">
        <v>1058.0909614590851</v>
      </c>
      <c r="AJ194">
        <v>34048.484174751473</v>
      </c>
    </row>
    <row r="195" spans="1:36" hidden="1" x14ac:dyDescent="0.25">
      <c r="A195">
        <v>194</v>
      </c>
      <c r="B195" t="s">
        <v>1871</v>
      </c>
      <c r="C195" t="s">
        <v>376</v>
      </c>
      <c r="D195" t="s">
        <v>1481</v>
      </c>
      <c r="E195" t="s">
        <v>37</v>
      </c>
      <c r="G195" s="2">
        <v>45860</v>
      </c>
      <c r="H195">
        <v>11.839989817641021</v>
      </c>
      <c r="I195" t="s">
        <v>72</v>
      </c>
      <c r="J195" t="s">
        <v>1024</v>
      </c>
      <c r="K195" t="s">
        <v>1025</v>
      </c>
      <c r="L195" t="s">
        <v>1482</v>
      </c>
      <c r="M195" t="s">
        <v>1483</v>
      </c>
      <c r="O195" t="s">
        <v>402</v>
      </c>
      <c r="P195" t="s">
        <v>403</v>
      </c>
      <c r="Q195">
        <v>11.839989817641021</v>
      </c>
      <c r="S195" t="s">
        <v>38</v>
      </c>
      <c r="T195" t="s">
        <v>1484</v>
      </c>
      <c r="V195" t="s">
        <v>46</v>
      </c>
      <c r="X195" t="s">
        <v>1872</v>
      </c>
      <c r="Y195" t="s">
        <v>1031</v>
      </c>
      <c r="Z195" t="s">
        <v>69</v>
      </c>
      <c r="AA195" t="s">
        <v>46</v>
      </c>
      <c r="AB195" t="s">
        <v>453</v>
      </c>
      <c r="AC195" t="s">
        <v>1797</v>
      </c>
      <c r="AD195" t="s">
        <v>57</v>
      </c>
      <c r="AF195" t="s">
        <v>1873</v>
      </c>
      <c r="AI195">
        <v>1102.112469037047</v>
      </c>
      <c r="AJ195">
        <v>47914.930494201493</v>
      </c>
    </row>
    <row r="196" spans="1:36" hidden="1" x14ac:dyDescent="0.25">
      <c r="A196">
        <v>195</v>
      </c>
      <c r="B196" t="s">
        <v>1874</v>
      </c>
      <c r="C196" t="s">
        <v>376</v>
      </c>
      <c r="D196" t="s">
        <v>1481</v>
      </c>
      <c r="E196" t="s">
        <v>37</v>
      </c>
      <c r="G196" s="2">
        <v>45860</v>
      </c>
      <c r="H196">
        <v>78.573636124693564</v>
      </c>
      <c r="I196" t="s">
        <v>72</v>
      </c>
      <c r="J196" t="s">
        <v>1024</v>
      </c>
      <c r="K196" t="s">
        <v>1025</v>
      </c>
      <c r="L196" t="s">
        <v>1482</v>
      </c>
      <c r="M196" t="s">
        <v>1483</v>
      </c>
      <c r="O196" t="s">
        <v>402</v>
      </c>
      <c r="P196" t="s">
        <v>403</v>
      </c>
      <c r="Q196">
        <v>78.573636124693564</v>
      </c>
      <c r="S196" t="s">
        <v>38</v>
      </c>
      <c r="T196" t="s">
        <v>1484</v>
      </c>
      <c r="V196" t="s">
        <v>75</v>
      </c>
      <c r="X196" t="s">
        <v>1872</v>
      </c>
      <c r="Y196" t="s">
        <v>1031</v>
      </c>
      <c r="Z196" t="s">
        <v>49</v>
      </c>
      <c r="AA196" t="s">
        <v>75</v>
      </c>
      <c r="AB196" t="s">
        <v>453</v>
      </c>
      <c r="AC196" t="s">
        <v>1622</v>
      </c>
      <c r="AD196" t="s">
        <v>57</v>
      </c>
      <c r="AI196">
        <v>3937.986770449786</v>
      </c>
      <c r="AJ196">
        <v>317977.49589124852</v>
      </c>
    </row>
    <row r="197" spans="1:36" x14ac:dyDescent="0.25">
      <c r="A197">
        <v>196</v>
      </c>
      <c r="B197" t="s">
        <v>1875</v>
      </c>
      <c r="C197" t="s">
        <v>376</v>
      </c>
      <c r="D197" t="s">
        <v>1481</v>
      </c>
      <c r="E197" t="s">
        <v>37</v>
      </c>
      <c r="G197" s="2">
        <v>45860</v>
      </c>
      <c r="H197">
        <v>1.489917472193975</v>
      </c>
      <c r="I197" t="s">
        <v>72</v>
      </c>
      <c r="J197" t="s">
        <v>1024</v>
      </c>
      <c r="K197" t="s">
        <v>1025</v>
      </c>
      <c r="L197" t="s">
        <v>1482</v>
      </c>
      <c r="M197" t="s">
        <v>1483</v>
      </c>
      <c r="O197" t="s">
        <v>62</v>
      </c>
      <c r="P197" t="s">
        <v>63</v>
      </c>
      <c r="Q197">
        <v>1.489917472193975</v>
      </c>
      <c r="R197" t="s">
        <v>64</v>
      </c>
      <c r="S197" t="s">
        <v>65</v>
      </c>
      <c r="T197" t="s">
        <v>1876</v>
      </c>
      <c r="V197" t="s">
        <v>46</v>
      </c>
      <c r="X197" t="s">
        <v>1614</v>
      </c>
      <c r="Y197" t="s">
        <v>1031</v>
      </c>
      <c r="Z197" t="s">
        <v>69</v>
      </c>
      <c r="AA197" t="s">
        <v>60</v>
      </c>
      <c r="AB197" t="s">
        <v>453</v>
      </c>
      <c r="AC197" t="s">
        <v>1797</v>
      </c>
      <c r="AD197" t="s">
        <v>1498</v>
      </c>
      <c r="AE197" t="s">
        <v>1798</v>
      </c>
      <c r="AI197">
        <v>867.51717086720566</v>
      </c>
      <c r="AJ197">
        <v>6029.5062091948803</v>
      </c>
    </row>
    <row r="198" spans="1:36" hidden="1" x14ac:dyDescent="0.25">
      <c r="A198">
        <v>197</v>
      </c>
      <c r="B198" t="s">
        <v>1877</v>
      </c>
      <c r="C198" t="s">
        <v>376</v>
      </c>
      <c r="D198" t="s">
        <v>1481</v>
      </c>
      <c r="E198" t="s">
        <v>37</v>
      </c>
      <c r="G198" s="2">
        <v>45860</v>
      </c>
      <c r="H198">
        <v>2.082146555048717</v>
      </c>
      <c r="I198" t="s">
        <v>72</v>
      </c>
      <c r="J198" t="s">
        <v>1024</v>
      </c>
      <c r="K198" t="s">
        <v>1025</v>
      </c>
      <c r="L198" t="s">
        <v>1482</v>
      </c>
      <c r="M198" t="s">
        <v>1483</v>
      </c>
      <c r="O198" t="s">
        <v>402</v>
      </c>
      <c r="P198" t="s">
        <v>403</v>
      </c>
      <c r="Q198">
        <v>2.082146555048717</v>
      </c>
      <c r="S198" t="s">
        <v>38</v>
      </c>
      <c r="T198" t="s">
        <v>673</v>
      </c>
      <c r="V198" t="s">
        <v>46</v>
      </c>
      <c r="X198" t="s">
        <v>673</v>
      </c>
      <c r="Y198" t="s">
        <v>1031</v>
      </c>
      <c r="Z198" t="s">
        <v>69</v>
      </c>
      <c r="AA198" t="s">
        <v>60</v>
      </c>
      <c r="AB198" t="s">
        <v>453</v>
      </c>
      <c r="AC198" t="s">
        <v>1797</v>
      </c>
      <c r="AD198" t="s">
        <v>57</v>
      </c>
      <c r="AE198" t="s">
        <v>1798</v>
      </c>
      <c r="AF198" t="s">
        <v>1878</v>
      </c>
      <c r="AI198">
        <v>971.94862508810161</v>
      </c>
      <c r="AJ198">
        <v>8426.1818633706844</v>
      </c>
    </row>
    <row r="199" spans="1:36" hidden="1" x14ac:dyDescent="0.25">
      <c r="A199">
        <v>198</v>
      </c>
      <c r="B199" t="s">
        <v>1879</v>
      </c>
      <c r="C199" t="s">
        <v>376</v>
      </c>
      <c r="D199" t="s">
        <v>1481</v>
      </c>
      <c r="E199" t="s">
        <v>37</v>
      </c>
      <c r="G199" s="2">
        <v>45860</v>
      </c>
      <c r="H199">
        <v>1.3684850001841451</v>
      </c>
      <c r="I199" t="s">
        <v>72</v>
      </c>
      <c r="J199" t="s">
        <v>1024</v>
      </c>
      <c r="K199" t="s">
        <v>1025</v>
      </c>
      <c r="L199" t="s">
        <v>1482</v>
      </c>
      <c r="M199" t="s">
        <v>1483</v>
      </c>
      <c r="O199" t="s">
        <v>402</v>
      </c>
      <c r="P199" t="s">
        <v>403</v>
      </c>
      <c r="Q199">
        <v>1.3684850001841451</v>
      </c>
      <c r="S199" t="s">
        <v>38</v>
      </c>
      <c r="T199" t="s">
        <v>673</v>
      </c>
      <c r="V199" t="s">
        <v>46</v>
      </c>
      <c r="X199" t="s">
        <v>673</v>
      </c>
      <c r="Y199" t="s">
        <v>1031</v>
      </c>
      <c r="Z199" t="s">
        <v>69</v>
      </c>
      <c r="AA199" t="s">
        <v>60</v>
      </c>
      <c r="AB199" t="s">
        <v>453</v>
      </c>
      <c r="AC199" t="s">
        <v>1797</v>
      </c>
      <c r="AD199" t="s">
        <v>57</v>
      </c>
      <c r="AE199" t="s">
        <v>1798</v>
      </c>
      <c r="AF199" t="s">
        <v>1423</v>
      </c>
      <c r="AI199">
        <v>360.01827680514941</v>
      </c>
      <c r="AJ199">
        <v>5538.0844642689763</v>
      </c>
    </row>
    <row r="200" spans="1:36" x14ac:dyDescent="0.25">
      <c r="A200">
        <v>199</v>
      </c>
      <c r="B200" t="s">
        <v>1880</v>
      </c>
      <c r="C200" t="s">
        <v>376</v>
      </c>
      <c r="D200" t="s">
        <v>1481</v>
      </c>
      <c r="E200" t="s">
        <v>37</v>
      </c>
      <c r="G200" s="2">
        <v>45860</v>
      </c>
      <c r="H200">
        <v>26.982459469993579</v>
      </c>
      <c r="I200" t="s">
        <v>72</v>
      </c>
      <c r="J200" t="s">
        <v>1024</v>
      </c>
      <c r="K200" t="s">
        <v>1025</v>
      </c>
      <c r="L200" t="s">
        <v>1482</v>
      </c>
      <c r="M200" t="s">
        <v>1483</v>
      </c>
      <c r="O200" t="s">
        <v>62</v>
      </c>
      <c r="P200" t="s">
        <v>63</v>
      </c>
      <c r="Q200">
        <v>26.982459469993579</v>
      </c>
      <c r="R200" t="s">
        <v>64</v>
      </c>
      <c r="S200" t="s">
        <v>65</v>
      </c>
      <c r="T200" t="s">
        <v>1881</v>
      </c>
      <c r="V200" t="s">
        <v>73</v>
      </c>
      <c r="X200" t="s">
        <v>1882</v>
      </c>
      <c r="Y200" t="s">
        <v>1031</v>
      </c>
      <c r="Z200" t="s">
        <v>49</v>
      </c>
      <c r="AA200" t="s">
        <v>75</v>
      </c>
      <c r="AB200" t="s">
        <v>453</v>
      </c>
      <c r="AC200" t="s">
        <v>1622</v>
      </c>
      <c r="AD200" t="s">
        <v>483</v>
      </c>
      <c r="AE200" t="s">
        <v>1623</v>
      </c>
      <c r="AI200">
        <v>1332.8453319302839</v>
      </c>
      <c r="AJ200">
        <v>109194.5761761591</v>
      </c>
    </row>
    <row r="201" spans="1:36" hidden="1" x14ac:dyDescent="0.25">
      <c r="A201">
        <v>200</v>
      </c>
      <c r="B201" t="s">
        <v>1883</v>
      </c>
      <c r="C201" t="s">
        <v>376</v>
      </c>
      <c r="D201" t="s">
        <v>1481</v>
      </c>
      <c r="E201" t="s">
        <v>37</v>
      </c>
      <c r="G201" s="2">
        <v>45860</v>
      </c>
      <c r="H201">
        <v>5.1339439970747076</v>
      </c>
      <c r="I201" t="s">
        <v>72</v>
      </c>
      <c r="J201" t="s">
        <v>1024</v>
      </c>
      <c r="K201" t="s">
        <v>1025</v>
      </c>
      <c r="L201" t="s">
        <v>1482</v>
      </c>
      <c r="M201" t="s">
        <v>1483</v>
      </c>
      <c r="O201" t="s">
        <v>402</v>
      </c>
      <c r="P201" t="s">
        <v>403</v>
      </c>
      <c r="Q201">
        <v>5.1339439970747076</v>
      </c>
      <c r="S201" t="s">
        <v>38</v>
      </c>
      <c r="T201" t="s">
        <v>1884</v>
      </c>
      <c r="V201" t="s">
        <v>46</v>
      </c>
      <c r="X201" t="s">
        <v>673</v>
      </c>
      <c r="Y201" t="s">
        <v>1031</v>
      </c>
      <c r="Z201" t="s">
        <v>69</v>
      </c>
      <c r="AA201" t="s">
        <v>60</v>
      </c>
      <c r="AB201" t="s">
        <v>453</v>
      </c>
      <c r="AC201" t="s">
        <v>1797</v>
      </c>
      <c r="AD201" t="s">
        <v>57</v>
      </c>
      <c r="AE201" t="s">
        <v>1798</v>
      </c>
      <c r="AF201" t="s">
        <v>1885</v>
      </c>
      <c r="AI201">
        <v>1115.8557337708919</v>
      </c>
      <c r="AJ201">
        <v>20776.41734238997</v>
      </c>
    </row>
    <row r="202" spans="1:36" hidden="1" x14ac:dyDescent="0.25">
      <c r="A202">
        <v>201</v>
      </c>
      <c r="B202" t="s">
        <v>1886</v>
      </c>
      <c r="C202" t="s">
        <v>376</v>
      </c>
      <c r="D202" t="s">
        <v>1481</v>
      </c>
      <c r="E202" t="s">
        <v>37</v>
      </c>
      <c r="G202" s="2">
        <v>45860</v>
      </c>
      <c r="H202">
        <v>7.1610341649618041</v>
      </c>
      <c r="I202" t="s">
        <v>72</v>
      </c>
      <c r="J202" t="s">
        <v>1024</v>
      </c>
      <c r="K202" t="s">
        <v>1025</v>
      </c>
      <c r="L202" t="s">
        <v>1482</v>
      </c>
      <c r="M202" t="s">
        <v>1483</v>
      </c>
      <c r="O202" t="s">
        <v>402</v>
      </c>
      <c r="P202" t="s">
        <v>403</v>
      </c>
      <c r="Q202">
        <v>7.1610341649618041</v>
      </c>
      <c r="S202" t="s">
        <v>38</v>
      </c>
      <c r="T202" t="s">
        <v>1887</v>
      </c>
      <c r="V202" t="s">
        <v>46</v>
      </c>
      <c r="X202" t="s">
        <v>673</v>
      </c>
      <c r="Y202" t="s">
        <v>1031</v>
      </c>
      <c r="Z202" t="s">
        <v>69</v>
      </c>
      <c r="AA202" t="s">
        <v>60</v>
      </c>
      <c r="AB202" t="s">
        <v>453</v>
      </c>
      <c r="AC202" t="s">
        <v>1797</v>
      </c>
      <c r="AD202" t="s">
        <v>57</v>
      </c>
      <c r="AE202" t="s">
        <v>1798</v>
      </c>
      <c r="AF202" t="s">
        <v>1888</v>
      </c>
      <c r="AI202">
        <v>642.0292022013715</v>
      </c>
      <c r="AJ202">
        <v>28979.793020557659</v>
      </c>
    </row>
    <row r="203" spans="1:36" hidden="1" x14ac:dyDescent="0.25">
      <c r="A203">
        <v>202</v>
      </c>
      <c r="B203" t="s">
        <v>1889</v>
      </c>
      <c r="C203" t="s">
        <v>376</v>
      </c>
      <c r="D203" t="s">
        <v>1481</v>
      </c>
      <c r="E203" t="s">
        <v>37</v>
      </c>
      <c r="G203" s="2">
        <v>45860</v>
      </c>
      <c r="H203">
        <v>16.322739857317831</v>
      </c>
      <c r="I203" t="s">
        <v>72</v>
      </c>
      <c r="J203" t="s">
        <v>1024</v>
      </c>
      <c r="K203" t="s">
        <v>1025</v>
      </c>
      <c r="L203" t="s">
        <v>1482</v>
      </c>
      <c r="M203" t="s">
        <v>1483</v>
      </c>
      <c r="O203" t="s">
        <v>402</v>
      </c>
      <c r="P203" t="s">
        <v>403</v>
      </c>
      <c r="Q203">
        <v>16.322739857317831</v>
      </c>
      <c r="S203" t="s">
        <v>38</v>
      </c>
      <c r="T203" t="s">
        <v>1887</v>
      </c>
      <c r="V203" t="s">
        <v>46</v>
      </c>
      <c r="X203" t="s">
        <v>673</v>
      </c>
      <c r="Y203" t="s">
        <v>1031</v>
      </c>
      <c r="Z203" t="s">
        <v>69</v>
      </c>
      <c r="AA203" t="s">
        <v>60</v>
      </c>
      <c r="AB203" t="s">
        <v>453</v>
      </c>
      <c r="AC203" t="s">
        <v>1797</v>
      </c>
      <c r="AD203" t="s">
        <v>57</v>
      </c>
      <c r="AE203" t="s">
        <v>1798</v>
      </c>
      <c r="AF203" t="s">
        <v>1890</v>
      </c>
      <c r="AI203">
        <v>1659.58571855575</v>
      </c>
      <c r="AJ203">
        <v>66056.048846682286</v>
      </c>
    </row>
    <row r="204" spans="1:36" hidden="1" x14ac:dyDescent="0.25">
      <c r="A204">
        <v>203</v>
      </c>
      <c r="B204" t="s">
        <v>1891</v>
      </c>
      <c r="C204" t="s">
        <v>376</v>
      </c>
      <c r="D204" t="s">
        <v>1481</v>
      </c>
      <c r="E204" t="s">
        <v>37</v>
      </c>
      <c r="G204" s="2">
        <v>45860</v>
      </c>
      <c r="H204">
        <v>83.271639223744558</v>
      </c>
      <c r="I204" t="s">
        <v>72</v>
      </c>
      <c r="J204" t="s">
        <v>1024</v>
      </c>
      <c r="K204" t="s">
        <v>1025</v>
      </c>
      <c r="L204" t="s">
        <v>1482</v>
      </c>
      <c r="M204" t="s">
        <v>1483</v>
      </c>
      <c r="O204" t="s">
        <v>402</v>
      </c>
      <c r="P204" t="s">
        <v>403</v>
      </c>
      <c r="Q204">
        <v>83.271639223744558</v>
      </c>
      <c r="S204" t="s">
        <v>38</v>
      </c>
      <c r="T204" t="s">
        <v>1484</v>
      </c>
      <c r="V204" t="s">
        <v>75</v>
      </c>
      <c r="X204" t="s">
        <v>673</v>
      </c>
      <c r="Y204" t="s">
        <v>1031</v>
      </c>
      <c r="Z204" t="s">
        <v>49</v>
      </c>
      <c r="AA204" t="s">
        <v>75</v>
      </c>
      <c r="AB204" t="s">
        <v>453</v>
      </c>
      <c r="AC204" t="s">
        <v>1622</v>
      </c>
      <c r="AD204" t="s">
        <v>57</v>
      </c>
      <c r="AI204">
        <v>2400.1944641071082</v>
      </c>
      <c r="AJ204">
        <v>336989.71595390223</v>
      </c>
    </row>
    <row r="205" spans="1:36" hidden="1" x14ac:dyDescent="0.25">
      <c r="A205">
        <v>204</v>
      </c>
      <c r="B205" t="s">
        <v>1892</v>
      </c>
      <c r="C205" t="s">
        <v>376</v>
      </c>
      <c r="D205" t="s">
        <v>1481</v>
      </c>
      <c r="E205" t="s">
        <v>37</v>
      </c>
      <c r="G205" s="2">
        <v>45860</v>
      </c>
      <c r="H205">
        <v>5.9621090960594927</v>
      </c>
      <c r="I205" t="s">
        <v>72</v>
      </c>
      <c r="J205" t="s">
        <v>1024</v>
      </c>
      <c r="K205" t="s">
        <v>1025</v>
      </c>
      <c r="L205" t="s">
        <v>1482</v>
      </c>
      <c r="M205" t="s">
        <v>1483</v>
      </c>
      <c r="O205" t="s">
        <v>402</v>
      </c>
      <c r="P205" t="s">
        <v>403</v>
      </c>
      <c r="Q205">
        <v>5.9621090960594927</v>
      </c>
      <c r="S205" t="s">
        <v>38</v>
      </c>
      <c r="T205" t="s">
        <v>1887</v>
      </c>
      <c r="V205" t="s">
        <v>46</v>
      </c>
      <c r="X205" t="s">
        <v>673</v>
      </c>
      <c r="Y205" t="s">
        <v>1031</v>
      </c>
      <c r="Z205" t="s">
        <v>69</v>
      </c>
      <c r="AA205" t="s">
        <v>60</v>
      </c>
      <c r="AB205" t="s">
        <v>453</v>
      </c>
      <c r="AC205" t="s">
        <v>1797</v>
      </c>
      <c r="AD205" t="s">
        <v>57</v>
      </c>
      <c r="AE205" t="s">
        <v>1798</v>
      </c>
      <c r="AF205" t="s">
        <v>1893</v>
      </c>
      <c r="AI205">
        <v>638.66420338430908</v>
      </c>
      <c r="AJ205">
        <v>24127.89599792529</v>
      </c>
    </row>
    <row r="206" spans="1:36" x14ac:dyDescent="0.25">
      <c r="A206">
        <v>205</v>
      </c>
      <c r="B206" t="s">
        <v>1894</v>
      </c>
      <c r="C206" t="s">
        <v>376</v>
      </c>
      <c r="D206" t="s">
        <v>1481</v>
      </c>
      <c r="E206" t="s">
        <v>37</v>
      </c>
      <c r="G206" s="2">
        <v>45860</v>
      </c>
      <c r="H206">
        <v>6.4482192332973103</v>
      </c>
      <c r="I206" t="s">
        <v>72</v>
      </c>
      <c r="J206" t="s">
        <v>1024</v>
      </c>
      <c r="K206" t="s">
        <v>1025</v>
      </c>
      <c r="L206" t="s">
        <v>1482</v>
      </c>
      <c r="M206" t="s">
        <v>1483</v>
      </c>
      <c r="O206" t="s">
        <v>62</v>
      </c>
      <c r="P206" t="s">
        <v>63</v>
      </c>
      <c r="Q206">
        <v>6.4482192332973103</v>
      </c>
      <c r="R206" t="s">
        <v>64</v>
      </c>
      <c r="S206" t="s">
        <v>65</v>
      </c>
      <c r="T206" t="s">
        <v>1895</v>
      </c>
      <c r="V206" t="s">
        <v>73</v>
      </c>
      <c r="X206" t="s">
        <v>1614</v>
      </c>
      <c r="Y206" t="s">
        <v>1031</v>
      </c>
      <c r="Z206" t="s">
        <v>49</v>
      </c>
      <c r="AA206" t="s">
        <v>76</v>
      </c>
      <c r="AB206" t="s">
        <v>453</v>
      </c>
      <c r="AC206" t="s">
        <v>1838</v>
      </c>
      <c r="AD206" t="s">
        <v>1498</v>
      </c>
      <c r="AE206" t="s">
        <v>1839</v>
      </c>
      <c r="AI206">
        <v>655.71434886409531</v>
      </c>
      <c r="AJ206">
        <v>26095.121797695228</v>
      </c>
    </row>
    <row r="207" spans="1:36" hidden="1" x14ac:dyDescent="0.25">
      <c r="A207">
        <v>206</v>
      </c>
      <c r="B207" t="s">
        <v>1896</v>
      </c>
      <c r="C207" t="s">
        <v>376</v>
      </c>
      <c r="D207" t="s">
        <v>1481</v>
      </c>
      <c r="E207" t="s">
        <v>37</v>
      </c>
      <c r="G207" s="2">
        <v>45860</v>
      </c>
      <c r="H207">
        <v>3.5215415076561918</v>
      </c>
      <c r="I207" t="s">
        <v>72</v>
      </c>
      <c r="J207" t="s">
        <v>1024</v>
      </c>
      <c r="K207" t="s">
        <v>1025</v>
      </c>
      <c r="L207" t="s">
        <v>1482</v>
      </c>
      <c r="M207" t="s">
        <v>1483</v>
      </c>
      <c r="O207" t="s">
        <v>402</v>
      </c>
      <c r="P207" t="s">
        <v>403</v>
      </c>
      <c r="Q207">
        <v>3.5215415076561918</v>
      </c>
      <c r="S207" t="s">
        <v>38</v>
      </c>
      <c r="T207" t="s">
        <v>673</v>
      </c>
      <c r="V207" t="s">
        <v>73</v>
      </c>
      <c r="X207" t="s">
        <v>673</v>
      </c>
      <c r="Y207" t="s">
        <v>1031</v>
      </c>
      <c r="Z207" t="s">
        <v>49</v>
      </c>
      <c r="AA207" t="s">
        <v>75</v>
      </c>
      <c r="AB207" t="s">
        <v>453</v>
      </c>
      <c r="AC207" t="s">
        <v>1897</v>
      </c>
      <c r="AD207" t="s">
        <v>57</v>
      </c>
      <c r="AE207" t="s">
        <v>1663</v>
      </c>
      <c r="AF207" t="s">
        <v>1101</v>
      </c>
      <c r="AI207">
        <v>488.78747130169398</v>
      </c>
      <c r="AJ207">
        <v>14251.22987186912</v>
      </c>
    </row>
    <row r="208" spans="1:36" hidden="1" x14ac:dyDescent="0.25">
      <c r="A208">
        <v>207</v>
      </c>
      <c r="B208" t="s">
        <v>1898</v>
      </c>
      <c r="C208" t="s">
        <v>376</v>
      </c>
      <c r="D208" t="s">
        <v>1481</v>
      </c>
      <c r="E208" t="s">
        <v>37</v>
      </c>
      <c r="G208" s="2">
        <v>45860</v>
      </c>
      <c r="H208">
        <v>5.8524937608473222E-2</v>
      </c>
      <c r="I208" t="s">
        <v>72</v>
      </c>
      <c r="J208" t="s">
        <v>1024</v>
      </c>
      <c r="K208" t="s">
        <v>1025</v>
      </c>
      <c r="L208" t="s">
        <v>1482</v>
      </c>
      <c r="M208" t="s">
        <v>1483</v>
      </c>
      <c r="O208" t="s">
        <v>402</v>
      </c>
      <c r="P208" t="s">
        <v>403</v>
      </c>
      <c r="Q208">
        <v>5.8524937608473222E-2</v>
      </c>
      <c r="S208" t="s">
        <v>38</v>
      </c>
      <c r="T208" t="s">
        <v>1899</v>
      </c>
      <c r="V208" t="s">
        <v>73</v>
      </c>
      <c r="X208" t="s">
        <v>673</v>
      </c>
      <c r="Y208" t="s">
        <v>1031</v>
      </c>
      <c r="Z208" t="s">
        <v>49</v>
      </c>
      <c r="AA208" t="s">
        <v>75</v>
      </c>
      <c r="AB208" t="s">
        <v>453</v>
      </c>
      <c r="AC208" t="s">
        <v>1897</v>
      </c>
      <c r="AD208" t="s">
        <v>57</v>
      </c>
      <c r="AF208" t="s">
        <v>1137</v>
      </c>
      <c r="AI208">
        <v>59.991351237118131</v>
      </c>
      <c r="AJ208">
        <v>236.8429670023298</v>
      </c>
    </row>
    <row r="209" spans="1:36" x14ac:dyDescent="0.25">
      <c r="A209">
        <v>208</v>
      </c>
      <c r="B209" t="s">
        <v>1900</v>
      </c>
      <c r="C209" t="s">
        <v>376</v>
      </c>
      <c r="D209" t="s">
        <v>1481</v>
      </c>
      <c r="E209" t="s">
        <v>37</v>
      </c>
      <c r="G209" s="2">
        <v>45860</v>
      </c>
      <c r="H209">
        <v>5.7134816999035154</v>
      </c>
      <c r="I209" t="s">
        <v>72</v>
      </c>
      <c r="J209" t="s">
        <v>1024</v>
      </c>
      <c r="K209" t="s">
        <v>1025</v>
      </c>
      <c r="L209" t="s">
        <v>1482</v>
      </c>
      <c r="M209" t="s">
        <v>1483</v>
      </c>
      <c r="O209" t="s">
        <v>62</v>
      </c>
      <c r="P209" t="s">
        <v>63</v>
      </c>
      <c r="Q209">
        <v>5.7134816999035154</v>
      </c>
      <c r="R209" t="s">
        <v>64</v>
      </c>
      <c r="S209" t="s">
        <v>65</v>
      </c>
      <c r="T209" t="s">
        <v>1895</v>
      </c>
      <c r="V209" t="s">
        <v>73</v>
      </c>
      <c r="X209" t="s">
        <v>1614</v>
      </c>
      <c r="Y209" t="s">
        <v>1031</v>
      </c>
      <c r="Z209" t="s">
        <v>49</v>
      </c>
      <c r="AA209" t="s">
        <v>76</v>
      </c>
      <c r="AB209" t="s">
        <v>453</v>
      </c>
      <c r="AC209" t="s">
        <v>1838</v>
      </c>
      <c r="AD209" t="s">
        <v>1498</v>
      </c>
      <c r="AE209" t="s">
        <v>1839</v>
      </c>
      <c r="AI209">
        <v>647.27761417033526</v>
      </c>
      <c r="AJ209">
        <v>23121.732598357321</v>
      </c>
    </row>
    <row r="210" spans="1:36" hidden="1" x14ac:dyDescent="0.25">
      <c r="A210">
        <v>209</v>
      </c>
      <c r="B210" t="s">
        <v>1901</v>
      </c>
      <c r="C210" t="s">
        <v>376</v>
      </c>
      <c r="D210" t="s">
        <v>1481</v>
      </c>
      <c r="E210" t="s">
        <v>37</v>
      </c>
      <c r="G210" s="2">
        <v>45860</v>
      </c>
      <c r="H210">
        <v>7.4402164602732688</v>
      </c>
      <c r="I210" t="s">
        <v>72</v>
      </c>
      <c r="J210" t="s">
        <v>1024</v>
      </c>
      <c r="K210" t="s">
        <v>1025</v>
      </c>
      <c r="L210" t="s">
        <v>1482</v>
      </c>
      <c r="M210" t="s">
        <v>1483</v>
      </c>
      <c r="O210" t="s">
        <v>402</v>
      </c>
      <c r="P210" t="s">
        <v>403</v>
      </c>
      <c r="Q210">
        <v>7.4402164602732688</v>
      </c>
      <c r="S210" t="s">
        <v>38</v>
      </c>
      <c r="T210" t="s">
        <v>1902</v>
      </c>
      <c r="V210" t="s">
        <v>64</v>
      </c>
      <c r="X210" t="s">
        <v>673</v>
      </c>
      <c r="Y210" t="s">
        <v>1486</v>
      </c>
      <c r="Z210" t="s">
        <v>49</v>
      </c>
      <c r="AA210" t="s">
        <v>121</v>
      </c>
      <c r="AB210" t="s">
        <v>453</v>
      </c>
      <c r="AC210" t="s">
        <v>57</v>
      </c>
      <c r="AD210" t="s">
        <v>57</v>
      </c>
      <c r="AE210" t="s">
        <v>1701</v>
      </c>
      <c r="AI210">
        <v>1550.7361952565959</v>
      </c>
      <c r="AJ210">
        <v>30109.608204615452</v>
      </c>
    </row>
    <row r="211" spans="1:36" hidden="1" x14ac:dyDescent="0.25">
      <c r="A211">
        <v>210</v>
      </c>
      <c r="B211" t="s">
        <v>1903</v>
      </c>
      <c r="C211" t="s">
        <v>376</v>
      </c>
      <c r="D211" t="s">
        <v>1481</v>
      </c>
      <c r="E211" t="s">
        <v>37</v>
      </c>
      <c r="G211" s="2">
        <v>45860</v>
      </c>
      <c r="H211">
        <v>0.22163973697974251</v>
      </c>
      <c r="I211" t="s">
        <v>72</v>
      </c>
      <c r="J211" t="s">
        <v>1024</v>
      </c>
      <c r="K211" t="s">
        <v>1025</v>
      </c>
      <c r="L211" t="s">
        <v>1482</v>
      </c>
      <c r="M211" t="s">
        <v>1483</v>
      </c>
      <c r="N211" t="s">
        <v>1612</v>
      </c>
      <c r="O211" t="s">
        <v>408</v>
      </c>
      <c r="P211" t="s">
        <v>409</v>
      </c>
      <c r="Q211">
        <v>0.22163973697974251</v>
      </c>
      <c r="R211" t="s">
        <v>60</v>
      </c>
      <c r="S211" t="s">
        <v>66</v>
      </c>
      <c r="T211" t="s">
        <v>1613</v>
      </c>
      <c r="V211" t="s">
        <v>60</v>
      </c>
      <c r="X211" t="s">
        <v>1759</v>
      </c>
      <c r="Y211" t="s">
        <v>1486</v>
      </c>
      <c r="Z211" t="s">
        <v>49</v>
      </c>
      <c r="AA211" t="s">
        <v>124</v>
      </c>
      <c r="AB211" t="s">
        <v>453</v>
      </c>
      <c r="AC211" t="s">
        <v>57</v>
      </c>
      <c r="AD211" t="s">
        <v>1498</v>
      </c>
      <c r="AE211" t="s">
        <v>1623</v>
      </c>
      <c r="AI211">
        <v>149.28931813396841</v>
      </c>
      <c r="AJ211">
        <v>896.94778084305312</v>
      </c>
    </row>
    <row r="212" spans="1:36" x14ac:dyDescent="0.25">
      <c r="A212">
        <v>211</v>
      </c>
      <c r="B212" t="s">
        <v>1904</v>
      </c>
      <c r="C212" t="s">
        <v>376</v>
      </c>
      <c r="D212" t="s">
        <v>1481</v>
      </c>
      <c r="E212" t="s">
        <v>37</v>
      </c>
      <c r="G212" s="2">
        <v>45860</v>
      </c>
      <c r="H212">
        <v>8.8279508124429711</v>
      </c>
      <c r="I212" t="s">
        <v>72</v>
      </c>
      <c r="J212" t="s">
        <v>1024</v>
      </c>
      <c r="K212" t="s">
        <v>1025</v>
      </c>
      <c r="L212" t="s">
        <v>1482</v>
      </c>
      <c r="M212" t="s">
        <v>1483</v>
      </c>
      <c r="N212" t="s">
        <v>1612</v>
      </c>
      <c r="O212" t="s">
        <v>62</v>
      </c>
      <c r="P212" t="s">
        <v>63</v>
      </c>
      <c r="Q212">
        <v>8.8279508124429711</v>
      </c>
      <c r="R212" t="s">
        <v>64</v>
      </c>
      <c r="S212" t="s">
        <v>65</v>
      </c>
      <c r="T212" t="s">
        <v>1613</v>
      </c>
      <c r="V212" t="s">
        <v>46</v>
      </c>
      <c r="X212" t="s">
        <v>1614</v>
      </c>
      <c r="Y212" t="s">
        <v>1031</v>
      </c>
      <c r="Z212" t="s">
        <v>69</v>
      </c>
      <c r="AA212" t="s">
        <v>46</v>
      </c>
      <c r="AB212" t="s">
        <v>453</v>
      </c>
      <c r="AC212" t="s">
        <v>1649</v>
      </c>
      <c r="AD212" t="s">
        <v>1498</v>
      </c>
      <c r="AE212" t="s">
        <v>1905</v>
      </c>
      <c r="AI212">
        <v>834.65032468753361</v>
      </c>
      <c r="AJ212">
        <v>35725.592344192613</v>
      </c>
    </row>
    <row r="213" spans="1:36" hidden="1" x14ac:dyDescent="0.25">
      <c r="A213">
        <v>212</v>
      </c>
      <c r="B213" t="s">
        <v>1906</v>
      </c>
      <c r="C213" t="s">
        <v>376</v>
      </c>
      <c r="D213" t="s">
        <v>1481</v>
      </c>
      <c r="E213" t="s">
        <v>37</v>
      </c>
      <c r="G213" s="2">
        <v>45861</v>
      </c>
      <c r="H213">
        <v>14.71246290316895</v>
      </c>
      <c r="I213" t="s">
        <v>72</v>
      </c>
      <c r="J213" t="s">
        <v>1024</v>
      </c>
      <c r="K213" t="s">
        <v>1025</v>
      </c>
      <c r="L213" t="s">
        <v>1482</v>
      </c>
      <c r="M213" t="s">
        <v>1483</v>
      </c>
      <c r="O213" t="s">
        <v>115</v>
      </c>
      <c r="P213" t="s">
        <v>137</v>
      </c>
      <c r="Q213">
        <v>14.71246290316895</v>
      </c>
      <c r="S213" t="s">
        <v>38</v>
      </c>
      <c r="T213" t="s">
        <v>1907</v>
      </c>
      <c r="V213" t="s">
        <v>71</v>
      </c>
      <c r="Y213" t="s">
        <v>1908</v>
      </c>
      <c r="Z213" t="s">
        <v>719</v>
      </c>
      <c r="AA213" t="s">
        <v>124</v>
      </c>
      <c r="AB213" t="s">
        <v>453</v>
      </c>
      <c r="AC213" t="s">
        <v>1909</v>
      </c>
      <c r="AD213" t="s">
        <v>57</v>
      </c>
      <c r="AI213">
        <v>997.95416001999581</v>
      </c>
      <c r="AJ213">
        <v>59539.46314662545</v>
      </c>
    </row>
    <row r="214" spans="1:36" x14ac:dyDescent="0.25">
      <c r="A214">
        <v>213</v>
      </c>
      <c r="B214" t="s">
        <v>1910</v>
      </c>
      <c r="C214" t="s">
        <v>376</v>
      </c>
      <c r="D214" t="s">
        <v>1481</v>
      </c>
      <c r="E214" t="s">
        <v>37</v>
      </c>
      <c r="G214" s="2">
        <v>45860</v>
      </c>
      <c r="H214">
        <v>1.9267689903652141</v>
      </c>
      <c r="I214" t="s">
        <v>72</v>
      </c>
      <c r="J214" t="s">
        <v>1024</v>
      </c>
      <c r="K214" t="s">
        <v>1025</v>
      </c>
      <c r="L214" t="s">
        <v>1482</v>
      </c>
      <c r="M214" t="s">
        <v>1483</v>
      </c>
      <c r="O214" t="s">
        <v>62</v>
      </c>
      <c r="P214" t="s">
        <v>63</v>
      </c>
      <c r="Q214">
        <v>1.9267689903652141</v>
      </c>
      <c r="R214" t="s">
        <v>64</v>
      </c>
      <c r="S214" t="s">
        <v>65</v>
      </c>
      <c r="T214" t="s">
        <v>1911</v>
      </c>
      <c r="V214" t="s">
        <v>60</v>
      </c>
      <c r="X214" t="s">
        <v>1912</v>
      </c>
      <c r="Y214" t="s">
        <v>1486</v>
      </c>
      <c r="Z214" t="s">
        <v>49</v>
      </c>
      <c r="AA214" t="s">
        <v>121</v>
      </c>
      <c r="AB214" t="s">
        <v>453</v>
      </c>
      <c r="AC214" t="s">
        <v>1913</v>
      </c>
      <c r="AD214" t="s">
        <v>483</v>
      </c>
      <c r="AE214" t="s">
        <v>1623</v>
      </c>
      <c r="AI214">
        <v>373.03528590401402</v>
      </c>
      <c r="AJ214">
        <v>7797.3886526640499</v>
      </c>
    </row>
    <row r="215" spans="1:36" x14ac:dyDescent="0.25">
      <c r="A215">
        <v>214</v>
      </c>
      <c r="B215" t="s">
        <v>1914</v>
      </c>
      <c r="C215" t="s">
        <v>376</v>
      </c>
      <c r="D215" t="s">
        <v>1481</v>
      </c>
      <c r="E215" t="s">
        <v>37</v>
      </c>
      <c r="G215" s="2">
        <v>45860</v>
      </c>
      <c r="H215">
        <v>1.009691247496084</v>
      </c>
      <c r="I215" t="s">
        <v>72</v>
      </c>
      <c r="J215" t="s">
        <v>1024</v>
      </c>
      <c r="K215" t="s">
        <v>1025</v>
      </c>
      <c r="L215" t="s">
        <v>1482</v>
      </c>
      <c r="M215" t="s">
        <v>1483</v>
      </c>
      <c r="O215" t="s">
        <v>62</v>
      </c>
      <c r="P215" t="s">
        <v>63</v>
      </c>
      <c r="Q215">
        <v>1.009691247496084</v>
      </c>
      <c r="R215" t="s">
        <v>64</v>
      </c>
      <c r="S215" t="s">
        <v>65</v>
      </c>
      <c r="T215" t="s">
        <v>1915</v>
      </c>
      <c r="V215" t="s">
        <v>64</v>
      </c>
      <c r="X215" t="s">
        <v>1916</v>
      </c>
      <c r="Y215" t="s">
        <v>1486</v>
      </c>
      <c r="Z215" t="s">
        <v>49</v>
      </c>
      <c r="AA215" t="s">
        <v>576</v>
      </c>
      <c r="AB215" t="s">
        <v>453</v>
      </c>
      <c r="AC215" t="s">
        <v>1917</v>
      </c>
      <c r="AD215" t="s">
        <v>483</v>
      </c>
      <c r="AE215" t="s">
        <v>1740</v>
      </c>
      <c r="AI215">
        <v>258.11632313292853</v>
      </c>
      <c r="AJ215">
        <v>4086.0918539216682</v>
      </c>
    </row>
    <row r="216" spans="1:36" x14ac:dyDescent="0.25">
      <c r="A216">
        <v>215</v>
      </c>
      <c r="B216" t="s">
        <v>1918</v>
      </c>
      <c r="C216" t="s">
        <v>376</v>
      </c>
      <c r="D216" t="s">
        <v>1481</v>
      </c>
      <c r="E216" t="s">
        <v>37</v>
      </c>
      <c r="G216" s="2">
        <v>45860</v>
      </c>
      <c r="H216">
        <v>1.073646149699599</v>
      </c>
      <c r="I216" t="s">
        <v>72</v>
      </c>
      <c r="J216" t="s">
        <v>1024</v>
      </c>
      <c r="K216" t="s">
        <v>1025</v>
      </c>
      <c r="L216" t="s">
        <v>1482</v>
      </c>
      <c r="M216" t="s">
        <v>1483</v>
      </c>
      <c r="O216" t="s">
        <v>62</v>
      </c>
      <c r="P216" t="s">
        <v>63</v>
      </c>
      <c r="Q216">
        <v>1.073646149699599</v>
      </c>
      <c r="R216" t="s">
        <v>64</v>
      </c>
      <c r="S216" t="s">
        <v>65</v>
      </c>
      <c r="T216" t="s">
        <v>1919</v>
      </c>
      <c r="V216" t="s">
        <v>60</v>
      </c>
      <c r="X216" t="s">
        <v>1920</v>
      </c>
      <c r="Y216" t="s">
        <v>1486</v>
      </c>
      <c r="Z216" t="s">
        <v>49</v>
      </c>
      <c r="AA216" t="s">
        <v>121</v>
      </c>
      <c r="AB216" t="s">
        <v>453</v>
      </c>
      <c r="AC216" t="s">
        <v>57</v>
      </c>
      <c r="AD216" t="s">
        <v>1498</v>
      </c>
      <c r="AE216" t="s">
        <v>1754</v>
      </c>
      <c r="AI216">
        <v>376.96417777401382</v>
      </c>
      <c r="AJ216">
        <v>4344.9091959162597</v>
      </c>
    </row>
    <row r="217" spans="1:36" x14ac:dyDescent="0.25">
      <c r="A217">
        <v>216</v>
      </c>
      <c r="B217" t="s">
        <v>1921</v>
      </c>
      <c r="C217" t="s">
        <v>376</v>
      </c>
      <c r="D217" t="s">
        <v>1481</v>
      </c>
      <c r="E217" t="s">
        <v>37</v>
      </c>
      <c r="G217" s="2">
        <v>45860</v>
      </c>
      <c r="H217">
        <v>0.2485373032203701</v>
      </c>
      <c r="I217" t="s">
        <v>72</v>
      </c>
      <c r="J217" t="s">
        <v>1024</v>
      </c>
      <c r="K217" t="s">
        <v>1025</v>
      </c>
      <c r="L217" t="s">
        <v>1482</v>
      </c>
      <c r="M217" t="s">
        <v>1483</v>
      </c>
      <c r="O217" t="s">
        <v>62</v>
      </c>
      <c r="P217" t="s">
        <v>63</v>
      </c>
      <c r="Q217">
        <v>0.2485373032203701</v>
      </c>
      <c r="R217" t="s">
        <v>64</v>
      </c>
      <c r="S217" t="s">
        <v>65</v>
      </c>
      <c r="T217" t="s">
        <v>1922</v>
      </c>
      <c r="V217" t="s">
        <v>64</v>
      </c>
      <c r="X217" t="s">
        <v>1923</v>
      </c>
      <c r="Y217" t="s">
        <v>1486</v>
      </c>
      <c r="Z217" t="s">
        <v>49</v>
      </c>
      <c r="AA217" t="s">
        <v>121</v>
      </c>
      <c r="AB217" t="s">
        <v>453</v>
      </c>
      <c r="AC217" t="s">
        <v>1924</v>
      </c>
      <c r="AD217" t="s">
        <v>1327</v>
      </c>
      <c r="AE217" t="s">
        <v>1328</v>
      </c>
      <c r="AI217">
        <v>154.44932383640969</v>
      </c>
      <c r="AJ217">
        <v>1005.798804934527</v>
      </c>
    </row>
    <row r="218" spans="1:36" hidden="1" x14ac:dyDescent="0.25">
      <c r="A218">
        <v>217</v>
      </c>
      <c r="B218" t="s">
        <v>1925</v>
      </c>
      <c r="C218" t="s">
        <v>376</v>
      </c>
      <c r="D218" t="s">
        <v>1481</v>
      </c>
      <c r="E218" t="s">
        <v>37</v>
      </c>
      <c r="G218" s="2">
        <v>45860</v>
      </c>
      <c r="H218">
        <v>9.0573215371480886E-2</v>
      </c>
      <c r="I218" t="s">
        <v>72</v>
      </c>
      <c r="J218" t="s">
        <v>1024</v>
      </c>
      <c r="K218" t="s">
        <v>1025</v>
      </c>
      <c r="L218" t="s">
        <v>1482</v>
      </c>
      <c r="M218" t="s">
        <v>1483</v>
      </c>
      <c r="O218" t="s">
        <v>99</v>
      </c>
      <c r="P218" t="s">
        <v>100</v>
      </c>
      <c r="Q218">
        <v>9.0573215371480886E-2</v>
      </c>
      <c r="R218" t="s">
        <v>73</v>
      </c>
      <c r="S218" t="s">
        <v>74</v>
      </c>
      <c r="T218" t="s">
        <v>1926</v>
      </c>
      <c r="V218" t="s">
        <v>64</v>
      </c>
      <c r="X218" t="s">
        <v>1923</v>
      </c>
      <c r="Y218" t="s">
        <v>1486</v>
      </c>
      <c r="Z218" t="s">
        <v>49</v>
      </c>
      <c r="AA218" t="s">
        <v>121</v>
      </c>
      <c r="AB218" t="s">
        <v>453</v>
      </c>
      <c r="AC218" t="s">
        <v>1924</v>
      </c>
      <c r="AD218" t="s">
        <v>1327</v>
      </c>
      <c r="AE218" t="s">
        <v>1328</v>
      </c>
      <c r="AI218">
        <v>90.088186208025093</v>
      </c>
      <c r="AJ218">
        <v>366.53826447508749</v>
      </c>
    </row>
    <row r="219" spans="1:36" hidden="1" x14ac:dyDescent="0.25">
      <c r="A219">
        <v>218</v>
      </c>
      <c r="B219" t="s">
        <v>1927</v>
      </c>
      <c r="C219" t="s">
        <v>376</v>
      </c>
      <c r="D219" t="s">
        <v>1481</v>
      </c>
      <c r="E219" t="s">
        <v>37</v>
      </c>
      <c r="G219" s="2">
        <v>45861</v>
      </c>
      <c r="H219">
        <v>0.41588205805685619</v>
      </c>
      <c r="I219" t="s">
        <v>72</v>
      </c>
      <c r="J219" t="s">
        <v>1024</v>
      </c>
      <c r="K219" t="s">
        <v>1025</v>
      </c>
      <c r="L219" t="s">
        <v>1482</v>
      </c>
      <c r="M219" t="s">
        <v>1483</v>
      </c>
      <c r="O219" t="s">
        <v>408</v>
      </c>
      <c r="P219" t="s">
        <v>409</v>
      </c>
      <c r="Q219">
        <v>0.41588205805685619</v>
      </c>
      <c r="R219" t="s">
        <v>60</v>
      </c>
      <c r="S219" t="s">
        <v>66</v>
      </c>
      <c r="T219" t="s">
        <v>1928</v>
      </c>
      <c r="V219" t="s">
        <v>110</v>
      </c>
      <c r="X219" t="s">
        <v>1929</v>
      </c>
      <c r="Y219" t="s">
        <v>1486</v>
      </c>
      <c r="Z219" t="s">
        <v>49</v>
      </c>
      <c r="AA219" t="s">
        <v>460</v>
      </c>
      <c r="AB219" t="s">
        <v>453</v>
      </c>
      <c r="AC219" t="s">
        <v>1930</v>
      </c>
      <c r="AD219" t="s">
        <v>1493</v>
      </c>
      <c r="AE219" t="s">
        <v>808</v>
      </c>
      <c r="AI219">
        <v>327.13606998388082</v>
      </c>
      <c r="AJ219">
        <v>1683.0217096884251</v>
      </c>
    </row>
    <row r="220" spans="1:36" hidden="1" x14ac:dyDescent="0.25">
      <c r="A220">
        <v>219</v>
      </c>
      <c r="B220" t="s">
        <v>1931</v>
      </c>
      <c r="C220" t="s">
        <v>376</v>
      </c>
      <c r="D220" t="s">
        <v>1481</v>
      </c>
      <c r="E220" t="s">
        <v>37</v>
      </c>
      <c r="G220" s="2">
        <v>45861</v>
      </c>
      <c r="H220">
        <v>7.7011254661549025E-2</v>
      </c>
      <c r="I220" t="s">
        <v>72</v>
      </c>
      <c r="J220" t="s">
        <v>1024</v>
      </c>
      <c r="K220" t="s">
        <v>1025</v>
      </c>
      <c r="L220" t="s">
        <v>1482</v>
      </c>
      <c r="M220" t="s">
        <v>1483</v>
      </c>
      <c r="O220" t="s">
        <v>99</v>
      </c>
      <c r="P220" t="s">
        <v>100</v>
      </c>
      <c r="Q220">
        <v>7.7011254661549025E-2</v>
      </c>
      <c r="R220" t="s">
        <v>73</v>
      </c>
      <c r="S220" t="s">
        <v>74</v>
      </c>
      <c r="T220" t="s">
        <v>1932</v>
      </c>
      <c r="V220" t="s">
        <v>110</v>
      </c>
      <c r="X220" t="s">
        <v>1929</v>
      </c>
      <c r="Y220" t="s">
        <v>1486</v>
      </c>
      <c r="Z220" t="s">
        <v>49</v>
      </c>
      <c r="AA220" t="s">
        <v>460</v>
      </c>
      <c r="AB220" t="s">
        <v>453</v>
      </c>
      <c r="AC220" t="s">
        <v>1930</v>
      </c>
      <c r="AD220" t="s">
        <v>1493</v>
      </c>
      <c r="AE220" t="s">
        <v>808</v>
      </c>
      <c r="AI220">
        <v>73.678761166395304</v>
      </c>
      <c r="AJ220">
        <v>311.65473714187362</v>
      </c>
    </row>
    <row r="221" spans="1:36" x14ac:dyDescent="0.25">
      <c r="A221">
        <v>220</v>
      </c>
      <c r="B221" t="s">
        <v>1933</v>
      </c>
      <c r="C221" t="s">
        <v>376</v>
      </c>
      <c r="D221" t="s">
        <v>1481</v>
      </c>
      <c r="E221" t="s">
        <v>37</v>
      </c>
      <c r="G221" s="2">
        <v>45860</v>
      </c>
      <c r="H221">
        <v>23.206894221944872</v>
      </c>
      <c r="I221" t="s">
        <v>72</v>
      </c>
      <c r="J221" t="s">
        <v>1024</v>
      </c>
      <c r="K221" t="s">
        <v>1025</v>
      </c>
      <c r="L221" t="s">
        <v>1482</v>
      </c>
      <c r="M221" t="s">
        <v>1483</v>
      </c>
      <c r="O221" t="s">
        <v>62</v>
      </c>
      <c r="P221" t="s">
        <v>63</v>
      </c>
      <c r="Q221">
        <v>23.206894221944872</v>
      </c>
      <c r="R221" t="s">
        <v>64</v>
      </c>
      <c r="S221" t="s">
        <v>65</v>
      </c>
      <c r="T221" t="s">
        <v>1934</v>
      </c>
      <c r="V221" t="s">
        <v>60</v>
      </c>
      <c r="X221" t="s">
        <v>1575</v>
      </c>
      <c r="Y221" t="s">
        <v>1486</v>
      </c>
      <c r="Z221" t="s">
        <v>49</v>
      </c>
      <c r="AA221" t="s">
        <v>121</v>
      </c>
      <c r="AB221" t="s">
        <v>453</v>
      </c>
      <c r="AC221" t="s">
        <v>1492</v>
      </c>
      <c r="AD221" t="s">
        <v>656</v>
      </c>
      <c r="AE221" t="s">
        <v>1576</v>
      </c>
      <c r="AI221">
        <v>1715.6739711753839</v>
      </c>
      <c r="AJ221">
        <v>93915.344587037733</v>
      </c>
    </row>
    <row r="222" spans="1:36" x14ac:dyDescent="0.25">
      <c r="A222">
        <v>221</v>
      </c>
      <c r="B222" t="s">
        <v>1935</v>
      </c>
      <c r="C222" t="s">
        <v>376</v>
      </c>
      <c r="D222" t="s">
        <v>1481</v>
      </c>
      <c r="E222" t="s">
        <v>37</v>
      </c>
      <c r="G222" s="2">
        <v>45860</v>
      </c>
      <c r="H222">
        <v>0.29945219447944132</v>
      </c>
      <c r="I222" t="s">
        <v>72</v>
      </c>
      <c r="J222" t="s">
        <v>1024</v>
      </c>
      <c r="K222" t="s">
        <v>1025</v>
      </c>
      <c r="L222" t="s">
        <v>1482</v>
      </c>
      <c r="M222" t="s">
        <v>1483</v>
      </c>
      <c r="O222" t="s">
        <v>62</v>
      </c>
      <c r="P222" t="s">
        <v>63</v>
      </c>
      <c r="Q222">
        <v>0.29945219447944132</v>
      </c>
      <c r="R222" t="s">
        <v>64</v>
      </c>
      <c r="S222" t="s">
        <v>65</v>
      </c>
      <c r="T222" t="s">
        <v>1936</v>
      </c>
      <c r="V222" t="s">
        <v>73</v>
      </c>
      <c r="X222" t="s">
        <v>1937</v>
      </c>
      <c r="Y222" t="s">
        <v>1031</v>
      </c>
      <c r="Z222" t="s">
        <v>69</v>
      </c>
      <c r="AA222" t="s">
        <v>75</v>
      </c>
      <c r="AB222" t="s">
        <v>453</v>
      </c>
      <c r="AC222" t="s">
        <v>1938</v>
      </c>
      <c r="AD222" t="s">
        <v>483</v>
      </c>
      <c r="AE222" t="s">
        <v>1740</v>
      </c>
      <c r="AI222">
        <v>166.3236164052845</v>
      </c>
      <c r="AJ222">
        <v>1211.844883805589</v>
      </c>
    </row>
    <row r="223" spans="1:36" x14ac:dyDescent="0.25">
      <c r="A223">
        <v>222</v>
      </c>
      <c r="B223" t="s">
        <v>1939</v>
      </c>
      <c r="C223" t="s">
        <v>376</v>
      </c>
      <c r="D223" t="s">
        <v>1481</v>
      </c>
      <c r="E223" t="s">
        <v>37</v>
      </c>
      <c r="G223" s="2">
        <v>45860</v>
      </c>
      <c r="H223">
        <v>1.413580534322229</v>
      </c>
      <c r="I223" t="s">
        <v>72</v>
      </c>
      <c r="J223" t="s">
        <v>1024</v>
      </c>
      <c r="K223" t="s">
        <v>1025</v>
      </c>
      <c r="L223" t="s">
        <v>1482</v>
      </c>
      <c r="M223" t="s">
        <v>1483</v>
      </c>
      <c r="O223" t="s">
        <v>62</v>
      </c>
      <c r="P223" t="s">
        <v>63</v>
      </c>
      <c r="Q223">
        <v>1.413580534322229</v>
      </c>
      <c r="R223" t="s">
        <v>64</v>
      </c>
      <c r="S223" t="s">
        <v>65</v>
      </c>
      <c r="T223" t="s">
        <v>1940</v>
      </c>
      <c r="V223" t="s">
        <v>73</v>
      </c>
      <c r="X223" t="s">
        <v>1937</v>
      </c>
      <c r="Y223" t="s">
        <v>1031</v>
      </c>
      <c r="Z223" t="s">
        <v>49</v>
      </c>
      <c r="AA223" t="s">
        <v>75</v>
      </c>
      <c r="AB223" t="s">
        <v>453</v>
      </c>
      <c r="AC223" t="s">
        <v>1938</v>
      </c>
      <c r="AD223" t="s">
        <v>483</v>
      </c>
      <c r="AE223" t="s">
        <v>1740</v>
      </c>
      <c r="AI223">
        <v>302.19900753059432</v>
      </c>
      <c r="AJ223">
        <v>5720.5803462000385</v>
      </c>
    </row>
    <row r="224" spans="1:36" x14ac:dyDescent="0.25">
      <c r="A224">
        <v>223</v>
      </c>
      <c r="B224" t="s">
        <v>1941</v>
      </c>
      <c r="C224" t="s">
        <v>376</v>
      </c>
      <c r="D224" t="s">
        <v>1481</v>
      </c>
      <c r="E224" t="s">
        <v>37</v>
      </c>
      <c r="G224" s="2">
        <v>45860</v>
      </c>
      <c r="H224">
        <v>1.0676899906183721</v>
      </c>
      <c r="I224" t="s">
        <v>72</v>
      </c>
      <c r="J224" t="s">
        <v>1024</v>
      </c>
      <c r="K224" t="s">
        <v>1025</v>
      </c>
      <c r="L224" t="s">
        <v>1482</v>
      </c>
      <c r="M224" t="s">
        <v>1483</v>
      </c>
      <c r="N224" t="s">
        <v>1612</v>
      </c>
      <c r="O224" t="s">
        <v>62</v>
      </c>
      <c r="P224" t="s">
        <v>63</v>
      </c>
      <c r="Q224">
        <v>1.0676899906183721</v>
      </c>
      <c r="R224" t="s">
        <v>64</v>
      </c>
      <c r="S224" t="s">
        <v>65</v>
      </c>
      <c r="T224" t="s">
        <v>1942</v>
      </c>
      <c r="V224" t="s">
        <v>73</v>
      </c>
      <c r="X224" t="s">
        <v>1943</v>
      </c>
      <c r="Y224" t="s">
        <v>1031</v>
      </c>
      <c r="Z224" t="s">
        <v>49</v>
      </c>
      <c r="AA224" t="s">
        <v>76</v>
      </c>
      <c r="AB224" t="s">
        <v>453</v>
      </c>
      <c r="AC224" t="s">
        <v>1944</v>
      </c>
      <c r="AD224" t="s">
        <v>1498</v>
      </c>
      <c r="AE224" t="s">
        <v>1754</v>
      </c>
      <c r="AI224">
        <v>317.55237134675968</v>
      </c>
      <c r="AJ224">
        <v>4320.8053788703874</v>
      </c>
    </row>
    <row r="225" spans="1:36" x14ac:dyDescent="0.25">
      <c r="A225">
        <v>224</v>
      </c>
      <c r="B225" t="s">
        <v>1945</v>
      </c>
      <c r="C225" t="s">
        <v>376</v>
      </c>
      <c r="D225" t="s">
        <v>1481</v>
      </c>
      <c r="E225" t="s">
        <v>37</v>
      </c>
      <c r="G225" s="2">
        <v>45860</v>
      </c>
      <c r="H225">
        <v>1.032501125746758</v>
      </c>
      <c r="I225" t="s">
        <v>72</v>
      </c>
      <c r="J225" t="s">
        <v>1024</v>
      </c>
      <c r="K225" t="s">
        <v>1025</v>
      </c>
      <c r="L225" t="s">
        <v>1482</v>
      </c>
      <c r="M225" t="s">
        <v>1483</v>
      </c>
      <c r="N225" t="s">
        <v>1612</v>
      </c>
      <c r="O225" t="s">
        <v>62</v>
      </c>
      <c r="P225" t="s">
        <v>63</v>
      </c>
      <c r="Q225">
        <v>1.032501125746758</v>
      </c>
      <c r="R225" t="s">
        <v>64</v>
      </c>
      <c r="S225" t="s">
        <v>65</v>
      </c>
      <c r="T225" t="s">
        <v>1946</v>
      </c>
      <c r="V225" t="s">
        <v>46</v>
      </c>
      <c r="X225" t="s">
        <v>1614</v>
      </c>
      <c r="Y225" t="s">
        <v>1031</v>
      </c>
      <c r="Z225" t="s">
        <v>49</v>
      </c>
      <c r="AA225" t="s">
        <v>46</v>
      </c>
      <c r="AB225" t="s">
        <v>453</v>
      </c>
      <c r="AC225" t="s">
        <v>1947</v>
      </c>
      <c r="AD225" t="s">
        <v>1498</v>
      </c>
      <c r="AE225" t="s">
        <v>528</v>
      </c>
      <c r="AI225">
        <v>266.10449476530158</v>
      </c>
      <c r="AJ225">
        <v>4178.4005254488866</v>
      </c>
    </row>
    <row r="226" spans="1:36" x14ac:dyDescent="0.25">
      <c r="A226">
        <v>225</v>
      </c>
      <c r="B226" t="s">
        <v>1948</v>
      </c>
      <c r="C226" t="s">
        <v>376</v>
      </c>
      <c r="D226" t="s">
        <v>1481</v>
      </c>
      <c r="E226" t="s">
        <v>37</v>
      </c>
      <c r="G226" s="2">
        <v>45860</v>
      </c>
      <c r="H226">
        <v>0.72093972990453337</v>
      </c>
      <c r="I226" t="s">
        <v>72</v>
      </c>
      <c r="J226" t="s">
        <v>1024</v>
      </c>
      <c r="K226" t="s">
        <v>1025</v>
      </c>
      <c r="L226" t="s">
        <v>1482</v>
      </c>
      <c r="M226" t="s">
        <v>1483</v>
      </c>
      <c r="N226" t="s">
        <v>1612</v>
      </c>
      <c r="O226" t="s">
        <v>62</v>
      </c>
      <c r="P226" t="s">
        <v>63</v>
      </c>
      <c r="Q226">
        <v>0.72093972990453337</v>
      </c>
      <c r="R226" t="s">
        <v>64</v>
      </c>
      <c r="S226" t="s">
        <v>65</v>
      </c>
      <c r="T226" t="s">
        <v>1949</v>
      </c>
      <c r="V226" t="s">
        <v>60</v>
      </c>
      <c r="X226" t="s">
        <v>1759</v>
      </c>
      <c r="Y226" t="s">
        <v>1486</v>
      </c>
      <c r="Z226" t="s">
        <v>49</v>
      </c>
      <c r="AA226" t="s">
        <v>124</v>
      </c>
      <c r="AB226" t="s">
        <v>453</v>
      </c>
      <c r="AC226" t="s">
        <v>1950</v>
      </c>
      <c r="AD226" t="s">
        <v>1498</v>
      </c>
      <c r="AE226" t="s">
        <v>1623</v>
      </c>
      <c r="AI226">
        <v>281.07470790976049</v>
      </c>
      <c r="AJ226">
        <v>2917.551246320797</v>
      </c>
    </row>
    <row r="227" spans="1:36" x14ac:dyDescent="0.25">
      <c r="A227">
        <v>226</v>
      </c>
      <c r="B227" t="s">
        <v>1951</v>
      </c>
      <c r="C227" t="s">
        <v>376</v>
      </c>
      <c r="D227" t="s">
        <v>1481</v>
      </c>
      <c r="E227" t="s">
        <v>37</v>
      </c>
      <c r="G227" s="2">
        <v>45860</v>
      </c>
      <c r="H227">
        <v>0.58783810326345298</v>
      </c>
      <c r="I227" t="s">
        <v>72</v>
      </c>
      <c r="J227" t="s">
        <v>1024</v>
      </c>
      <c r="K227" t="s">
        <v>1025</v>
      </c>
      <c r="L227" t="s">
        <v>1482</v>
      </c>
      <c r="M227" t="s">
        <v>1483</v>
      </c>
      <c r="N227" t="s">
        <v>1612</v>
      </c>
      <c r="O227" t="s">
        <v>62</v>
      </c>
      <c r="P227" t="s">
        <v>63</v>
      </c>
      <c r="Q227">
        <v>0.58783810326345298</v>
      </c>
      <c r="R227" t="s">
        <v>64</v>
      </c>
      <c r="S227" t="s">
        <v>65</v>
      </c>
      <c r="T227" t="s">
        <v>1952</v>
      </c>
      <c r="V227" t="s">
        <v>60</v>
      </c>
      <c r="X227" t="s">
        <v>1953</v>
      </c>
      <c r="Y227" t="s">
        <v>1486</v>
      </c>
      <c r="Z227" t="s">
        <v>49</v>
      </c>
      <c r="AA227" t="s">
        <v>124</v>
      </c>
      <c r="AB227" t="s">
        <v>453</v>
      </c>
      <c r="AC227" t="s">
        <v>1954</v>
      </c>
      <c r="AD227" t="s">
        <v>1498</v>
      </c>
      <c r="AE227" t="s">
        <v>1623</v>
      </c>
      <c r="AI227">
        <v>284.01174635123448</v>
      </c>
      <c r="AJ227">
        <v>2378.9059191372999</v>
      </c>
    </row>
    <row r="228" spans="1:36" x14ac:dyDescent="0.25">
      <c r="A228">
        <v>227</v>
      </c>
      <c r="B228" t="s">
        <v>1955</v>
      </c>
      <c r="C228" t="s">
        <v>376</v>
      </c>
      <c r="D228" t="s">
        <v>1481</v>
      </c>
      <c r="E228" t="s">
        <v>37</v>
      </c>
      <c r="G228" s="2">
        <v>45860</v>
      </c>
      <c r="H228">
        <v>0.30487356722404618</v>
      </c>
      <c r="I228" t="s">
        <v>72</v>
      </c>
      <c r="J228" t="s">
        <v>1024</v>
      </c>
      <c r="K228" t="s">
        <v>1025</v>
      </c>
      <c r="L228" t="s">
        <v>1482</v>
      </c>
      <c r="M228" t="s">
        <v>1483</v>
      </c>
      <c r="N228" t="s">
        <v>1612</v>
      </c>
      <c r="O228" t="s">
        <v>62</v>
      </c>
      <c r="P228" t="s">
        <v>63</v>
      </c>
      <c r="Q228">
        <v>0.30487356722404618</v>
      </c>
      <c r="R228" t="s">
        <v>64</v>
      </c>
      <c r="S228" t="s">
        <v>65</v>
      </c>
      <c r="T228" t="s">
        <v>1956</v>
      </c>
      <c r="V228" t="s">
        <v>60</v>
      </c>
      <c r="X228" t="s">
        <v>1957</v>
      </c>
      <c r="Y228" t="s">
        <v>1486</v>
      </c>
      <c r="Z228" t="s">
        <v>49</v>
      </c>
      <c r="AA228" t="s">
        <v>124</v>
      </c>
      <c r="AB228" t="s">
        <v>453</v>
      </c>
      <c r="AC228" t="s">
        <v>1958</v>
      </c>
      <c r="AD228" t="s">
        <v>1498</v>
      </c>
      <c r="AE228" t="s">
        <v>1623</v>
      </c>
      <c r="AI228">
        <v>179.48410306072671</v>
      </c>
      <c r="AJ228">
        <v>1233.7844886736491</v>
      </c>
    </row>
    <row r="229" spans="1:36" x14ac:dyDescent="0.25">
      <c r="A229">
        <v>228</v>
      </c>
      <c r="B229" t="s">
        <v>1959</v>
      </c>
      <c r="C229" t="s">
        <v>376</v>
      </c>
      <c r="D229" t="s">
        <v>1481</v>
      </c>
      <c r="E229" t="s">
        <v>37</v>
      </c>
      <c r="G229" s="2">
        <v>45860</v>
      </c>
      <c r="H229">
        <v>0.9496893745526892</v>
      </c>
      <c r="I229" t="s">
        <v>72</v>
      </c>
      <c r="J229" t="s">
        <v>1024</v>
      </c>
      <c r="K229" t="s">
        <v>1025</v>
      </c>
      <c r="L229" t="s">
        <v>1482</v>
      </c>
      <c r="M229" t="s">
        <v>1483</v>
      </c>
      <c r="N229" t="s">
        <v>1612</v>
      </c>
      <c r="O229" t="s">
        <v>62</v>
      </c>
      <c r="P229" t="s">
        <v>63</v>
      </c>
      <c r="Q229">
        <v>0.9496893745526892</v>
      </c>
      <c r="R229" t="s">
        <v>64</v>
      </c>
      <c r="S229" t="s">
        <v>65</v>
      </c>
      <c r="T229" t="s">
        <v>1960</v>
      </c>
      <c r="V229" t="s">
        <v>46</v>
      </c>
      <c r="X229" t="s">
        <v>1957</v>
      </c>
      <c r="Y229" t="s">
        <v>1486</v>
      </c>
      <c r="Z229" t="s">
        <v>49</v>
      </c>
      <c r="AA229" t="s">
        <v>124</v>
      </c>
      <c r="AB229" t="s">
        <v>453</v>
      </c>
      <c r="AC229" t="s">
        <v>1961</v>
      </c>
      <c r="AD229" t="s">
        <v>1498</v>
      </c>
      <c r="AE229" t="s">
        <v>1962</v>
      </c>
      <c r="AI229">
        <v>250.9531842392233</v>
      </c>
      <c r="AJ229">
        <v>3843.2719177658869</v>
      </c>
    </row>
    <row r="230" spans="1:36" x14ac:dyDescent="0.25">
      <c r="A230">
        <v>229</v>
      </c>
      <c r="B230" t="s">
        <v>1963</v>
      </c>
      <c r="C230" t="s">
        <v>376</v>
      </c>
      <c r="D230" t="s">
        <v>1481</v>
      </c>
      <c r="E230" t="s">
        <v>37</v>
      </c>
      <c r="G230" s="2">
        <v>45860</v>
      </c>
      <c r="H230">
        <v>0.61859776555905477</v>
      </c>
      <c r="I230" t="s">
        <v>72</v>
      </c>
      <c r="J230" t="s">
        <v>1024</v>
      </c>
      <c r="K230" t="s">
        <v>1025</v>
      </c>
      <c r="L230" t="s">
        <v>1482</v>
      </c>
      <c r="M230" t="s">
        <v>1483</v>
      </c>
      <c r="N230" t="s">
        <v>1612</v>
      </c>
      <c r="O230" t="s">
        <v>62</v>
      </c>
      <c r="P230" t="s">
        <v>63</v>
      </c>
      <c r="Q230">
        <v>0.61859776555905477</v>
      </c>
      <c r="R230" t="s">
        <v>64</v>
      </c>
      <c r="S230" t="s">
        <v>65</v>
      </c>
      <c r="T230" t="s">
        <v>1960</v>
      </c>
      <c r="V230" t="s">
        <v>46</v>
      </c>
      <c r="X230" t="s">
        <v>1614</v>
      </c>
      <c r="Y230" t="s">
        <v>1031</v>
      </c>
      <c r="Z230" t="s">
        <v>49</v>
      </c>
      <c r="AA230" t="s">
        <v>46</v>
      </c>
      <c r="AB230" t="s">
        <v>453</v>
      </c>
      <c r="AC230" t="s">
        <v>1961</v>
      </c>
      <c r="AD230" t="s">
        <v>1498</v>
      </c>
      <c r="AE230" t="s">
        <v>1962</v>
      </c>
      <c r="AI230">
        <v>214.4537068420334</v>
      </c>
      <c r="AJ230">
        <v>2503.386353970353</v>
      </c>
    </row>
    <row r="231" spans="1:36" x14ac:dyDescent="0.25">
      <c r="A231">
        <v>230</v>
      </c>
      <c r="B231" t="s">
        <v>1964</v>
      </c>
      <c r="C231" t="s">
        <v>376</v>
      </c>
      <c r="D231" t="s">
        <v>1481</v>
      </c>
      <c r="E231" t="s">
        <v>37</v>
      </c>
      <c r="G231" s="2">
        <v>45860</v>
      </c>
      <c r="H231">
        <v>0.30341857676302381</v>
      </c>
      <c r="I231" t="s">
        <v>72</v>
      </c>
      <c r="J231" t="s">
        <v>1024</v>
      </c>
      <c r="K231" t="s">
        <v>1025</v>
      </c>
      <c r="L231" t="s">
        <v>1482</v>
      </c>
      <c r="M231" t="s">
        <v>1483</v>
      </c>
      <c r="N231" t="s">
        <v>1612</v>
      </c>
      <c r="O231" t="s">
        <v>62</v>
      </c>
      <c r="P231" t="s">
        <v>63</v>
      </c>
      <c r="Q231">
        <v>0.30341857676302381</v>
      </c>
      <c r="R231" t="s">
        <v>64</v>
      </c>
      <c r="S231" t="s">
        <v>65</v>
      </c>
      <c r="T231" t="s">
        <v>1965</v>
      </c>
      <c r="V231" t="s">
        <v>73</v>
      </c>
      <c r="X231" t="s">
        <v>1966</v>
      </c>
      <c r="Y231" t="s">
        <v>1031</v>
      </c>
      <c r="Z231" t="s">
        <v>49</v>
      </c>
      <c r="AA231" t="s">
        <v>76</v>
      </c>
      <c r="AB231" t="s">
        <v>453</v>
      </c>
      <c r="AC231" t="s">
        <v>1967</v>
      </c>
      <c r="AD231" t="s">
        <v>1498</v>
      </c>
      <c r="AE231" t="s">
        <v>1754</v>
      </c>
      <c r="AI231">
        <v>140.19058635747541</v>
      </c>
      <c r="AJ231">
        <v>1227.8963276293091</v>
      </c>
    </row>
    <row r="232" spans="1:36" x14ac:dyDescent="0.25">
      <c r="A232">
        <v>231</v>
      </c>
      <c r="B232" t="s">
        <v>1968</v>
      </c>
      <c r="C232" t="s">
        <v>376</v>
      </c>
      <c r="D232" t="s">
        <v>1481</v>
      </c>
      <c r="E232" t="s">
        <v>37</v>
      </c>
      <c r="G232" s="2">
        <v>45860</v>
      </c>
      <c r="H232">
        <v>1.027313874254467</v>
      </c>
      <c r="I232" t="s">
        <v>72</v>
      </c>
      <c r="J232" t="s">
        <v>1024</v>
      </c>
      <c r="K232" t="s">
        <v>1025</v>
      </c>
      <c r="L232" t="s">
        <v>1482</v>
      </c>
      <c r="M232" t="s">
        <v>1483</v>
      </c>
      <c r="N232" t="s">
        <v>1612</v>
      </c>
      <c r="O232" t="s">
        <v>62</v>
      </c>
      <c r="P232" t="s">
        <v>63</v>
      </c>
      <c r="Q232">
        <v>1.027313874254467</v>
      </c>
      <c r="R232" t="s">
        <v>64</v>
      </c>
      <c r="S232" t="s">
        <v>65</v>
      </c>
      <c r="T232" t="s">
        <v>1969</v>
      </c>
      <c r="V232" t="s">
        <v>73</v>
      </c>
      <c r="X232" t="s">
        <v>1970</v>
      </c>
      <c r="Y232" t="s">
        <v>1031</v>
      </c>
      <c r="Z232" t="s">
        <v>49</v>
      </c>
      <c r="AA232" t="s">
        <v>76</v>
      </c>
      <c r="AB232" t="s">
        <v>453</v>
      </c>
      <c r="AC232" t="s">
        <v>1971</v>
      </c>
      <c r="AD232" t="s">
        <v>1498</v>
      </c>
      <c r="AE232" t="s">
        <v>1972</v>
      </c>
      <c r="AI232">
        <v>345.5627807184722</v>
      </c>
      <c r="AJ232">
        <v>4157.408379464202</v>
      </c>
    </row>
    <row r="233" spans="1:36" x14ac:dyDescent="0.25">
      <c r="A233">
        <v>232</v>
      </c>
      <c r="B233" t="s">
        <v>1973</v>
      </c>
      <c r="C233" t="s">
        <v>376</v>
      </c>
      <c r="D233" t="s">
        <v>1481</v>
      </c>
      <c r="E233" t="s">
        <v>37</v>
      </c>
      <c r="G233" s="2">
        <v>45860</v>
      </c>
      <c r="H233">
        <v>1.0122060639702271</v>
      </c>
      <c r="I233" t="s">
        <v>72</v>
      </c>
      <c r="J233" t="s">
        <v>1024</v>
      </c>
      <c r="K233" t="s">
        <v>1025</v>
      </c>
      <c r="L233" t="s">
        <v>1482</v>
      </c>
      <c r="M233" t="s">
        <v>1483</v>
      </c>
      <c r="N233" t="s">
        <v>1612</v>
      </c>
      <c r="O233" t="s">
        <v>62</v>
      </c>
      <c r="P233" t="s">
        <v>63</v>
      </c>
      <c r="Q233">
        <v>1.0122060639702271</v>
      </c>
      <c r="R233" t="s">
        <v>64</v>
      </c>
      <c r="S233" t="s">
        <v>65</v>
      </c>
      <c r="T233" t="s">
        <v>1974</v>
      </c>
      <c r="V233" t="s">
        <v>73</v>
      </c>
      <c r="X233" t="s">
        <v>1975</v>
      </c>
      <c r="Y233" t="s">
        <v>1031</v>
      </c>
      <c r="Z233" t="s">
        <v>49</v>
      </c>
      <c r="AA233" t="s">
        <v>76</v>
      </c>
      <c r="AB233" t="s">
        <v>453</v>
      </c>
      <c r="AC233" t="s">
        <v>1976</v>
      </c>
      <c r="AD233" t="s">
        <v>1498</v>
      </c>
      <c r="AE233" t="s">
        <v>1972</v>
      </c>
      <c r="AI233">
        <v>268.84704049117107</v>
      </c>
      <c r="AJ233">
        <v>4096.2689958297378</v>
      </c>
    </row>
    <row r="234" spans="1:36" x14ac:dyDescent="0.25">
      <c r="A234">
        <v>233</v>
      </c>
      <c r="B234" t="s">
        <v>1977</v>
      </c>
      <c r="C234" t="s">
        <v>376</v>
      </c>
      <c r="D234" t="s">
        <v>1481</v>
      </c>
      <c r="E234" t="s">
        <v>37</v>
      </c>
      <c r="G234" s="2">
        <v>45860</v>
      </c>
      <c r="H234">
        <v>1.5108937347898359</v>
      </c>
      <c r="I234" t="s">
        <v>72</v>
      </c>
      <c r="J234" t="s">
        <v>1024</v>
      </c>
      <c r="K234" t="s">
        <v>1025</v>
      </c>
      <c r="L234" t="s">
        <v>1482</v>
      </c>
      <c r="M234" t="s">
        <v>1483</v>
      </c>
      <c r="N234" t="s">
        <v>1612</v>
      </c>
      <c r="O234" t="s">
        <v>62</v>
      </c>
      <c r="P234" t="s">
        <v>63</v>
      </c>
      <c r="Q234">
        <v>1.5108937347898359</v>
      </c>
      <c r="R234" t="s">
        <v>64</v>
      </c>
      <c r="S234" t="s">
        <v>65</v>
      </c>
      <c r="T234" t="s">
        <v>1978</v>
      </c>
      <c r="V234" t="s">
        <v>73</v>
      </c>
      <c r="X234" t="s">
        <v>1979</v>
      </c>
      <c r="Y234" t="s">
        <v>1031</v>
      </c>
      <c r="Z234" t="s">
        <v>49</v>
      </c>
      <c r="AA234" t="s">
        <v>76</v>
      </c>
      <c r="AB234" t="s">
        <v>453</v>
      </c>
      <c r="AC234" t="s">
        <v>1980</v>
      </c>
      <c r="AD234" t="s">
        <v>1498</v>
      </c>
      <c r="AE234" t="s">
        <v>1754</v>
      </c>
      <c r="AI234">
        <v>330.637384763407</v>
      </c>
      <c r="AJ234">
        <v>6114.3944717515978</v>
      </c>
    </row>
    <row r="235" spans="1:36" x14ac:dyDescent="0.25">
      <c r="A235">
        <v>234</v>
      </c>
      <c r="B235" t="s">
        <v>1981</v>
      </c>
      <c r="C235" t="s">
        <v>376</v>
      </c>
      <c r="D235" t="s">
        <v>1481</v>
      </c>
      <c r="E235" t="s">
        <v>37</v>
      </c>
      <c r="G235" s="2">
        <v>45860</v>
      </c>
      <c r="H235">
        <v>0.96051504903392071</v>
      </c>
      <c r="I235" t="s">
        <v>72</v>
      </c>
      <c r="J235" t="s">
        <v>1024</v>
      </c>
      <c r="K235" t="s">
        <v>1025</v>
      </c>
      <c r="L235" t="s">
        <v>1482</v>
      </c>
      <c r="M235" t="s">
        <v>1483</v>
      </c>
      <c r="N235" t="s">
        <v>1612</v>
      </c>
      <c r="O235" t="s">
        <v>62</v>
      </c>
      <c r="P235" t="s">
        <v>63</v>
      </c>
      <c r="Q235">
        <v>0.96051504903392071</v>
      </c>
      <c r="R235" t="s">
        <v>64</v>
      </c>
      <c r="S235" t="s">
        <v>65</v>
      </c>
      <c r="T235" t="s">
        <v>1982</v>
      </c>
      <c r="V235" t="s">
        <v>73</v>
      </c>
      <c r="X235" t="s">
        <v>1983</v>
      </c>
      <c r="Y235" t="s">
        <v>1031</v>
      </c>
      <c r="Z235" t="s">
        <v>49</v>
      </c>
      <c r="AA235" t="s">
        <v>76</v>
      </c>
      <c r="AB235" t="s">
        <v>453</v>
      </c>
      <c r="AC235" t="s">
        <v>1980</v>
      </c>
      <c r="AD235" t="s">
        <v>1498</v>
      </c>
      <c r="AE235" t="s">
        <v>1754</v>
      </c>
      <c r="AI235">
        <v>255.00595533136831</v>
      </c>
      <c r="AJ235">
        <v>3887.0820433073982</v>
      </c>
    </row>
    <row r="236" spans="1:36" x14ac:dyDescent="0.25">
      <c r="A236">
        <v>235</v>
      </c>
      <c r="B236" t="s">
        <v>1984</v>
      </c>
      <c r="C236" t="s">
        <v>376</v>
      </c>
      <c r="D236" t="s">
        <v>1481</v>
      </c>
      <c r="E236" t="s">
        <v>37</v>
      </c>
      <c r="G236" s="2">
        <v>45860</v>
      </c>
      <c r="H236">
        <v>1.0205756130851069</v>
      </c>
      <c r="I236" t="s">
        <v>72</v>
      </c>
      <c r="J236" t="s">
        <v>1024</v>
      </c>
      <c r="K236" t="s">
        <v>1025</v>
      </c>
      <c r="L236" t="s">
        <v>1482</v>
      </c>
      <c r="M236" t="s">
        <v>1483</v>
      </c>
      <c r="O236" t="s">
        <v>62</v>
      </c>
      <c r="P236" t="s">
        <v>63</v>
      </c>
      <c r="Q236">
        <v>1.0205756130851069</v>
      </c>
      <c r="R236" t="s">
        <v>64</v>
      </c>
      <c r="S236" t="s">
        <v>65</v>
      </c>
      <c r="T236" t="s">
        <v>1985</v>
      </c>
      <c r="V236" t="s">
        <v>73</v>
      </c>
      <c r="X236" t="s">
        <v>1986</v>
      </c>
      <c r="Y236" t="s">
        <v>1031</v>
      </c>
      <c r="Z236" t="s">
        <v>49</v>
      </c>
      <c r="AA236" t="s">
        <v>76</v>
      </c>
      <c r="AB236" t="s">
        <v>453</v>
      </c>
      <c r="AC236" t="s">
        <v>1987</v>
      </c>
      <c r="AD236" t="s">
        <v>483</v>
      </c>
      <c r="AE236" t="s">
        <v>1825</v>
      </c>
      <c r="AI236">
        <v>262.86495297140772</v>
      </c>
      <c r="AJ236">
        <v>4130.1394948997404</v>
      </c>
    </row>
    <row r="237" spans="1:36" x14ac:dyDescent="0.25">
      <c r="A237">
        <v>236</v>
      </c>
      <c r="B237" t="s">
        <v>1988</v>
      </c>
      <c r="C237" t="s">
        <v>376</v>
      </c>
      <c r="D237" t="s">
        <v>1481</v>
      </c>
      <c r="E237" t="s">
        <v>37</v>
      </c>
      <c r="G237" s="2">
        <v>45860</v>
      </c>
      <c r="H237">
        <v>0.61842366814596261</v>
      </c>
      <c r="I237" t="s">
        <v>72</v>
      </c>
      <c r="J237" t="s">
        <v>1024</v>
      </c>
      <c r="K237" t="s">
        <v>1025</v>
      </c>
      <c r="L237" t="s">
        <v>1482</v>
      </c>
      <c r="M237" t="s">
        <v>1483</v>
      </c>
      <c r="O237" t="s">
        <v>62</v>
      </c>
      <c r="P237" t="s">
        <v>63</v>
      </c>
      <c r="Q237">
        <v>0.61842366814596261</v>
      </c>
      <c r="R237" t="s">
        <v>64</v>
      </c>
      <c r="S237" t="s">
        <v>65</v>
      </c>
      <c r="T237" t="s">
        <v>1989</v>
      </c>
      <c r="V237" t="s">
        <v>73</v>
      </c>
      <c r="X237" t="s">
        <v>1990</v>
      </c>
      <c r="Y237" t="s">
        <v>1031</v>
      </c>
      <c r="Z237" t="s">
        <v>49</v>
      </c>
      <c r="AA237" t="s">
        <v>76</v>
      </c>
      <c r="AB237" t="s">
        <v>453</v>
      </c>
      <c r="AC237" t="s">
        <v>1991</v>
      </c>
      <c r="AD237" t="s">
        <v>483</v>
      </c>
      <c r="AE237" t="s">
        <v>1825</v>
      </c>
      <c r="AI237">
        <v>203.28230826231419</v>
      </c>
      <c r="AJ237">
        <v>2502.6818039178602</v>
      </c>
    </row>
    <row r="238" spans="1:36" x14ac:dyDescent="0.25">
      <c r="A238">
        <v>237</v>
      </c>
      <c r="B238" t="s">
        <v>1992</v>
      </c>
      <c r="C238" t="s">
        <v>376</v>
      </c>
      <c r="D238" t="s">
        <v>1481</v>
      </c>
      <c r="E238" t="s">
        <v>37</v>
      </c>
      <c r="G238" s="2">
        <v>45860</v>
      </c>
      <c r="H238">
        <v>5.0586937539400783</v>
      </c>
      <c r="I238" t="s">
        <v>72</v>
      </c>
      <c r="J238" t="s">
        <v>1024</v>
      </c>
      <c r="K238" t="s">
        <v>1025</v>
      </c>
      <c r="L238" t="s">
        <v>1482</v>
      </c>
      <c r="M238" t="s">
        <v>1483</v>
      </c>
      <c r="N238" t="s">
        <v>1612</v>
      </c>
      <c r="O238" t="s">
        <v>62</v>
      </c>
      <c r="P238" t="s">
        <v>63</v>
      </c>
      <c r="Q238">
        <v>5.0586937539400783</v>
      </c>
      <c r="R238" t="s">
        <v>64</v>
      </c>
      <c r="S238" t="s">
        <v>65</v>
      </c>
      <c r="T238" t="s">
        <v>1993</v>
      </c>
      <c r="V238" t="s">
        <v>46</v>
      </c>
      <c r="X238" t="s">
        <v>1614</v>
      </c>
      <c r="Y238" t="s">
        <v>1031</v>
      </c>
      <c r="Z238" t="s">
        <v>49</v>
      </c>
      <c r="AA238" t="s">
        <v>46</v>
      </c>
      <c r="AB238" t="s">
        <v>453</v>
      </c>
      <c r="AC238" t="s">
        <v>1994</v>
      </c>
      <c r="AD238" t="s">
        <v>1498</v>
      </c>
      <c r="AE238" t="s">
        <v>1663</v>
      </c>
      <c r="AI238">
        <v>629.90498389997686</v>
      </c>
      <c r="AJ238">
        <v>20471.88919456206</v>
      </c>
    </row>
    <row r="239" spans="1:36" x14ac:dyDescent="0.25">
      <c r="A239">
        <v>238</v>
      </c>
      <c r="B239" t="s">
        <v>1995</v>
      </c>
      <c r="C239" t="s">
        <v>376</v>
      </c>
      <c r="D239" t="s">
        <v>1481</v>
      </c>
      <c r="E239" t="s">
        <v>37</v>
      </c>
      <c r="G239" s="2">
        <v>45860</v>
      </c>
      <c r="H239">
        <v>0.37081631933119957</v>
      </c>
      <c r="I239" t="s">
        <v>72</v>
      </c>
      <c r="J239" t="s">
        <v>1024</v>
      </c>
      <c r="K239" t="s">
        <v>1025</v>
      </c>
      <c r="L239" t="s">
        <v>1482</v>
      </c>
      <c r="M239" t="s">
        <v>1483</v>
      </c>
      <c r="N239" t="s">
        <v>1612</v>
      </c>
      <c r="O239" t="s">
        <v>62</v>
      </c>
      <c r="P239" t="s">
        <v>63</v>
      </c>
      <c r="Q239">
        <v>0.37081631933119957</v>
      </c>
      <c r="R239" t="s">
        <v>64</v>
      </c>
      <c r="S239" t="s">
        <v>65</v>
      </c>
      <c r="T239" t="s">
        <v>1993</v>
      </c>
      <c r="V239" t="s">
        <v>46</v>
      </c>
      <c r="X239" t="s">
        <v>1614</v>
      </c>
      <c r="Y239" t="s">
        <v>1031</v>
      </c>
      <c r="Z239" t="s">
        <v>49</v>
      </c>
      <c r="AA239" t="s">
        <v>46</v>
      </c>
      <c r="AB239" t="s">
        <v>453</v>
      </c>
      <c r="AC239" t="s">
        <v>1994</v>
      </c>
      <c r="AD239" t="s">
        <v>1498</v>
      </c>
      <c r="AE239" t="s">
        <v>1499</v>
      </c>
      <c r="AI239">
        <v>205.059430447452</v>
      </c>
      <c r="AJ239">
        <v>1500.6464059958159</v>
      </c>
    </row>
    <row r="240" spans="1:36" x14ac:dyDescent="0.25">
      <c r="A240">
        <v>239</v>
      </c>
      <c r="B240" t="s">
        <v>1996</v>
      </c>
      <c r="C240" t="s">
        <v>376</v>
      </c>
      <c r="D240" t="s">
        <v>1481</v>
      </c>
      <c r="E240" t="s">
        <v>37</v>
      </c>
      <c r="G240" s="2">
        <v>45860</v>
      </c>
      <c r="H240">
        <v>0.24763758985910289</v>
      </c>
      <c r="I240" t="s">
        <v>72</v>
      </c>
      <c r="J240" t="s">
        <v>1024</v>
      </c>
      <c r="K240" t="s">
        <v>1025</v>
      </c>
      <c r="L240" t="s">
        <v>1482</v>
      </c>
      <c r="M240" t="s">
        <v>1483</v>
      </c>
      <c r="N240" t="s">
        <v>1612</v>
      </c>
      <c r="O240" t="s">
        <v>62</v>
      </c>
      <c r="P240" t="s">
        <v>63</v>
      </c>
      <c r="Q240">
        <v>0.24763758985910289</v>
      </c>
      <c r="R240" t="s">
        <v>64</v>
      </c>
      <c r="S240" t="s">
        <v>65</v>
      </c>
      <c r="T240" t="s">
        <v>1997</v>
      </c>
      <c r="V240" t="s">
        <v>46</v>
      </c>
      <c r="X240" t="s">
        <v>1614</v>
      </c>
      <c r="Y240" t="s">
        <v>1031</v>
      </c>
      <c r="Z240" t="s">
        <v>49</v>
      </c>
      <c r="AA240" t="s">
        <v>46</v>
      </c>
      <c r="AB240" t="s">
        <v>453</v>
      </c>
      <c r="AC240" t="s">
        <v>1998</v>
      </c>
      <c r="AD240" t="s">
        <v>1498</v>
      </c>
      <c r="AE240" t="s">
        <v>1499</v>
      </c>
      <c r="AI240">
        <v>127.0102492174683</v>
      </c>
      <c r="AJ240">
        <v>1002.157779576077</v>
      </c>
    </row>
    <row r="241" spans="1:36" x14ac:dyDescent="0.25">
      <c r="A241">
        <v>240</v>
      </c>
      <c r="B241" t="s">
        <v>1999</v>
      </c>
      <c r="C241" t="s">
        <v>376</v>
      </c>
      <c r="D241" t="s">
        <v>1481</v>
      </c>
      <c r="E241" t="s">
        <v>37</v>
      </c>
      <c r="G241" s="2">
        <v>45860</v>
      </c>
      <c r="H241">
        <v>0.16499293347836269</v>
      </c>
      <c r="I241" t="s">
        <v>72</v>
      </c>
      <c r="J241" t="s">
        <v>1024</v>
      </c>
      <c r="K241" t="s">
        <v>1025</v>
      </c>
      <c r="L241" t="s">
        <v>1482</v>
      </c>
      <c r="M241" t="s">
        <v>1483</v>
      </c>
      <c r="N241" t="s">
        <v>1612</v>
      </c>
      <c r="O241" t="s">
        <v>62</v>
      </c>
      <c r="P241" t="s">
        <v>63</v>
      </c>
      <c r="Q241">
        <v>0.16499293347836269</v>
      </c>
      <c r="R241" t="s">
        <v>64</v>
      </c>
      <c r="S241" t="s">
        <v>65</v>
      </c>
      <c r="T241" t="s">
        <v>2000</v>
      </c>
      <c r="V241" t="s">
        <v>46</v>
      </c>
      <c r="X241" t="s">
        <v>1614</v>
      </c>
      <c r="Y241" t="s">
        <v>1031</v>
      </c>
      <c r="Z241" t="s">
        <v>69</v>
      </c>
      <c r="AA241" t="s">
        <v>46</v>
      </c>
      <c r="AB241" t="s">
        <v>453</v>
      </c>
      <c r="AC241" t="s">
        <v>2001</v>
      </c>
      <c r="AD241" t="s">
        <v>1498</v>
      </c>
      <c r="AE241" t="s">
        <v>1798</v>
      </c>
      <c r="AI241">
        <v>118.40950841826491</v>
      </c>
      <c r="AJ241">
        <v>667.70538331639045</v>
      </c>
    </row>
    <row r="242" spans="1:36" x14ac:dyDescent="0.25">
      <c r="A242">
        <v>241</v>
      </c>
      <c r="B242" t="s">
        <v>2002</v>
      </c>
      <c r="C242" t="s">
        <v>376</v>
      </c>
      <c r="D242" t="s">
        <v>1481</v>
      </c>
      <c r="E242" t="s">
        <v>37</v>
      </c>
      <c r="G242" s="2">
        <v>45860</v>
      </c>
      <c r="H242">
        <v>0.39987990001964208</v>
      </c>
      <c r="I242" t="s">
        <v>72</v>
      </c>
      <c r="J242" t="s">
        <v>1024</v>
      </c>
      <c r="K242" t="s">
        <v>1025</v>
      </c>
      <c r="L242" t="s">
        <v>1482</v>
      </c>
      <c r="M242" t="s">
        <v>1483</v>
      </c>
      <c r="N242" t="s">
        <v>1612</v>
      </c>
      <c r="O242" t="s">
        <v>62</v>
      </c>
      <c r="P242" t="s">
        <v>63</v>
      </c>
      <c r="Q242">
        <v>0.39987990001964208</v>
      </c>
      <c r="R242" t="s">
        <v>64</v>
      </c>
      <c r="S242" t="s">
        <v>65</v>
      </c>
      <c r="T242" t="s">
        <v>2003</v>
      </c>
      <c r="V242" t="s">
        <v>73</v>
      </c>
      <c r="X242" t="s">
        <v>1614</v>
      </c>
      <c r="Y242" t="s">
        <v>1031</v>
      </c>
      <c r="Z242" t="s">
        <v>69</v>
      </c>
      <c r="AA242" t="s">
        <v>46</v>
      </c>
      <c r="AB242" t="s">
        <v>453</v>
      </c>
      <c r="AC242" t="s">
        <v>2004</v>
      </c>
      <c r="AD242" t="s">
        <v>1498</v>
      </c>
      <c r="AE242" t="s">
        <v>1693</v>
      </c>
      <c r="AI242">
        <v>180.4933338270271</v>
      </c>
      <c r="AJ242">
        <v>1618.263014628744</v>
      </c>
    </row>
    <row r="243" spans="1:36" x14ac:dyDescent="0.25">
      <c r="A243">
        <v>242</v>
      </c>
      <c r="B243" t="s">
        <v>2005</v>
      </c>
      <c r="C243" t="s">
        <v>376</v>
      </c>
      <c r="D243" t="s">
        <v>1481</v>
      </c>
      <c r="E243" t="s">
        <v>37</v>
      </c>
      <c r="G243" s="2">
        <v>45860</v>
      </c>
      <c r="H243">
        <v>0.51717069032659568</v>
      </c>
      <c r="I243" t="s">
        <v>72</v>
      </c>
      <c r="J243" t="s">
        <v>1024</v>
      </c>
      <c r="K243" t="s">
        <v>1025</v>
      </c>
      <c r="L243" t="s">
        <v>1482</v>
      </c>
      <c r="M243" t="s">
        <v>1483</v>
      </c>
      <c r="N243" t="s">
        <v>1612</v>
      </c>
      <c r="O243" t="s">
        <v>62</v>
      </c>
      <c r="P243" t="s">
        <v>63</v>
      </c>
      <c r="Q243">
        <v>0.51717069032659568</v>
      </c>
      <c r="R243" t="s">
        <v>64</v>
      </c>
      <c r="S243" t="s">
        <v>65</v>
      </c>
      <c r="T243" t="s">
        <v>2006</v>
      </c>
      <c r="V243" t="s">
        <v>73</v>
      </c>
      <c r="X243" t="s">
        <v>1614</v>
      </c>
      <c r="Y243" t="s">
        <v>1031</v>
      </c>
      <c r="Z243" t="s">
        <v>49</v>
      </c>
      <c r="AA243" t="s">
        <v>75</v>
      </c>
      <c r="AB243" t="s">
        <v>453</v>
      </c>
      <c r="AC243" t="s">
        <v>2007</v>
      </c>
      <c r="AD243" t="s">
        <v>483</v>
      </c>
      <c r="AE243" t="s">
        <v>1740</v>
      </c>
      <c r="AI243">
        <v>179.9420543604042</v>
      </c>
      <c r="AJ243">
        <v>2092.9239013124588</v>
      </c>
    </row>
    <row r="244" spans="1:36" x14ac:dyDescent="0.25">
      <c r="A244">
        <v>243</v>
      </c>
      <c r="B244" t="s">
        <v>2008</v>
      </c>
      <c r="C244" t="s">
        <v>376</v>
      </c>
      <c r="D244" t="s">
        <v>1481</v>
      </c>
      <c r="E244" t="s">
        <v>37</v>
      </c>
      <c r="G244" s="2">
        <v>45860</v>
      </c>
      <c r="H244">
        <v>0.44002521235642139</v>
      </c>
      <c r="I244" t="s">
        <v>72</v>
      </c>
      <c r="J244" t="s">
        <v>1024</v>
      </c>
      <c r="K244" t="s">
        <v>1025</v>
      </c>
      <c r="L244" t="s">
        <v>1482</v>
      </c>
      <c r="M244" t="s">
        <v>1483</v>
      </c>
      <c r="N244" t="s">
        <v>1612</v>
      </c>
      <c r="O244" t="s">
        <v>62</v>
      </c>
      <c r="P244" t="s">
        <v>63</v>
      </c>
      <c r="Q244">
        <v>0.44002521235642139</v>
      </c>
      <c r="R244" t="s">
        <v>64</v>
      </c>
      <c r="S244" t="s">
        <v>65</v>
      </c>
      <c r="T244" t="s">
        <v>1613</v>
      </c>
      <c r="V244" t="s">
        <v>46</v>
      </c>
      <c r="X244" t="s">
        <v>1614</v>
      </c>
      <c r="Y244" t="s">
        <v>1031</v>
      </c>
      <c r="Z244" t="s">
        <v>69</v>
      </c>
      <c r="AA244" t="s">
        <v>46</v>
      </c>
      <c r="AB244" t="s">
        <v>453</v>
      </c>
      <c r="AC244" t="s">
        <v>2009</v>
      </c>
      <c r="AD244" t="s">
        <v>1498</v>
      </c>
      <c r="AE244" t="s">
        <v>1790</v>
      </c>
      <c r="AI244">
        <v>208.3131776493484</v>
      </c>
      <c r="AJ244">
        <v>1780.7259795393029</v>
      </c>
    </row>
    <row r="245" spans="1:36" x14ac:dyDescent="0.25">
      <c r="A245">
        <v>244</v>
      </c>
      <c r="B245" t="s">
        <v>2010</v>
      </c>
      <c r="C245" t="s">
        <v>376</v>
      </c>
      <c r="D245" t="s">
        <v>1481</v>
      </c>
      <c r="E245" t="s">
        <v>37</v>
      </c>
      <c r="G245" s="2">
        <v>45860</v>
      </c>
      <c r="H245">
        <v>2.5977080655899552</v>
      </c>
      <c r="I245" t="s">
        <v>72</v>
      </c>
      <c r="J245" t="s">
        <v>1024</v>
      </c>
      <c r="K245" t="s">
        <v>1025</v>
      </c>
      <c r="L245" t="s">
        <v>1482</v>
      </c>
      <c r="M245" t="s">
        <v>1483</v>
      </c>
      <c r="N245" t="s">
        <v>1612</v>
      </c>
      <c r="O245" t="s">
        <v>62</v>
      </c>
      <c r="P245" t="s">
        <v>63</v>
      </c>
      <c r="Q245">
        <v>2.5977080655899552</v>
      </c>
      <c r="R245" t="s">
        <v>64</v>
      </c>
      <c r="S245" t="s">
        <v>65</v>
      </c>
      <c r="T245" t="s">
        <v>2011</v>
      </c>
      <c r="V245" t="s">
        <v>46</v>
      </c>
      <c r="X245" t="s">
        <v>1614</v>
      </c>
      <c r="Y245" t="s">
        <v>1031</v>
      </c>
      <c r="Z245" t="s">
        <v>69</v>
      </c>
      <c r="AA245" t="s">
        <v>60</v>
      </c>
      <c r="AB245" t="s">
        <v>453</v>
      </c>
      <c r="AD245" t="s">
        <v>1498</v>
      </c>
      <c r="AE245" t="s">
        <v>1798</v>
      </c>
      <c r="AI245">
        <v>413.04510333033147</v>
      </c>
      <c r="AJ245">
        <v>10512.593619085421</v>
      </c>
    </row>
    <row r="246" spans="1:36" x14ac:dyDescent="0.25">
      <c r="A246">
        <v>245</v>
      </c>
      <c r="B246" t="s">
        <v>2010</v>
      </c>
      <c r="C246" t="s">
        <v>376</v>
      </c>
      <c r="D246" t="s">
        <v>1481</v>
      </c>
      <c r="E246" t="s">
        <v>37</v>
      </c>
      <c r="G246" s="2">
        <v>45860</v>
      </c>
      <c r="H246">
        <v>0.96729058984833272</v>
      </c>
      <c r="I246" t="s">
        <v>72</v>
      </c>
      <c r="J246" t="s">
        <v>1024</v>
      </c>
      <c r="K246" t="s">
        <v>1025</v>
      </c>
      <c r="L246" t="s">
        <v>1482</v>
      </c>
      <c r="M246" t="s">
        <v>1483</v>
      </c>
      <c r="N246" t="s">
        <v>1612</v>
      </c>
      <c r="O246" t="s">
        <v>62</v>
      </c>
      <c r="P246" t="s">
        <v>63</v>
      </c>
      <c r="Q246">
        <v>0.96729058984833272</v>
      </c>
      <c r="R246" t="s">
        <v>64</v>
      </c>
      <c r="S246" t="s">
        <v>65</v>
      </c>
      <c r="T246" t="s">
        <v>2011</v>
      </c>
      <c r="V246" t="s">
        <v>46</v>
      </c>
      <c r="X246" t="s">
        <v>1614</v>
      </c>
      <c r="Y246" t="s">
        <v>1031</v>
      </c>
      <c r="Z246" t="s">
        <v>69</v>
      </c>
      <c r="AA246" t="s">
        <v>60</v>
      </c>
      <c r="AB246" t="s">
        <v>453</v>
      </c>
      <c r="AD246" t="s">
        <v>1498</v>
      </c>
      <c r="AE246" t="s">
        <v>1798</v>
      </c>
      <c r="AI246">
        <v>267.97730750003541</v>
      </c>
      <c r="AJ246">
        <v>3914.501793846327</v>
      </c>
    </row>
    <row r="247" spans="1:36" x14ac:dyDescent="0.25">
      <c r="A247">
        <v>246</v>
      </c>
      <c r="B247" t="s">
        <v>2010</v>
      </c>
      <c r="C247" t="s">
        <v>376</v>
      </c>
      <c r="D247" t="s">
        <v>1481</v>
      </c>
      <c r="E247" t="s">
        <v>37</v>
      </c>
      <c r="G247" s="2">
        <v>45860</v>
      </c>
      <c r="H247">
        <v>1.930911822563655</v>
      </c>
      <c r="I247" t="s">
        <v>72</v>
      </c>
      <c r="J247" t="s">
        <v>1024</v>
      </c>
      <c r="K247" t="s">
        <v>1025</v>
      </c>
      <c r="L247" t="s">
        <v>1482</v>
      </c>
      <c r="M247" t="s">
        <v>1483</v>
      </c>
      <c r="N247" t="s">
        <v>1612</v>
      </c>
      <c r="O247" t="s">
        <v>62</v>
      </c>
      <c r="P247" t="s">
        <v>63</v>
      </c>
      <c r="Q247">
        <v>1.930911822563655</v>
      </c>
      <c r="R247" t="s">
        <v>64</v>
      </c>
      <c r="S247" t="s">
        <v>65</v>
      </c>
      <c r="T247" t="s">
        <v>2011</v>
      </c>
      <c r="V247" t="s">
        <v>46</v>
      </c>
      <c r="X247" t="s">
        <v>1614</v>
      </c>
      <c r="Y247" t="s">
        <v>1031</v>
      </c>
      <c r="Z247" t="s">
        <v>69</v>
      </c>
      <c r="AA247" t="s">
        <v>60</v>
      </c>
      <c r="AB247" t="s">
        <v>453</v>
      </c>
      <c r="AD247" t="s">
        <v>1498</v>
      </c>
      <c r="AE247" t="s">
        <v>1798</v>
      </c>
      <c r="AI247">
        <v>419.49389119973608</v>
      </c>
      <c r="AJ247">
        <v>7814.1541668152286</v>
      </c>
    </row>
    <row r="248" spans="1:36" hidden="1" x14ac:dyDescent="0.25">
      <c r="A248">
        <v>247</v>
      </c>
      <c r="B248" t="s">
        <v>2010</v>
      </c>
      <c r="C248" t="s">
        <v>376</v>
      </c>
      <c r="D248" t="s">
        <v>1481</v>
      </c>
      <c r="E248" t="s">
        <v>37</v>
      </c>
      <c r="G248" s="2">
        <v>45860</v>
      </c>
      <c r="H248">
        <v>0.34154261460019658</v>
      </c>
      <c r="I248" t="s">
        <v>72</v>
      </c>
      <c r="J248" t="s">
        <v>1024</v>
      </c>
      <c r="K248" t="s">
        <v>1025</v>
      </c>
      <c r="L248" t="s">
        <v>1482</v>
      </c>
      <c r="M248" t="s">
        <v>1483</v>
      </c>
      <c r="N248" t="s">
        <v>1612</v>
      </c>
      <c r="O248" t="s">
        <v>141</v>
      </c>
      <c r="P248" t="s">
        <v>142</v>
      </c>
      <c r="Q248">
        <v>0.34154261460019658</v>
      </c>
      <c r="S248" t="s">
        <v>38</v>
      </c>
      <c r="T248" t="s">
        <v>1857</v>
      </c>
      <c r="V248" t="s">
        <v>46</v>
      </c>
      <c r="X248" t="s">
        <v>1614</v>
      </c>
      <c r="Y248" t="s">
        <v>1031</v>
      </c>
      <c r="Z248" t="s">
        <v>69</v>
      </c>
      <c r="AA248" t="s">
        <v>46</v>
      </c>
      <c r="AB248" t="s">
        <v>453</v>
      </c>
      <c r="AD248" t="s">
        <v>1498</v>
      </c>
      <c r="AE248" t="s">
        <v>2012</v>
      </c>
      <c r="AI248">
        <v>159.32906464127339</v>
      </c>
      <c r="AJ248">
        <v>1382.179452130373</v>
      </c>
    </row>
    <row r="249" spans="1:36" x14ac:dyDescent="0.25">
      <c r="A249">
        <v>248</v>
      </c>
      <c r="B249" t="s">
        <v>2010</v>
      </c>
      <c r="C249" t="s">
        <v>376</v>
      </c>
      <c r="D249" t="s">
        <v>1481</v>
      </c>
      <c r="E249" t="s">
        <v>37</v>
      </c>
      <c r="G249" s="2">
        <v>45860</v>
      </c>
      <c r="H249">
        <v>9.2399729597269595E-2</v>
      </c>
      <c r="I249" t="s">
        <v>72</v>
      </c>
      <c r="J249" t="s">
        <v>1024</v>
      </c>
      <c r="K249" t="s">
        <v>1025</v>
      </c>
      <c r="L249" t="s">
        <v>1482</v>
      </c>
      <c r="M249" t="s">
        <v>1483</v>
      </c>
      <c r="N249" t="s">
        <v>1612</v>
      </c>
      <c r="O249" t="s">
        <v>62</v>
      </c>
      <c r="P249" t="s">
        <v>63</v>
      </c>
      <c r="Q249">
        <v>9.2399729597269595E-2</v>
      </c>
      <c r="R249" t="s">
        <v>64</v>
      </c>
      <c r="S249" t="s">
        <v>65</v>
      </c>
      <c r="T249" t="s">
        <v>1613</v>
      </c>
      <c r="V249" t="s">
        <v>46</v>
      </c>
      <c r="X249" t="s">
        <v>1614</v>
      </c>
      <c r="Y249" t="s">
        <v>1031</v>
      </c>
      <c r="Z249" t="s">
        <v>49</v>
      </c>
      <c r="AA249" t="s">
        <v>46</v>
      </c>
      <c r="AB249" t="s">
        <v>453</v>
      </c>
      <c r="AD249" t="s">
        <v>1498</v>
      </c>
      <c r="AE249" t="s">
        <v>1499</v>
      </c>
      <c r="AI249">
        <v>91.830741606627356</v>
      </c>
      <c r="AJ249">
        <v>373.92993486697748</v>
      </c>
    </row>
    <row r="250" spans="1:36" x14ac:dyDescent="0.25">
      <c r="A250">
        <v>249</v>
      </c>
      <c r="B250" t="s">
        <v>2010</v>
      </c>
      <c r="C250" t="s">
        <v>376</v>
      </c>
      <c r="D250" t="s">
        <v>1481</v>
      </c>
      <c r="E250" t="s">
        <v>37</v>
      </c>
      <c r="G250" s="2">
        <v>45861</v>
      </c>
      <c r="H250">
        <v>5.0158346166420609</v>
      </c>
      <c r="I250" t="s">
        <v>72</v>
      </c>
      <c r="J250" t="s">
        <v>1024</v>
      </c>
      <c r="K250" t="s">
        <v>1025</v>
      </c>
      <c r="L250" t="s">
        <v>1482</v>
      </c>
      <c r="M250" t="s">
        <v>1483</v>
      </c>
      <c r="O250" t="s">
        <v>62</v>
      </c>
      <c r="P250" t="s">
        <v>63</v>
      </c>
      <c r="Q250">
        <v>5.0158346166420609</v>
      </c>
      <c r="R250" t="s">
        <v>64</v>
      </c>
      <c r="S250" t="s">
        <v>65</v>
      </c>
      <c r="T250" t="s">
        <v>2013</v>
      </c>
      <c r="V250" t="s">
        <v>60</v>
      </c>
      <c r="X250" t="s">
        <v>2014</v>
      </c>
      <c r="Y250" t="s">
        <v>1486</v>
      </c>
      <c r="Z250" t="s">
        <v>49</v>
      </c>
      <c r="AA250" t="s">
        <v>124</v>
      </c>
      <c r="AB250" t="s">
        <v>453</v>
      </c>
      <c r="AD250" t="s">
        <v>1223</v>
      </c>
      <c r="AE250" t="s">
        <v>1584</v>
      </c>
      <c r="AI250">
        <v>557.25602305896746</v>
      </c>
      <c r="AJ250">
        <v>20298.443725747871</v>
      </c>
    </row>
    <row r="251" spans="1:36" x14ac:dyDescent="0.25">
      <c r="A251">
        <v>250</v>
      </c>
      <c r="B251" t="s">
        <v>2010</v>
      </c>
      <c r="C251" t="s">
        <v>376</v>
      </c>
      <c r="D251" t="s">
        <v>1481</v>
      </c>
      <c r="E251" t="s">
        <v>37</v>
      </c>
      <c r="G251" s="2">
        <v>45860</v>
      </c>
      <c r="H251">
        <v>1.0026929142557</v>
      </c>
      <c r="I251" t="s">
        <v>72</v>
      </c>
      <c r="J251" t="s">
        <v>1024</v>
      </c>
      <c r="K251" t="s">
        <v>1025</v>
      </c>
      <c r="L251" t="s">
        <v>1482</v>
      </c>
      <c r="M251" t="s">
        <v>1483</v>
      </c>
      <c r="N251" t="s">
        <v>1612</v>
      </c>
      <c r="O251" t="s">
        <v>62</v>
      </c>
      <c r="P251" t="s">
        <v>63</v>
      </c>
      <c r="Q251">
        <v>1.0026929142557</v>
      </c>
      <c r="R251" t="s">
        <v>64</v>
      </c>
      <c r="S251" t="s">
        <v>65</v>
      </c>
      <c r="T251" t="s">
        <v>2015</v>
      </c>
      <c r="V251" t="s">
        <v>73</v>
      </c>
      <c r="X251" t="s">
        <v>2016</v>
      </c>
      <c r="Y251" t="s">
        <v>1031</v>
      </c>
      <c r="Z251" t="s">
        <v>49</v>
      </c>
      <c r="AA251" t="s">
        <v>76</v>
      </c>
      <c r="AB251" t="s">
        <v>453</v>
      </c>
      <c r="AD251" t="s">
        <v>1498</v>
      </c>
      <c r="AE251" t="s">
        <v>1754</v>
      </c>
      <c r="AI251">
        <v>276.47724389722339</v>
      </c>
      <c r="AJ251">
        <v>4057.7704908163828</v>
      </c>
    </row>
    <row r="252" spans="1:36" x14ac:dyDescent="0.25">
      <c r="A252">
        <v>251</v>
      </c>
      <c r="B252" t="s">
        <v>2010</v>
      </c>
      <c r="C252" t="s">
        <v>376</v>
      </c>
      <c r="D252" t="s">
        <v>1481</v>
      </c>
      <c r="E252" t="s">
        <v>37</v>
      </c>
      <c r="G252" s="2">
        <v>45860</v>
      </c>
      <c r="H252">
        <v>0.2475464884998525</v>
      </c>
      <c r="I252" t="s">
        <v>72</v>
      </c>
      <c r="J252" t="s">
        <v>1024</v>
      </c>
      <c r="K252" t="s">
        <v>1025</v>
      </c>
      <c r="L252" t="s">
        <v>1482</v>
      </c>
      <c r="M252" t="s">
        <v>1483</v>
      </c>
      <c r="N252" t="s">
        <v>1612</v>
      </c>
      <c r="O252" t="s">
        <v>62</v>
      </c>
      <c r="P252" t="s">
        <v>63</v>
      </c>
      <c r="Q252">
        <v>0.2475464884998525</v>
      </c>
      <c r="R252" t="s">
        <v>64</v>
      </c>
      <c r="S252" t="s">
        <v>65</v>
      </c>
      <c r="T252" t="s">
        <v>2017</v>
      </c>
      <c r="V252" t="s">
        <v>73</v>
      </c>
      <c r="X252" t="s">
        <v>2018</v>
      </c>
      <c r="Y252" t="s">
        <v>1031</v>
      </c>
      <c r="Z252" t="s">
        <v>49</v>
      </c>
      <c r="AA252" t="s">
        <v>76</v>
      </c>
      <c r="AB252" t="s">
        <v>453</v>
      </c>
      <c r="AD252" t="s">
        <v>1498</v>
      </c>
      <c r="AE252" t="s">
        <v>2019</v>
      </c>
      <c r="AI252">
        <v>136.1561639867503</v>
      </c>
      <c r="AJ252">
        <v>1001.789103980605</v>
      </c>
    </row>
    <row r="253" spans="1:36" x14ac:dyDescent="0.25">
      <c r="A253">
        <v>252</v>
      </c>
      <c r="B253" t="s">
        <v>2010</v>
      </c>
      <c r="C253" t="s">
        <v>376</v>
      </c>
      <c r="D253" t="s">
        <v>1481</v>
      </c>
      <c r="E253" t="s">
        <v>37</v>
      </c>
      <c r="G253" s="2">
        <v>45860</v>
      </c>
      <c r="H253">
        <v>1.132935672988707</v>
      </c>
      <c r="I253" t="s">
        <v>72</v>
      </c>
      <c r="J253" t="s">
        <v>1024</v>
      </c>
      <c r="K253" t="s">
        <v>1025</v>
      </c>
      <c r="L253" t="s">
        <v>1482</v>
      </c>
      <c r="M253" t="s">
        <v>1483</v>
      </c>
      <c r="N253" t="s">
        <v>1612</v>
      </c>
      <c r="O253" t="s">
        <v>62</v>
      </c>
      <c r="P253" t="s">
        <v>63</v>
      </c>
      <c r="Q253">
        <v>1.132935672988707</v>
      </c>
      <c r="R253" t="s">
        <v>64</v>
      </c>
      <c r="S253" t="s">
        <v>65</v>
      </c>
      <c r="T253" t="s">
        <v>2020</v>
      </c>
      <c r="V253" t="s">
        <v>73</v>
      </c>
      <c r="X253" t="s">
        <v>2021</v>
      </c>
      <c r="Y253" t="s">
        <v>1031</v>
      </c>
      <c r="Z253" t="s">
        <v>49</v>
      </c>
      <c r="AA253" t="s">
        <v>76</v>
      </c>
      <c r="AB253" t="s">
        <v>453</v>
      </c>
      <c r="AD253" t="s">
        <v>1498</v>
      </c>
      <c r="AE253" t="s">
        <v>1754</v>
      </c>
      <c r="AI253">
        <v>289.07814006376151</v>
      </c>
      <c r="AJ253">
        <v>4584.8463437674491</v>
      </c>
    </row>
    <row r="254" spans="1:36" x14ac:dyDescent="0.25">
      <c r="A254">
        <v>253</v>
      </c>
      <c r="B254" t="s">
        <v>2010</v>
      </c>
      <c r="C254" t="s">
        <v>376</v>
      </c>
      <c r="D254" t="s">
        <v>1481</v>
      </c>
      <c r="E254" t="s">
        <v>37</v>
      </c>
      <c r="G254" s="2">
        <v>45860</v>
      </c>
      <c r="H254">
        <v>0.84906554587154026</v>
      </c>
      <c r="I254" t="s">
        <v>72</v>
      </c>
      <c r="J254" t="s">
        <v>1024</v>
      </c>
      <c r="K254" t="s">
        <v>1025</v>
      </c>
      <c r="L254" t="s">
        <v>1482</v>
      </c>
      <c r="M254" t="s">
        <v>1483</v>
      </c>
      <c r="N254" t="s">
        <v>1612</v>
      </c>
      <c r="O254" t="s">
        <v>62</v>
      </c>
      <c r="P254" t="s">
        <v>63</v>
      </c>
      <c r="Q254">
        <v>0.84906554587154026</v>
      </c>
      <c r="R254" t="s">
        <v>64</v>
      </c>
      <c r="S254" t="s">
        <v>65</v>
      </c>
      <c r="T254" t="s">
        <v>2022</v>
      </c>
      <c r="V254" t="s">
        <v>73</v>
      </c>
      <c r="X254" t="s">
        <v>1822</v>
      </c>
      <c r="Y254" t="s">
        <v>1031</v>
      </c>
      <c r="Z254" t="s">
        <v>49</v>
      </c>
      <c r="AA254" t="s">
        <v>76</v>
      </c>
      <c r="AB254" t="s">
        <v>453</v>
      </c>
      <c r="AD254" t="s">
        <v>1498</v>
      </c>
      <c r="AE254" t="s">
        <v>1754</v>
      </c>
      <c r="AI254">
        <v>349.87679151911698</v>
      </c>
      <c r="AJ254">
        <v>3436.060101575466</v>
      </c>
    </row>
    <row r="255" spans="1:36" x14ac:dyDescent="0.25">
      <c r="A255">
        <v>254</v>
      </c>
      <c r="B255" t="s">
        <v>2010</v>
      </c>
      <c r="C255" t="s">
        <v>376</v>
      </c>
      <c r="D255" t="s">
        <v>1481</v>
      </c>
      <c r="E255" t="s">
        <v>37</v>
      </c>
      <c r="G255" s="2">
        <v>45860</v>
      </c>
      <c r="H255">
        <v>2.0399300701636629</v>
      </c>
      <c r="I255" t="s">
        <v>72</v>
      </c>
      <c r="J255" t="s">
        <v>1024</v>
      </c>
      <c r="K255" t="s">
        <v>1025</v>
      </c>
      <c r="L255" t="s">
        <v>1482</v>
      </c>
      <c r="M255" t="s">
        <v>1483</v>
      </c>
      <c r="N255" t="s">
        <v>1612</v>
      </c>
      <c r="O255" t="s">
        <v>62</v>
      </c>
      <c r="P255" t="s">
        <v>63</v>
      </c>
      <c r="Q255">
        <v>2.0399300701636629</v>
      </c>
      <c r="R255" t="s">
        <v>64</v>
      </c>
      <c r="S255" t="s">
        <v>65</v>
      </c>
      <c r="T255" t="s">
        <v>1613</v>
      </c>
      <c r="V255" t="s">
        <v>73</v>
      </c>
      <c r="X255" t="s">
        <v>1614</v>
      </c>
      <c r="Y255" t="s">
        <v>1031</v>
      </c>
      <c r="Z255" t="s">
        <v>49</v>
      </c>
      <c r="AA255" t="s">
        <v>76</v>
      </c>
      <c r="AB255" t="s">
        <v>453</v>
      </c>
      <c r="AD255" t="s">
        <v>483</v>
      </c>
      <c r="AE255" t="s">
        <v>1652</v>
      </c>
      <c r="AI255">
        <v>469.86941502997308</v>
      </c>
      <c r="AJ255">
        <v>8255.337127004188</v>
      </c>
    </row>
    <row r="256" spans="1:36" hidden="1" x14ac:dyDescent="0.25">
      <c r="A256">
        <v>255</v>
      </c>
      <c r="B256" t="s">
        <v>2010</v>
      </c>
      <c r="C256" t="s">
        <v>376</v>
      </c>
      <c r="D256" t="s">
        <v>1481</v>
      </c>
      <c r="E256" t="s">
        <v>37</v>
      </c>
      <c r="G256" s="2">
        <v>45861</v>
      </c>
      <c r="H256">
        <v>1.2522969744382699</v>
      </c>
      <c r="I256" t="s">
        <v>72</v>
      </c>
      <c r="J256" t="s">
        <v>1024</v>
      </c>
      <c r="K256" t="s">
        <v>1025</v>
      </c>
      <c r="L256" t="s">
        <v>1482</v>
      </c>
      <c r="M256" t="s">
        <v>1483</v>
      </c>
      <c r="O256" t="s">
        <v>1081</v>
      </c>
      <c r="P256" t="s">
        <v>116</v>
      </c>
      <c r="Q256">
        <v>1.2522969744382699</v>
      </c>
      <c r="S256" t="s">
        <v>38</v>
      </c>
      <c r="T256" t="s">
        <v>2023</v>
      </c>
      <c r="V256" t="s">
        <v>118</v>
      </c>
      <c r="X256" t="s">
        <v>2024</v>
      </c>
      <c r="Y256" t="s">
        <v>1486</v>
      </c>
      <c r="Z256" t="s">
        <v>49</v>
      </c>
      <c r="AA256" t="s">
        <v>182</v>
      </c>
      <c r="AB256" t="s">
        <v>453</v>
      </c>
      <c r="AD256" t="s">
        <v>2025</v>
      </c>
      <c r="AE256" t="s">
        <v>1414</v>
      </c>
      <c r="AI256">
        <v>400.54560655078171</v>
      </c>
      <c r="AJ256">
        <v>5067.8863252826304</v>
      </c>
    </row>
    <row r="257" spans="1:36" x14ac:dyDescent="0.25">
      <c r="A257">
        <v>256</v>
      </c>
      <c r="B257" t="s">
        <v>2010</v>
      </c>
      <c r="C257" t="s">
        <v>376</v>
      </c>
      <c r="D257" t="s">
        <v>1481</v>
      </c>
      <c r="E257" t="s">
        <v>37</v>
      </c>
      <c r="G257" s="2">
        <v>45861</v>
      </c>
      <c r="H257">
        <v>6.2103135311209732</v>
      </c>
      <c r="I257" t="s">
        <v>72</v>
      </c>
      <c r="J257" t="s">
        <v>1024</v>
      </c>
      <c r="K257" t="s">
        <v>1025</v>
      </c>
      <c r="L257" t="s">
        <v>1482</v>
      </c>
      <c r="M257" t="s">
        <v>1483</v>
      </c>
      <c r="O257" t="s">
        <v>62</v>
      </c>
      <c r="P257" t="s">
        <v>63</v>
      </c>
      <c r="Q257">
        <v>6.2103135311209732</v>
      </c>
      <c r="R257" t="s">
        <v>64</v>
      </c>
      <c r="S257" t="s">
        <v>65</v>
      </c>
      <c r="T257" t="s">
        <v>2026</v>
      </c>
      <c r="V257" t="s">
        <v>71</v>
      </c>
      <c r="X257" t="s">
        <v>2027</v>
      </c>
      <c r="Y257" t="s">
        <v>1486</v>
      </c>
      <c r="Z257" t="s">
        <v>719</v>
      </c>
      <c r="AA257" t="s">
        <v>75</v>
      </c>
      <c r="AB257" t="s">
        <v>453</v>
      </c>
      <c r="AD257" t="s">
        <v>399</v>
      </c>
      <c r="AE257" t="s">
        <v>1638</v>
      </c>
      <c r="AI257">
        <v>626.63537795117099</v>
      </c>
      <c r="AJ257">
        <v>25132.347727824908</v>
      </c>
    </row>
    <row r="258" spans="1:36" hidden="1" x14ac:dyDescent="0.25">
      <c r="A258">
        <v>257</v>
      </c>
      <c r="B258" t="s">
        <v>57</v>
      </c>
      <c r="C258" t="s">
        <v>376</v>
      </c>
      <c r="D258" t="s">
        <v>1481</v>
      </c>
      <c r="E258" t="s">
        <v>37</v>
      </c>
      <c r="G258" s="2">
        <v>45860</v>
      </c>
      <c r="H258">
        <v>0.19435377851826879</v>
      </c>
      <c r="I258" t="s">
        <v>72</v>
      </c>
      <c r="J258" t="s">
        <v>1024</v>
      </c>
      <c r="K258" t="s">
        <v>1025</v>
      </c>
      <c r="L258" t="s">
        <v>1482</v>
      </c>
      <c r="M258" t="s">
        <v>1483</v>
      </c>
      <c r="N258" t="s">
        <v>57</v>
      </c>
      <c r="O258" t="s">
        <v>402</v>
      </c>
      <c r="P258" t="s">
        <v>403</v>
      </c>
      <c r="Q258">
        <v>0.19435377851826879</v>
      </c>
      <c r="S258" t="s">
        <v>38</v>
      </c>
      <c r="T258" t="s">
        <v>673</v>
      </c>
      <c r="V258" t="s">
        <v>110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I258">
        <v>151.3666452584697</v>
      </c>
      <c r="AJ258">
        <v>786.52498291114864</v>
      </c>
    </row>
    <row r="259" spans="1:36" hidden="1" x14ac:dyDescent="0.25">
      <c r="A259">
        <v>258</v>
      </c>
      <c r="B259" t="s">
        <v>57</v>
      </c>
      <c r="C259" t="s">
        <v>376</v>
      </c>
      <c r="D259" t="s">
        <v>1481</v>
      </c>
      <c r="E259" t="s">
        <v>37</v>
      </c>
      <c r="G259" s="2">
        <v>45860</v>
      </c>
      <c r="H259">
        <v>0.2474680889137813</v>
      </c>
      <c r="I259" t="s">
        <v>72</v>
      </c>
      <c r="J259" t="s">
        <v>1024</v>
      </c>
      <c r="K259" t="s">
        <v>1025</v>
      </c>
      <c r="L259" t="s">
        <v>1482</v>
      </c>
      <c r="M259" t="s">
        <v>1483</v>
      </c>
      <c r="N259" t="s">
        <v>57</v>
      </c>
      <c r="O259" t="s">
        <v>402</v>
      </c>
      <c r="P259" t="s">
        <v>403</v>
      </c>
      <c r="Q259">
        <v>0.2474680889137813</v>
      </c>
      <c r="S259" t="s">
        <v>38</v>
      </c>
      <c r="T259" t="s">
        <v>673</v>
      </c>
      <c r="V259" t="s">
        <v>110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I259">
        <v>169.93396908600809</v>
      </c>
      <c r="AJ259">
        <v>1001.471830843108</v>
      </c>
    </row>
    <row r="260" spans="1:36" x14ac:dyDescent="0.25">
      <c r="A260">
        <v>259</v>
      </c>
      <c r="B260" t="s">
        <v>57</v>
      </c>
      <c r="C260" t="s">
        <v>376</v>
      </c>
      <c r="D260" t="s">
        <v>1481</v>
      </c>
      <c r="E260" t="s">
        <v>37</v>
      </c>
      <c r="G260" s="2">
        <v>45860</v>
      </c>
      <c r="H260">
        <v>7.7127809451741705E-2</v>
      </c>
      <c r="I260" t="s">
        <v>72</v>
      </c>
      <c r="J260" t="s">
        <v>1024</v>
      </c>
      <c r="K260" t="s">
        <v>1025</v>
      </c>
      <c r="L260" t="s">
        <v>1482</v>
      </c>
      <c r="M260" t="s">
        <v>1483</v>
      </c>
      <c r="N260" t="s">
        <v>57</v>
      </c>
      <c r="O260" t="s">
        <v>62</v>
      </c>
      <c r="P260" t="s">
        <v>63</v>
      </c>
      <c r="Q260">
        <v>7.7127809451741705E-2</v>
      </c>
      <c r="R260" t="s">
        <v>64</v>
      </c>
      <c r="S260" t="s">
        <v>65</v>
      </c>
      <c r="T260" t="s">
        <v>57</v>
      </c>
      <c r="V260" t="s">
        <v>46</v>
      </c>
      <c r="Y260" t="s">
        <v>57</v>
      </c>
      <c r="Z260" t="s">
        <v>57</v>
      </c>
      <c r="AA260" t="s">
        <v>57</v>
      </c>
      <c r="AB260" t="s">
        <v>57</v>
      </c>
      <c r="AC260" t="s">
        <v>2028</v>
      </c>
      <c r="AD260" t="s">
        <v>57</v>
      </c>
      <c r="AE260" t="s">
        <v>57</v>
      </c>
      <c r="AI260">
        <v>73.400253058159748</v>
      </c>
      <c r="AJ260">
        <v>312.12641952985388</v>
      </c>
    </row>
    <row r="261" spans="1:36" x14ac:dyDescent="0.25">
      <c r="A261">
        <v>260</v>
      </c>
      <c r="C261" t="s">
        <v>376</v>
      </c>
      <c r="D261" t="s">
        <v>1481</v>
      </c>
      <c r="E261" t="s">
        <v>37</v>
      </c>
      <c r="G261" s="2">
        <v>45860</v>
      </c>
      <c r="H261">
        <v>1.003038822123111</v>
      </c>
      <c r="I261" t="s">
        <v>72</v>
      </c>
      <c r="J261" t="s">
        <v>1024</v>
      </c>
      <c r="K261" t="s">
        <v>1025</v>
      </c>
      <c r="L261" t="s">
        <v>1482</v>
      </c>
      <c r="M261" t="s">
        <v>1483</v>
      </c>
      <c r="N261" t="s">
        <v>1590</v>
      </c>
      <c r="O261" t="s">
        <v>62</v>
      </c>
      <c r="P261" t="s">
        <v>63</v>
      </c>
      <c r="Q261">
        <v>1.003038822123111</v>
      </c>
      <c r="R261" t="s">
        <v>64</v>
      </c>
      <c r="S261" t="s">
        <v>65</v>
      </c>
      <c r="T261" t="s">
        <v>2029</v>
      </c>
      <c r="V261" t="s">
        <v>64</v>
      </c>
      <c r="X261" t="s">
        <v>2030</v>
      </c>
      <c r="Y261" t="s">
        <v>1486</v>
      </c>
      <c r="Z261" t="s">
        <v>49</v>
      </c>
      <c r="AA261" t="s">
        <v>576</v>
      </c>
      <c r="AB261" t="s">
        <v>453</v>
      </c>
      <c r="AC261" t="s">
        <v>1593</v>
      </c>
      <c r="AD261" t="s">
        <v>1230</v>
      </c>
      <c r="AE261" t="s">
        <v>1623</v>
      </c>
      <c r="AG261" t="s">
        <v>2031</v>
      </c>
      <c r="AH261" t="s">
        <v>2032</v>
      </c>
      <c r="AI261">
        <v>339.51302392494262</v>
      </c>
      <c r="AJ261">
        <v>4059.1703358905488</v>
      </c>
    </row>
    <row r="262" spans="1:36" x14ac:dyDescent="0.25">
      <c r="A262">
        <v>261</v>
      </c>
      <c r="C262" t="s">
        <v>376</v>
      </c>
      <c r="D262" t="s">
        <v>1481</v>
      </c>
      <c r="E262" t="s">
        <v>37</v>
      </c>
      <c r="G262" s="2">
        <v>45860</v>
      </c>
      <c r="H262">
        <v>1.005853327856119</v>
      </c>
      <c r="I262" t="s">
        <v>72</v>
      </c>
      <c r="J262" t="s">
        <v>1024</v>
      </c>
      <c r="K262" t="s">
        <v>1025</v>
      </c>
      <c r="L262" t="s">
        <v>1482</v>
      </c>
      <c r="M262" t="s">
        <v>1483</v>
      </c>
      <c r="O262" t="s">
        <v>62</v>
      </c>
      <c r="P262" t="s">
        <v>63</v>
      </c>
      <c r="Q262">
        <v>1.005853327856119</v>
      </c>
      <c r="R262" t="s">
        <v>64</v>
      </c>
      <c r="S262" t="s">
        <v>65</v>
      </c>
      <c r="T262" t="s">
        <v>2033</v>
      </c>
      <c r="V262" t="s">
        <v>73</v>
      </c>
      <c r="X262" t="s">
        <v>2034</v>
      </c>
      <c r="Y262" t="s">
        <v>1031</v>
      </c>
      <c r="Z262" t="s">
        <v>49</v>
      </c>
      <c r="AA262" t="s">
        <v>75</v>
      </c>
      <c r="AB262" t="s">
        <v>453</v>
      </c>
      <c r="AC262" t="s">
        <v>2035</v>
      </c>
      <c r="AD262" t="s">
        <v>2036</v>
      </c>
      <c r="AE262" t="s">
        <v>1623</v>
      </c>
      <c r="AI262">
        <v>255.2228919819608</v>
      </c>
      <c r="AJ262">
        <v>4070.560282051792</v>
      </c>
    </row>
    <row r="263" spans="1:36" x14ac:dyDescent="0.25">
      <c r="A263">
        <v>262</v>
      </c>
      <c r="B263" t="s">
        <v>1662</v>
      </c>
      <c r="C263" t="s">
        <v>376</v>
      </c>
      <c r="D263" t="s">
        <v>1481</v>
      </c>
      <c r="E263" t="s">
        <v>37</v>
      </c>
      <c r="G263" s="2">
        <v>45860</v>
      </c>
      <c r="H263">
        <v>9.8687142259320917E-2</v>
      </c>
      <c r="I263" t="s">
        <v>72</v>
      </c>
      <c r="J263" t="s">
        <v>1024</v>
      </c>
      <c r="K263" t="s">
        <v>1025</v>
      </c>
      <c r="L263" t="s">
        <v>1482</v>
      </c>
      <c r="M263" t="s">
        <v>1483</v>
      </c>
      <c r="N263" t="s">
        <v>1612</v>
      </c>
      <c r="O263" t="s">
        <v>62</v>
      </c>
      <c r="P263" t="s">
        <v>63</v>
      </c>
      <c r="Q263">
        <v>9.8687142259320917E-2</v>
      </c>
      <c r="R263" t="s">
        <v>64</v>
      </c>
      <c r="S263" t="s">
        <v>65</v>
      </c>
      <c r="T263" t="s">
        <v>1655</v>
      </c>
      <c r="V263" t="s">
        <v>46</v>
      </c>
      <c r="X263" t="s">
        <v>1614</v>
      </c>
      <c r="Y263" t="s">
        <v>1486</v>
      </c>
      <c r="Z263" t="s">
        <v>49</v>
      </c>
      <c r="AA263" t="s">
        <v>46</v>
      </c>
      <c r="AB263" t="s">
        <v>453</v>
      </c>
      <c r="AC263" t="s">
        <v>1503</v>
      </c>
      <c r="AD263" t="s">
        <v>1498</v>
      </c>
      <c r="AE263" t="s">
        <v>1663</v>
      </c>
      <c r="AI263">
        <v>115.0635285659762</v>
      </c>
      <c r="AJ263">
        <v>399.37429295600958</v>
      </c>
    </row>
    <row r="264" spans="1:36" hidden="1" x14ac:dyDescent="0.25">
      <c r="A264">
        <v>263</v>
      </c>
      <c r="B264" t="s">
        <v>2037</v>
      </c>
      <c r="C264" t="s">
        <v>376</v>
      </c>
      <c r="D264" t="s">
        <v>1481</v>
      </c>
      <c r="E264" t="s">
        <v>37</v>
      </c>
      <c r="G264" s="2">
        <v>45860</v>
      </c>
      <c r="H264">
        <v>6.0278375522484932E-2</v>
      </c>
      <c r="I264" t="s">
        <v>72</v>
      </c>
      <c r="J264" t="s">
        <v>1024</v>
      </c>
      <c r="K264" t="s">
        <v>1025</v>
      </c>
      <c r="L264" t="s">
        <v>1482</v>
      </c>
      <c r="M264" t="s">
        <v>1483</v>
      </c>
      <c r="N264" t="s">
        <v>1612</v>
      </c>
      <c r="O264" t="s">
        <v>408</v>
      </c>
      <c r="P264" t="s">
        <v>409</v>
      </c>
      <c r="Q264">
        <v>6.0278375522484932E-2</v>
      </c>
      <c r="R264" t="s">
        <v>60</v>
      </c>
      <c r="S264" t="s">
        <v>66</v>
      </c>
      <c r="T264" t="s">
        <v>2038</v>
      </c>
      <c r="V264" t="s">
        <v>73</v>
      </c>
      <c r="X264" t="s">
        <v>1614</v>
      </c>
      <c r="Y264" t="s">
        <v>1031</v>
      </c>
      <c r="Z264" t="s">
        <v>69</v>
      </c>
      <c r="AA264" t="s">
        <v>46</v>
      </c>
      <c r="AB264" t="s">
        <v>453</v>
      </c>
      <c r="AC264" t="s">
        <v>1757</v>
      </c>
      <c r="AD264" t="s">
        <v>1498</v>
      </c>
      <c r="AE264" t="s">
        <v>1693</v>
      </c>
      <c r="AI264">
        <v>61.258804023975259</v>
      </c>
      <c r="AJ264">
        <v>243.93890686965881</v>
      </c>
    </row>
    <row r="265" spans="1:36" hidden="1" x14ac:dyDescent="0.25">
      <c r="A265">
        <v>264</v>
      </c>
      <c r="B265" t="s">
        <v>2037</v>
      </c>
      <c r="C265" t="s">
        <v>376</v>
      </c>
      <c r="D265" t="s">
        <v>1481</v>
      </c>
      <c r="E265" t="s">
        <v>37</v>
      </c>
      <c r="G265" s="2">
        <v>45860</v>
      </c>
      <c r="H265">
        <v>6.7597585660886028E-2</v>
      </c>
      <c r="I265" t="s">
        <v>72</v>
      </c>
      <c r="J265" t="s">
        <v>1024</v>
      </c>
      <c r="K265" t="s">
        <v>1025</v>
      </c>
      <c r="L265" t="s">
        <v>1482</v>
      </c>
      <c r="M265" t="s">
        <v>1483</v>
      </c>
      <c r="N265" t="s">
        <v>1612</v>
      </c>
      <c r="O265" t="s">
        <v>408</v>
      </c>
      <c r="P265" t="s">
        <v>409</v>
      </c>
      <c r="Q265">
        <v>6.7597585660886028E-2</v>
      </c>
      <c r="R265" t="s">
        <v>60</v>
      </c>
      <c r="S265" t="s">
        <v>66</v>
      </c>
      <c r="T265" t="s">
        <v>2038</v>
      </c>
      <c r="V265" t="s">
        <v>73</v>
      </c>
      <c r="X265" t="s">
        <v>1614</v>
      </c>
      <c r="Y265" t="s">
        <v>1031</v>
      </c>
      <c r="Z265" t="s">
        <v>69</v>
      </c>
      <c r="AA265" t="s">
        <v>46</v>
      </c>
      <c r="AB265" t="s">
        <v>453</v>
      </c>
      <c r="AC265" t="s">
        <v>1757</v>
      </c>
      <c r="AD265" t="s">
        <v>1498</v>
      </c>
      <c r="AE265" t="s">
        <v>1693</v>
      </c>
      <c r="AI265">
        <v>62.669645915656901</v>
      </c>
      <c r="AJ265">
        <v>273.55881790466822</v>
      </c>
    </row>
    <row r="266" spans="1:36" hidden="1" x14ac:dyDescent="0.25">
      <c r="A266">
        <v>265</v>
      </c>
      <c r="B266" t="s">
        <v>1745</v>
      </c>
      <c r="C266" t="s">
        <v>376</v>
      </c>
      <c r="D266" t="s">
        <v>1481</v>
      </c>
      <c r="E266" t="s">
        <v>37</v>
      </c>
      <c r="G266" s="2">
        <v>45860</v>
      </c>
      <c r="H266">
        <v>0.2411503270127924</v>
      </c>
      <c r="I266" t="s">
        <v>72</v>
      </c>
      <c r="J266" t="s">
        <v>1024</v>
      </c>
      <c r="K266" t="s">
        <v>1025</v>
      </c>
      <c r="L266" t="s">
        <v>1482</v>
      </c>
      <c r="M266" t="s">
        <v>1483</v>
      </c>
      <c r="O266" t="s">
        <v>402</v>
      </c>
      <c r="P266" t="s">
        <v>403</v>
      </c>
      <c r="Q266">
        <v>0.2411503270127924</v>
      </c>
      <c r="S266" t="s">
        <v>38</v>
      </c>
      <c r="T266" t="s">
        <v>1484</v>
      </c>
      <c r="V266" t="s">
        <v>73</v>
      </c>
      <c r="X266" t="s">
        <v>673</v>
      </c>
      <c r="Y266" t="s">
        <v>1031</v>
      </c>
      <c r="Z266" t="s">
        <v>49</v>
      </c>
      <c r="AA266" t="s">
        <v>75</v>
      </c>
      <c r="AB266" t="s">
        <v>453</v>
      </c>
      <c r="AC266" t="s">
        <v>1543</v>
      </c>
      <c r="AD266" t="s">
        <v>57</v>
      </c>
      <c r="AI266">
        <v>192.35296719421871</v>
      </c>
      <c r="AJ266">
        <v>975.90465325028833</v>
      </c>
    </row>
    <row r="267" spans="1:36" hidden="1" x14ac:dyDescent="0.25">
      <c r="A267">
        <v>266</v>
      </c>
      <c r="B267" t="s">
        <v>1745</v>
      </c>
      <c r="C267" t="s">
        <v>376</v>
      </c>
      <c r="D267" t="s">
        <v>1481</v>
      </c>
      <c r="E267" t="s">
        <v>37</v>
      </c>
      <c r="G267" s="2">
        <v>45860</v>
      </c>
      <c r="H267">
        <v>7.503824998599927E-2</v>
      </c>
      <c r="I267" t="s">
        <v>72</v>
      </c>
      <c r="J267" t="s">
        <v>1024</v>
      </c>
      <c r="K267" t="s">
        <v>1025</v>
      </c>
      <c r="L267" t="s">
        <v>1482</v>
      </c>
      <c r="M267" t="s">
        <v>1483</v>
      </c>
      <c r="O267" t="s">
        <v>402</v>
      </c>
      <c r="P267" t="s">
        <v>403</v>
      </c>
      <c r="Q267">
        <v>7.503824998599927E-2</v>
      </c>
      <c r="S267" t="s">
        <v>38</v>
      </c>
      <c r="T267" t="s">
        <v>1484</v>
      </c>
      <c r="V267" t="s">
        <v>73</v>
      </c>
      <c r="X267" t="s">
        <v>673</v>
      </c>
      <c r="Y267" t="s">
        <v>1031</v>
      </c>
      <c r="Z267" t="s">
        <v>49</v>
      </c>
      <c r="AA267" t="s">
        <v>75</v>
      </c>
      <c r="AB267" t="s">
        <v>453</v>
      </c>
      <c r="AC267" t="s">
        <v>1543</v>
      </c>
      <c r="AD267" t="s">
        <v>57</v>
      </c>
      <c r="AI267">
        <v>84.694775275010983</v>
      </c>
      <c r="AJ267">
        <v>303.6702385612374</v>
      </c>
    </row>
    <row r="268" spans="1:36" x14ac:dyDescent="0.25">
      <c r="A268">
        <v>267</v>
      </c>
      <c r="B268" t="s">
        <v>1724</v>
      </c>
      <c r="C268" t="s">
        <v>376</v>
      </c>
      <c r="D268" t="s">
        <v>1481</v>
      </c>
      <c r="E268" t="s">
        <v>37</v>
      </c>
      <c r="G268" s="2">
        <v>45860</v>
      </c>
      <c r="H268">
        <v>0.48773161344043642</v>
      </c>
      <c r="I268" t="s">
        <v>72</v>
      </c>
      <c r="J268" t="s">
        <v>1024</v>
      </c>
      <c r="K268" t="s">
        <v>1025</v>
      </c>
      <c r="L268" t="s">
        <v>1482</v>
      </c>
      <c r="M268" t="s">
        <v>1483</v>
      </c>
      <c r="N268" t="s">
        <v>1612</v>
      </c>
      <c r="O268" t="s">
        <v>62</v>
      </c>
      <c r="P268" t="s">
        <v>63</v>
      </c>
      <c r="Q268">
        <v>0.48773161344043642</v>
      </c>
      <c r="R268" t="s">
        <v>64</v>
      </c>
      <c r="S268" t="s">
        <v>65</v>
      </c>
      <c r="T268" t="s">
        <v>1704</v>
      </c>
      <c r="V268" t="s">
        <v>60</v>
      </c>
      <c r="X268" t="s">
        <v>1614</v>
      </c>
      <c r="Y268" t="s">
        <v>1486</v>
      </c>
      <c r="Z268" t="s">
        <v>49</v>
      </c>
      <c r="AA268" t="s">
        <v>124</v>
      </c>
      <c r="AB268" t="s">
        <v>453</v>
      </c>
      <c r="AC268" t="s">
        <v>1725</v>
      </c>
      <c r="AD268" t="s">
        <v>1498</v>
      </c>
      <c r="AE268" t="s">
        <v>1726</v>
      </c>
      <c r="AI268">
        <v>186.37828102751709</v>
      </c>
      <c r="AJ268">
        <v>1973.7877074018779</v>
      </c>
    </row>
    <row r="269" spans="1:36" hidden="1" x14ac:dyDescent="0.25">
      <c r="A269">
        <v>268</v>
      </c>
      <c r="B269" t="s">
        <v>1507</v>
      </c>
      <c r="C269" t="s">
        <v>376</v>
      </c>
      <c r="D269" t="s">
        <v>1481</v>
      </c>
      <c r="E269" t="s">
        <v>37</v>
      </c>
      <c r="G269" s="2">
        <v>45861</v>
      </c>
      <c r="H269">
        <v>4.4841213027222384</v>
      </c>
      <c r="I269" t="s">
        <v>72</v>
      </c>
      <c r="J269" t="s">
        <v>1024</v>
      </c>
      <c r="K269" t="s">
        <v>1025</v>
      </c>
      <c r="L269" t="s">
        <v>1482</v>
      </c>
      <c r="M269" t="s">
        <v>1483</v>
      </c>
      <c r="O269" t="s">
        <v>79</v>
      </c>
      <c r="P269" t="s">
        <v>80</v>
      </c>
      <c r="Q269">
        <v>4.4841213027222384</v>
      </c>
      <c r="R269" t="s">
        <v>46</v>
      </c>
      <c r="S269" t="s">
        <v>47</v>
      </c>
      <c r="T269" t="s">
        <v>1490</v>
      </c>
      <c r="V269" t="s">
        <v>118</v>
      </c>
      <c r="X269" t="s">
        <v>1491</v>
      </c>
      <c r="Y269" t="s">
        <v>1486</v>
      </c>
      <c r="Z269" t="s">
        <v>49</v>
      </c>
      <c r="AA269" t="s">
        <v>182</v>
      </c>
      <c r="AB269" t="s">
        <v>453</v>
      </c>
      <c r="AC269" t="s">
        <v>1492</v>
      </c>
      <c r="AD269" t="s">
        <v>1498</v>
      </c>
      <c r="AE269" t="s">
        <v>1499</v>
      </c>
      <c r="AI269">
        <v>563.50372379052783</v>
      </c>
      <c r="AJ269">
        <v>18146.667679340269</v>
      </c>
    </row>
    <row r="270" spans="1:36" hidden="1" x14ac:dyDescent="0.25">
      <c r="A270">
        <v>269</v>
      </c>
      <c r="C270" t="s">
        <v>376</v>
      </c>
      <c r="D270" t="s">
        <v>1481</v>
      </c>
      <c r="E270" t="s">
        <v>37</v>
      </c>
      <c r="G270" s="2">
        <v>45861</v>
      </c>
      <c r="H270">
        <v>2.8298177630676289</v>
      </c>
      <c r="I270" t="s">
        <v>72</v>
      </c>
      <c r="J270" t="s">
        <v>1024</v>
      </c>
      <c r="K270" t="s">
        <v>1025</v>
      </c>
      <c r="L270" t="s">
        <v>1482</v>
      </c>
      <c r="M270" t="s">
        <v>1483</v>
      </c>
      <c r="O270" t="s">
        <v>79</v>
      </c>
      <c r="P270" t="s">
        <v>80</v>
      </c>
      <c r="Q270">
        <v>2.8298177630676289</v>
      </c>
      <c r="R270" t="s">
        <v>46</v>
      </c>
      <c r="S270" t="s">
        <v>47</v>
      </c>
      <c r="T270" t="s">
        <v>2039</v>
      </c>
      <c r="V270" t="s">
        <v>118</v>
      </c>
      <c r="AI270">
        <v>451.04856238656362</v>
      </c>
      <c r="AJ270">
        <v>11451.911996294009</v>
      </c>
    </row>
    <row r="271" spans="1:36" hidden="1" x14ac:dyDescent="0.25">
      <c r="A271">
        <v>270</v>
      </c>
      <c r="C271" t="s">
        <v>376</v>
      </c>
      <c r="D271" t="s">
        <v>1481</v>
      </c>
      <c r="E271" t="s">
        <v>37</v>
      </c>
      <c r="G271" s="2">
        <v>45861</v>
      </c>
      <c r="H271">
        <v>3.8034940567532329</v>
      </c>
      <c r="I271" t="s">
        <v>72</v>
      </c>
      <c r="J271" t="s">
        <v>1024</v>
      </c>
      <c r="K271" t="s">
        <v>1025</v>
      </c>
      <c r="L271" t="s">
        <v>1482</v>
      </c>
      <c r="M271" t="s">
        <v>1483</v>
      </c>
      <c r="O271" t="s">
        <v>79</v>
      </c>
      <c r="P271" t="s">
        <v>80</v>
      </c>
      <c r="Q271">
        <v>3.8034940567532329</v>
      </c>
      <c r="R271" t="s">
        <v>46</v>
      </c>
      <c r="S271" t="s">
        <v>47</v>
      </c>
      <c r="T271" t="s">
        <v>2039</v>
      </c>
      <c r="V271" t="s">
        <v>118</v>
      </c>
      <c r="AI271">
        <v>507.02301129245029</v>
      </c>
      <c r="AJ271">
        <v>15392.25592009416</v>
      </c>
    </row>
    <row r="272" spans="1:36" hidden="1" x14ac:dyDescent="0.25">
      <c r="A272">
        <v>271</v>
      </c>
      <c r="C272" t="s">
        <v>376</v>
      </c>
      <c r="D272" t="s">
        <v>1481</v>
      </c>
      <c r="E272" t="s">
        <v>37</v>
      </c>
      <c r="G272" s="2">
        <v>45860</v>
      </c>
      <c r="H272">
        <v>6.2980993029588456E-2</v>
      </c>
      <c r="I272" t="s">
        <v>72</v>
      </c>
      <c r="J272" t="s">
        <v>1024</v>
      </c>
      <c r="K272" t="s">
        <v>1025</v>
      </c>
      <c r="L272" t="s">
        <v>1482</v>
      </c>
      <c r="M272" t="s">
        <v>1483</v>
      </c>
      <c r="N272" t="s">
        <v>1590</v>
      </c>
      <c r="O272" t="s">
        <v>115</v>
      </c>
      <c r="P272" t="s">
        <v>137</v>
      </c>
      <c r="Q272">
        <v>6.2980993029588456E-2</v>
      </c>
      <c r="V272" t="s">
        <v>64</v>
      </c>
      <c r="Y272" t="s">
        <v>1486</v>
      </c>
      <c r="Z272" t="s">
        <v>49</v>
      </c>
      <c r="AA272" t="s">
        <v>121</v>
      </c>
      <c r="AB272" t="s">
        <v>453</v>
      </c>
      <c r="AI272">
        <v>61.122253608207252</v>
      </c>
      <c r="AJ272">
        <v>254.87605563412271</v>
      </c>
    </row>
    <row r="273" spans="1:36" hidden="1" x14ac:dyDescent="0.25">
      <c r="A273">
        <v>273</v>
      </c>
      <c r="C273" t="s">
        <v>376</v>
      </c>
      <c r="D273" t="s">
        <v>1481</v>
      </c>
      <c r="E273" t="s">
        <v>37</v>
      </c>
      <c r="G273" s="2">
        <v>45860</v>
      </c>
      <c r="H273">
        <v>1.6611053557812141E-2</v>
      </c>
      <c r="I273" t="s">
        <v>72</v>
      </c>
      <c r="J273" t="s">
        <v>1024</v>
      </c>
      <c r="K273" t="s">
        <v>1025</v>
      </c>
      <c r="L273" t="s">
        <v>1482</v>
      </c>
      <c r="M273" t="s">
        <v>1483</v>
      </c>
      <c r="O273" t="s">
        <v>704</v>
      </c>
      <c r="P273" t="s">
        <v>705</v>
      </c>
      <c r="Q273">
        <v>1.6611053557812141E-2</v>
      </c>
      <c r="R273" t="s">
        <v>73</v>
      </c>
      <c r="S273" t="s">
        <v>74</v>
      </c>
      <c r="V273" t="s">
        <v>46</v>
      </c>
      <c r="AI273">
        <v>32.880116402031277</v>
      </c>
      <c r="AJ273">
        <v>67.222817664264184</v>
      </c>
    </row>
    <row r="274" spans="1:36" hidden="1" x14ac:dyDescent="0.25">
      <c r="A274">
        <v>274</v>
      </c>
      <c r="C274" t="s">
        <v>376</v>
      </c>
      <c r="D274" t="s">
        <v>1481</v>
      </c>
      <c r="E274" t="s">
        <v>37</v>
      </c>
      <c r="G274" s="2">
        <v>45860</v>
      </c>
      <c r="H274">
        <v>8.6304191477537071E-3</v>
      </c>
      <c r="I274" t="s">
        <v>72</v>
      </c>
      <c r="J274" t="s">
        <v>1024</v>
      </c>
      <c r="K274" t="s">
        <v>1025</v>
      </c>
      <c r="L274" t="s">
        <v>1482</v>
      </c>
      <c r="M274" t="s">
        <v>1483</v>
      </c>
      <c r="O274" t="s">
        <v>704</v>
      </c>
      <c r="P274" t="s">
        <v>705</v>
      </c>
      <c r="Q274">
        <v>8.6304191477537071E-3</v>
      </c>
      <c r="R274" t="s">
        <v>73</v>
      </c>
      <c r="S274" t="s">
        <v>74</v>
      </c>
      <c r="V274" t="s">
        <v>46</v>
      </c>
      <c r="AI274">
        <v>23.809421776252911</v>
      </c>
      <c r="AJ274">
        <v>34.926206860778763</v>
      </c>
    </row>
  </sheetData>
  <autoFilter ref="A1:AJ274" xr:uid="{00000000-0001-0000-0500-000000000000}">
    <filterColumn colId="15">
      <filters>
        <filter val="Fallow, idle or otherwise not irrigated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D225"/>
  <sheetViews>
    <sheetView topLeftCell="B1" workbookViewId="0">
      <pane ySplit="1" topLeftCell="A113" activePane="bottomLeft" state="frozen"/>
      <selection pane="bottomLeft" activeCell="M1" sqref="M1:M1048576"/>
    </sheetView>
  </sheetViews>
  <sheetFormatPr defaultRowHeight="15" x14ac:dyDescent="0.25"/>
  <cols>
    <col min="2" max="2" width="11.5703125" bestFit="1" customWidth="1"/>
    <col min="3" max="3" width="8.42578125" bestFit="1" customWidth="1"/>
    <col min="4" max="4" width="27.5703125" bestFit="1" customWidth="1"/>
    <col min="5" max="5" width="18.42578125" bestFit="1" customWidth="1"/>
    <col min="6" max="6" width="10.28515625" bestFit="1" customWidth="1"/>
    <col min="7" max="7" width="11.28515625" bestFit="1" customWidth="1"/>
    <col min="8" max="8" width="9" bestFit="1" customWidth="1"/>
    <col min="9" max="9" width="9.5703125" bestFit="1" customWidth="1"/>
    <col min="10" max="10" width="20.5703125" bestFit="1" customWidth="1"/>
    <col min="11" max="11" width="13.85546875" bestFit="1" customWidth="1"/>
    <col min="12" max="12" width="21.140625" customWidth="1"/>
    <col min="13" max="13" width="22.7109375" bestFit="1" customWidth="1"/>
    <col min="14" max="14" width="11.5703125" bestFit="1" customWidth="1"/>
    <col min="15" max="15" width="17.28515625" bestFit="1" customWidth="1"/>
  </cols>
  <sheetData>
    <row r="1" spans="1:30" ht="16.5" thickBot="1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32</v>
      </c>
      <c r="AB1" s="1" t="s">
        <v>33</v>
      </c>
      <c r="AC1" s="1" t="s">
        <v>34</v>
      </c>
      <c r="AD1" s="1" t="s">
        <v>35</v>
      </c>
    </row>
    <row r="2" spans="1:30" x14ac:dyDescent="0.25">
      <c r="A2">
        <v>1</v>
      </c>
      <c r="B2" t="s">
        <v>713</v>
      </c>
      <c r="C2" t="s">
        <v>376</v>
      </c>
      <c r="D2">
        <v>4.7</v>
      </c>
      <c r="E2" t="s">
        <v>72</v>
      </c>
      <c r="F2" t="s">
        <v>40</v>
      </c>
      <c r="G2" t="s">
        <v>41</v>
      </c>
      <c r="H2" t="s">
        <v>714</v>
      </c>
      <c r="I2" t="s">
        <v>715</v>
      </c>
      <c r="J2" t="s">
        <v>716</v>
      </c>
      <c r="K2" t="s">
        <v>402</v>
      </c>
      <c r="L2" t="s">
        <v>403</v>
      </c>
      <c r="M2">
        <v>4.9826212858725212</v>
      </c>
      <c r="N2">
        <v>0</v>
      </c>
      <c r="O2" t="s">
        <v>38</v>
      </c>
      <c r="P2" t="s">
        <v>717</v>
      </c>
      <c r="R2" t="s">
        <v>46</v>
      </c>
      <c r="T2" t="s">
        <v>718</v>
      </c>
      <c r="U2" t="s">
        <v>48</v>
      </c>
      <c r="V2" t="s">
        <v>719</v>
      </c>
      <c r="W2" t="s">
        <v>54</v>
      </c>
      <c r="X2" t="s">
        <v>41</v>
      </c>
      <c r="Y2" t="s">
        <v>720</v>
      </c>
      <c r="Z2" t="s">
        <v>721</v>
      </c>
      <c r="AC2">
        <v>537.82062470454946</v>
      </c>
      <c r="AD2">
        <v>20164.033607173929</v>
      </c>
    </row>
    <row r="3" spans="1:30" x14ac:dyDescent="0.25">
      <c r="A3">
        <v>2</v>
      </c>
      <c r="B3" t="s">
        <v>722</v>
      </c>
      <c r="C3" t="s">
        <v>376</v>
      </c>
      <c r="D3">
        <v>25.5</v>
      </c>
      <c r="E3" t="s">
        <v>72</v>
      </c>
      <c r="F3" t="s">
        <v>40</v>
      </c>
      <c r="G3" t="s">
        <v>41</v>
      </c>
      <c r="H3" t="s">
        <v>714</v>
      </c>
      <c r="I3" t="s">
        <v>715</v>
      </c>
      <c r="J3" t="s">
        <v>716</v>
      </c>
      <c r="K3" t="s">
        <v>402</v>
      </c>
      <c r="L3" t="s">
        <v>403</v>
      </c>
      <c r="M3">
        <v>27.037701688410952</v>
      </c>
      <c r="N3">
        <v>0</v>
      </c>
      <c r="O3" t="s">
        <v>38</v>
      </c>
      <c r="P3" t="s">
        <v>723</v>
      </c>
      <c r="R3" t="s">
        <v>46</v>
      </c>
      <c r="T3" t="s">
        <v>718</v>
      </c>
      <c r="U3" t="s">
        <v>48</v>
      </c>
      <c r="V3" t="s">
        <v>719</v>
      </c>
      <c r="W3" t="s">
        <v>54</v>
      </c>
      <c r="X3" t="s">
        <v>41</v>
      </c>
      <c r="Y3" t="s">
        <v>724</v>
      </c>
      <c r="Z3" t="s">
        <v>721</v>
      </c>
      <c r="AC3">
        <v>1480.4521894795421</v>
      </c>
      <c r="AD3">
        <v>109418.1343967811</v>
      </c>
    </row>
    <row r="4" spans="1:30" hidden="1" x14ac:dyDescent="0.25">
      <c r="A4">
        <v>3</v>
      </c>
      <c r="B4" t="s">
        <v>725</v>
      </c>
      <c r="C4" t="s">
        <v>376</v>
      </c>
      <c r="D4">
        <v>0.5</v>
      </c>
      <c r="E4" t="s">
        <v>72</v>
      </c>
      <c r="F4" t="s">
        <v>40</v>
      </c>
      <c r="G4" t="s">
        <v>41</v>
      </c>
      <c r="H4" t="s">
        <v>714</v>
      </c>
      <c r="I4" t="s">
        <v>715</v>
      </c>
      <c r="J4" t="s">
        <v>716</v>
      </c>
      <c r="K4" t="s">
        <v>62</v>
      </c>
      <c r="L4" t="s">
        <v>63</v>
      </c>
      <c r="M4">
        <v>0.52528282128363468</v>
      </c>
      <c r="N4" t="s">
        <v>64</v>
      </c>
      <c r="O4" t="s">
        <v>65</v>
      </c>
      <c r="P4" t="s">
        <v>723</v>
      </c>
      <c r="R4" t="s">
        <v>46</v>
      </c>
      <c r="T4" t="s">
        <v>718</v>
      </c>
      <c r="U4" t="s">
        <v>48</v>
      </c>
      <c r="V4" t="s">
        <v>719</v>
      </c>
      <c r="W4" t="s">
        <v>54</v>
      </c>
      <c r="X4" t="s">
        <v>41</v>
      </c>
      <c r="Y4" t="s">
        <v>726</v>
      </c>
      <c r="Z4" t="s">
        <v>721</v>
      </c>
      <c r="AC4">
        <v>265.6702005356226</v>
      </c>
      <c r="AD4">
        <v>2125.7526618902129</v>
      </c>
    </row>
    <row r="5" spans="1:30" x14ac:dyDescent="0.25">
      <c r="A5">
        <v>4</v>
      </c>
      <c r="B5" t="s">
        <v>727</v>
      </c>
      <c r="C5" t="s">
        <v>376</v>
      </c>
      <c r="D5">
        <v>30.899999999999899</v>
      </c>
      <c r="E5" t="s">
        <v>72</v>
      </c>
      <c r="F5" t="s">
        <v>40</v>
      </c>
      <c r="G5" t="s">
        <v>41</v>
      </c>
      <c r="H5" t="s">
        <v>714</v>
      </c>
      <c r="I5" t="s">
        <v>715</v>
      </c>
      <c r="J5" t="s">
        <v>716</v>
      </c>
      <c r="K5" t="s">
        <v>402</v>
      </c>
      <c r="L5" t="s">
        <v>403</v>
      </c>
      <c r="M5">
        <v>32.522517841947632</v>
      </c>
      <c r="N5">
        <v>0</v>
      </c>
      <c r="O5" t="s">
        <v>38</v>
      </c>
      <c r="P5" t="s">
        <v>717</v>
      </c>
      <c r="R5" t="s">
        <v>46</v>
      </c>
      <c r="T5" t="s">
        <v>718</v>
      </c>
      <c r="U5" t="s">
        <v>48</v>
      </c>
      <c r="V5" t="s">
        <v>719</v>
      </c>
      <c r="W5" t="s">
        <v>54</v>
      </c>
      <c r="X5" t="s">
        <v>41</v>
      </c>
      <c r="Y5" t="s">
        <v>724</v>
      </c>
      <c r="Z5" t="s">
        <v>721</v>
      </c>
      <c r="AC5">
        <v>1604.0028288582851</v>
      </c>
      <c r="AD5">
        <v>131614.48665872449</v>
      </c>
    </row>
    <row r="6" spans="1:30" x14ac:dyDescent="0.25">
      <c r="A6">
        <v>5</v>
      </c>
      <c r="B6" t="s">
        <v>728</v>
      </c>
      <c r="C6" t="s">
        <v>376</v>
      </c>
      <c r="D6">
        <v>4.3</v>
      </c>
      <c r="E6" t="s">
        <v>72</v>
      </c>
      <c r="F6" t="s">
        <v>40</v>
      </c>
      <c r="G6" t="s">
        <v>41</v>
      </c>
      <c r="H6" t="s">
        <v>714</v>
      </c>
      <c r="I6" t="s">
        <v>715</v>
      </c>
      <c r="J6" t="s">
        <v>716</v>
      </c>
      <c r="K6" t="s">
        <v>402</v>
      </c>
      <c r="L6" t="s">
        <v>403</v>
      </c>
      <c r="M6">
        <v>4.4475964337051366</v>
      </c>
      <c r="N6">
        <v>0</v>
      </c>
      <c r="O6" t="s">
        <v>38</v>
      </c>
      <c r="P6" t="s">
        <v>717</v>
      </c>
      <c r="R6" t="s">
        <v>46</v>
      </c>
      <c r="T6" t="s">
        <v>718</v>
      </c>
      <c r="U6" t="s">
        <v>48</v>
      </c>
      <c r="V6" t="s">
        <v>719</v>
      </c>
      <c r="W6" t="s">
        <v>54</v>
      </c>
      <c r="X6" t="s">
        <v>41</v>
      </c>
      <c r="Y6" t="s">
        <v>724</v>
      </c>
      <c r="Z6" t="s">
        <v>721</v>
      </c>
      <c r="AC6">
        <v>736.62946144146315</v>
      </c>
      <c r="AD6">
        <v>17998.856187335721</v>
      </c>
    </row>
    <row r="7" spans="1:30" x14ac:dyDescent="0.25">
      <c r="A7">
        <v>6</v>
      </c>
      <c r="B7" t="s">
        <v>729</v>
      </c>
      <c r="C7" t="s">
        <v>376</v>
      </c>
      <c r="D7">
        <v>5.6</v>
      </c>
      <c r="E7" t="s">
        <v>72</v>
      </c>
      <c r="F7" t="s">
        <v>40</v>
      </c>
      <c r="G7" t="s">
        <v>41</v>
      </c>
      <c r="H7" t="s">
        <v>714</v>
      </c>
      <c r="I7" t="s">
        <v>715</v>
      </c>
      <c r="J7" t="s">
        <v>716</v>
      </c>
      <c r="K7" t="s">
        <v>402</v>
      </c>
      <c r="L7" t="s">
        <v>403</v>
      </c>
      <c r="M7">
        <v>5.8345190497934123</v>
      </c>
      <c r="N7">
        <v>0</v>
      </c>
      <c r="O7" t="s">
        <v>38</v>
      </c>
      <c r="P7" t="s">
        <v>717</v>
      </c>
      <c r="R7" t="s">
        <v>46</v>
      </c>
      <c r="T7" t="s">
        <v>718</v>
      </c>
      <c r="U7" t="s">
        <v>48</v>
      </c>
      <c r="V7" t="s">
        <v>719</v>
      </c>
      <c r="W7" t="s">
        <v>54</v>
      </c>
      <c r="X7" t="s">
        <v>41</v>
      </c>
      <c r="Y7" t="s">
        <v>724</v>
      </c>
      <c r="Z7" t="s">
        <v>721</v>
      </c>
      <c r="AC7">
        <v>744.0053459081405</v>
      </c>
      <c r="AD7">
        <v>23611.555334398501</v>
      </c>
    </row>
    <row r="8" spans="1:30" x14ac:dyDescent="0.25">
      <c r="A8">
        <v>7</v>
      </c>
      <c r="B8" t="s">
        <v>730</v>
      </c>
      <c r="C8" t="s">
        <v>376</v>
      </c>
      <c r="D8">
        <v>30.899999999999899</v>
      </c>
      <c r="E8" t="s">
        <v>72</v>
      </c>
      <c r="F8" t="s">
        <v>40</v>
      </c>
      <c r="G8" t="s">
        <v>41</v>
      </c>
      <c r="H8" t="s">
        <v>714</v>
      </c>
      <c r="I8" t="s">
        <v>715</v>
      </c>
      <c r="J8" t="s">
        <v>731</v>
      </c>
      <c r="K8" t="s">
        <v>402</v>
      </c>
      <c r="L8" t="s">
        <v>403</v>
      </c>
      <c r="M8">
        <v>31.339456216046539</v>
      </c>
      <c r="N8">
        <v>0</v>
      </c>
      <c r="O8" t="s">
        <v>38</v>
      </c>
      <c r="P8" t="s">
        <v>57</v>
      </c>
      <c r="R8" t="s">
        <v>60</v>
      </c>
      <c r="T8" t="s">
        <v>732</v>
      </c>
      <c r="U8" t="s">
        <v>48</v>
      </c>
      <c r="V8" t="s">
        <v>719</v>
      </c>
      <c r="W8" t="s">
        <v>110</v>
      </c>
      <c r="X8" t="s">
        <v>41</v>
      </c>
      <c r="Y8" t="s">
        <v>724</v>
      </c>
      <c r="Z8" t="s">
        <v>733</v>
      </c>
      <c r="AC8">
        <v>1630.405926981771</v>
      </c>
      <c r="AD8">
        <v>126826.7869690721</v>
      </c>
    </row>
    <row r="9" spans="1:30" hidden="1" x14ac:dyDescent="0.25">
      <c r="A9">
        <v>8</v>
      </c>
      <c r="B9" t="s">
        <v>734</v>
      </c>
      <c r="C9" t="s">
        <v>376</v>
      </c>
      <c r="D9">
        <v>2.7</v>
      </c>
      <c r="E9" t="s">
        <v>72</v>
      </c>
      <c r="F9" t="s">
        <v>40</v>
      </c>
      <c r="G9" t="s">
        <v>41</v>
      </c>
      <c r="H9" t="s">
        <v>714</v>
      </c>
      <c r="I9" t="s">
        <v>715</v>
      </c>
      <c r="J9" t="s">
        <v>731</v>
      </c>
      <c r="K9" t="s">
        <v>62</v>
      </c>
      <c r="L9" t="s">
        <v>63</v>
      </c>
      <c r="M9">
        <v>2.7464306938379268</v>
      </c>
      <c r="N9" t="s">
        <v>64</v>
      </c>
      <c r="O9" t="s">
        <v>65</v>
      </c>
      <c r="P9" t="s">
        <v>57</v>
      </c>
      <c r="R9" t="s">
        <v>60</v>
      </c>
      <c r="T9" t="s">
        <v>732</v>
      </c>
      <c r="U9" t="s">
        <v>48</v>
      </c>
      <c r="V9" t="s">
        <v>719</v>
      </c>
      <c r="W9" t="s">
        <v>110</v>
      </c>
      <c r="X9" t="s">
        <v>41</v>
      </c>
      <c r="Y9" t="s">
        <v>735</v>
      </c>
      <c r="Z9" t="s">
        <v>93</v>
      </c>
      <c r="AC9">
        <v>436.86106381214489</v>
      </c>
      <c r="AD9">
        <v>11114.455149810639</v>
      </c>
    </row>
    <row r="10" spans="1:30" hidden="1" x14ac:dyDescent="0.25">
      <c r="A10">
        <v>9</v>
      </c>
      <c r="B10" t="s">
        <v>736</v>
      </c>
      <c r="C10" t="s">
        <v>376</v>
      </c>
      <c r="D10">
        <v>1.8</v>
      </c>
      <c r="E10" t="s">
        <v>72</v>
      </c>
      <c r="F10" t="s">
        <v>40</v>
      </c>
      <c r="G10" t="s">
        <v>41</v>
      </c>
      <c r="H10" t="s">
        <v>714</v>
      </c>
      <c r="I10" t="s">
        <v>715</v>
      </c>
      <c r="J10" t="s">
        <v>731</v>
      </c>
      <c r="K10" t="s">
        <v>62</v>
      </c>
      <c r="L10" t="s">
        <v>63</v>
      </c>
      <c r="M10">
        <v>1.8576292418913649</v>
      </c>
      <c r="N10" t="s">
        <v>64</v>
      </c>
      <c r="O10" t="s">
        <v>65</v>
      </c>
      <c r="P10" t="s">
        <v>57</v>
      </c>
      <c r="R10" t="s">
        <v>60</v>
      </c>
      <c r="T10" t="s">
        <v>732</v>
      </c>
      <c r="U10" t="s">
        <v>48</v>
      </c>
      <c r="V10" t="s">
        <v>719</v>
      </c>
      <c r="W10" t="s">
        <v>110</v>
      </c>
      <c r="X10" t="s">
        <v>41</v>
      </c>
      <c r="Y10" t="s">
        <v>735</v>
      </c>
      <c r="Z10" t="s">
        <v>93</v>
      </c>
      <c r="AC10">
        <v>409.61514568766052</v>
      </c>
      <c r="AD10">
        <v>7517.5888983116374</v>
      </c>
    </row>
    <row r="11" spans="1:30" hidden="1" x14ac:dyDescent="0.25">
      <c r="A11">
        <v>10</v>
      </c>
      <c r="B11" t="s">
        <v>737</v>
      </c>
      <c r="C11" t="s">
        <v>376</v>
      </c>
      <c r="D11">
        <v>2.7</v>
      </c>
      <c r="E11" t="s">
        <v>72</v>
      </c>
      <c r="F11" t="s">
        <v>40</v>
      </c>
      <c r="G11" t="s">
        <v>41</v>
      </c>
      <c r="H11" t="s">
        <v>714</v>
      </c>
      <c r="I11" t="s">
        <v>715</v>
      </c>
      <c r="J11" t="s">
        <v>731</v>
      </c>
      <c r="K11" t="s">
        <v>62</v>
      </c>
      <c r="L11" t="s">
        <v>63</v>
      </c>
      <c r="M11">
        <v>2.596859754306037</v>
      </c>
      <c r="N11" t="s">
        <v>64</v>
      </c>
      <c r="O11" t="s">
        <v>65</v>
      </c>
      <c r="P11" t="s">
        <v>57</v>
      </c>
      <c r="R11" t="s">
        <v>60</v>
      </c>
      <c r="T11" t="s">
        <v>732</v>
      </c>
      <c r="U11" t="s">
        <v>48</v>
      </c>
      <c r="V11" t="s">
        <v>719</v>
      </c>
      <c r="W11" t="s">
        <v>110</v>
      </c>
      <c r="X11" t="s">
        <v>41</v>
      </c>
      <c r="Y11" t="s">
        <v>738</v>
      </c>
      <c r="Z11" t="s">
        <v>399</v>
      </c>
      <c r="AC11">
        <v>504.35768621393589</v>
      </c>
      <c r="AD11">
        <v>10509.16061138588</v>
      </c>
    </row>
    <row r="12" spans="1:30" x14ac:dyDescent="0.25">
      <c r="A12">
        <v>11</v>
      </c>
      <c r="B12" t="s">
        <v>739</v>
      </c>
      <c r="C12" t="s">
        <v>376</v>
      </c>
      <c r="D12">
        <v>10.3</v>
      </c>
      <c r="E12" t="s">
        <v>72</v>
      </c>
      <c r="F12" t="s">
        <v>40</v>
      </c>
      <c r="G12" t="s">
        <v>41</v>
      </c>
      <c r="H12" t="s">
        <v>714</v>
      </c>
      <c r="I12" t="s">
        <v>715</v>
      </c>
      <c r="J12" t="s">
        <v>731</v>
      </c>
      <c r="K12" t="s">
        <v>402</v>
      </c>
      <c r="L12" t="s">
        <v>403</v>
      </c>
      <c r="M12">
        <v>10.229573264618899</v>
      </c>
      <c r="N12">
        <v>0</v>
      </c>
      <c r="O12" t="s">
        <v>38</v>
      </c>
      <c r="P12" t="s">
        <v>57</v>
      </c>
      <c r="R12" t="s">
        <v>60</v>
      </c>
      <c r="T12" t="s">
        <v>732</v>
      </c>
      <c r="U12" t="s">
        <v>48</v>
      </c>
      <c r="V12" t="s">
        <v>719</v>
      </c>
      <c r="W12" t="s">
        <v>110</v>
      </c>
      <c r="X12" t="s">
        <v>41</v>
      </c>
      <c r="Y12" t="s">
        <v>724</v>
      </c>
      <c r="Z12" t="s">
        <v>733</v>
      </c>
      <c r="AC12">
        <v>932.18614386650108</v>
      </c>
      <c r="AD12">
        <v>41397.77985528818</v>
      </c>
    </row>
    <row r="13" spans="1:30" x14ac:dyDescent="0.25">
      <c r="A13">
        <v>12</v>
      </c>
      <c r="B13" t="s">
        <v>740</v>
      </c>
      <c r="C13" t="s">
        <v>376</v>
      </c>
      <c r="D13">
        <v>3.8</v>
      </c>
      <c r="E13" t="s">
        <v>72</v>
      </c>
      <c r="F13" t="s">
        <v>40</v>
      </c>
      <c r="G13" t="s">
        <v>41</v>
      </c>
      <c r="H13" t="s">
        <v>714</v>
      </c>
      <c r="I13" t="s">
        <v>715</v>
      </c>
      <c r="J13" t="s">
        <v>731</v>
      </c>
      <c r="K13" t="s">
        <v>402</v>
      </c>
      <c r="L13" t="s">
        <v>403</v>
      </c>
      <c r="M13">
        <v>3.95386713074388</v>
      </c>
      <c r="N13">
        <v>0</v>
      </c>
      <c r="O13" t="s">
        <v>38</v>
      </c>
      <c r="P13" t="s">
        <v>57</v>
      </c>
      <c r="R13" t="s">
        <v>60</v>
      </c>
      <c r="T13" t="s">
        <v>732</v>
      </c>
      <c r="U13" t="s">
        <v>48</v>
      </c>
      <c r="V13" t="s">
        <v>719</v>
      </c>
      <c r="W13" t="s">
        <v>110</v>
      </c>
      <c r="X13" t="s">
        <v>41</v>
      </c>
      <c r="Y13" t="s">
        <v>724</v>
      </c>
      <c r="Z13" t="s">
        <v>733</v>
      </c>
      <c r="AC13">
        <v>600.07134906192448</v>
      </c>
      <c r="AD13">
        <v>16000.79659448951</v>
      </c>
    </row>
    <row r="14" spans="1:30" x14ac:dyDescent="0.25">
      <c r="A14">
        <v>13</v>
      </c>
      <c r="B14" t="s">
        <v>741</v>
      </c>
      <c r="C14" t="s">
        <v>376</v>
      </c>
      <c r="D14">
        <v>3.8</v>
      </c>
      <c r="E14" t="s">
        <v>72</v>
      </c>
      <c r="F14" t="s">
        <v>40</v>
      </c>
      <c r="G14" t="s">
        <v>41</v>
      </c>
      <c r="H14" t="s">
        <v>714</v>
      </c>
      <c r="I14" t="s">
        <v>715</v>
      </c>
      <c r="K14" t="s">
        <v>402</v>
      </c>
      <c r="L14" t="s">
        <v>403</v>
      </c>
      <c r="M14">
        <v>3.870834667441422</v>
      </c>
      <c r="N14">
        <v>0</v>
      </c>
      <c r="O14" t="s">
        <v>38</v>
      </c>
      <c r="P14" t="s">
        <v>742</v>
      </c>
      <c r="R14" t="s">
        <v>60</v>
      </c>
      <c r="U14" t="s">
        <v>48</v>
      </c>
      <c r="V14" t="s">
        <v>719</v>
      </c>
      <c r="W14" t="s">
        <v>118</v>
      </c>
      <c r="X14" t="s">
        <v>41</v>
      </c>
      <c r="Y14" t="s">
        <v>724</v>
      </c>
      <c r="Z14" t="s">
        <v>701</v>
      </c>
      <c r="AC14">
        <v>607.26004169831958</v>
      </c>
      <c r="AD14">
        <v>15664.7747930204</v>
      </c>
    </row>
    <row r="15" spans="1:30" hidden="1" x14ac:dyDescent="0.25">
      <c r="A15">
        <v>14</v>
      </c>
      <c r="B15" t="s">
        <v>743</v>
      </c>
      <c r="C15" t="s">
        <v>376</v>
      </c>
      <c r="D15">
        <v>5.3</v>
      </c>
      <c r="E15" t="s">
        <v>72</v>
      </c>
      <c r="F15" t="s">
        <v>40</v>
      </c>
      <c r="G15" t="s">
        <v>41</v>
      </c>
      <c r="H15" t="s">
        <v>714</v>
      </c>
      <c r="I15" t="s">
        <v>715</v>
      </c>
      <c r="J15" t="s">
        <v>731</v>
      </c>
      <c r="K15" t="s">
        <v>113</v>
      </c>
      <c r="L15" t="s">
        <v>114</v>
      </c>
      <c r="M15">
        <v>4.4939893865790106</v>
      </c>
      <c r="N15" t="s">
        <v>46</v>
      </c>
      <c r="O15" t="s">
        <v>47</v>
      </c>
      <c r="P15" t="s">
        <v>57</v>
      </c>
      <c r="R15" t="s">
        <v>60</v>
      </c>
      <c r="T15" t="s">
        <v>732</v>
      </c>
      <c r="U15" t="s">
        <v>48</v>
      </c>
      <c r="V15" t="s">
        <v>719</v>
      </c>
      <c r="W15" t="s">
        <v>110</v>
      </c>
      <c r="X15" t="s">
        <v>41</v>
      </c>
      <c r="Y15" t="s">
        <v>738</v>
      </c>
      <c r="Z15" t="s">
        <v>399</v>
      </c>
      <c r="AC15">
        <v>574.34356180951886</v>
      </c>
      <c r="AD15">
        <v>18186.60255761219</v>
      </c>
    </row>
    <row r="16" spans="1:30" x14ac:dyDescent="0.25">
      <c r="A16">
        <v>15</v>
      </c>
      <c r="B16" t="s">
        <v>744</v>
      </c>
      <c r="C16" t="s">
        <v>376</v>
      </c>
      <c r="D16">
        <v>4.0999999999999996</v>
      </c>
      <c r="E16" t="s">
        <v>72</v>
      </c>
      <c r="F16" t="s">
        <v>40</v>
      </c>
      <c r="G16" t="s">
        <v>41</v>
      </c>
      <c r="H16" t="s">
        <v>714</v>
      </c>
      <c r="I16" t="s">
        <v>715</v>
      </c>
      <c r="K16" t="s">
        <v>402</v>
      </c>
      <c r="L16" t="s">
        <v>403</v>
      </c>
      <c r="M16">
        <v>4.1372716258539981</v>
      </c>
      <c r="N16">
        <v>0</v>
      </c>
      <c r="O16" t="s">
        <v>38</v>
      </c>
      <c r="P16" t="s">
        <v>745</v>
      </c>
      <c r="R16" t="s">
        <v>73</v>
      </c>
      <c r="U16" t="s">
        <v>48</v>
      </c>
      <c r="V16" t="s">
        <v>719</v>
      </c>
      <c r="W16" t="s">
        <v>60</v>
      </c>
      <c r="X16" t="s">
        <v>41</v>
      </c>
      <c r="Y16" t="s">
        <v>724</v>
      </c>
      <c r="Z16" t="s">
        <v>701</v>
      </c>
      <c r="AC16">
        <v>664.56606835743548</v>
      </c>
      <c r="AD16">
        <v>16743.011222278459</v>
      </c>
    </row>
    <row r="17" spans="1:30" x14ac:dyDescent="0.25">
      <c r="A17">
        <v>16</v>
      </c>
      <c r="B17" t="s">
        <v>746</v>
      </c>
      <c r="C17" t="s">
        <v>376</v>
      </c>
      <c r="D17">
        <v>0.4</v>
      </c>
      <c r="E17" t="s">
        <v>72</v>
      </c>
      <c r="F17" t="s">
        <v>40</v>
      </c>
      <c r="G17" t="s">
        <v>41</v>
      </c>
      <c r="H17" t="s">
        <v>714</v>
      </c>
      <c r="I17" t="s">
        <v>715</v>
      </c>
      <c r="K17" t="s">
        <v>402</v>
      </c>
      <c r="L17" t="s">
        <v>403</v>
      </c>
      <c r="M17">
        <v>0.41050272562717088</v>
      </c>
      <c r="N17">
        <v>0</v>
      </c>
      <c r="O17" t="s">
        <v>38</v>
      </c>
      <c r="P17" t="s">
        <v>742</v>
      </c>
      <c r="R17" t="s">
        <v>60</v>
      </c>
      <c r="U17" t="s">
        <v>48</v>
      </c>
      <c r="V17" t="s">
        <v>719</v>
      </c>
      <c r="W17" t="s">
        <v>110</v>
      </c>
      <c r="X17" t="s">
        <v>41</v>
      </c>
      <c r="Y17" t="s">
        <v>724</v>
      </c>
      <c r="Z17" t="s">
        <v>701</v>
      </c>
      <c r="AC17">
        <v>215.8346399041618</v>
      </c>
      <c r="AD17">
        <v>1661.252236619323</v>
      </c>
    </row>
    <row r="18" spans="1:30" x14ac:dyDescent="0.25">
      <c r="A18">
        <v>17</v>
      </c>
      <c r="B18" t="s">
        <v>747</v>
      </c>
      <c r="C18" t="s">
        <v>376</v>
      </c>
      <c r="D18">
        <v>2.8</v>
      </c>
      <c r="E18" t="s">
        <v>72</v>
      </c>
      <c r="F18" t="s">
        <v>40</v>
      </c>
      <c r="G18" t="s">
        <v>41</v>
      </c>
      <c r="H18" t="s">
        <v>714</v>
      </c>
      <c r="I18" t="s">
        <v>715</v>
      </c>
      <c r="K18" t="s">
        <v>402</v>
      </c>
      <c r="L18" t="s">
        <v>403</v>
      </c>
      <c r="M18">
        <v>2.851124508588025</v>
      </c>
      <c r="N18">
        <v>0</v>
      </c>
      <c r="O18" t="s">
        <v>38</v>
      </c>
      <c r="P18" t="s">
        <v>742</v>
      </c>
      <c r="R18" t="s">
        <v>60</v>
      </c>
      <c r="U18" t="s">
        <v>48</v>
      </c>
      <c r="V18" t="s">
        <v>719</v>
      </c>
      <c r="W18" t="s">
        <v>110</v>
      </c>
      <c r="X18" t="s">
        <v>41</v>
      </c>
      <c r="Y18" t="s">
        <v>724</v>
      </c>
      <c r="Z18" t="s">
        <v>701</v>
      </c>
      <c r="AC18">
        <v>426.60853889353461</v>
      </c>
      <c r="AD18">
        <v>11538.13768114607</v>
      </c>
    </row>
    <row r="19" spans="1:30" x14ac:dyDescent="0.25">
      <c r="A19">
        <v>18</v>
      </c>
      <c r="B19" t="s">
        <v>748</v>
      </c>
      <c r="C19" t="s">
        <v>376</v>
      </c>
      <c r="D19">
        <v>10.9</v>
      </c>
      <c r="E19" t="s">
        <v>72</v>
      </c>
      <c r="F19" t="s">
        <v>40</v>
      </c>
      <c r="G19" t="s">
        <v>41</v>
      </c>
      <c r="H19" t="s">
        <v>714</v>
      </c>
      <c r="I19" t="s">
        <v>715</v>
      </c>
      <c r="K19" t="s">
        <v>402</v>
      </c>
      <c r="L19" t="s">
        <v>403</v>
      </c>
      <c r="M19">
        <v>10.95012325794948</v>
      </c>
      <c r="N19">
        <v>0</v>
      </c>
      <c r="O19" t="s">
        <v>38</v>
      </c>
      <c r="P19" t="s">
        <v>742</v>
      </c>
      <c r="R19" t="s">
        <v>60</v>
      </c>
      <c r="U19" t="s">
        <v>48</v>
      </c>
      <c r="V19" t="s">
        <v>719</v>
      </c>
      <c r="W19" t="s">
        <v>118</v>
      </c>
      <c r="X19" t="s">
        <v>41</v>
      </c>
      <c r="Y19" t="s">
        <v>724</v>
      </c>
      <c r="Z19" t="s">
        <v>701</v>
      </c>
      <c r="AC19">
        <v>1066.612330046479</v>
      </c>
      <c r="AD19">
        <v>44313.753887342769</v>
      </c>
    </row>
    <row r="20" spans="1:30" hidden="1" x14ac:dyDescent="0.25">
      <c r="A20">
        <v>19</v>
      </c>
      <c r="B20" t="s">
        <v>749</v>
      </c>
      <c r="C20" t="s">
        <v>376</v>
      </c>
      <c r="D20">
        <v>2.4300000000000002</v>
      </c>
      <c r="E20" t="s">
        <v>72</v>
      </c>
      <c r="F20" t="s">
        <v>40</v>
      </c>
      <c r="G20" t="s">
        <v>41</v>
      </c>
      <c r="H20" t="s">
        <v>714</v>
      </c>
      <c r="I20" t="s">
        <v>715</v>
      </c>
      <c r="K20" t="s">
        <v>62</v>
      </c>
      <c r="L20" t="s">
        <v>63</v>
      </c>
      <c r="M20">
        <v>2.165333412072473</v>
      </c>
      <c r="N20" t="s">
        <v>64</v>
      </c>
      <c r="O20" t="s">
        <v>65</v>
      </c>
      <c r="P20" t="s">
        <v>750</v>
      </c>
      <c r="R20" t="s">
        <v>64</v>
      </c>
      <c r="T20" t="s">
        <v>751</v>
      </c>
      <c r="U20" t="s">
        <v>48</v>
      </c>
      <c r="V20" t="s">
        <v>719</v>
      </c>
      <c r="W20" t="s">
        <v>46</v>
      </c>
      <c r="X20" t="s">
        <v>41</v>
      </c>
      <c r="Y20" t="s">
        <v>724</v>
      </c>
      <c r="Z20" t="s">
        <v>752</v>
      </c>
      <c r="AC20">
        <v>427.4483978005876</v>
      </c>
      <c r="AD20">
        <v>8762.8284765616463</v>
      </c>
    </row>
    <row r="21" spans="1:30" x14ac:dyDescent="0.25">
      <c r="A21">
        <v>20</v>
      </c>
      <c r="B21" t="s">
        <v>753</v>
      </c>
      <c r="C21" t="s">
        <v>376</v>
      </c>
      <c r="D21">
        <v>1.1000000000000001</v>
      </c>
      <c r="E21" t="s">
        <v>72</v>
      </c>
      <c r="F21" t="s">
        <v>40</v>
      </c>
      <c r="G21" t="s">
        <v>41</v>
      </c>
      <c r="H21" t="s">
        <v>714</v>
      </c>
      <c r="I21" t="s">
        <v>715</v>
      </c>
      <c r="J21" t="s">
        <v>754</v>
      </c>
      <c r="K21" t="s">
        <v>402</v>
      </c>
      <c r="L21" t="s">
        <v>403</v>
      </c>
      <c r="M21">
        <v>0.92825758424818194</v>
      </c>
      <c r="N21">
        <v>0</v>
      </c>
      <c r="O21" t="s">
        <v>38</v>
      </c>
      <c r="P21" t="s">
        <v>745</v>
      </c>
      <c r="R21" t="s">
        <v>64</v>
      </c>
      <c r="U21" t="s">
        <v>48</v>
      </c>
      <c r="V21" t="s">
        <v>719</v>
      </c>
      <c r="W21" t="s">
        <v>46</v>
      </c>
      <c r="X21" t="s">
        <v>41</v>
      </c>
      <c r="Y21" t="s">
        <v>724</v>
      </c>
      <c r="Z21" t="s">
        <v>755</v>
      </c>
      <c r="AC21">
        <v>259.68095371004648</v>
      </c>
      <c r="AD21">
        <v>3756.5401926020081</v>
      </c>
    </row>
    <row r="22" spans="1:30" x14ac:dyDescent="0.25">
      <c r="A22">
        <v>21</v>
      </c>
      <c r="B22" t="s">
        <v>756</v>
      </c>
      <c r="C22" t="s">
        <v>376</v>
      </c>
      <c r="D22">
        <v>6.7</v>
      </c>
      <c r="E22" t="s">
        <v>72</v>
      </c>
      <c r="F22" t="s">
        <v>40</v>
      </c>
      <c r="G22" t="s">
        <v>41</v>
      </c>
      <c r="H22" t="s">
        <v>714</v>
      </c>
      <c r="I22" t="s">
        <v>715</v>
      </c>
      <c r="J22" t="s">
        <v>757</v>
      </c>
      <c r="K22" t="s">
        <v>402</v>
      </c>
      <c r="L22" t="s">
        <v>403</v>
      </c>
      <c r="M22">
        <v>6.7450893879075924</v>
      </c>
      <c r="N22">
        <v>0</v>
      </c>
      <c r="O22" t="s">
        <v>38</v>
      </c>
      <c r="P22" t="s">
        <v>742</v>
      </c>
      <c r="R22" t="s">
        <v>60</v>
      </c>
      <c r="U22" t="s">
        <v>48</v>
      </c>
      <c r="V22" t="s">
        <v>719</v>
      </c>
      <c r="W22" t="s">
        <v>64</v>
      </c>
      <c r="X22" t="s">
        <v>41</v>
      </c>
      <c r="Y22" t="s">
        <v>724</v>
      </c>
      <c r="Z22" t="s">
        <v>758</v>
      </c>
      <c r="AC22">
        <v>698.83420847969091</v>
      </c>
      <c r="AD22">
        <v>27296.517495076721</v>
      </c>
    </row>
    <row r="23" spans="1:30" x14ac:dyDescent="0.25">
      <c r="A23">
        <v>22</v>
      </c>
      <c r="B23" t="s">
        <v>759</v>
      </c>
      <c r="C23" t="s">
        <v>376</v>
      </c>
      <c r="D23">
        <v>8.4</v>
      </c>
      <c r="E23" t="s">
        <v>72</v>
      </c>
      <c r="F23" t="s">
        <v>40</v>
      </c>
      <c r="G23" t="s">
        <v>41</v>
      </c>
      <c r="H23" t="s">
        <v>714</v>
      </c>
      <c r="I23" t="s">
        <v>715</v>
      </c>
      <c r="J23" t="s">
        <v>731</v>
      </c>
      <c r="K23" t="s">
        <v>402</v>
      </c>
      <c r="L23" t="s">
        <v>403</v>
      </c>
      <c r="M23">
        <v>8.3306215497933458</v>
      </c>
      <c r="N23">
        <v>0</v>
      </c>
      <c r="O23" t="s">
        <v>38</v>
      </c>
      <c r="P23" t="s">
        <v>745</v>
      </c>
      <c r="R23" t="s">
        <v>73</v>
      </c>
      <c r="T23" t="s">
        <v>760</v>
      </c>
      <c r="U23" t="s">
        <v>48</v>
      </c>
      <c r="V23" t="s">
        <v>719</v>
      </c>
      <c r="W23" t="s">
        <v>60</v>
      </c>
      <c r="X23" t="s">
        <v>41</v>
      </c>
      <c r="Y23" t="s">
        <v>724</v>
      </c>
      <c r="Z23" t="s">
        <v>733</v>
      </c>
      <c r="AC23">
        <v>733.90476960417334</v>
      </c>
      <c r="AD23">
        <v>33712.964173086883</v>
      </c>
    </row>
    <row r="24" spans="1:30" x14ac:dyDescent="0.25">
      <c r="A24">
        <v>23</v>
      </c>
      <c r="B24" t="s">
        <v>761</v>
      </c>
      <c r="C24" t="s">
        <v>376</v>
      </c>
      <c r="D24">
        <v>3.3</v>
      </c>
      <c r="E24" t="s">
        <v>72</v>
      </c>
      <c r="F24" t="s">
        <v>40</v>
      </c>
      <c r="G24" t="s">
        <v>41</v>
      </c>
      <c r="H24" t="s">
        <v>714</v>
      </c>
      <c r="I24" t="s">
        <v>715</v>
      </c>
      <c r="J24" t="s">
        <v>757</v>
      </c>
      <c r="K24" t="s">
        <v>402</v>
      </c>
      <c r="L24" t="s">
        <v>403</v>
      </c>
      <c r="M24">
        <v>3.2479996662278201</v>
      </c>
      <c r="N24">
        <v>0</v>
      </c>
      <c r="O24" t="s">
        <v>38</v>
      </c>
      <c r="P24" t="s">
        <v>742</v>
      </c>
      <c r="R24" t="s">
        <v>60</v>
      </c>
      <c r="U24" t="s">
        <v>48</v>
      </c>
      <c r="V24" t="s">
        <v>719</v>
      </c>
      <c r="W24" t="s">
        <v>64</v>
      </c>
      <c r="X24" t="s">
        <v>41</v>
      </c>
      <c r="Y24" t="s">
        <v>724</v>
      </c>
      <c r="Z24" t="s">
        <v>758</v>
      </c>
      <c r="AC24">
        <v>485.43143191391522</v>
      </c>
      <c r="AD24">
        <v>13144.240886138081</v>
      </c>
    </row>
    <row r="25" spans="1:30" x14ac:dyDescent="0.25">
      <c r="A25">
        <v>24</v>
      </c>
      <c r="B25" t="s">
        <v>762</v>
      </c>
      <c r="C25" t="s">
        <v>376</v>
      </c>
      <c r="D25">
        <v>1.8</v>
      </c>
      <c r="E25" t="s">
        <v>72</v>
      </c>
      <c r="F25" t="s">
        <v>40</v>
      </c>
      <c r="G25" t="s">
        <v>41</v>
      </c>
      <c r="H25" t="s">
        <v>714</v>
      </c>
      <c r="I25" t="s">
        <v>715</v>
      </c>
      <c r="J25" t="s">
        <v>757</v>
      </c>
      <c r="K25" t="s">
        <v>402</v>
      </c>
      <c r="L25" t="s">
        <v>403</v>
      </c>
      <c r="M25">
        <v>1.9213115459133681</v>
      </c>
      <c r="N25">
        <v>0</v>
      </c>
      <c r="O25" t="s">
        <v>38</v>
      </c>
      <c r="P25" t="s">
        <v>742</v>
      </c>
      <c r="R25" t="s">
        <v>60</v>
      </c>
      <c r="T25" t="s">
        <v>763</v>
      </c>
      <c r="U25" t="s">
        <v>48</v>
      </c>
      <c r="V25" t="s">
        <v>719</v>
      </c>
      <c r="W25" t="s">
        <v>73</v>
      </c>
      <c r="X25" t="s">
        <v>41</v>
      </c>
      <c r="Y25" t="s">
        <v>724</v>
      </c>
      <c r="Z25" t="s">
        <v>758</v>
      </c>
      <c r="AC25">
        <v>434.86724021532609</v>
      </c>
      <c r="AD25">
        <v>7775.3030701919633</v>
      </c>
    </row>
    <row r="26" spans="1:30" x14ac:dyDescent="0.25">
      <c r="A26">
        <v>25</v>
      </c>
      <c r="B26" t="s">
        <v>764</v>
      </c>
      <c r="C26" t="s">
        <v>376</v>
      </c>
      <c r="D26">
        <v>13.6999999999999</v>
      </c>
      <c r="E26" t="s">
        <v>72</v>
      </c>
      <c r="F26" t="s">
        <v>40</v>
      </c>
      <c r="G26" t="s">
        <v>41</v>
      </c>
      <c r="H26" t="s">
        <v>714</v>
      </c>
      <c r="I26" t="s">
        <v>715</v>
      </c>
      <c r="J26" t="s">
        <v>754</v>
      </c>
      <c r="K26" t="s">
        <v>402</v>
      </c>
      <c r="L26" t="s">
        <v>403</v>
      </c>
      <c r="M26">
        <v>11.552364710683429</v>
      </c>
      <c r="N26">
        <v>0</v>
      </c>
      <c r="O26" t="s">
        <v>38</v>
      </c>
      <c r="P26" t="s">
        <v>745</v>
      </c>
      <c r="R26" t="s">
        <v>64</v>
      </c>
      <c r="U26" t="s">
        <v>48</v>
      </c>
      <c r="V26" t="s">
        <v>765</v>
      </c>
      <c r="W26" t="s">
        <v>76</v>
      </c>
      <c r="X26" t="s">
        <v>41</v>
      </c>
      <c r="Y26" t="s">
        <v>724</v>
      </c>
      <c r="Z26" t="s">
        <v>755</v>
      </c>
      <c r="AC26">
        <v>1213.7997326432801</v>
      </c>
      <c r="AD26">
        <v>46750.948326942671</v>
      </c>
    </row>
    <row r="27" spans="1:30" x14ac:dyDescent="0.25">
      <c r="A27">
        <v>26</v>
      </c>
      <c r="B27" t="s">
        <v>766</v>
      </c>
      <c r="C27" t="s">
        <v>376</v>
      </c>
      <c r="D27">
        <v>1.2</v>
      </c>
      <c r="E27" t="s">
        <v>72</v>
      </c>
      <c r="F27" t="s">
        <v>40</v>
      </c>
      <c r="G27" t="s">
        <v>41</v>
      </c>
      <c r="H27" t="s">
        <v>714</v>
      </c>
      <c r="I27" t="s">
        <v>715</v>
      </c>
      <c r="J27" t="s">
        <v>757</v>
      </c>
      <c r="K27" t="s">
        <v>402</v>
      </c>
      <c r="L27" t="s">
        <v>403</v>
      </c>
      <c r="M27">
        <v>1.2021821365563019</v>
      </c>
      <c r="N27">
        <v>0</v>
      </c>
      <c r="O27" t="s">
        <v>38</v>
      </c>
      <c r="P27" t="s">
        <v>742</v>
      </c>
      <c r="R27" t="s">
        <v>60</v>
      </c>
      <c r="T27" t="s">
        <v>763</v>
      </c>
      <c r="U27" t="s">
        <v>48</v>
      </c>
      <c r="V27" t="s">
        <v>719</v>
      </c>
      <c r="W27" t="s">
        <v>76</v>
      </c>
      <c r="X27" t="s">
        <v>41</v>
      </c>
      <c r="Y27" t="s">
        <v>724</v>
      </c>
      <c r="Z27" t="s">
        <v>758</v>
      </c>
      <c r="AC27">
        <v>289.81390649435122</v>
      </c>
      <c r="AD27">
        <v>4865.0779605098051</v>
      </c>
    </row>
    <row r="28" spans="1:30" x14ac:dyDescent="0.25">
      <c r="A28">
        <v>27</v>
      </c>
      <c r="B28" t="s">
        <v>767</v>
      </c>
      <c r="C28" t="s">
        <v>376</v>
      </c>
      <c r="D28">
        <v>2</v>
      </c>
      <c r="E28" t="s">
        <v>72</v>
      </c>
      <c r="F28" t="s">
        <v>40</v>
      </c>
      <c r="G28" t="s">
        <v>41</v>
      </c>
      <c r="H28" t="s">
        <v>714</v>
      </c>
      <c r="I28" t="s">
        <v>715</v>
      </c>
      <c r="J28" t="s">
        <v>757</v>
      </c>
      <c r="K28" t="s">
        <v>402</v>
      </c>
      <c r="L28" t="s">
        <v>403</v>
      </c>
      <c r="M28">
        <v>2.050085836750327</v>
      </c>
      <c r="N28">
        <v>0</v>
      </c>
      <c r="O28" t="s">
        <v>38</v>
      </c>
      <c r="P28" t="s">
        <v>742</v>
      </c>
      <c r="R28" t="s">
        <v>60</v>
      </c>
      <c r="U28" t="s">
        <v>48</v>
      </c>
      <c r="V28" t="s">
        <v>719</v>
      </c>
      <c r="W28" t="s">
        <v>64</v>
      </c>
      <c r="X28" t="s">
        <v>41</v>
      </c>
      <c r="Y28" t="s">
        <v>724</v>
      </c>
      <c r="Z28" t="s">
        <v>758</v>
      </c>
      <c r="AC28">
        <v>508.53105762778318</v>
      </c>
      <c r="AD28">
        <v>8296.4362206360365</v>
      </c>
    </row>
    <row r="29" spans="1:30" x14ac:dyDescent="0.25">
      <c r="A29">
        <v>28</v>
      </c>
      <c r="B29" t="s">
        <v>768</v>
      </c>
      <c r="C29" t="s">
        <v>376</v>
      </c>
      <c r="D29">
        <v>0.3</v>
      </c>
      <c r="E29" t="s">
        <v>72</v>
      </c>
      <c r="F29" t="s">
        <v>40</v>
      </c>
      <c r="G29" t="s">
        <v>41</v>
      </c>
      <c r="H29" t="s">
        <v>714</v>
      </c>
      <c r="I29" t="s">
        <v>715</v>
      </c>
      <c r="J29" t="s">
        <v>757</v>
      </c>
      <c r="K29" t="s">
        <v>402</v>
      </c>
      <c r="L29" t="s">
        <v>403</v>
      </c>
      <c r="M29">
        <v>0.25573024488207169</v>
      </c>
      <c r="N29">
        <v>0</v>
      </c>
      <c r="O29" t="s">
        <v>38</v>
      </c>
      <c r="P29" t="s">
        <v>742</v>
      </c>
      <c r="R29" t="s">
        <v>60</v>
      </c>
      <c r="T29" t="s">
        <v>763</v>
      </c>
      <c r="U29" t="s">
        <v>48</v>
      </c>
      <c r="V29" t="s">
        <v>719</v>
      </c>
      <c r="W29" t="s">
        <v>73</v>
      </c>
      <c r="X29" t="s">
        <v>41</v>
      </c>
      <c r="Y29" t="s">
        <v>724</v>
      </c>
      <c r="Z29" t="s">
        <v>758</v>
      </c>
      <c r="AC29">
        <v>120.5272581969305</v>
      </c>
      <c r="AD29">
        <v>1034.9077235296911</v>
      </c>
    </row>
    <row r="30" spans="1:30" x14ac:dyDescent="0.25">
      <c r="A30">
        <v>29</v>
      </c>
      <c r="B30" t="s">
        <v>769</v>
      </c>
      <c r="C30" t="s">
        <v>376</v>
      </c>
      <c r="D30">
        <v>10.9</v>
      </c>
      <c r="E30" t="s">
        <v>72</v>
      </c>
      <c r="F30" t="s">
        <v>40</v>
      </c>
      <c r="G30" t="s">
        <v>41</v>
      </c>
      <c r="H30" t="s">
        <v>714</v>
      </c>
      <c r="I30" t="s">
        <v>715</v>
      </c>
      <c r="J30" t="s">
        <v>757</v>
      </c>
      <c r="K30" t="s">
        <v>402</v>
      </c>
      <c r="L30" t="s">
        <v>403</v>
      </c>
      <c r="M30">
        <v>11.048144462814291</v>
      </c>
      <c r="N30">
        <v>0</v>
      </c>
      <c r="O30" t="s">
        <v>38</v>
      </c>
      <c r="P30" t="s">
        <v>742</v>
      </c>
      <c r="R30" t="s">
        <v>60</v>
      </c>
      <c r="T30" t="s">
        <v>763</v>
      </c>
      <c r="U30" t="s">
        <v>48</v>
      </c>
      <c r="V30" t="s">
        <v>719</v>
      </c>
      <c r="W30" t="s">
        <v>73</v>
      </c>
      <c r="X30" t="s">
        <v>41</v>
      </c>
      <c r="Y30" t="s">
        <v>724</v>
      </c>
      <c r="Z30" t="s">
        <v>758</v>
      </c>
      <c r="AC30">
        <v>880.0968147943679</v>
      </c>
      <c r="AD30">
        <v>44710.433216497033</v>
      </c>
    </row>
    <row r="31" spans="1:30" x14ac:dyDescent="0.25">
      <c r="A31">
        <v>30</v>
      </c>
      <c r="B31" t="s">
        <v>770</v>
      </c>
      <c r="C31" t="s">
        <v>376</v>
      </c>
      <c r="D31">
        <v>6.8</v>
      </c>
      <c r="E31" t="s">
        <v>72</v>
      </c>
      <c r="F31" t="s">
        <v>40</v>
      </c>
      <c r="G31" t="s">
        <v>41</v>
      </c>
      <c r="H31" t="s">
        <v>714</v>
      </c>
      <c r="I31" t="s">
        <v>715</v>
      </c>
      <c r="J31" t="s">
        <v>731</v>
      </c>
      <c r="K31" t="s">
        <v>402</v>
      </c>
      <c r="L31" t="s">
        <v>403</v>
      </c>
      <c r="M31">
        <v>6.6919727840163139</v>
      </c>
      <c r="N31">
        <v>0</v>
      </c>
      <c r="O31" t="s">
        <v>38</v>
      </c>
      <c r="P31" t="s">
        <v>745</v>
      </c>
      <c r="R31" t="s">
        <v>73</v>
      </c>
      <c r="T31" t="s">
        <v>760</v>
      </c>
      <c r="U31" t="s">
        <v>48</v>
      </c>
      <c r="V31" t="s">
        <v>719</v>
      </c>
      <c r="W31" t="s">
        <v>60</v>
      </c>
      <c r="X31" t="s">
        <v>41</v>
      </c>
      <c r="Y31" t="s">
        <v>724</v>
      </c>
      <c r="Z31" t="s">
        <v>733</v>
      </c>
      <c r="AC31">
        <v>727.30657249816375</v>
      </c>
      <c r="AD31">
        <v>27081.56136565956</v>
      </c>
    </row>
    <row r="32" spans="1:30" x14ac:dyDescent="0.25">
      <c r="A32">
        <v>31</v>
      </c>
      <c r="B32" t="s">
        <v>771</v>
      </c>
      <c r="C32" t="s">
        <v>376</v>
      </c>
      <c r="D32">
        <v>0.8</v>
      </c>
      <c r="E32" t="s">
        <v>72</v>
      </c>
      <c r="F32" t="s">
        <v>40</v>
      </c>
      <c r="G32" t="s">
        <v>41</v>
      </c>
      <c r="H32" t="s">
        <v>714</v>
      </c>
      <c r="I32" t="s">
        <v>715</v>
      </c>
      <c r="J32" t="s">
        <v>757</v>
      </c>
      <c r="K32" t="s">
        <v>402</v>
      </c>
      <c r="L32" t="s">
        <v>403</v>
      </c>
      <c r="M32">
        <v>0.8580989642581639</v>
      </c>
      <c r="N32">
        <v>0</v>
      </c>
      <c r="O32" t="s">
        <v>38</v>
      </c>
      <c r="P32" t="s">
        <v>772</v>
      </c>
      <c r="R32" t="s">
        <v>60</v>
      </c>
      <c r="T32" t="s">
        <v>763</v>
      </c>
      <c r="U32" t="s">
        <v>48</v>
      </c>
      <c r="V32" t="s">
        <v>719</v>
      </c>
      <c r="W32" t="s">
        <v>73</v>
      </c>
      <c r="X32" t="s">
        <v>41</v>
      </c>
      <c r="Y32" t="s">
        <v>724</v>
      </c>
      <c r="Z32" t="s">
        <v>758</v>
      </c>
      <c r="AC32">
        <v>234.30291129672869</v>
      </c>
      <c r="AD32">
        <v>3472.6171950178282</v>
      </c>
    </row>
    <row r="33" spans="1:30" hidden="1" x14ac:dyDescent="0.25">
      <c r="A33">
        <v>32</v>
      </c>
      <c r="B33" t="s">
        <v>773</v>
      </c>
      <c r="C33" t="s">
        <v>376</v>
      </c>
      <c r="D33">
        <v>24.06</v>
      </c>
      <c r="E33" t="s">
        <v>72</v>
      </c>
      <c r="F33" t="s">
        <v>40</v>
      </c>
      <c r="G33" t="s">
        <v>41</v>
      </c>
      <c r="H33" t="s">
        <v>714</v>
      </c>
      <c r="I33" t="s">
        <v>715</v>
      </c>
      <c r="K33" t="s">
        <v>62</v>
      </c>
      <c r="L33" t="s">
        <v>63</v>
      </c>
      <c r="M33">
        <v>19.536099541173851</v>
      </c>
      <c r="N33" t="s">
        <v>64</v>
      </c>
      <c r="O33" t="s">
        <v>65</v>
      </c>
      <c r="P33" t="s">
        <v>750</v>
      </c>
      <c r="R33" t="s">
        <v>64</v>
      </c>
      <c r="T33" t="s">
        <v>751</v>
      </c>
      <c r="U33" t="s">
        <v>48</v>
      </c>
      <c r="V33" t="s">
        <v>719</v>
      </c>
      <c r="W33" t="s">
        <v>46</v>
      </c>
      <c r="X33" t="s">
        <v>41</v>
      </c>
      <c r="Y33" t="s">
        <v>774</v>
      </c>
      <c r="Z33" t="s">
        <v>752</v>
      </c>
      <c r="AC33">
        <v>1113.682801963743</v>
      </c>
      <c r="AD33">
        <v>79060.1061369534</v>
      </c>
    </row>
    <row r="34" spans="1:30" x14ac:dyDescent="0.25">
      <c r="A34">
        <v>33</v>
      </c>
      <c r="B34" t="s">
        <v>775</v>
      </c>
      <c r="C34" t="s">
        <v>376</v>
      </c>
      <c r="D34">
        <v>12.4</v>
      </c>
      <c r="E34" t="s">
        <v>72</v>
      </c>
      <c r="F34" t="s">
        <v>40</v>
      </c>
      <c r="G34" t="s">
        <v>41</v>
      </c>
      <c r="H34" t="s">
        <v>714</v>
      </c>
      <c r="I34" t="s">
        <v>715</v>
      </c>
      <c r="J34" t="s">
        <v>57</v>
      </c>
      <c r="K34" t="s">
        <v>402</v>
      </c>
      <c r="L34" t="s">
        <v>403</v>
      </c>
      <c r="M34">
        <v>11.11389241663524</v>
      </c>
      <c r="N34">
        <v>0</v>
      </c>
      <c r="O34" t="s">
        <v>38</v>
      </c>
      <c r="P34" t="s">
        <v>745</v>
      </c>
      <c r="R34" t="s">
        <v>64</v>
      </c>
      <c r="U34" t="s">
        <v>48</v>
      </c>
      <c r="V34" t="s">
        <v>719</v>
      </c>
      <c r="W34" t="s">
        <v>46</v>
      </c>
      <c r="X34" t="s">
        <v>41</v>
      </c>
      <c r="Y34" t="s">
        <v>724</v>
      </c>
      <c r="Z34" t="s">
        <v>755</v>
      </c>
      <c r="AC34">
        <v>1975.7841461635869</v>
      </c>
      <c r="AD34">
        <v>44976.506809970298</v>
      </c>
    </row>
    <row r="35" spans="1:30" x14ac:dyDescent="0.25">
      <c r="A35">
        <v>34</v>
      </c>
      <c r="B35" t="s">
        <v>776</v>
      </c>
      <c r="C35" t="s">
        <v>376</v>
      </c>
      <c r="D35">
        <v>20.3</v>
      </c>
      <c r="E35" t="s">
        <v>72</v>
      </c>
      <c r="F35" t="s">
        <v>40</v>
      </c>
      <c r="G35" t="s">
        <v>41</v>
      </c>
      <c r="H35" t="s">
        <v>714</v>
      </c>
      <c r="I35" t="s">
        <v>715</v>
      </c>
      <c r="J35" t="s">
        <v>757</v>
      </c>
      <c r="K35" t="s">
        <v>402</v>
      </c>
      <c r="L35" t="s">
        <v>403</v>
      </c>
      <c r="M35">
        <v>20.675119662705189</v>
      </c>
      <c r="N35">
        <v>0</v>
      </c>
      <c r="O35" t="s">
        <v>38</v>
      </c>
      <c r="P35" t="s">
        <v>742</v>
      </c>
      <c r="R35" t="s">
        <v>60</v>
      </c>
      <c r="T35" t="s">
        <v>763</v>
      </c>
      <c r="U35" t="s">
        <v>48</v>
      </c>
      <c r="V35" t="s">
        <v>719</v>
      </c>
      <c r="W35" t="s">
        <v>73</v>
      </c>
      <c r="X35" t="s">
        <v>41</v>
      </c>
      <c r="Y35" t="s">
        <v>724</v>
      </c>
      <c r="Z35" t="s">
        <v>758</v>
      </c>
      <c r="AC35">
        <v>1251.538378437305</v>
      </c>
      <c r="AD35">
        <v>83669.575468874187</v>
      </c>
    </row>
    <row r="36" spans="1:30" x14ac:dyDescent="0.25">
      <c r="A36">
        <v>35</v>
      </c>
      <c r="B36" t="s">
        <v>777</v>
      </c>
      <c r="C36" t="s">
        <v>376</v>
      </c>
      <c r="D36">
        <v>40.299999999999898</v>
      </c>
      <c r="E36" t="s">
        <v>72</v>
      </c>
      <c r="F36" t="s">
        <v>40</v>
      </c>
      <c r="G36" t="s">
        <v>41</v>
      </c>
      <c r="H36" t="s">
        <v>714</v>
      </c>
      <c r="I36" t="s">
        <v>715</v>
      </c>
      <c r="J36" t="s">
        <v>757</v>
      </c>
      <c r="K36" t="s">
        <v>402</v>
      </c>
      <c r="L36" t="s">
        <v>403</v>
      </c>
      <c r="M36">
        <v>40.563824570552192</v>
      </c>
      <c r="N36">
        <v>0</v>
      </c>
      <c r="O36" t="s">
        <v>38</v>
      </c>
      <c r="P36" t="s">
        <v>742</v>
      </c>
      <c r="R36" t="s">
        <v>60</v>
      </c>
      <c r="T36" t="s">
        <v>763</v>
      </c>
      <c r="U36" t="s">
        <v>48</v>
      </c>
      <c r="V36" t="s">
        <v>719</v>
      </c>
      <c r="W36" t="s">
        <v>73</v>
      </c>
      <c r="X36" t="s">
        <v>41</v>
      </c>
      <c r="Y36" t="s">
        <v>724</v>
      </c>
      <c r="Z36" t="s">
        <v>758</v>
      </c>
      <c r="AC36">
        <v>1663.2543971941111</v>
      </c>
      <c r="AD36">
        <v>164156.63060631181</v>
      </c>
    </row>
    <row r="37" spans="1:30" x14ac:dyDescent="0.25">
      <c r="A37">
        <v>36</v>
      </c>
      <c r="B37" t="s">
        <v>778</v>
      </c>
      <c r="C37" t="s">
        <v>376</v>
      </c>
      <c r="D37">
        <v>20</v>
      </c>
      <c r="E37" t="s">
        <v>72</v>
      </c>
      <c r="F37" t="s">
        <v>40</v>
      </c>
      <c r="G37" t="s">
        <v>41</v>
      </c>
      <c r="H37" t="s">
        <v>714</v>
      </c>
      <c r="I37" t="s">
        <v>715</v>
      </c>
      <c r="J37" t="s">
        <v>757</v>
      </c>
      <c r="K37" t="s">
        <v>402</v>
      </c>
      <c r="L37" t="s">
        <v>403</v>
      </c>
      <c r="M37">
        <v>20.28121848223131</v>
      </c>
      <c r="N37">
        <v>0</v>
      </c>
      <c r="O37" t="s">
        <v>38</v>
      </c>
      <c r="P37" t="s">
        <v>742</v>
      </c>
      <c r="R37" t="s">
        <v>60</v>
      </c>
      <c r="T37" t="s">
        <v>763</v>
      </c>
      <c r="U37" t="s">
        <v>48</v>
      </c>
      <c r="V37" t="s">
        <v>719</v>
      </c>
      <c r="W37" t="s">
        <v>73</v>
      </c>
      <c r="X37" t="s">
        <v>41</v>
      </c>
      <c r="Y37" t="s">
        <v>724</v>
      </c>
      <c r="Z37" t="s">
        <v>758</v>
      </c>
      <c r="AC37">
        <v>1149.8288223876889</v>
      </c>
      <c r="AD37">
        <v>82075.507570617337</v>
      </c>
    </row>
    <row r="38" spans="1:30" x14ac:dyDescent="0.25">
      <c r="A38">
        <v>37</v>
      </c>
      <c r="B38" t="s">
        <v>779</v>
      </c>
      <c r="C38" t="s">
        <v>376</v>
      </c>
      <c r="D38">
        <v>28.8</v>
      </c>
      <c r="E38" t="s">
        <v>72</v>
      </c>
      <c r="F38" t="s">
        <v>40</v>
      </c>
      <c r="G38" t="s">
        <v>41</v>
      </c>
      <c r="H38" t="s">
        <v>714</v>
      </c>
      <c r="I38" t="s">
        <v>715</v>
      </c>
      <c r="J38" t="s">
        <v>731</v>
      </c>
      <c r="K38" t="s">
        <v>402</v>
      </c>
      <c r="L38" t="s">
        <v>403</v>
      </c>
      <c r="M38">
        <v>28.416780390880081</v>
      </c>
      <c r="N38">
        <v>0</v>
      </c>
      <c r="O38" t="s">
        <v>38</v>
      </c>
      <c r="P38" t="s">
        <v>745</v>
      </c>
      <c r="R38" t="s">
        <v>73</v>
      </c>
      <c r="T38" t="s">
        <v>760</v>
      </c>
      <c r="U38" t="s">
        <v>48</v>
      </c>
      <c r="V38" t="s">
        <v>719</v>
      </c>
      <c r="W38" t="s">
        <v>60</v>
      </c>
      <c r="X38" t="s">
        <v>41</v>
      </c>
      <c r="Y38" t="s">
        <v>724</v>
      </c>
      <c r="Z38" t="s">
        <v>733</v>
      </c>
      <c r="AC38">
        <v>1332.4126157379289</v>
      </c>
      <c r="AD38">
        <v>114999.0902246644</v>
      </c>
    </row>
    <row r="39" spans="1:30" x14ac:dyDescent="0.25">
      <c r="A39">
        <v>38</v>
      </c>
      <c r="B39" t="s">
        <v>780</v>
      </c>
      <c r="C39" t="s">
        <v>376</v>
      </c>
      <c r="D39">
        <v>14.6</v>
      </c>
      <c r="E39" t="s">
        <v>72</v>
      </c>
      <c r="F39" t="s">
        <v>40</v>
      </c>
      <c r="G39" t="s">
        <v>41</v>
      </c>
      <c r="H39" t="s">
        <v>714</v>
      </c>
      <c r="I39" t="s">
        <v>715</v>
      </c>
      <c r="J39" t="s">
        <v>781</v>
      </c>
      <c r="K39" t="s">
        <v>402</v>
      </c>
      <c r="L39" t="s">
        <v>403</v>
      </c>
      <c r="M39">
        <v>14.69856566123209</v>
      </c>
      <c r="N39">
        <v>0</v>
      </c>
      <c r="O39" t="s">
        <v>38</v>
      </c>
      <c r="P39" t="s">
        <v>745</v>
      </c>
      <c r="R39" t="s">
        <v>60</v>
      </c>
      <c r="T39" t="s">
        <v>782</v>
      </c>
      <c r="U39" t="s">
        <v>48</v>
      </c>
      <c r="V39" t="s">
        <v>719</v>
      </c>
      <c r="W39" t="s">
        <v>60</v>
      </c>
      <c r="X39" t="s">
        <v>41</v>
      </c>
      <c r="Y39" t="s">
        <v>724</v>
      </c>
      <c r="Z39" t="s">
        <v>758</v>
      </c>
      <c r="AC39">
        <v>1054.1215594779151</v>
      </c>
      <c r="AD39">
        <v>59483.222778878371</v>
      </c>
    </row>
    <row r="40" spans="1:30" x14ac:dyDescent="0.25">
      <c r="A40">
        <v>39</v>
      </c>
      <c r="B40" t="s">
        <v>783</v>
      </c>
      <c r="C40" t="s">
        <v>376</v>
      </c>
      <c r="D40">
        <v>13.4</v>
      </c>
      <c r="E40" t="s">
        <v>72</v>
      </c>
      <c r="F40" t="s">
        <v>40</v>
      </c>
      <c r="G40" t="s">
        <v>41</v>
      </c>
      <c r="H40" t="s">
        <v>714</v>
      </c>
      <c r="I40" t="s">
        <v>715</v>
      </c>
      <c r="J40" t="s">
        <v>57</v>
      </c>
      <c r="K40" t="s">
        <v>402</v>
      </c>
      <c r="L40" t="s">
        <v>403</v>
      </c>
      <c r="M40">
        <v>13.123945076529051</v>
      </c>
      <c r="N40">
        <v>0</v>
      </c>
      <c r="O40" t="s">
        <v>38</v>
      </c>
      <c r="P40" t="s">
        <v>57</v>
      </c>
      <c r="R40" t="s">
        <v>64</v>
      </c>
      <c r="U40" t="s">
        <v>48</v>
      </c>
      <c r="V40" t="s">
        <v>719</v>
      </c>
      <c r="W40" t="s">
        <v>46</v>
      </c>
      <c r="X40" t="s">
        <v>41</v>
      </c>
      <c r="Y40" t="s">
        <v>724</v>
      </c>
      <c r="Z40" t="s">
        <v>755</v>
      </c>
      <c r="AC40">
        <v>1521.0938959705011</v>
      </c>
      <c r="AD40">
        <v>53110.933863699458</v>
      </c>
    </row>
    <row r="41" spans="1:30" x14ac:dyDescent="0.25">
      <c r="A41">
        <v>40</v>
      </c>
      <c r="B41" t="s">
        <v>784</v>
      </c>
      <c r="C41" t="s">
        <v>376</v>
      </c>
      <c r="D41">
        <v>14</v>
      </c>
      <c r="E41" t="s">
        <v>72</v>
      </c>
      <c r="F41" t="s">
        <v>40</v>
      </c>
      <c r="G41" t="s">
        <v>41</v>
      </c>
      <c r="H41" t="s">
        <v>714</v>
      </c>
      <c r="I41" t="s">
        <v>715</v>
      </c>
      <c r="J41" t="s">
        <v>731</v>
      </c>
      <c r="K41" t="s">
        <v>402</v>
      </c>
      <c r="L41" t="s">
        <v>403</v>
      </c>
      <c r="M41">
        <v>13.710099423109749</v>
      </c>
      <c r="N41">
        <v>0</v>
      </c>
      <c r="O41" t="s">
        <v>38</v>
      </c>
      <c r="P41" t="s">
        <v>745</v>
      </c>
      <c r="R41" t="s">
        <v>73</v>
      </c>
      <c r="T41" t="s">
        <v>760</v>
      </c>
      <c r="U41" t="s">
        <v>48</v>
      </c>
      <c r="V41" t="s">
        <v>719</v>
      </c>
      <c r="W41" t="s">
        <v>60</v>
      </c>
      <c r="X41" t="s">
        <v>41</v>
      </c>
      <c r="Y41" t="s">
        <v>724</v>
      </c>
      <c r="Z41" t="s">
        <v>733</v>
      </c>
      <c r="AC41">
        <v>1093.362510746412</v>
      </c>
      <c r="AD41">
        <v>55483.025834035609</v>
      </c>
    </row>
    <row r="42" spans="1:30" x14ac:dyDescent="0.25">
      <c r="A42">
        <v>41</v>
      </c>
      <c r="B42" t="s">
        <v>785</v>
      </c>
      <c r="C42" t="s">
        <v>376</v>
      </c>
      <c r="D42">
        <v>20.100000000000001</v>
      </c>
      <c r="E42" t="s">
        <v>72</v>
      </c>
      <c r="F42" t="s">
        <v>40</v>
      </c>
      <c r="G42" t="s">
        <v>41</v>
      </c>
      <c r="H42" t="s">
        <v>714</v>
      </c>
      <c r="I42" t="s">
        <v>715</v>
      </c>
      <c r="J42" t="s">
        <v>731</v>
      </c>
      <c r="K42" t="s">
        <v>402</v>
      </c>
      <c r="L42" t="s">
        <v>403</v>
      </c>
      <c r="M42">
        <v>19.752852599922299</v>
      </c>
      <c r="N42">
        <v>0</v>
      </c>
      <c r="O42" t="s">
        <v>38</v>
      </c>
      <c r="P42" t="s">
        <v>745</v>
      </c>
      <c r="R42" t="s">
        <v>73</v>
      </c>
      <c r="T42" t="s">
        <v>760</v>
      </c>
      <c r="U42" t="s">
        <v>48</v>
      </c>
      <c r="V42" t="s">
        <v>719</v>
      </c>
      <c r="W42" t="s">
        <v>60</v>
      </c>
      <c r="X42" t="s">
        <v>41</v>
      </c>
      <c r="Y42" t="s">
        <v>724</v>
      </c>
      <c r="Z42" t="s">
        <v>733</v>
      </c>
      <c r="AC42">
        <v>1392.0690537918549</v>
      </c>
      <c r="AD42">
        <v>79937.278153508945</v>
      </c>
    </row>
    <row r="43" spans="1:30" x14ac:dyDescent="0.25">
      <c r="A43">
        <v>42</v>
      </c>
      <c r="B43" t="s">
        <v>786</v>
      </c>
      <c r="C43" t="s">
        <v>376</v>
      </c>
      <c r="D43">
        <v>5.0999999999999996</v>
      </c>
      <c r="E43" t="s">
        <v>72</v>
      </c>
      <c r="F43" t="s">
        <v>40</v>
      </c>
      <c r="G43" t="s">
        <v>41</v>
      </c>
      <c r="H43" t="s">
        <v>714</v>
      </c>
      <c r="I43" t="s">
        <v>715</v>
      </c>
      <c r="J43" t="s">
        <v>731</v>
      </c>
      <c r="K43" t="s">
        <v>402</v>
      </c>
      <c r="L43" t="s">
        <v>403</v>
      </c>
      <c r="M43">
        <v>5.0550881030346702</v>
      </c>
      <c r="N43">
        <v>0</v>
      </c>
      <c r="O43" t="s">
        <v>38</v>
      </c>
      <c r="P43" t="s">
        <v>745</v>
      </c>
      <c r="R43" t="s">
        <v>73</v>
      </c>
      <c r="T43" t="s">
        <v>760</v>
      </c>
      <c r="U43" t="s">
        <v>48</v>
      </c>
      <c r="V43" t="s">
        <v>719</v>
      </c>
      <c r="W43" t="s">
        <v>60</v>
      </c>
      <c r="X43" t="s">
        <v>41</v>
      </c>
      <c r="Y43" t="s">
        <v>724</v>
      </c>
      <c r="Z43" t="s">
        <v>733</v>
      </c>
      <c r="AC43">
        <v>666.88054827638473</v>
      </c>
      <c r="AD43">
        <v>20457.2975846722</v>
      </c>
    </row>
    <row r="44" spans="1:30" x14ac:dyDescent="0.25">
      <c r="A44">
        <v>43</v>
      </c>
      <c r="B44" t="s">
        <v>787</v>
      </c>
      <c r="C44" t="s">
        <v>376</v>
      </c>
      <c r="D44">
        <v>14.6999999999999</v>
      </c>
      <c r="E44" t="s">
        <v>72</v>
      </c>
      <c r="F44" t="s">
        <v>40</v>
      </c>
      <c r="G44" t="s">
        <v>41</v>
      </c>
      <c r="H44" t="s">
        <v>714</v>
      </c>
      <c r="I44" t="s">
        <v>715</v>
      </c>
      <c r="J44" t="s">
        <v>57</v>
      </c>
      <c r="K44" t="s">
        <v>402</v>
      </c>
      <c r="L44" t="s">
        <v>403</v>
      </c>
      <c r="M44">
        <v>14.07354600333406</v>
      </c>
      <c r="N44">
        <v>0</v>
      </c>
      <c r="O44" t="s">
        <v>38</v>
      </c>
      <c r="P44" t="s">
        <v>57</v>
      </c>
      <c r="R44" t="s">
        <v>64</v>
      </c>
      <c r="U44" t="s">
        <v>48</v>
      </c>
      <c r="V44" t="s">
        <v>719</v>
      </c>
      <c r="W44" t="s">
        <v>46</v>
      </c>
      <c r="X44" t="s">
        <v>41</v>
      </c>
      <c r="Y44" t="s">
        <v>724</v>
      </c>
      <c r="Z44" t="s">
        <v>755</v>
      </c>
      <c r="AC44">
        <v>1890.37454971443</v>
      </c>
      <c r="AD44">
        <v>56953.847844697841</v>
      </c>
    </row>
    <row r="45" spans="1:30" x14ac:dyDescent="0.25">
      <c r="A45">
        <v>44</v>
      </c>
      <c r="B45" t="s">
        <v>788</v>
      </c>
      <c r="C45" t="s">
        <v>376</v>
      </c>
      <c r="D45">
        <v>9.8000000000000007</v>
      </c>
      <c r="E45" t="s">
        <v>72</v>
      </c>
      <c r="F45" t="s">
        <v>40</v>
      </c>
      <c r="G45" t="s">
        <v>41</v>
      </c>
      <c r="H45" t="s">
        <v>714</v>
      </c>
      <c r="I45" t="s">
        <v>715</v>
      </c>
      <c r="K45" t="s">
        <v>402</v>
      </c>
      <c r="L45" t="s">
        <v>403</v>
      </c>
      <c r="M45">
        <v>10.139675037271431</v>
      </c>
      <c r="N45">
        <v>0</v>
      </c>
      <c r="O45" t="s">
        <v>38</v>
      </c>
      <c r="P45" t="s">
        <v>789</v>
      </c>
      <c r="R45" t="s">
        <v>64</v>
      </c>
      <c r="U45" t="s">
        <v>48</v>
      </c>
      <c r="V45" t="s">
        <v>719</v>
      </c>
      <c r="W45" t="s">
        <v>46</v>
      </c>
      <c r="X45" t="s">
        <v>41</v>
      </c>
      <c r="Y45" t="s">
        <v>724</v>
      </c>
      <c r="Z45" t="s">
        <v>236</v>
      </c>
      <c r="AC45">
        <v>1121.580489391331</v>
      </c>
      <c r="AD45">
        <v>41033.973181359434</v>
      </c>
    </row>
    <row r="46" spans="1:30" x14ac:dyDescent="0.25">
      <c r="A46">
        <v>45</v>
      </c>
      <c r="B46" t="s">
        <v>790</v>
      </c>
      <c r="C46" t="s">
        <v>376</v>
      </c>
      <c r="D46">
        <v>11.9</v>
      </c>
      <c r="E46" t="s">
        <v>72</v>
      </c>
      <c r="F46" t="s">
        <v>40</v>
      </c>
      <c r="G46" t="s">
        <v>41</v>
      </c>
      <c r="H46" t="s">
        <v>714</v>
      </c>
      <c r="I46" t="s">
        <v>715</v>
      </c>
      <c r="J46" t="s">
        <v>791</v>
      </c>
      <c r="K46" t="s">
        <v>402</v>
      </c>
      <c r="L46" t="s">
        <v>403</v>
      </c>
      <c r="M46">
        <v>11.708161967138469</v>
      </c>
      <c r="N46">
        <v>0</v>
      </c>
      <c r="O46" t="s">
        <v>38</v>
      </c>
      <c r="P46" t="s">
        <v>745</v>
      </c>
      <c r="R46" t="s">
        <v>73</v>
      </c>
      <c r="T46" t="s">
        <v>782</v>
      </c>
      <c r="U46" t="s">
        <v>48</v>
      </c>
      <c r="V46" t="s">
        <v>719</v>
      </c>
      <c r="W46" t="s">
        <v>60</v>
      </c>
      <c r="X46" t="s">
        <v>41</v>
      </c>
      <c r="Y46" t="s">
        <v>724</v>
      </c>
      <c r="Z46" t="s">
        <v>758</v>
      </c>
      <c r="AC46">
        <v>982.27090293357708</v>
      </c>
      <c r="AD46">
        <v>47381.43997678411</v>
      </c>
    </row>
    <row r="47" spans="1:30" x14ac:dyDescent="0.25">
      <c r="A47">
        <v>46</v>
      </c>
      <c r="B47" t="s">
        <v>792</v>
      </c>
      <c r="C47" t="s">
        <v>376</v>
      </c>
      <c r="D47">
        <v>0.1</v>
      </c>
      <c r="E47" t="s">
        <v>72</v>
      </c>
      <c r="F47" t="s">
        <v>40</v>
      </c>
      <c r="G47" t="s">
        <v>41</v>
      </c>
      <c r="H47" t="s">
        <v>714</v>
      </c>
      <c r="I47" t="s">
        <v>715</v>
      </c>
      <c r="J47" t="s">
        <v>791</v>
      </c>
      <c r="K47" t="s">
        <v>141</v>
      </c>
      <c r="L47" t="s">
        <v>142</v>
      </c>
      <c r="M47">
        <v>8.1812152184914083E-2</v>
      </c>
      <c r="N47">
        <v>0</v>
      </c>
      <c r="P47" t="s">
        <v>772</v>
      </c>
      <c r="R47" t="s">
        <v>64</v>
      </c>
      <c r="T47" t="s">
        <v>782</v>
      </c>
      <c r="U47" t="s">
        <v>48</v>
      </c>
      <c r="V47" t="s">
        <v>719</v>
      </c>
      <c r="W47" t="s">
        <v>46</v>
      </c>
      <c r="X47" t="s">
        <v>41</v>
      </c>
      <c r="Y47" t="s">
        <v>724</v>
      </c>
      <c r="Z47" t="s">
        <v>145</v>
      </c>
      <c r="AC47">
        <v>69.471187918826459</v>
      </c>
      <c r="AD47">
        <v>331.08335783199271</v>
      </c>
    </row>
    <row r="48" spans="1:30" x14ac:dyDescent="0.25">
      <c r="A48">
        <v>47</v>
      </c>
      <c r="B48" t="s">
        <v>793</v>
      </c>
      <c r="C48" t="s">
        <v>376</v>
      </c>
      <c r="D48">
        <v>36.200000000000003</v>
      </c>
      <c r="E48" t="s">
        <v>72</v>
      </c>
      <c r="F48" t="s">
        <v>40</v>
      </c>
      <c r="G48" t="s">
        <v>41</v>
      </c>
      <c r="H48" t="s">
        <v>714</v>
      </c>
      <c r="I48" t="s">
        <v>715</v>
      </c>
      <c r="J48" t="s">
        <v>791</v>
      </c>
      <c r="K48" t="s">
        <v>402</v>
      </c>
      <c r="L48" t="s">
        <v>403</v>
      </c>
      <c r="M48">
        <v>36.255813340699547</v>
      </c>
      <c r="N48">
        <v>0</v>
      </c>
      <c r="O48" t="s">
        <v>38</v>
      </c>
      <c r="P48" t="s">
        <v>57</v>
      </c>
      <c r="R48" t="s">
        <v>64</v>
      </c>
      <c r="T48" t="s">
        <v>782</v>
      </c>
      <c r="U48" t="s">
        <v>48</v>
      </c>
      <c r="V48" t="s">
        <v>719</v>
      </c>
      <c r="W48" t="s">
        <v>46</v>
      </c>
      <c r="X48" t="s">
        <v>41</v>
      </c>
      <c r="Y48" t="s">
        <v>724</v>
      </c>
      <c r="Z48" t="s">
        <v>145</v>
      </c>
      <c r="AC48">
        <v>1893.401951036436</v>
      </c>
      <c r="AD48">
        <v>146722.6579571905</v>
      </c>
    </row>
    <row r="49" spans="1:30" x14ac:dyDescent="0.25">
      <c r="A49">
        <v>48</v>
      </c>
      <c r="B49" t="s">
        <v>794</v>
      </c>
      <c r="C49" t="s">
        <v>376</v>
      </c>
      <c r="D49">
        <v>24.899999999999899</v>
      </c>
      <c r="E49" t="s">
        <v>72</v>
      </c>
      <c r="F49" t="s">
        <v>40</v>
      </c>
      <c r="G49" t="s">
        <v>41</v>
      </c>
      <c r="H49" t="s">
        <v>714</v>
      </c>
      <c r="I49" t="s">
        <v>715</v>
      </c>
      <c r="J49" t="s">
        <v>791</v>
      </c>
      <c r="K49" t="s">
        <v>402</v>
      </c>
      <c r="L49" t="s">
        <v>403</v>
      </c>
      <c r="M49">
        <v>25.47834609925329</v>
      </c>
      <c r="N49">
        <v>0</v>
      </c>
      <c r="O49" t="s">
        <v>38</v>
      </c>
      <c r="P49" t="s">
        <v>745</v>
      </c>
      <c r="R49" t="s">
        <v>73</v>
      </c>
      <c r="T49" t="s">
        <v>782</v>
      </c>
      <c r="U49" t="s">
        <v>48</v>
      </c>
      <c r="V49" t="s">
        <v>719</v>
      </c>
      <c r="W49" t="s">
        <v>60</v>
      </c>
      <c r="X49" t="s">
        <v>41</v>
      </c>
      <c r="Y49" t="s">
        <v>724</v>
      </c>
      <c r="Z49" t="s">
        <v>145</v>
      </c>
      <c r="AC49">
        <v>1395.721479403571</v>
      </c>
      <c r="AD49">
        <v>103107.6209739646</v>
      </c>
    </row>
    <row r="50" spans="1:30" x14ac:dyDescent="0.25">
      <c r="A50">
        <v>49</v>
      </c>
      <c r="B50" t="s">
        <v>795</v>
      </c>
      <c r="C50" t="s">
        <v>376</v>
      </c>
      <c r="D50">
        <v>24.6</v>
      </c>
      <c r="E50" t="s">
        <v>72</v>
      </c>
      <c r="F50" t="s">
        <v>40</v>
      </c>
      <c r="G50" t="s">
        <v>41</v>
      </c>
      <c r="H50" t="s">
        <v>714</v>
      </c>
      <c r="I50" t="s">
        <v>715</v>
      </c>
      <c r="J50" t="s">
        <v>791</v>
      </c>
      <c r="K50" t="s">
        <v>402</v>
      </c>
      <c r="L50" t="s">
        <v>403</v>
      </c>
      <c r="M50">
        <v>24.07909859974227</v>
      </c>
      <c r="N50">
        <v>0</v>
      </c>
      <c r="O50" t="s">
        <v>38</v>
      </c>
      <c r="P50" t="s">
        <v>745</v>
      </c>
      <c r="R50" t="s">
        <v>73</v>
      </c>
      <c r="T50" t="s">
        <v>782</v>
      </c>
      <c r="U50" t="s">
        <v>48</v>
      </c>
      <c r="V50" t="s">
        <v>719</v>
      </c>
      <c r="W50" t="s">
        <v>60</v>
      </c>
      <c r="X50" t="s">
        <v>41</v>
      </c>
      <c r="Y50" t="s">
        <v>724</v>
      </c>
      <c r="Z50" t="s">
        <v>145</v>
      </c>
      <c r="AC50">
        <v>1292.868009241977</v>
      </c>
      <c r="AD50">
        <v>97445.044593758459</v>
      </c>
    </row>
    <row r="51" spans="1:30" x14ac:dyDescent="0.25">
      <c r="A51">
        <v>50</v>
      </c>
      <c r="B51" t="s">
        <v>796</v>
      </c>
      <c r="C51" t="s">
        <v>376</v>
      </c>
      <c r="D51">
        <v>17.8</v>
      </c>
      <c r="E51" t="s">
        <v>72</v>
      </c>
      <c r="F51" t="s">
        <v>40</v>
      </c>
      <c r="G51" t="s">
        <v>41</v>
      </c>
      <c r="H51" t="s">
        <v>714</v>
      </c>
      <c r="I51" t="s">
        <v>715</v>
      </c>
      <c r="J51" t="s">
        <v>791</v>
      </c>
      <c r="K51" t="s">
        <v>402</v>
      </c>
      <c r="L51" t="s">
        <v>403</v>
      </c>
      <c r="M51">
        <v>17.448348004699248</v>
      </c>
      <c r="N51">
        <v>0</v>
      </c>
      <c r="O51" t="s">
        <v>38</v>
      </c>
      <c r="P51" t="s">
        <v>745</v>
      </c>
      <c r="R51" t="s">
        <v>73</v>
      </c>
      <c r="T51" t="s">
        <v>782</v>
      </c>
      <c r="U51" t="s">
        <v>48</v>
      </c>
      <c r="V51" t="s">
        <v>719</v>
      </c>
      <c r="W51" t="s">
        <v>60</v>
      </c>
      <c r="X51" t="s">
        <v>41</v>
      </c>
      <c r="Y51" t="s">
        <v>724</v>
      </c>
      <c r="Z51" t="s">
        <v>145</v>
      </c>
      <c r="AC51">
        <v>1104.8430271006789</v>
      </c>
      <c r="AD51">
        <v>70611.241627771451</v>
      </c>
    </row>
    <row r="52" spans="1:30" x14ac:dyDescent="0.25">
      <c r="A52">
        <v>51</v>
      </c>
      <c r="B52" t="s">
        <v>797</v>
      </c>
      <c r="C52" t="s">
        <v>376</v>
      </c>
      <c r="D52">
        <v>14.3</v>
      </c>
      <c r="E52" t="s">
        <v>72</v>
      </c>
      <c r="F52" t="s">
        <v>40</v>
      </c>
      <c r="G52" t="s">
        <v>41</v>
      </c>
      <c r="H52" t="s">
        <v>714</v>
      </c>
      <c r="I52" t="s">
        <v>715</v>
      </c>
      <c r="J52" t="s">
        <v>798</v>
      </c>
      <c r="K52" t="s">
        <v>402</v>
      </c>
      <c r="L52" t="s">
        <v>403</v>
      </c>
      <c r="M52">
        <v>6.3329129110269973</v>
      </c>
      <c r="N52">
        <v>0</v>
      </c>
      <c r="O52" t="s">
        <v>38</v>
      </c>
      <c r="P52" t="s">
        <v>745</v>
      </c>
      <c r="R52" t="s">
        <v>64</v>
      </c>
      <c r="T52" t="s">
        <v>799</v>
      </c>
      <c r="U52" t="s">
        <v>48</v>
      </c>
      <c r="V52" t="s">
        <v>765</v>
      </c>
      <c r="W52" t="s">
        <v>76</v>
      </c>
      <c r="X52" t="s">
        <v>41</v>
      </c>
      <c r="Y52" t="s">
        <v>724</v>
      </c>
      <c r="Z52" t="s">
        <v>422</v>
      </c>
      <c r="AC52">
        <v>1383.0835890191599</v>
      </c>
      <c r="AD52">
        <v>25628.491800354172</v>
      </c>
    </row>
    <row r="53" spans="1:30" x14ac:dyDescent="0.25">
      <c r="A53">
        <v>52</v>
      </c>
      <c r="B53" t="s">
        <v>800</v>
      </c>
      <c r="C53" t="s">
        <v>376</v>
      </c>
      <c r="D53">
        <v>13.5</v>
      </c>
      <c r="E53" t="s">
        <v>72</v>
      </c>
      <c r="F53" t="s">
        <v>40</v>
      </c>
      <c r="G53" t="s">
        <v>41</v>
      </c>
      <c r="H53" t="s">
        <v>714</v>
      </c>
      <c r="I53" t="s">
        <v>715</v>
      </c>
      <c r="J53" t="s">
        <v>798</v>
      </c>
      <c r="K53" t="s">
        <v>402</v>
      </c>
      <c r="L53" t="s">
        <v>403</v>
      </c>
      <c r="M53">
        <v>13.2497111021964</v>
      </c>
      <c r="N53">
        <v>0</v>
      </c>
      <c r="O53" t="s">
        <v>38</v>
      </c>
      <c r="P53" t="s">
        <v>745</v>
      </c>
      <c r="R53" t="s">
        <v>64</v>
      </c>
      <c r="T53" t="s">
        <v>799</v>
      </c>
      <c r="U53" t="s">
        <v>48</v>
      </c>
      <c r="V53" t="s">
        <v>765</v>
      </c>
      <c r="W53" t="s">
        <v>76</v>
      </c>
      <c r="X53" t="s">
        <v>41</v>
      </c>
      <c r="Y53" t="s">
        <v>724</v>
      </c>
      <c r="Z53" t="s">
        <v>422</v>
      </c>
      <c r="AC53">
        <v>959.27211435308777</v>
      </c>
      <c r="AD53">
        <v>53619.89294822541</v>
      </c>
    </row>
    <row r="54" spans="1:30" x14ac:dyDescent="0.25">
      <c r="A54">
        <v>53</v>
      </c>
      <c r="B54" t="s">
        <v>801</v>
      </c>
      <c r="C54" t="s">
        <v>376</v>
      </c>
      <c r="D54">
        <v>2.6</v>
      </c>
      <c r="E54" t="s">
        <v>72</v>
      </c>
      <c r="F54" t="s">
        <v>40</v>
      </c>
      <c r="G54" t="s">
        <v>41</v>
      </c>
      <c r="H54" t="s">
        <v>714</v>
      </c>
      <c r="I54" t="s">
        <v>715</v>
      </c>
      <c r="J54" t="s">
        <v>798</v>
      </c>
      <c r="K54" t="s">
        <v>402</v>
      </c>
      <c r="L54" t="s">
        <v>403</v>
      </c>
      <c r="M54">
        <v>2.5883796523277671</v>
      </c>
      <c r="N54">
        <v>0</v>
      </c>
      <c r="O54" t="s">
        <v>38</v>
      </c>
      <c r="P54" t="s">
        <v>745</v>
      </c>
      <c r="R54" t="s">
        <v>64</v>
      </c>
      <c r="T54" t="s">
        <v>799</v>
      </c>
      <c r="U54" t="s">
        <v>48</v>
      </c>
      <c r="V54" t="s">
        <v>765</v>
      </c>
      <c r="W54" t="s">
        <v>76</v>
      </c>
      <c r="X54" t="s">
        <v>41</v>
      </c>
      <c r="Y54" t="s">
        <v>724</v>
      </c>
      <c r="Z54" t="s">
        <v>422</v>
      </c>
      <c r="AC54">
        <v>457.89806596513608</v>
      </c>
      <c r="AD54">
        <v>10474.842718961079</v>
      </c>
    </row>
    <row r="55" spans="1:30" hidden="1" x14ac:dyDescent="0.25">
      <c r="A55">
        <v>54</v>
      </c>
      <c r="B55" t="s">
        <v>802</v>
      </c>
      <c r="C55" t="s">
        <v>376</v>
      </c>
      <c r="D55">
        <v>1.1000000000000001</v>
      </c>
      <c r="E55" t="s">
        <v>72</v>
      </c>
      <c r="F55" t="s">
        <v>40</v>
      </c>
      <c r="G55" t="s">
        <v>41</v>
      </c>
      <c r="H55" t="s">
        <v>714</v>
      </c>
      <c r="I55" t="s">
        <v>715</v>
      </c>
      <c r="J55" t="s">
        <v>57</v>
      </c>
      <c r="K55" t="s">
        <v>62</v>
      </c>
      <c r="L55" t="s">
        <v>63</v>
      </c>
      <c r="M55">
        <v>1.0791789624429811</v>
      </c>
      <c r="N55" t="s">
        <v>64</v>
      </c>
      <c r="O55" t="s">
        <v>65</v>
      </c>
      <c r="P55" t="s">
        <v>57</v>
      </c>
      <c r="R55" t="s">
        <v>64</v>
      </c>
      <c r="U55" t="s">
        <v>48</v>
      </c>
      <c r="V55" t="s">
        <v>765</v>
      </c>
      <c r="W55" t="s">
        <v>76</v>
      </c>
      <c r="X55" t="s">
        <v>41</v>
      </c>
      <c r="Y55" t="s">
        <v>803</v>
      </c>
      <c r="AC55">
        <v>270.79739418617447</v>
      </c>
      <c r="AD55">
        <v>4367.2997842630139</v>
      </c>
    </row>
    <row r="56" spans="1:30" x14ac:dyDescent="0.25">
      <c r="A56">
        <v>55</v>
      </c>
      <c r="B56" t="s">
        <v>804</v>
      </c>
      <c r="C56" t="s">
        <v>376</v>
      </c>
      <c r="D56">
        <v>7.4</v>
      </c>
      <c r="E56" t="s">
        <v>72</v>
      </c>
      <c r="F56" t="s">
        <v>40</v>
      </c>
      <c r="G56" t="s">
        <v>41</v>
      </c>
      <c r="H56" t="s">
        <v>714</v>
      </c>
      <c r="I56" t="s">
        <v>715</v>
      </c>
      <c r="J56" t="s">
        <v>798</v>
      </c>
      <c r="K56" t="s">
        <v>402</v>
      </c>
      <c r="L56" t="s">
        <v>403</v>
      </c>
      <c r="M56">
        <v>7.3620225373320194</v>
      </c>
      <c r="N56">
        <v>0</v>
      </c>
      <c r="O56" t="s">
        <v>38</v>
      </c>
      <c r="P56" t="s">
        <v>745</v>
      </c>
      <c r="R56" t="s">
        <v>64</v>
      </c>
      <c r="T56" t="s">
        <v>799</v>
      </c>
      <c r="U56" t="s">
        <v>48</v>
      </c>
      <c r="V56" t="s">
        <v>765</v>
      </c>
      <c r="W56" t="s">
        <v>76</v>
      </c>
      <c r="X56" t="s">
        <v>41</v>
      </c>
      <c r="Y56" t="s">
        <v>724</v>
      </c>
      <c r="Z56" t="s">
        <v>422</v>
      </c>
      <c r="AC56">
        <v>770.08291894901492</v>
      </c>
      <c r="AD56">
        <v>29793.16735960589</v>
      </c>
    </row>
    <row r="57" spans="1:30" x14ac:dyDescent="0.25">
      <c r="A57">
        <v>56</v>
      </c>
      <c r="B57" t="s">
        <v>805</v>
      </c>
      <c r="C57" t="s">
        <v>376</v>
      </c>
      <c r="D57">
        <v>5.5</v>
      </c>
      <c r="E57" t="s">
        <v>72</v>
      </c>
      <c r="F57" t="s">
        <v>40</v>
      </c>
      <c r="G57" t="s">
        <v>41</v>
      </c>
      <c r="H57" t="s">
        <v>714</v>
      </c>
      <c r="I57" t="s">
        <v>715</v>
      </c>
      <c r="J57" t="s">
        <v>798</v>
      </c>
      <c r="K57" t="s">
        <v>402</v>
      </c>
      <c r="L57" t="s">
        <v>403</v>
      </c>
      <c r="M57">
        <v>5.1815250240766311</v>
      </c>
      <c r="N57">
        <v>0</v>
      </c>
      <c r="O57" t="s">
        <v>38</v>
      </c>
      <c r="P57" t="s">
        <v>745</v>
      </c>
      <c r="R57" t="s">
        <v>64</v>
      </c>
      <c r="T57" t="s">
        <v>799</v>
      </c>
      <c r="U57" t="s">
        <v>48</v>
      </c>
      <c r="V57" t="s">
        <v>765</v>
      </c>
      <c r="W57" t="s">
        <v>76</v>
      </c>
      <c r="X57" t="s">
        <v>41</v>
      </c>
      <c r="Y57" t="s">
        <v>724</v>
      </c>
      <c r="Z57" t="s">
        <v>422</v>
      </c>
      <c r="AC57">
        <v>596.14918028144632</v>
      </c>
      <c r="AD57">
        <v>20968.97169731374</v>
      </c>
    </row>
    <row r="58" spans="1:30" x14ac:dyDescent="0.25">
      <c r="A58">
        <v>57</v>
      </c>
      <c r="B58" t="s">
        <v>806</v>
      </c>
      <c r="C58" t="s">
        <v>376</v>
      </c>
      <c r="D58">
        <v>14.5</v>
      </c>
      <c r="E58" t="s">
        <v>72</v>
      </c>
      <c r="F58" t="s">
        <v>40</v>
      </c>
      <c r="G58" t="s">
        <v>41</v>
      </c>
      <c r="H58" t="s">
        <v>714</v>
      </c>
      <c r="I58" t="s">
        <v>715</v>
      </c>
      <c r="J58" t="s">
        <v>807</v>
      </c>
      <c r="K58" t="s">
        <v>402</v>
      </c>
      <c r="L58" t="s">
        <v>403</v>
      </c>
      <c r="M58">
        <v>13.69156592560021</v>
      </c>
      <c r="N58">
        <v>0</v>
      </c>
      <c r="O58" t="s">
        <v>38</v>
      </c>
      <c r="P58" t="s">
        <v>745</v>
      </c>
      <c r="R58" t="s">
        <v>64</v>
      </c>
      <c r="T58" t="s">
        <v>808</v>
      </c>
      <c r="U58" t="s">
        <v>48</v>
      </c>
      <c r="V58" t="s">
        <v>765</v>
      </c>
      <c r="W58" t="s">
        <v>76</v>
      </c>
      <c r="X58" t="s">
        <v>41</v>
      </c>
      <c r="Y58" t="s">
        <v>724</v>
      </c>
      <c r="Z58" t="s">
        <v>93</v>
      </c>
      <c r="AC58">
        <v>1088.8995684329921</v>
      </c>
      <c r="AD58">
        <v>55408.023130599096</v>
      </c>
    </row>
    <row r="59" spans="1:30" x14ac:dyDescent="0.25">
      <c r="A59">
        <v>58</v>
      </c>
      <c r="B59" t="s">
        <v>809</v>
      </c>
      <c r="C59" t="s">
        <v>376</v>
      </c>
      <c r="D59">
        <v>1</v>
      </c>
      <c r="E59" t="s">
        <v>72</v>
      </c>
      <c r="F59" t="s">
        <v>40</v>
      </c>
      <c r="G59" t="s">
        <v>41</v>
      </c>
      <c r="H59" t="s">
        <v>714</v>
      </c>
      <c r="I59" t="s">
        <v>715</v>
      </c>
      <c r="K59" t="s">
        <v>402</v>
      </c>
      <c r="L59" t="s">
        <v>403</v>
      </c>
      <c r="M59">
        <v>0.87517439371682881</v>
      </c>
      <c r="N59">
        <v>0</v>
      </c>
      <c r="O59" t="s">
        <v>38</v>
      </c>
      <c r="P59" t="s">
        <v>745</v>
      </c>
      <c r="R59" t="s">
        <v>75</v>
      </c>
      <c r="U59" t="s">
        <v>120</v>
      </c>
      <c r="V59" t="s">
        <v>765</v>
      </c>
      <c r="W59" t="s">
        <v>139</v>
      </c>
      <c r="X59" t="s">
        <v>41</v>
      </c>
      <c r="Y59" t="s">
        <v>810</v>
      </c>
      <c r="Z59" t="s">
        <v>701</v>
      </c>
      <c r="AC59">
        <v>253.41242508855549</v>
      </c>
      <c r="AD59">
        <v>3541.7192827959389</v>
      </c>
    </row>
    <row r="60" spans="1:30" x14ac:dyDescent="0.25">
      <c r="A60">
        <v>59</v>
      </c>
      <c r="B60" t="s">
        <v>811</v>
      </c>
      <c r="C60" t="s">
        <v>376</v>
      </c>
      <c r="D60">
        <v>0.5</v>
      </c>
      <c r="E60" t="s">
        <v>72</v>
      </c>
      <c r="F60" t="s">
        <v>40</v>
      </c>
      <c r="G60" t="s">
        <v>41</v>
      </c>
      <c r="H60" t="s">
        <v>714</v>
      </c>
      <c r="I60" t="s">
        <v>715</v>
      </c>
      <c r="K60" t="s">
        <v>402</v>
      </c>
      <c r="L60" t="s">
        <v>403</v>
      </c>
      <c r="M60">
        <v>0.33411851813109222</v>
      </c>
      <c r="N60">
        <v>0</v>
      </c>
      <c r="O60" t="s">
        <v>38</v>
      </c>
      <c r="P60" t="s">
        <v>745</v>
      </c>
      <c r="R60" t="s">
        <v>75</v>
      </c>
      <c r="U60" t="s">
        <v>120</v>
      </c>
      <c r="V60" t="s">
        <v>765</v>
      </c>
      <c r="W60" t="s">
        <v>139</v>
      </c>
      <c r="X60" t="s">
        <v>41</v>
      </c>
      <c r="Y60" t="s">
        <v>810</v>
      </c>
      <c r="Z60" t="s">
        <v>701</v>
      </c>
      <c r="AC60">
        <v>141.35645574257819</v>
      </c>
      <c r="AD60">
        <v>1352.135079476491</v>
      </c>
    </row>
    <row r="61" spans="1:30" x14ac:dyDescent="0.25">
      <c r="A61">
        <v>60</v>
      </c>
      <c r="B61" t="s">
        <v>812</v>
      </c>
      <c r="C61" t="s">
        <v>376</v>
      </c>
      <c r="D61">
        <v>6</v>
      </c>
      <c r="E61" t="s">
        <v>72</v>
      </c>
      <c r="F61" t="s">
        <v>40</v>
      </c>
      <c r="G61" t="s">
        <v>41</v>
      </c>
      <c r="H61" t="s">
        <v>714</v>
      </c>
      <c r="I61" t="s">
        <v>715</v>
      </c>
      <c r="K61" t="s">
        <v>402</v>
      </c>
      <c r="L61" t="s">
        <v>403</v>
      </c>
      <c r="M61">
        <v>5.5293176291526924</v>
      </c>
      <c r="N61">
        <v>0</v>
      </c>
      <c r="O61" t="s">
        <v>38</v>
      </c>
      <c r="P61" t="s">
        <v>745</v>
      </c>
      <c r="R61" t="s">
        <v>75</v>
      </c>
      <c r="U61" t="s">
        <v>120</v>
      </c>
      <c r="V61" t="s">
        <v>765</v>
      </c>
      <c r="W61" t="s">
        <v>139</v>
      </c>
      <c r="X61" t="s">
        <v>41</v>
      </c>
      <c r="Y61" t="s">
        <v>810</v>
      </c>
      <c r="Z61" t="s">
        <v>701</v>
      </c>
      <c r="AC61">
        <v>835.58905882177385</v>
      </c>
      <c r="AD61">
        <v>22376.444064712861</v>
      </c>
    </row>
    <row r="62" spans="1:30" x14ac:dyDescent="0.25">
      <c r="A62">
        <v>61</v>
      </c>
      <c r="B62" t="s">
        <v>813</v>
      </c>
      <c r="C62" t="s">
        <v>376</v>
      </c>
      <c r="D62">
        <v>6.6</v>
      </c>
      <c r="E62" t="s">
        <v>72</v>
      </c>
      <c r="F62" t="s">
        <v>40</v>
      </c>
      <c r="G62" t="s">
        <v>41</v>
      </c>
      <c r="H62" t="s">
        <v>714</v>
      </c>
      <c r="I62" t="s">
        <v>715</v>
      </c>
      <c r="K62" t="s">
        <v>402</v>
      </c>
      <c r="L62" t="s">
        <v>403</v>
      </c>
      <c r="M62">
        <v>6.2471513800186038</v>
      </c>
      <c r="N62">
        <v>0</v>
      </c>
      <c r="O62" t="s">
        <v>38</v>
      </c>
      <c r="P62" t="s">
        <v>745</v>
      </c>
      <c r="R62" t="s">
        <v>75</v>
      </c>
      <c r="U62" t="s">
        <v>120</v>
      </c>
      <c r="V62" t="s">
        <v>765</v>
      </c>
      <c r="W62" t="s">
        <v>139</v>
      </c>
      <c r="X62" t="s">
        <v>41</v>
      </c>
      <c r="Y62" t="s">
        <v>810</v>
      </c>
      <c r="Z62" t="s">
        <v>701</v>
      </c>
      <c r="AC62">
        <v>715.96734043035724</v>
      </c>
      <c r="AD62">
        <v>25281.42580953542</v>
      </c>
    </row>
    <row r="63" spans="1:30" x14ac:dyDescent="0.25">
      <c r="A63">
        <v>62</v>
      </c>
      <c r="B63" t="s">
        <v>814</v>
      </c>
      <c r="C63" t="s">
        <v>376</v>
      </c>
      <c r="D63">
        <v>0.7</v>
      </c>
      <c r="E63" t="s">
        <v>72</v>
      </c>
      <c r="F63" t="s">
        <v>40</v>
      </c>
      <c r="G63" t="s">
        <v>41</v>
      </c>
      <c r="H63" t="s">
        <v>714</v>
      </c>
      <c r="I63" t="s">
        <v>715</v>
      </c>
      <c r="K63" t="s">
        <v>402</v>
      </c>
      <c r="L63" t="s">
        <v>403</v>
      </c>
      <c r="M63">
        <v>0.68169940794693629</v>
      </c>
      <c r="N63">
        <v>0</v>
      </c>
      <c r="O63" t="s">
        <v>38</v>
      </c>
      <c r="P63" t="s">
        <v>745</v>
      </c>
      <c r="R63" t="s">
        <v>75</v>
      </c>
      <c r="U63" t="s">
        <v>120</v>
      </c>
      <c r="V63" t="s">
        <v>765</v>
      </c>
      <c r="W63" t="s">
        <v>139</v>
      </c>
      <c r="X63" t="s">
        <v>41</v>
      </c>
      <c r="Y63" t="s">
        <v>810</v>
      </c>
      <c r="Z63" t="s">
        <v>701</v>
      </c>
      <c r="AC63">
        <v>242.45996912664251</v>
      </c>
      <c r="AD63">
        <v>2758.7506621879502</v>
      </c>
    </row>
    <row r="64" spans="1:30" x14ac:dyDescent="0.25">
      <c r="A64">
        <v>63</v>
      </c>
      <c r="B64" t="s">
        <v>815</v>
      </c>
      <c r="C64" t="s">
        <v>376</v>
      </c>
      <c r="D64">
        <v>1.2</v>
      </c>
      <c r="E64" t="s">
        <v>72</v>
      </c>
      <c r="F64" t="s">
        <v>40</v>
      </c>
      <c r="G64" t="s">
        <v>41</v>
      </c>
      <c r="H64" t="s">
        <v>714</v>
      </c>
      <c r="I64" t="s">
        <v>715</v>
      </c>
      <c r="K64" t="s">
        <v>402</v>
      </c>
      <c r="L64" t="s">
        <v>403</v>
      </c>
      <c r="M64">
        <v>0.95730413070202314</v>
      </c>
      <c r="N64">
        <v>0</v>
      </c>
      <c r="O64" t="s">
        <v>38</v>
      </c>
      <c r="P64" t="s">
        <v>745</v>
      </c>
      <c r="R64" t="s">
        <v>75</v>
      </c>
      <c r="U64" t="s">
        <v>120</v>
      </c>
      <c r="V64" t="s">
        <v>765</v>
      </c>
      <c r="W64" t="s">
        <v>139</v>
      </c>
      <c r="X64" t="s">
        <v>41</v>
      </c>
      <c r="Y64" t="s">
        <v>810</v>
      </c>
      <c r="Z64" t="s">
        <v>701</v>
      </c>
      <c r="AC64">
        <v>411.55404368160839</v>
      </c>
      <c r="AD64">
        <v>3874.0878658574979</v>
      </c>
    </row>
    <row r="65" spans="1:30" x14ac:dyDescent="0.25">
      <c r="A65">
        <v>64</v>
      </c>
      <c r="B65" t="s">
        <v>816</v>
      </c>
      <c r="C65" t="s">
        <v>376</v>
      </c>
      <c r="D65">
        <v>11.8</v>
      </c>
      <c r="E65" t="s">
        <v>72</v>
      </c>
      <c r="F65" t="s">
        <v>40</v>
      </c>
      <c r="G65" t="s">
        <v>41</v>
      </c>
      <c r="H65" t="s">
        <v>714</v>
      </c>
      <c r="I65" t="s">
        <v>715</v>
      </c>
      <c r="J65" t="s">
        <v>807</v>
      </c>
      <c r="K65" t="s">
        <v>402</v>
      </c>
      <c r="L65" t="s">
        <v>403</v>
      </c>
      <c r="M65">
        <v>11.104557740224269</v>
      </c>
      <c r="N65">
        <v>0</v>
      </c>
      <c r="O65" t="s">
        <v>38</v>
      </c>
      <c r="P65" t="s">
        <v>745</v>
      </c>
      <c r="R65" t="s">
        <v>75</v>
      </c>
      <c r="T65" t="s">
        <v>817</v>
      </c>
      <c r="U65" t="s">
        <v>120</v>
      </c>
      <c r="V65" t="s">
        <v>719</v>
      </c>
      <c r="W65" t="s">
        <v>818</v>
      </c>
      <c r="X65" t="s">
        <v>41</v>
      </c>
      <c r="Y65" t="s">
        <v>724</v>
      </c>
      <c r="Z65" t="s">
        <v>93</v>
      </c>
      <c r="AC65">
        <v>891.9871226774485</v>
      </c>
      <c r="AD65">
        <v>44938.730563680707</v>
      </c>
    </row>
    <row r="66" spans="1:30" hidden="1" x14ac:dyDescent="0.25">
      <c r="A66">
        <v>65</v>
      </c>
      <c r="B66" t="s">
        <v>819</v>
      </c>
      <c r="C66" t="s">
        <v>376</v>
      </c>
      <c r="D66">
        <v>14.5</v>
      </c>
      <c r="E66" t="s">
        <v>72</v>
      </c>
      <c r="F66" t="s">
        <v>40</v>
      </c>
      <c r="G66" t="s">
        <v>41</v>
      </c>
      <c r="H66" t="s">
        <v>714</v>
      </c>
      <c r="I66" t="s">
        <v>715</v>
      </c>
      <c r="J66" t="s">
        <v>798</v>
      </c>
      <c r="K66" t="s">
        <v>62</v>
      </c>
      <c r="L66" t="s">
        <v>63</v>
      </c>
      <c r="M66">
        <v>13.63001765599871</v>
      </c>
      <c r="N66" t="s">
        <v>64</v>
      </c>
      <c r="O66" t="s">
        <v>65</v>
      </c>
      <c r="P66" t="s">
        <v>57</v>
      </c>
      <c r="R66" t="s">
        <v>75</v>
      </c>
      <c r="T66" t="s">
        <v>799</v>
      </c>
      <c r="U66" t="s">
        <v>120</v>
      </c>
      <c r="V66" t="s">
        <v>765</v>
      </c>
      <c r="W66" t="s">
        <v>124</v>
      </c>
      <c r="X66" t="s">
        <v>41</v>
      </c>
      <c r="Y66" t="s">
        <v>724</v>
      </c>
      <c r="Z66" t="s">
        <v>422</v>
      </c>
      <c r="AC66">
        <v>1086.9480282184029</v>
      </c>
      <c r="AD66">
        <v>55158.945124163642</v>
      </c>
    </row>
    <row r="67" spans="1:30" x14ac:dyDescent="0.25">
      <c r="A67">
        <v>66</v>
      </c>
      <c r="B67" t="s">
        <v>820</v>
      </c>
      <c r="C67" t="s">
        <v>376</v>
      </c>
      <c r="D67">
        <v>7.3</v>
      </c>
      <c r="E67" t="s">
        <v>72</v>
      </c>
      <c r="F67" t="s">
        <v>40</v>
      </c>
      <c r="G67" t="s">
        <v>41</v>
      </c>
      <c r="H67" t="s">
        <v>714</v>
      </c>
      <c r="I67" t="s">
        <v>715</v>
      </c>
      <c r="J67" t="s">
        <v>807</v>
      </c>
      <c r="K67" t="s">
        <v>402</v>
      </c>
      <c r="L67" t="s">
        <v>403</v>
      </c>
      <c r="M67">
        <v>6.4816185721878599</v>
      </c>
      <c r="N67">
        <v>0</v>
      </c>
      <c r="O67" t="s">
        <v>38</v>
      </c>
      <c r="P67" t="s">
        <v>745</v>
      </c>
      <c r="R67" t="s">
        <v>75</v>
      </c>
      <c r="T67" t="s">
        <v>817</v>
      </c>
      <c r="U67" t="s">
        <v>120</v>
      </c>
      <c r="V67" t="s">
        <v>719</v>
      </c>
      <c r="W67" t="s">
        <v>818</v>
      </c>
      <c r="X67" t="s">
        <v>41</v>
      </c>
      <c r="Y67" t="s">
        <v>724</v>
      </c>
      <c r="Z67" t="s">
        <v>93</v>
      </c>
      <c r="AC67">
        <v>833.92137841781903</v>
      </c>
      <c r="AD67">
        <v>26230.284667439311</v>
      </c>
    </row>
    <row r="68" spans="1:30" hidden="1" x14ac:dyDescent="0.25">
      <c r="A68">
        <v>67</v>
      </c>
      <c r="B68" t="s">
        <v>821</v>
      </c>
      <c r="C68" t="s">
        <v>376</v>
      </c>
      <c r="D68">
        <v>6.6</v>
      </c>
      <c r="E68" t="s">
        <v>72</v>
      </c>
      <c r="F68" t="s">
        <v>40</v>
      </c>
      <c r="G68" t="s">
        <v>41</v>
      </c>
      <c r="H68" t="s">
        <v>714</v>
      </c>
      <c r="I68" t="s">
        <v>715</v>
      </c>
      <c r="J68" t="s">
        <v>57</v>
      </c>
      <c r="K68" t="s">
        <v>62</v>
      </c>
      <c r="L68" t="s">
        <v>63</v>
      </c>
      <c r="M68">
        <v>5.8317600560982026</v>
      </c>
      <c r="N68" t="s">
        <v>64</v>
      </c>
      <c r="O68" t="s">
        <v>65</v>
      </c>
      <c r="P68" t="s">
        <v>57</v>
      </c>
      <c r="R68" t="s">
        <v>75</v>
      </c>
      <c r="U68" t="s">
        <v>120</v>
      </c>
      <c r="V68" t="s">
        <v>765</v>
      </c>
      <c r="W68" t="s">
        <v>139</v>
      </c>
      <c r="X68" t="s">
        <v>41</v>
      </c>
      <c r="Y68" t="s">
        <v>803</v>
      </c>
      <c r="Z68" t="s">
        <v>822</v>
      </c>
      <c r="AC68">
        <v>717.19349302338514</v>
      </c>
      <c r="AD68">
        <v>23600.390038382549</v>
      </c>
    </row>
    <row r="69" spans="1:30" hidden="1" x14ac:dyDescent="0.25">
      <c r="A69">
        <v>68</v>
      </c>
      <c r="B69" t="s">
        <v>823</v>
      </c>
      <c r="C69" t="s">
        <v>376</v>
      </c>
      <c r="D69">
        <v>0.4</v>
      </c>
      <c r="E69" t="s">
        <v>72</v>
      </c>
      <c r="F69" t="s">
        <v>40</v>
      </c>
      <c r="G69" t="s">
        <v>41</v>
      </c>
      <c r="H69" t="s">
        <v>714</v>
      </c>
      <c r="I69" t="s">
        <v>715</v>
      </c>
      <c r="J69" t="s">
        <v>807</v>
      </c>
      <c r="K69" t="s">
        <v>62</v>
      </c>
      <c r="L69" t="s">
        <v>63</v>
      </c>
      <c r="M69">
        <v>0.23628496447224909</v>
      </c>
      <c r="N69" t="s">
        <v>64</v>
      </c>
      <c r="O69" t="s">
        <v>65</v>
      </c>
      <c r="P69" t="s">
        <v>57</v>
      </c>
      <c r="R69" t="s">
        <v>75</v>
      </c>
      <c r="T69" t="s">
        <v>817</v>
      </c>
      <c r="U69" t="s">
        <v>120</v>
      </c>
      <c r="V69" t="s">
        <v>765</v>
      </c>
      <c r="W69" t="s">
        <v>139</v>
      </c>
      <c r="X69" t="s">
        <v>41</v>
      </c>
      <c r="Y69" t="s">
        <v>810</v>
      </c>
      <c r="Z69" t="s">
        <v>93</v>
      </c>
      <c r="AC69">
        <v>126.3719752373725</v>
      </c>
      <c r="AD69">
        <v>956.2151508478554</v>
      </c>
    </row>
    <row r="70" spans="1:30" x14ac:dyDescent="0.25">
      <c r="A70">
        <v>69</v>
      </c>
      <c r="B70" t="s">
        <v>824</v>
      </c>
      <c r="C70" t="s">
        <v>376</v>
      </c>
      <c r="D70">
        <v>0.7</v>
      </c>
      <c r="E70" t="s">
        <v>72</v>
      </c>
      <c r="F70" t="s">
        <v>40</v>
      </c>
      <c r="G70" t="s">
        <v>41</v>
      </c>
      <c r="H70" t="s">
        <v>714</v>
      </c>
      <c r="I70" t="s">
        <v>715</v>
      </c>
      <c r="J70" t="s">
        <v>57</v>
      </c>
      <c r="K70" t="s">
        <v>141</v>
      </c>
      <c r="L70" t="s">
        <v>142</v>
      </c>
      <c r="M70">
        <v>0.47250928913161838</v>
      </c>
      <c r="N70">
        <v>0</v>
      </c>
      <c r="O70" t="s">
        <v>38</v>
      </c>
      <c r="P70" t="s">
        <v>825</v>
      </c>
      <c r="R70" t="s">
        <v>76</v>
      </c>
      <c r="U70" t="s">
        <v>120</v>
      </c>
      <c r="V70" t="s">
        <v>765</v>
      </c>
      <c r="W70" t="s">
        <v>124</v>
      </c>
      <c r="X70" t="s">
        <v>41</v>
      </c>
      <c r="Y70" t="s">
        <v>826</v>
      </c>
      <c r="AC70">
        <v>218.09003775158291</v>
      </c>
      <c r="AD70">
        <v>1912.1849000979</v>
      </c>
    </row>
    <row r="71" spans="1:30" x14ac:dyDescent="0.25">
      <c r="A71">
        <v>70</v>
      </c>
      <c r="B71" t="s">
        <v>827</v>
      </c>
      <c r="C71" t="s">
        <v>376</v>
      </c>
      <c r="D71">
        <v>3.3</v>
      </c>
      <c r="E71" t="s">
        <v>72</v>
      </c>
      <c r="F71" t="s">
        <v>40</v>
      </c>
      <c r="G71" t="s">
        <v>41</v>
      </c>
      <c r="H71" t="s">
        <v>714</v>
      </c>
      <c r="I71" t="s">
        <v>715</v>
      </c>
      <c r="J71" t="s">
        <v>828</v>
      </c>
      <c r="K71" t="s">
        <v>402</v>
      </c>
      <c r="L71" t="s">
        <v>403</v>
      </c>
      <c r="M71">
        <v>2.9817798241966531</v>
      </c>
      <c r="N71">
        <v>0</v>
      </c>
      <c r="P71" t="s">
        <v>745</v>
      </c>
      <c r="R71" t="s">
        <v>75</v>
      </c>
      <c r="U71" t="s">
        <v>120</v>
      </c>
      <c r="V71" t="s">
        <v>765</v>
      </c>
      <c r="W71" t="s">
        <v>124</v>
      </c>
      <c r="X71" t="s">
        <v>41</v>
      </c>
      <c r="Y71" t="s">
        <v>803</v>
      </c>
      <c r="Z71" t="s">
        <v>822</v>
      </c>
      <c r="AC71">
        <v>491.50573029971719</v>
      </c>
      <c r="AD71">
        <v>12066.883099217101</v>
      </c>
    </row>
    <row r="72" spans="1:30" x14ac:dyDescent="0.25">
      <c r="A72">
        <v>71</v>
      </c>
      <c r="B72" t="s">
        <v>829</v>
      </c>
      <c r="C72" t="s">
        <v>376</v>
      </c>
      <c r="D72">
        <v>4.4000000000000004</v>
      </c>
      <c r="E72" t="s">
        <v>72</v>
      </c>
      <c r="F72" t="s">
        <v>40</v>
      </c>
      <c r="G72" t="s">
        <v>41</v>
      </c>
      <c r="H72" t="s">
        <v>714</v>
      </c>
      <c r="I72" t="s">
        <v>715</v>
      </c>
      <c r="J72" t="s">
        <v>807</v>
      </c>
      <c r="K72" t="s">
        <v>402</v>
      </c>
      <c r="L72" t="s">
        <v>403</v>
      </c>
      <c r="M72">
        <v>3.9563502420134951</v>
      </c>
      <c r="N72">
        <v>0</v>
      </c>
      <c r="O72" t="s">
        <v>38</v>
      </c>
      <c r="P72" t="s">
        <v>745</v>
      </c>
      <c r="R72" t="s">
        <v>75</v>
      </c>
      <c r="T72" t="s">
        <v>817</v>
      </c>
      <c r="U72" t="s">
        <v>120</v>
      </c>
      <c r="V72" t="s">
        <v>765</v>
      </c>
      <c r="W72" t="s">
        <v>139</v>
      </c>
      <c r="X72" t="s">
        <v>41</v>
      </c>
      <c r="Y72" t="s">
        <v>810</v>
      </c>
      <c r="Z72" t="s">
        <v>93</v>
      </c>
      <c r="AC72">
        <v>524.89906929476058</v>
      </c>
      <c r="AD72">
        <v>16010.84542947378</v>
      </c>
    </row>
    <row r="73" spans="1:30" x14ac:dyDescent="0.25">
      <c r="A73">
        <v>72</v>
      </c>
      <c r="B73" t="s">
        <v>830</v>
      </c>
      <c r="C73" t="s">
        <v>376</v>
      </c>
      <c r="D73">
        <v>9.4</v>
      </c>
      <c r="E73" t="s">
        <v>72</v>
      </c>
      <c r="F73" t="s">
        <v>40</v>
      </c>
      <c r="G73" t="s">
        <v>41</v>
      </c>
      <c r="H73" t="s">
        <v>714</v>
      </c>
      <c r="I73" t="s">
        <v>715</v>
      </c>
      <c r="J73" t="s">
        <v>807</v>
      </c>
      <c r="K73" t="s">
        <v>402</v>
      </c>
      <c r="L73" t="s">
        <v>403</v>
      </c>
      <c r="M73">
        <v>8.4941731151192332</v>
      </c>
      <c r="N73">
        <v>0</v>
      </c>
      <c r="O73" t="s">
        <v>38</v>
      </c>
      <c r="P73" t="s">
        <v>745</v>
      </c>
      <c r="R73" t="s">
        <v>75</v>
      </c>
      <c r="T73" t="s">
        <v>817</v>
      </c>
      <c r="U73" t="s">
        <v>120</v>
      </c>
      <c r="V73" t="s">
        <v>765</v>
      </c>
      <c r="W73" t="s">
        <v>139</v>
      </c>
      <c r="X73" t="s">
        <v>41</v>
      </c>
      <c r="Y73" t="s">
        <v>810</v>
      </c>
      <c r="Z73" t="s">
        <v>93</v>
      </c>
      <c r="AC73">
        <v>984.31824750194164</v>
      </c>
      <c r="AD73">
        <v>34374.836523106278</v>
      </c>
    </row>
    <row r="74" spans="1:30" hidden="1" x14ac:dyDescent="0.25">
      <c r="A74">
        <v>73</v>
      </c>
      <c r="B74" t="s">
        <v>831</v>
      </c>
      <c r="C74" t="s">
        <v>376</v>
      </c>
      <c r="D74">
        <v>3.2</v>
      </c>
      <c r="E74" t="s">
        <v>72</v>
      </c>
      <c r="F74" t="s">
        <v>40</v>
      </c>
      <c r="G74" t="s">
        <v>41</v>
      </c>
      <c r="H74" t="s">
        <v>714</v>
      </c>
      <c r="I74" t="s">
        <v>715</v>
      </c>
      <c r="J74" t="s">
        <v>828</v>
      </c>
      <c r="K74" t="s">
        <v>79</v>
      </c>
      <c r="L74" t="s">
        <v>80</v>
      </c>
      <c r="M74">
        <v>2.7381282931116928</v>
      </c>
      <c r="N74" t="s">
        <v>46</v>
      </c>
      <c r="O74" t="s">
        <v>47</v>
      </c>
      <c r="P74" t="s">
        <v>57</v>
      </c>
      <c r="R74" t="s">
        <v>75</v>
      </c>
      <c r="U74" t="s">
        <v>120</v>
      </c>
      <c r="V74" t="s">
        <v>765</v>
      </c>
      <c r="W74" t="s">
        <v>139</v>
      </c>
      <c r="X74" t="s">
        <v>41</v>
      </c>
      <c r="Y74" t="s">
        <v>832</v>
      </c>
      <c r="Z74" t="s">
        <v>822</v>
      </c>
      <c r="AC74">
        <v>529.10672938473886</v>
      </c>
      <c r="AD74">
        <v>11080.85639171545</v>
      </c>
    </row>
    <row r="75" spans="1:30" hidden="1" x14ac:dyDescent="0.25">
      <c r="A75">
        <v>74</v>
      </c>
      <c r="B75" t="s">
        <v>833</v>
      </c>
      <c r="C75" t="s">
        <v>376</v>
      </c>
      <c r="D75">
        <v>6.1</v>
      </c>
      <c r="E75" t="s">
        <v>72</v>
      </c>
      <c r="F75" t="s">
        <v>40</v>
      </c>
      <c r="G75" t="s">
        <v>41</v>
      </c>
      <c r="H75" t="s">
        <v>714</v>
      </c>
      <c r="I75" t="s">
        <v>715</v>
      </c>
      <c r="K75" t="s">
        <v>62</v>
      </c>
      <c r="L75" t="s">
        <v>63</v>
      </c>
      <c r="M75">
        <v>5.621163086670653</v>
      </c>
      <c r="N75" t="s">
        <v>64</v>
      </c>
      <c r="O75" t="s">
        <v>65</v>
      </c>
      <c r="P75" t="s">
        <v>57</v>
      </c>
      <c r="R75" t="s">
        <v>76</v>
      </c>
      <c r="U75" t="s">
        <v>120</v>
      </c>
      <c r="V75" t="s">
        <v>765</v>
      </c>
      <c r="W75" t="s">
        <v>124</v>
      </c>
      <c r="X75" t="s">
        <v>41</v>
      </c>
      <c r="Y75" t="s">
        <v>826</v>
      </c>
      <c r="Z75" t="s">
        <v>260</v>
      </c>
      <c r="AC75">
        <v>578.14861493146566</v>
      </c>
      <c r="AD75">
        <v>22748.13093108367</v>
      </c>
    </row>
    <row r="76" spans="1:30" hidden="1" x14ac:dyDescent="0.25">
      <c r="A76">
        <v>75</v>
      </c>
      <c r="B76" t="s">
        <v>834</v>
      </c>
      <c r="C76" t="s">
        <v>376</v>
      </c>
      <c r="D76">
        <v>0.6</v>
      </c>
      <c r="E76" t="s">
        <v>72</v>
      </c>
      <c r="F76" t="s">
        <v>40</v>
      </c>
      <c r="G76" t="s">
        <v>41</v>
      </c>
      <c r="H76" t="s">
        <v>714</v>
      </c>
      <c r="I76" t="s">
        <v>715</v>
      </c>
      <c r="K76" t="s">
        <v>62</v>
      </c>
      <c r="L76" t="s">
        <v>63</v>
      </c>
      <c r="M76">
        <v>0.52483777966352629</v>
      </c>
      <c r="N76" t="s">
        <v>64</v>
      </c>
      <c r="O76" t="s">
        <v>65</v>
      </c>
      <c r="P76" t="s">
        <v>57</v>
      </c>
      <c r="R76" t="s">
        <v>76</v>
      </c>
      <c r="U76" t="s">
        <v>120</v>
      </c>
      <c r="V76" t="s">
        <v>765</v>
      </c>
      <c r="W76" t="s">
        <v>124</v>
      </c>
      <c r="X76" t="s">
        <v>41</v>
      </c>
      <c r="Y76" t="s">
        <v>826</v>
      </c>
      <c r="AC76">
        <v>282.91150910445339</v>
      </c>
      <c r="AD76">
        <v>2123.9516351475422</v>
      </c>
    </row>
    <row r="77" spans="1:30" hidden="1" x14ac:dyDescent="0.25">
      <c r="A77">
        <v>76</v>
      </c>
      <c r="B77" t="s">
        <v>835</v>
      </c>
      <c r="C77" t="s">
        <v>376</v>
      </c>
      <c r="D77">
        <v>0.4</v>
      </c>
      <c r="E77" t="s">
        <v>72</v>
      </c>
      <c r="F77" t="s">
        <v>40</v>
      </c>
      <c r="G77" t="s">
        <v>41</v>
      </c>
      <c r="H77" t="s">
        <v>714</v>
      </c>
      <c r="I77" t="s">
        <v>715</v>
      </c>
      <c r="K77" t="s">
        <v>62</v>
      </c>
      <c r="L77" t="s">
        <v>63</v>
      </c>
      <c r="M77">
        <v>0.38858726374206187</v>
      </c>
      <c r="N77" t="s">
        <v>64</v>
      </c>
      <c r="O77" t="s">
        <v>65</v>
      </c>
      <c r="P77" t="s">
        <v>57</v>
      </c>
      <c r="R77" t="s">
        <v>76</v>
      </c>
      <c r="U77" t="s">
        <v>120</v>
      </c>
      <c r="V77" t="s">
        <v>765</v>
      </c>
      <c r="W77" t="s">
        <v>124</v>
      </c>
      <c r="X77" t="s">
        <v>41</v>
      </c>
      <c r="Y77" t="s">
        <v>826</v>
      </c>
      <c r="Z77" t="s">
        <v>260</v>
      </c>
      <c r="AC77">
        <v>180.9584266004488</v>
      </c>
      <c r="AD77">
        <v>1572.563154183732</v>
      </c>
    </row>
    <row r="78" spans="1:30" hidden="1" x14ac:dyDescent="0.25">
      <c r="A78">
        <v>77</v>
      </c>
      <c r="B78" t="s">
        <v>836</v>
      </c>
      <c r="C78" t="s">
        <v>376</v>
      </c>
      <c r="D78">
        <v>6</v>
      </c>
      <c r="E78" t="s">
        <v>72</v>
      </c>
      <c r="F78" t="s">
        <v>40</v>
      </c>
      <c r="G78" t="s">
        <v>41</v>
      </c>
      <c r="H78" t="s">
        <v>714</v>
      </c>
      <c r="I78" t="s">
        <v>715</v>
      </c>
      <c r="J78" t="s">
        <v>837</v>
      </c>
      <c r="K78" t="s">
        <v>62</v>
      </c>
      <c r="L78" t="s">
        <v>63</v>
      </c>
      <c r="M78">
        <v>5.5005017130226568</v>
      </c>
      <c r="N78" t="s">
        <v>64</v>
      </c>
      <c r="O78" t="s">
        <v>65</v>
      </c>
      <c r="P78" t="s">
        <v>57</v>
      </c>
      <c r="R78" t="s">
        <v>76</v>
      </c>
      <c r="U78" t="s">
        <v>120</v>
      </c>
      <c r="V78" t="s">
        <v>765</v>
      </c>
      <c r="W78" t="s">
        <v>124</v>
      </c>
      <c r="X78" t="s">
        <v>41</v>
      </c>
      <c r="Y78" t="s">
        <v>838</v>
      </c>
      <c r="Z78" t="s">
        <v>399</v>
      </c>
      <c r="AC78">
        <v>631.96893033275103</v>
      </c>
      <c r="AD78">
        <v>22259.829722997791</v>
      </c>
    </row>
    <row r="79" spans="1:30" hidden="1" x14ac:dyDescent="0.25">
      <c r="A79">
        <v>78</v>
      </c>
      <c r="B79" t="s">
        <v>839</v>
      </c>
      <c r="C79" t="s">
        <v>376</v>
      </c>
      <c r="D79">
        <v>1.6</v>
      </c>
      <c r="E79" t="s">
        <v>72</v>
      </c>
      <c r="F79" t="s">
        <v>40</v>
      </c>
      <c r="G79" t="s">
        <v>41</v>
      </c>
      <c r="H79" t="s">
        <v>714</v>
      </c>
      <c r="I79" t="s">
        <v>715</v>
      </c>
      <c r="J79" t="s">
        <v>837</v>
      </c>
      <c r="K79" t="s">
        <v>62</v>
      </c>
      <c r="L79" t="s">
        <v>63</v>
      </c>
      <c r="M79">
        <v>1.589644636935855</v>
      </c>
      <c r="N79" t="s">
        <v>64</v>
      </c>
      <c r="O79" t="s">
        <v>65</v>
      </c>
      <c r="P79" t="s">
        <v>57</v>
      </c>
      <c r="R79" t="s">
        <v>76</v>
      </c>
      <c r="U79" t="s">
        <v>120</v>
      </c>
      <c r="V79" t="s">
        <v>765</v>
      </c>
      <c r="W79" t="s">
        <v>124</v>
      </c>
      <c r="X79" t="s">
        <v>41</v>
      </c>
      <c r="Y79" t="s">
        <v>826</v>
      </c>
      <c r="Z79" t="s">
        <v>399</v>
      </c>
      <c r="AC79">
        <v>522.95040389000178</v>
      </c>
      <c r="AD79">
        <v>6433.0893406492123</v>
      </c>
    </row>
    <row r="80" spans="1:30" hidden="1" x14ac:dyDescent="0.25">
      <c r="A80">
        <v>79</v>
      </c>
      <c r="B80" t="s">
        <v>840</v>
      </c>
      <c r="C80" t="s">
        <v>376</v>
      </c>
      <c r="D80">
        <v>11.4</v>
      </c>
      <c r="E80" t="s">
        <v>72</v>
      </c>
      <c r="F80" t="s">
        <v>40</v>
      </c>
      <c r="G80" t="s">
        <v>41</v>
      </c>
      <c r="H80" t="s">
        <v>714</v>
      </c>
      <c r="I80" t="s">
        <v>715</v>
      </c>
      <c r="J80" t="s">
        <v>837</v>
      </c>
      <c r="K80" t="s">
        <v>62</v>
      </c>
      <c r="L80" t="s">
        <v>63</v>
      </c>
      <c r="M80">
        <v>11.225873508125179</v>
      </c>
      <c r="N80" t="s">
        <v>64</v>
      </c>
      <c r="O80" t="s">
        <v>65</v>
      </c>
      <c r="P80" t="s">
        <v>57</v>
      </c>
      <c r="R80" t="s">
        <v>76</v>
      </c>
      <c r="U80" t="s">
        <v>120</v>
      </c>
      <c r="V80" t="s">
        <v>765</v>
      </c>
      <c r="W80" t="s">
        <v>124</v>
      </c>
      <c r="X80" t="s">
        <v>41</v>
      </c>
      <c r="Y80" t="s">
        <v>826</v>
      </c>
      <c r="Z80" t="s">
        <v>399</v>
      </c>
      <c r="AC80">
        <v>896.93671113319226</v>
      </c>
      <c r="AD80">
        <v>45429.680021944783</v>
      </c>
    </row>
    <row r="81" spans="1:30" hidden="1" x14ac:dyDescent="0.25">
      <c r="A81">
        <v>80</v>
      </c>
      <c r="B81" t="s">
        <v>841</v>
      </c>
      <c r="C81" t="s">
        <v>376</v>
      </c>
      <c r="D81">
        <v>0.45</v>
      </c>
      <c r="E81" t="s">
        <v>72</v>
      </c>
      <c r="F81" t="s">
        <v>40</v>
      </c>
      <c r="G81" t="s">
        <v>41</v>
      </c>
      <c r="H81" t="s">
        <v>714</v>
      </c>
      <c r="I81" t="s">
        <v>715</v>
      </c>
      <c r="J81" t="s">
        <v>837</v>
      </c>
      <c r="K81" t="s">
        <v>62</v>
      </c>
      <c r="L81" t="s">
        <v>63</v>
      </c>
      <c r="M81">
        <v>0.45028385527155801</v>
      </c>
      <c r="N81" t="s">
        <v>64</v>
      </c>
      <c r="O81" t="s">
        <v>65</v>
      </c>
      <c r="P81" t="s">
        <v>57</v>
      </c>
      <c r="R81" t="s">
        <v>76</v>
      </c>
      <c r="U81" t="s">
        <v>120</v>
      </c>
      <c r="V81" t="s">
        <v>765</v>
      </c>
      <c r="W81" t="s">
        <v>124</v>
      </c>
      <c r="X81" t="s">
        <v>41</v>
      </c>
      <c r="Y81" t="s">
        <v>826</v>
      </c>
      <c r="Z81" t="s">
        <v>399</v>
      </c>
      <c r="AC81">
        <v>632.97317517715135</v>
      </c>
      <c r="AD81">
        <v>1822.2414005670501</v>
      </c>
    </row>
    <row r="82" spans="1:30" hidden="1" x14ac:dyDescent="0.25">
      <c r="A82">
        <v>81</v>
      </c>
      <c r="B82" t="s">
        <v>842</v>
      </c>
      <c r="C82" t="s">
        <v>376</v>
      </c>
      <c r="D82">
        <v>2.5</v>
      </c>
      <c r="E82" t="s">
        <v>72</v>
      </c>
      <c r="F82" t="s">
        <v>40</v>
      </c>
      <c r="G82" t="s">
        <v>41</v>
      </c>
      <c r="H82" t="s">
        <v>714</v>
      </c>
      <c r="I82" t="s">
        <v>715</v>
      </c>
      <c r="J82" t="s">
        <v>837</v>
      </c>
      <c r="K82" t="s">
        <v>62</v>
      </c>
      <c r="L82" t="s">
        <v>63</v>
      </c>
      <c r="M82">
        <v>2.4984632893367551</v>
      </c>
      <c r="N82" t="s">
        <v>64</v>
      </c>
      <c r="O82" t="s">
        <v>65</v>
      </c>
      <c r="P82" t="s">
        <v>57</v>
      </c>
      <c r="R82" t="s">
        <v>76</v>
      </c>
      <c r="U82" t="s">
        <v>120</v>
      </c>
      <c r="V82" t="s">
        <v>765</v>
      </c>
      <c r="W82" t="s">
        <v>124</v>
      </c>
      <c r="X82" t="s">
        <v>41</v>
      </c>
      <c r="Y82" t="s">
        <v>826</v>
      </c>
      <c r="Z82" t="s">
        <v>399</v>
      </c>
      <c r="AC82">
        <v>668.72488680303491</v>
      </c>
      <c r="AD82">
        <v>10110.96265239324</v>
      </c>
    </row>
    <row r="83" spans="1:30" hidden="1" x14ac:dyDescent="0.25">
      <c r="A83">
        <v>82</v>
      </c>
      <c r="B83" t="s">
        <v>843</v>
      </c>
      <c r="C83" t="s">
        <v>376</v>
      </c>
      <c r="D83">
        <v>0.6</v>
      </c>
      <c r="E83" t="s">
        <v>72</v>
      </c>
      <c r="F83" t="s">
        <v>40</v>
      </c>
      <c r="G83" t="s">
        <v>41</v>
      </c>
      <c r="H83" t="s">
        <v>714</v>
      </c>
      <c r="I83" t="s">
        <v>715</v>
      </c>
      <c r="J83" t="s">
        <v>837</v>
      </c>
      <c r="K83" t="s">
        <v>62</v>
      </c>
      <c r="L83" t="s">
        <v>63</v>
      </c>
      <c r="M83">
        <v>0.38791295948184479</v>
      </c>
      <c r="N83" t="s">
        <v>64</v>
      </c>
      <c r="O83" t="s">
        <v>65</v>
      </c>
      <c r="P83" t="s">
        <v>57</v>
      </c>
      <c r="R83" t="s">
        <v>76</v>
      </c>
      <c r="U83" t="s">
        <v>120</v>
      </c>
      <c r="V83" t="s">
        <v>765</v>
      </c>
      <c r="W83" t="s">
        <v>124</v>
      </c>
      <c r="X83" t="s">
        <v>41</v>
      </c>
      <c r="Y83" t="s">
        <v>826</v>
      </c>
      <c r="Z83" t="s">
        <v>399</v>
      </c>
      <c r="AC83">
        <v>206.7727807963573</v>
      </c>
      <c r="AD83">
        <v>1569.8343307423379</v>
      </c>
    </row>
    <row r="84" spans="1:30" hidden="1" x14ac:dyDescent="0.25">
      <c r="A84">
        <v>83</v>
      </c>
      <c r="B84" t="s">
        <v>844</v>
      </c>
      <c r="C84" t="s">
        <v>376</v>
      </c>
      <c r="D84">
        <v>3.2</v>
      </c>
      <c r="E84" t="s">
        <v>72</v>
      </c>
      <c r="F84" t="s">
        <v>40</v>
      </c>
      <c r="G84" t="s">
        <v>41</v>
      </c>
      <c r="H84" t="s">
        <v>714</v>
      </c>
      <c r="I84" t="s">
        <v>715</v>
      </c>
      <c r="J84" t="s">
        <v>837</v>
      </c>
      <c r="K84" t="s">
        <v>62</v>
      </c>
      <c r="L84" t="s">
        <v>63</v>
      </c>
      <c r="M84">
        <v>3.1887833853288909</v>
      </c>
      <c r="N84" t="s">
        <v>64</v>
      </c>
      <c r="O84" t="s">
        <v>65</v>
      </c>
      <c r="P84" t="s">
        <v>57</v>
      </c>
      <c r="R84" t="s">
        <v>76</v>
      </c>
      <c r="U84" t="s">
        <v>120</v>
      </c>
      <c r="V84" t="s">
        <v>765</v>
      </c>
      <c r="W84" t="s">
        <v>124</v>
      </c>
      <c r="X84" t="s">
        <v>41</v>
      </c>
      <c r="Y84" t="s">
        <v>826</v>
      </c>
      <c r="Z84" t="s">
        <v>399</v>
      </c>
      <c r="AC84">
        <v>660.7598987774785</v>
      </c>
      <c r="AD84">
        <v>12904.600140909581</v>
      </c>
    </row>
    <row r="85" spans="1:30" hidden="1" x14ac:dyDescent="0.25">
      <c r="A85">
        <v>84</v>
      </c>
      <c r="B85" t="s">
        <v>845</v>
      </c>
      <c r="C85" t="s">
        <v>376</v>
      </c>
      <c r="D85">
        <v>4.7</v>
      </c>
      <c r="E85" t="s">
        <v>72</v>
      </c>
      <c r="F85" t="s">
        <v>40</v>
      </c>
      <c r="G85" t="s">
        <v>41</v>
      </c>
      <c r="H85" t="s">
        <v>714</v>
      </c>
      <c r="I85" t="s">
        <v>715</v>
      </c>
      <c r="J85" t="s">
        <v>837</v>
      </c>
      <c r="K85" t="s">
        <v>62</v>
      </c>
      <c r="L85" t="s">
        <v>63</v>
      </c>
      <c r="M85">
        <v>4.4645053993332544</v>
      </c>
      <c r="N85" t="s">
        <v>64</v>
      </c>
      <c r="O85" t="s">
        <v>65</v>
      </c>
      <c r="P85" t="s">
        <v>57</v>
      </c>
      <c r="R85" t="s">
        <v>76</v>
      </c>
      <c r="U85" t="s">
        <v>120</v>
      </c>
      <c r="V85" t="s">
        <v>765</v>
      </c>
      <c r="W85" t="s">
        <v>124</v>
      </c>
      <c r="X85" t="s">
        <v>41</v>
      </c>
      <c r="Y85" t="s">
        <v>826</v>
      </c>
      <c r="Z85" t="s">
        <v>399</v>
      </c>
      <c r="AC85">
        <v>542.14665445746834</v>
      </c>
      <c r="AD85">
        <v>18067.284617197449</v>
      </c>
    </row>
    <row r="86" spans="1:30" hidden="1" x14ac:dyDescent="0.25">
      <c r="A86">
        <v>85</v>
      </c>
      <c r="B86" t="s">
        <v>846</v>
      </c>
      <c r="C86" t="s">
        <v>376</v>
      </c>
      <c r="D86">
        <v>0.4</v>
      </c>
      <c r="E86" t="s">
        <v>72</v>
      </c>
      <c r="F86" t="s">
        <v>40</v>
      </c>
      <c r="G86" t="s">
        <v>41</v>
      </c>
      <c r="H86" t="s">
        <v>714</v>
      </c>
      <c r="I86" t="s">
        <v>715</v>
      </c>
      <c r="J86" t="s">
        <v>837</v>
      </c>
      <c r="K86" t="s">
        <v>62</v>
      </c>
      <c r="L86" t="s">
        <v>63</v>
      </c>
      <c r="M86">
        <v>0.40041907668415372</v>
      </c>
      <c r="N86" t="s">
        <v>64</v>
      </c>
      <c r="O86" t="s">
        <v>65</v>
      </c>
      <c r="P86" t="s">
        <v>57</v>
      </c>
      <c r="R86" t="s">
        <v>76</v>
      </c>
      <c r="U86" t="s">
        <v>120</v>
      </c>
      <c r="V86" t="s">
        <v>765</v>
      </c>
      <c r="W86" t="s">
        <v>124</v>
      </c>
      <c r="X86" t="s">
        <v>41</v>
      </c>
      <c r="Y86" t="s">
        <v>826</v>
      </c>
      <c r="Z86" t="s">
        <v>399</v>
      </c>
      <c r="AC86">
        <v>558.35038075710634</v>
      </c>
      <c r="AD86">
        <v>1620.444993904239</v>
      </c>
    </row>
    <row r="87" spans="1:30" hidden="1" x14ac:dyDescent="0.25">
      <c r="A87">
        <v>86</v>
      </c>
      <c r="B87" t="s">
        <v>847</v>
      </c>
      <c r="C87" t="s">
        <v>376</v>
      </c>
      <c r="D87">
        <v>1.4</v>
      </c>
      <c r="E87" t="s">
        <v>72</v>
      </c>
      <c r="F87" t="s">
        <v>40</v>
      </c>
      <c r="G87" t="s">
        <v>41</v>
      </c>
      <c r="H87" t="s">
        <v>714</v>
      </c>
      <c r="I87" t="s">
        <v>715</v>
      </c>
      <c r="K87" t="s">
        <v>62</v>
      </c>
      <c r="L87" t="s">
        <v>63</v>
      </c>
      <c r="M87">
        <v>1.330318619711476</v>
      </c>
      <c r="N87" t="s">
        <v>64</v>
      </c>
      <c r="O87" t="s">
        <v>65</v>
      </c>
      <c r="P87" t="s">
        <v>57</v>
      </c>
      <c r="R87" t="s">
        <v>76</v>
      </c>
      <c r="U87" t="s">
        <v>120</v>
      </c>
      <c r="V87" t="s">
        <v>765</v>
      </c>
      <c r="W87" t="s">
        <v>124</v>
      </c>
      <c r="X87" t="s">
        <v>41</v>
      </c>
      <c r="Y87" t="s">
        <v>826</v>
      </c>
      <c r="Z87" t="s">
        <v>260</v>
      </c>
      <c r="AC87">
        <v>392.02925191452249</v>
      </c>
      <c r="AD87">
        <v>5383.6299845160947</v>
      </c>
    </row>
    <row r="88" spans="1:30" hidden="1" x14ac:dyDescent="0.25">
      <c r="A88">
        <v>87</v>
      </c>
      <c r="B88" t="s">
        <v>848</v>
      </c>
      <c r="C88" t="s">
        <v>376</v>
      </c>
      <c r="D88">
        <v>4.3</v>
      </c>
      <c r="E88" t="s">
        <v>72</v>
      </c>
      <c r="F88" t="s">
        <v>40</v>
      </c>
      <c r="G88" t="s">
        <v>41</v>
      </c>
      <c r="H88" t="s">
        <v>714</v>
      </c>
      <c r="I88" t="s">
        <v>715</v>
      </c>
      <c r="J88" t="s">
        <v>837</v>
      </c>
      <c r="K88" t="s">
        <v>62</v>
      </c>
      <c r="L88" t="s">
        <v>63</v>
      </c>
      <c r="M88">
        <v>3.582184142615104</v>
      </c>
      <c r="N88" t="s">
        <v>64</v>
      </c>
      <c r="O88" t="s">
        <v>65</v>
      </c>
      <c r="P88" t="s">
        <v>57</v>
      </c>
      <c r="R88" t="s">
        <v>76</v>
      </c>
      <c r="U88" t="s">
        <v>120</v>
      </c>
      <c r="V88" t="s">
        <v>765</v>
      </c>
      <c r="W88" t="s">
        <v>124</v>
      </c>
      <c r="X88" t="s">
        <v>41</v>
      </c>
      <c r="Y88" t="s">
        <v>826</v>
      </c>
      <c r="Z88" t="s">
        <v>399</v>
      </c>
      <c r="AC88">
        <v>604.54609878706424</v>
      </c>
      <c r="AD88">
        <v>14496.64289027495</v>
      </c>
    </row>
    <row r="89" spans="1:30" hidden="1" x14ac:dyDescent="0.25">
      <c r="A89">
        <v>88</v>
      </c>
      <c r="B89" t="s">
        <v>849</v>
      </c>
      <c r="C89" t="s">
        <v>376</v>
      </c>
      <c r="D89">
        <v>1.6</v>
      </c>
      <c r="E89" t="s">
        <v>72</v>
      </c>
      <c r="F89" t="s">
        <v>40</v>
      </c>
      <c r="G89" t="s">
        <v>41</v>
      </c>
      <c r="H89" t="s">
        <v>714</v>
      </c>
      <c r="I89" t="s">
        <v>715</v>
      </c>
      <c r="J89" t="s">
        <v>837</v>
      </c>
      <c r="K89" t="s">
        <v>62</v>
      </c>
      <c r="L89" t="s">
        <v>63</v>
      </c>
      <c r="M89">
        <v>1.5543159770114741</v>
      </c>
      <c r="N89" t="s">
        <v>64</v>
      </c>
      <c r="O89" t="s">
        <v>65</v>
      </c>
      <c r="P89" t="s">
        <v>57</v>
      </c>
      <c r="R89" t="s">
        <v>76</v>
      </c>
      <c r="U89" t="s">
        <v>120</v>
      </c>
      <c r="V89" t="s">
        <v>765</v>
      </c>
      <c r="W89" t="s">
        <v>124</v>
      </c>
      <c r="X89" t="s">
        <v>41</v>
      </c>
      <c r="Y89" t="s">
        <v>826</v>
      </c>
      <c r="Z89" t="s">
        <v>399</v>
      </c>
      <c r="AC89">
        <v>396.0990606284721</v>
      </c>
      <c r="AD89">
        <v>6290.1187544576724</v>
      </c>
    </row>
    <row r="90" spans="1:30" hidden="1" x14ac:dyDescent="0.25">
      <c r="A90">
        <v>89</v>
      </c>
      <c r="B90" t="s">
        <v>850</v>
      </c>
      <c r="C90" t="s">
        <v>376</v>
      </c>
      <c r="D90">
        <v>3.9</v>
      </c>
      <c r="E90" t="s">
        <v>72</v>
      </c>
      <c r="F90" t="s">
        <v>40</v>
      </c>
      <c r="G90" t="s">
        <v>41</v>
      </c>
      <c r="H90" t="s">
        <v>714</v>
      </c>
      <c r="I90" t="s">
        <v>715</v>
      </c>
      <c r="J90" t="s">
        <v>837</v>
      </c>
      <c r="K90" t="s">
        <v>62</v>
      </c>
      <c r="L90" t="s">
        <v>63</v>
      </c>
      <c r="M90">
        <v>3.6957097451479268</v>
      </c>
      <c r="N90" t="s">
        <v>64</v>
      </c>
      <c r="O90" t="s">
        <v>65</v>
      </c>
      <c r="P90" t="s">
        <v>57</v>
      </c>
      <c r="R90" t="s">
        <v>76</v>
      </c>
      <c r="U90" t="s">
        <v>120</v>
      </c>
      <c r="V90" t="s">
        <v>765</v>
      </c>
      <c r="W90" t="s">
        <v>124</v>
      </c>
      <c r="X90" t="s">
        <v>41</v>
      </c>
      <c r="Y90" t="s">
        <v>826</v>
      </c>
      <c r="Z90" t="s">
        <v>399</v>
      </c>
      <c r="AC90">
        <v>602.54771508082354</v>
      </c>
      <c r="AD90">
        <v>14956.0665416845</v>
      </c>
    </row>
    <row r="91" spans="1:30" hidden="1" x14ac:dyDescent="0.25">
      <c r="A91">
        <v>90</v>
      </c>
      <c r="B91" t="s">
        <v>851</v>
      </c>
      <c r="C91" t="s">
        <v>376</v>
      </c>
      <c r="D91">
        <v>12.6999999999999</v>
      </c>
      <c r="E91" t="s">
        <v>72</v>
      </c>
      <c r="F91" t="s">
        <v>40</v>
      </c>
      <c r="G91" t="s">
        <v>41</v>
      </c>
      <c r="H91" t="s">
        <v>714</v>
      </c>
      <c r="I91" t="s">
        <v>715</v>
      </c>
      <c r="J91" t="s">
        <v>828</v>
      </c>
      <c r="K91" t="s">
        <v>79</v>
      </c>
      <c r="L91" t="s">
        <v>80</v>
      </c>
      <c r="M91">
        <v>11.6948707143411</v>
      </c>
      <c r="N91" t="s">
        <v>46</v>
      </c>
      <c r="O91" t="s">
        <v>47</v>
      </c>
      <c r="P91" t="s">
        <v>57</v>
      </c>
      <c r="R91" t="s">
        <v>75</v>
      </c>
      <c r="U91" t="s">
        <v>120</v>
      </c>
      <c r="V91" t="s">
        <v>765</v>
      </c>
      <c r="W91" t="s">
        <v>124</v>
      </c>
      <c r="X91" t="s">
        <v>41</v>
      </c>
      <c r="Y91" t="s">
        <v>832</v>
      </c>
      <c r="Z91" t="s">
        <v>822</v>
      </c>
      <c r="AC91">
        <v>1033.044479350656</v>
      </c>
      <c r="AD91">
        <v>47327.65196988752</v>
      </c>
    </row>
    <row r="92" spans="1:30" hidden="1" x14ac:dyDescent="0.25">
      <c r="A92">
        <v>91</v>
      </c>
      <c r="B92" t="s">
        <v>852</v>
      </c>
      <c r="C92" t="s">
        <v>376</v>
      </c>
      <c r="D92">
        <v>4</v>
      </c>
      <c r="E92" t="s">
        <v>72</v>
      </c>
      <c r="F92" t="s">
        <v>40</v>
      </c>
      <c r="G92" t="s">
        <v>41</v>
      </c>
      <c r="H92" t="s">
        <v>714</v>
      </c>
      <c r="I92" t="s">
        <v>715</v>
      </c>
      <c r="K92" t="s">
        <v>62</v>
      </c>
      <c r="L92" t="s">
        <v>63</v>
      </c>
      <c r="M92">
        <v>3.7401336868581021</v>
      </c>
      <c r="N92" t="s">
        <v>64</v>
      </c>
      <c r="O92" t="s">
        <v>65</v>
      </c>
      <c r="P92" t="s">
        <v>57</v>
      </c>
      <c r="R92" t="s">
        <v>76</v>
      </c>
      <c r="U92" t="s">
        <v>120</v>
      </c>
      <c r="V92" t="s">
        <v>765</v>
      </c>
      <c r="W92" t="s">
        <v>124</v>
      </c>
      <c r="X92" t="s">
        <v>41</v>
      </c>
      <c r="Y92" t="s">
        <v>826</v>
      </c>
      <c r="Z92" t="s">
        <v>260</v>
      </c>
      <c r="AC92">
        <v>611.64782898851911</v>
      </c>
      <c r="AD92">
        <v>15135.844574614061</v>
      </c>
    </row>
    <row r="93" spans="1:30" hidden="1" x14ac:dyDescent="0.25">
      <c r="A93">
        <v>92</v>
      </c>
      <c r="B93" t="s">
        <v>853</v>
      </c>
      <c r="C93" t="s">
        <v>376</v>
      </c>
      <c r="D93">
        <v>1.4</v>
      </c>
      <c r="E93" t="s">
        <v>72</v>
      </c>
      <c r="F93" t="s">
        <v>40</v>
      </c>
      <c r="G93" t="s">
        <v>41</v>
      </c>
      <c r="H93" t="s">
        <v>714</v>
      </c>
      <c r="I93" t="s">
        <v>715</v>
      </c>
      <c r="J93" t="s">
        <v>837</v>
      </c>
      <c r="K93" t="s">
        <v>62</v>
      </c>
      <c r="L93" t="s">
        <v>63</v>
      </c>
      <c r="M93">
        <v>1.299721342975042</v>
      </c>
      <c r="N93" t="s">
        <v>64</v>
      </c>
      <c r="O93" t="s">
        <v>65</v>
      </c>
      <c r="P93" t="s">
        <v>57</v>
      </c>
      <c r="R93" t="s">
        <v>76</v>
      </c>
      <c r="U93" t="s">
        <v>120</v>
      </c>
      <c r="V93" t="s">
        <v>765</v>
      </c>
      <c r="W93" t="s">
        <v>124</v>
      </c>
      <c r="X93" t="s">
        <v>41</v>
      </c>
      <c r="Y93" t="s">
        <v>826</v>
      </c>
      <c r="Z93" t="s">
        <v>399</v>
      </c>
      <c r="AC93">
        <v>364.10532667056913</v>
      </c>
      <c r="AD93">
        <v>5259.8067033546758</v>
      </c>
    </row>
    <row r="94" spans="1:30" hidden="1" x14ac:dyDescent="0.25">
      <c r="A94">
        <v>93</v>
      </c>
      <c r="B94" t="s">
        <v>854</v>
      </c>
      <c r="C94" t="s">
        <v>376</v>
      </c>
      <c r="D94">
        <v>4.8</v>
      </c>
      <c r="E94" t="s">
        <v>72</v>
      </c>
      <c r="F94" t="s">
        <v>40</v>
      </c>
      <c r="G94" t="s">
        <v>41</v>
      </c>
      <c r="H94" t="s">
        <v>714</v>
      </c>
      <c r="I94" t="s">
        <v>715</v>
      </c>
      <c r="J94" t="s">
        <v>837</v>
      </c>
      <c r="K94" t="s">
        <v>62</v>
      </c>
      <c r="L94" t="s">
        <v>63</v>
      </c>
      <c r="M94">
        <v>4.5197337438591338</v>
      </c>
      <c r="N94" t="s">
        <v>64</v>
      </c>
      <c r="O94" t="s">
        <v>65</v>
      </c>
      <c r="P94" t="s">
        <v>57</v>
      </c>
      <c r="R94" t="s">
        <v>76</v>
      </c>
      <c r="U94" t="s">
        <v>120</v>
      </c>
      <c r="V94" t="s">
        <v>765</v>
      </c>
      <c r="W94" t="s">
        <v>124</v>
      </c>
      <c r="X94" t="s">
        <v>41</v>
      </c>
      <c r="Y94" t="s">
        <v>826</v>
      </c>
      <c r="Z94" t="s">
        <v>399</v>
      </c>
      <c r="AC94">
        <v>661.88127738605544</v>
      </c>
      <c r="AD94">
        <v>18290.786691947931</v>
      </c>
    </row>
    <row r="95" spans="1:30" hidden="1" x14ac:dyDescent="0.25">
      <c r="A95">
        <v>94</v>
      </c>
      <c r="B95" t="s">
        <v>855</v>
      </c>
      <c r="C95" t="s">
        <v>376</v>
      </c>
      <c r="D95">
        <v>0.4</v>
      </c>
      <c r="E95" t="s">
        <v>72</v>
      </c>
      <c r="F95" t="s">
        <v>40</v>
      </c>
      <c r="G95" t="s">
        <v>41</v>
      </c>
      <c r="H95" t="s">
        <v>714</v>
      </c>
      <c r="I95" t="s">
        <v>715</v>
      </c>
      <c r="K95" t="s">
        <v>62</v>
      </c>
      <c r="L95" t="s">
        <v>63</v>
      </c>
      <c r="M95">
        <v>0.23663092268206759</v>
      </c>
      <c r="N95" t="s">
        <v>64</v>
      </c>
      <c r="O95" t="s">
        <v>65</v>
      </c>
      <c r="P95" t="s">
        <v>57</v>
      </c>
      <c r="R95" t="s">
        <v>76</v>
      </c>
      <c r="U95" t="s">
        <v>120</v>
      </c>
      <c r="V95" t="s">
        <v>765</v>
      </c>
      <c r="W95" t="s">
        <v>124</v>
      </c>
      <c r="X95" t="s">
        <v>41</v>
      </c>
      <c r="Y95" t="s">
        <v>826</v>
      </c>
      <c r="Z95" t="s">
        <v>260</v>
      </c>
      <c r="AC95">
        <v>234.71066143409189</v>
      </c>
      <c r="AD95">
        <v>957.61519965133141</v>
      </c>
    </row>
    <row r="96" spans="1:30" hidden="1" x14ac:dyDescent="0.25">
      <c r="A96">
        <v>95</v>
      </c>
      <c r="B96" t="s">
        <v>856</v>
      </c>
      <c r="C96" t="s">
        <v>376</v>
      </c>
      <c r="D96">
        <v>0.8</v>
      </c>
      <c r="E96" t="s">
        <v>72</v>
      </c>
      <c r="F96" t="s">
        <v>40</v>
      </c>
      <c r="G96" t="s">
        <v>41</v>
      </c>
      <c r="H96" t="s">
        <v>714</v>
      </c>
      <c r="I96" t="s">
        <v>715</v>
      </c>
      <c r="J96" t="s">
        <v>837</v>
      </c>
      <c r="K96" t="s">
        <v>62</v>
      </c>
      <c r="L96" t="s">
        <v>63</v>
      </c>
      <c r="M96">
        <v>0.67928704340799995</v>
      </c>
      <c r="N96" t="s">
        <v>64</v>
      </c>
      <c r="O96" t="s">
        <v>65</v>
      </c>
      <c r="P96" t="s">
        <v>57</v>
      </c>
      <c r="R96" t="s">
        <v>76</v>
      </c>
      <c r="U96" t="s">
        <v>120</v>
      </c>
      <c r="V96" t="s">
        <v>765</v>
      </c>
      <c r="W96" t="s">
        <v>124</v>
      </c>
      <c r="X96" t="s">
        <v>41</v>
      </c>
      <c r="Y96" t="s">
        <v>826</v>
      </c>
      <c r="Z96" t="s">
        <v>399</v>
      </c>
      <c r="AC96">
        <v>304.23254104398973</v>
      </c>
      <c r="AD96">
        <v>2748.9881302102972</v>
      </c>
    </row>
    <row r="97" spans="1:30" hidden="1" x14ac:dyDescent="0.25">
      <c r="A97">
        <v>96</v>
      </c>
      <c r="B97" t="s">
        <v>857</v>
      </c>
      <c r="C97" t="s">
        <v>376</v>
      </c>
      <c r="D97">
        <v>9.6999999999999904</v>
      </c>
      <c r="E97" t="s">
        <v>72</v>
      </c>
      <c r="F97" t="s">
        <v>40</v>
      </c>
      <c r="G97" t="s">
        <v>41</v>
      </c>
      <c r="H97" t="s">
        <v>714</v>
      </c>
      <c r="I97" t="s">
        <v>715</v>
      </c>
      <c r="J97" t="s">
        <v>798</v>
      </c>
      <c r="K97" t="s">
        <v>62</v>
      </c>
      <c r="L97" t="s">
        <v>63</v>
      </c>
      <c r="M97">
        <v>8.8397734303022464</v>
      </c>
      <c r="N97" t="s">
        <v>64</v>
      </c>
      <c r="O97" t="s">
        <v>65</v>
      </c>
      <c r="P97" t="s">
        <v>57</v>
      </c>
      <c r="R97" t="s">
        <v>76</v>
      </c>
      <c r="U97" t="s">
        <v>120</v>
      </c>
      <c r="V97" t="s">
        <v>765</v>
      </c>
      <c r="W97" t="s">
        <v>858</v>
      </c>
      <c r="X97" t="s">
        <v>41</v>
      </c>
      <c r="Y97" t="s">
        <v>724</v>
      </c>
      <c r="Z97" t="s">
        <v>422</v>
      </c>
      <c r="AC97">
        <v>1037.456374034419</v>
      </c>
      <c r="AD97">
        <v>35773.436972584321</v>
      </c>
    </row>
    <row r="98" spans="1:30" hidden="1" x14ac:dyDescent="0.25">
      <c r="A98">
        <v>97</v>
      </c>
      <c r="B98" t="s">
        <v>859</v>
      </c>
      <c r="C98" t="s">
        <v>376</v>
      </c>
      <c r="D98">
        <v>12.5</v>
      </c>
      <c r="E98" t="s">
        <v>72</v>
      </c>
      <c r="F98" t="s">
        <v>40</v>
      </c>
      <c r="G98" t="s">
        <v>41</v>
      </c>
      <c r="H98" t="s">
        <v>714</v>
      </c>
      <c r="I98" t="s">
        <v>715</v>
      </c>
      <c r="J98" t="s">
        <v>798</v>
      </c>
      <c r="K98" t="s">
        <v>62</v>
      </c>
      <c r="L98" t="s">
        <v>63</v>
      </c>
      <c r="M98">
        <v>11.65959446043971</v>
      </c>
      <c r="N98" t="s">
        <v>64</v>
      </c>
      <c r="O98" t="s">
        <v>65</v>
      </c>
      <c r="P98" t="s">
        <v>57</v>
      </c>
      <c r="R98" t="s">
        <v>76</v>
      </c>
      <c r="U98" t="s">
        <v>120</v>
      </c>
      <c r="V98" t="s">
        <v>765</v>
      </c>
      <c r="W98" t="s">
        <v>860</v>
      </c>
      <c r="X98" t="s">
        <v>41</v>
      </c>
      <c r="Y98" t="s">
        <v>724</v>
      </c>
      <c r="Z98" t="s">
        <v>422</v>
      </c>
      <c r="AC98">
        <v>895.80829567908825</v>
      </c>
      <c r="AD98">
        <v>47184.893464195033</v>
      </c>
    </row>
    <row r="99" spans="1:30" x14ac:dyDescent="0.25">
      <c r="A99">
        <v>98</v>
      </c>
      <c r="B99" t="s">
        <v>861</v>
      </c>
      <c r="C99" t="s">
        <v>376</v>
      </c>
      <c r="D99">
        <v>0.6</v>
      </c>
      <c r="E99" t="s">
        <v>72</v>
      </c>
      <c r="F99" t="s">
        <v>40</v>
      </c>
      <c r="G99" t="s">
        <v>41</v>
      </c>
      <c r="H99" t="s">
        <v>714</v>
      </c>
      <c r="I99" t="s">
        <v>715</v>
      </c>
      <c r="J99" t="s">
        <v>57</v>
      </c>
      <c r="K99" t="s">
        <v>141</v>
      </c>
      <c r="L99" t="s">
        <v>142</v>
      </c>
      <c r="M99">
        <v>0.53217371201925401</v>
      </c>
      <c r="N99">
        <v>0</v>
      </c>
      <c r="O99" t="s">
        <v>38</v>
      </c>
      <c r="P99" t="s">
        <v>772</v>
      </c>
      <c r="R99" t="s">
        <v>76</v>
      </c>
      <c r="U99" t="s">
        <v>120</v>
      </c>
      <c r="V99" t="s">
        <v>765</v>
      </c>
      <c r="W99" t="s">
        <v>860</v>
      </c>
      <c r="X99" t="s">
        <v>41</v>
      </c>
      <c r="Y99" t="s">
        <v>724</v>
      </c>
      <c r="AC99">
        <v>178.2756074446585</v>
      </c>
      <c r="AD99">
        <v>2153.6392188658269</v>
      </c>
    </row>
    <row r="100" spans="1:30" hidden="1" x14ac:dyDescent="0.25">
      <c r="A100">
        <v>99</v>
      </c>
      <c r="B100" t="s">
        <v>862</v>
      </c>
      <c r="C100" t="s">
        <v>376</v>
      </c>
      <c r="D100">
        <v>6.5430000000000001</v>
      </c>
      <c r="E100" t="s">
        <v>72</v>
      </c>
      <c r="F100" t="s">
        <v>40</v>
      </c>
      <c r="G100" t="s">
        <v>41</v>
      </c>
      <c r="H100" t="s">
        <v>714</v>
      </c>
      <c r="I100" t="s">
        <v>715</v>
      </c>
      <c r="J100" t="s">
        <v>863</v>
      </c>
      <c r="K100" t="s">
        <v>62</v>
      </c>
      <c r="L100" t="s">
        <v>63</v>
      </c>
      <c r="M100">
        <v>6.5848251252630767</v>
      </c>
      <c r="N100" t="s">
        <v>64</v>
      </c>
      <c r="O100" t="s">
        <v>65</v>
      </c>
      <c r="P100" t="s">
        <v>864</v>
      </c>
      <c r="R100" t="s">
        <v>61</v>
      </c>
      <c r="T100" t="s">
        <v>865</v>
      </c>
      <c r="U100" t="s">
        <v>120</v>
      </c>
      <c r="V100" t="s">
        <v>765</v>
      </c>
      <c r="W100" t="s">
        <v>858</v>
      </c>
      <c r="X100" t="s">
        <v>41</v>
      </c>
      <c r="Y100" t="s">
        <v>803</v>
      </c>
      <c r="Z100" t="s">
        <v>656</v>
      </c>
      <c r="AC100">
        <v>664.71896957860133</v>
      </c>
      <c r="AD100">
        <v>26647.948440238939</v>
      </c>
    </row>
    <row r="101" spans="1:30" x14ac:dyDescent="0.25">
      <c r="A101">
        <v>100</v>
      </c>
      <c r="B101" t="s">
        <v>866</v>
      </c>
      <c r="C101" t="s">
        <v>376</v>
      </c>
      <c r="D101">
        <v>0</v>
      </c>
      <c r="E101" t="s">
        <v>72</v>
      </c>
      <c r="F101" t="s">
        <v>40</v>
      </c>
      <c r="G101" t="s">
        <v>41</v>
      </c>
      <c r="H101" t="s">
        <v>714</v>
      </c>
      <c r="I101" t="s">
        <v>715</v>
      </c>
      <c r="J101" t="s">
        <v>57</v>
      </c>
      <c r="K101" t="s">
        <v>141</v>
      </c>
      <c r="L101" t="s">
        <v>142</v>
      </c>
      <c r="M101">
        <v>0.63155501923367008</v>
      </c>
      <c r="N101">
        <v>0</v>
      </c>
      <c r="O101" t="s">
        <v>38</v>
      </c>
      <c r="P101" t="s">
        <v>867</v>
      </c>
      <c r="R101" t="s">
        <v>61</v>
      </c>
      <c r="U101" t="s">
        <v>120</v>
      </c>
      <c r="V101" t="s">
        <v>765</v>
      </c>
      <c r="W101" t="s">
        <v>858</v>
      </c>
      <c r="X101" t="s">
        <v>41</v>
      </c>
      <c r="AC101">
        <v>189.45806148764319</v>
      </c>
      <c r="AD101">
        <v>2555.822708965346</v>
      </c>
    </row>
    <row r="102" spans="1:30" hidden="1" x14ac:dyDescent="0.25">
      <c r="A102">
        <v>101</v>
      </c>
      <c r="B102" t="s">
        <v>868</v>
      </c>
      <c r="C102" t="s">
        <v>376</v>
      </c>
      <c r="D102">
        <v>5.7169999999999996</v>
      </c>
      <c r="E102" t="s">
        <v>72</v>
      </c>
      <c r="F102" t="s">
        <v>40</v>
      </c>
      <c r="G102" t="s">
        <v>41</v>
      </c>
      <c r="H102" t="s">
        <v>714</v>
      </c>
      <c r="I102" t="s">
        <v>715</v>
      </c>
      <c r="J102" t="s">
        <v>863</v>
      </c>
      <c r="K102" t="s">
        <v>62</v>
      </c>
      <c r="L102" t="s">
        <v>63</v>
      </c>
      <c r="M102">
        <v>5.7958243657283024</v>
      </c>
      <c r="N102" t="s">
        <v>64</v>
      </c>
      <c r="O102" t="s">
        <v>65</v>
      </c>
      <c r="P102" t="s">
        <v>864</v>
      </c>
      <c r="R102" t="s">
        <v>61</v>
      </c>
      <c r="T102" t="s">
        <v>865</v>
      </c>
      <c r="U102" t="s">
        <v>120</v>
      </c>
      <c r="V102" t="s">
        <v>765</v>
      </c>
      <c r="W102" t="s">
        <v>858</v>
      </c>
      <c r="X102" t="s">
        <v>41</v>
      </c>
      <c r="Y102" t="s">
        <v>803</v>
      </c>
      <c r="Z102" t="s">
        <v>656</v>
      </c>
      <c r="AC102">
        <v>776.4155461274197</v>
      </c>
      <c r="AD102">
        <v>23454.96287730768</v>
      </c>
    </row>
    <row r="103" spans="1:30" x14ac:dyDescent="0.25">
      <c r="A103">
        <v>102</v>
      </c>
      <c r="B103" t="s">
        <v>869</v>
      </c>
      <c r="C103" t="s">
        <v>376</v>
      </c>
      <c r="D103">
        <v>8.6</v>
      </c>
      <c r="E103" t="s">
        <v>72</v>
      </c>
      <c r="F103" t="s">
        <v>40</v>
      </c>
      <c r="G103" t="s">
        <v>41</v>
      </c>
      <c r="H103" t="s">
        <v>714</v>
      </c>
      <c r="I103" t="s">
        <v>715</v>
      </c>
      <c r="J103" t="s">
        <v>798</v>
      </c>
      <c r="K103" t="s">
        <v>402</v>
      </c>
      <c r="L103" t="s">
        <v>403</v>
      </c>
      <c r="M103">
        <v>7.3300445090241766</v>
      </c>
      <c r="N103">
        <v>0</v>
      </c>
      <c r="O103" t="s">
        <v>38</v>
      </c>
      <c r="P103" t="s">
        <v>57</v>
      </c>
      <c r="R103" t="s">
        <v>76</v>
      </c>
      <c r="U103" t="s">
        <v>120</v>
      </c>
      <c r="V103" t="s">
        <v>765</v>
      </c>
      <c r="W103" t="s">
        <v>860</v>
      </c>
      <c r="X103" t="s">
        <v>41</v>
      </c>
      <c r="Y103" t="s">
        <v>724</v>
      </c>
      <c r="Z103" t="s">
        <v>422</v>
      </c>
      <c r="AC103">
        <v>896.54599787619031</v>
      </c>
      <c r="AD103">
        <v>29663.756352729099</v>
      </c>
    </row>
    <row r="104" spans="1:30" hidden="1" x14ac:dyDescent="0.25">
      <c r="A104">
        <v>103</v>
      </c>
      <c r="B104" t="s">
        <v>870</v>
      </c>
      <c r="C104" t="s">
        <v>376</v>
      </c>
      <c r="D104">
        <v>3.65</v>
      </c>
      <c r="E104" t="s">
        <v>72</v>
      </c>
      <c r="F104" t="s">
        <v>40</v>
      </c>
      <c r="G104" t="s">
        <v>41</v>
      </c>
      <c r="H104" t="s">
        <v>714</v>
      </c>
      <c r="I104" t="s">
        <v>715</v>
      </c>
      <c r="J104" t="s">
        <v>863</v>
      </c>
      <c r="K104" t="s">
        <v>62</v>
      </c>
      <c r="L104" t="s">
        <v>63</v>
      </c>
      <c r="M104">
        <v>3.6625394640283799</v>
      </c>
      <c r="N104" t="s">
        <v>64</v>
      </c>
      <c r="O104" t="s">
        <v>65</v>
      </c>
      <c r="P104" t="s">
        <v>864</v>
      </c>
      <c r="R104" t="s">
        <v>61</v>
      </c>
      <c r="S104" t="s">
        <v>858</v>
      </c>
      <c r="T104" t="s">
        <v>865</v>
      </c>
      <c r="U104" t="s">
        <v>120</v>
      </c>
      <c r="V104" t="s">
        <v>765</v>
      </c>
      <c r="W104" t="s">
        <v>858</v>
      </c>
      <c r="X104" t="s">
        <v>41</v>
      </c>
      <c r="Y104" t="s">
        <v>803</v>
      </c>
      <c r="Z104" t="s">
        <v>656</v>
      </c>
      <c r="AC104">
        <v>607.16737462073945</v>
      </c>
      <c r="AD104">
        <v>14821.830639559979</v>
      </c>
    </row>
    <row r="105" spans="1:30" hidden="1" x14ac:dyDescent="0.25">
      <c r="A105">
        <v>104</v>
      </c>
      <c r="B105" t="s">
        <v>871</v>
      </c>
      <c r="C105" t="s">
        <v>376</v>
      </c>
      <c r="D105">
        <v>7.2729999999999997</v>
      </c>
      <c r="E105" t="s">
        <v>72</v>
      </c>
      <c r="F105" t="s">
        <v>40</v>
      </c>
      <c r="G105" t="s">
        <v>41</v>
      </c>
      <c r="H105" t="s">
        <v>714</v>
      </c>
      <c r="I105" t="s">
        <v>715</v>
      </c>
      <c r="J105" t="s">
        <v>863</v>
      </c>
      <c r="K105" t="s">
        <v>62</v>
      </c>
      <c r="L105" t="s">
        <v>63</v>
      </c>
      <c r="M105">
        <v>6.4853087307581054</v>
      </c>
      <c r="N105" t="s">
        <v>64</v>
      </c>
      <c r="O105" t="s">
        <v>65</v>
      </c>
      <c r="P105" t="s">
        <v>864</v>
      </c>
      <c r="R105" t="s">
        <v>61</v>
      </c>
      <c r="S105" t="s">
        <v>858</v>
      </c>
      <c r="T105" t="s">
        <v>865</v>
      </c>
      <c r="U105" t="s">
        <v>120</v>
      </c>
      <c r="V105" t="s">
        <v>765</v>
      </c>
      <c r="W105" t="s">
        <v>858</v>
      </c>
      <c r="X105" t="s">
        <v>41</v>
      </c>
      <c r="Y105" t="s">
        <v>803</v>
      </c>
      <c r="Z105" t="s">
        <v>656</v>
      </c>
      <c r="AC105">
        <v>797.48097227301173</v>
      </c>
      <c r="AD105">
        <v>26245.218269083322</v>
      </c>
    </row>
    <row r="106" spans="1:30" hidden="1" x14ac:dyDescent="0.25">
      <c r="A106">
        <v>105</v>
      </c>
      <c r="B106" t="s">
        <v>872</v>
      </c>
      <c r="C106" t="s">
        <v>376</v>
      </c>
      <c r="D106">
        <v>11.7</v>
      </c>
      <c r="E106" t="s">
        <v>72</v>
      </c>
      <c r="F106" t="s">
        <v>40</v>
      </c>
      <c r="G106" t="s">
        <v>41</v>
      </c>
      <c r="H106" t="s">
        <v>714</v>
      </c>
      <c r="I106" t="s">
        <v>715</v>
      </c>
      <c r="J106" t="s">
        <v>863</v>
      </c>
      <c r="K106" t="s">
        <v>62</v>
      </c>
      <c r="L106" t="s">
        <v>63</v>
      </c>
      <c r="M106">
        <v>11.88818880593341</v>
      </c>
      <c r="N106" t="s">
        <v>64</v>
      </c>
      <c r="O106" t="s">
        <v>65</v>
      </c>
      <c r="P106" t="s">
        <v>864</v>
      </c>
      <c r="R106" t="s">
        <v>61</v>
      </c>
      <c r="S106" t="s">
        <v>860</v>
      </c>
      <c r="T106" t="s">
        <v>865</v>
      </c>
      <c r="U106" t="s">
        <v>120</v>
      </c>
      <c r="V106" t="s">
        <v>765</v>
      </c>
      <c r="W106" t="s">
        <v>858</v>
      </c>
      <c r="X106" t="s">
        <v>41</v>
      </c>
      <c r="Y106" t="s">
        <v>803</v>
      </c>
      <c r="Z106" t="s">
        <v>656</v>
      </c>
      <c r="AC106">
        <v>996.44495404466409</v>
      </c>
      <c r="AD106">
        <v>48109.985659745609</v>
      </c>
    </row>
    <row r="107" spans="1:30" hidden="1" x14ac:dyDescent="0.25">
      <c r="A107">
        <v>106</v>
      </c>
      <c r="B107" t="s">
        <v>873</v>
      </c>
      <c r="C107" t="s">
        <v>376</v>
      </c>
      <c r="D107">
        <v>1</v>
      </c>
      <c r="E107" t="s">
        <v>72</v>
      </c>
      <c r="F107" t="s">
        <v>40</v>
      </c>
      <c r="G107" t="s">
        <v>41</v>
      </c>
      <c r="H107" t="s">
        <v>714</v>
      </c>
      <c r="I107" t="s">
        <v>715</v>
      </c>
      <c r="J107" t="s">
        <v>863</v>
      </c>
      <c r="K107" t="s">
        <v>62</v>
      </c>
      <c r="L107" t="s">
        <v>63</v>
      </c>
      <c r="M107">
        <v>0.73288673749414113</v>
      </c>
      <c r="N107" t="s">
        <v>64</v>
      </c>
      <c r="O107" t="s">
        <v>65</v>
      </c>
      <c r="P107" t="s">
        <v>864</v>
      </c>
      <c r="R107" t="s">
        <v>61</v>
      </c>
      <c r="S107" t="s">
        <v>858</v>
      </c>
      <c r="T107" t="s">
        <v>865</v>
      </c>
      <c r="U107" t="s">
        <v>120</v>
      </c>
      <c r="V107" t="s">
        <v>765</v>
      </c>
      <c r="W107" t="s">
        <v>858</v>
      </c>
      <c r="X107" t="s">
        <v>41</v>
      </c>
      <c r="Y107" t="s">
        <v>803</v>
      </c>
      <c r="Z107" t="s">
        <v>656</v>
      </c>
      <c r="AC107">
        <v>237.54068124079649</v>
      </c>
      <c r="AD107">
        <v>2965.89926410514</v>
      </c>
    </row>
    <row r="108" spans="1:30" x14ac:dyDescent="0.25">
      <c r="A108">
        <v>107</v>
      </c>
      <c r="B108" t="s">
        <v>874</v>
      </c>
      <c r="C108" t="s">
        <v>376</v>
      </c>
      <c r="D108">
        <v>9.3000000000000007</v>
      </c>
      <c r="E108" t="s">
        <v>72</v>
      </c>
      <c r="F108" t="s">
        <v>40</v>
      </c>
      <c r="G108" t="s">
        <v>41</v>
      </c>
      <c r="H108" t="s">
        <v>714</v>
      </c>
      <c r="I108" t="s">
        <v>715</v>
      </c>
      <c r="J108" t="s">
        <v>798</v>
      </c>
      <c r="K108" t="s">
        <v>402</v>
      </c>
      <c r="L108" t="s">
        <v>403</v>
      </c>
      <c r="M108">
        <v>8.2115714726962263</v>
      </c>
      <c r="N108">
        <v>0</v>
      </c>
      <c r="O108" t="s">
        <v>38</v>
      </c>
      <c r="P108" t="s">
        <v>57</v>
      </c>
      <c r="R108" t="s">
        <v>76</v>
      </c>
      <c r="T108" t="s">
        <v>875</v>
      </c>
      <c r="U108" t="s">
        <v>120</v>
      </c>
      <c r="V108" t="s">
        <v>765</v>
      </c>
      <c r="W108" t="s">
        <v>860</v>
      </c>
      <c r="X108" t="s">
        <v>41</v>
      </c>
      <c r="Y108" t="s">
        <v>876</v>
      </c>
      <c r="Z108" t="s">
        <v>422</v>
      </c>
      <c r="AC108">
        <v>842.7968049459339</v>
      </c>
      <c r="AD108">
        <v>33231.183676879133</v>
      </c>
    </row>
    <row r="109" spans="1:30" x14ac:dyDescent="0.25">
      <c r="A109">
        <v>108</v>
      </c>
      <c r="B109" t="s">
        <v>877</v>
      </c>
      <c r="C109" t="s">
        <v>376</v>
      </c>
      <c r="D109">
        <v>3.3</v>
      </c>
      <c r="E109" t="s">
        <v>72</v>
      </c>
      <c r="F109" t="s">
        <v>40</v>
      </c>
      <c r="G109" t="s">
        <v>41</v>
      </c>
      <c r="H109" t="s">
        <v>714</v>
      </c>
      <c r="I109" t="s">
        <v>715</v>
      </c>
      <c r="K109" t="s">
        <v>402</v>
      </c>
      <c r="L109" t="s">
        <v>403</v>
      </c>
      <c r="M109">
        <v>3.2054669386734078</v>
      </c>
      <c r="N109">
        <v>0</v>
      </c>
      <c r="O109" t="s">
        <v>38</v>
      </c>
      <c r="P109" t="s">
        <v>57</v>
      </c>
      <c r="R109" t="s">
        <v>61</v>
      </c>
      <c r="U109" t="s">
        <v>120</v>
      </c>
      <c r="V109" t="s">
        <v>765</v>
      </c>
      <c r="W109" t="s">
        <v>860</v>
      </c>
      <c r="X109" t="s">
        <v>41</v>
      </c>
      <c r="Y109" t="s">
        <v>878</v>
      </c>
      <c r="Z109" t="s">
        <v>317</v>
      </c>
      <c r="AC109">
        <v>490.87432555314962</v>
      </c>
      <c r="AD109">
        <v>12972.11635597488</v>
      </c>
    </row>
    <row r="110" spans="1:30" x14ac:dyDescent="0.25">
      <c r="A110">
        <v>109</v>
      </c>
      <c r="B110" t="s">
        <v>879</v>
      </c>
      <c r="C110" t="s">
        <v>376</v>
      </c>
      <c r="D110">
        <v>17.600000000000001</v>
      </c>
      <c r="E110" t="s">
        <v>72</v>
      </c>
      <c r="F110" t="s">
        <v>40</v>
      </c>
      <c r="G110" t="s">
        <v>41</v>
      </c>
      <c r="H110" t="s">
        <v>714</v>
      </c>
      <c r="I110" t="s">
        <v>715</v>
      </c>
      <c r="J110" t="s">
        <v>863</v>
      </c>
      <c r="K110" t="s">
        <v>880</v>
      </c>
      <c r="L110" t="s">
        <v>881</v>
      </c>
      <c r="M110">
        <v>18.08307157559241</v>
      </c>
      <c r="N110">
        <v>0</v>
      </c>
      <c r="O110" t="s">
        <v>38</v>
      </c>
      <c r="P110" t="s">
        <v>57</v>
      </c>
      <c r="R110" t="s">
        <v>61</v>
      </c>
      <c r="T110" t="s">
        <v>865</v>
      </c>
      <c r="U110" t="s">
        <v>120</v>
      </c>
      <c r="V110" t="s">
        <v>765</v>
      </c>
      <c r="W110" t="s">
        <v>858</v>
      </c>
      <c r="X110" t="s">
        <v>41</v>
      </c>
      <c r="Y110" t="s">
        <v>803</v>
      </c>
      <c r="Z110" t="s">
        <v>656</v>
      </c>
      <c r="AC110">
        <v>1161.8630496156411</v>
      </c>
      <c r="AD110">
        <v>73179.887061660571</v>
      </c>
    </row>
    <row r="111" spans="1:30" x14ac:dyDescent="0.25">
      <c r="A111">
        <v>110</v>
      </c>
      <c r="B111" t="s">
        <v>882</v>
      </c>
      <c r="C111" t="s">
        <v>376</v>
      </c>
      <c r="D111">
        <v>2.4</v>
      </c>
      <c r="E111" t="s">
        <v>72</v>
      </c>
      <c r="F111" t="s">
        <v>40</v>
      </c>
      <c r="G111" t="s">
        <v>41</v>
      </c>
      <c r="H111" t="s">
        <v>714</v>
      </c>
      <c r="I111" t="s">
        <v>715</v>
      </c>
      <c r="K111" t="s">
        <v>402</v>
      </c>
      <c r="L111" t="s">
        <v>403</v>
      </c>
      <c r="M111">
        <v>2.2424491803468949</v>
      </c>
      <c r="N111">
        <v>0</v>
      </c>
      <c r="O111" t="s">
        <v>38</v>
      </c>
      <c r="P111" t="s">
        <v>57</v>
      </c>
      <c r="R111" t="s">
        <v>61</v>
      </c>
      <c r="U111" t="s">
        <v>120</v>
      </c>
      <c r="V111" t="s">
        <v>765</v>
      </c>
      <c r="W111" t="s">
        <v>860</v>
      </c>
      <c r="X111" t="s">
        <v>41</v>
      </c>
      <c r="Y111" t="s">
        <v>878</v>
      </c>
      <c r="Z111" t="s">
        <v>317</v>
      </c>
      <c r="AC111">
        <v>501.19388883296921</v>
      </c>
      <c r="AD111">
        <v>9074.9061669808179</v>
      </c>
    </row>
    <row r="112" spans="1:30" x14ac:dyDescent="0.25">
      <c r="A112">
        <v>111</v>
      </c>
      <c r="B112" t="s">
        <v>883</v>
      </c>
      <c r="C112" t="s">
        <v>376</v>
      </c>
      <c r="D112">
        <v>0</v>
      </c>
      <c r="E112" t="s">
        <v>72</v>
      </c>
      <c r="F112" t="s">
        <v>40</v>
      </c>
      <c r="G112" t="s">
        <v>41</v>
      </c>
      <c r="H112" t="s">
        <v>714</v>
      </c>
      <c r="I112" t="s">
        <v>715</v>
      </c>
      <c r="J112" t="s">
        <v>57</v>
      </c>
      <c r="K112" t="s">
        <v>402</v>
      </c>
      <c r="L112" t="s">
        <v>403</v>
      </c>
      <c r="M112">
        <v>0.13283870042206669</v>
      </c>
      <c r="N112">
        <v>0</v>
      </c>
      <c r="O112" t="s">
        <v>38</v>
      </c>
      <c r="P112" t="s">
        <v>867</v>
      </c>
      <c r="R112" t="s">
        <v>61</v>
      </c>
      <c r="U112" t="s">
        <v>120</v>
      </c>
      <c r="V112" t="s">
        <v>765</v>
      </c>
      <c r="W112" t="s">
        <v>858</v>
      </c>
      <c r="X112" t="s">
        <v>41</v>
      </c>
      <c r="AC112">
        <v>119.0823814937665</v>
      </c>
      <c r="AD112">
        <v>537.58129826935283</v>
      </c>
    </row>
    <row r="113" spans="1:30" x14ac:dyDescent="0.25">
      <c r="A113">
        <v>112</v>
      </c>
      <c r="B113" t="s">
        <v>884</v>
      </c>
      <c r="C113" t="s">
        <v>376</v>
      </c>
      <c r="D113">
        <v>3.5</v>
      </c>
      <c r="E113" t="s">
        <v>72</v>
      </c>
      <c r="F113" t="s">
        <v>40</v>
      </c>
      <c r="G113" t="s">
        <v>41</v>
      </c>
      <c r="H113" t="s">
        <v>714</v>
      </c>
      <c r="I113" t="s">
        <v>715</v>
      </c>
      <c r="K113" t="s">
        <v>402</v>
      </c>
      <c r="L113" t="s">
        <v>403</v>
      </c>
      <c r="M113">
        <v>3.3217134052164718</v>
      </c>
      <c r="N113">
        <v>0</v>
      </c>
      <c r="O113" t="s">
        <v>38</v>
      </c>
      <c r="P113" t="s">
        <v>57</v>
      </c>
      <c r="R113" t="s">
        <v>61</v>
      </c>
      <c r="U113" t="s">
        <v>120</v>
      </c>
      <c r="V113" t="s">
        <v>765</v>
      </c>
      <c r="W113" t="s">
        <v>860</v>
      </c>
      <c r="X113" t="s">
        <v>41</v>
      </c>
      <c r="Y113" t="s">
        <v>878</v>
      </c>
      <c r="Z113" t="s">
        <v>317</v>
      </c>
      <c r="AC113">
        <v>485.2911751976186</v>
      </c>
      <c r="AD113">
        <v>13442.55099742267</v>
      </c>
    </row>
    <row r="114" spans="1:30" hidden="1" x14ac:dyDescent="0.25">
      <c r="A114">
        <v>113</v>
      </c>
      <c r="B114" t="s">
        <v>885</v>
      </c>
      <c r="C114" t="s">
        <v>376</v>
      </c>
      <c r="D114">
        <v>4.5</v>
      </c>
      <c r="E114" t="s">
        <v>72</v>
      </c>
      <c r="F114" t="s">
        <v>40</v>
      </c>
      <c r="G114" t="s">
        <v>41</v>
      </c>
      <c r="H114" t="s">
        <v>714</v>
      </c>
      <c r="I114" t="s">
        <v>715</v>
      </c>
      <c r="K114" t="s">
        <v>62</v>
      </c>
      <c r="L114" t="s">
        <v>63</v>
      </c>
      <c r="M114">
        <v>4.19275752188996</v>
      </c>
      <c r="N114" t="s">
        <v>64</v>
      </c>
      <c r="O114" t="s">
        <v>65</v>
      </c>
      <c r="P114" t="s">
        <v>57</v>
      </c>
      <c r="R114" t="s">
        <v>61</v>
      </c>
      <c r="U114" t="s">
        <v>120</v>
      </c>
      <c r="V114" t="s">
        <v>765</v>
      </c>
      <c r="W114" t="s">
        <v>860</v>
      </c>
      <c r="X114" t="s">
        <v>41</v>
      </c>
      <c r="Y114" t="s">
        <v>886</v>
      </c>
      <c r="Z114" t="s">
        <v>156</v>
      </c>
      <c r="AC114">
        <v>640.73846416152423</v>
      </c>
      <c r="AD114">
        <v>16967.555575180719</v>
      </c>
    </row>
    <row r="115" spans="1:30" hidden="1" x14ac:dyDescent="0.25">
      <c r="A115">
        <v>114</v>
      </c>
      <c r="B115" t="s">
        <v>887</v>
      </c>
      <c r="C115" t="s">
        <v>376</v>
      </c>
      <c r="D115">
        <v>1.2</v>
      </c>
      <c r="E115" t="s">
        <v>72</v>
      </c>
      <c r="F115" t="s">
        <v>40</v>
      </c>
      <c r="G115" t="s">
        <v>41</v>
      </c>
      <c r="H115" t="s">
        <v>714</v>
      </c>
      <c r="I115" t="s">
        <v>715</v>
      </c>
      <c r="K115" t="s">
        <v>62</v>
      </c>
      <c r="L115" t="s">
        <v>63</v>
      </c>
      <c r="M115">
        <v>0.87265193049539869</v>
      </c>
      <c r="N115" t="s">
        <v>64</v>
      </c>
      <c r="O115" t="s">
        <v>65</v>
      </c>
      <c r="P115" t="s">
        <v>57</v>
      </c>
      <c r="R115" t="s">
        <v>61</v>
      </c>
      <c r="U115" t="s">
        <v>120</v>
      </c>
      <c r="V115" t="s">
        <v>765</v>
      </c>
      <c r="W115" t="s">
        <v>860</v>
      </c>
      <c r="X115" t="s">
        <v>41</v>
      </c>
      <c r="Y115" t="s">
        <v>886</v>
      </c>
      <c r="Z115" t="s">
        <v>156</v>
      </c>
      <c r="AC115">
        <v>240.2595162921215</v>
      </c>
      <c r="AD115">
        <v>3531.5111954757181</v>
      </c>
    </row>
    <row r="116" spans="1:30" hidden="1" x14ac:dyDescent="0.25">
      <c r="A116">
        <v>115</v>
      </c>
      <c r="B116" t="s">
        <v>888</v>
      </c>
      <c r="C116" t="s">
        <v>376</v>
      </c>
      <c r="D116">
        <v>1.3</v>
      </c>
      <c r="E116" t="s">
        <v>72</v>
      </c>
      <c r="F116" t="s">
        <v>40</v>
      </c>
      <c r="G116" t="s">
        <v>41</v>
      </c>
      <c r="H116" t="s">
        <v>714</v>
      </c>
      <c r="I116" t="s">
        <v>715</v>
      </c>
      <c r="K116" t="s">
        <v>62</v>
      </c>
      <c r="L116" t="s">
        <v>63</v>
      </c>
      <c r="M116">
        <v>1.1884672925066291</v>
      </c>
      <c r="N116" t="s">
        <v>64</v>
      </c>
      <c r="O116" t="s">
        <v>65</v>
      </c>
      <c r="P116" t="s">
        <v>57</v>
      </c>
      <c r="R116" t="s">
        <v>61</v>
      </c>
      <c r="U116" t="s">
        <v>120</v>
      </c>
      <c r="V116" t="s">
        <v>765</v>
      </c>
      <c r="W116" t="s">
        <v>860</v>
      </c>
      <c r="X116" t="s">
        <v>41</v>
      </c>
      <c r="Y116" t="s">
        <v>878</v>
      </c>
      <c r="Z116" t="s">
        <v>317</v>
      </c>
      <c r="AC116">
        <v>380.66862188824348</v>
      </c>
      <c r="AD116">
        <v>4809.5757337764862</v>
      </c>
    </row>
    <row r="117" spans="1:30" x14ac:dyDescent="0.25">
      <c r="A117">
        <v>116</v>
      </c>
      <c r="B117" t="s">
        <v>889</v>
      </c>
      <c r="C117" t="s">
        <v>376</v>
      </c>
      <c r="D117">
        <v>17.600000000000001</v>
      </c>
      <c r="E117" t="s">
        <v>72</v>
      </c>
      <c r="F117" t="s">
        <v>40</v>
      </c>
      <c r="G117" t="s">
        <v>41</v>
      </c>
      <c r="H117" t="s">
        <v>714</v>
      </c>
      <c r="I117" t="s">
        <v>715</v>
      </c>
      <c r="J117" t="s">
        <v>57</v>
      </c>
      <c r="K117" t="s">
        <v>402</v>
      </c>
      <c r="L117" t="s">
        <v>403</v>
      </c>
      <c r="M117">
        <v>16.983177416569191</v>
      </c>
      <c r="N117">
        <v>0</v>
      </c>
      <c r="O117" t="s">
        <v>38</v>
      </c>
      <c r="P117" t="s">
        <v>890</v>
      </c>
      <c r="R117" t="s">
        <v>61</v>
      </c>
      <c r="U117" t="s">
        <v>120</v>
      </c>
      <c r="V117" t="s">
        <v>765</v>
      </c>
      <c r="W117" t="s">
        <v>858</v>
      </c>
      <c r="X117" t="s">
        <v>41</v>
      </c>
      <c r="Y117" t="s">
        <v>891</v>
      </c>
      <c r="AC117">
        <v>1163.1829497304659</v>
      </c>
      <c r="AD117">
        <v>68728.755515748795</v>
      </c>
    </row>
    <row r="118" spans="1:30" hidden="1" x14ac:dyDescent="0.25">
      <c r="A118">
        <v>117</v>
      </c>
      <c r="B118" t="s">
        <v>892</v>
      </c>
      <c r="C118" t="s">
        <v>376</v>
      </c>
      <c r="D118">
        <v>20.8</v>
      </c>
      <c r="E118" t="s">
        <v>72</v>
      </c>
      <c r="F118" t="s">
        <v>40</v>
      </c>
      <c r="G118" t="s">
        <v>41</v>
      </c>
      <c r="H118" t="s">
        <v>714</v>
      </c>
      <c r="I118" t="s">
        <v>715</v>
      </c>
      <c r="J118" t="s">
        <v>863</v>
      </c>
      <c r="K118" t="s">
        <v>113</v>
      </c>
      <c r="L118" t="s">
        <v>114</v>
      </c>
      <c r="M118">
        <v>14.53282542080955</v>
      </c>
      <c r="N118" t="s">
        <v>46</v>
      </c>
      <c r="O118" t="s">
        <v>47</v>
      </c>
      <c r="P118" t="s">
        <v>57</v>
      </c>
      <c r="R118" t="s">
        <v>61</v>
      </c>
      <c r="S118" t="s">
        <v>858</v>
      </c>
      <c r="T118" t="s">
        <v>893</v>
      </c>
      <c r="U118" t="s">
        <v>120</v>
      </c>
      <c r="V118" t="s">
        <v>765</v>
      </c>
      <c r="W118" t="s">
        <v>858</v>
      </c>
      <c r="X118" t="s">
        <v>41</v>
      </c>
      <c r="Y118" t="s">
        <v>803</v>
      </c>
      <c r="Z118" t="s">
        <v>656</v>
      </c>
      <c r="AC118">
        <v>1091.028120400558</v>
      </c>
      <c r="AD118">
        <v>58812.493139558421</v>
      </c>
    </row>
    <row r="119" spans="1:30" x14ac:dyDescent="0.25">
      <c r="A119">
        <v>118</v>
      </c>
      <c r="B119" t="s">
        <v>894</v>
      </c>
      <c r="C119" t="s">
        <v>376</v>
      </c>
      <c r="D119">
        <v>0.2</v>
      </c>
      <c r="E119" t="s">
        <v>72</v>
      </c>
      <c r="F119" t="s">
        <v>40</v>
      </c>
      <c r="G119" t="s">
        <v>41</v>
      </c>
      <c r="H119" t="s">
        <v>714</v>
      </c>
      <c r="I119" t="s">
        <v>715</v>
      </c>
      <c r="J119" t="s">
        <v>57</v>
      </c>
      <c r="K119" t="s">
        <v>402</v>
      </c>
      <c r="L119" t="s">
        <v>403</v>
      </c>
      <c r="M119">
        <v>0.15688521838553249</v>
      </c>
      <c r="N119">
        <v>0</v>
      </c>
      <c r="O119" t="s">
        <v>38</v>
      </c>
      <c r="P119" t="s">
        <v>825</v>
      </c>
      <c r="R119" t="s">
        <v>86</v>
      </c>
      <c r="U119" t="s">
        <v>120</v>
      </c>
      <c r="V119" t="s">
        <v>765</v>
      </c>
      <c r="W119" t="s">
        <v>860</v>
      </c>
      <c r="X119" t="s">
        <v>41</v>
      </c>
      <c r="AC119">
        <v>109.8412567250559</v>
      </c>
      <c r="AD119">
        <v>634.89449317855178</v>
      </c>
    </row>
    <row r="120" spans="1:30" x14ac:dyDescent="0.25">
      <c r="A120">
        <v>119</v>
      </c>
      <c r="B120" t="s">
        <v>895</v>
      </c>
      <c r="C120" t="s">
        <v>376</v>
      </c>
      <c r="D120">
        <v>0.1</v>
      </c>
      <c r="E120" t="s">
        <v>72</v>
      </c>
      <c r="F120" t="s">
        <v>40</v>
      </c>
      <c r="G120" t="s">
        <v>41</v>
      </c>
      <c r="H120" t="s">
        <v>714</v>
      </c>
      <c r="I120" t="s">
        <v>715</v>
      </c>
      <c r="K120" t="s">
        <v>141</v>
      </c>
      <c r="L120" t="s">
        <v>142</v>
      </c>
      <c r="M120">
        <v>8.3273856663540521E-2</v>
      </c>
      <c r="N120">
        <v>0</v>
      </c>
      <c r="O120" t="s">
        <v>38</v>
      </c>
      <c r="P120" t="s">
        <v>772</v>
      </c>
      <c r="R120" t="s">
        <v>86</v>
      </c>
      <c r="U120" t="s">
        <v>120</v>
      </c>
      <c r="V120" t="s">
        <v>765</v>
      </c>
      <c r="W120" t="s">
        <v>896</v>
      </c>
      <c r="X120" t="s">
        <v>41</v>
      </c>
      <c r="Y120" t="s">
        <v>897</v>
      </c>
      <c r="Z120" t="s">
        <v>898</v>
      </c>
      <c r="AC120">
        <v>73.629487402150971</v>
      </c>
      <c r="AD120">
        <v>336.99868965027662</v>
      </c>
    </row>
    <row r="121" spans="1:30" hidden="1" x14ac:dyDescent="0.25">
      <c r="A121">
        <v>120</v>
      </c>
      <c r="B121" t="s">
        <v>899</v>
      </c>
      <c r="C121" t="s">
        <v>376</v>
      </c>
      <c r="D121">
        <v>0.4</v>
      </c>
      <c r="E121" t="s">
        <v>72</v>
      </c>
      <c r="F121" t="s">
        <v>40</v>
      </c>
      <c r="G121" t="s">
        <v>41</v>
      </c>
      <c r="H121" t="s">
        <v>714</v>
      </c>
      <c r="I121" t="s">
        <v>715</v>
      </c>
      <c r="K121" t="s">
        <v>900</v>
      </c>
      <c r="L121" t="s">
        <v>901</v>
      </c>
      <c r="M121">
        <v>1.534955045055719</v>
      </c>
      <c r="N121" t="s">
        <v>46</v>
      </c>
      <c r="O121" t="s">
        <v>47</v>
      </c>
      <c r="P121" t="s">
        <v>902</v>
      </c>
      <c r="R121" t="s">
        <v>86</v>
      </c>
      <c r="U121" t="s">
        <v>120</v>
      </c>
      <c r="V121" t="s">
        <v>765</v>
      </c>
      <c r="W121" t="s">
        <v>896</v>
      </c>
      <c r="X121" t="s">
        <v>41</v>
      </c>
      <c r="Y121" t="s">
        <v>897</v>
      </c>
      <c r="Z121" t="s">
        <v>898</v>
      </c>
      <c r="AC121">
        <v>377.71772460704278</v>
      </c>
      <c r="AD121">
        <v>6211.7675292242857</v>
      </c>
    </row>
    <row r="122" spans="1:30" x14ac:dyDescent="0.25">
      <c r="A122">
        <v>121</v>
      </c>
      <c r="B122" t="s">
        <v>903</v>
      </c>
      <c r="C122" t="s">
        <v>376</v>
      </c>
      <c r="D122">
        <v>0.7</v>
      </c>
      <c r="E122" t="s">
        <v>72</v>
      </c>
      <c r="F122" t="s">
        <v>40</v>
      </c>
      <c r="G122" t="s">
        <v>41</v>
      </c>
      <c r="H122" t="s">
        <v>714</v>
      </c>
      <c r="I122" t="s">
        <v>715</v>
      </c>
      <c r="K122" t="s">
        <v>402</v>
      </c>
      <c r="L122" t="s">
        <v>403</v>
      </c>
      <c r="M122">
        <v>0.75055827020531451</v>
      </c>
      <c r="N122">
        <v>0</v>
      </c>
      <c r="O122" t="s">
        <v>38</v>
      </c>
      <c r="P122" t="s">
        <v>772</v>
      </c>
      <c r="R122" t="s">
        <v>86</v>
      </c>
      <c r="U122" t="s">
        <v>120</v>
      </c>
      <c r="V122" t="s">
        <v>765</v>
      </c>
      <c r="W122" t="s">
        <v>896</v>
      </c>
      <c r="X122" t="s">
        <v>41</v>
      </c>
      <c r="Y122" t="s">
        <v>897</v>
      </c>
      <c r="Z122" t="s">
        <v>898</v>
      </c>
      <c r="AC122">
        <v>220.49327700796661</v>
      </c>
      <c r="AD122">
        <v>3037.4137058084848</v>
      </c>
    </row>
    <row r="123" spans="1:30" x14ac:dyDescent="0.25">
      <c r="A123">
        <v>122</v>
      </c>
      <c r="B123" t="s">
        <v>904</v>
      </c>
      <c r="C123" t="s">
        <v>376</v>
      </c>
      <c r="D123">
        <v>0.4</v>
      </c>
      <c r="E123" t="s">
        <v>72</v>
      </c>
      <c r="F123" t="s">
        <v>40</v>
      </c>
      <c r="G123" t="s">
        <v>41</v>
      </c>
      <c r="H123" t="s">
        <v>714</v>
      </c>
      <c r="I123" t="s">
        <v>715</v>
      </c>
      <c r="K123" t="s">
        <v>402</v>
      </c>
      <c r="L123" t="s">
        <v>403</v>
      </c>
      <c r="M123">
        <v>0.42117714314176791</v>
      </c>
      <c r="N123">
        <v>0</v>
      </c>
      <c r="O123" t="s">
        <v>38</v>
      </c>
      <c r="P123" t="s">
        <v>825</v>
      </c>
      <c r="R123" t="s">
        <v>61</v>
      </c>
      <c r="T123" t="s">
        <v>865</v>
      </c>
      <c r="U123" t="s">
        <v>120</v>
      </c>
      <c r="V123" t="s">
        <v>765</v>
      </c>
      <c r="W123" t="s">
        <v>563</v>
      </c>
      <c r="X123" t="s">
        <v>41</v>
      </c>
      <c r="Y123" t="s">
        <v>891</v>
      </c>
      <c r="Z123" t="s">
        <v>656</v>
      </c>
      <c r="AC123">
        <v>170.21193798212741</v>
      </c>
      <c r="AD123">
        <v>1704.450244485507</v>
      </c>
    </row>
    <row r="124" spans="1:30" x14ac:dyDescent="0.25">
      <c r="A124">
        <v>123</v>
      </c>
      <c r="B124" t="s">
        <v>905</v>
      </c>
      <c r="C124" t="s">
        <v>376</v>
      </c>
      <c r="D124">
        <v>0.7</v>
      </c>
      <c r="E124" t="s">
        <v>72</v>
      </c>
      <c r="F124" t="s">
        <v>40</v>
      </c>
      <c r="G124" t="s">
        <v>41</v>
      </c>
      <c r="H124" t="s">
        <v>714</v>
      </c>
      <c r="I124" t="s">
        <v>715</v>
      </c>
      <c r="J124" t="s">
        <v>57</v>
      </c>
      <c r="K124" t="s">
        <v>906</v>
      </c>
      <c r="L124" t="s">
        <v>671</v>
      </c>
      <c r="M124">
        <v>0.6313190000371196</v>
      </c>
      <c r="N124">
        <v>0</v>
      </c>
      <c r="O124" t="s">
        <v>38</v>
      </c>
      <c r="P124" t="s">
        <v>825</v>
      </c>
      <c r="R124" t="s">
        <v>86</v>
      </c>
      <c r="U124" t="s">
        <v>120</v>
      </c>
      <c r="V124" t="s">
        <v>765</v>
      </c>
      <c r="W124" t="s">
        <v>896</v>
      </c>
      <c r="X124" t="s">
        <v>41</v>
      </c>
      <c r="Y124" t="s">
        <v>897</v>
      </c>
      <c r="AC124">
        <v>231.093805041645</v>
      </c>
      <c r="AD124">
        <v>2554.8675693434211</v>
      </c>
    </row>
    <row r="125" spans="1:30" x14ac:dyDescent="0.25">
      <c r="A125">
        <v>124</v>
      </c>
      <c r="B125" t="s">
        <v>907</v>
      </c>
      <c r="C125" t="s">
        <v>376</v>
      </c>
      <c r="D125">
        <v>15</v>
      </c>
      <c r="E125" t="s">
        <v>72</v>
      </c>
      <c r="F125" t="s">
        <v>40</v>
      </c>
      <c r="G125" t="s">
        <v>41</v>
      </c>
      <c r="H125" t="s">
        <v>714</v>
      </c>
      <c r="I125" t="s">
        <v>715</v>
      </c>
      <c r="J125" t="s">
        <v>863</v>
      </c>
      <c r="K125" t="s">
        <v>402</v>
      </c>
      <c r="L125" t="s">
        <v>403</v>
      </c>
      <c r="M125">
        <v>9.3722552135816137</v>
      </c>
      <c r="N125">
        <v>0</v>
      </c>
      <c r="O125" t="s">
        <v>38</v>
      </c>
      <c r="P125" t="s">
        <v>908</v>
      </c>
      <c r="R125" t="s">
        <v>86</v>
      </c>
      <c r="T125" t="s">
        <v>909</v>
      </c>
      <c r="U125" t="s">
        <v>120</v>
      </c>
      <c r="V125" t="s">
        <v>765</v>
      </c>
      <c r="W125" t="s">
        <v>896</v>
      </c>
      <c r="X125" t="s">
        <v>41</v>
      </c>
      <c r="Y125" t="s">
        <v>910</v>
      </c>
      <c r="Z125" t="s">
        <v>911</v>
      </c>
      <c r="AC125">
        <v>1756.725042588077</v>
      </c>
      <c r="AD125">
        <v>37928.322916594589</v>
      </c>
    </row>
    <row r="126" spans="1:30" x14ac:dyDescent="0.25">
      <c r="A126">
        <v>125</v>
      </c>
      <c r="B126" t="s">
        <v>912</v>
      </c>
      <c r="C126" t="s">
        <v>376</v>
      </c>
      <c r="D126">
        <v>14</v>
      </c>
      <c r="E126" t="s">
        <v>72</v>
      </c>
      <c r="F126" t="s">
        <v>40</v>
      </c>
      <c r="G126" t="s">
        <v>41</v>
      </c>
      <c r="H126" t="s">
        <v>714</v>
      </c>
      <c r="I126" t="s">
        <v>715</v>
      </c>
      <c r="K126" t="s">
        <v>402</v>
      </c>
      <c r="L126" t="s">
        <v>403</v>
      </c>
      <c r="M126">
        <v>12.65874370007054</v>
      </c>
      <c r="N126">
        <v>0</v>
      </c>
      <c r="O126" t="s">
        <v>38</v>
      </c>
      <c r="P126" t="s">
        <v>57</v>
      </c>
      <c r="R126" t="s">
        <v>86</v>
      </c>
      <c r="U126" t="s">
        <v>120</v>
      </c>
      <c r="V126" t="s">
        <v>765</v>
      </c>
      <c r="W126" t="s">
        <v>896</v>
      </c>
      <c r="X126" t="s">
        <v>41</v>
      </c>
      <c r="Y126" t="s">
        <v>897</v>
      </c>
      <c r="Z126" t="s">
        <v>898</v>
      </c>
      <c r="AC126">
        <v>1173.6729608552189</v>
      </c>
      <c r="AD126">
        <v>51228.323155233717</v>
      </c>
    </row>
    <row r="127" spans="1:30" hidden="1" x14ac:dyDescent="0.25">
      <c r="A127">
        <v>126</v>
      </c>
      <c r="B127" t="s">
        <v>913</v>
      </c>
      <c r="C127" t="s">
        <v>376</v>
      </c>
      <c r="D127">
        <v>22.1999999999999</v>
      </c>
      <c r="E127" t="s">
        <v>72</v>
      </c>
      <c r="F127" t="s">
        <v>40</v>
      </c>
      <c r="G127" t="s">
        <v>41</v>
      </c>
      <c r="H127" t="s">
        <v>714</v>
      </c>
      <c r="I127" t="s">
        <v>715</v>
      </c>
      <c r="J127" t="s">
        <v>914</v>
      </c>
      <c r="K127" t="s">
        <v>62</v>
      </c>
      <c r="L127" t="s">
        <v>63</v>
      </c>
      <c r="M127">
        <v>21.89161301032528</v>
      </c>
      <c r="N127" t="s">
        <v>64</v>
      </c>
      <c r="O127" t="s">
        <v>65</v>
      </c>
      <c r="P127" t="s">
        <v>57</v>
      </c>
      <c r="R127" t="s">
        <v>86</v>
      </c>
      <c r="T127" t="s">
        <v>915</v>
      </c>
      <c r="U127" t="s">
        <v>120</v>
      </c>
      <c r="V127" t="s">
        <v>765</v>
      </c>
      <c r="W127" t="s">
        <v>896</v>
      </c>
      <c r="X127" t="s">
        <v>41</v>
      </c>
      <c r="Y127" t="s">
        <v>897</v>
      </c>
      <c r="Z127" t="s">
        <v>752</v>
      </c>
      <c r="AC127">
        <v>1187.4693951462759</v>
      </c>
      <c r="AD127">
        <v>88592.569077452179</v>
      </c>
    </row>
    <row r="128" spans="1:30" x14ac:dyDescent="0.25">
      <c r="A128">
        <v>127</v>
      </c>
      <c r="B128" t="s">
        <v>916</v>
      </c>
      <c r="C128" t="s">
        <v>376</v>
      </c>
      <c r="D128">
        <v>2</v>
      </c>
      <c r="E128" t="s">
        <v>72</v>
      </c>
      <c r="F128" t="s">
        <v>40</v>
      </c>
      <c r="G128" t="s">
        <v>41</v>
      </c>
      <c r="H128" t="s">
        <v>714</v>
      </c>
      <c r="I128" t="s">
        <v>715</v>
      </c>
      <c r="K128" t="s">
        <v>402</v>
      </c>
      <c r="L128" t="s">
        <v>403</v>
      </c>
      <c r="M128">
        <v>1.3161546903637411</v>
      </c>
      <c r="N128">
        <v>0</v>
      </c>
      <c r="O128" t="s">
        <v>38</v>
      </c>
      <c r="P128" t="s">
        <v>917</v>
      </c>
      <c r="R128" t="s">
        <v>86</v>
      </c>
      <c r="U128" t="s">
        <v>120</v>
      </c>
      <c r="V128" t="s">
        <v>765</v>
      </c>
      <c r="W128" t="s">
        <v>712</v>
      </c>
      <c r="X128" t="s">
        <v>41</v>
      </c>
      <c r="Y128" t="s">
        <v>897</v>
      </c>
      <c r="Z128" t="s">
        <v>317</v>
      </c>
      <c r="AC128">
        <v>574.47593258699931</v>
      </c>
      <c r="AD128">
        <v>5326.3103667905489</v>
      </c>
    </row>
    <row r="129" spans="1:30" x14ac:dyDescent="0.25">
      <c r="A129">
        <v>128</v>
      </c>
      <c r="B129" t="s">
        <v>918</v>
      </c>
      <c r="C129" t="s">
        <v>376</v>
      </c>
      <c r="D129">
        <v>16.100000000000001</v>
      </c>
      <c r="E129" t="s">
        <v>72</v>
      </c>
      <c r="F129" t="s">
        <v>40</v>
      </c>
      <c r="G129" t="s">
        <v>41</v>
      </c>
      <c r="H129" t="s">
        <v>714</v>
      </c>
      <c r="I129" t="s">
        <v>715</v>
      </c>
      <c r="J129" t="s">
        <v>863</v>
      </c>
      <c r="K129" t="s">
        <v>402</v>
      </c>
      <c r="L129" t="s">
        <v>403</v>
      </c>
      <c r="M129">
        <v>15.05572878814961</v>
      </c>
      <c r="N129">
        <v>0</v>
      </c>
      <c r="O129" t="s">
        <v>38</v>
      </c>
      <c r="P129" t="s">
        <v>908</v>
      </c>
      <c r="R129" t="s">
        <v>86</v>
      </c>
      <c r="T129" t="s">
        <v>909</v>
      </c>
      <c r="U129" t="s">
        <v>120</v>
      </c>
      <c r="V129" t="s">
        <v>765</v>
      </c>
      <c r="W129" t="s">
        <v>896</v>
      </c>
      <c r="X129" t="s">
        <v>41</v>
      </c>
      <c r="Y129" t="s">
        <v>910</v>
      </c>
      <c r="Z129" t="s">
        <v>911</v>
      </c>
      <c r="AC129">
        <v>1158.8531602816311</v>
      </c>
      <c r="AD129">
        <v>60928.616454457922</v>
      </c>
    </row>
    <row r="130" spans="1:30" x14ac:dyDescent="0.25">
      <c r="A130">
        <v>129</v>
      </c>
      <c r="B130" t="s">
        <v>919</v>
      </c>
      <c r="C130" t="s">
        <v>376</v>
      </c>
      <c r="D130">
        <v>4.5999999999999996</v>
      </c>
      <c r="E130" t="s">
        <v>72</v>
      </c>
      <c r="F130" t="s">
        <v>40</v>
      </c>
      <c r="G130" t="s">
        <v>41</v>
      </c>
      <c r="H130" t="s">
        <v>714</v>
      </c>
      <c r="I130" t="s">
        <v>715</v>
      </c>
      <c r="J130" t="s">
        <v>731</v>
      </c>
      <c r="K130" t="s">
        <v>402</v>
      </c>
      <c r="L130" t="s">
        <v>403</v>
      </c>
      <c r="M130">
        <v>4.6396067958364036</v>
      </c>
      <c r="N130">
        <v>0</v>
      </c>
      <c r="O130" t="s">
        <v>38</v>
      </c>
      <c r="P130" t="s">
        <v>745</v>
      </c>
      <c r="R130" t="s">
        <v>73</v>
      </c>
      <c r="T130" t="s">
        <v>760</v>
      </c>
      <c r="U130" t="s">
        <v>48</v>
      </c>
      <c r="V130" t="s">
        <v>719</v>
      </c>
      <c r="W130" t="s">
        <v>60</v>
      </c>
      <c r="X130" t="s">
        <v>41</v>
      </c>
      <c r="Y130" t="s">
        <v>724</v>
      </c>
      <c r="Z130" t="s">
        <v>733</v>
      </c>
      <c r="AC130">
        <v>645.43629993339619</v>
      </c>
      <c r="AD130">
        <v>18775.897662656789</v>
      </c>
    </row>
    <row r="131" spans="1:30" x14ac:dyDescent="0.25">
      <c r="A131">
        <v>130</v>
      </c>
      <c r="B131" t="s">
        <v>920</v>
      </c>
      <c r="C131" t="s">
        <v>376</v>
      </c>
      <c r="D131">
        <v>0.1</v>
      </c>
      <c r="E131" t="s">
        <v>72</v>
      </c>
      <c r="F131" t="s">
        <v>40</v>
      </c>
      <c r="G131" t="s">
        <v>41</v>
      </c>
      <c r="H131" t="s">
        <v>714</v>
      </c>
      <c r="I131" t="s">
        <v>715</v>
      </c>
      <c r="J131" t="s">
        <v>731</v>
      </c>
      <c r="K131" t="s">
        <v>402</v>
      </c>
      <c r="L131" t="s">
        <v>403</v>
      </c>
      <c r="M131">
        <v>0.1003521347719117</v>
      </c>
      <c r="N131">
        <v>0</v>
      </c>
      <c r="O131" t="s">
        <v>38</v>
      </c>
      <c r="P131" t="s">
        <v>745</v>
      </c>
      <c r="R131" t="s">
        <v>73</v>
      </c>
      <c r="T131" t="s">
        <v>760</v>
      </c>
      <c r="U131" t="s">
        <v>48</v>
      </c>
      <c r="V131" t="s">
        <v>719</v>
      </c>
      <c r="W131" t="s">
        <v>60</v>
      </c>
      <c r="X131" t="s">
        <v>41</v>
      </c>
      <c r="Y131" t="s">
        <v>724</v>
      </c>
      <c r="Z131" t="s">
        <v>733</v>
      </c>
      <c r="AC131">
        <v>105.8296212608228</v>
      </c>
      <c r="AD131">
        <v>406.11230555085888</v>
      </c>
    </row>
    <row r="132" spans="1:30" x14ac:dyDescent="0.25">
      <c r="A132">
        <v>131</v>
      </c>
      <c r="B132" t="s">
        <v>921</v>
      </c>
      <c r="C132" t="s">
        <v>376</v>
      </c>
      <c r="D132">
        <v>0.5</v>
      </c>
      <c r="E132" t="s">
        <v>72</v>
      </c>
      <c r="F132" t="s">
        <v>40</v>
      </c>
      <c r="G132" t="s">
        <v>41</v>
      </c>
      <c r="H132" t="s">
        <v>714</v>
      </c>
      <c r="I132" t="s">
        <v>715</v>
      </c>
      <c r="J132" t="s">
        <v>757</v>
      </c>
      <c r="K132" t="s">
        <v>402</v>
      </c>
      <c r="L132" t="s">
        <v>403</v>
      </c>
      <c r="M132">
        <v>0.42116514305942571</v>
      </c>
      <c r="N132">
        <v>0</v>
      </c>
      <c r="O132" t="s">
        <v>38</v>
      </c>
      <c r="P132" t="s">
        <v>742</v>
      </c>
      <c r="R132" t="s">
        <v>60</v>
      </c>
      <c r="T132" t="s">
        <v>763</v>
      </c>
      <c r="U132" t="s">
        <v>48</v>
      </c>
      <c r="V132" t="s">
        <v>719</v>
      </c>
      <c r="W132" t="s">
        <v>73</v>
      </c>
      <c r="X132" t="s">
        <v>41</v>
      </c>
      <c r="Y132" t="s">
        <v>724</v>
      </c>
      <c r="Z132" t="s">
        <v>758</v>
      </c>
      <c r="AC132">
        <v>164.5849678827166</v>
      </c>
      <c r="AD132">
        <v>1704.401681680961</v>
      </c>
    </row>
    <row r="133" spans="1:30" hidden="1" x14ac:dyDescent="0.25">
      <c r="A133">
        <v>132</v>
      </c>
      <c r="B133" t="s">
        <v>922</v>
      </c>
      <c r="C133" t="s">
        <v>376</v>
      </c>
      <c r="D133">
        <v>0.2</v>
      </c>
      <c r="E133" t="s">
        <v>72</v>
      </c>
      <c r="F133" t="s">
        <v>40</v>
      </c>
      <c r="G133" t="s">
        <v>41</v>
      </c>
      <c r="H133" t="s">
        <v>714</v>
      </c>
      <c r="I133" t="s">
        <v>715</v>
      </c>
      <c r="J133" t="s">
        <v>837</v>
      </c>
      <c r="K133" t="s">
        <v>62</v>
      </c>
      <c r="L133" t="s">
        <v>63</v>
      </c>
      <c r="M133">
        <v>0.14913675141212351</v>
      </c>
      <c r="N133" t="s">
        <v>64</v>
      </c>
      <c r="O133" t="s">
        <v>65</v>
      </c>
      <c r="P133" t="s">
        <v>57</v>
      </c>
      <c r="R133" t="s">
        <v>76</v>
      </c>
      <c r="U133" t="s">
        <v>120</v>
      </c>
      <c r="V133" t="s">
        <v>765</v>
      </c>
      <c r="W133" t="s">
        <v>124</v>
      </c>
      <c r="X133" t="s">
        <v>41</v>
      </c>
      <c r="Y133" t="s">
        <v>838</v>
      </c>
      <c r="Z133" t="s">
        <v>399</v>
      </c>
      <c r="AC133">
        <v>98.016730816504278</v>
      </c>
      <c r="AD133">
        <v>603.53743441534789</v>
      </c>
    </row>
    <row r="134" spans="1:30" hidden="1" x14ac:dyDescent="0.25">
      <c r="A134">
        <v>133</v>
      </c>
      <c r="B134" t="s">
        <v>923</v>
      </c>
      <c r="C134" t="s">
        <v>376</v>
      </c>
      <c r="D134">
        <v>1.2</v>
      </c>
      <c r="E134" t="s">
        <v>72</v>
      </c>
      <c r="F134" t="s">
        <v>40</v>
      </c>
      <c r="G134" t="s">
        <v>41</v>
      </c>
      <c r="H134" t="s">
        <v>714</v>
      </c>
      <c r="I134" t="s">
        <v>715</v>
      </c>
      <c r="J134" t="s">
        <v>837</v>
      </c>
      <c r="K134" t="s">
        <v>62</v>
      </c>
      <c r="L134" t="s">
        <v>63</v>
      </c>
      <c r="M134">
        <v>0.9296316946149713</v>
      </c>
      <c r="N134" t="s">
        <v>64</v>
      </c>
      <c r="O134" t="s">
        <v>65</v>
      </c>
      <c r="P134" t="s">
        <v>57</v>
      </c>
      <c r="R134" t="s">
        <v>76</v>
      </c>
      <c r="U134" t="s">
        <v>120</v>
      </c>
      <c r="V134" t="s">
        <v>765</v>
      </c>
      <c r="W134" t="s">
        <v>124</v>
      </c>
      <c r="X134" t="s">
        <v>41</v>
      </c>
      <c r="Y134" t="s">
        <v>838</v>
      </c>
      <c r="Z134" t="s">
        <v>399</v>
      </c>
      <c r="AC134">
        <v>376.97502977892469</v>
      </c>
      <c r="AD134">
        <v>3762.1010422083118</v>
      </c>
    </row>
    <row r="135" spans="1:30" hidden="1" x14ac:dyDescent="0.25">
      <c r="A135">
        <v>134</v>
      </c>
      <c r="B135" t="s">
        <v>924</v>
      </c>
      <c r="C135" t="s">
        <v>376</v>
      </c>
      <c r="D135">
        <v>8.8000000000000007</v>
      </c>
      <c r="E135" t="s">
        <v>72</v>
      </c>
      <c r="F135" t="s">
        <v>40</v>
      </c>
      <c r="G135" t="s">
        <v>41</v>
      </c>
      <c r="H135" t="s">
        <v>714</v>
      </c>
      <c r="I135" t="s">
        <v>715</v>
      </c>
      <c r="J135" t="s">
        <v>798</v>
      </c>
      <c r="K135" t="s">
        <v>62</v>
      </c>
      <c r="L135" t="s">
        <v>63</v>
      </c>
      <c r="M135">
        <v>8.3953811992052589</v>
      </c>
      <c r="N135" t="s">
        <v>64</v>
      </c>
      <c r="O135" t="s">
        <v>65</v>
      </c>
      <c r="P135" t="s">
        <v>57</v>
      </c>
      <c r="R135" t="s">
        <v>76</v>
      </c>
      <c r="T135" t="s">
        <v>799</v>
      </c>
      <c r="U135" t="s">
        <v>120</v>
      </c>
      <c r="V135" t="s">
        <v>765</v>
      </c>
      <c r="W135" t="s">
        <v>124</v>
      </c>
      <c r="X135" t="s">
        <v>41</v>
      </c>
      <c r="Y135" t="s">
        <v>724</v>
      </c>
      <c r="Z135" t="s">
        <v>422</v>
      </c>
      <c r="AC135">
        <v>895.6427926869394</v>
      </c>
      <c r="AD135">
        <v>33975.038224517011</v>
      </c>
    </row>
    <row r="136" spans="1:30" hidden="1" x14ac:dyDescent="0.25">
      <c r="A136">
        <v>135</v>
      </c>
      <c r="B136" t="s">
        <v>925</v>
      </c>
      <c r="C136" t="s">
        <v>376</v>
      </c>
      <c r="D136">
        <v>9.1</v>
      </c>
      <c r="E136" t="s">
        <v>72</v>
      </c>
      <c r="F136" t="s">
        <v>40</v>
      </c>
      <c r="G136" t="s">
        <v>41</v>
      </c>
      <c r="H136" t="s">
        <v>714</v>
      </c>
      <c r="I136" t="s">
        <v>715</v>
      </c>
      <c r="J136" t="s">
        <v>798</v>
      </c>
      <c r="K136" t="s">
        <v>62</v>
      </c>
      <c r="L136" t="s">
        <v>63</v>
      </c>
      <c r="M136">
        <v>8.5241664681930089</v>
      </c>
      <c r="N136" t="s">
        <v>64</v>
      </c>
      <c r="O136" t="s">
        <v>65</v>
      </c>
      <c r="P136" t="s">
        <v>57</v>
      </c>
      <c r="R136" t="s">
        <v>76</v>
      </c>
      <c r="T136" t="s">
        <v>799</v>
      </c>
      <c r="U136" t="s">
        <v>120</v>
      </c>
      <c r="V136" t="s">
        <v>765</v>
      </c>
      <c r="W136" t="s">
        <v>124</v>
      </c>
      <c r="X136" t="s">
        <v>41</v>
      </c>
      <c r="Y136" t="s">
        <v>724</v>
      </c>
      <c r="Z136" t="s">
        <v>422</v>
      </c>
      <c r="AC136">
        <v>807.20015959251543</v>
      </c>
      <c r="AD136">
        <v>34496.215802138817</v>
      </c>
    </row>
    <row r="137" spans="1:30" hidden="1" x14ac:dyDescent="0.25">
      <c r="A137">
        <v>136</v>
      </c>
      <c r="B137" t="s">
        <v>926</v>
      </c>
      <c r="C137" t="s">
        <v>376</v>
      </c>
      <c r="D137">
        <v>0.7</v>
      </c>
      <c r="E137" t="s">
        <v>72</v>
      </c>
      <c r="F137" t="s">
        <v>40</v>
      </c>
      <c r="G137" t="s">
        <v>41</v>
      </c>
      <c r="H137" t="s">
        <v>714</v>
      </c>
      <c r="I137" t="s">
        <v>715</v>
      </c>
      <c r="J137" t="s">
        <v>798</v>
      </c>
      <c r="K137" t="s">
        <v>62</v>
      </c>
      <c r="L137" t="s">
        <v>63</v>
      </c>
      <c r="M137">
        <v>0.58040240244743657</v>
      </c>
      <c r="N137" t="s">
        <v>64</v>
      </c>
      <c r="O137" t="s">
        <v>65</v>
      </c>
      <c r="P137" t="s">
        <v>57</v>
      </c>
      <c r="R137" t="s">
        <v>76</v>
      </c>
      <c r="T137" t="s">
        <v>799</v>
      </c>
      <c r="U137" t="s">
        <v>120</v>
      </c>
      <c r="V137" t="s">
        <v>765</v>
      </c>
      <c r="W137" t="s">
        <v>124</v>
      </c>
      <c r="X137" t="s">
        <v>41</v>
      </c>
      <c r="Y137" t="s">
        <v>724</v>
      </c>
      <c r="Z137" t="s">
        <v>422</v>
      </c>
      <c r="AC137">
        <v>244.08913677605659</v>
      </c>
      <c r="AD137">
        <v>2348.8145851697441</v>
      </c>
    </row>
    <row r="138" spans="1:30" hidden="1" x14ac:dyDescent="0.25">
      <c r="A138">
        <v>137</v>
      </c>
      <c r="B138" t="s">
        <v>927</v>
      </c>
      <c r="C138" t="s">
        <v>376</v>
      </c>
      <c r="D138">
        <v>2.5</v>
      </c>
      <c r="E138" t="s">
        <v>72</v>
      </c>
      <c r="F138" t="s">
        <v>40</v>
      </c>
      <c r="G138" t="s">
        <v>41</v>
      </c>
      <c r="H138" t="s">
        <v>714</v>
      </c>
      <c r="I138" t="s">
        <v>715</v>
      </c>
      <c r="J138" t="s">
        <v>798</v>
      </c>
      <c r="K138" t="s">
        <v>62</v>
      </c>
      <c r="L138" t="s">
        <v>63</v>
      </c>
      <c r="M138">
        <v>2.4647488563261049</v>
      </c>
      <c r="N138" t="s">
        <v>64</v>
      </c>
      <c r="O138" t="s">
        <v>65</v>
      </c>
      <c r="P138" t="s">
        <v>57</v>
      </c>
      <c r="R138" t="s">
        <v>76</v>
      </c>
      <c r="T138" t="s">
        <v>799</v>
      </c>
      <c r="U138" t="s">
        <v>120</v>
      </c>
      <c r="V138" t="s">
        <v>765</v>
      </c>
      <c r="W138" t="s">
        <v>858</v>
      </c>
      <c r="X138" t="s">
        <v>41</v>
      </c>
      <c r="Y138" t="s">
        <v>724</v>
      </c>
      <c r="Z138" t="s">
        <v>422</v>
      </c>
      <c r="AC138">
        <v>508.86472796915899</v>
      </c>
      <c r="AD138">
        <v>9974.5246368850021</v>
      </c>
    </row>
    <row r="139" spans="1:30" hidden="1" x14ac:dyDescent="0.25">
      <c r="A139">
        <v>138</v>
      </c>
      <c r="B139" t="s">
        <v>928</v>
      </c>
      <c r="C139" t="s">
        <v>376</v>
      </c>
      <c r="D139">
        <v>0.5</v>
      </c>
      <c r="E139" t="s">
        <v>72</v>
      </c>
      <c r="F139" t="s">
        <v>40</v>
      </c>
      <c r="G139" t="s">
        <v>41</v>
      </c>
      <c r="H139" t="s">
        <v>714</v>
      </c>
      <c r="I139" t="s">
        <v>715</v>
      </c>
      <c r="J139" t="s">
        <v>798</v>
      </c>
      <c r="K139" t="s">
        <v>62</v>
      </c>
      <c r="L139" t="s">
        <v>63</v>
      </c>
      <c r="M139">
        <v>0.47334868637635169</v>
      </c>
      <c r="N139" t="s">
        <v>64</v>
      </c>
      <c r="O139" t="s">
        <v>65</v>
      </c>
      <c r="P139" t="s">
        <v>57</v>
      </c>
      <c r="R139" t="s">
        <v>76</v>
      </c>
      <c r="T139" t="s">
        <v>799</v>
      </c>
      <c r="U139" t="s">
        <v>120</v>
      </c>
      <c r="V139" t="s">
        <v>765</v>
      </c>
      <c r="W139" t="s">
        <v>858</v>
      </c>
      <c r="X139" t="s">
        <v>41</v>
      </c>
      <c r="Y139" t="s">
        <v>724</v>
      </c>
      <c r="Z139" t="s">
        <v>422</v>
      </c>
      <c r="AC139">
        <v>199.3667842717997</v>
      </c>
      <c r="AD139">
        <v>1915.5818338164149</v>
      </c>
    </row>
    <row r="140" spans="1:30" x14ac:dyDescent="0.25">
      <c r="A140">
        <v>139</v>
      </c>
      <c r="B140" t="s">
        <v>929</v>
      </c>
      <c r="C140" t="s">
        <v>376</v>
      </c>
      <c r="D140">
        <v>0.1</v>
      </c>
      <c r="E140" t="s">
        <v>72</v>
      </c>
      <c r="F140" t="s">
        <v>40</v>
      </c>
      <c r="G140" t="s">
        <v>41</v>
      </c>
      <c r="H140" t="s">
        <v>714</v>
      </c>
      <c r="I140" t="s">
        <v>715</v>
      </c>
      <c r="J140" t="s">
        <v>57</v>
      </c>
      <c r="K140" t="s">
        <v>141</v>
      </c>
      <c r="L140" t="s">
        <v>142</v>
      </c>
      <c r="M140">
        <v>6.5855051709082485E-2</v>
      </c>
      <c r="N140">
        <v>0</v>
      </c>
      <c r="O140" t="s">
        <v>38</v>
      </c>
      <c r="P140" t="s">
        <v>930</v>
      </c>
      <c r="R140" t="s">
        <v>76</v>
      </c>
      <c r="U140" t="s">
        <v>120</v>
      </c>
      <c r="V140" t="s">
        <v>765</v>
      </c>
      <c r="W140" t="s">
        <v>860</v>
      </c>
      <c r="X140" t="s">
        <v>41</v>
      </c>
      <c r="Y140" t="s">
        <v>724</v>
      </c>
      <c r="AC140">
        <v>62.175057352114273</v>
      </c>
      <c r="AD140">
        <v>266.50700498333839</v>
      </c>
    </row>
    <row r="141" spans="1:30" hidden="1" x14ac:dyDescent="0.25">
      <c r="A141">
        <v>140</v>
      </c>
      <c r="B141" t="s">
        <v>931</v>
      </c>
      <c r="C141" t="s">
        <v>376</v>
      </c>
      <c r="D141">
        <v>3.8</v>
      </c>
      <c r="E141" t="s">
        <v>72</v>
      </c>
      <c r="F141" t="s">
        <v>40</v>
      </c>
      <c r="G141" t="s">
        <v>41</v>
      </c>
      <c r="H141" t="s">
        <v>714</v>
      </c>
      <c r="I141" t="s">
        <v>715</v>
      </c>
      <c r="K141" t="s">
        <v>62</v>
      </c>
      <c r="L141" t="s">
        <v>63</v>
      </c>
      <c r="M141">
        <v>3.673173051346724</v>
      </c>
      <c r="N141" t="s">
        <v>64</v>
      </c>
      <c r="O141" t="s">
        <v>65</v>
      </c>
      <c r="P141" t="s">
        <v>57</v>
      </c>
      <c r="R141" t="s">
        <v>61</v>
      </c>
      <c r="U141" t="s">
        <v>120</v>
      </c>
      <c r="V141" t="s">
        <v>765</v>
      </c>
      <c r="W141" t="s">
        <v>860</v>
      </c>
      <c r="X141" t="s">
        <v>41</v>
      </c>
      <c r="Y141" t="s">
        <v>886</v>
      </c>
      <c r="Z141" t="s">
        <v>156</v>
      </c>
      <c r="AC141">
        <v>540.34029143391081</v>
      </c>
      <c r="AD141">
        <v>14864.863412823281</v>
      </c>
    </row>
    <row r="142" spans="1:30" hidden="1" x14ac:dyDescent="0.25">
      <c r="A142">
        <v>141</v>
      </c>
      <c r="B142" t="s">
        <v>932</v>
      </c>
      <c r="C142" t="s">
        <v>376</v>
      </c>
      <c r="D142">
        <v>6.7</v>
      </c>
      <c r="E142" t="s">
        <v>72</v>
      </c>
      <c r="F142" t="s">
        <v>40</v>
      </c>
      <c r="G142" t="s">
        <v>41</v>
      </c>
      <c r="H142" t="s">
        <v>714</v>
      </c>
      <c r="I142" t="s">
        <v>715</v>
      </c>
      <c r="K142" t="s">
        <v>62</v>
      </c>
      <c r="L142" t="s">
        <v>63</v>
      </c>
      <c r="M142">
        <v>6.3146613307558024</v>
      </c>
      <c r="N142" t="s">
        <v>64</v>
      </c>
      <c r="O142" t="s">
        <v>65</v>
      </c>
      <c r="P142" t="s">
        <v>57</v>
      </c>
      <c r="R142" t="s">
        <v>61</v>
      </c>
      <c r="U142" t="s">
        <v>120</v>
      </c>
      <c r="V142" t="s">
        <v>765</v>
      </c>
      <c r="W142" t="s">
        <v>860</v>
      </c>
      <c r="X142" t="s">
        <v>41</v>
      </c>
      <c r="Y142" t="s">
        <v>886</v>
      </c>
      <c r="Z142" t="s">
        <v>156</v>
      </c>
      <c r="AC142">
        <v>1030.737123893867</v>
      </c>
      <c r="AD142">
        <v>25554.629980067752</v>
      </c>
    </row>
    <row r="143" spans="1:30" hidden="1" x14ac:dyDescent="0.25">
      <c r="A143">
        <v>142</v>
      </c>
      <c r="B143" t="s">
        <v>933</v>
      </c>
      <c r="C143" t="s">
        <v>376</v>
      </c>
      <c r="D143">
        <v>3.4</v>
      </c>
      <c r="E143" t="s">
        <v>72</v>
      </c>
      <c r="F143" t="s">
        <v>40</v>
      </c>
      <c r="G143" t="s">
        <v>41</v>
      </c>
      <c r="H143" t="s">
        <v>714</v>
      </c>
      <c r="I143" t="s">
        <v>715</v>
      </c>
      <c r="K143" t="s">
        <v>62</v>
      </c>
      <c r="L143" t="s">
        <v>63</v>
      </c>
      <c r="M143">
        <v>3.2250697283501388</v>
      </c>
      <c r="N143" t="s">
        <v>64</v>
      </c>
      <c r="O143" t="s">
        <v>65</v>
      </c>
      <c r="P143" t="s">
        <v>57</v>
      </c>
      <c r="R143" t="s">
        <v>61</v>
      </c>
      <c r="U143" t="s">
        <v>120</v>
      </c>
      <c r="V143" t="s">
        <v>765</v>
      </c>
      <c r="W143" t="s">
        <v>860</v>
      </c>
      <c r="X143" t="s">
        <v>41</v>
      </c>
      <c r="Y143" t="s">
        <v>886</v>
      </c>
      <c r="Z143" t="s">
        <v>156</v>
      </c>
      <c r="AC143">
        <v>519.99366298795371</v>
      </c>
      <c r="AD143">
        <v>13051.446348594771</v>
      </c>
    </row>
    <row r="144" spans="1:30" hidden="1" x14ac:dyDescent="0.25">
      <c r="A144">
        <v>143</v>
      </c>
      <c r="B144" t="s">
        <v>934</v>
      </c>
      <c r="C144" t="s">
        <v>376</v>
      </c>
      <c r="D144">
        <v>0.3</v>
      </c>
      <c r="E144" t="s">
        <v>72</v>
      </c>
      <c r="F144" t="s">
        <v>40</v>
      </c>
      <c r="G144" t="s">
        <v>41</v>
      </c>
      <c r="H144" t="s">
        <v>714</v>
      </c>
      <c r="I144" t="s">
        <v>715</v>
      </c>
      <c r="K144" t="s">
        <v>62</v>
      </c>
      <c r="L144" t="s">
        <v>63</v>
      </c>
      <c r="M144">
        <v>0.2881951759076985</v>
      </c>
      <c r="N144" t="s">
        <v>64</v>
      </c>
      <c r="O144" t="s">
        <v>65</v>
      </c>
      <c r="P144" t="s">
        <v>57</v>
      </c>
      <c r="R144" t="s">
        <v>61</v>
      </c>
      <c r="U144" t="s">
        <v>120</v>
      </c>
      <c r="V144" t="s">
        <v>765</v>
      </c>
      <c r="W144" t="s">
        <v>860</v>
      </c>
      <c r="X144" t="s">
        <v>41</v>
      </c>
      <c r="Y144" t="s">
        <v>886</v>
      </c>
      <c r="Z144" t="s">
        <v>156</v>
      </c>
      <c r="AC144">
        <v>192.3974275302653</v>
      </c>
      <c r="AD144">
        <v>1166.2891636787569</v>
      </c>
    </row>
    <row r="145" spans="1:30" x14ac:dyDescent="0.25">
      <c r="A145">
        <v>144</v>
      </c>
      <c r="B145" t="s">
        <v>935</v>
      </c>
      <c r="C145" t="s">
        <v>376</v>
      </c>
      <c r="D145">
        <v>6.8</v>
      </c>
      <c r="E145" t="s">
        <v>72</v>
      </c>
      <c r="F145" t="s">
        <v>40</v>
      </c>
      <c r="G145" t="s">
        <v>41</v>
      </c>
      <c r="H145" t="s">
        <v>714</v>
      </c>
      <c r="I145" t="s">
        <v>715</v>
      </c>
      <c r="K145" t="s">
        <v>402</v>
      </c>
      <c r="L145" t="s">
        <v>403</v>
      </c>
      <c r="M145">
        <v>6.854686159520214</v>
      </c>
      <c r="N145">
        <v>0</v>
      </c>
      <c r="O145" t="s">
        <v>38</v>
      </c>
      <c r="P145" t="s">
        <v>57</v>
      </c>
      <c r="R145" t="s">
        <v>61</v>
      </c>
      <c r="T145" t="s">
        <v>865</v>
      </c>
      <c r="U145" t="s">
        <v>120</v>
      </c>
      <c r="V145" t="s">
        <v>765</v>
      </c>
      <c r="W145" t="s">
        <v>858</v>
      </c>
      <c r="X145" t="s">
        <v>41</v>
      </c>
      <c r="Y145" t="s">
        <v>891</v>
      </c>
      <c r="Z145" t="s">
        <v>656</v>
      </c>
      <c r="AC145">
        <v>758.04101325112549</v>
      </c>
      <c r="AD145">
        <v>27740.041668246478</v>
      </c>
    </row>
    <row r="146" spans="1:30" x14ac:dyDescent="0.25">
      <c r="A146">
        <v>145</v>
      </c>
      <c r="B146" t="s">
        <v>936</v>
      </c>
      <c r="C146" t="s">
        <v>376</v>
      </c>
      <c r="D146">
        <v>3.7</v>
      </c>
      <c r="E146" t="s">
        <v>72</v>
      </c>
      <c r="F146" t="s">
        <v>40</v>
      </c>
      <c r="G146" t="s">
        <v>41</v>
      </c>
      <c r="H146" t="s">
        <v>714</v>
      </c>
      <c r="I146" t="s">
        <v>715</v>
      </c>
      <c r="K146" t="s">
        <v>402</v>
      </c>
      <c r="L146" t="s">
        <v>403</v>
      </c>
      <c r="M146">
        <v>3.8138151294831002</v>
      </c>
      <c r="N146">
        <v>0</v>
      </c>
      <c r="O146" t="s">
        <v>38</v>
      </c>
      <c r="P146" t="s">
        <v>57</v>
      </c>
      <c r="R146" t="s">
        <v>61</v>
      </c>
      <c r="T146" t="s">
        <v>865</v>
      </c>
      <c r="U146" t="s">
        <v>120</v>
      </c>
      <c r="V146" t="s">
        <v>765</v>
      </c>
      <c r="W146" t="s">
        <v>858</v>
      </c>
      <c r="X146" t="s">
        <v>41</v>
      </c>
      <c r="Y146" t="s">
        <v>891</v>
      </c>
      <c r="Z146" t="s">
        <v>656</v>
      </c>
      <c r="AC146">
        <v>578.63471695509429</v>
      </c>
      <c r="AD146">
        <v>15434.023986629179</v>
      </c>
    </row>
    <row r="147" spans="1:30" x14ac:dyDescent="0.25">
      <c r="A147">
        <v>146</v>
      </c>
      <c r="B147" t="s">
        <v>937</v>
      </c>
      <c r="C147" t="s">
        <v>376</v>
      </c>
      <c r="D147">
        <v>8</v>
      </c>
      <c r="E147" t="s">
        <v>72</v>
      </c>
      <c r="F147" t="s">
        <v>40</v>
      </c>
      <c r="G147" t="s">
        <v>41</v>
      </c>
      <c r="H147" t="s">
        <v>714</v>
      </c>
      <c r="I147" t="s">
        <v>715</v>
      </c>
      <c r="K147" t="s">
        <v>402</v>
      </c>
      <c r="L147" t="s">
        <v>403</v>
      </c>
      <c r="M147">
        <v>8.0646818031597949</v>
      </c>
      <c r="N147">
        <v>0</v>
      </c>
      <c r="O147" t="s">
        <v>38</v>
      </c>
      <c r="P147" t="s">
        <v>57</v>
      </c>
      <c r="R147" t="s">
        <v>61</v>
      </c>
      <c r="T147" t="s">
        <v>865</v>
      </c>
      <c r="U147" t="s">
        <v>120</v>
      </c>
      <c r="V147" t="s">
        <v>765</v>
      </c>
      <c r="W147" t="s">
        <v>858</v>
      </c>
      <c r="X147" t="s">
        <v>41</v>
      </c>
      <c r="Y147" t="s">
        <v>891</v>
      </c>
      <c r="Z147" t="s">
        <v>656</v>
      </c>
      <c r="AC147">
        <v>797.87946111017868</v>
      </c>
      <c r="AD147">
        <v>32636.739896558669</v>
      </c>
    </row>
    <row r="148" spans="1:30" x14ac:dyDescent="0.25">
      <c r="A148">
        <v>147</v>
      </c>
      <c r="B148" t="s">
        <v>938</v>
      </c>
      <c r="C148" t="s">
        <v>376</v>
      </c>
      <c r="D148">
        <v>5.4</v>
      </c>
      <c r="E148" t="s">
        <v>72</v>
      </c>
      <c r="F148" t="s">
        <v>40</v>
      </c>
      <c r="G148" t="s">
        <v>41</v>
      </c>
      <c r="H148" t="s">
        <v>714</v>
      </c>
      <c r="I148" t="s">
        <v>715</v>
      </c>
      <c r="K148" t="s">
        <v>402</v>
      </c>
      <c r="L148" t="s">
        <v>403</v>
      </c>
      <c r="M148">
        <v>5.188737843523878</v>
      </c>
      <c r="N148">
        <v>0</v>
      </c>
      <c r="O148" t="s">
        <v>38</v>
      </c>
      <c r="P148" t="s">
        <v>57</v>
      </c>
      <c r="R148" t="s">
        <v>61</v>
      </c>
      <c r="T148" t="s">
        <v>865</v>
      </c>
      <c r="U148" t="s">
        <v>120</v>
      </c>
      <c r="V148" t="s">
        <v>765</v>
      </c>
      <c r="W148" t="s">
        <v>563</v>
      </c>
      <c r="X148" t="s">
        <v>41</v>
      </c>
      <c r="Y148" t="s">
        <v>891</v>
      </c>
      <c r="Z148" t="s">
        <v>656</v>
      </c>
      <c r="AC148">
        <v>861.50937201775093</v>
      </c>
      <c r="AD148">
        <v>20998.161058774771</v>
      </c>
    </row>
    <row r="149" spans="1:30" x14ac:dyDescent="0.25">
      <c r="A149">
        <v>148</v>
      </c>
      <c r="B149" t="s">
        <v>939</v>
      </c>
      <c r="C149" t="s">
        <v>376</v>
      </c>
      <c r="D149">
        <v>1.5</v>
      </c>
      <c r="E149" t="s">
        <v>72</v>
      </c>
      <c r="F149" t="s">
        <v>40</v>
      </c>
      <c r="G149" t="s">
        <v>41</v>
      </c>
      <c r="H149" t="s">
        <v>714</v>
      </c>
      <c r="I149" t="s">
        <v>715</v>
      </c>
      <c r="K149" t="s">
        <v>402</v>
      </c>
      <c r="L149" t="s">
        <v>403</v>
      </c>
      <c r="M149">
        <v>1.525395005712795</v>
      </c>
      <c r="N149">
        <v>0</v>
      </c>
      <c r="O149" t="s">
        <v>38</v>
      </c>
      <c r="P149" t="s">
        <v>57</v>
      </c>
      <c r="R149" t="s">
        <v>61</v>
      </c>
      <c r="T149" t="s">
        <v>865</v>
      </c>
      <c r="U149" t="s">
        <v>120</v>
      </c>
      <c r="V149" t="s">
        <v>765</v>
      </c>
      <c r="W149" t="s">
        <v>858</v>
      </c>
      <c r="X149" t="s">
        <v>41</v>
      </c>
      <c r="Y149" t="s">
        <v>891</v>
      </c>
      <c r="Z149" t="s">
        <v>656</v>
      </c>
      <c r="AC149">
        <v>439.8175580906879</v>
      </c>
      <c r="AD149">
        <v>6173.0792678580883</v>
      </c>
    </row>
    <row r="150" spans="1:30" x14ac:dyDescent="0.25">
      <c r="A150">
        <v>149</v>
      </c>
      <c r="B150" t="s">
        <v>940</v>
      </c>
      <c r="C150" t="s">
        <v>376</v>
      </c>
      <c r="D150">
        <v>0.5</v>
      </c>
      <c r="E150" t="s">
        <v>72</v>
      </c>
      <c r="F150" t="s">
        <v>40</v>
      </c>
      <c r="G150" t="s">
        <v>41</v>
      </c>
      <c r="H150" t="s">
        <v>714</v>
      </c>
      <c r="I150" t="s">
        <v>715</v>
      </c>
      <c r="K150" t="s">
        <v>402</v>
      </c>
      <c r="L150" t="s">
        <v>403</v>
      </c>
      <c r="M150">
        <v>0.44702320402207191</v>
      </c>
      <c r="N150">
        <v>0</v>
      </c>
      <c r="O150" t="s">
        <v>38</v>
      </c>
      <c r="P150" t="s">
        <v>57</v>
      </c>
      <c r="R150" t="s">
        <v>61</v>
      </c>
      <c r="T150" t="s">
        <v>865</v>
      </c>
      <c r="U150" t="s">
        <v>120</v>
      </c>
      <c r="V150" t="s">
        <v>765</v>
      </c>
      <c r="W150" t="s">
        <v>858</v>
      </c>
      <c r="X150" t="s">
        <v>41</v>
      </c>
      <c r="Y150" t="s">
        <v>891</v>
      </c>
      <c r="Z150" t="s">
        <v>656</v>
      </c>
      <c r="AC150">
        <v>212.33764765620541</v>
      </c>
      <c r="AD150">
        <v>1809.0459603351519</v>
      </c>
    </row>
    <row r="151" spans="1:30" hidden="1" x14ac:dyDescent="0.25">
      <c r="A151">
        <v>150</v>
      </c>
      <c r="B151" t="s">
        <v>941</v>
      </c>
      <c r="C151" t="s">
        <v>376</v>
      </c>
      <c r="D151">
        <v>4.2</v>
      </c>
      <c r="E151" t="s">
        <v>72</v>
      </c>
      <c r="F151" t="s">
        <v>40</v>
      </c>
      <c r="G151" t="s">
        <v>41</v>
      </c>
      <c r="H151" t="s">
        <v>714</v>
      </c>
      <c r="I151" t="s">
        <v>715</v>
      </c>
      <c r="J151" t="s">
        <v>914</v>
      </c>
      <c r="K151" t="s">
        <v>62</v>
      </c>
      <c r="L151" t="s">
        <v>63</v>
      </c>
      <c r="M151">
        <v>4.5278768032814236</v>
      </c>
      <c r="N151" t="s">
        <v>64</v>
      </c>
      <c r="O151" t="s">
        <v>65</v>
      </c>
      <c r="P151" t="s">
        <v>57</v>
      </c>
      <c r="R151" t="s">
        <v>86</v>
      </c>
      <c r="T151" t="s">
        <v>915</v>
      </c>
      <c r="U151" t="s">
        <v>120</v>
      </c>
      <c r="V151" t="s">
        <v>765</v>
      </c>
      <c r="W151" t="s">
        <v>942</v>
      </c>
      <c r="X151" t="s">
        <v>41</v>
      </c>
      <c r="Y151" t="s">
        <v>897</v>
      </c>
      <c r="Z151" t="s">
        <v>752</v>
      </c>
      <c r="AC151">
        <v>599.93086232712778</v>
      </c>
      <c r="AD151">
        <v>18323.740616084579</v>
      </c>
    </row>
    <row r="152" spans="1:30" hidden="1" x14ac:dyDescent="0.25">
      <c r="A152">
        <v>151</v>
      </c>
      <c r="B152" t="s">
        <v>943</v>
      </c>
      <c r="C152" t="s">
        <v>376</v>
      </c>
      <c r="D152">
        <v>0.9</v>
      </c>
      <c r="E152" t="s">
        <v>72</v>
      </c>
      <c r="F152" t="s">
        <v>40</v>
      </c>
      <c r="G152" t="s">
        <v>41</v>
      </c>
      <c r="H152" t="s">
        <v>714</v>
      </c>
      <c r="I152" t="s">
        <v>715</v>
      </c>
      <c r="J152" t="s">
        <v>914</v>
      </c>
      <c r="K152" t="s">
        <v>62</v>
      </c>
      <c r="L152" t="s">
        <v>63</v>
      </c>
      <c r="M152">
        <v>0.81655370228402102</v>
      </c>
      <c r="N152" t="s">
        <v>64</v>
      </c>
      <c r="O152" t="s">
        <v>65</v>
      </c>
      <c r="P152" t="s">
        <v>57</v>
      </c>
      <c r="R152" t="s">
        <v>86</v>
      </c>
      <c r="T152" t="s">
        <v>915</v>
      </c>
      <c r="U152" t="s">
        <v>120</v>
      </c>
      <c r="V152" t="s">
        <v>765</v>
      </c>
      <c r="W152" t="s">
        <v>942</v>
      </c>
      <c r="X152" t="s">
        <v>41</v>
      </c>
      <c r="Y152" t="s">
        <v>897</v>
      </c>
      <c r="Z152" t="s">
        <v>752</v>
      </c>
      <c r="AC152">
        <v>291.15211441200643</v>
      </c>
      <c r="AD152">
        <v>3304.4888122646189</v>
      </c>
    </row>
    <row r="153" spans="1:30" hidden="1" x14ac:dyDescent="0.25">
      <c r="A153">
        <v>152</v>
      </c>
      <c r="B153" t="s">
        <v>944</v>
      </c>
      <c r="C153" t="s">
        <v>376</v>
      </c>
      <c r="D153">
        <v>1.2</v>
      </c>
      <c r="E153" t="s">
        <v>72</v>
      </c>
      <c r="F153" t="s">
        <v>40</v>
      </c>
      <c r="G153" t="s">
        <v>41</v>
      </c>
      <c r="H153" t="s">
        <v>714</v>
      </c>
      <c r="I153" t="s">
        <v>715</v>
      </c>
      <c r="J153" t="s">
        <v>914</v>
      </c>
      <c r="K153" t="s">
        <v>62</v>
      </c>
      <c r="L153" t="s">
        <v>63</v>
      </c>
      <c r="M153">
        <v>1.277498399234404</v>
      </c>
      <c r="N153" t="s">
        <v>64</v>
      </c>
      <c r="O153" t="s">
        <v>65</v>
      </c>
      <c r="P153" t="s">
        <v>57</v>
      </c>
      <c r="R153" t="s">
        <v>86</v>
      </c>
      <c r="T153" t="s">
        <v>915</v>
      </c>
      <c r="U153" t="s">
        <v>120</v>
      </c>
      <c r="V153" t="s">
        <v>765</v>
      </c>
      <c r="W153" t="s">
        <v>896</v>
      </c>
      <c r="X153" t="s">
        <v>41</v>
      </c>
      <c r="Y153" t="s">
        <v>897</v>
      </c>
      <c r="Z153" t="s">
        <v>752</v>
      </c>
      <c r="AC153">
        <v>365.79599080894582</v>
      </c>
      <c r="AD153">
        <v>5169.8732810199108</v>
      </c>
    </row>
    <row r="154" spans="1:30" hidden="1" x14ac:dyDescent="0.25">
      <c r="A154">
        <v>153</v>
      </c>
      <c r="B154" t="s">
        <v>945</v>
      </c>
      <c r="C154" t="s">
        <v>376</v>
      </c>
      <c r="D154">
        <v>15</v>
      </c>
      <c r="E154" t="s">
        <v>72</v>
      </c>
      <c r="F154" t="s">
        <v>40</v>
      </c>
      <c r="G154" t="s">
        <v>41</v>
      </c>
      <c r="H154" t="s">
        <v>714</v>
      </c>
      <c r="I154" t="s">
        <v>715</v>
      </c>
      <c r="J154" t="s">
        <v>914</v>
      </c>
      <c r="K154" t="s">
        <v>62</v>
      </c>
      <c r="L154" t="s">
        <v>63</v>
      </c>
      <c r="M154">
        <v>14.73252525197684</v>
      </c>
      <c r="N154" t="s">
        <v>64</v>
      </c>
      <c r="O154" t="s">
        <v>65</v>
      </c>
      <c r="P154" t="s">
        <v>57</v>
      </c>
      <c r="R154" t="s">
        <v>86</v>
      </c>
      <c r="T154" t="s">
        <v>915</v>
      </c>
      <c r="U154" t="s">
        <v>120</v>
      </c>
      <c r="V154" t="s">
        <v>765</v>
      </c>
      <c r="W154" t="s">
        <v>942</v>
      </c>
      <c r="X154" t="s">
        <v>41</v>
      </c>
      <c r="Y154" t="s">
        <v>897</v>
      </c>
      <c r="Z154" t="s">
        <v>752</v>
      </c>
      <c r="AC154">
        <v>925.45589801161179</v>
      </c>
      <c r="AD154">
        <v>59620.652916505816</v>
      </c>
    </row>
    <row r="155" spans="1:30" hidden="1" x14ac:dyDescent="0.25">
      <c r="A155">
        <v>154</v>
      </c>
      <c r="B155" t="s">
        <v>946</v>
      </c>
      <c r="C155" t="s">
        <v>376</v>
      </c>
      <c r="D155">
        <v>0</v>
      </c>
      <c r="E155" t="s">
        <v>72</v>
      </c>
      <c r="F155" t="s">
        <v>40</v>
      </c>
      <c r="G155" t="s">
        <v>41</v>
      </c>
      <c r="H155" t="s">
        <v>714</v>
      </c>
      <c r="I155" t="s">
        <v>715</v>
      </c>
      <c r="J155" t="s">
        <v>914</v>
      </c>
      <c r="K155" t="s">
        <v>62</v>
      </c>
      <c r="L155" t="s">
        <v>63</v>
      </c>
      <c r="M155">
        <v>0.8151271889728271</v>
      </c>
      <c r="N155" t="s">
        <v>64</v>
      </c>
      <c r="O155" t="s">
        <v>65</v>
      </c>
      <c r="P155" t="s">
        <v>57</v>
      </c>
      <c r="R155" t="s">
        <v>86</v>
      </c>
      <c r="T155" t="s">
        <v>915</v>
      </c>
      <c r="U155" t="s">
        <v>120</v>
      </c>
      <c r="V155" t="s">
        <v>765</v>
      </c>
      <c r="W155" t="s">
        <v>896</v>
      </c>
      <c r="X155" t="s">
        <v>41</v>
      </c>
      <c r="Y155" t="s">
        <v>897</v>
      </c>
      <c r="Z155" t="s">
        <v>752</v>
      </c>
      <c r="AC155">
        <v>247.58507966935531</v>
      </c>
      <c r="AD155">
        <v>3298.715894617927</v>
      </c>
    </row>
    <row r="156" spans="1:30" hidden="1" x14ac:dyDescent="0.25">
      <c r="A156">
        <v>155</v>
      </c>
      <c r="B156" t="s">
        <v>947</v>
      </c>
      <c r="C156" t="s">
        <v>376</v>
      </c>
      <c r="D156">
        <v>0</v>
      </c>
      <c r="E156" t="s">
        <v>72</v>
      </c>
      <c r="F156" t="s">
        <v>40</v>
      </c>
      <c r="G156" t="s">
        <v>41</v>
      </c>
      <c r="H156" t="s">
        <v>714</v>
      </c>
      <c r="I156" t="s">
        <v>715</v>
      </c>
      <c r="J156" t="s">
        <v>914</v>
      </c>
      <c r="K156" t="s">
        <v>62</v>
      </c>
      <c r="L156" t="s">
        <v>63</v>
      </c>
      <c r="M156">
        <v>1.670202791868983</v>
      </c>
      <c r="N156" t="s">
        <v>64</v>
      </c>
      <c r="O156" t="s">
        <v>65</v>
      </c>
      <c r="P156" t="s">
        <v>57</v>
      </c>
      <c r="R156" t="s">
        <v>86</v>
      </c>
      <c r="T156" t="s">
        <v>915</v>
      </c>
      <c r="U156" t="s">
        <v>120</v>
      </c>
      <c r="V156" t="s">
        <v>765</v>
      </c>
      <c r="W156" t="s">
        <v>896</v>
      </c>
      <c r="X156" t="s">
        <v>41</v>
      </c>
      <c r="Y156" t="s">
        <v>897</v>
      </c>
      <c r="Z156" t="s">
        <v>752</v>
      </c>
      <c r="AC156">
        <v>422.77766591556463</v>
      </c>
      <c r="AD156">
        <v>6759.0979313500939</v>
      </c>
    </row>
    <row r="157" spans="1:30" hidden="1" x14ac:dyDescent="0.25">
      <c r="A157">
        <v>156</v>
      </c>
      <c r="B157" t="s">
        <v>948</v>
      </c>
      <c r="C157" t="s">
        <v>376</v>
      </c>
      <c r="D157">
        <v>0.5</v>
      </c>
      <c r="E157" t="s">
        <v>72</v>
      </c>
      <c r="F157" t="s">
        <v>40</v>
      </c>
      <c r="G157" t="s">
        <v>41</v>
      </c>
      <c r="H157" t="s">
        <v>714</v>
      </c>
      <c r="I157" t="s">
        <v>715</v>
      </c>
      <c r="J157" t="s">
        <v>914</v>
      </c>
      <c r="K157" t="s">
        <v>62</v>
      </c>
      <c r="L157" t="s">
        <v>63</v>
      </c>
      <c r="M157">
        <v>0.32453999518373128</v>
      </c>
      <c r="N157" t="s">
        <v>64</v>
      </c>
      <c r="O157" t="s">
        <v>65</v>
      </c>
      <c r="P157" t="s">
        <v>57</v>
      </c>
      <c r="R157" t="s">
        <v>86</v>
      </c>
      <c r="T157" t="s">
        <v>915</v>
      </c>
      <c r="U157" t="s">
        <v>120</v>
      </c>
      <c r="V157" t="s">
        <v>765</v>
      </c>
      <c r="W157" t="s">
        <v>942</v>
      </c>
      <c r="X157" t="s">
        <v>41</v>
      </c>
      <c r="Y157" t="s">
        <v>897</v>
      </c>
      <c r="Z157" t="s">
        <v>752</v>
      </c>
      <c r="AC157">
        <v>169.95495975709659</v>
      </c>
      <c r="AD157">
        <v>1313.3720173177639</v>
      </c>
    </row>
    <row r="158" spans="1:30" hidden="1" x14ac:dyDescent="0.25">
      <c r="A158">
        <v>157</v>
      </c>
      <c r="B158" t="s">
        <v>949</v>
      </c>
      <c r="C158" t="s">
        <v>376</v>
      </c>
      <c r="D158">
        <v>9.5</v>
      </c>
      <c r="E158" t="s">
        <v>72</v>
      </c>
      <c r="F158" t="s">
        <v>40</v>
      </c>
      <c r="G158" t="s">
        <v>41</v>
      </c>
      <c r="H158" t="s">
        <v>714</v>
      </c>
      <c r="I158" t="s">
        <v>715</v>
      </c>
      <c r="J158" t="s">
        <v>914</v>
      </c>
      <c r="K158" t="s">
        <v>62</v>
      </c>
      <c r="L158" t="s">
        <v>63</v>
      </c>
      <c r="M158">
        <v>9.4015625062812429</v>
      </c>
      <c r="N158" t="s">
        <v>64</v>
      </c>
      <c r="O158" t="s">
        <v>65</v>
      </c>
      <c r="P158" t="s">
        <v>57</v>
      </c>
      <c r="R158" t="s">
        <v>86</v>
      </c>
      <c r="T158" t="s">
        <v>915</v>
      </c>
      <c r="U158" t="s">
        <v>120</v>
      </c>
      <c r="V158" t="s">
        <v>765</v>
      </c>
      <c r="W158" t="s">
        <v>896</v>
      </c>
      <c r="X158" t="s">
        <v>41</v>
      </c>
      <c r="Y158" t="s">
        <v>897</v>
      </c>
      <c r="Z158" t="s">
        <v>752</v>
      </c>
      <c r="AC158">
        <v>817.25267286585574</v>
      </c>
      <c r="AD158">
        <v>38046.925796690288</v>
      </c>
    </row>
    <row r="159" spans="1:30" hidden="1" x14ac:dyDescent="0.25">
      <c r="A159">
        <v>158</v>
      </c>
      <c r="B159" t="s">
        <v>950</v>
      </c>
      <c r="C159" t="s">
        <v>376</v>
      </c>
      <c r="D159">
        <v>2</v>
      </c>
      <c r="E159" t="s">
        <v>72</v>
      </c>
      <c r="F159" t="s">
        <v>40</v>
      </c>
      <c r="G159" t="s">
        <v>41</v>
      </c>
      <c r="H159" t="s">
        <v>714</v>
      </c>
      <c r="I159" t="s">
        <v>715</v>
      </c>
      <c r="J159" t="s">
        <v>914</v>
      </c>
      <c r="K159" t="s">
        <v>62</v>
      </c>
      <c r="L159" t="s">
        <v>63</v>
      </c>
      <c r="M159">
        <v>1.8359488948702689</v>
      </c>
      <c r="N159" t="s">
        <v>64</v>
      </c>
      <c r="O159" t="s">
        <v>65</v>
      </c>
      <c r="P159" t="s">
        <v>57</v>
      </c>
      <c r="R159" t="s">
        <v>86</v>
      </c>
      <c r="T159" t="s">
        <v>915</v>
      </c>
      <c r="U159" t="s">
        <v>120</v>
      </c>
      <c r="V159" t="s">
        <v>765</v>
      </c>
      <c r="W159" t="s">
        <v>712</v>
      </c>
      <c r="X159" t="s">
        <v>41</v>
      </c>
      <c r="Y159" t="s">
        <v>897</v>
      </c>
      <c r="Z159" t="s">
        <v>752</v>
      </c>
      <c r="AC159">
        <v>512.31246959149917</v>
      </c>
      <c r="AD159">
        <v>7429.8512957793928</v>
      </c>
    </row>
    <row r="160" spans="1:30" hidden="1" x14ac:dyDescent="0.25">
      <c r="A160">
        <v>159</v>
      </c>
      <c r="B160" t="s">
        <v>951</v>
      </c>
      <c r="C160" t="s">
        <v>376</v>
      </c>
      <c r="D160">
        <v>3.9</v>
      </c>
      <c r="E160" t="s">
        <v>72</v>
      </c>
      <c r="F160" t="s">
        <v>40</v>
      </c>
      <c r="G160" t="s">
        <v>41</v>
      </c>
      <c r="H160" t="s">
        <v>714</v>
      </c>
      <c r="I160" t="s">
        <v>715</v>
      </c>
      <c r="J160" t="s">
        <v>914</v>
      </c>
      <c r="K160" t="s">
        <v>62</v>
      </c>
      <c r="L160" t="s">
        <v>63</v>
      </c>
      <c r="M160">
        <v>4.8273250388428064</v>
      </c>
      <c r="N160" t="s">
        <v>64</v>
      </c>
      <c r="O160" t="s">
        <v>65</v>
      </c>
      <c r="P160" t="s">
        <v>57</v>
      </c>
      <c r="R160" t="s">
        <v>86</v>
      </c>
      <c r="T160" t="s">
        <v>915</v>
      </c>
      <c r="U160" t="s">
        <v>120</v>
      </c>
      <c r="V160" t="s">
        <v>765</v>
      </c>
      <c r="W160" t="s">
        <v>896</v>
      </c>
      <c r="X160" t="s">
        <v>41</v>
      </c>
      <c r="Y160" t="s">
        <v>897</v>
      </c>
      <c r="Z160" t="s">
        <v>752</v>
      </c>
      <c r="AC160">
        <v>567.8607706687435</v>
      </c>
      <c r="AD160">
        <v>19535.569478653109</v>
      </c>
    </row>
    <row r="161" spans="1:30" hidden="1" x14ac:dyDescent="0.25">
      <c r="A161">
        <v>160</v>
      </c>
      <c r="B161" t="s">
        <v>952</v>
      </c>
      <c r="C161" t="s">
        <v>376</v>
      </c>
      <c r="D161">
        <v>6.4</v>
      </c>
      <c r="E161" t="s">
        <v>72</v>
      </c>
      <c r="F161" t="s">
        <v>40</v>
      </c>
      <c r="G161" t="s">
        <v>41</v>
      </c>
      <c r="H161" t="s">
        <v>714</v>
      </c>
      <c r="I161" t="s">
        <v>715</v>
      </c>
      <c r="J161" t="s">
        <v>914</v>
      </c>
      <c r="K161" t="s">
        <v>62</v>
      </c>
      <c r="L161" t="s">
        <v>63</v>
      </c>
      <c r="M161">
        <v>6.5278601832681158</v>
      </c>
      <c r="N161" t="s">
        <v>64</v>
      </c>
      <c r="O161" t="s">
        <v>65</v>
      </c>
      <c r="P161" t="s">
        <v>57</v>
      </c>
      <c r="R161" t="s">
        <v>86</v>
      </c>
      <c r="T161" t="s">
        <v>915</v>
      </c>
      <c r="U161" t="s">
        <v>120</v>
      </c>
      <c r="V161" t="s">
        <v>765</v>
      </c>
      <c r="W161" t="s">
        <v>896</v>
      </c>
      <c r="X161" t="s">
        <v>41</v>
      </c>
      <c r="Y161" t="s">
        <v>897</v>
      </c>
      <c r="Z161" t="s">
        <v>752</v>
      </c>
      <c r="AC161">
        <v>799.0554443291021</v>
      </c>
      <c r="AD161">
        <v>26417.418576756449</v>
      </c>
    </row>
    <row r="162" spans="1:30" hidden="1" x14ac:dyDescent="0.25">
      <c r="A162">
        <v>161</v>
      </c>
      <c r="B162" t="s">
        <v>953</v>
      </c>
      <c r="C162" t="s">
        <v>376</v>
      </c>
      <c r="D162">
        <v>0.8</v>
      </c>
      <c r="E162" t="s">
        <v>72</v>
      </c>
      <c r="F162" t="s">
        <v>40</v>
      </c>
      <c r="G162" t="s">
        <v>41</v>
      </c>
      <c r="H162" t="s">
        <v>714</v>
      </c>
      <c r="I162" t="s">
        <v>715</v>
      </c>
      <c r="J162" t="s">
        <v>914</v>
      </c>
      <c r="K162" t="s">
        <v>62</v>
      </c>
      <c r="L162" t="s">
        <v>63</v>
      </c>
      <c r="M162">
        <v>0.6379546021922996</v>
      </c>
      <c r="N162" t="s">
        <v>64</v>
      </c>
      <c r="O162" t="s">
        <v>65</v>
      </c>
      <c r="P162" t="s">
        <v>57</v>
      </c>
      <c r="R162" t="s">
        <v>86</v>
      </c>
      <c r="T162" t="s">
        <v>915</v>
      </c>
      <c r="U162" t="s">
        <v>120</v>
      </c>
      <c r="V162" t="s">
        <v>765</v>
      </c>
      <c r="W162" t="s">
        <v>896</v>
      </c>
      <c r="X162" t="s">
        <v>41</v>
      </c>
      <c r="Y162" t="s">
        <v>897</v>
      </c>
      <c r="Z162" t="s">
        <v>752</v>
      </c>
      <c r="AC162">
        <v>280.08425191535707</v>
      </c>
      <c r="AD162">
        <v>2581.7210059552422</v>
      </c>
    </row>
    <row r="163" spans="1:30" hidden="1" x14ac:dyDescent="0.25">
      <c r="A163">
        <v>162</v>
      </c>
      <c r="B163" t="s">
        <v>954</v>
      </c>
      <c r="C163" t="s">
        <v>376</v>
      </c>
      <c r="D163">
        <v>8.9</v>
      </c>
      <c r="E163" t="s">
        <v>72</v>
      </c>
      <c r="F163" t="s">
        <v>40</v>
      </c>
      <c r="G163" t="s">
        <v>41</v>
      </c>
      <c r="H163" t="s">
        <v>714</v>
      </c>
      <c r="I163" t="s">
        <v>715</v>
      </c>
      <c r="J163" t="s">
        <v>914</v>
      </c>
      <c r="K163" t="s">
        <v>62</v>
      </c>
      <c r="L163" t="s">
        <v>63</v>
      </c>
      <c r="M163">
        <v>8.710341665859179</v>
      </c>
      <c r="N163" t="s">
        <v>64</v>
      </c>
      <c r="O163" t="s">
        <v>65</v>
      </c>
      <c r="P163" t="s">
        <v>57</v>
      </c>
      <c r="R163" t="s">
        <v>86</v>
      </c>
      <c r="T163" t="s">
        <v>915</v>
      </c>
      <c r="U163" t="s">
        <v>120</v>
      </c>
      <c r="V163" t="s">
        <v>765</v>
      </c>
      <c r="W163" t="s">
        <v>896</v>
      </c>
      <c r="X163" t="s">
        <v>41</v>
      </c>
      <c r="Y163" t="s">
        <v>897</v>
      </c>
      <c r="Z163" t="s">
        <v>752</v>
      </c>
      <c r="AC163">
        <v>889.47784984331008</v>
      </c>
      <c r="AD163">
        <v>35249.643110211968</v>
      </c>
    </row>
    <row r="164" spans="1:30" hidden="1" x14ac:dyDescent="0.25">
      <c r="A164">
        <v>163</v>
      </c>
      <c r="B164" t="s">
        <v>955</v>
      </c>
      <c r="C164" t="s">
        <v>376</v>
      </c>
      <c r="D164">
        <v>7</v>
      </c>
      <c r="E164" t="s">
        <v>72</v>
      </c>
      <c r="F164" t="s">
        <v>40</v>
      </c>
      <c r="G164" t="s">
        <v>41</v>
      </c>
      <c r="H164" t="s">
        <v>714</v>
      </c>
      <c r="I164" t="s">
        <v>715</v>
      </c>
      <c r="J164" t="s">
        <v>914</v>
      </c>
      <c r="K164" t="s">
        <v>62</v>
      </c>
      <c r="L164" t="s">
        <v>63</v>
      </c>
      <c r="M164">
        <v>4.1541063516608148</v>
      </c>
      <c r="N164" t="s">
        <v>64</v>
      </c>
      <c r="O164" t="s">
        <v>65</v>
      </c>
      <c r="P164" t="s">
        <v>57</v>
      </c>
      <c r="R164" t="s">
        <v>86</v>
      </c>
      <c r="T164" t="s">
        <v>915</v>
      </c>
      <c r="U164" t="s">
        <v>120</v>
      </c>
      <c r="V164" t="s">
        <v>765</v>
      </c>
      <c r="W164" t="s">
        <v>896</v>
      </c>
      <c r="X164" t="s">
        <v>41</v>
      </c>
      <c r="Y164" t="s">
        <v>897</v>
      </c>
      <c r="Z164" t="s">
        <v>752</v>
      </c>
      <c r="AC164">
        <v>768.42489690870138</v>
      </c>
      <c r="AD164">
        <v>16811.139213040809</v>
      </c>
    </row>
    <row r="165" spans="1:30" hidden="1" x14ac:dyDescent="0.25">
      <c r="A165">
        <v>164</v>
      </c>
      <c r="B165" t="s">
        <v>956</v>
      </c>
      <c r="C165" t="s">
        <v>376</v>
      </c>
      <c r="D165">
        <v>1.8</v>
      </c>
      <c r="E165" t="s">
        <v>72</v>
      </c>
      <c r="F165" t="s">
        <v>40</v>
      </c>
      <c r="G165" t="s">
        <v>41</v>
      </c>
      <c r="H165" t="s">
        <v>714</v>
      </c>
      <c r="I165" t="s">
        <v>715</v>
      </c>
      <c r="J165" t="s">
        <v>914</v>
      </c>
      <c r="K165" t="s">
        <v>62</v>
      </c>
      <c r="L165" t="s">
        <v>63</v>
      </c>
      <c r="M165">
        <v>1.5639354863180439</v>
      </c>
      <c r="N165" t="s">
        <v>64</v>
      </c>
      <c r="O165" t="s">
        <v>65</v>
      </c>
      <c r="P165" t="s">
        <v>57</v>
      </c>
      <c r="R165" t="s">
        <v>86</v>
      </c>
      <c r="T165" t="s">
        <v>915</v>
      </c>
      <c r="U165" t="s">
        <v>120</v>
      </c>
      <c r="V165" t="s">
        <v>765</v>
      </c>
      <c r="W165" t="s">
        <v>712</v>
      </c>
      <c r="X165" t="s">
        <v>41</v>
      </c>
      <c r="Y165" t="s">
        <v>897</v>
      </c>
      <c r="Z165" t="s">
        <v>752</v>
      </c>
      <c r="AC165">
        <v>512.11391364951419</v>
      </c>
      <c r="AD165">
        <v>6329.04768319086</v>
      </c>
    </row>
    <row r="166" spans="1:30" x14ac:dyDescent="0.25">
      <c r="A166">
        <v>166</v>
      </c>
      <c r="B166" t="s">
        <v>957</v>
      </c>
      <c r="C166" t="s">
        <v>376</v>
      </c>
      <c r="D166">
        <v>4</v>
      </c>
      <c r="E166" t="s">
        <v>72</v>
      </c>
      <c r="F166" t="s">
        <v>40</v>
      </c>
      <c r="G166" t="s">
        <v>41</v>
      </c>
      <c r="H166" t="s">
        <v>714</v>
      </c>
      <c r="I166" t="s">
        <v>715</v>
      </c>
      <c r="J166" t="s">
        <v>807</v>
      </c>
      <c r="K166" t="s">
        <v>402</v>
      </c>
      <c r="L166" t="s">
        <v>403</v>
      </c>
      <c r="M166">
        <v>3.848728570472228</v>
      </c>
      <c r="N166">
        <v>0</v>
      </c>
      <c r="O166" t="s">
        <v>38</v>
      </c>
      <c r="P166" t="s">
        <v>745</v>
      </c>
      <c r="R166" t="s">
        <v>64</v>
      </c>
      <c r="T166" t="s">
        <v>808</v>
      </c>
      <c r="U166" t="s">
        <v>48</v>
      </c>
      <c r="V166" t="s">
        <v>719</v>
      </c>
      <c r="W166" t="s">
        <v>46</v>
      </c>
      <c r="X166" t="s">
        <v>41</v>
      </c>
      <c r="Y166" t="s">
        <v>724</v>
      </c>
      <c r="Z166" t="s">
        <v>93</v>
      </c>
      <c r="AC166">
        <v>614.62068618515468</v>
      </c>
      <c r="AD166">
        <v>15575.31423468454</v>
      </c>
    </row>
    <row r="167" spans="1:30" hidden="1" x14ac:dyDescent="0.25">
      <c r="A167">
        <v>167</v>
      </c>
      <c r="B167" t="s">
        <v>958</v>
      </c>
      <c r="C167" t="s">
        <v>376</v>
      </c>
      <c r="D167">
        <v>0.2</v>
      </c>
      <c r="E167" t="s">
        <v>72</v>
      </c>
      <c r="F167" t="s">
        <v>40</v>
      </c>
      <c r="G167" t="s">
        <v>41</v>
      </c>
      <c r="H167" t="s">
        <v>714</v>
      </c>
      <c r="I167" t="s">
        <v>715</v>
      </c>
      <c r="J167" t="s">
        <v>57</v>
      </c>
      <c r="K167" t="s">
        <v>62</v>
      </c>
      <c r="L167" t="s">
        <v>63</v>
      </c>
      <c r="M167">
        <v>0.13535983671619239</v>
      </c>
      <c r="N167" t="s">
        <v>64</v>
      </c>
      <c r="O167" t="s">
        <v>65</v>
      </c>
      <c r="P167" t="s">
        <v>57</v>
      </c>
      <c r="R167" t="s">
        <v>75</v>
      </c>
      <c r="U167" t="s">
        <v>120</v>
      </c>
      <c r="V167" t="s">
        <v>765</v>
      </c>
      <c r="W167" t="s">
        <v>139</v>
      </c>
      <c r="X167" t="s">
        <v>41</v>
      </c>
      <c r="Y167" t="s">
        <v>803</v>
      </c>
      <c r="Z167" t="s">
        <v>822</v>
      </c>
      <c r="AC167">
        <v>106.7140230066708</v>
      </c>
      <c r="AD167">
        <v>547.78401568381037</v>
      </c>
    </row>
    <row r="168" spans="1:30" x14ac:dyDescent="0.25">
      <c r="A168">
        <v>168</v>
      </c>
      <c r="B168" t="s">
        <v>959</v>
      </c>
      <c r="C168" t="s">
        <v>376</v>
      </c>
      <c r="D168">
        <v>2.1</v>
      </c>
      <c r="E168" t="s">
        <v>72</v>
      </c>
      <c r="F168" t="s">
        <v>40</v>
      </c>
      <c r="G168" t="s">
        <v>41</v>
      </c>
      <c r="H168" t="s">
        <v>714</v>
      </c>
      <c r="I168" t="s">
        <v>715</v>
      </c>
      <c r="J168" t="s">
        <v>731</v>
      </c>
      <c r="K168" t="s">
        <v>402</v>
      </c>
      <c r="L168" t="s">
        <v>403</v>
      </c>
      <c r="M168">
        <v>1.9605833640008281</v>
      </c>
      <c r="N168">
        <v>0</v>
      </c>
      <c r="O168" t="s">
        <v>38</v>
      </c>
      <c r="P168" t="s">
        <v>57</v>
      </c>
      <c r="R168" t="s">
        <v>60</v>
      </c>
      <c r="T168" t="s">
        <v>732</v>
      </c>
      <c r="U168" t="s">
        <v>48</v>
      </c>
      <c r="V168" t="s">
        <v>719</v>
      </c>
      <c r="W168" t="s">
        <v>118</v>
      </c>
      <c r="X168" t="s">
        <v>41</v>
      </c>
      <c r="Y168" t="s">
        <v>724</v>
      </c>
      <c r="Z168" t="s">
        <v>733</v>
      </c>
      <c r="AC168">
        <v>685.63414935936316</v>
      </c>
      <c r="AD168">
        <v>7934.2311151500708</v>
      </c>
    </row>
    <row r="169" spans="1:30" hidden="1" x14ac:dyDescent="0.25">
      <c r="A169">
        <v>169</v>
      </c>
      <c r="B169" t="s">
        <v>960</v>
      </c>
      <c r="C169" t="s">
        <v>376</v>
      </c>
      <c r="D169">
        <v>28.8</v>
      </c>
      <c r="E169" t="s">
        <v>72</v>
      </c>
      <c r="F169" t="s">
        <v>40</v>
      </c>
      <c r="G169" t="s">
        <v>41</v>
      </c>
      <c r="H169" t="s">
        <v>714</v>
      </c>
      <c r="I169" t="s">
        <v>715</v>
      </c>
      <c r="J169" t="s">
        <v>863</v>
      </c>
      <c r="K169" t="s">
        <v>79</v>
      </c>
      <c r="L169" t="s">
        <v>80</v>
      </c>
      <c r="M169">
        <v>27.898893529959501</v>
      </c>
      <c r="N169" t="s">
        <v>46</v>
      </c>
      <c r="O169" t="s">
        <v>47</v>
      </c>
      <c r="P169" t="s">
        <v>961</v>
      </c>
      <c r="R169" t="s">
        <v>75</v>
      </c>
      <c r="U169" t="s">
        <v>120</v>
      </c>
      <c r="V169" t="s">
        <v>765</v>
      </c>
      <c r="W169" t="s">
        <v>124</v>
      </c>
      <c r="X169" t="s">
        <v>41</v>
      </c>
      <c r="Y169" t="s">
        <v>962</v>
      </c>
      <c r="Z169" t="s">
        <v>656</v>
      </c>
      <c r="AC169">
        <v>1373.098927220361</v>
      </c>
      <c r="AD169">
        <v>112903.2680721911</v>
      </c>
    </row>
    <row r="170" spans="1:30" hidden="1" x14ac:dyDescent="0.25">
      <c r="A170">
        <v>170</v>
      </c>
      <c r="B170" t="s">
        <v>963</v>
      </c>
      <c r="C170" t="s">
        <v>376</v>
      </c>
      <c r="D170">
        <v>26.067</v>
      </c>
      <c r="E170" t="s">
        <v>72</v>
      </c>
      <c r="F170" t="s">
        <v>40</v>
      </c>
      <c r="G170" t="s">
        <v>41</v>
      </c>
      <c r="H170" t="s">
        <v>714</v>
      </c>
      <c r="I170" t="s">
        <v>715</v>
      </c>
      <c r="J170" t="s">
        <v>863</v>
      </c>
      <c r="K170" t="s">
        <v>79</v>
      </c>
      <c r="L170" t="s">
        <v>80</v>
      </c>
      <c r="M170">
        <v>20.5768594037505</v>
      </c>
      <c r="N170" t="s">
        <v>46</v>
      </c>
      <c r="O170" t="s">
        <v>47</v>
      </c>
      <c r="P170" t="s">
        <v>964</v>
      </c>
      <c r="R170" t="s">
        <v>75</v>
      </c>
      <c r="U170" t="s">
        <v>120</v>
      </c>
      <c r="V170" t="s">
        <v>765</v>
      </c>
      <c r="W170" t="s">
        <v>124</v>
      </c>
      <c r="X170" t="s">
        <v>41</v>
      </c>
      <c r="Y170" t="s">
        <v>962</v>
      </c>
      <c r="Z170" t="s">
        <v>656</v>
      </c>
      <c r="AC170">
        <v>1423.6331770165259</v>
      </c>
      <c r="AD170">
        <v>83271.928718271345</v>
      </c>
    </row>
    <row r="171" spans="1:30" hidden="1" x14ac:dyDescent="0.25">
      <c r="A171">
        <v>171</v>
      </c>
      <c r="B171" t="s">
        <v>965</v>
      </c>
      <c r="C171" t="s">
        <v>376</v>
      </c>
      <c r="D171">
        <v>0.8</v>
      </c>
      <c r="E171" t="s">
        <v>72</v>
      </c>
      <c r="F171" t="s">
        <v>40</v>
      </c>
      <c r="G171" t="s">
        <v>41</v>
      </c>
      <c r="H171" t="s">
        <v>714</v>
      </c>
      <c r="I171" t="s">
        <v>715</v>
      </c>
      <c r="J171" t="s">
        <v>863</v>
      </c>
      <c r="K171" t="s">
        <v>79</v>
      </c>
      <c r="L171" t="s">
        <v>80</v>
      </c>
      <c r="M171">
        <v>0.89436069667314944</v>
      </c>
      <c r="N171" t="s">
        <v>46</v>
      </c>
      <c r="O171" t="s">
        <v>47</v>
      </c>
      <c r="P171" t="s">
        <v>966</v>
      </c>
      <c r="R171" t="s">
        <v>75</v>
      </c>
      <c r="T171" t="s">
        <v>865</v>
      </c>
      <c r="U171" t="s">
        <v>120</v>
      </c>
      <c r="V171" t="s">
        <v>765</v>
      </c>
      <c r="W171" t="s">
        <v>124</v>
      </c>
      <c r="X171" t="s">
        <v>41</v>
      </c>
      <c r="Y171" t="s">
        <v>967</v>
      </c>
      <c r="Z171" t="s">
        <v>656</v>
      </c>
      <c r="AC171">
        <v>244.97909151430909</v>
      </c>
      <c r="AD171">
        <v>3619.3638067146221</v>
      </c>
    </row>
    <row r="172" spans="1:30" hidden="1" x14ac:dyDescent="0.25">
      <c r="A172">
        <v>172</v>
      </c>
      <c r="B172" t="s">
        <v>713</v>
      </c>
      <c r="C172" t="s">
        <v>376</v>
      </c>
      <c r="E172" t="s">
        <v>72</v>
      </c>
      <c r="F172" t="s">
        <v>40</v>
      </c>
      <c r="G172" t="s">
        <v>41</v>
      </c>
      <c r="H172" t="s">
        <v>714</v>
      </c>
      <c r="I172" t="s">
        <v>715</v>
      </c>
      <c r="J172" t="s">
        <v>57</v>
      </c>
      <c r="K172" t="s">
        <v>62</v>
      </c>
      <c r="L172" t="s">
        <v>63</v>
      </c>
      <c r="M172">
        <v>8.6878035531948097</v>
      </c>
      <c r="N172" t="s">
        <v>64</v>
      </c>
      <c r="O172" t="s">
        <v>65</v>
      </c>
      <c r="P172" t="s">
        <v>968</v>
      </c>
      <c r="R172" t="s">
        <v>86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969</v>
      </c>
      <c r="AC172">
        <v>944.64553453959161</v>
      </c>
      <c r="AD172">
        <v>35158.434239392278</v>
      </c>
    </row>
    <row r="173" spans="1:30" hidden="1" x14ac:dyDescent="0.25">
      <c r="A173">
        <v>173</v>
      </c>
      <c r="B173" t="s">
        <v>713</v>
      </c>
      <c r="C173" t="s">
        <v>376</v>
      </c>
      <c r="E173" t="s">
        <v>72</v>
      </c>
      <c r="F173" t="s">
        <v>40</v>
      </c>
      <c r="G173" t="s">
        <v>41</v>
      </c>
      <c r="H173" t="s">
        <v>714</v>
      </c>
      <c r="I173" t="s">
        <v>715</v>
      </c>
      <c r="J173" t="s">
        <v>57</v>
      </c>
      <c r="K173" t="s">
        <v>62</v>
      </c>
      <c r="L173" t="s">
        <v>63</v>
      </c>
      <c r="M173">
        <v>8.5662358772204801</v>
      </c>
      <c r="N173" t="s">
        <v>64</v>
      </c>
      <c r="O173" t="s">
        <v>65</v>
      </c>
      <c r="P173" t="s">
        <v>57</v>
      </c>
      <c r="R173" t="s">
        <v>86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159</v>
      </c>
      <c r="AC173">
        <v>780.27472001412093</v>
      </c>
      <c r="AD173">
        <v>34666.465341245697</v>
      </c>
    </row>
    <row r="174" spans="1:30" hidden="1" x14ac:dyDescent="0.25">
      <c r="A174">
        <v>174</v>
      </c>
      <c r="B174" t="s">
        <v>57</v>
      </c>
      <c r="C174" t="s">
        <v>376</v>
      </c>
      <c r="E174" t="s">
        <v>72</v>
      </c>
      <c r="F174" t="s">
        <v>40</v>
      </c>
      <c r="G174" t="s">
        <v>41</v>
      </c>
      <c r="H174" t="s">
        <v>714</v>
      </c>
      <c r="I174" t="s">
        <v>715</v>
      </c>
      <c r="J174" t="s">
        <v>57</v>
      </c>
      <c r="K174" t="s">
        <v>62</v>
      </c>
      <c r="L174" t="s">
        <v>63</v>
      </c>
      <c r="M174">
        <v>4.9110495921142601</v>
      </c>
      <c r="N174" t="s">
        <v>64</v>
      </c>
      <c r="O174" t="s">
        <v>65</v>
      </c>
      <c r="P174" t="s">
        <v>57</v>
      </c>
      <c r="R174" t="s">
        <v>86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159</v>
      </c>
      <c r="AC174">
        <v>617.49418330852905</v>
      </c>
      <c r="AD174">
        <v>19874.39208006132</v>
      </c>
    </row>
    <row r="175" spans="1:30" hidden="1" x14ac:dyDescent="0.25">
      <c r="A175">
        <v>175</v>
      </c>
      <c r="B175" t="s">
        <v>713</v>
      </c>
      <c r="C175" t="s">
        <v>376</v>
      </c>
      <c r="E175" t="s">
        <v>72</v>
      </c>
      <c r="F175" t="s">
        <v>40</v>
      </c>
      <c r="G175" t="s">
        <v>41</v>
      </c>
      <c r="H175" t="s">
        <v>714</v>
      </c>
      <c r="I175" t="s">
        <v>715</v>
      </c>
      <c r="J175" t="s">
        <v>57</v>
      </c>
      <c r="K175" t="s">
        <v>62</v>
      </c>
      <c r="L175" t="s">
        <v>63</v>
      </c>
      <c r="M175">
        <v>18.45657740410315</v>
      </c>
      <c r="N175" t="s">
        <v>64</v>
      </c>
      <c r="O175" t="s">
        <v>65</v>
      </c>
      <c r="P175" t="s">
        <v>57</v>
      </c>
      <c r="R175" t="s">
        <v>86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159</v>
      </c>
      <c r="AC175">
        <v>1099.0166944615639</v>
      </c>
      <c r="AD175">
        <v>74691.417568689052</v>
      </c>
    </row>
    <row r="176" spans="1:30" hidden="1" x14ac:dyDescent="0.25">
      <c r="A176">
        <v>176</v>
      </c>
      <c r="B176" t="s">
        <v>970</v>
      </c>
      <c r="C176" t="s">
        <v>376</v>
      </c>
      <c r="E176" t="s">
        <v>72</v>
      </c>
      <c r="F176" t="s">
        <v>40</v>
      </c>
      <c r="G176" t="s">
        <v>41</v>
      </c>
      <c r="H176" t="s">
        <v>714</v>
      </c>
      <c r="I176" t="s">
        <v>715</v>
      </c>
      <c r="J176" t="s">
        <v>57</v>
      </c>
      <c r="K176" t="s">
        <v>62</v>
      </c>
      <c r="L176" t="s">
        <v>63</v>
      </c>
      <c r="M176">
        <v>1.66717337948153</v>
      </c>
      <c r="N176" t="s">
        <v>64</v>
      </c>
      <c r="O176" t="s">
        <v>65</v>
      </c>
      <c r="P176" t="s">
        <v>57</v>
      </c>
      <c r="R176" t="s">
        <v>86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159</v>
      </c>
      <c r="AC176">
        <v>622.84704030884791</v>
      </c>
      <c r="AD176">
        <v>6746.8382853352978</v>
      </c>
    </row>
    <row r="177" spans="1:30" hidden="1" x14ac:dyDescent="0.25">
      <c r="A177">
        <v>177</v>
      </c>
      <c r="B177" t="s">
        <v>57</v>
      </c>
      <c r="C177" t="s">
        <v>376</v>
      </c>
      <c r="E177" t="s">
        <v>72</v>
      </c>
      <c r="F177" t="s">
        <v>40</v>
      </c>
      <c r="G177" t="s">
        <v>41</v>
      </c>
      <c r="H177" t="s">
        <v>714</v>
      </c>
      <c r="I177" t="s">
        <v>715</v>
      </c>
      <c r="J177" t="s">
        <v>57</v>
      </c>
      <c r="K177" t="s">
        <v>62</v>
      </c>
      <c r="L177" t="s">
        <v>63</v>
      </c>
      <c r="M177">
        <v>24.42037521540372</v>
      </c>
      <c r="N177" t="s">
        <v>64</v>
      </c>
      <c r="O177" t="s">
        <v>65</v>
      </c>
      <c r="P177" t="s">
        <v>57</v>
      </c>
      <c r="R177" t="s">
        <v>86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159</v>
      </c>
      <c r="AC177">
        <v>1414.876572642155</v>
      </c>
      <c r="AD177">
        <v>98826.14758206933</v>
      </c>
    </row>
    <row r="178" spans="1:30" hidden="1" x14ac:dyDescent="0.25">
      <c r="A178">
        <v>178</v>
      </c>
      <c r="B178" t="s">
        <v>734</v>
      </c>
      <c r="C178" t="s">
        <v>376</v>
      </c>
      <c r="D178">
        <v>17.513999999999999</v>
      </c>
      <c r="E178" t="s">
        <v>72</v>
      </c>
      <c r="F178" t="s">
        <v>40</v>
      </c>
      <c r="G178" t="s">
        <v>41</v>
      </c>
      <c r="H178" t="s">
        <v>714</v>
      </c>
      <c r="I178" t="s">
        <v>715</v>
      </c>
      <c r="J178" t="s">
        <v>57</v>
      </c>
      <c r="K178" t="s">
        <v>62</v>
      </c>
      <c r="L178" t="s">
        <v>63</v>
      </c>
      <c r="M178">
        <v>17.601737000971781</v>
      </c>
      <c r="N178" t="s">
        <v>64</v>
      </c>
      <c r="O178" t="s">
        <v>65</v>
      </c>
      <c r="P178" t="s">
        <v>968</v>
      </c>
      <c r="R178" t="s">
        <v>86</v>
      </c>
      <c r="T178" t="s">
        <v>971</v>
      </c>
      <c r="U178" t="s">
        <v>120</v>
      </c>
      <c r="V178" t="s">
        <v>765</v>
      </c>
      <c r="W178" t="s">
        <v>942</v>
      </c>
      <c r="X178" t="s">
        <v>41</v>
      </c>
      <c r="Y178" t="s">
        <v>897</v>
      </c>
      <c r="Z178" t="s">
        <v>969</v>
      </c>
      <c r="AC178">
        <v>1055.52845353371</v>
      </c>
      <c r="AD178">
        <v>71231.987355442878</v>
      </c>
    </row>
    <row r="179" spans="1:30" hidden="1" x14ac:dyDescent="0.25">
      <c r="A179">
        <v>179</v>
      </c>
      <c r="B179" t="s">
        <v>713</v>
      </c>
      <c r="C179" t="s">
        <v>376</v>
      </c>
      <c r="D179">
        <v>62.866</v>
      </c>
      <c r="E179" t="s">
        <v>72</v>
      </c>
      <c r="F179" t="s">
        <v>40</v>
      </c>
      <c r="G179" t="s">
        <v>41</v>
      </c>
      <c r="H179" t="s">
        <v>714</v>
      </c>
      <c r="I179" t="s">
        <v>715</v>
      </c>
      <c r="J179" t="s">
        <v>57</v>
      </c>
      <c r="K179" t="s">
        <v>62</v>
      </c>
      <c r="L179" t="s">
        <v>63</v>
      </c>
      <c r="M179">
        <v>44.03356820260715</v>
      </c>
      <c r="N179" t="s">
        <v>64</v>
      </c>
      <c r="O179" t="s">
        <v>65</v>
      </c>
      <c r="P179" t="s">
        <v>968</v>
      </c>
      <c r="R179" t="s">
        <v>86</v>
      </c>
      <c r="T179" t="s">
        <v>971</v>
      </c>
      <c r="U179" t="s">
        <v>120</v>
      </c>
      <c r="V179" t="s">
        <v>765</v>
      </c>
      <c r="W179" t="s">
        <v>942</v>
      </c>
      <c r="X179" t="s">
        <v>41</v>
      </c>
      <c r="Y179" t="s">
        <v>897</v>
      </c>
      <c r="Z179" t="s">
        <v>969</v>
      </c>
      <c r="AC179">
        <v>1769.2325860777089</v>
      </c>
      <c r="AD179">
        <v>178198.2410741607</v>
      </c>
    </row>
    <row r="180" spans="1:30" hidden="1" x14ac:dyDescent="0.25">
      <c r="A180">
        <v>180</v>
      </c>
      <c r="B180" t="s">
        <v>713</v>
      </c>
      <c r="C180" t="s">
        <v>376</v>
      </c>
      <c r="E180" t="s">
        <v>72</v>
      </c>
      <c r="F180" t="s">
        <v>40</v>
      </c>
      <c r="G180" t="s">
        <v>41</v>
      </c>
      <c r="H180" t="s">
        <v>714</v>
      </c>
      <c r="I180" t="s">
        <v>715</v>
      </c>
      <c r="J180" t="s">
        <v>57</v>
      </c>
      <c r="K180" t="s">
        <v>62</v>
      </c>
      <c r="L180" t="s">
        <v>63</v>
      </c>
      <c r="M180">
        <v>0.47879461567033937</v>
      </c>
      <c r="N180" t="s">
        <v>64</v>
      </c>
      <c r="O180" t="s">
        <v>65</v>
      </c>
      <c r="P180" t="s">
        <v>968</v>
      </c>
      <c r="R180" t="s">
        <v>86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969</v>
      </c>
      <c r="AC180">
        <v>213.73872142654619</v>
      </c>
      <c r="AD180">
        <v>1937.6208159115661</v>
      </c>
    </row>
    <row r="181" spans="1:30" hidden="1" x14ac:dyDescent="0.25">
      <c r="A181">
        <v>181</v>
      </c>
      <c r="B181" t="s">
        <v>713</v>
      </c>
      <c r="C181" t="s">
        <v>376</v>
      </c>
      <c r="E181" t="s">
        <v>72</v>
      </c>
      <c r="F181" t="s">
        <v>40</v>
      </c>
      <c r="G181" t="s">
        <v>41</v>
      </c>
      <c r="H181" t="s">
        <v>714</v>
      </c>
      <c r="I181" t="s">
        <v>715</v>
      </c>
      <c r="J181" t="s">
        <v>57</v>
      </c>
      <c r="K181" t="s">
        <v>62</v>
      </c>
      <c r="L181" t="s">
        <v>63</v>
      </c>
      <c r="M181">
        <v>0.54150871685511359</v>
      </c>
      <c r="N181" t="s">
        <v>64</v>
      </c>
      <c r="O181" t="s">
        <v>65</v>
      </c>
      <c r="P181" t="s">
        <v>968</v>
      </c>
      <c r="R181" t="s">
        <v>86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969</v>
      </c>
      <c r="AC181">
        <v>251.9091356967815</v>
      </c>
      <c r="AD181">
        <v>2191.4167942491108</v>
      </c>
    </row>
    <row r="182" spans="1:30" hidden="1" x14ac:dyDescent="0.25">
      <c r="A182">
        <v>182</v>
      </c>
      <c r="B182" t="s">
        <v>713</v>
      </c>
      <c r="C182" t="s">
        <v>376</v>
      </c>
      <c r="E182" t="s">
        <v>72</v>
      </c>
      <c r="F182" t="s">
        <v>40</v>
      </c>
      <c r="G182" t="s">
        <v>41</v>
      </c>
      <c r="H182" t="s">
        <v>714</v>
      </c>
      <c r="I182" t="s">
        <v>715</v>
      </c>
      <c r="J182" t="s">
        <v>57</v>
      </c>
      <c r="K182" t="s">
        <v>62</v>
      </c>
      <c r="L182" t="s">
        <v>63</v>
      </c>
      <c r="M182">
        <v>0.88314546572049524</v>
      </c>
      <c r="N182" t="s">
        <v>64</v>
      </c>
      <c r="O182" t="s">
        <v>65</v>
      </c>
      <c r="P182" t="s">
        <v>968</v>
      </c>
      <c r="R182" t="s">
        <v>86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969</v>
      </c>
      <c r="AC182">
        <v>285.60752465103809</v>
      </c>
      <c r="AD182">
        <v>3573.9771957589119</v>
      </c>
    </row>
    <row r="183" spans="1:30" hidden="1" x14ac:dyDescent="0.25">
      <c r="A183">
        <v>183</v>
      </c>
      <c r="B183" t="s">
        <v>713</v>
      </c>
      <c r="C183" t="s">
        <v>376</v>
      </c>
      <c r="E183" t="s">
        <v>72</v>
      </c>
      <c r="F183" t="s">
        <v>40</v>
      </c>
      <c r="G183" t="s">
        <v>41</v>
      </c>
      <c r="H183" t="s">
        <v>714</v>
      </c>
      <c r="I183" t="s">
        <v>972</v>
      </c>
      <c r="J183" t="s">
        <v>57</v>
      </c>
      <c r="K183" t="s">
        <v>62</v>
      </c>
      <c r="L183" t="s">
        <v>63</v>
      </c>
      <c r="M183">
        <v>1.459944087565604</v>
      </c>
      <c r="N183" t="s">
        <v>64</v>
      </c>
      <c r="O183" t="s">
        <v>65</v>
      </c>
      <c r="P183" t="s">
        <v>968</v>
      </c>
      <c r="R183" t="s">
        <v>86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969</v>
      </c>
      <c r="AC183">
        <v>459.59793126349962</v>
      </c>
      <c r="AD183">
        <v>5908.2077399171012</v>
      </c>
    </row>
    <row r="184" spans="1:30" hidden="1" x14ac:dyDescent="0.25">
      <c r="A184">
        <v>184</v>
      </c>
      <c r="B184" t="s">
        <v>713</v>
      </c>
      <c r="C184" t="s">
        <v>376</v>
      </c>
      <c r="E184" t="s">
        <v>72</v>
      </c>
      <c r="F184" t="s">
        <v>40</v>
      </c>
      <c r="G184" t="s">
        <v>41</v>
      </c>
      <c r="H184" t="s">
        <v>714</v>
      </c>
      <c r="I184" t="s">
        <v>715</v>
      </c>
      <c r="J184" t="s">
        <v>57</v>
      </c>
      <c r="K184" t="s">
        <v>62</v>
      </c>
      <c r="L184" t="s">
        <v>63</v>
      </c>
      <c r="M184">
        <v>16.670892085522901</v>
      </c>
      <c r="N184" t="s">
        <v>64</v>
      </c>
      <c r="O184" t="s">
        <v>65</v>
      </c>
      <c r="P184" t="s">
        <v>973</v>
      </c>
      <c r="R184" t="s">
        <v>86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752</v>
      </c>
      <c r="AC184">
        <v>1150.883973654916</v>
      </c>
      <c r="AD184">
        <v>67464.976563072079</v>
      </c>
    </row>
    <row r="185" spans="1:30" hidden="1" x14ac:dyDescent="0.25">
      <c r="A185">
        <v>185</v>
      </c>
      <c r="B185" t="s">
        <v>892</v>
      </c>
      <c r="C185" t="s">
        <v>376</v>
      </c>
      <c r="D185">
        <v>3</v>
      </c>
      <c r="E185" t="s">
        <v>72</v>
      </c>
      <c r="F185" t="s">
        <v>40</v>
      </c>
      <c r="G185" t="s">
        <v>41</v>
      </c>
      <c r="H185" t="s">
        <v>714</v>
      </c>
      <c r="I185" t="s">
        <v>715</v>
      </c>
      <c r="J185" t="s">
        <v>863</v>
      </c>
      <c r="K185" t="s">
        <v>113</v>
      </c>
      <c r="L185" t="s">
        <v>114</v>
      </c>
      <c r="M185">
        <v>3.013407463078674</v>
      </c>
      <c r="N185" t="s">
        <v>46</v>
      </c>
      <c r="O185" t="s">
        <v>47</v>
      </c>
      <c r="P185" t="s">
        <v>974</v>
      </c>
      <c r="R185" t="s">
        <v>61</v>
      </c>
      <c r="S185" t="s">
        <v>858</v>
      </c>
      <c r="T185" t="s">
        <v>893</v>
      </c>
      <c r="U185" t="s">
        <v>120</v>
      </c>
      <c r="V185" t="s">
        <v>765</v>
      </c>
      <c r="W185" t="s">
        <v>858</v>
      </c>
      <c r="X185" t="s">
        <v>41</v>
      </c>
      <c r="Y185" t="s">
        <v>803</v>
      </c>
      <c r="Z185" t="s">
        <v>656</v>
      </c>
      <c r="AC185">
        <v>441.74393430791213</v>
      </c>
      <c r="AD185">
        <v>12194.87612472374</v>
      </c>
    </row>
    <row r="186" spans="1:30" hidden="1" x14ac:dyDescent="0.25">
      <c r="A186">
        <v>186</v>
      </c>
      <c r="B186" t="s">
        <v>773</v>
      </c>
      <c r="C186" t="s">
        <v>376</v>
      </c>
      <c r="D186">
        <v>5</v>
      </c>
      <c r="E186" t="s">
        <v>72</v>
      </c>
      <c r="F186" t="s">
        <v>40</v>
      </c>
      <c r="G186" t="s">
        <v>41</v>
      </c>
      <c r="H186" t="s">
        <v>714</v>
      </c>
      <c r="I186" t="s">
        <v>715</v>
      </c>
      <c r="K186" t="s">
        <v>62</v>
      </c>
      <c r="L186" t="s">
        <v>63</v>
      </c>
      <c r="M186">
        <v>4.2136858121514464</v>
      </c>
      <c r="N186" t="s">
        <v>64</v>
      </c>
      <c r="O186" t="s">
        <v>65</v>
      </c>
      <c r="P186" t="s">
        <v>975</v>
      </c>
      <c r="R186" t="s">
        <v>64</v>
      </c>
      <c r="T186" t="s">
        <v>751</v>
      </c>
      <c r="U186" t="s">
        <v>48</v>
      </c>
      <c r="V186" t="s">
        <v>719</v>
      </c>
      <c r="W186" t="s">
        <v>46</v>
      </c>
      <c r="X186" t="s">
        <v>41</v>
      </c>
      <c r="Y186" t="s">
        <v>774</v>
      </c>
      <c r="Z186" t="s">
        <v>701</v>
      </c>
      <c r="AC186">
        <v>682.40908284419788</v>
      </c>
      <c r="AD186">
        <v>17052.249699811429</v>
      </c>
    </row>
    <row r="187" spans="1:30" hidden="1" x14ac:dyDescent="0.25">
      <c r="A187">
        <v>187</v>
      </c>
      <c r="B187" t="s">
        <v>963</v>
      </c>
      <c r="C187" t="s">
        <v>376</v>
      </c>
      <c r="D187">
        <v>26.067</v>
      </c>
      <c r="E187" t="s">
        <v>72</v>
      </c>
      <c r="F187" t="s">
        <v>40</v>
      </c>
      <c r="G187" t="s">
        <v>41</v>
      </c>
      <c r="H187" t="s">
        <v>714</v>
      </c>
      <c r="I187" t="s">
        <v>715</v>
      </c>
      <c r="J187" t="s">
        <v>863</v>
      </c>
      <c r="K187" t="s">
        <v>79</v>
      </c>
      <c r="L187" t="s">
        <v>80</v>
      </c>
      <c r="M187">
        <v>4.7461863798872379</v>
      </c>
      <c r="N187" t="s">
        <v>46</v>
      </c>
      <c r="O187" t="s">
        <v>47</v>
      </c>
      <c r="P187" t="s">
        <v>964</v>
      </c>
      <c r="R187" t="s">
        <v>75</v>
      </c>
      <c r="U187" t="s">
        <v>120</v>
      </c>
      <c r="V187" t="s">
        <v>765</v>
      </c>
      <c r="W187" t="s">
        <v>124</v>
      </c>
      <c r="X187" t="s">
        <v>41</v>
      </c>
      <c r="Y187" t="s">
        <v>962</v>
      </c>
      <c r="Z187" t="s">
        <v>656</v>
      </c>
      <c r="AC187">
        <v>723.5719802121273</v>
      </c>
      <c r="AD187">
        <v>19207.211662123889</v>
      </c>
    </row>
    <row r="188" spans="1:30" hidden="1" x14ac:dyDescent="0.25">
      <c r="A188">
        <v>188</v>
      </c>
      <c r="B188" t="s">
        <v>892</v>
      </c>
      <c r="C188" t="s">
        <v>376</v>
      </c>
      <c r="D188">
        <v>20.8</v>
      </c>
      <c r="E188" t="s">
        <v>72</v>
      </c>
      <c r="F188" t="s">
        <v>40</v>
      </c>
      <c r="G188" t="s">
        <v>41</v>
      </c>
      <c r="H188" t="s">
        <v>714</v>
      </c>
      <c r="I188" t="s">
        <v>715</v>
      </c>
      <c r="J188" t="s">
        <v>863</v>
      </c>
      <c r="K188" t="s">
        <v>113</v>
      </c>
      <c r="L188" t="s">
        <v>114</v>
      </c>
      <c r="M188">
        <v>6.5642685940264807</v>
      </c>
      <c r="N188" t="s">
        <v>46</v>
      </c>
      <c r="O188" t="s">
        <v>47</v>
      </c>
      <c r="P188" t="s">
        <v>57</v>
      </c>
      <c r="R188" t="s">
        <v>61</v>
      </c>
      <c r="S188" t="s">
        <v>858</v>
      </c>
      <c r="T188" t="s">
        <v>893</v>
      </c>
      <c r="U188" t="s">
        <v>120</v>
      </c>
      <c r="V188" t="s">
        <v>765</v>
      </c>
      <c r="W188" t="s">
        <v>858</v>
      </c>
      <c r="X188" t="s">
        <v>41</v>
      </c>
      <c r="Y188" t="s">
        <v>803</v>
      </c>
      <c r="Z188" t="s">
        <v>656</v>
      </c>
      <c r="AC188">
        <v>763.72971221618275</v>
      </c>
      <c r="AD188">
        <v>26564.75877702353</v>
      </c>
    </row>
    <row r="189" spans="1:30" hidden="1" x14ac:dyDescent="0.25">
      <c r="A189">
        <v>189</v>
      </c>
      <c r="B189" t="s">
        <v>57</v>
      </c>
      <c r="C189" t="s">
        <v>376</v>
      </c>
      <c r="D189">
        <v>8.77</v>
      </c>
      <c r="E189" t="s">
        <v>72</v>
      </c>
      <c r="F189" t="s">
        <v>40</v>
      </c>
      <c r="G189" t="s">
        <v>41</v>
      </c>
      <c r="H189" t="s">
        <v>714</v>
      </c>
      <c r="I189" t="s">
        <v>715</v>
      </c>
      <c r="J189" t="s">
        <v>57</v>
      </c>
      <c r="K189" t="s">
        <v>62</v>
      </c>
      <c r="L189" t="s">
        <v>63</v>
      </c>
      <c r="M189">
        <v>8.2900071181402364</v>
      </c>
      <c r="N189" t="s">
        <v>64</v>
      </c>
      <c r="O189" t="s">
        <v>65</v>
      </c>
      <c r="P189" t="s">
        <v>968</v>
      </c>
      <c r="R189" t="s">
        <v>86</v>
      </c>
      <c r="T189" t="s">
        <v>976</v>
      </c>
      <c r="U189" t="s">
        <v>57</v>
      </c>
      <c r="V189" t="s">
        <v>57</v>
      </c>
      <c r="W189" t="s">
        <v>57</v>
      </c>
      <c r="X189" t="s">
        <v>57</v>
      </c>
      <c r="Y189" t="s">
        <v>977</v>
      </c>
      <c r="Z189" t="s">
        <v>978</v>
      </c>
      <c r="AC189">
        <v>788.82880814545558</v>
      </c>
      <c r="AD189">
        <v>33548.6027420643</v>
      </c>
    </row>
    <row r="190" spans="1:30" hidden="1" x14ac:dyDescent="0.25">
      <c r="A190">
        <v>190</v>
      </c>
      <c r="B190" t="s">
        <v>57</v>
      </c>
      <c r="C190" t="s">
        <v>376</v>
      </c>
      <c r="D190">
        <v>0.21</v>
      </c>
      <c r="E190" t="s">
        <v>72</v>
      </c>
      <c r="F190" t="s">
        <v>40</v>
      </c>
      <c r="G190" t="s">
        <v>41</v>
      </c>
      <c r="H190" t="s">
        <v>714</v>
      </c>
      <c r="I190" t="s">
        <v>715</v>
      </c>
      <c r="J190" t="s">
        <v>57</v>
      </c>
      <c r="K190" t="s">
        <v>62</v>
      </c>
      <c r="L190" t="s">
        <v>63</v>
      </c>
      <c r="M190">
        <v>0.1901969892550707</v>
      </c>
      <c r="N190" t="s">
        <v>64</v>
      </c>
      <c r="O190" t="s">
        <v>65</v>
      </c>
      <c r="P190" t="s">
        <v>968</v>
      </c>
      <c r="R190" t="s">
        <v>86</v>
      </c>
      <c r="T190" t="s">
        <v>976</v>
      </c>
      <c r="U190" t="s">
        <v>57</v>
      </c>
      <c r="V190" t="s">
        <v>57</v>
      </c>
      <c r="W190" t="s">
        <v>57</v>
      </c>
      <c r="X190" t="s">
        <v>57</v>
      </c>
      <c r="Y190" t="s">
        <v>977</v>
      </c>
      <c r="Z190" t="s">
        <v>978</v>
      </c>
      <c r="AC190">
        <v>117.7724195759548</v>
      </c>
      <c r="AD190">
        <v>769.70298629689296</v>
      </c>
    </row>
    <row r="191" spans="1:30" hidden="1" x14ac:dyDescent="0.25">
      <c r="A191">
        <v>191</v>
      </c>
      <c r="C191" t="s">
        <v>376</v>
      </c>
      <c r="D191">
        <v>0.25</v>
      </c>
      <c r="E191" t="s">
        <v>72</v>
      </c>
      <c r="F191" t="s">
        <v>40</v>
      </c>
      <c r="G191" t="s">
        <v>41</v>
      </c>
      <c r="H191" t="s">
        <v>714</v>
      </c>
      <c r="I191" t="s">
        <v>715</v>
      </c>
      <c r="J191" t="s">
        <v>57</v>
      </c>
      <c r="K191" t="s">
        <v>99</v>
      </c>
      <c r="L191" t="s">
        <v>100</v>
      </c>
      <c r="M191">
        <v>0.34154771112919668</v>
      </c>
      <c r="N191" t="s">
        <v>60</v>
      </c>
      <c r="O191" t="s">
        <v>66</v>
      </c>
      <c r="P191" t="s">
        <v>57</v>
      </c>
      <c r="R191" t="s">
        <v>75</v>
      </c>
      <c r="T191" t="s">
        <v>979</v>
      </c>
      <c r="U191" t="s">
        <v>120</v>
      </c>
      <c r="V191" t="s">
        <v>765</v>
      </c>
      <c r="W191" t="s">
        <v>139</v>
      </c>
      <c r="X191" t="s">
        <v>57</v>
      </c>
      <c r="Y191" t="s">
        <v>980</v>
      </c>
      <c r="Z191" t="s">
        <v>656</v>
      </c>
      <c r="AC191">
        <v>250.00442161017119</v>
      </c>
      <c r="AD191">
        <v>1382.200077133989</v>
      </c>
    </row>
    <row r="192" spans="1:30" hidden="1" x14ac:dyDescent="0.25">
      <c r="A192">
        <v>192</v>
      </c>
      <c r="B192" t="s">
        <v>57</v>
      </c>
      <c r="C192" t="s">
        <v>376</v>
      </c>
      <c r="D192">
        <v>0.6</v>
      </c>
      <c r="E192" t="s">
        <v>72</v>
      </c>
      <c r="F192" t="s">
        <v>40</v>
      </c>
      <c r="G192" t="s">
        <v>41</v>
      </c>
      <c r="H192" t="s">
        <v>714</v>
      </c>
      <c r="I192" t="s">
        <v>715</v>
      </c>
      <c r="J192" t="s">
        <v>57</v>
      </c>
      <c r="K192" t="s">
        <v>62</v>
      </c>
      <c r="L192" t="s">
        <v>63</v>
      </c>
      <c r="M192">
        <v>0.5260242986210093</v>
      </c>
      <c r="N192" t="s">
        <v>64</v>
      </c>
      <c r="O192" t="s">
        <v>65</v>
      </c>
      <c r="P192" t="s">
        <v>981</v>
      </c>
      <c r="R192" t="s">
        <v>61</v>
      </c>
      <c r="U192" t="s">
        <v>120</v>
      </c>
      <c r="V192" t="s">
        <v>765</v>
      </c>
      <c r="W192" t="s">
        <v>860</v>
      </c>
      <c r="X192" t="s">
        <v>57</v>
      </c>
      <c r="Y192" t="s">
        <v>982</v>
      </c>
      <c r="Z192" t="s">
        <v>57</v>
      </c>
      <c r="AC192">
        <v>208.02060338479811</v>
      </c>
      <c r="AD192">
        <v>2128.7533262176771</v>
      </c>
    </row>
    <row r="193" spans="1:30" hidden="1" x14ac:dyDescent="0.25">
      <c r="A193">
        <v>193</v>
      </c>
      <c r="B193" t="s">
        <v>57</v>
      </c>
      <c r="C193" t="s">
        <v>376</v>
      </c>
      <c r="D193">
        <v>0.3</v>
      </c>
      <c r="E193" t="s">
        <v>72</v>
      </c>
      <c r="F193" t="s">
        <v>40</v>
      </c>
      <c r="G193" t="s">
        <v>41</v>
      </c>
      <c r="H193" t="s">
        <v>714</v>
      </c>
      <c r="I193" t="s">
        <v>715</v>
      </c>
      <c r="J193" t="s">
        <v>57</v>
      </c>
      <c r="K193" t="s">
        <v>62</v>
      </c>
      <c r="L193" t="s">
        <v>63</v>
      </c>
      <c r="M193">
        <v>0.34342235021954559</v>
      </c>
      <c r="N193" t="s">
        <v>64</v>
      </c>
      <c r="O193" t="s">
        <v>65</v>
      </c>
      <c r="P193" t="s">
        <v>981</v>
      </c>
      <c r="R193" t="s">
        <v>61</v>
      </c>
      <c r="U193" t="s">
        <v>120</v>
      </c>
      <c r="V193" t="s">
        <v>765</v>
      </c>
      <c r="W193" t="s">
        <v>860</v>
      </c>
      <c r="X193" t="s">
        <v>57</v>
      </c>
      <c r="Y193" t="s">
        <v>982</v>
      </c>
      <c r="Z193" t="s">
        <v>57</v>
      </c>
      <c r="AC193">
        <v>153.1117670902963</v>
      </c>
      <c r="AD193">
        <v>1389.7865027221219</v>
      </c>
    </row>
    <row r="194" spans="1:30" x14ac:dyDescent="0.25">
      <c r="A194">
        <v>194</v>
      </c>
      <c r="B194" t="s">
        <v>57</v>
      </c>
      <c r="C194" t="s">
        <v>376</v>
      </c>
      <c r="D194">
        <v>0.1</v>
      </c>
      <c r="E194" t="s">
        <v>72</v>
      </c>
      <c r="F194" t="s">
        <v>40</v>
      </c>
      <c r="G194" t="s">
        <v>41</v>
      </c>
      <c r="H194" t="s">
        <v>714</v>
      </c>
      <c r="I194" t="s">
        <v>715</v>
      </c>
      <c r="J194" t="s">
        <v>57</v>
      </c>
      <c r="K194" t="s">
        <v>402</v>
      </c>
      <c r="L194" t="s">
        <v>403</v>
      </c>
      <c r="M194">
        <v>5.6223007203618378E-2</v>
      </c>
      <c r="N194">
        <v>0</v>
      </c>
      <c r="O194" t="s">
        <v>38</v>
      </c>
      <c r="P194" t="s">
        <v>57</v>
      </c>
      <c r="R194" t="s">
        <v>64</v>
      </c>
      <c r="T194" t="s">
        <v>983</v>
      </c>
      <c r="U194" t="s">
        <v>48</v>
      </c>
      <c r="V194" t="s">
        <v>719</v>
      </c>
      <c r="W194" t="s">
        <v>46</v>
      </c>
      <c r="X194" t="s">
        <v>57</v>
      </c>
      <c r="Y194" t="s">
        <v>984</v>
      </c>
      <c r="Z194" t="s">
        <v>57</v>
      </c>
      <c r="AC194">
        <v>61.983754479062767</v>
      </c>
      <c r="AD194">
        <v>227.527347897086</v>
      </c>
    </row>
    <row r="195" spans="1:30" hidden="1" x14ac:dyDescent="0.25">
      <c r="A195">
        <v>195</v>
      </c>
      <c r="B195" t="s">
        <v>57</v>
      </c>
      <c r="C195" t="s">
        <v>376</v>
      </c>
      <c r="D195">
        <v>4.5</v>
      </c>
      <c r="E195" t="s">
        <v>72</v>
      </c>
      <c r="F195" t="s">
        <v>40</v>
      </c>
      <c r="G195" t="s">
        <v>41</v>
      </c>
      <c r="H195" t="s">
        <v>714</v>
      </c>
      <c r="I195" t="s">
        <v>715</v>
      </c>
      <c r="J195" t="s">
        <v>57</v>
      </c>
      <c r="K195" t="s">
        <v>62</v>
      </c>
      <c r="L195" t="s">
        <v>63</v>
      </c>
      <c r="M195">
        <v>4.529498428707198</v>
      </c>
      <c r="N195" t="s">
        <v>64</v>
      </c>
      <c r="O195" t="s">
        <v>65</v>
      </c>
      <c r="P195" t="s">
        <v>57</v>
      </c>
      <c r="R195" t="s">
        <v>86</v>
      </c>
      <c r="T195" t="s">
        <v>976</v>
      </c>
      <c r="U195" t="s">
        <v>57</v>
      </c>
      <c r="V195" t="s">
        <v>57</v>
      </c>
      <c r="W195" t="s">
        <v>57</v>
      </c>
      <c r="X195" t="s">
        <v>57</v>
      </c>
      <c r="Y195" t="s">
        <v>985</v>
      </c>
      <c r="Z195" t="s">
        <v>57</v>
      </c>
      <c r="AC195">
        <v>536.95124567026778</v>
      </c>
      <c r="AD195">
        <v>18330.30312760362</v>
      </c>
    </row>
    <row r="196" spans="1:30" hidden="1" x14ac:dyDescent="0.25">
      <c r="A196">
        <v>196</v>
      </c>
      <c r="B196" t="s">
        <v>57</v>
      </c>
      <c r="C196" t="s">
        <v>376</v>
      </c>
      <c r="E196" t="s">
        <v>72</v>
      </c>
      <c r="F196" t="s">
        <v>40</v>
      </c>
      <c r="G196" t="s">
        <v>41</v>
      </c>
      <c r="H196" t="s">
        <v>714</v>
      </c>
      <c r="I196" t="s">
        <v>715</v>
      </c>
      <c r="J196" t="s">
        <v>57</v>
      </c>
      <c r="K196" t="s">
        <v>62</v>
      </c>
      <c r="L196" t="s">
        <v>63</v>
      </c>
      <c r="M196">
        <v>9.4973601337101116E-2</v>
      </c>
      <c r="N196" t="s">
        <v>64</v>
      </c>
      <c r="O196" t="s">
        <v>65</v>
      </c>
      <c r="P196" t="s">
        <v>57</v>
      </c>
      <c r="R196" t="s">
        <v>61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AC196">
        <v>110.9752402545323</v>
      </c>
      <c r="AD196">
        <v>384.3460659122311</v>
      </c>
    </row>
    <row r="197" spans="1:30" x14ac:dyDescent="0.25">
      <c r="A197">
        <v>197</v>
      </c>
      <c r="B197" t="s">
        <v>57</v>
      </c>
      <c r="C197" t="s">
        <v>376</v>
      </c>
      <c r="E197" t="s">
        <v>72</v>
      </c>
      <c r="F197" t="s">
        <v>40</v>
      </c>
      <c r="G197" t="s">
        <v>41</v>
      </c>
      <c r="H197" t="s">
        <v>714</v>
      </c>
      <c r="I197" t="s">
        <v>715</v>
      </c>
      <c r="J197" t="s">
        <v>57</v>
      </c>
      <c r="K197" t="s">
        <v>402</v>
      </c>
      <c r="L197" t="s">
        <v>403</v>
      </c>
      <c r="M197">
        <v>0.16426587506252729</v>
      </c>
      <c r="N197">
        <v>0</v>
      </c>
      <c r="O197" t="s">
        <v>38</v>
      </c>
      <c r="P197" t="s">
        <v>745</v>
      </c>
      <c r="R197" t="s">
        <v>75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AC197">
        <v>125.0510804860384</v>
      </c>
      <c r="AD197">
        <v>664.76307052756761</v>
      </c>
    </row>
    <row r="198" spans="1:30" hidden="1" x14ac:dyDescent="0.25">
      <c r="A198">
        <v>199</v>
      </c>
      <c r="B198" t="s">
        <v>986</v>
      </c>
      <c r="C198" t="s">
        <v>376</v>
      </c>
      <c r="D198">
        <v>7.3</v>
      </c>
      <c r="E198" t="s">
        <v>72</v>
      </c>
      <c r="F198" t="s">
        <v>40</v>
      </c>
      <c r="G198" t="s">
        <v>41</v>
      </c>
      <c r="H198" t="s">
        <v>714</v>
      </c>
      <c r="I198" t="s">
        <v>715</v>
      </c>
      <c r="J198" t="s">
        <v>57</v>
      </c>
      <c r="K198" t="s">
        <v>62</v>
      </c>
      <c r="L198" t="s">
        <v>63</v>
      </c>
      <c r="M198">
        <v>7.3194216790998716</v>
      </c>
      <c r="N198" t="s">
        <v>64</v>
      </c>
      <c r="O198" t="s">
        <v>65</v>
      </c>
      <c r="P198" t="s">
        <v>57</v>
      </c>
      <c r="R198" t="s">
        <v>64</v>
      </c>
      <c r="T198" t="s">
        <v>987</v>
      </c>
      <c r="U198" t="s">
        <v>48</v>
      </c>
      <c r="V198" t="s">
        <v>765</v>
      </c>
      <c r="W198" t="s">
        <v>76</v>
      </c>
      <c r="X198" t="s">
        <v>41</v>
      </c>
      <c r="Y198" t="s">
        <v>988</v>
      </c>
      <c r="AA198" t="s">
        <v>989</v>
      </c>
      <c r="AB198" t="s">
        <v>990</v>
      </c>
      <c r="AC198">
        <v>825.62857717570876</v>
      </c>
      <c r="AD198">
        <v>29620.767113269081</v>
      </c>
    </row>
    <row r="199" spans="1:30" hidden="1" x14ac:dyDescent="0.25">
      <c r="A199">
        <v>200</v>
      </c>
      <c r="B199" t="s">
        <v>986</v>
      </c>
      <c r="C199" t="s">
        <v>376</v>
      </c>
      <c r="D199">
        <v>4.7</v>
      </c>
      <c r="E199" t="s">
        <v>72</v>
      </c>
      <c r="F199" t="s">
        <v>40</v>
      </c>
      <c r="G199" t="s">
        <v>41</v>
      </c>
      <c r="H199" t="s">
        <v>714</v>
      </c>
      <c r="I199" t="s">
        <v>715</v>
      </c>
      <c r="J199" t="s">
        <v>57</v>
      </c>
      <c r="K199" t="s">
        <v>62</v>
      </c>
      <c r="L199" t="s">
        <v>63</v>
      </c>
      <c r="M199">
        <v>4.700785983908264</v>
      </c>
      <c r="N199" t="s">
        <v>64</v>
      </c>
      <c r="O199" t="s">
        <v>65</v>
      </c>
      <c r="P199" t="s">
        <v>57</v>
      </c>
      <c r="R199" t="s">
        <v>64</v>
      </c>
      <c r="T199" t="s">
        <v>991</v>
      </c>
      <c r="U199" t="s">
        <v>48</v>
      </c>
      <c r="V199" t="s">
        <v>765</v>
      </c>
      <c r="W199" t="s">
        <v>76</v>
      </c>
      <c r="X199" t="s">
        <v>41</v>
      </c>
      <c r="Y199" t="s">
        <v>988</v>
      </c>
      <c r="Z199" t="s">
        <v>992</v>
      </c>
      <c r="AA199" t="s">
        <v>993</v>
      </c>
      <c r="AC199">
        <v>600.79475406907807</v>
      </c>
      <c r="AD199">
        <v>19023.48204315914</v>
      </c>
    </row>
    <row r="200" spans="1:30" x14ac:dyDescent="0.25">
      <c r="A200">
        <v>201</v>
      </c>
      <c r="C200" t="s">
        <v>376</v>
      </c>
      <c r="E200" t="s">
        <v>72</v>
      </c>
      <c r="F200" t="s">
        <v>40</v>
      </c>
      <c r="G200" t="s">
        <v>41</v>
      </c>
      <c r="H200" t="s">
        <v>714</v>
      </c>
      <c r="I200" t="s">
        <v>715</v>
      </c>
      <c r="K200" t="s">
        <v>402</v>
      </c>
      <c r="L200" t="s">
        <v>403</v>
      </c>
      <c r="M200">
        <v>17.25200241811477</v>
      </c>
      <c r="N200">
        <v>0</v>
      </c>
      <c r="O200" t="s">
        <v>38</v>
      </c>
      <c r="P200" t="s">
        <v>745</v>
      </c>
      <c r="R200" t="s">
        <v>64</v>
      </c>
      <c r="Y200" t="s">
        <v>994</v>
      </c>
      <c r="AC200">
        <v>3474.6640650380159</v>
      </c>
      <c r="AD200">
        <v>69816.656051353013</v>
      </c>
    </row>
    <row r="201" spans="1:30" hidden="1" x14ac:dyDescent="0.25">
      <c r="A201">
        <v>202</v>
      </c>
      <c r="C201" t="s">
        <v>376</v>
      </c>
      <c r="D201">
        <v>5.0887230737874507</v>
      </c>
      <c r="E201" t="s">
        <v>72</v>
      </c>
      <c r="F201" t="s">
        <v>40</v>
      </c>
      <c r="G201" t="s">
        <v>41</v>
      </c>
      <c r="H201" t="s">
        <v>714</v>
      </c>
      <c r="I201" t="s">
        <v>715</v>
      </c>
      <c r="K201" t="s">
        <v>79</v>
      </c>
      <c r="L201" t="s">
        <v>80</v>
      </c>
      <c r="M201">
        <v>5.0887027189155107</v>
      </c>
      <c r="N201" t="s">
        <v>60</v>
      </c>
      <c r="O201" t="s">
        <v>66</v>
      </c>
      <c r="R201" t="s">
        <v>64</v>
      </c>
      <c r="T201" t="s">
        <v>995</v>
      </c>
      <c r="U201" t="s">
        <v>48</v>
      </c>
      <c r="V201" t="s">
        <v>765</v>
      </c>
      <c r="W201" t="s">
        <v>76</v>
      </c>
      <c r="X201" t="s">
        <v>41</v>
      </c>
      <c r="Y201" t="s">
        <v>988</v>
      </c>
      <c r="AA201" t="s">
        <v>694</v>
      </c>
      <c r="AB201" t="s">
        <v>996</v>
      </c>
      <c r="AC201">
        <v>508.70761517364531</v>
      </c>
      <c r="AD201">
        <v>20593.33165297181</v>
      </c>
    </row>
    <row r="202" spans="1:30" hidden="1" x14ac:dyDescent="0.25">
      <c r="A202">
        <v>203</v>
      </c>
      <c r="C202" t="s">
        <v>376</v>
      </c>
      <c r="D202">
        <v>5.875</v>
      </c>
      <c r="E202" t="s">
        <v>72</v>
      </c>
      <c r="F202" t="s">
        <v>40</v>
      </c>
      <c r="G202" t="s">
        <v>41</v>
      </c>
      <c r="H202" t="s">
        <v>714</v>
      </c>
      <c r="I202" t="s">
        <v>715</v>
      </c>
      <c r="J202" t="s">
        <v>863</v>
      </c>
      <c r="K202" t="s">
        <v>62</v>
      </c>
      <c r="L202" t="s">
        <v>63</v>
      </c>
      <c r="M202">
        <v>5.7618336067976577</v>
      </c>
      <c r="N202" t="s">
        <v>64</v>
      </c>
      <c r="O202" t="s">
        <v>65</v>
      </c>
      <c r="P202" t="s">
        <v>997</v>
      </c>
      <c r="R202" t="s">
        <v>86</v>
      </c>
      <c r="T202" t="s">
        <v>998</v>
      </c>
      <c r="U202" t="s">
        <v>120</v>
      </c>
      <c r="V202" t="s">
        <v>765</v>
      </c>
      <c r="W202" t="s">
        <v>896</v>
      </c>
      <c r="X202" t="s">
        <v>41</v>
      </c>
      <c r="Y202" t="s">
        <v>999</v>
      </c>
      <c r="Z202" t="s">
        <v>1000</v>
      </c>
      <c r="AC202">
        <v>657.44465887752369</v>
      </c>
      <c r="AD202">
        <v>23317.406606002409</v>
      </c>
    </row>
    <row r="203" spans="1:30" x14ac:dyDescent="0.25">
      <c r="A203">
        <v>204</v>
      </c>
      <c r="B203" t="s">
        <v>797</v>
      </c>
      <c r="C203" t="s">
        <v>376</v>
      </c>
      <c r="D203">
        <v>14.3</v>
      </c>
      <c r="E203" t="s">
        <v>72</v>
      </c>
      <c r="F203" t="s">
        <v>40</v>
      </c>
      <c r="G203" t="s">
        <v>41</v>
      </c>
      <c r="H203" t="s">
        <v>714</v>
      </c>
      <c r="I203" t="s">
        <v>715</v>
      </c>
      <c r="J203" t="s">
        <v>798</v>
      </c>
      <c r="K203" t="s">
        <v>402</v>
      </c>
      <c r="L203" t="s">
        <v>403</v>
      </c>
      <c r="M203">
        <v>2.335340249011836</v>
      </c>
      <c r="N203">
        <v>0</v>
      </c>
      <c r="O203" t="s">
        <v>38</v>
      </c>
      <c r="P203" t="s">
        <v>745</v>
      </c>
      <c r="R203" t="s">
        <v>64</v>
      </c>
      <c r="T203" t="s">
        <v>799</v>
      </c>
      <c r="U203" t="s">
        <v>48</v>
      </c>
      <c r="V203" t="s">
        <v>765</v>
      </c>
      <c r="W203" t="s">
        <v>76</v>
      </c>
      <c r="X203" t="s">
        <v>41</v>
      </c>
      <c r="Y203" t="s">
        <v>724</v>
      </c>
      <c r="Z203" t="s">
        <v>422</v>
      </c>
      <c r="AC203">
        <v>523.04447642641571</v>
      </c>
      <c r="AD203">
        <v>9450.824488462913</v>
      </c>
    </row>
    <row r="204" spans="1:30" hidden="1" x14ac:dyDescent="0.25">
      <c r="A204">
        <v>205</v>
      </c>
      <c r="B204" t="s">
        <v>743</v>
      </c>
      <c r="C204" t="s">
        <v>376</v>
      </c>
      <c r="D204">
        <v>5.3</v>
      </c>
      <c r="E204" t="s">
        <v>72</v>
      </c>
      <c r="F204" t="s">
        <v>40</v>
      </c>
      <c r="G204" t="s">
        <v>41</v>
      </c>
      <c r="H204" t="s">
        <v>714</v>
      </c>
      <c r="I204" t="s">
        <v>715</v>
      </c>
      <c r="J204" t="s">
        <v>731</v>
      </c>
      <c r="K204" t="s">
        <v>62</v>
      </c>
      <c r="L204" t="s">
        <v>63</v>
      </c>
      <c r="M204">
        <v>0.63365565354671194</v>
      </c>
      <c r="N204" t="s">
        <v>64</v>
      </c>
      <c r="O204" t="s">
        <v>65</v>
      </c>
      <c r="P204" t="s">
        <v>57</v>
      </c>
      <c r="R204" t="s">
        <v>60</v>
      </c>
      <c r="T204" t="s">
        <v>732</v>
      </c>
      <c r="U204" t="s">
        <v>48</v>
      </c>
      <c r="V204" t="s">
        <v>719</v>
      </c>
      <c r="W204" t="s">
        <v>110</v>
      </c>
      <c r="X204" t="s">
        <v>41</v>
      </c>
      <c r="Y204" t="s">
        <v>738</v>
      </c>
      <c r="Z204" t="s">
        <v>399</v>
      </c>
      <c r="AC204">
        <v>208.35779011282619</v>
      </c>
      <c r="AD204">
        <v>2564.3237084301568</v>
      </c>
    </row>
    <row r="205" spans="1:30" hidden="1" x14ac:dyDescent="0.25">
      <c r="A205">
        <v>206</v>
      </c>
      <c r="B205" t="s">
        <v>879</v>
      </c>
      <c r="C205" t="s">
        <v>376</v>
      </c>
      <c r="D205">
        <v>17.600000000000001</v>
      </c>
      <c r="E205" t="s">
        <v>72</v>
      </c>
      <c r="F205" t="s">
        <v>40</v>
      </c>
      <c r="G205" t="s">
        <v>41</v>
      </c>
      <c r="H205" t="s">
        <v>714</v>
      </c>
      <c r="I205" t="s">
        <v>715</v>
      </c>
      <c r="J205" t="s">
        <v>863</v>
      </c>
      <c r="K205" t="s">
        <v>62</v>
      </c>
      <c r="L205" t="s">
        <v>63</v>
      </c>
      <c r="M205">
        <v>7.8655484187428746</v>
      </c>
      <c r="N205" t="s">
        <v>64</v>
      </c>
      <c r="O205" t="s">
        <v>65</v>
      </c>
      <c r="P205" t="s">
        <v>57</v>
      </c>
      <c r="R205" t="s">
        <v>61</v>
      </c>
      <c r="T205" t="s">
        <v>865</v>
      </c>
      <c r="U205" t="s">
        <v>120</v>
      </c>
      <c r="V205" t="s">
        <v>765</v>
      </c>
      <c r="W205" t="s">
        <v>858</v>
      </c>
      <c r="X205" t="s">
        <v>41</v>
      </c>
      <c r="Y205" t="s">
        <v>803</v>
      </c>
      <c r="Z205" t="s">
        <v>656</v>
      </c>
      <c r="AC205">
        <v>1014.703135879889</v>
      </c>
      <c r="AD205">
        <v>31830.87245745027</v>
      </c>
    </row>
    <row r="206" spans="1:30" x14ac:dyDescent="0.25">
      <c r="A206">
        <v>207</v>
      </c>
      <c r="B206" t="s">
        <v>1001</v>
      </c>
      <c r="C206" t="s">
        <v>376</v>
      </c>
      <c r="D206">
        <v>30</v>
      </c>
      <c r="E206" t="s">
        <v>72</v>
      </c>
      <c r="F206" t="s">
        <v>40</v>
      </c>
      <c r="G206" t="s">
        <v>41</v>
      </c>
      <c r="H206" t="s">
        <v>714</v>
      </c>
      <c r="I206" t="s">
        <v>715</v>
      </c>
      <c r="J206" t="s">
        <v>57</v>
      </c>
      <c r="K206" t="s">
        <v>402</v>
      </c>
      <c r="L206" t="s">
        <v>403</v>
      </c>
      <c r="M206">
        <v>28.777375648566089</v>
      </c>
      <c r="N206">
        <v>0</v>
      </c>
      <c r="O206" t="s">
        <v>38</v>
      </c>
      <c r="P206" t="s">
        <v>890</v>
      </c>
      <c r="R206" t="s">
        <v>75</v>
      </c>
      <c r="U206" t="s">
        <v>120</v>
      </c>
      <c r="V206" t="s">
        <v>765</v>
      </c>
      <c r="W206" t="s">
        <v>860</v>
      </c>
      <c r="X206" t="s">
        <v>41</v>
      </c>
      <c r="Y206" t="s">
        <v>891</v>
      </c>
      <c r="AC206">
        <v>1509.309266852267</v>
      </c>
      <c r="AD206">
        <v>116458.3732962444</v>
      </c>
    </row>
    <row r="207" spans="1:30" x14ac:dyDescent="0.25">
      <c r="A207">
        <v>208</v>
      </c>
      <c r="B207" t="s">
        <v>1002</v>
      </c>
      <c r="C207" t="s">
        <v>376</v>
      </c>
      <c r="D207">
        <v>4.7</v>
      </c>
      <c r="E207" t="s">
        <v>72</v>
      </c>
      <c r="F207" t="s">
        <v>40</v>
      </c>
      <c r="G207" t="s">
        <v>41</v>
      </c>
      <c r="H207" t="s">
        <v>714</v>
      </c>
      <c r="I207" t="s">
        <v>715</v>
      </c>
      <c r="J207" t="s">
        <v>57</v>
      </c>
      <c r="K207" t="s">
        <v>402</v>
      </c>
      <c r="L207" t="s">
        <v>403</v>
      </c>
      <c r="M207">
        <v>4.3494053134387132</v>
      </c>
      <c r="N207">
        <v>0</v>
      </c>
      <c r="O207" t="s">
        <v>38</v>
      </c>
      <c r="P207" t="s">
        <v>673</v>
      </c>
      <c r="R207" t="s">
        <v>86</v>
      </c>
      <c r="U207" t="s">
        <v>120</v>
      </c>
      <c r="V207" t="s">
        <v>765</v>
      </c>
      <c r="W207" t="s">
        <v>860</v>
      </c>
      <c r="X207" t="s">
        <v>41</v>
      </c>
      <c r="Y207" t="s">
        <v>1003</v>
      </c>
      <c r="AC207">
        <v>581.80647783362576</v>
      </c>
      <c r="AD207">
        <v>17601.489232196662</v>
      </c>
    </row>
    <row r="208" spans="1:30" x14ac:dyDescent="0.25">
      <c r="A208">
        <v>209</v>
      </c>
      <c r="B208" t="s">
        <v>1004</v>
      </c>
      <c r="C208" t="s">
        <v>376</v>
      </c>
      <c r="D208">
        <v>5.2</v>
      </c>
      <c r="E208" t="s">
        <v>72</v>
      </c>
      <c r="F208" t="s">
        <v>40</v>
      </c>
      <c r="G208" t="s">
        <v>41</v>
      </c>
      <c r="H208" t="s">
        <v>714</v>
      </c>
      <c r="I208" t="s">
        <v>715</v>
      </c>
      <c r="J208" t="s">
        <v>57</v>
      </c>
      <c r="K208" t="s">
        <v>402</v>
      </c>
      <c r="L208" t="s">
        <v>403</v>
      </c>
      <c r="M208">
        <v>5.0824133615209766</v>
      </c>
      <c r="N208">
        <v>0</v>
      </c>
      <c r="O208" t="s">
        <v>38</v>
      </c>
      <c r="P208" t="s">
        <v>890</v>
      </c>
      <c r="R208" t="s">
        <v>61</v>
      </c>
      <c r="U208" t="s">
        <v>120</v>
      </c>
      <c r="V208" t="s">
        <v>765</v>
      </c>
      <c r="W208" t="s">
        <v>858</v>
      </c>
      <c r="X208" t="s">
        <v>41</v>
      </c>
      <c r="Y208" t="s">
        <v>891</v>
      </c>
      <c r="AC208">
        <v>805.02295099251387</v>
      </c>
      <c r="AD208">
        <v>20567.879424798171</v>
      </c>
    </row>
    <row r="209" spans="1:30" x14ac:dyDescent="0.25">
      <c r="A209">
        <v>210</v>
      </c>
      <c r="B209" t="s">
        <v>1005</v>
      </c>
      <c r="C209" t="s">
        <v>376</v>
      </c>
      <c r="D209">
        <v>26.6</v>
      </c>
      <c r="E209" t="s">
        <v>72</v>
      </c>
      <c r="F209" t="s">
        <v>40</v>
      </c>
      <c r="G209" t="s">
        <v>41</v>
      </c>
      <c r="H209" t="s">
        <v>714</v>
      </c>
      <c r="I209" t="s">
        <v>715</v>
      </c>
      <c r="J209" t="s">
        <v>57</v>
      </c>
      <c r="K209" t="s">
        <v>402</v>
      </c>
      <c r="L209" t="s">
        <v>403</v>
      </c>
      <c r="M209">
        <v>25.917681570099941</v>
      </c>
      <c r="N209">
        <v>0</v>
      </c>
      <c r="O209" t="s">
        <v>38</v>
      </c>
      <c r="P209" t="s">
        <v>673</v>
      </c>
      <c r="R209" t="s">
        <v>86</v>
      </c>
      <c r="U209" t="s">
        <v>120</v>
      </c>
      <c r="V209" t="s">
        <v>765</v>
      </c>
      <c r="W209" t="s">
        <v>896</v>
      </c>
      <c r="X209" t="s">
        <v>41</v>
      </c>
      <c r="Y209" t="s">
        <v>910</v>
      </c>
      <c r="AC209">
        <v>1281.716199958631</v>
      </c>
      <c r="AD209">
        <v>104885.5556574801</v>
      </c>
    </row>
    <row r="210" spans="1:30" x14ac:dyDescent="0.25">
      <c r="A210">
        <v>211</v>
      </c>
      <c r="B210" t="s">
        <v>1006</v>
      </c>
      <c r="C210" t="s">
        <v>376</v>
      </c>
      <c r="D210">
        <v>4.3</v>
      </c>
      <c r="E210" t="s">
        <v>72</v>
      </c>
      <c r="F210" t="s">
        <v>40</v>
      </c>
      <c r="G210" t="s">
        <v>41</v>
      </c>
      <c r="H210" t="s">
        <v>714</v>
      </c>
      <c r="I210" t="s">
        <v>715</v>
      </c>
      <c r="K210" t="s">
        <v>402</v>
      </c>
      <c r="L210" t="s">
        <v>403</v>
      </c>
      <c r="M210">
        <v>5.0625988976338441</v>
      </c>
      <c r="N210">
        <v>0</v>
      </c>
      <c r="O210" t="s">
        <v>38</v>
      </c>
      <c r="P210" t="s">
        <v>917</v>
      </c>
      <c r="R210" t="s">
        <v>86</v>
      </c>
      <c r="U210" t="s">
        <v>120</v>
      </c>
      <c r="V210" t="s">
        <v>765</v>
      </c>
      <c r="W210" t="s">
        <v>712</v>
      </c>
      <c r="X210" t="s">
        <v>41</v>
      </c>
      <c r="Y210" t="s">
        <v>891</v>
      </c>
      <c r="Z210" t="s">
        <v>317</v>
      </c>
      <c r="AC210">
        <v>735.70843279967505</v>
      </c>
      <c r="AD210">
        <v>20487.69281361398</v>
      </c>
    </row>
    <row r="211" spans="1:30" x14ac:dyDescent="0.25">
      <c r="A211">
        <v>212</v>
      </c>
      <c r="B211" t="s">
        <v>1007</v>
      </c>
      <c r="C211" t="s">
        <v>376</v>
      </c>
      <c r="D211">
        <v>25.1</v>
      </c>
      <c r="E211" t="s">
        <v>72</v>
      </c>
      <c r="F211" t="s">
        <v>40</v>
      </c>
      <c r="G211" t="s">
        <v>41</v>
      </c>
      <c r="H211" t="s">
        <v>714</v>
      </c>
      <c r="I211" t="s">
        <v>715</v>
      </c>
      <c r="J211" t="s">
        <v>57</v>
      </c>
      <c r="K211" t="s">
        <v>402</v>
      </c>
      <c r="L211" t="s">
        <v>403</v>
      </c>
      <c r="M211">
        <v>24.00301109298875</v>
      </c>
      <c r="N211">
        <v>0</v>
      </c>
      <c r="O211" t="s">
        <v>38</v>
      </c>
      <c r="P211" t="s">
        <v>890</v>
      </c>
      <c r="R211" t="s">
        <v>86</v>
      </c>
      <c r="U211" t="s">
        <v>120</v>
      </c>
      <c r="V211" t="s">
        <v>765</v>
      </c>
      <c r="W211" t="s">
        <v>712</v>
      </c>
      <c r="X211" t="s">
        <v>41</v>
      </c>
      <c r="Y211" t="s">
        <v>891</v>
      </c>
      <c r="AC211">
        <v>1942.833052681053</v>
      </c>
      <c r="AD211">
        <v>97137.128146724004</v>
      </c>
    </row>
    <row r="212" spans="1:30" x14ac:dyDescent="0.25">
      <c r="A212">
        <v>213</v>
      </c>
      <c r="B212" t="s">
        <v>1008</v>
      </c>
      <c r="C212" t="s">
        <v>376</v>
      </c>
      <c r="D212">
        <v>15.9</v>
      </c>
      <c r="E212" t="s">
        <v>72</v>
      </c>
      <c r="F212" t="s">
        <v>40</v>
      </c>
      <c r="G212" t="s">
        <v>41</v>
      </c>
      <c r="H212" t="s">
        <v>714</v>
      </c>
      <c r="I212" t="s">
        <v>715</v>
      </c>
      <c r="J212" t="s">
        <v>57</v>
      </c>
      <c r="K212" t="s">
        <v>402</v>
      </c>
      <c r="L212" t="s">
        <v>403</v>
      </c>
      <c r="M212">
        <v>15.66194764606203</v>
      </c>
      <c r="N212">
        <v>0</v>
      </c>
      <c r="O212" t="s">
        <v>38</v>
      </c>
      <c r="P212" t="s">
        <v>890</v>
      </c>
      <c r="R212" t="s">
        <v>61</v>
      </c>
      <c r="U212" t="s">
        <v>120</v>
      </c>
      <c r="V212" t="s">
        <v>765</v>
      </c>
      <c r="W212" t="s">
        <v>858</v>
      </c>
      <c r="X212" t="s">
        <v>41</v>
      </c>
      <c r="Y212" t="s">
        <v>891</v>
      </c>
      <c r="AC212">
        <v>1071.532905967299</v>
      </c>
      <c r="AD212">
        <v>63381.906946132949</v>
      </c>
    </row>
    <row r="213" spans="1:30" x14ac:dyDescent="0.25">
      <c r="A213">
        <v>214</v>
      </c>
      <c r="B213" t="s">
        <v>1009</v>
      </c>
      <c r="C213" t="s">
        <v>376</v>
      </c>
      <c r="D213">
        <v>4.7</v>
      </c>
      <c r="E213" t="s">
        <v>72</v>
      </c>
      <c r="F213" t="s">
        <v>40</v>
      </c>
      <c r="G213" t="s">
        <v>41</v>
      </c>
      <c r="H213" t="s">
        <v>714</v>
      </c>
      <c r="I213" t="s">
        <v>715</v>
      </c>
      <c r="J213" t="s">
        <v>57</v>
      </c>
      <c r="K213" t="s">
        <v>402</v>
      </c>
      <c r="L213" t="s">
        <v>403</v>
      </c>
      <c r="M213">
        <v>4.7105195784878191</v>
      </c>
      <c r="N213">
        <v>0</v>
      </c>
      <c r="O213" t="s">
        <v>38</v>
      </c>
      <c r="P213" t="s">
        <v>890</v>
      </c>
      <c r="R213" t="s">
        <v>61</v>
      </c>
      <c r="U213" t="s">
        <v>120</v>
      </c>
      <c r="V213" t="s">
        <v>765</v>
      </c>
      <c r="W213" t="s">
        <v>858</v>
      </c>
      <c r="X213" t="s">
        <v>41</v>
      </c>
      <c r="Y213" t="s">
        <v>891</v>
      </c>
      <c r="AC213">
        <v>665.62667010462155</v>
      </c>
      <c r="AD213">
        <v>19062.872660458761</v>
      </c>
    </row>
    <row r="214" spans="1:30" x14ac:dyDescent="0.25">
      <c r="A214">
        <v>215</v>
      </c>
      <c r="B214" t="s">
        <v>1010</v>
      </c>
      <c r="C214" t="s">
        <v>376</v>
      </c>
      <c r="D214">
        <v>10.5</v>
      </c>
      <c r="E214" t="s">
        <v>72</v>
      </c>
      <c r="F214" t="s">
        <v>40</v>
      </c>
      <c r="G214" t="s">
        <v>41</v>
      </c>
      <c r="H214" t="s">
        <v>714</v>
      </c>
      <c r="I214" t="s">
        <v>715</v>
      </c>
      <c r="K214" t="s">
        <v>402</v>
      </c>
      <c r="L214" t="s">
        <v>403</v>
      </c>
      <c r="M214">
        <v>10.21233968837578</v>
      </c>
      <c r="N214">
        <v>0</v>
      </c>
      <c r="O214" t="s">
        <v>38</v>
      </c>
      <c r="P214" t="s">
        <v>1011</v>
      </c>
      <c r="R214" t="s">
        <v>61</v>
      </c>
      <c r="T214" t="s">
        <v>865</v>
      </c>
      <c r="U214" t="s">
        <v>120</v>
      </c>
      <c r="V214" t="s">
        <v>765</v>
      </c>
      <c r="W214" t="s">
        <v>563</v>
      </c>
      <c r="X214" t="s">
        <v>41</v>
      </c>
      <c r="Y214" t="s">
        <v>891</v>
      </c>
      <c r="Z214" t="s">
        <v>656</v>
      </c>
      <c r="AC214">
        <v>868.41359666839605</v>
      </c>
      <c r="AD214">
        <v>41328.037767619717</v>
      </c>
    </row>
    <row r="215" spans="1:30" x14ac:dyDescent="0.25">
      <c r="A215">
        <v>216</v>
      </c>
      <c r="B215" t="s">
        <v>1012</v>
      </c>
      <c r="C215" t="s">
        <v>376</v>
      </c>
      <c r="D215">
        <v>3.6</v>
      </c>
      <c r="E215" t="s">
        <v>72</v>
      </c>
      <c r="F215" t="s">
        <v>40</v>
      </c>
      <c r="G215" t="s">
        <v>41</v>
      </c>
      <c r="H215" t="s">
        <v>714</v>
      </c>
      <c r="I215" t="s">
        <v>715</v>
      </c>
      <c r="J215" t="s">
        <v>57</v>
      </c>
      <c r="K215" t="s">
        <v>402</v>
      </c>
      <c r="L215" t="s">
        <v>403</v>
      </c>
      <c r="M215">
        <v>3.6615206538274552</v>
      </c>
      <c r="N215">
        <v>0</v>
      </c>
      <c r="O215" t="s">
        <v>38</v>
      </c>
      <c r="P215" t="s">
        <v>890</v>
      </c>
      <c r="R215" t="s">
        <v>61</v>
      </c>
      <c r="U215" t="s">
        <v>120</v>
      </c>
      <c r="V215" t="s">
        <v>765</v>
      </c>
      <c r="W215" t="s">
        <v>858</v>
      </c>
      <c r="X215" t="s">
        <v>41</v>
      </c>
      <c r="Y215" t="s">
        <v>891</v>
      </c>
      <c r="AC215">
        <v>694.60449502835081</v>
      </c>
      <c r="AD215">
        <v>14817.707644463189</v>
      </c>
    </row>
    <row r="216" spans="1:30" x14ac:dyDescent="0.25">
      <c r="A216">
        <v>217</v>
      </c>
      <c r="B216" t="s">
        <v>1013</v>
      </c>
      <c r="C216" t="s">
        <v>376</v>
      </c>
      <c r="D216">
        <v>5.0999999999999996</v>
      </c>
      <c r="E216" t="s">
        <v>72</v>
      </c>
      <c r="F216" t="s">
        <v>40</v>
      </c>
      <c r="G216" t="s">
        <v>41</v>
      </c>
      <c r="H216" t="s">
        <v>714</v>
      </c>
      <c r="I216" t="s">
        <v>715</v>
      </c>
      <c r="J216" t="s">
        <v>57</v>
      </c>
      <c r="K216" t="s">
        <v>402</v>
      </c>
      <c r="L216" t="s">
        <v>403</v>
      </c>
      <c r="M216">
        <v>4.7376805493603449</v>
      </c>
      <c r="N216">
        <v>0</v>
      </c>
      <c r="O216" t="s">
        <v>38</v>
      </c>
      <c r="P216" t="s">
        <v>890</v>
      </c>
      <c r="R216" t="s">
        <v>86</v>
      </c>
      <c r="U216" t="s">
        <v>120</v>
      </c>
      <c r="V216" t="s">
        <v>765</v>
      </c>
      <c r="W216" t="s">
        <v>896</v>
      </c>
      <c r="X216" t="s">
        <v>41</v>
      </c>
      <c r="Y216" t="s">
        <v>891</v>
      </c>
      <c r="AC216">
        <v>902.05477197515802</v>
      </c>
      <c r="AD216">
        <v>19172.78964954038</v>
      </c>
    </row>
    <row r="217" spans="1:30" x14ac:dyDescent="0.25">
      <c r="A217">
        <v>218</v>
      </c>
      <c r="B217" t="s">
        <v>1014</v>
      </c>
      <c r="C217" t="s">
        <v>376</v>
      </c>
      <c r="D217">
        <v>4.5999999999999996</v>
      </c>
      <c r="E217" t="s">
        <v>72</v>
      </c>
      <c r="F217" t="s">
        <v>40</v>
      </c>
      <c r="G217" t="s">
        <v>41</v>
      </c>
      <c r="H217" t="s">
        <v>714</v>
      </c>
      <c r="I217" t="s">
        <v>715</v>
      </c>
      <c r="K217" t="s">
        <v>402</v>
      </c>
      <c r="L217" t="s">
        <v>403</v>
      </c>
      <c r="M217">
        <v>3.9045732137762679</v>
      </c>
      <c r="N217">
        <v>0</v>
      </c>
      <c r="O217" t="s">
        <v>38</v>
      </c>
      <c r="P217" t="s">
        <v>917</v>
      </c>
      <c r="R217" t="s">
        <v>86</v>
      </c>
      <c r="U217" t="s">
        <v>120</v>
      </c>
      <c r="V217" t="s">
        <v>765</v>
      </c>
      <c r="W217" t="s">
        <v>896</v>
      </c>
      <c r="X217" t="s">
        <v>41</v>
      </c>
      <c r="Y217" t="s">
        <v>891</v>
      </c>
      <c r="Z217" t="s">
        <v>317</v>
      </c>
      <c r="AC217">
        <v>866.8852366461374</v>
      </c>
      <c r="AD217">
        <v>15801.31039207986</v>
      </c>
    </row>
    <row r="218" spans="1:30" x14ac:dyDescent="0.25">
      <c r="A218">
        <v>219</v>
      </c>
      <c r="B218" t="s">
        <v>1015</v>
      </c>
      <c r="C218" t="s">
        <v>376</v>
      </c>
      <c r="D218">
        <v>2.5</v>
      </c>
      <c r="E218" t="s">
        <v>72</v>
      </c>
      <c r="F218" t="s">
        <v>40</v>
      </c>
      <c r="G218" t="s">
        <v>41</v>
      </c>
      <c r="H218" t="s">
        <v>714</v>
      </c>
      <c r="I218" t="s">
        <v>715</v>
      </c>
      <c r="J218" t="s">
        <v>57</v>
      </c>
      <c r="K218" t="s">
        <v>402</v>
      </c>
      <c r="L218" t="s">
        <v>403</v>
      </c>
      <c r="M218">
        <v>2.102532694696031</v>
      </c>
      <c r="N218">
        <v>0</v>
      </c>
      <c r="O218" t="s">
        <v>38</v>
      </c>
      <c r="P218" t="s">
        <v>1016</v>
      </c>
      <c r="R218" t="s">
        <v>64</v>
      </c>
      <c r="U218" t="s">
        <v>48</v>
      </c>
      <c r="V218" t="s">
        <v>765</v>
      </c>
      <c r="W218" t="s">
        <v>76</v>
      </c>
      <c r="X218" t="s">
        <v>41</v>
      </c>
      <c r="Y218" t="s">
        <v>724</v>
      </c>
      <c r="AC218">
        <v>484.74967457628878</v>
      </c>
      <c r="AD218">
        <v>8508.6819735304689</v>
      </c>
    </row>
    <row r="219" spans="1:30" x14ac:dyDescent="0.25">
      <c r="A219">
        <v>220</v>
      </c>
      <c r="B219" t="s">
        <v>1017</v>
      </c>
      <c r="C219" t="s">
        <v>376</v>
      </c>
      <c r="D219">
        <v>2.6</v>
      </c>
      <c r="E219" t="s">
        <v>72</v>
      </c>
      <c r="F219" t="s">
        <v>40</v>
      </c>
      <c r="G219" t="s">
        <v>41</v>
      </c>
      <c r="H219" t="s">
        <v>714</v>
      </c>
      <c r="I219" t="s">
        <v>715</v>
      </c>
      <c r="J219" t="s">
        <v>57</v>
      </c>
      <c r="K219" t="s">
        <v>402</v>
      </c>
      <c r="L219" t="s">
        <v>403</v>
      </c>
      <c r="M219">
        <v>2.608075261326491</v>
      </c>
      <c r="N219">
        <v>0</v>
      </c>
      <c r="O219" t="s">
        <v>38</v>
      </c>
      <c r="P219" t="s">
        <v>1016</v>
      </c>
      <c r="R219" t="s">
        <v>73</v>
      </c>
      <c r="U219" t="s">
        <v>48</v>
      </c>
      <c r="V219" t="s">
        <v>719</v>
      </c>
      <c r="W219" t="s">
        <v>46</v>
      </c>
      <c r="X219" t="s">
        <v>41</v>
      </c>
      <c r="Y219" t="s">
        <v>724</v>
      </c>
      <c r="AC219">
        <v>453.14335388610078</v>
      </c>
      <c r="AD219">
        <v>10554.54833955281</v>
      </c>
    </row>
    <row r="220" spans="1:30" x14ac:dyDescent="0.25">
      <c r="A220">
        <v>221</v>
      </c>
      <c r="B220" t="s">
        <v>1018</v>
      </c>
      <c r="C220" t="s">
        <v>376</v>
      </c>
      <c r="D220">
        <v>42.5</v>
      </c>
      <c r="E220" t="s">
        <v>72</v>
      </c>
      <c r="F220" t="s">
        <v>40</v>
      </c>
      <c r="G220" t="s">
        <v>41</v>
      </c>
      <c r="H220" t="s">
        <v>714</v>
      </c>
      <c r="I220" t="s">
        <v>715</v>
      </c>
      <c r="J220" t="s">
        <v>57</v>
      </c>
      <c r="K220" t="s">
        <v>402</v>
      </c>
      <c r="L220" t="s">
        <v>403</v>
      </c>
      <c r="M220">
        <v>41.371537331846127</v>
      </c>
      <c r="N220">
        <v>0</v>
      </c>
      <c r="O220" t="s">
        <v>38</v>
      </c>
      <c r="P220" t="s">
        <v>1016</v>
      </c>
      <c r="R220" t="s">
        <v>64</v>
      </c>
      <c r="U220" t="s">
        <v>48</v>
      </c>
      <c r="V220" t="s">
        <v>719</v>
      </c>
      <c r="W220" t="s">
        <v>46</v>
      </c>
      <c r="X220" t="s">
        <v>41</v>
      </c>
      <c r="Y220" t="s">
        <v>724</v>
      </c>
      <c r="AC220">
        <v>1897.8164298018339</v>
      </c>
      <c r="AD220">
        <v>167425.3412566382</v>
      </c>
    </row>
    <row r="221" spans="1:30" x14ac:dyDescent="0.25">
      <c r="A221">
        <v>222</v>
      </c>
      <c r="B221" t="s">
        <v>1019</v>
      </c>
      <c r="C221" t="s">
        <v>376</v>
      </c>
      <c r="D221">
        <v>17.399999999999899</v>
      </c>
      <c r="E221" t="s">
        <v>72</v>
      </c>
      <c r="F221" t="s">
        <v>40</v>
      </c>
      <c r="G221" t="s">
        <v>41</v>
      </c>
      <c r="H221" t="s">
        <v>714</v>
      </c>
      <c r="I221" t="s">
        <v>715</v>
      </c>
      <c r="J221" t="s">
        <v>57</v>
      </c>
      <c r="K221" t="s">
        <v>402</v>
      </c>
      <c r="L221" t="s">
        <v>403</v>
      </c>
      <c r="M221">
        <v>17.31234390976514</v>
      </c>
      <c r="N221">
        <v>0</v>
      </c>
      <c r="O221" t="s">
        <v>38</v>
      </c>
      <c r="P221" t="s">
        <v>1016</v>
      </c>
      <c r="R221" t="s">
        <v>73</v>
      </c>
      <c r="U221" t="s">
        <v>48</v>
      </c>
      <c r="V221" t="s">
        <v>719</v>
      </c>
      <c r="W221" t="s">
        <v>60</v>
      </c>
      <c r="X221" t="s">
        <v>41</v>
      </c>
      <c r="Y221" t="s">
        <v>724</v>
      </c>
      <c r="AC221">
        <v>1393.7085941362541</v>
      </c>
      <c r="AD221">
        <v>70060.85038115186</v>
      </c>
    </row>
    <row r="222" spans="1:30" x14ac:dyDescent="0.25">
      <c r="A222">
        <v>223</v>
      </c>
      <c r="B222" t="s">
        <v>1020</v>
      </c>
      <c r="C222" t="s">
        <v>376</v>
      </c>
      <c r="D222">
        <v>19.1999999999999</v>
      </c>
      <c r="E222" t="s">
        <v>72</v>
      </c>
      <c r="F222" t="s">
        <v>40</v>
      </c>
      <c r="G222" t="s">
        <v>41</v>
      </c>
      <c r="H222" t="s">
        <v>714</v>
      </c>
      <c r="I222" t="s">
        <v>715</v>
      </c>
      <c r="J222" t="s">
        <v>57</v>
      </c>
      <c r="K222" t="s">
        <v>402</v>
      </c>
      <c r="L222" t="s">
        <v>403</v>
      </c>
      <c r="M222">
        <v>18.755219691862049</v>
      </c>
      <c r="N222">
        <v>0</v>
      </c>
      <c r="O222" t="s">
        <v>38</v>
      </c>
      <c r="P222" t="s">
        <v>673</v>
      </c>
      <c r="R222" t="s">
        <v>64</v>
      </c>
      <c r="U222" t="s">
        <v>48</v>
      </c>
      <c r="V222" t="s">
        <v>719</v>
      </c>
      <c r="W222" t="s">
        <v>46</v>
      </c>
      <c r="X222" t="s">
        <v>41</v>
      </c>
      <c r="Y222" t="s">
        <v>724</v>
      </c>
      <c r="AC222">
        <v>1316.259064626908</v>
      </c>
      <c r="AD222">
        <v>75899.984863170728</v>
      </c>
    </row>
    <row r="223" spans="1:30" hidden="1" x14ac:dyDescent="0.25">
      <c r="A223">
        <v>226</v>
      </c>
      <c r="C223" t="s">
        <v>376</v>
      </c>
      <c r="E223" t="s">
        <v>72</v>
      </c>
      <c r="F223" t="s">
        <v>40</v>
      </c>
      <c r="G223" t="s">
        <v>41</v>
      </c>
      <c r="H223" t="s">
        <v>714</v>
      </c>
      <c r="I223" t="s">
        <v>715</v>
      </c>
      <c r="K223" t="s">
        <v>96</v>
      </c>
      <c r="L223" t="s">
        <v>97</v>
      </c>
      <c r="M223">
        <v>0.15361888508587451</v>
      </c>
      <c r="N223" t="s">
        <v>60</v>
      </c>
      <c r="O223" t="s">
        <v>66</v>
      </c>
      <c r="R223" t="s">
        <v>60</v>
      </c>
      <c r="AC223">
        <v>104.7714807844044</v>
      </c>
      <c r="AD223">
        <v>621.67605841344562</v>
      </c>
    </row>
    <row r="224" spans="1:30" hidden="1" x14ac:dyDescent="0.25">
      <c r="A224">
        <v>229</v>
      </c>
      <c r="C224" t="s">
        <v>376</v>
      </c>
      <c r="E224" t="s">
        <v>72</v>
      </c>
      <c r="F224" t="s">
        <v>40</v>
      </c>
      <c r="G224" t="s">
        <v>41</v>
      </c>
      <c r="H224" t="s">
        <v>714</v>
      </c>
      <c r="I224" t="s">
        <v>715</v>
      </c>
      <c r="K224" t="s">
        <v>704</v>
      </c>
      <c r="L224" t="s">
        <v>705</v>
      </c>
      <c r="M224">
        <v>2.851709096535748E-2</v>
      </c>
      <c r="N224" t="s">
        <v>60</v>
      </c>
      <c r="O224" t="s">
        <v>66</v>
      </c>
      <c r="R224" t="s">
        <v>86</v>
      </c>
      <c r="AC224">
        <v>43.009563386860563</v>
      </c>
      <c r="AD224">
        <v>115.4050343409977</v>
      </c>
    </row>
    <row r="225" spans="1:30" x14ac:dyDescent="0.25">
      <c r="A225">
        <v>230</v>
      </c>
      <c r="C225" t="s">
        <v>376</v>
      </c>
      <c r="E225" t="s">
        <v>72</v>
      </c>
      <c r="F225" t="s">
        <v>40</v>
      </c>
      <c r="G225" t="s">
        <v>41</v>
      </c>
      <c r="H225" t="s">
        <v>714</v>
      </c>
      <c r="I225" t="s">
        <v>715</v>
      </c>
      <c r="K225" t="s">
        <v>115</v>
      </c>
      <c r="L225" t="s">
        <v>137</v>
      </c>
      <c r="M225">
        <v>0.23654994809298319</v>
      </c>
      <c r="N225">
        <v>0</v>
      </c>
      <c r="O225" t="s">
        <v>38</v>
      </c>
      <c r="P225" t="s">
        <v>1021</v>
      </c>
      <c r="R225" t="s">
        <v>61</v>
      </c>
      <c r="AC225">
        <v>111.60797816947471</v>
      </c>
      <c r="AD225">
        <v>957.28750580466988</v>
      </c>
    </row>
  </sheetData>
  <autoFilter ref="A1:AD225" xr:uid="{00000000-0001-0000-0300-000000000000}">
    <filterColumn colId="13">
      <filters>
        <filter val="&lt;Null&gt;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282"/>
  <sheetViews>
    <sheetView workbookViewId="0">
      <pane ySplit="1" topLeftCell="A207" activePane="bottomLeft" state="frozen"/>
      <selection pane="bottomLeft" activeCell="L7" sqref="L7"/>
    </sheetView>
  </sheetViews>
  <sheetFormatPr defaultRowHeight="15" x14ac:dyDescent="0.25"/>
  <sheetData>
    <row r="1" spans="1:3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>
        <v>1</v>
      </c>
      <c r="B2" t="s">
        <v>1022</v>
      </c>
      <c r="C2" t="s">
        <v>376</v>
      </c>
      <c r="D2" t="s">
        <v>1023</v>
      </c>
      <c r="E2" t="s">
        <v>37</v>
      </c>
      <c r="F2" t="s">
        <v>38</v>
      </c>
      <c r="G2" s="2">
        <v>45868</v>
      </c>
      <c r="H2">
        <v>1.8</v>
      </c>
      <c r="I2" t="s">
        <v>72</v>
      </c>
      <c r="J2" t="s">
        <v>1024</v>
      </c>
      <c r="K2" t="s">
        <v>1025</v>
      </c>
      <c r="L2" t="s">
        <v>1026</v>
      </c>
      <c r="M2" t="s">
        <v>1027</v>
      </c>
      <c r="O2" t="s">
        <v>62</v>
      </c>
      <c r="P2" t="s">
        <v>63</v>
      </c>
      <c r="Q2">
        <v>1.8037030032692649</v>
      </c>
      <c r="R2" t="s">
        <v>64</v>
      </c>
      <c r="S2" t="s">
        <v>65</v>
      </c>
      <c r="T2" t="s">
        <v>1028</v>
      </c>
      <c r="V2" t="s">
        <v>1029</v>
      </c>
      <c r="X2" t="s">
        <v>1030</v>
      </c>
      <c r="Y2" t="s">
        <v>1031</v>
      </c>
      <c r="Z2" t="s">
        <v>719</v>
      </c>
      <c r="AA2" t="s">
        <v>119</v>
      </c>
      <c r="AB2" t="s">
        <v>453</v>
      </c>
      <c r="AC2" t="s">
        <v>57</v>
      </c>
      <c r="AD2" t="s">
        <v>1032</v>
      </c>
      <c r="AE2" t="s">
        <v>1033</v>
      </c>
      <c r="AI2">
        <v>400.92432422434217</v>
      </c>
      <c r="AJ2">
        <v>7299.3562802783154</v>
      </c>
    </row>
    <row r="3" spans="1:36" x14ac:dyDescent="0.25">
      <c r="A3">
        <v>2</v>
      </c>
      <c r="B3" t="s">
        <v>1034</v>
      </c>
      <c r="C3" t="s">
        <v>376</v>
      </c>
      <c r="D3" t="s">
        <v>1023</v>
      </c>
      <c r="E3" t="s">
        <v>37</v>
      </c>
      <c r="F3" t="s">
        <v>38</v>
      </c>
      <c r="G3" s="2">
        <v>45868</v>
      </c>
      <c r="H3">
        <v>6.37</v>
      </c>
      <c r="I3" t="s">
        <v>72</v>
      </c>
      <c r="J3" t="s">
        <v>1024</v>
      </c>
      <c r="K3" t="s">
        <v>1025</v>
      </c>
      <c r="L3" t="s">
        <v>1026</v>
      </c>
      <c r="M3" t="s">
        <v>1027</v>
      </c>
      <c r="O3" t="s">
        <v>62</v>
      </c>
      <c r="P3" t="s">
        <v>63</v>
      </c>
      <c r="Q3">
        <v>2.7062621569701699</v>
      </c>
      <c r="R3" t="s">
        <v>64</v>
      </c>
      <c r="S3" t="s">
        <v>65</v>
      </c>
      <c r="T3" t="s">
        <v>1028</v>
      </c>
      <c r="V3" t="s">
        <v>1029</v>
      </c>
      <c r="X3" t="s">
        <v>1030</v>
      </c>
      <c r="Y3" t="s">
        <v>1031</v>
      </c>
      <c r="Z3" t="s">
        <v>719</v>
      </c>
      <c r="AA3" t="s">
        <v>119</v>
      </c>
      <c r="AB3" t="s">
        <v>453</v>
      </c>
      <c r="AC3" t="s">
        <v>57</v>
      </c>
      <c r="AD3" t="s">
        <v>1032</v>
      </c>
      <c r="AE3" t="s">
        <v>1033</v>
      </c>
      <c r="AI3">
        <v>508.43493910482317</v>
      </c>
      <c r="AJ3">
        <v>10951.898198181791</v>
      </c>
    </row>
    <row r="4" spans="1:36" x14ac:dyDescent="0.25">
      <c r="A4">
        <v>3</v>
      </c>
      <c r="B4" t="s">
        <v>1035</v>
      </c>
      <c r="C4" t="s">
        <v>376</v>
      </c>
      <c r="D4" t="s">
        <v>1023</v>
      </c>
      <c r="E4" t="s">
        <v>37</v>
      </c>
      <c r="F4" t="s">
        <v>38</v>
      </c>
      <c r="G4" s="2">
        <v>45868</v>
      </c>
      <c r="H4">
        <v>1.8</v>
      </c>
      <c r="I4" t="s">
        <v>72</v>
      </c>
      <c r="J4" t="s">
        <v>1024</v>
      </c>
      <c r="K4" t="s">
        <v>1025</v>
      </c>
      <c r="L4" t="s">
        <v>1026</v>
      </c>
      <c r="M4" t="s">
        <v>1027</v>
      </c>
      <c r="O4" t="s">
        <v>62</v>
      </c>
      <c r="P4" t="s">
        <v>63</v>
      </c>
      <c r="Q4">
        <v>1.7901806935978311</v>
      </c>
      <c r="R4" t="s">
        <v>64</v>
      </c>
      <c r="S4" t="s">
        <v>65</v>
      </c>
      <c r="T4" t="s">
        <v>1028</v>
      </c>
      <c r="V4" t="s">
        <v>1029</v>
      </c>
      <c r="X4" t="s">
        <v>1030</v>
      </c>
      <c r="Y4" t="s">
        <v>1031</v>
      </c>
      <c r="Z4" t="s">
        <v>719</v>
      </c>
      <c r="AA4" t="s">
        <v>119</v>
      </c>
      <c r="AB4" t="s">
        <v>453</v>
      </c>
      <c r="AC4" t="s">
        <v>57</v>
      </c>
      <c r="AD4" t="s">
        <v>1032</v>
      </c>
      <c r="AE4" t="s">
        <v>1033</v>
      </c>
      <c r="AI4">
        <v>325.11068885344042</v>
      </c>
      <c r="AJ4">
        <v>7244.6332156467524</v>
      </c>
    </row>
    <row r="5" spans="1:36" x14ac:dyDescent="0.25">
      <c r="A5">
        <v>4</v>
      </c>
      <c r="B5" t="s">
        <v>1036</v>
      </c>
      <c r="C5" t="s">
        <v>376</v>
      </c>
      <c r="D5" t="s">
        <v>1023</v>
      </c>
      <c r="E5" t="s">
        <v>37</v>
      </c>
      <c r="F5" t="s">
        <v>38</v>
      </c>
      <c r="G5" s="2">
        <v>45868</v>
      </c>
      <c r="H5">
        <v>0.6</v>
      </c>
      <c r="I5" t="s">
        <v>72</v>
      </c>
      <c r="J5" t="s">
        <v>1024</v>
      </c>
      <c r="K5" t="s">
        <v>1025</v>
      </c>
      <c r="L5" t="s">
        <v>1026</v>
      </c>
      <c r="M5" t="s">
        <v>1027</v>
      </c>
      <c r="O5" t="s">
        <v>62</v>
      </c>
      <c r="P5" t="s">
        <v>63</v>
      </c>
      <c r="Q5">
        <v>0.58123357794467279</v>
      </c>
      <c r="R5" t="s">
        <v>64</v>
      </c>
      <c r="S5" t="s">
        <v>65</v>
      </c>
      <c r="T5" t="s">
        <v>1028</v>
      </c>
      <c r="V5" t="s">
        <v>1029</v>
      </c>
      <c r="X5" t="s">
        <v>1030</v>
      </c>
      <c r="Y5" t="s">
        <v>1031</v>
      </c>
      <c r="Z5" t="s">
        <v>719</v>
      </c>
      <c r="AA5" t="s">
        <v>119</v>
      </c>
      <c r="AB5" t="s">
        <v>453</v>
      </c>
      <c r="AC5" t="s">
        <v>57</v>
      </c>
      <c r="AD5" t="s">
        <v>1032</v>
      </c>
      <c r="AE5" t="s">
        <v>1033</v>
      </c>
      <c r="AI5">
        <v>208.69204286806331</v>
      </c>
      <c r="AJ5">
        <v>2352.1782465235069</v>
      </c>
    </row>
    <row r="6" spans="1:36" x14ac:dyDescent="0.25">
      <c r="A6">
        <v>5</v>
      </c>
      <c r="B6" t="s">
        <v>1037</v>
      </c>
      <c r="C6" t="s">
        <v>376</v>
      </c>
      <c r="D6" t="s">
        <v>1023</v>
      </c>
      <c r="E6" t="s">
        <v>37</v>
      </c>
      <c r="F6" t="s">
        <v>38</v>
      </c>
      <c r="G6" s="2">
        <v>45868</v>
      </c>
      <c r="H6">
        <v>0.87</v>
      </c>
      <c r="I6" t="s">
        <v>72</v>
      </c>
      <c r="J6" t="s">
        <v>1024</v>
      </c>
      <c r="K6" t="s">
        <v>1025</v>
      </c>
      <c r="L6" t="s">
        <v>1026</v>
      </c>
      <c r="M6" t="s">
        <v>1027</v>
      </c>
      <c r="O6" t="s">
        <v>62</v>
      </c>
      <c r="P6" t="s">
        <v>63</v>
      </c>
      <c r="Q6">
        <v>0.80342017857888626</v>
      </c>
      <c r="R6" t="s">
        <v>64</v>
      </c>
      <c r="S6" t="s">
        <v>65</v>
      </c>
      <c r="T6" t="s">
        <v>1028</v>
      </c>
      <c r="V6" t="s">
        <v>1029</v>
      </c>
      <c r="X6" t="s">
        <v>1030</v>
      </c>
      <c r="Y6" t="s">
        <v>1031</v>
      </c>
      <c r="Z6" t="s">
        <v>719</v>
      </c>
      <c r="AA6" t="s">
        <v>119</v>
      </c>
      <c r="AB6" t="s">
        <v>453</v>
      </c>
      <c r="AC6" t="s">
        <v>57</v>
      </c>
      <c r="AD6" t="s">
        <v>1032</v>
      </c>
      <c r="AE6" t="s">
        <v>1033</v>
      </c>
      <c r="AI6">
        <v>252.81639126741601</v>
      </c>
      <c r="AJ6">
        <v>3251.3391149111749</v>
      </c>
    </row>
    <row r="7" spans="1:36" x14ac:dyDescent="0.25">
      <c r="A7">
        <v>6</v>
      </c>
      <c r="B7" t="s">
        <v>1038</v>
      </c>
      <c r="C7" t="s">
        <v>376</v>
      </c>
      <c r="D7" t="s">
        <v>1023</v>
      </c>
      <c r="E7" t="s">
        <v>37</v>
      </c>
      <c r="F7" t="s">
        <v>38</v>
      </c>
      <c r="G7" s="2">
        <v>45868</v>
      </c>
      <c r="H7">
        <v>0.63</v>
      </c>
      <c r="I7" t="s">
        <v>72</v>
      </c>
      <c r="J7" t="s">
        <v>1024</v>
      </c>
      <c r="K7" t="s">
        <v>1025</v>
      </c>
      <c r="L7" t="s">
        <v>1026</v>
      </c>
      <c r="M7" t="s">
        <v>1027</v>
      </c>
      <c r="O7" t="s">
        <v>62</v>
      </c>
      <c r="P7" t="s">
        <v>63</v>
      </c>
      <c r="Q7">
        <v>0.89003669296284094</v>
      </c>
      <c r="R7" t="s">
        <v>64</v>
      </c>
      <c r="S7" t="s">
        <v>65</v>
      </c>
      <c r="T7" t="s">
        <v>1028</v>
      </c>
      <c r="V7" t="s">
        <v>1029</v>
      </c>
      <c r="X7" t="s">
        <v>1030</v>
      </c>
      <c r="Y7" t="s">
        <v>1031</v>
      </c>
      <c r="Z7" t="s">
        <v>719</v>
      </c>
      <c r="AA7" t="s">
        <v>119</v>
      </c>
      <c r="AB7" t="s">
        <v>453</v>
      </c>
      <c r="AC7" t="s">
        <v>57</v>
      </c>
      <c r="AD7" t="s">
        <v>1032</v>
      </c>
      <c r="AE7" t="s">
        <v>1033</v>
      </c>
      <c r="AI7">
        <v>316.89244496140071</v>
      </c>
      <c r="AJ7">
        <v>3601.8651145343802</v>
      </c>
    </row>
    <row r="8" spans="1:36" hidden="1" x14ac:dyDescent="0.25">
      <c r="A8">
        <v>7</v>
      </c>
      <c r="B8" t="s">
        <v>1039</v>
      </c>
      <c r="C8" t="s">
        <v>376</v>
      </c>
      <c r="D8" t="s">
        <v>1023</v>
      </c>
      <c r="E8" t="s">
        <v>37</v>
      </c>
      <c r="F8" t="s">
        <v>38</v>
      </c>
      <c r="G8" s="2">
        <v>45868</v>
      </c>
      <c r="H8">
        <v>1.25</v>
      </c>
      <c r="I8" t="s">
        <v>72</v>
      </c>
      <c r="J8" t="s">
        <v>1024</v>
      </c>
      <c r="K8" t="s">
        <v>1025</v>
      </c>
      <c r="L8" t="s">
        <v>1026</v>
      </c>
      <c r="M8" t="s">
        <v>1027</v>
      </c>
      <c r="O8" t="s">
        <v>704</v>
      </c>
      <c r="P8" t="s">
        <v>705</v>
      </c>
      <c r="Q8">
        <v>1.2536137845897779</v>
      </c>
      <c r="R8" t="s">
        <v>73</v>
      </c>
      <c r="S8" t="s">
        <v>74</v>
      </c>
      <c r="T8" t="s">
        <v>1028</v>
      </c>
      <c r="V8" t="s">
        <v>1029</v>
      </c>
      <c r="X8" t="s">
        <v>1030</v>
      </c>
      <c r="Y8" t="s">
        <v>1031</v>
      </c>
      <c r="Z8" t="s">
        <v>719</v>
      </c>
      <c r="AA8" t="s">
        <v>119</v>
      </c>
      <c r="AB8" t="s">
        <v>453</v>
      </c>
      <c r="AC8" t="s">
        <v>57</v>
      </c>
      <c r="AD8" t="s">
        <v>1032</v>
      </c>
      <c r="AE8" t="s">
        <v>1033</v>
      </c>
      <c r="AI8">
        <v>290.65561710515851</v>
      </c>
      <c r="AJ8">
        <v>5073.215288217174</v>
      </c>
    </row>
    <row r="9" spans="1:36" hidden="1" x14ac:dyDescent="0.25">
      <c r="A9">
        <v>8</v>
      </c>
      <c r="B9" t="s">
        <v>1040</v>
      </c>
      <c r="C9" t="s">
        <v>376</v>
      </c>
      <c r="D9" t="s">
        <v>1023</v>
      </c>
      <c r="E9" t="s">
        <v>37</v>
      </c>
      <c r="F9" t="s">
        <v>38</v>
      </c>
      <c r="G9" s="2">
        <v>45868</v>
      </c>
      <c r="H9">
        <v>0.2</v>
      </c>
      <c r="I9" t="s">
        <v>72</v>
      </c>
      <c r="J9" t="s">
        <v>1024</v>
      </c>
      <c r="K9" t="s">
        <v>1025</v>
      </c>
      <c r="L9" t="s">
        <v>1026</v>
      </c>
      <c r="M9" t="s">
        <v>1027</v>
      </c>
      <c r="O9" t="s">
        <v>115</v>
      </c>
      <c r="P9" t="s">
        <v>137</v>
      </c>
      <c r="Q9">
        <v>0.10503990170620239</v>
      </c>
      <c r="S9" t="s">
        <v>38</v>
      </c>
      <c r="T9" t="s">
        <v>1041</v>
      </c>
      <c r="V9" t="s">
        <v>1029</v>
      </c>
      <c r="X9" t="s">
        <v>1030</v>
      </c>
      <c r="Y9" t="s">
        <v>1031</v>
      </c>
      <c r="Z9" t="s">
        <v>719</v>
      </c>
      <c r="AA9" t="s">
        <v>119</v>
      </c>
      <c r="AB9" t="s">
        <v>453</v>
      </c>
      <c r="AC9" t="s">
        <v>57</v>
      </c>
      <c r="AD9" t="s">
        <v>1032</v>
      </c>
      <c r="AE9" t="s">
        <v>1033</v>
      </c>
      <c r="AI9">
        <v>81.109086204309278</v>
      </c>
      <c r="AJ9">
        <v>425.08310115871421</v>
      </c>
    </row>
    <row r="10" spans="1:36" hidden="1" x14ac:dyDescent="0.25">
      <c r="A10">
        <v>9</v>
      </c>
      <c r="B10" t="s">
        <v>1042</v>
      </c>
      <c r="C10" t="s">
        <v>376</v>
      </c>
      <c r="D10" t="s">
        <v>1023</v>
      </c>
      <c r="E10" t="s">
        <v>37</v>
      </c>
      <c r="F10" t="s">
        <v>38</v>
      </c>
      <c r="G10" s="2">
        <v>45868</v>
      </c>
      <c r="H10">
        <v>3.13</v>
      </c>
      <c r="I10" t="s">
        <v>72</v>
      </c>
      <c r="J10" t="s">
        <v>1024</v>
      </c>
      <c r="K10" t="s">
        <v>1025</v>
      </c>
      <c r="L10" t="s">
        <v>1026</v>
      </c>
      <c r="M10" t="s">
        <v>1027</v>
      </c>
      <c r="O10" t="s">
        <v>146</v>
      </c>
      <c r="P10" t="s">
        <v>147</v>
      </c>
      <c r="Q10">
        <v>1.2613152826911469</v>
      </c>
      <c r="R10" t="s">
        <v>73</v>
      </c>
      <c r="S10" t="s">
        <v>74</v>
      </c>
      <c r="T10" t="s">
        <v>1028</v>
      </c>
      <c r="V10" t="s">
        <v>1029</v>
      </c>
      <c r="X10" t="s">
        <v>1030</v>
      </c>
      <c r="Y10" t="s">
        <v>1031</v>
      </c>
      <c r="Z10" t="s">
        <v>719</v>
      </c>
      <c r="AA10" t="s">
        <v>119</v>
      </c>
      <c r="AB10" t="s">
        <v>453</v>
      </c>
      <c r="AC10" t="s">
        <v>57</v>
      </c>
      <c r="AD10" t="s">
        <v>1032</v>
      </c>
      <c r="AE10" t="s">
        <v>1033</v>
      </c>
      <c r="AI10">
        <v>330.68343185371668</v>
      </c>
      <c r="AJ10">
        <v>5104.3822699386028</v>
      </c>
    </row>
    <row r="11" spans="1:36" hidden="1" x14ac:dyDescent="0.25">
      <c r="A11">
        <v>10</v>
      </c>
      <c r="B11" t="s">
        <v>1043</v>
      </c>
      <c r="C11" t="s">
        <v>376</v>
      </c>
      <c r="D11" t="s">
        <v>1023</v>
      </c>
      <c r="E11" t="s">
        <v>37</v>
      </c>
      <c r="F11" t="s">
        <v>38</v>
      </c>
      <c r="G11" s="2">
        <v>45868</v>
      </c>
      <c r="H11">
        <v>6.35</v>
      </c>
      <c r="I11" t="s">
        <v>72</v>
      </c>
      <c r="J11" t="s">
        <v>1024</v>
      </c>
      <c r="K11" t="s">
        <v>1025</v>
      </c>
      <c r="L11" t="s">
        <v>1026</v>
      </c>
      <c r="M11" t="s">
        <v>1027</v>
      </c>
      <c r="O11" t="s">
        <v>44</v>
      </c>
      <c r="P11" t="s">
        <v>45</v>
      </c>
      <c r="Q11">
        <v>1.3532892304678821</v>
      </c>
      <c r="R11" t="s">
        <v>46</v>
      </c>
      <c r="S11" t="s">
        <v>47</v>
      </c>
      <c r="T11" t="s">
        <v>1028</v>
      </c>
      <c r="V11" t="s">
        <v>1029</v>
      </c>
      <c r="X11" t="s">
        <v>1030</v>
      </c>
      <c r="Y11" t="s">
        <v>1031</v>
      </c>
      <c r="Z11" t="s">
        <v>719</v>
      </c>
      <c r="AA11" t="s">
        <v>119</v>
      </c>
      <c r="AB11" t="s">
        <v>453</v>
      </c>
      <c r="AC11" t="s">
        <v>57</v>
      </c>
      <c r="AD11" t="s">
        <v>1032</v>
      </c>
      <c r="AE11" t="s">
        <v>1033</v>
      </c>
      <c r="AI11">
        <v>311.03408151923071</v>
      </c>
      <c r="AJ11">
        <v>5476.589120018275</v>
      </c>
    </row>
    <row r="12" spans="1:36" hidden="1" x14ac:dyDescent="0.25">
      <c r="A12">
        <v>11</v>
      </c>
      <c r="B12" t="s">
        <v>1044</v>
      </c>
      <c r="C12" t="s">
        <v>376</v>
      </c>
      <c r="D12" t="s">
        <v>1023</v>
      </c>
      <c r="E12" t="s">
        <v>37</v>
      </c>
      <c r="F12" t="s">
        <v>38</v>
      </c>
      <c r="G12" s="2">
        <v>45868</v>
      </c>
      <c r="H12">
        <v>0.2</v>
      </c>
      <c r="I12" t="s">
        <v>72</v>
      </c>
      <c r="J12" t="s">
        <v>1024</v>
      </c>
      <c r="K12" t="s">
        <v>1025</v>
      </c>
      <c r="L12" t="s">
        <v>1026</v>
      </c>
      <c r="M12" t="s">
        <v>1027</v>
      </c>
      <c r="O12" t="s">
        <v>1045</v>
      </c>
      <c r="P12" t="s">
        <v>133</v>
      </c>
      <c r="Q12">
        <v>0.12800770238242701</v>
      </c>
      <c r="R12" t="s">
        <v>46</v>
      </c>
      <c r="S12" t="s">
        <v>47</v>
      </c>
      <c r="T12" t="s">
        <v>1046</v>
      </c>
      <c r="V12" t="s">
        <v>119</v>
      </c>
      <c r="X12" t="s">
        <v>1047</v>
      </c>
      <c r="Y12" t="s">
        <v>1031</v>
      </c>
      <c r="Z12" t="s">
        <v>719</v>
      </c>
      <c r="AA12" t="s">
        <v>942</v>
      </c>
      <c r="AB12" t="s">
        <v>453</v>
      </c>
      <c r="AC12" t="s">
        <v>57</v>
      </c>
      <c r="AD12" t="s">
        <v>1048</v>
      </c>
      <c r="AE12" t="s">
        <v>1049</v>
      </c>
      <c r="AI12">
        <v>95.204194452119381</v>
      </c>
      <c r="AJ12">
        <v>518.03086462437886</v>
      </c>
    </row>
    <row r="13" spans="1:36" hidden="1" x14ac:dyDescent="0.25">
      <c r="A13">
        <v>12</v>
      </c>
      <c r="B13" t="s">
        <v>1050</v>
      </c>
      <c r="C13" t="s">
        <v>376</v>
      </c>
      <c r="D13" t="s">
        <v>1023</v>
      </c>
      <c r="E13" t="s">
        <v>37</v>
      </c>
      <c r="F13" t="s">
        <v>38</v>
      </c>
      <c r="G13" s="2">
        <v>45868</v>
      </c>
      <c r="H13">
        <v>0.7</v>
      </c>
      <c r="I13" t="s">
        <v>72</v>
      </c>
      <c r="J13" t="s">
        <v>1024</v>
      </c>
      <c r="K13" t="s">
        <v>1025</v>
      </c>
      <c r="L13" t="s">
        <v>1026</v>
      </c>
      <c r="M13" t="s">
        <v>1027</v>
      </c>
      <c r="N13" t="s">
        <v>1051</v>
      </c>
      <c r="O13" t="s">
        <v>115</v>
      </c>
      <c r="P13" t="s">
        <v>137</v>
      </c>
      <c r="Q13">
        <v>0.64693645639680286</v>
      </c>
      <c r="S13" t="s">
        <v>38</v>
      </c>
      <c r="T13" t="s">
        <v>1052</v>
      </c>
      <c r="V13" t="s">
        <v>119</v>
      </c>
      <c r="X13" t="s">
        <v>1047</v>
      </c>
      <c r="Y13" t="s">
        <v>1031</v>
      </c>
      <c r="Z13" t="s">
        <v>719</v>
      </c>
      <c r="AA13" t="s">
        <v>942</v>
      </c>
      <c r="AB13" t="s">
        <v>453</v>
      </c>
      <c r="AC13" t="s">
        <v>57</v>
      </c>
      <c r="AD13" t="s">
        <v>1048</v>
      </c>
      <c r="AE13" t="s">
        <v>1049</v>
      </c>
      <c r="AI13">
        <v>201.0167489700041</v>
      </c>
      <c r="AJ13">
        <v>2618.069425721329</v>
      </c>
    </row>
    <row r="14" spans="1:36" x14ac:dyDescent="0.25">
      <c r="A14">
        <v>13</v>
      </c>
      <c r="B14" t="s">
        <v>1053</v>
      </c>
      <c r="C14" t="s">
        <v>376</v>
      </c>
      <c r="D14" t="s">
        <v>1023</v>
      </c>
      <c r="E14" t="s">
        <v>37</v>
      </c>
      <c r="F14" t="s">
        <v>38</v>
      </c>
      <c r="G14" s="2">
        <v>45868</v>
      </c>
      <c r="H14">
        <v>9.1</v>
      </c>
      <c r="I14" t="s">
        <v>72</v>
      </c>
      <c r="J14" t="s">
        <v>1024</v>
      </c>
      <c r="K14" t="s">
        <v>1025</v>
      </c>
      <c r="L14" t="s">
        <v>1026</v>
      </c>
      <c r="M14" t="s">
        <v>1027</v>
      </c>
      <c r="N14" t="s">
        <v>1051</v>
      </c>
      <c r="O14" t="s">
        <v>62</v>
      </c>
      <c r="P14" t="s">
        <v>63</v>
      </c>
      <c r="Q14">
        <v>9.4777015992588129</v>
      </c>
      <c r="R14" t="s">
        <v>64</v>
      </c>
      <c r="S14" t="s">
        <v>65</v>
      </c>
      <c r="T14" t="s">
        <v>1054</v>
      </c>
      <c r="V14" t="s">
        <v>119</v>
      </c>
      <c r="X14" t="s">
        <v>1047</v>
      </c>
      <c r="Y14" t="s">
        <v>1031</v>
      </c>
      <c r="Z14" t="s">
        <v>719</v>
      </c>
      <c r="AA14" t="s">
        <v>942</v>
      </c>
      <c r="AB14" t="s">
        <v>453</v>
      </c>
      <c r="AC14" t="s">
        <v>57</v>
      </c>
      <c r="AD14" t="s">
        <v>1048</v>
      </c>
      <c r="AE14" t="s">
        <v>1049</v>
      </c>
      <c r="AI14">
        <v>866.55802857793287</v>
      </c>
      <c r="AJ14">
        <v>38355.051006601883</v>
      </c>
    </row>
    <row r="15" spans="1:36" hidden="1" x14ac:dyDescent="0.25">
      <c r="A15">
        <v>14</v>
      </c>
      <c r="B15" t="s">
        <v>1055</v>
      </c>
      <c r="C15" t="s">
        <v>376</v>
      </c>
      <c r="D15" t="s">
        <v>1023</v>
      </c>
      <c r="E15" t="s">
        <v>37</v>
      </c>
      <c r="F15" t="s">
        <v>38</v>
      </c>
      <c r="G15" s="2">
        <v>45868</v>
      </c>
      <c r="H15">
        <v>1.8</v>
      </c>
      <c r="I15" t="s">
        <v>72</v>
      </c>
      <c r="J15" t="s">
        <v>1024</v>
      </c>
      <c r="K15" t="s">
        <v>1025</v>
      </c>
      <c r="L15" t="s">
        <v>1026</v>
      </c>
      <c r="M15" t="s">
        <v>1027</v>
      </c>
      <c r="N15" t="s">
        <v>1051</v>
      </c>
      <c r="O15" t="s">
        <v>115</v>
      </c>
      <c r="P15" t="s">
        <v>137</v>
      </c>
      <c r="Q15">
        <v>1.71884275796785</v>
      </c>
      <c r="S15" t="s">
        <v>38</v>
      </c>
      <c r="T15" t="s">
        <v>1056</v>
      </c>
      <c r="V15" t="s">
        <v>119</v>
      </c>
      <c r="X15" t="s">
        <v>1047</v>
      </c>
      <c r="Y15" t="s">
        <v>1031</v>
      </c>
      <c r="Z15" t="s">
        <v>719</v>
      </c>
      <c r="AA15" t="s">
        <v>452</v>
      </c>
      <c r="AB15" t="s">
        <v>453</v>
      </c>
      <c r="AC15" t="s">
        <v>57</v>
      </c>
      <c r="AD15" t="s">
        <v>1048</v>
      </c>
      <c r="AE15" t="s">
        <v>1057</v>
      </c>
      <c r="AI15">
        <v>358.55975654716389</v>
      </c>
      <c r="AJ15">
        <v>6955.9376779008089</v>
      </c>
    </row>
    <row r="16" spans="1:36" x14ac:dyDescent="0.25">
      <c r="A16">
        <v>15</v>
      </c>
      <c r="B16" t="s">
        <v>1058</v>
      </c>
      <c r="C16" t="s">
        <v>376</v>
      </c>
      <c r="D16" t="s">
        <v>1023</v>
      </c>
      <c r="E16" t="s">
        <v>37</v>
      </c>
      <c r="F16" t="s">
        <v>38</v>
      </c>
      <c r="G16" s="2">
        <v>45868</v>
      </c>
      <c r="H16">
        <v>5.98</v>
      </c>
      <c r="I16" t="s">
        <v>72</v>
      </c>
      <c r="J16" t="s">
        <v>1024</v>
      </c>
      <c r="K16" t="s">
        <v>1025</v>
      </c>
      <c r="L16" t="s">
        <v>1026</v>
      </c>
      <c r="M16" t="s">
        <v>1027</v>
      </c>
      <c r="N16" t="s">
        <v>1051</v>
      </c>
      <c r="O16" t="s">
        <v>62</v>
      </c>
      <c r="P16" t="s">
        <v>63</v>
      </c>
      <c r="Q16">
        <v>5.9783040776726581</v>
      </c>
      <c r="R16" t="s">
        <v>64</v>
      </c>
      <c r="S16" t="s">
        <v>65</v>
      </c>
      <c r="T16" t="s">
        <v>1054</v>
      </c>
      <c r="V16" t="s">
        <v>119</v>
      </c>
      <c r="X16" t="s">
        <v>1047</v>
      </c>
      <c r="Y16" t="s">
        <v>1031</v>
      </c>
      <c r="Z16" t="s">
        <v>719</v>
      </c>
      <c r="AA16" t="s">
        <v>452</v>
      </c>
      <c r="AB16" t="s">
        <v>453</v>
      </c>
      <c r="AC16" t="s">
        <v>57</v>
      </c>
      <c r="AD16" t="s">
        <v>159</v>
      </c>
      <c r="AE16" t="s">
        <v>1057</v>
      </c>
      <c r="AI16">
        <v>682.71575752380897</v>
      </c>
      <c r="AJ16">
        <v>24193.435025433031</v>
      </c>
    </row>
    <row r="17" spans="1:36" hidden="1" x14ac:dyDescent="0.25">
      <c r="A17">
        <v>16</v>
      </c>
      <c r="B17" t="s">
        <v>1059</v>
      </c>
      <c r="C17" t="s">
        <v>376</v>
      </c>
      <c r="D17" t="s">
        <v>1023</v>
      </c>
      <c r="E17" t="s">
        <v>37</v>
      </c>
      <c r="F17" t="s">
        <v>38</v>
      </c>
      <c r="G17" s="2">
        <v>45868</v>
      </c>
      <c r="H17">
        <v>0.6</v>
      </c>
      <c r="I17" t="s">
        <v>72</v>
      </c>
      <c r="J17" t="s">
        <v>1024</v>
      </c>
      <c r="K17" t="s">
        <v>1025</v>
      </c>
      <c r="L17" t="s">
        <v>1026</v>
      </c>
      <c r="M17" t="s">
        <v>1027</v>
      </c>
      <c r="N17" t="s">
        <v>1051</v>
      </c>
      <c r="O17" t="s">
        <v>115</v>
      </c>
      <c r="P17" t="s">
        <v>137</v>
      </c>
      <c r="Q17">
        <v>0.63661536337258517</v>
      </c>
      <c r="S17" t="s">
        <v>38</v>
      </c>
      <c r="T17" t="s">
        <v>1060</v>
      </c>
      <c r="V17" t="s">
        <v>119</v>
      </c>
      <c r="X17" t="s">
        <v>1047</v>
      </c>
      <c r="Y17" t="s">
        <v>1031</v>
      </c>
      <c r="Z17" t="s">
        <v>719</v>
      </c>
      <c r="AA17" t="s">
        <v>452</v>
      </c>
      <c r="AB17" t="s">
        <v>453</v>
      </c>
      <c r="AC17" t="s">
        <v>57</v>
      </c>
      <c r="AD17" t="s">
        <v>1048</v>
      </c>
      <c r="AE17" t="s">
        <v>1057</v>
      </c>
      <c r="AI17">
        <v>260.93569933459219</v>
      </c>
      <c r="AJ17">
        <v>2576.3012770576588</v>
      </c>
    </row>
    <row r="18" spans="1:36" x14ac:dyDescent="0.25">
      <c r="A18">
        <v>17</v>
      </c>
      <c r="B18" t="s">
        <v>1061</v>
      </c>
      <c r="C18" t="s">
        <v>376</v>
      </c>
      <c r="D18" t="s">
        <v>1023</v>
      </c>
      <c r="E18" t="s">
        <v>37</v>
      </c>
      <c r="F18" t="s">
        <v>38</v>
      </c>
      <c r="G18" s="2">
        <v>45868</v>
      </c>
      <c r="H18">
        <v>7.92</v>
      </c>
      <c r="I18" t="s">
        <v>72</v>
      </c>
      <c r="J18" t="s">
        <v>1024</v>
      </c>
      <c r="K18" t="s">
        <v>1025</v>
      </c>
      <c r="L18" t="s">
        <v>1026</v>
      </c>
      <c r="M18" t="s">
        <v>1027</v>
      </c>
      <c r="N18" t="s">
        <v>1051</v>
      </c>
      <c r="O18" t="s">
        <v>62</v>
      </c>
      <c r="P18" t="s">
        <v>63</v>
      </c>
      <c r="Q18">
        <v>8.1715631799835116</v>
      </c>
      <c r="R18" t="s">
        <v>64</v>
      </c>
      <c r="S18" t="s">
        <v>65</v>
      </c>
      <c r="T18" t="s">
        <v>1054</v>
      </c>
      <c r="V18" t="s">
        <v>119</v>
      </c>
      <c r="X18" t="s">
        <v>1047</v>
      </c>
      <c r="Y18" t="s">
        <v>1031</v>
      </c>
      <c r="Z18" t="s">
        <v>719</v>
      </c>
      <c r="AA18" t="s">
        <v>452</v>
      </c>
      <c r="AB18" t="s">
        <v>453</v>
      </c>
      <c r="AC18" t="s">
        <v>57</v>
      </c>
      <c r="AD18" t="s">
        <v>1048</v>
      </c>
      <c r="AE18" t="s">
        <v>1057</v>
      </c>
      <c r="AI18">
        <v>813.23403283050516</v>
      </c>
      <c r="AJ18">
        <v>33069.275212932211</v>
      </c>
    </row>
    <row r="19" spans="1:36" x14ac:dyDescent="0.25">
      <c r="A19">
        <v>18</v>
      </c>
      <c r="B19" t="s">
        <v>1062</v>
      </c>
      <c r="C19" t="s">
        <v>376</v>
      </c>
      <c r="D19" t="s">
        <v>1023</v>
      </c>
      <c r="E19" t="s">
        <v>37</v>
      </c>
      <c r="F19" t="s">
        <v>38</v>
      </c>
      <c r="G19" s="2">
        <v>45868</v>
      </c>
      <c r="H19">
        <v>1.2</v>
      </c>
      <c r="I19" t="s">
        <v>72</v>
      </c>
      <c r="J19" t="s">
        <v>1024</v>
      </c>
      <c r="K19" t="s">
        <v>1025</v>
      </c>
      <c r="L19" t="s">
        <v>1026</v>
      </c>
      <c r="M19" t="s">
        <v>1027</v>
      </c>
      <c r="N19" t="s">
        <v>1051</v>
      </c>
      <c r="O19" t="s">
        <v>62</v>
      </c>
      <c r="P19" t="s">
        <v>63</v>
      </c>
      <c r="Q19">
        <v>0.76807955052101984</v>
      </c>
      <c r="R19" t="s">
        <v>64</v>
      </c>
      <c r="S19" t="s">
        <v>65</v>
      </c>
      <c r="T19" t="s">
        <v>1054</v>
      </c>
      <c r="V19" t="s">
        <v>119</v>
      </c>
      <c r="X19" t="s">
        <v>1047</v>
      </c>
      <c r="Y19" t="s">
        <v>1031</v>
      </c>
      <c r="Z19" t="s">
        <v>719</v>
      </c>
      <c r="AA19" t="s">
        <v>942</v>
      </c>
      <c r="AB19" t="s">
        <v>453</v>
      </c>
      <c r="AC19" t="s">
        <v>57</v>
      </c>
      <c r="AD19" t="s">
        <v>1048</v>
      </c>
      <c r="AE19" t="s">
        <v>1049</v>
      </c>
      <c r="AI19">
        <v>266.90451370649561</v>
      </c>
      <c r="AJ19">
        <v>3108.3200952080419</v>
      </c>
    </row>
    <row r="20" spans="1:36" x14ac:dyDescent="0.25">
      <c r="A20">
        <v>19</v>
      </c>
      <c r="B20" t="s">
        <v>1063</v>
      </c>
      <c r="C20" t="s">
        <v>376</v>
      </c>
      <c r="D20" t="s">
        <v>1023</v>
      </c>
      <c r="E20" t="s">
        <v>37</v>
      </c>
      <c r="F20" t="s">
        <v>38</v>
      </c>
      <c r="G20" s="2">
        <v>45868</v>
      </c>
      <c r="H20">
        <v>0.4</v>
      </c>
      <c r="I20" t="s">
        <v>72</v>
      </c>
      <c r="J20" t="s">
        <v>1024</v>
      </c>
      <c r="K20" t="s">
        <v>1025</v>
      </c>
      <c r="L20" t="s">
        <v>1026</v>
      </c>
      <c r="M20" t="s">
        <v>1027</v>
      </c>
      <c r="N20" t="s">
        <v>1051</v>
      </c>
      <c r="O20" t="s">
        <v>62</v>
      </c>
      <c r="P20" t="s">
        <v>63</v>
      </c>
      <c r="Q20">
        <v>0.41810231779550111</v>
      </c>
      <c r="R20" t="s">
        <v>64</v>
      </c>
      <c r="S20" t="s">
        <v>65</v>
      </c>
      <c r="T20" t="s">
        <v>1054</v>
      </c>
      <c r="V20" t="s">
        <v>119</v>
      </c>
      <c r="X20" t="s">
        <v>1047</v>
      </c>
      <c r="Y20" t="s">
        <v>1031</v>
      </c>
      <c r="Z20" t="s">
        <v>719</v>
      </c>
      <c r="AA20" t="s">
        <v>942</v>
      </c>
      <c r="AB20" t="s">
        <v>453</v>
      </c>
      <c r="AC20" t="s">
        <v>57</v>
      </c>
      <c r="AD20" t="s">
        <v>1048</v>
      </c>
      <c r="AE20" t="s">
        <v>1049</v>
      </c>
      <c r="AI20">
        <v>159.2031756769062</v>
      </c>
      <c r="AJ20">
        <v>1692.0068180115529</v>
      </c>
    </row>
    <row r="21" spans="1:36" hidden="1" x14ac:dyDescent="0.25">
      <c r="A21">
        <v>20</v>
      </c>
      <c r="B21" t="s">
        <v>1064</v>
      </c>
      <c r="C21" t="s">
        <v>376</v>
      </c>
      <c r="D21" t="s">
        <v>1023</v>
      </c>
      <c r="E21" t="s">
        <v>37</v>
      </c>
      <c r="F21" t="s">
        <v>38</v>
      </c>
      <c r="G21" s="2">
        <v>45867</v>
      </c>
      <c r="H21">
        <v>3.3</v>
      </c>
      <c r="I21" t="s">
        <v>72</v>
      </c>
      <c r="J21" t="s">
        <v>1024</v>
      </c>
      <c r="K21" t="s">
        <v>1025</v>
      </c>
      <c r="L21" t="s">
        <v>1026</v>
      </c>
      <c r="M21" t="s">
        <v>1027</v>
      </c>
      <c r="O21" t="s">
        <v>79</v>
      </c>
      <c r="P21" t="s">
        <v>80</v>
      </c>
      <c r="Q21">
        <v>3.5913158680435648</v>
      </c>
      <c r="R21" t="s">
        <v>46</v>
      </c>
      <c r="S21" t="s">
        <v>47</v>
      </c>
      <c r="T21" t="s">
        <v>1065</v>
      </c>
      <c r="V21" t="s">
        <v>110</v>
      </c>
      <c r="X21" t="s">
        <v>1066</v>
      </c>
      <c r="Y21" t="s">
        <v>1031</v>
      </c>
      <c r="Z21" t="s">
        <v>719</v>
      </c>
      <c r="AA21" t="s">
        <v>818</v>
      </c>
      <c r="AB21" t="s">
        <v>453</v>
      </c>
      <c r="AC21" t="s">
        <v>57</v>
      </c>
      <c r="AD21" t="s">
        <v>1067</v>
      </c>
      <c r="AE21" t="s">
        <v>1068</v>
      </c>
      <c r="AI21">
        <v>504.49145286143852</v>
      </c>
      <c r="AJ21">
        <v>14533.59781979228</v>
      </c>
    </row>
    <row r="22" spans="1:36" hidden="1" x14ac:dyDescent="0.25">
      <c r="A22">
        <v>21</v>
      </c>
      <c r="B22" t="s">
        <v>1069</v>
      </c>
      <c r="C22" t="s">
        <v>376</v>
      </c>
      <c r="D22" t="s">
        <v>1023</v>
      </c>
      <c r="E22" t="s">
        <v>37</v>
      </c>
      <c r="F22" t="s">
        <v>38</v>
      </c>
      <c r="G22" s="2">
        <v>45867</v>
      </c>
      <c r="H22">
        <v>7.9</v>
      </c>
      <c r="I22" t="s">
        <v>72</v>
      </c>
      <c r="J22" t="s">
        <v>1024</v>
      </c>
      <c r="K22" t="s">
        <v>1025</v>
      </c>
      <c r="L22" t="s">
        <v>1026</v>
      </c>
      <c r="M22" t="s">
        <v>1027</v>
      </c>
      <c r="O22" t="s">
        <v>79</v>
      </c>
      <c r="P22" t="s">
        <v>80</v>
      </c>
      <c r="Q22">
        <v>8.7468177009191326</v>
      </c>
      <c r="R22" t="s">
        <v>46</v>
      </c>
      <c r="S22" t="s">
        <v>47</v>
      </c>
      <c r="T22" t="s">
        <v>1065</v>
      </c>
      <c r="V22" t="s">
        <v>110</v>
      </c>
      <c r="X22" t="s">
        <v>1066</v>
      </c>
      <c r="Y22" t="s">
        <v>1031</v>
      </c>
      <c r="Z22" t="s">
        <v>719</v>
      </c>
      <c r="AA22" t="s">
        <v>818</v>
      </c>
      <c r="AB22" t="s">
        <v>453</v>
      </c>
      <c r="AC22" t="s">
        <v>57</v>
      </c>
      <c r="AD22" t="s">
        <v>1067</v>
      </c>
      <c r="AE22" t="s">
        <v>1068</v>
      </c>
      <c r="AI22">
        <v>808.4050682697515</v>
      </c>
      <c r="AJ22">
        <v>35397.256977412922</v>
      </c>
    </row>
    <row r="23" spans="1:36" hidden="1" x14ac:dyDescent="0.25">
      <c r="A23">
        <v>22</v>
      </c>
      <c r="B23" t="s">
        <v>1070</v>
      </c>
      <c r="C23" t="s">
        <v>376</v>
      </c>
      <c r="D23" t="s">
        <v>1023</v>
      </c>
      <c r="E23" t="s">
        <v>37</v>
      </c>
      <c r="F23" t="s">
        <v>38</v>
      </c>
      <c r="G23" s="2">
        <v>45867</v>
      </c>
      <c r="H23">
        <v>4</v>
      </c>
      <c r="I23" t="s">
        <v>72</v>
      </c>
      <c r="J23" t="s">
        <v>1024</v>
      </c>
      <c r="K23" t="s">
        <v>1025</v>
      </c>
      <c r="L23" t="s">
        <v>1026</v>
      </c>
      <c r="M23" t="s">
        <v>1027</v>
      </c>
      <c r="O23" t="s">
        <v>79</v>
      </c>
      <c r="P23" t="s">
        <v>80</v>
      </c>
      <c r="Q23">
        <v>4.1035764066289646</v>
      </c>
      <c r="R23" t="s">
        <v>46</v>
      </c>
      <c r="S23" t="s">
        <v>47</v>
      </c>
      <c r="T23" t="s">
        <v>1071</v>
      </c>
      <c r="V23" t="s">
        <v>110</v>
      </c>
      <c r="X23" t="s">
        <v>1066</v>
      </c>
      <c r="Y23" t="s">
        <v>1072</v>
      </c>
      <c r="Z23" t="s">
        <v>1073</v>
      </c>
      <c r="AA23" t="s">
        <v>818</v>
      </c>
      <c r="AB23" t="s">
        <v>453</v>
      </c>
      <c r="AC23" t="s">
        <v>57</v>
      </c>
      <c r="AD23" t="s">
        <v>1067</v>
      </c>
      <c r="AE23" t="s">
        <v>1068</v>
      </c>
      <c r="AI23">
        <v>735.87106311334549</v>
      </c>
      <c r="AJ23">
        <v>16606.650962512958</v>
      </c>
    </row>
    <row r="24" spans="1:36" hidden="1" x14ac:dyDescent="0.25">
      <c r="A24">
        <v>23</v>
      </c>
      <c r="B24" t="s">
        <v>1074</v>
      </c>
      <c r="C24" t="s">
        <v>376</v>
      </c>
      <c r="D24" t="s">
        <v>1023</v>
      </c>
      <c r="E24" t="s">
        <v>37</v>
      </c>
      <c r="F24" t="s">
        <v>38</v>
      </c>
      <c r="G24" s="2">
        <v>45867</v>
      </c>
      <c r="H24">
        <v>6.2</v>
      </c>
      <c r="I24" t="s">
        <v>72</v>
      </c>
      <c r="J24" t="s">
        <v>1024</v>
      </c>
      <c r="K24" t="s">
        <v>1025</v>
      </c>
      <c r="L24" t="s">
        <v>1026</v>
      </c>
      <c r="M24" t="s">
        <v>1027</v>
      </c>
      <c r="O24" t="s">
        <v>79</v>
      </c>
      <c r="P24" t="s">
        <v>80</v>
      </c>
      <c r="Q24">
        <v>6.7401520884076467</v>
      </c>
      <c r="R24" t="s">
        <v>46</v>
      </c>
      <c r="S24" t="s">
        <v>47</v>
      </c>
      <c r="T24" t="s">
        <v>1071</v>
      </c>
      <c r="V24" t="s">
        <v>110</v>
      </c>
      <c r="X24" t="s">
        <v>1066</v>
      </c>
      <c r="Y24" t="s">
        <v>1075</v>
      </c>
      <c r="Z24" t="s">
        <v>719</v>
      </c>
      <c r="AA24" t="s">
        <v>1076</v>
      </c>
      <c r="AB24" t="s">
        <v>453</v>
      </c>
      <c r="AC24" t="s">
        <v>57</v>
      </c>
      <c r="AD24" t="s">
        <v>1067</v>
      </c>
      <c r="AE24" t="s">
        <v>1068</v>
      </c>
      <c r="AI24">
        <v>832.53110377303187</v>
      </c>
      <c r="AJ24">
        <v>27276.536872963639</v>
      </c>
    </row>
    <row r="25" spans="1:36" hidden="1" x14ac:dyDescent="0.25">
      <c r="A25">
        <v>24</v>
      </c>
      <c r="B25" t="s">
        <v>1077</v>
      </c>
      <c r="C25" t="s">
        <v>376</v>
      </c>
      <c r="D25" t="s">
        <v>1023</v>
      </c>
      <c r="E25" t="s">
        <v>37</v>
      </c>
      <c r="F25" t="s">
        <v>38</v>
      </c>
      <c r="G25" s="2">
        <v>45867</v>
      </c>
      <c r="I25" t="s">
        <v>72</v>
      </c>
      <c r="J25" t="s">
        <v>1024</v>
      </c>
      <c r="K25" t="s">
        <v>1025</v>
      </c>
      <c r="L25" t="s">
        <v>1026</v>
      </c>
      <c r="M25" t="s">
        <v>1027</v>
      </c>
      <c r="O25" t="s">
        <v>402</v>
      </c>
      <c r="P25" t="s">
        <v>403</v>
      </c>
      <c r="Q25">
        <v>0.27193077705442797</v>
      </c>
      <c r="S25" t="s">
        <v>38</v>
      </c>
      <c r="T25" t="s">
        <v>1078</v>
      </c>
      <c r="V25" t="s">
        <v>118</v>
      </c>
      <c r="X25" t="s">
        <v>673</v>
      </c>
      <c r="Y25" t="s">
        <v>1075</v>
      </c>
      <c r="Z25" t="s">
        <v>719</v>
      </c>
      <c r="AA25" t="s">
        <v>606</v>
      </c>
      <c r="AB25" t="s">
        <v>453</v>
      </c>
      <c r="AC25" t="s">
        <v>57</v>
      </c>
      <c r="AD25" t="s">
        <v>159</v>
      </c>
      <c r="AF25" t="s">
        <v>1079</v>
      </c>
      <c r="AI25">
        <v>161.86844847302069</v>
      </c>
      <c r="AJ25">
        <v>1100.469213443386</v>
      </c>
    </row>
    <row r="26" spans="1:36" hidden="1" x14ac:dyDescent="0.25">
      <c r="A26">
        <v>25</v>
      </c>
      <c r="B26" t="s">
        <v>1080</v>
      </c>
      <c r="C26" t="s">
        <v>376</v>
      </c>
      <c r="D26" t="s">
        <v>1023</v>
      </c>
      <c r="E26" t="s">
        <v>37</v>
      </c>
      <c r="F26" t="s">
        <v>38</v>
      </c>
      <c r="G26" s="2">
        <v>45867</v>
      </c>
      <c r="H26">
        <v>0.3</v>
      </c>
      <c r="I26" t="s">
        <v>72</v>
      </c>
      <c r="J26" t="s">
        <v>1024</v>
      </c>
      <c r="K26" t="s">
        <v>1025</v>
      </c>
      <c r="L26" t="s">
        <v>1026</v>
      </c>
      <c r="M26" t="s">
        <v>1027</v>
      </c>
      <c r="O26" t="s">
        <v>1081</v>
      </c>
      <c r="P26" t="s">
        <v>116</v>
      </c>
      <c r="Q26">
        <v>0.1162783203109622</v>
      </c>
      <c r="S26" t="s">
        <v>38</v>
      </c>
      <c r="T26" t="s">
        <v>1082</v>
      </c>
      <c r="V26" t="s">
        <v>118</v>
      </c>
      <c r="X26" t="s">
        <v>583</v>
      </c>
      <c r="Y26" t="s">
        <v>1075</v>
      </c>
      <c r="Z26" t="s">
        <v>719</v>
      </c>
      <c r="AA26" t="s">
        <v>606</v>
      </c>
      <c r="AB26" t="s">
        <v>453</v>
      </c>
      <c r="AC26" t="s">
        <v>57</v>
      </c>
      <c r="AD26" t="s">
        <v>159</v>
      </c>
      <c r="AI26">
        <v>86.732771707258792</v>
      </c>
      <c r="AJ26">
        <v>470.563549588618</v>
      </c>
    </row>
    <row r="27" spans="1:36" hidden="1" x14ac:dyDescent="0.25">
      <c r="A27">
        <v>26</v>
      </c>
      <c r="B27" t="s">
        <v>1083</v>
      </c>
      <c r="C27" t="s">
        <v>376</v>
      </c>
      <c r="D27" t="s">
        <v>1023</v>
      </c>
      <c r="E27" t="s">
        <v>37</v>
      </c>
      <c r="F27" t="s">
        <v>38</v>
      </c>
      <c r="G27" s="2">
        <v>45861</v>
      </c>
      <c r="I27" t="s">
        <v>72</v>
      </c>
      <c r="J27" t="s">
        <v>1024</v>
      </c>
      <c r="K27" t="s">
        <v>1025</v>
      </c>
      <c r="L27" t="s">
        <v>1026</v>
      </c>
      <c r="M27" t="s">
        <v>1027</v>
      </c>
      <c r="O27" t="s">
        <v>402</v>
      </c>
      <c r="P27" t="s">
        <v>403</v>
      </c>
      <c r="Q27">
        <v>10.048579294406469</v>
      </c>
      <c r="S27" t="s">
        <v>38</v>
      </c>
      <c r="T27" t="s">
        <v>1084</v>
      </c>
      <c r="V27" t="s">
        <v>118</v>
      </c>
      <c r="X27" t="s">
        <v>673</v>
      </c>
      <c r="Y27" t="s">
        <v>1075</v>
      </c>
      <c r="Z27" t="s">
        <v>719</v>
      </c>
      <c r="AA27" t="s">
        <v>606</v>
      </c>
      <c r="AB27" t="s">
        <v>453</v>
      </c>
      <c r="AC27" t="s">
        <v>57</v>
      </c>
      <c r="AD27" t="s">
        <v>159</v>
      </c>
      <c r="AF27" t="s">
        <v>1085</v>
      </c>
      <c r="AI27">
        <v>957.20848811224812</v>
      </c>
      <c r="AJ27">
        <v>40665.3203146831</v>
      </c>
    </row>
    <row r="28" spans="1:36" hidden="1" x14ac:dyDescent="0.25">
      <c r="A28">
        <v>27</v>
      </c>
      <c r="B28" t="s">
        <v>1086</v>
      </c>
      <c r="C28" t="s">
        <v>376</v>
      </c>
      <c r="D28" t="s">
        <v>1023</v>
      </c>
      <c r="E28" t="s">
        <v>37</v>
      </c>
      <c r="F28" t="s">
        <v>38</v>
      </c>
      <c r="G28" s="2">
        <v>45861</v>
      </c>
      <c r="I28" t="s">
        <v>72</v>
      </c>
      <c r="J28" t="s">
        <v>1024</v>
      </c>
      <c r="K28" t="s">
        <v>1025</v>
      </c>
      <c r="L28" t="s">
        <v>1026</v>
      </c>
      <c r="M28" t="s">
        <v>1027</v>
      </c>
      <c r="O28" t="s">
        <v>402</v>
      </c>
      <c r="P28" t="s">
        <v>403</v>
      </c>
      <c r="Q28">
        <v>14.65727852697812</v>
      </c>
      <c r="S28" t="s">
        <v>38</v>
      </c>
      <c r="T28" t="s">
        <v>673</v>
      </c>
      <c r="V28" t="s">
        <v>118</v>
      </c>
      <c r="X28" t="s">
        <v>673</v>
      </c>
      <c r="Y28" t="s">
        <v>1075</v>
      </c>
      <c r="Z28" t="s">
        <v>719</v>
      </c>
      <c r="AA28" t="s">
        <v>606</v>
      </c>
      <c r="AB28" t="s">
        <v>453</v>
      </c>
      <c r="AC28" t="s">
        <v>57</v>
      </c>
      <c r="AD28" t="s">
        <v>159</v>
      </c>
      <c r="AF28" t="s">
        <v>1087</v>
      </c>
      <c r="AI28">
        <v>1137.180492922929</v>
      </c>
      <c r="AJ28">
        <v>59316.139006125763</v>
      </c>
    </row>
    <row r="29" spans="1:36" hidden="1" x14ac:dyDescent="0.25">
      <c r="A29">
        <v>28</v>
      </c>
      <c r="B29" t="s">
        <v>1088</v>
      </c>
      <c r="C29" t="s">
        <v>376</v>
      </c>
      <c r="D29" t="s">
        <v>1023</v>
      </c>
      <c r="E29" t="s">
        <v>37</v>
      </c>
      <c r="F29" t="s">
        <v>38</v>
      </c>
      <c r="G29" s="2">
        <v>45867</v>
      </c>
      <c r="I29" t="s">
        <v>72</v>
      </c>
      <c r="J29" t="s">
        <v>1024</v>
      </c>
      <c r="K29" t="s">
        <v>1025</v>
      </c>
      <c r="L29" t="s">
        <v>1026</v>
      </c>
      <c r="M29" t="s">
        <v>1027</v>
      </c>
      <c r="O29" t="s">
        <v>402</v>
      </c>
      <c r="P29" t="s">
        <v>403</v>
      </c>
      <c r="Q29">
        <v>0.1566946348300593</v>
      </c>
      <c r="S29" t="s">
        <v>38</v>
      </c>
      <c r="T29" t="s">
        <v>1089</v>
      </c>
      <c r="V29" t="s">
        <v>118</v>
      </c>
      <c r="X29" t="s">
        <v>673</v>
      </c>
      <c r="Y29" t="s">
        <v>1075</v>
      </c>
      <c r="Z29" t="s">
        <v>719</v>
      </c>
      <c r="AA29" t="s">
        <v>606</v>
      </c>
      <c r="AB29" t="s">
        <v>453</v>
      </c>
      <c r="AC29" t="s">
        <v>57</v>
      </c>
      <c r="AD29" t="s">
        <v>159</v>
      </c>
      <c r="AI29">
        <v>102.6736633483264</v>
      </c>
      <c r="AJ29">
        <v>634.12322580801504</v>
      </c>
    </row>
    <row r="30" spans="1:36" hidden="1" x14ac:dyDescent="0.25">
      <c r="A30">
        <v>29</v>
      </c>
      <c r="B30" t="s">
        <v>1090</v>
      </c>
      <c r="C30" t="s">
        <v>376</v>
      </c>
      <c r="D30" t="s">
        <v>1023</v>
      </c>
      <c r="E30" t="s">
        <v>37</v>
      </c>
      <c r="F30" t="s">
        <v>38</v>
      </c>
      <c r="G30" s="2">
        <v>45867</v>
      </c>
      <c r="H30">
        <v>0.8</v>
      </c>
      <c r="I30" t="s">
        <v>72</v>
      </c>
      <c r="J30" t="s">
        <v>1024</v>
      </c>
      <c r="K30" t="s">
        <v>1025</v>
      </c>
      <c r="L30" t="s">
        <v>1026</v>
      </c>
      <c r="M30" t="s">
        <v>1027</v>
      </c>
      <c r="O30" t="s">
        <v>402</v>
      </c>
      <c r="P30" t="s">
        <v>403</v>
      </c>
      <c r="Q30">
        <v>0.76489159504798698</v>
      </c>
      <c r="S30" t="s">
        <v>38</v>
      </c>
      <c r="T30" t="s">
        <v>1091</v>
      </c>
      <c r="V30" t="s">
        <v>118</v>
      </c>
      <c r="X30" t="s">
        <v>673</v>
      </c>
      <c r="Y30" t="s">
        <v>1075</v>
      </c>
      <c r="Z30" t="s">
        <v>719</v>
      </c>
      <c r="AA30" t="s">
        <v>606</v>
      </c>
      <c r="AB30" t="s">
        <v>453</v>
      </c>
      <c r="AC30" t="s">
        <v>57</v>
      </c>
      <c r="AD30" t="s">
        <v>159</v>
      </c>
      <c r="AF30" t="s">
        <v>38</v>
      </c>
      <c r="AI30">
        <v>230.35092099231679</v>
      </c>
      <c r="AJ30">
        <v>3095.4188455227259</v>
      </c>
    </row>
    <row r="31" spans="1:36" x14ac:dyDescent="0.25">
      <c r="A31">
        <v>30</v>
      </c>
      <c r="B31" t="s">
        <v>1092</v>
      </c>
      <c r="C31" t="s">
        <v>376</v>
      </c>
      <c r="D31" t="s">
        <v>1023</v>
      </c>
      <c r="E31" t="s">
        <v>37</v>
      </c>
      <c r="F31" t="s">
        <v>38</v>
      </c>
      <c r="G31" s="2">
        <v>45861</v>
      </c>
      <c r="H31">
        <v>0.2</v>
      </c>
      <c r="I31" t="s">
        <v>72</v>
      </c>
      <c r="J31" t="s">
        <v>1024</v>
      </c>
      <c r="K31" t="s">
        <v>1025</v>
      </c>
      <c r="L31" t="s">
        <v>1026</v>
      </c>
      <c r="M31" t="s">
        <v>1027</v>
      </c>
      <c r="O31" t="s">
        <v>62</v>
      </c>
      <c r="P31" t="s">
        <v>63</v>
      </c>
      <c r="Q31">
        <v>0.19522681303450129</v>
      </c>
      <c r="R31" t="s">
        <v>64</v>
      </c>
      <c r="S31" t="s">
        <v>65</v>
      </c>
      <c r="T31" t="s">
        <v>1093</v>
      </c>
      <c r="V31" t="s">
        <v>118</v>
      </c>
      <c r="X31" t="s">
        <v>1094</v>
      </c>
      <c r="Y31" t="s">
        <v>1095</v>
      </c>
      <c r="Z31" t="s">
        <v>1096</v>
      </c>
      <c r="AA31" t="s">
        <v>699</v>
      </c>
      <c r="AB31" t="s">
        <v>453</v>
      </c>
      <c r="AC31" t="s">
        <v>57</v>
      </c>
      <c r="AD31" t="s">
        <v>399</v>
      </c>
      <c r="AE31" t="s">
        <v>1097</v>
      </c>
      <c r="AI31">
        <v>118.7758460516547</v>
      </c>
      <c r="AJ31">
        <v>790.05804238236487</v>
      </c>
    </row>
    <row r="32" spans="1:36" hidden="1" x14ac:dyDescent="0.25">
      <c r="A32">
        <v>31</v>
      </c>
      <c r="B32" t="s">
        <v>1098</v>
      </c>
      <c r="C32" t="s">
        <v>376</v>
      </c>
      <c r="D32" t="s">
        <v>1023</v>
      </c>
      <c r="E32" t="s">
        <v>37</v>
      </c>
      <c r="F32" t="s">
        <v>38</v>
      </c>
      <c r="G32" s="2">
        <v>45861</v>
      </c>
      <c r="H32">
        <v>0.9</v>
      </c>
      <c r="I32" t="s">
        <v>72</v>
      </c>
      <c r="J32" t="s">
        <v>1024</v>
      </c>
      <c r="K32" t="s">
        <v>1025</v>
      </c>
      <c r="L32" t="s">
        <v>1026</v>
      </c>
      <c r="M32" t="s">
        <v>1027</v>
      </c>
      <c r="O32" t="s">
        <v>79</v>
      </c>
      <c r="P32" t="s">
        <v>80</v>
      </c>
      <c r="Q32">
        <v>0.91536199765043924</v>
      </c>
      <c r="R32" t="s">
        <v>46</v>
      </c>
      <c r="S32" t="s">
        <v>47</v>
      </c>
      <c r="T32" t="s">
        <v>1093</v>
      </c>
      <c r="V32" t="s">
        <v>118</v>
      </c>
      <c r="X32" t="s">
        <v>1094</v>
      </c>
      <c r="Y32" t="s">
        <v>1095</v>
      </c>
      <c r="Z32" t="s">
        <v>1096</v>
      </c>
      <c r="AA32" t="s">
        <v>699</v>
      </c>
      <c r="AB32" t="s">
        <v>453</v>
      </c>
      <c r="AC32" t="s">
        <v>57</v>
      </c>
      <c r="AD32" t="s">
        <v>399</v>
      </c>
      <c r="AE32" t="s">
        <v>1097</v>
      </c>
      <c r="AI32">
        <v>291.47400082255939</v>
      </c>
      <c r="AJ32">
        <v>3704.3533964113421</v>
      </c>
    </row>
    <row r="33" spans="1:36" hidden="1" x14ac:dyDescent="0.25">
      <c r="A33">
        <v>32</v>
      </c>
      <c r="B33" t="s">
        <v>1099</v>
      </c>
      <c r="C33" t="s">
        <v>376</v>
      </c>
      <c r="D33" t="s">
        <v>1023</v>
      </c>
      <c r="E33" t="s">
        <v>37</v>
      </c>
      <c r="F33" t="s">
        <v>38</v>
      </c>
      <c r="G33" s="2">
        <v>45867</v>
      </c>
      <c r="I33" t="s">
        <v>72</v>
      </c>
      <c r="J33" t="s">
        <v>1024</v>
      </c>
      <c r="K33" t="s">
        <v>1025</v>
      </c>
      <c r="L33" t="s">
        <v>1026</v>
      </c>
      <c r="M33" t="s">
        <v>1027</v>
      </c>
      <c r="O33" t="s">
        <v>402</v>
      </c>
      <c r="P33" t="s">
        <v>403</v>
      </c>
      <c r="Q33">
        <v>3.737897400094802</v>
      </c>
      <c r="S33" t="s">
        <v>38</v>
      </c>
      <c r="T33" t="s">
        <v>673</v>
      </c>
      <c r="V33" t="s">
        <v>118</v>
      </c>
      <c r="X33" t="s">
        <v>673</v>
      </c>
      <c r="Y33" t="s">
        <v>1075</v>
      </c>
      <c r="Z33" t="s">
        <v>719</v>
      </c>
      <c r="AA33" t="s">
        <v>606</v>
      </c>
      <c r="AB33" t="s">
        <v>453</v>
      </c>
      <c r="AC33" t="s">
        <v>57</v>
      </c>
      <c r="AD33" t="s">
        <v>159</v>
      </c>
      <c r="AE33" t="s">
        <v>1100</v>
      </c>
      <c r="AF33" t="s">
        <v>1101</v>
      </c>
      <c r="AI33">
        <v>637.94696797868266</v>
      </c>
      <c r="AJ33">
        <v>15126.794606963829</v>
      </c>
    </row>
    <row r="34" spans="1:36" x14ac:dyDescent="0.25">
      <c r="A34">
        <v>33</v>
      </c>
      <c r="B34" t="s">
        <v>1102</v>
      </c>
      <c r="C34" t="s">
        <v>376</v>
      </c>
      <c r="D34" t="s">
        <v>1023</v>
      </c>
      <c r="E34" t="s">
        <v>37</v>
      </c>
      <c r="F34" t="s">
        <v>38</v>
      </c>
      <c r="G34" s="2">
        <v>45861</v>
      </c>
      <c r="H34">
        <v>0.1</v>
      </c>
      <c r="I34" t="s">
        <v>72</v>
      </c>
      <c r="J34" t="s">
        <v>1024</v>
      </c>
      <c r="K34" t="s">
        <v>1025</v>
      </c>
      <c r="L34" t="s">
        <v>1026</v>
      </c>
      <c r="M34" t="s">
        <v>1027</v>
      </c>
      <c r="O34" t="s">
        <v>62</v>
      </c>
      <c r="P34" t="s">
        <v>63</v>
      </c>
      <c r="Q34">
        <v>6.9782172278218882E-2</v>
      </c>
      <c r="R34" t="s">
        <v>64</v>
      </c>
      <c r="S34" t="s">
        <v>65</v>
      </c>
      <c r="T34" t="s">
        <v>1093</v>
      </c>
      <c r="V34" t="s">
        <v>118</v>
      </c>
      <c r="X34" t="s">
        <v>1094</v>
      </c>
      <c r="Y34" t="s">
        <v>1095</v>
      </c>
      <c r="Z34" t="s">
        <v>1096</v>
      </c>
      <c r="AA34" t="s">
        <v>699</v>
      </c>
      <c r="AB34" t="s">
        <v>453</v>
      </c>
      <c r="AC34" t="s">
        <v>57</v>
      </c>
      <c r="AD34" t="s">
        <v>399</v>
      </c>
      <c r="AE34" t="s">
        <v>1097</v>
      </c>
      <c r="AI34">
        <v>78.071198215113156</v>
      </c>
      <c r="AJ34">
        <v>282.39956165025029</v>
      </c>
    </row>
    <row r="35" spans="1:36" hidden="1" x14ac:dyDescent="0.25">
      <c r="A35">
        <v>34</v>
      </c>
      <c r="B35" t="s">
        <v>1103</v>
      </c>
      <c r="C35" t="s">
        <v>376</v>
      </c>
      <c r="D35" t="s">
        <v>1023</v>
      </c>
      <c r="E35" t="s">
        <v>37</v>
      </c>
      <c r="F35" t="s">
        <v>38</v>
      </c>
      <c r="G35" s="2">
        <v>45861</v>
      </c>
      <c r="H35">
        <v>0.7</v>
      </c>
      <c r="I35" t="s">
        <v>72</v>
      </c>
      <c r="J35" t="s">
        <v>1024</v>
      </c>
      <c r="K35" t="s">
        <v>1025</v>
      </c>
      <c r="L35" t="s">
        <v>1026</v>
      </c>
      <c r="M35" t="s">
        <v>1027</v>
      </c>
      <c r="O35" t="s">
        <v>115</v>
      </c>
      <c r="P35" t="s">
        <v>137</v>
      </c>
      <c r="Q35">
        <v>0.74468416146915595</v>
      </c>
      <c r="S35" t="s">
        <v>38</v>
      </c>
      <c r="T35" t="s">
        <v>1104</v>
      </c>
      <c r="V35" t="s">
        <v>118</v>
      </c>
      <c r="X35" t="s">
        <v>1094</v>
      </c>
      <c r="Y35" t="s">
        <v>1095</v>
      </c>
      <c r="Z35" t="s">
        <v>1096</v>
      </c>
      <c r="AA35" t="s">
        <v>1076</v>
      </c>
      <c r="AB35" t="s">
        <v>453</v>
      </c>
      <c r="AC35" t="s">
        <v>57</v>
      </c>
      <c r="AD35" t="s">
        <v>399</v>
      </c>
      <c r="AE35" t="s">
        <v>1097</v>
      </c>
      <c r="AI35">
        <v>209.13759602923031</v>
      </c>
      <c r="AJ35">
        <v>3013.641936056702</v>
      </c>
    </row>
    <row r="36" spans="1:36" hidden="1" x14ac:dyDescent="0.25">
      <c r="A36">
        <v>35</v>
      </c>
      <c r="B36" t="s">
        <v>1105</v>
      </c>
      <c r="C36" t="s">
        <v>376</v>
      </c>
      <c r="D36" t="s">
        <v>1023</v>
      </c>
      <c r="E36" t="s">
        <v>37</v>
      </c>
      <c r="F36" t="s">
        <v>38</v>
      </c>
      <c r="G36" s="2">
        <v>45861</v>
      </c>
      <c r="H36">
        <v>0.1</v>
      </c>
      <c r="I36" t="s">
        <v>72</v>
      </c>
      <c r="J36" t="s">
        <v>1024</v>
      </c>
      <c r="K36" t="s">
        <v>1025</v>
      </c>
      <c r="L36" t="s">
        <v>1026</v>
      </c>
      <c r="M36" t="s">
        <v>1027</v>
      </c>
      <c r="O36" t="s">
        <v>79</v>
      </c>
      <c r="P36" t="s">
        <v>80</v>
      </c>
      <c r="Q36">
        <v>6.8293057952443184E-2</v>
      </c>
      <c r="R36" t="s">
        <v>46</v>
      </c>
      <c r="S36" t="s">
        <v>47</v>
      </c>
      <c r="T36" t="s">
        <v>1093</v>
      </c>
      <c r="V36" t="s">
        <v>118</v>
      </c>
      <c r="X36" t="s">
        <v>1094</v>
      </c>
      <c r="Y36" t="s">
        <v>1095</v>
      </c>
      <c r="Z36" t="s">
        <v>1096</v>
      </c>
      <c r="AA36" t="s">
        <v>699</v>
      </c>
      <c r="AB36" t="s">
        <v>453</v>
      </c>
      <c r="AC36" t="s">
        <v>57</v>
      </c>
      <c r="AD36" t="s">
        <v>399</v>
      </c>
      <c r="AE36" t="s">
        <v>1097</v>
      </c>
      <c r="AI36">
        <v>81.777348664761078</v>
      </c>
      <c r="AJ36">
        <v>276.37330567229719</v>
      </c>
    </row>
    <row r="37" spans="1:36" x14ac:dyDescent="0.25">
      <c r="A37">
        <v>36</v>
      </c>
      <c r="B37" t="s">
        <v>1106</v>
      </c>
      <c r="C37" t="s">
        <v>376</v>
      </c>
      <c r="D37" t="s">
        <v>1023</v>
      </c>
      <c r="E37" t="s">
        <v>37</v>
      </c>
      <c r="F37" t="s">
        <v>38</v>
      </c>
      <c r="G37" s="2">
        <v>45867</v>
      </c>
      <c r="H37">
        <v>1</v>
      </c>
      <c r="I37" t="s">
        <v>72</v>
      </c>
      <c r="J37" t="s">
        <v>1024</v>
      </c>
      <c r="K37" t="s">
        <v>1025</v>
      </c>
      <c r="L37" t="s">
        <v>1026</v>
      </c>
      <c r="M37" t="s">
        <v>1027</v>
      </c>
      <c r="O37" t="s">
        <v>62</v>
      </c>
      <c r="P37" t="s">
        <v>63</v>
      </c>
      <c r="Q37">
        <v>1.1509231892090619</v>
      </c>
      <c r="R37" t="s">
        <v>64</v>
      </c>
      <c r="S37" t="s">
        <v>65</v>
      </c>
      <c r="T37" t="s">
        <v>1107</v>
      </c>
      <c r="V37" t="s">
        <v>118</v>
      </c>
      <c r="X37" t="s">
        <v>1108</v>
      </c>
      <c r="Y37" t="s">
        <v>1075</v>
      </c>
      <c r="Z37" t="s">
        <v>719</v>
      </c>
      <c r="AA37" t="s">
        <v>606</v>
      </c>
      <c r="AB37" t="s">
        <v>453</v>
      </c>
      <c r="AC37" t="s">
        <v>57</v>
      </c>
      <c r="AD37" t="s">
        <v>1048</v>
      </c>
      <c r="AE37" t="s">
        <v>1109</v>
      </c>
      <c r="AI37">
        <v>278.33324853876508</v>
      </c>
      <c r="AJ37">
        <v>4657.6395304792741</v>
      </c>
    </row>
    <row r="38" spans="1:36" hidden="1" x14ac:dyDescent="0.25">
      <c r="A38">
        <v>37</v>
      </c>
      <c r="B38" t="s">
        <v>1110</v>
      </c>
      <c r="C38" t="s">
        <v>376</v>
      </c>
      <c r="D38" t="s">
        <v>1023</v>
      </c>
      <c r="E38" t="s">
        <v>37</v>
      </c>
      <c r="F38" t="s">
        <v>38</v>
      </c>
      <c r="G38" s="2">
        <v>45861</v>
      </c>
      <c r="H38">
        <v>0.3</v>
      </c>
      <c r="I38" t="s">
        <v>72</v>
      </c>
      <c r="J38" t="s">
        <v>1024</v>
      </c>
      <c r="K38" t="s">
        <v>1025</v>
      </c>
      <c r="L38" t="s">
        <v>1026</v>
      </c>
      <c r="M38" t="s">
        <v>1027</v>
      </c>
      <c r="O38" t="s">
        <v>115</v>
      </c>
      <c r="P38" t="s">
        <v>137</v>
      </c>
      <c r="Q38">
        <v>0.29095552523764118</v>
      </c>
      <c r="S38" t="s">
        <v>38</v>
      </c>
      <c r="T38" t="s">
        <v>1104</v>
      </c>
      <c r="V38" t="s">
        <v>118</v>
      </c>
      <c r="X38" t="s">
        <v>1094</v>
      </c>
      <c r="Y38" t="s">
        <v>1095</v>
      </c>
      <c r="Z38" t="s">
        <v>1096</v>
      </c>
      <c r="AA38" t="s">
        <v>1076</v>
      </c>
      <c r="AB38" t="s">
        <v>453</v>
      </c>
      <c r="AC38" t="s">
        <v>57</v>
      </c>
      <c r="AD38" t="s">
        <v>399</v>
      </c>
      <c r="AE38" t="s">
        <v>1097</v>
      </c>
      <c r="AI38">
        <v>152.74151043780719</v>
      </c>
      <c r="AJ38">
        <v>1177.459945775787</v>
      </c>
    </row>
    <row r="39" spans="1:36" hidden="1" x14ac:dyDescent="0.25">
      <c r="A39">
        <v>38</v>
      </c>
      <c r="B39" t="s">
        <v>1111</v>
      </c>
      <c r="C39" t="s">
        <v>376</v>
      </c>
      <c r="D39" t="s">
        <v>1023</v>
      </c>
      <c r="E39" t="s">
        <v>37</v>
      </c>
      <c r="F39" t="s">
        <v>38</v>
      </c>
      <c r="G39" s="2">
        <v>45861</v>
      </c>
      <c r="H39">
        <v>0.1</v>
      </c>
      <c r="I39" t="s">
        <v>72</v>
      </c>
      <c r="J39" t="s">
        <v>1024</v>
      </c>
      <c r="K39" t="s">
        <v>1025</v>
      </c>
      <c r="L39" t="s">
        <v>1026</v>
      </c>
      <c r="M39" t="s">
        <v>1027</v>
      </c>
      <c r="O39" t="s">
        <v>79</v>
      </c>
      <c r="P39" t="s">
        <v>80</v>
      </c>
      <c r="Q39">
        <v>0.11824431811476151</v>
      </c>
      <c r="R39" t="s">
        <v>46</v>
      </c>
      <c r="S39" t="s">
        <v>47</v>
      </c>
      <c r="T39" t="s">
        <v>1093</v>
      </c>
      <c r="V39" t="s">
        <v>118</v>
      </c>
      <c r="X39" t="s">
        <v>1094</v>
      </c>
      <c r="Y39" t="s">
        <v>1095</v>
      </c>
      <c r="Z39" t="s">
        <v>1096</v>
      </c>
      <c r="AA39" t="s">
        <v>1076</v>
      </c>
      <c r="AB39" t="s">
        <v>453</v>
      </c>
      <c r="AC39" t="s">
        <v>57</v>
      </c>
      <c r="AD39" t="s">
        <v>399</v>
      </c>
      <c r="AE39" t="s">
        <v>1097</v>
      </c>
      <c r="AI39">
        <v>130.5830981455031</v>
      </c>
      <c r="AJ39">
        <v>478.51969225188623</v>
      </c>
    </row>
    <row r="40" spans="1:36" x14ac:dyDescent="0.25">
      <c r="A40">
        <v>39</v>
      </c>
      <c r="B40" t="s">
        <v>1112</v>
      </c>
      <c r="D40" t="s">
        <v>1023</v>
      </c>
      <c r="E40" t="s">
        <v>37</v>
      </c>
      <c r="G40" s="2">
        <v>45861</v>
      </c>
      <c r="H40">
        <v>3</v>
      </c>
      <c r="I40" t="s">
        <v>72</v>
      </c>
      <c r="J40" t="s">
        <v>1024</v>
      </c>
      <c r="K40" t="s">
        <v>1025</v>
      </c>
      <c r="L40" t="s">
        <v>1026</v>
      </c>
      <c r="M40" t="s">
        <v>1027</v>
      </c>
      <c r="O40" t="s">
        <v>62</v>
      </c>
      <c r="P40" t="s">
        <v>63</v>
      </c>
      <c r="Q40">
        <v>2.177285815269884</v>
      </c>
      <c r="R40" t="s">
        <v>64</v>
      </c>
      <c r="S40" t="s">
        <v>65</v>
      </c>
      <c r="T40" t="s">
        <v>1093</v>
      </c>
      <c r="V40" t="s">
        <v>118</v>
      </c>
      <c r="X40" t="s">
        <v>1094</v>
      </c>
      <c r="Y40" t="s">
        <v>1095</v>
      </c>
      <c r="Z40" t="s">
        <v>1096</v>
      </c>
      <c r="AA40" t="s">
        <v>1076</v>
      </c>
      <c r="AC40" t="s">
        <v>57</v>
      </c>
      <c r="AD40" t="s">
        <v>399</v>
      </c>
      <c r="AE40" t="s">
        <v>1097</v>
      </c>
      <c r="AI40">
        <v>400.81898345938902</v>
      </c>
      <c r="AJ40">
        <v>8811.1983296834242</v>
      </c>
    </row>
    <row r="41" spans="1:36" x14ac:dyDescent="0.25">
      <c r="A41">
        <v>40</v>
      </c>
      <c r="B41" t="s">
        <v>1113</v>
      </c>
      <c r="C41" t="s">
        <v>376</v>
      </c>
      <c r="D41" t="s">
        <v>1023</v>
      </c>
      <c r="E41" t="s">
        <v>37</v>
      </c>
      <c r="F41" t="s">
        <v>38</v>
      </c>
      <c r="G41" s="2">
        <v>45861</v>
      </c>
      <c r="H41">
        <v>0.3</v>
      </c>
      <c r="I41" t="s">
        <v>72</v>
      </c>
      <c r="J41" t="s">
        <v>1024</v>
      </c>
      <c r="K41" t="s">
        <v>1025</v>
      </c>
      <c r="L41" t="s">
        <v>1026</v>
      </c>
      <c r="M41" t="s">
        <v>1027</v>
      </c>
      <c r="O41" t="s">
        <v>62</v>
      </c>
      <c r="P41" t="s">
        <v>63</v>
      </c>
      <c r="Q41">
        <v>0.42878125609217083</v>
      </c>
      <c r="R41" t="s">
        <v>64</v>
      </c>
      <c r="S41" t="s">
        <v>65</v>
      </c>
      <c r="T41" t="s">
        <v>1093</v>
      </c>
      <c r="V41" t="s">
        <v>118</v>
      </c>
      <c r="X41" t="s">
        <v>1094</v>
      </c>
      <c r="Y41" t="s">
        <v>1095</v>
      </c>
      <c r="Z41" t="s">
        <v>1096</v>
      </c>
      <c r="AA41" t="s">
        <v>1076</v>
      </c>
      <c r="AB41" t="s">
        <v>453</v>
      </c>
      <c r="AC41" t="s">
        <v>57</v>
      </c>
      <c r="AD41" t="s">
        <v>399</v>
      </c>
      <c r="AE41" t="s">
        <v>1097</v>
      </c>
      <c r="AI41">
        <v>237.23300887617319</v>
      </c>
      <c r="AJ41">
        <v>1735.223120906883</v>
      </c>
    </row>
    <row r="42" spans="1:36" hidden="1" x14ac:dyDescent="0.25">
      <c r="A42">
        <v>41</v>
      </c>
      <c r="B42" t="s">
        <v>1114</v>
      </c>
      <c r="C42" t="s">
        <v>376</v>
      </c>
      <c r="D42" t="s">
        <v>1023</v>
      </c>
      <c r="E42" t="s">
        <v>37</v>
      </c>
      <c r="F42" t="s">
        <v>38</v>
      </c>
      <c r="G42" s="2">
        <v>45861</v>
      </c>
      <c r="H42">
        <v>0.8</v>
      </c>
      <c r="I42" t="s">
        <v>72</v>
      </c>
      <c r="J42" t="s">
        <v>1024</v>
      </c>
      <c r="K42" t="s">
        <v>1025</v>
      </c>
      <c r="L42" t="s">
        <v>1026</v>
      </c>
      <c r="M42" t="s">
        <v>1027</v>
      </c>
      <c r="O42" t="s">
        <v>79</v>
      </c>
      <c r="P42" t="s">
        <v>80</v>
      </c>
      <c r="Q42">
        <v>0.82719373281885067</v>
      </c>
      <c r="R42" t="s">
        <v>46</v>
      </c>
      <c r="S42" t="s">
        <v>47</v>
      </c>
      <c r="T42" t="s">
        <v>1115</v>
      </c>
      <c r="V42" t="s">
        <v>118</v>
      </c>
      <c r="X42" t="s">
        <v>1094</v>
      </c>
      <c r="Y42" t="s">
        <v>1095</v>
      </c>
      <c r="Z42" t="s">
        <v>1096</v>
      </c>
      <c r="AA42" t="s">
        <v>1076</v>
      </c>
      <c r="AB42" t="s">
        <v>453</v>
      </c>
      <c r="AC42" t="s">
        <v>57</v>
      </c>
      <c r="AD42" t="s">
        <v>399</v>
      </c>
      <c r="AE42" t="s">
        <v>1097</v>
      </c>
      <c r="AI42">
        <v>221.73250057228361</v>
      </c>
      <c r="AJ42">
        <v>3347.5476604042469</v>
      </c>
    </row>
    <row r="43" spans="1:36" hidden="1" x14ac:dyDescent="0.25">
      <c r="A43">
        <v>42</v>
      </c>
      <c r="B43" t="s">
        <v>1116</v>
      </c>
      <c r="C43" t="s">
        <v>376</v>
      </c>
      <c r="D43" t="s">
        <v>1023</v>
      </c>
      <c r="E43" t="s">
        <v>37</v>
      </c>
      <c r="F43" t="s">
        <v>38</v>
      </c>
      <c r="G43" s="2">
        <v>45861</v>
      </c>
      <c r="H43">
        <v>0.5</v>
      </c>
      <c r="I43" t="s">
        <v>72</v>
      </c>
      <c r="J43" t="s">
        <v>1024</v>
      </c>
      <c r="K43" t="s">
        <v>1025</v>
      </c>
      <c r="L43" t="s">
        <v>1026</v>
      </c>
      <c r="M43" t="s">
        <v>1027</v>
      </c>
      <c r="O43" t="s">
        <v>79</v>
      </c>
      <c r="P43" t="s">
        <v>80</v>
      </c>
      <c r="Q43">
        <v>0.52221527925343958</v>
      </c>
      <c r="R43" t="s">
        <v>46</v>
      </c>
      <c r="S43" t="s">
        <v>47</v>
      </c>
      <c r="T43" t="s">
        <v>1093</v>
      </c>
      <c r="V43" t="s">
        <v>118</v>
      </c>
      <c r="X43" t="s">
        <v>1094</v>
      </c>
      <c r="Y43" t="s">
        <v>1095</v>
      </c>
      <c r="Z43" t="s">
        <v>1096</v>
      </c>
      <c r="AA43" t="s">
        <v>1076</v>
      </c>
      <c r="AB43" t="s">
        <v>453</v>
      </c>
      <c r="AC43" t="s">
        <v>57</v>
      </c>
      <c r="AD43" t="s">
        <v>399</v>
      </c>
      <c r="AE43" t="s">
        <v>1097</v>
      </c>
      <c r="AI43">
        <v>207.6405718369561</v>
      </c>
      <c r="AJ43">
        <v>2113.3387100685782</v>
      </c>
    </row>
    <row r="44" spans="1:36" x14ac:dyDescent="0.25">
      <c r="A44">
        <v>43</v>
      </c>
      <c r="B44" t="s">
        <v>1117</v>
      </c>
      <c r="C44" t="s">
        <v>376</v>
      </c>
      <c r="D44" t="s">
        <v>1023</v>
      </c>
      <c r="E44" t="s">
        <v>37</v>
      </c>
      <c r="F44" t="s">
        <v>38</v>
      </c>
      <c r="G44" s="2">
        <v>45861</v>
      </c>
      <c r="H44">
        <v>0.2</v>
      </c>
      <c r="I44" t="s">
        <v>72</v>
      </c>
      <c r="J44" t="s">
        <v>1024</v>
      </c>
      <c r="K44" t="s">
        <v>1025</v>
      </c>
      <c r="L44" t="s">
        <v>1026</v>
      </c>
      <c r="M44" t="s">
        <v>1027</v>
      </c>
      <c r="O44" t="s">
        <v>62</v>
      </c>
      <c r="P44" t="s">
        <v>63</v>
      </c>
      <c r="Q44">
        <v>0.1607462108200213</v>
      </c>
      <c r="R44" t="s">
        <v>64</v>
      </c>
      <c r="S44" t="s">
        <v>65</v>
      </c>
      <c r="T44" t="s">
        <v>1118</v>
      </c>
      <c r="V44" t="s">
        <v>118</v>
      </c>
      <c r="X44" t="s">
        <v>1094</v>
      </c>
      <c r="Y44" t="s">
        <v>1095</v>
      </c>
      <c r="Z44" t="s">
        <v>1096</v>
      </c>
      <c r="AA44" t="s">
        <v>1076</v>
      </c>
      <c r="AB44" t="s">
        <v>453</v>
      </c>
      <c r="AC44" t="s">
        <v>57</v>
      </c>
      <c r="AD44" t="s">
        <v>399</v>
      </c>
      <c r="AE44" t="s">
        <v>1097</v>
      </c>
      <c r="AI44">
        <v>104.4210998231366</v>
      </c>
      <c r="AJ44">
        <v>650.51943770861624</v>
      </c>
    </row>
    <row r="45" spans="1:36" hidden="1" x14ac:dyDescent="0.25">
      <c r="A45">
        <v>44</v>
      </c>
      <c r="B45" t="s">
        <v>1119</v>
      </c>
      <c r="C45" t="s">
        <v>376</v>
      </c>
      <c r="D45" t="s">
        <v>1023</v>
      </c>
      <c r="E45" t="s">
        <v>37</v>
      </c>
      <c r="F45" t="s">
        <v>38</v>
      </c>
      <c r="G45" s="2">
        <v>45867</v>
      </c>
      <c r="I45" t="s">
        <v>72</v>
      </c>
      <c r="J45" t="s">
        <v>1024</v>
      </c>
      <c r="K45" t="s">
        <v>1025</v>
      </c>
      <c r="L45" t="s">
        <v>1026</v>
      </c>
      <c r="M45" t="s">
        <v>1027</v>
      </c>
      <c r="O45" t="s">
        <v>402</v>
      </c>
      <c r="P45" t="s">
        <v>403</v>
      </c>
      <c r="Q45">
        <v>6.0961975028523936</v>
      </c>
      <c r="S45" t="s">
        <v>38</v>
      </c>
      <c r="T45" t="s">
        <v>1120</v>
      </c>
      <c r="V45" t="s">
        <v>118</v>
      </c>
      <c r="X45" t="s">
        <v>673</v>
      </c>
      <c r="Y45" t="s">
        <v>1075</v>
      </c>
      <c r="Z45" t="s">
        <v>719</v>
      </c>
      <c r="AA45" t="s">
        <v>70</v>
      </c>
      <c r="AB45" t="s">
        <v>453</v>
      </c>
      <c r="AC45" t="s">
        <v>57</v>
      </c>
      <c r="AD45" t="s">
        <v>159</v>
      </c>
      <c r="AE45" t="s">
        <v>1100</v>
      </c>
      <c r="AF45" t="s">
        <v>1121</v>
      </c>
      <c r="AI45">
        <v>640.39847572678104</v>
      </c>
      <c r="AJ45">
        <v>24670.534698677169</v>
      </c>
    </row>
    <row r="46" spans="1:36" hidden="1" x14ac:dyDescent="0.25">
      <c r="A46">
        <v>45</v>
      </c>
      <c r="B46" t="s">
        <v>1122</v>
      </c>
      <c r="C46" t="s">
        <v>376</v>
      </c>
      <c r="D46" t="s">
        <v>1023</v>
      </c>
      <c r="E46" t="s">
        <v>37</v>
      </c>
      <c r="F46" t="s">
        <v>38</v>
      </c>
      <c r="G46" s="2">
        <v>45867</v>
      </c>
      <c r="I46" t="s">
        <v>72</v>
      </c>
      <c r="J46" t="s">
        <v>1024</v>
      </c>
      <c r="K46" t="s">
        <v>1025</v>
      </c>
      <c r="L46" t="s">
        <v>1026</v>
      </c>
      <c r="M46" t="s">
        <v>1027</v>
      </c>
      <c r="O46" t="s">
        <v>402</v>
      </c>
      <c r="P46" t="s">
        <v>403</v>
      </c>
      <c r="Q46">
        <v>0.95613661866478517</v>
      </c>
      <c r="S46" t="s">
        <v>38</v>
      </c>
      <c r="T46" t="s">
        <v>1120</v>
      </c>
      <c r="V46" t="s">
        <v>118</v>
      </c>
      <c r="X46" t="s">
        <v>673</v>
      </c>
      <c r="Y46" t="s">
        <v>1075</v>
      </c>
      <c r="Z46" t="s">
        <v>719</v>
      </c>
      <c r="AA46" t="s">
        <v>70</v>
      </c>
      <c r="AB46" t="s">
        <v>453</v>
      </c>
      <c r="AC46" t="s">
        <v>57</v>
      </c>
      <c r="AD46" t="s">
        <v>159</v>
      </c>
      <c r="AE46" t="s">
        <v>1123</v>
      </c>
      <c r="AF46" t="s">
        <v>1124</v>
      </c>
      <c r="AI46">
        <v>249.67545498890729</v>
      </c>
      <c r="AJ46">
        <v>3869.363093372302</v>
      </c>
    </row>
    <row r="47" spans="1:36" hidden="1" x14ac:dyDescent="0.25">
      <c r="A47">
        <v>46</v>
      </c>
      <c r="B47" t="s">
        <v>1125</v>
      </c>
      <c r="C47" t="s">
        <v>376</v>
      </c>
      <c r="D47" t="s">
        <v>1023</v>
      </c>
      <c r="E47" t="s">
        <v>37</v>
      </c>
      <c r="F47" t="s">
        <v>38</v>
      </c>
      <c r="G47" s="2">
        <v>45867</v>
      </c>
      <c r="H47">
        <v>0.2</v>
      </c>
      <c r="I47" t="s">
        <v>72</v>
      </c>
      <c r="J47" t="s">
        <v>1024</v>
      </c>
      <c r="K47" t="s">
        <v>1025</v>
      </c>
      <c r="L47" t="s">
        <v>1026</v>
      </c>
      <c r="M47" t="s">
        <v>1027</v>
      </c>
      <c r="O47" t="s">
        <v>402</v>
      </c>
      <c r="P47" t="s">
        <v>403</v>
      </c>
      <c r="Q47">
        <v>0.1525031352154699</v>
      </c>
      <c r="S47" t="s">
        <v>38</v>
      </c>
      <c r="T47" t="s">
        <v>57</v>
      </c>
      <c r="V47" t="s">
        <v>118</v>
      </c>
      <c r="X47" t="s">
        <v>1126</v>
      </c>
      <c r="Y47" t="s">
        <v>1075</v>
      </c>
      <c r="Z47" t="s">
        <v>719</v>
      </c>
      <c r="AA47" t="s">
        <v>70</v>
      </c>
      <c r="AB47" t="s">
        <v>453</v>
      </c>
      <c r="AC47" t="s">
        <v>57</v>
      </c>
      <c r="AD47" t="s">
        <v>159</v>
      </c>
      <c r="AF47" t="s">
        <v>38</v>
      </c>
      <c r="AI47">
        <v>122.5974728045172</v>
      </c>
      <c r="AJ47">
        <v>617.16076082343477</v>
      </c>
    </row>
    <row r="48" spans="1:36" hidden="1" x14ac:dyDescent="0.25">
      <c r="A48">
        <v>47</v>
      </c>
      <c r="B48" t="s">
        <v>1127</v>
      </c>
      <c r="C48" t="s">
        <v>376</v>
      </c>
      <c r="D48" t="s">
        <v>1023</v>
      </c>
      <c r="E48" t="s">
        <v>37</v>
      </c>
      <c r="F48" t="s">
        <v>38</v>
      </c>
      <c r="G48" s="2">
        <v>45867</v>
      </c>
      <c r="I48" t="s">
        <v>72</v>
      </c>
      <c r="J48" t="s">
        <v>1024</v>
      </c>
      <c r="K48" t="s">
        <v>1025</v>
      </c>
      <c r="L48" t="s">
        <v>1026</v>
      </c>
      <c r="M48" t="s">
        <v>1027</v>
      </c>
      <c r="O48" t="s">
        <v>402</v>
      </c>
      <c r="P48" t="s">
        <v>403</v>
      </c>
      <c r="Q48">
        <v>21.622099269851692</v>
      </c>
      <c r="S48" t="s">
        <v>38</v>
      </c>
      <c r="T48" t="s">
        <v>1120</v>
      </c>
      <c r="V48" t="s">
        <v>118</v>
      </c>
      <c r="X48" t="s">
        <v>673</v>
      </c>
      <c r="Y48" t="s">
        <v>1075</v>
      </c>
      <c r="Z48" t="s">
        <v>719</v>
      </c>
      <c r="AA48" t="s">
        <v>70</v>
      </c>
      <c r="AB48" t="s">
        <v>453</v>
      </c>
      <c r="AC48" t="s">
        <v>57</v>
      </c>
      <c r="AD48" t="s">
        <v>159</v>
      </c>
      <c r="AE48" t="s">
        <v>1128</v>
      </c>
      <c r="AF48" t="s">
        <v>1129</v>
      </c>
      <c r="AI48">
        <v>1306.2673829022081</v>
      </c>
      <c r="AJ48">
        <v>87501.881303144852</v>
      </c>
    </row>
    <row r="49" spans="1:36" hidden="1" x14ac:dyDescent="0.25">
      <c r="A49">
        <v>48</v>
      </c>
      <c r="B49" t="s">
        <v>1130</v>
      </c>
      <c r="C49" t="s">
        <v>376</v>
      </c>
      <c r="D49" t="s">
        <v>1023</v>
      </c>
      <c r="E49" t="s">
        <v>37</v>
      </c>
      <c r="F49" t="s">
        <v>38</v>
      </c>
      <c r="G49" s="2">
        <v>45867</v>
      </c>
      <c r="I49" t="s">
        <v>72</v>
      </c>
      <c r="J49" t="s">
        <v>1024</v>
      </c>
      <c r="K49" t="s">
        <v>1025</v>
      </c>
      <c r="L49" t="s">
        <v>1026</v>
      </c>
      <c r="M49" t="s">
        <v>1027</v>
      </c>
      <c r="O49" t="s">
        <v>402</v>
      </c>
      <c r="P49" t="s">
        <v>403</v>
      </c>
      <c r="Q49">
        <v>0.3382538682752344</v>
      </c>
      <c r="S49" t="s">
        <v>38</v>
      </c>
      <c r="T49" t="s">
        <v>1120</v>
      </c>
      <c r="V49" t="s">
        <v>86</v>
      </c>
      <c r="X49" t="s">
        <v>673</v>
      </c>
      <c r="Y49" t="s">
        <v>1075</v>
      </c>
      <c r="Z49" t="s">
        <v>719</v>
      </c>
      <c r="AA49" t="s">
        <v>70</v>
      </c>
      <c r="AB49" t="s">
        <v>453</v>
      </c>
      <c r="AC49" t="s">
        <v>57</v>
      </c>
      <c r="AD49" t="s">
        <v>159</v>
      </c>
      <c r="AE49" t="s">
        <v>1131</v>
      </c>
      <c r="AF49" t="s">
        <v>1132</v>
      </c>
      <c r="AI49">
        <v>153.22509207509901</v>
      </c>
      <c r="AJ49">
        <v>1368.8703147070589</v>
      </c>
    </row>
    <row r="50" spans="1:36" hidden="1" x14ac:dyDescent="0.25">
      <c r="A50">
        <v>49</v>
      </c>
      <c r="B50" t="s">
        <v>1133</v>
      </c>
      <c r="C50" t="s">
        <v>376</v>
      </c>
      <c r="D50" t="s">
        <v>1023</v>
      </c>
      <c r="E50" t="s">
        <v>37</v>
      </c>
      <c r="F50" t="s">
        <v>38</v>
      </c>
      <c r="G50" s="2">
        <v>45867</v>
      </c>
      <c r="H50">
        <v>8.3000000000000007</v>
      </c>
      <c r="I50" t="s">
        <v>72</v>
      </c>
      <c r="J50" t="s">
        <v>1024</v>
      </c>
      <c r="K50" t="s">
        <v>1025</v>
      </c>
      <c r="L50" t="s">
        <v>1026</v>
      </c>
      <c r="M50" t="s">
        <v>1027</v>
      </c>
      <c r="O50" t="s">
        <v>87</v>
      </c>
      <c r="P50" t="s">
        <v>88</v>
      </c>
      <c r="Q50">
        <v>8.7598207881077705</v>
      </c>
      <c r="R50" t="s">
        <v>46</v>
      </c>
      <c r="S50" t="s">
        <v>47</v>
      </c>
      <c r="T50" t="s">
        <v>1134</v>
      </c>
      <c r="V50" t="s">
        <v>70</v>
      </c>
      <c r="X50" t="s">
        <v>1135</v>
      </c>
      <c r="Y50" t="s">
        <v>1095</v>
      </c>
      <c r="Z50" t="s">
        <v>1096</v>
      </c>
      <c r="AA50" t="s">
        <v>441</v>
      </c>
      <c r="AB50" t="s">
        <v>453</v>
      </c>
      <c r="AC50" t="s">
        <v>57</v>
      </c>
      <c r="AD50" t="s">
        <v>1048</v>
      </c>
      <c r="AE50" t="s">
        <v>1068</v>
      </c>
      <c r="AI50">
        <v>982.04778615413034</v>
      </c>
      <c r="AJ50">
        <v>35449.878814800417</v>
      </c>
    </row>
    <row r="51" spans="1:36" hidden="1" x14ac:dyDescent="0.25">
      <c r="A51">
        <v>50</v>
      </c>
      <c r="B51" t="s">
        <v>1136</v>
      </c>
      <c r="C51" t="s">
        <v>376</v>
      </c>
      <c r="D51" t="s">
        <v>1023</v>
      </c>
      <c r="E51" t="s">
        <v>37</v>
      </c>
      <c r="F51" t="s">
        <v>38</v>
      </c>
      <c r="G51" s="2">
        <v>45867</v>
      </c>
      <c r="I51" t="s">
        <v>72</v>
      </c>
      <c r="J51" t="s">
        <v>1024</v>
      </c>
      <c r="K51" t="s">
        <v>1025</v>
      </c>
      <c r="L51" t="s">
        <v>1026</v>
      </c>
      <c r="M51" t="s">
        <v>1027</v>
      </c>
      <c r="O51" t="s">
        <v>402</v>
      </c>
      <c r="P51" t="s">
        <v>403</v>
      </c>
      <c r="Q51">
        <v>4.6038584016916913E-2</v>
      </c>
      <c r="S51" t="s">
        <v>38</v>
      </c>
      <c r="T51" t="s">
        <v>1120</v>
      </c>
      <c r="V51" t="s">
        <v>86</v>
      </c>
      <c r="X51" t="s">
        <v>673</v>
      </c>
      <c r="Y51" t="s">
        <v>1075</v>
      </c>
      <c r="Z51" t="s">
        <v>719</v>
      </c>
      <c r="AA51" t="s">
        <v>70</v>
      </c>
      <c r="AB51" t="s">
        <v>453</v>
      </c>
      <c r="AC51" t="s">
        <v>57</v>
      </c>
      <c r="AD51" t="s">
        <v>159</v>
      </c>
      <c r="AE51" t="s">
        <v>1131</v>
      </c>
      <c r="AF51" t="s">
        <v>1137</v>
      </c>
      <c r="AI51">
        <v>51.01299651506632</v>
      </c>
      <c r="AJ51">
        <v>186.3122846554555</v>
      </c>
    </row>
    <row r="52" spans="1:36" x14ac:dyDescent="0.25">
      <c r="A52">
        <v>51</v>
      </c>
      <c r="B52" t="s">
        <v>1138</v>
      </c>
      <c r="C52" t="s">
        <v>376</v>
      </c>
      <c r="D52" t="s">
        <v>1023</v>
      </c>
      <c r="E52" t="s">
        <v>37</v>
      </c>
      <c r="F52" t="s">
        <v>38</v>
      </c>
      <c r="G52" s="2">
        <v>45867</v>
      </c>
      <c r="H52">
        <v>0.2</v>
      </c>
      <c r="I52" t="s">
        <v>72</v>
      </c>
      <c r="J52" t="s">
        <v>1024</v>
      </c>
      <c r="K52" t="s">
        <v>1025</v>
      </c>
      <c r="L52" t="s">
        <v>1026</v>
      </c>
      <c r="M52" t="s">
        <v>1027</v>
      </c>
      <c r="O52" t="s">
        <v>62</v>
      </c>
      <c r="P52" t="s">
        <v>63</v>
      </c>
      <c r="Q52">
        <v>0.1315138795688611</v>
      </c>
      <c r="R52" t="s">
        <v>64</v>
      </c>
      <c r="S52" t="s">
        <v>65</v>
      </c>
      <c r="T52" t="s">
        <v>1139</v>
      </c>
      <c r="V52" t="s">
        <v>86</v>
      </c>
      <c r="X52" t="s">
        <v>1126</v>
      </c>
      <c r="Y52" t="s">
        <v>1075</v>
      </c>
      <c r="Z52" t="s">
        <v>719</v>
      </c>
      <c r="AA52" t="s">
        <v>70</v>
      </c>
      <c r="AB52" t="s">
        <v>453</v>
      </c>
      <c r="AC52" t="s">
        <v>57</v>
      </c>
      <c r="AD52" t="s">
        <v>159</v>
      </c>
      <c r="AI52">
        <v>102.31002356568671</v>
      </c>
      <c r="AJ52">
        <v>532.21991704552499</v>
      </c>
    </row>
    <row r="53" spans="1:36" hidden="1" x14ac:dyDescent="0.25">
      <c r="A53">
        <v>52</v>
      </c>
      <c r="B53" t="s">
        <v>1140</v>
      </c>
      <c r="C53" t="s">
        <v>376</v>
      </c>
      <c r="D53" t="s">
        <v>1023</v>
      </c>
      <c r="E53" t="s">
        <v>37</v>
      </c>
      <c r="F53" t="s">
        <v>38</v>
      </c>
      <c r="G53" s="2">
        <v>45867</v>
      </c>
      <c r="H53">
        <v>14.4</v>
      </c>
      <c r="I53" t="s">
        <v>72</v>
      </c>
      <c r="J53" t="s">
        <v>1024</v>
      </c>
      <c r="K53" t="s">
        <v>1025</v>
      </c>
      <c r="L53" t="s">
        <v>1026</v>
      </c>
      <c r="M53" t="s">
        <v>1027</v>
      </c>
      <c r="O53" t="s">
        <v>87</v>
      </c>
      <c r="P53" t="s">
        <v>88</v>
      </c>
      <c r="Q53">
        <v>15.39467099764304</v>
      </c>
      <c r="R53" t="s">
        <v>46</v>
      </c>
      <c r="S53" t="s">
        <v>47</v>
      </c>
      <c r="T53" t="s">
        <v>1141</v>
      </c>
      <c r="V53" t="s">
        <v>70</v>
      </c>
      <c r="X53" t="s">
        <v>1135</v>
      </c>
      <c r="Y53" t="s">
        <v>1095</v>
      </c>
      <c r="Z53" t="s">
        <v>1096</v>
      </c>
      <c r="AA53" t="s">
        <v>441</v>
      </c>
      <c r="AB53" t="s">
        <v>453</v>
      </c>
      <c r="AC53" t="s">
        <v>57</v>
      </c>
      <c r="AD53" t="s">
        <v>1048</v>
      </c>
      <c r="AE53" t="s">
        <v>1068</v>
      </c>
      <c r="AI53">
        <v>1741.7606662833939</v>
      </c>
      <c r="AJ53">
        <v>62300.272398387147</v>
      </c>
    </row>
    <row r="54" spans="1:36" hidden="1" x14ac:dyDescent="0.25">
      <c r="A54">
        <v>53</v>
      </c>
      <c r="B54" t="s">
        <v>1142</v>
      </c>
      <c r="C54" t="s">
        <v>376</v>
      </c>
      <c r="D54" t="s">
        <v>1023</v>
      </c>
      <c r="E54" t="s">
        <v>37</v>
      </c>
      <c r="F54" t="s">
        <v>38</v>
      </c>
      <c r="G54" s="2">
        <v>45867</v>
      </c>
      <c r="I54" t="s">
        <v>72</v>
      </c>
      <c r="J54" t="s">
        <v>1024</v>
      </c>
      <c r="K54" t="s">
        <v>1025</v>
      </c>
      <c r="L54" t="s">
        <v>1026</v>
      </c>
      <c r="M54" t="s">
        <v>1027</v>
      </c>
      <c r="O54" t="s">
        <v>402</v>
      </c>
      <c r="P54" t="s">
        <v>403</v>
      </c>
      <c r="Q54">
        <v>9.944971373694525E-2</v>
      </c>
      <c r="T54" t="s">
        <v>1120</v>
      </c>
      <c r="V54" t="s">
        <v>86</v>
      </c>
      <c r="X54" t="s">
        <v>673</v>
      </c>
      <c r="Y54" t="s">
        <v>1075</v>
      </c>
      <c r="Z54" t="s">
        <v>719</v>
      </c>
      <c r="AA54" t="s">
        <v>70</v>
      </c>
      <c r="AB54" t="s">
        <v>453</v>
      </c>
      <c r="AC54" t="s">
        <v>57</v>
      </c>
      <c r="AD54" t="s">
        <v>159</v>
      </c>
      <c r="AE54" t="s">
        <v>1143</v>
      </c>
      <c r="AF54" t="s">
        <v>1079</v>
      </c>
      <c r="AI54">
        <v>86.569153628321018</v>
      </c>
      <c r="AJ54">
        <v>402.46032258187893</v>
      </c>
    </row>
    <row r="55" spans="1:36" hidden="1" x14ac:dyDescent="0.25">
      <c r="A55">
        <v>54</v>
      </c>
      <c r="B55" t="s">
        <v>1144</v>
      </c>
      <c r="C55" t="s">
        <v>376</v>
      </c>
      <c r="D55" t="s">
        <v>1023</v>
      </c>
      <c r="E55" t="s">
        <v>37</v>
      </c>
      <c r="F55" t="s">
        <v>38</v>
      </c>
      <c r="G55" s="2">
        <v>45867</v>
      </c>
      <c r="I55" t="s">
        <v>72</v>
      </c>
      <c r="J55" t="s">
        <v>1024</v>
      </c>
      <c r="K55" t="s">
        <v>1025</v>
      </c>
      <c r="L55" t="s">
        <v>1026</v>
      </c>
      <c r="M55" t="s">
        <v>1027</v>
      </c>
      <c r="O55" t="s">
        <v>402</v>
      </c>
      <c r="P55" t="s">
        <v>403</v>
      </c>
      <c r="Q55">
        <v>0.58094597011779103</v>
      </c>
      <c r="S55" t="s">
        <v>38</v>
      </c>
      <c r="T55" t="s">
        <v>1120</v>
      </c>
      <c r="V55" t="s">
        <v>86</v>
      </c>
      <c r="X55" t="s">
        <v>673</v>
      </c>
      <c r="Y55" t="s">
        <v>1075</v>
      </c>
      <c r="Z55" t="s">
        <v>719</v>
      </c>
      <c r="AA55" t="s">
        <v>70</v>
      </c>
      <c r="AB55" t="s">
        <v>453</v>
      </c>
      <c r="AC55" t="s">
        <v>57</v>
      </c>
      <c r="AD55" t="s">
        <v>159</v>
      </c>
      <c r="AE55" t="s">
        <v>1145</v>
      </c>
      <c r="AF55" t="s">
        <v>1146</v>
      </c>
      <c r="AI55">
        <v>218.11596187314871</v>
      </c>
      <c r="AJ55">
        <v>2351.014334286514</v>
      </c>
    </row>
    <row r="56" spans="1:36" x14ac:dyDescent="0.25">
      <c r="A56">
        <v>55</v>
      </c>
      <c r="B56" t="s">
        <v>1147</v>
      </c>
      <c r="C56" t="s">
        <v>376</v>
      </c>
      <c r="D56" t="s">
        <v>1023</v>
      </c>
      <c r="E56" t="s">
        <v>37</v>
      </c>
      <c r="F56" t="s">
        <v>38</v>
      </c>
      <c r="G56" s="2">
        <v>45867</v>
      </c>
      <c r="H56">
        <v>4</v>
      </c>
      <c r="I56" t="s">
        <v>72</v>
      </c>
      <c r="J56" t="s">
        <v>1024</v>
      </c>
      <c r="K56" t="s">
        <v>1025</v>
      </c>
      <c r="L56" t="s">
        <v>1026</v>
      </c>
      <c r="M56" t="s">
        <v>1027</v>
      </c>
      <c r="N56" t="s">
        <v>1148</v>
      </c>
      <c r="O56" t="s">
        <v>62</v>
      </c>
      <c r="P56" t="s">
        <v>63</v>
      </c>
      <c r="Q56">
        <v>3.7070915253605912</v>
      </c>
      <c r="R56" t="s">
        <v>64</v>
      </c>
      <c r="S56" t="s">
        <v>65</v>
      </c>
      <c r="T56" t="s">
        <v>1149</v>
      </c>
      <c r="V56" t="s">
        <v>86</v>
      </c>
      <c r="X56" t="s">
        <v>1150</v>
      </c>
      <c r="Y56" t="s">
        <v>1075</v>
      </c>
      <c r="Z56" t="s">
        <v>719</v>
      </c>
      <c r="AA56" t="s">
        <v>70</v>
      </c>
      <c r="AB56" t="s">
        <v>453</v>
      </c>
      <c r="AC56" t="s">
        <v>57</v>
      </c>
      <c r="AD56" t="s">
        <v>1048</v>
      </c>
      <c r="AE56" t="s">
        <v>1151</v>
      </c>
      <c r="AI56">
        <v>493.04304931833082</v>
      </c>
      <c r="AJ56">
        <v>15002.127156278741</v>
      </c>
    </row>
    <row r="57" spans="1:36" x14ac:dyDescent="0.25">
      <c r="A57">
        <v>56</v>
      </c>
      <c r="B57" t="s">
        <v>1152</v>
      </c>
      <c r="C57" t="s">
        <v>376</v>
      </c>
      <c r="D57" t="s">
        <v>1023</v>
      </c>
      <c r="E57" t="s">
        <v>37</v>
      </c>
      <c r="F57" t="s">
        <v>38</v>
      </c>
      <c r="G57" s="2">
        <v>45867</v>
      </c>
      <c r="H57">
        <v>0.4</v>
      </c>
      <c r="I57" t="s">
        <v>72</v>
      </c>
      <c r="J57" t="s">
        <v>1024</v>
      </c>
      <c r="K57" t="s">
        <v>1025</v>
      </c>
      <c r="L57" t="s">
        <v>1026</v>
      </c>
      <c r="M57" t="s">
        <v>1027</v>
      </c>
      <c r="N57" t="s">
        <v>1148</v>
      </c>
      <c r="O57" t="s">
        <v>62</v>
      </c>
      <c r="P57" t="s">
        <v>63</v>
      </c>
      <c r="Q57">
        <v>0.42117081501820991</v>
      </c>
      <c r="R57" t="s">
        <v>64</v>
      </c>
      <c r="S57" t="s">
        <v>65</v>
      </c>
      <c r="T57" t="s">
        <v>1149</v>
      </c>
      <c r="V57" t="s">
        <v>86</v>
      </c>
      <c r="X57" t="s">
        <v>1150</v>
      </c>
      <c r="Y57" t="s">
        <v>1075</v>
      </c>
      <c r="Z57" t="s">
        <v>719</v>
      </c>
      <c r="AA57" t="s">
        <v>71</v>
      </c>
      <c r="AB57" t="s">
        <v>453</v>
      </c>
      <c r="AC57" t="s">
        <v>57</v>
      </c>
      <c r="AD57" t="s">
        <v>1048</v>
      </c>
      <c r="AE57" t="s">
        <v>1151</v>
      </c>
      <c r="AI57">
        <v>173.28012978242899</v>
      </c>
      <c r="AJ57">
        <v>1704.4246353756089</v>
      </c>
    </row>
    <row r="58" spans="1:36" hidden="1" x14ac:dyDescent="0.25">
      <c r="A58">
        <v>57</v>
      </c>
      <c r="B58" t="s">
        <v>1153</v>
      </c>
      <c r="C58" t="s">
        <v>376</v>
      </c>
      <c r="D58" t="s">
        <v>1023</v>
      </c>
      <c r="E58" t="s">
        <v>37</v>
      </c>
      <c r="F58" t="s">
        <v>38</v>
      </c>
      <c r="G58" s="2">
        <v>45867</v>
      </c>
      <c r="I58" t="s">
        <v>72</v>
      </c>
      <c r="J58" t="s">
        <v>1024</v>
      </c>
      <c r="K58" t="s">
        <v>1025</v>
      </c>
      <c r="L58" t="s">
        <v>1026</v>
      </c>
      <c r="M58" t="s">
        <v>1027</v>
      </c>
      <c r="O58" t="s">
        <v>402</v>
      </c>
      <c r="P58" t="s">
        <v>403</v>
      </c>
      <c r="Q58">
        <v>2.0136172133184211</v>
      </c>
      <c r="S58" t="s">
        <v>38</v>
      </c>
      <c r="T58" t="s">
        <v>1154</v>
      </c>
      <c r="V58" t="s">
        <v>86</v>
      </c>
      <c r="X58" t="s">
        <v>673</v>
      </c>
      <c r="Y58" t="s">
        <v>1075</v>
      </c>
      <c r="Z58" t="s">
        <v>719</v>
      </c>
      <c r="AA58" t="s">
        <v>71</v>
      </c>
      <c r="AB58" t="s">
        <v>453</v>
      </c>
      <c r="AC58" t="s">
        <v>57</v>
      </c>
      <c r="AD58" t="s">
        <v>159</v>
      </c>
      <c r="AF58" t="s">
        <v>1155</v>
      </c>
      <c r="AI58">
        <v>380.75358080581469</v>
      </c>
      <c r="AJ58">
        <v>8148.8523473496343</v>
      </c>
    </row>
    <row r="59" spans="1:36" hidden="1" x14ac:dyDescent="0.25">
      <c r="A59">
        <v>58</v>
      </c>
      <c r="B59" t="s">
        <v>1156</v>
      </c>
      <c r="C59" t="s">
        <v>376</v>
      </c>
      <c r="D59" t="s">
        <v>1023</v>
      </c>
      <c r="E59" t="s">
        <v>37</v>
      </c>
      <c r="F59" t="s">
        <v>38</v>
      </c>
      <c r="G59" s="2">
        <v>45867</v>
      </c>
      <c r="H59">
        <v>17.2</v>
      </c>
      <c r="I59" t="s">
        <v>72</v>
      </c>
      <c r="J59" t="s">
        <v>1024</v>
      </c>
      <c r="K59" t="s">
        <v>1025</v>
      </c>
      <c r="L59" t="s">
        <v>1026</v>
      </c>
      <c r="M59" t="s">
        <v>1027</v>
      </c>
      <c r="N59" t="s">
        <v>1148</v>
      </c>
      <c r="O59" t="s">
        <v>79</v>
      </c>
      <c r="P59" t="s">
        <v>80</v>
      </c>
      <c r="Q59">
        <v>16.95780152958995</v>
      </c>
      <c r="R59" t="s">
        <v>46</v>
      </c>
      <c r="S59" t="s">
        <v>47</v>
      </c>
      <c r="T59" t="s">
        <v>1157</v>
      </c>
      <c r="V59" t="s">
        <v>86</v>
      </c>
      <c r="X59" t="s">
        <v>1158</v>
      </c>
      <c r="Y59" t="s">
        <v>1095</v>
      </c>
      <c r="Z59" t="s">
        <v>719</v>
      </c>
      <c r="AA59" t="s">
        <v>71</v>
      </c>
      <c r="AB59" t="s">
        <v>453</v>
      </c>
      <c r="AC59" t="s">
        <v>57</v>
      </c>
      <c r="AD59" t="s">
        <v>1048</v>
      </c>
      <c r="AE59" t="s">
        <v>1159</v>
      </c>
      <c r="AI59">
        <v>1212.7723434949139</v>
      </c>
      <c r="AJ59">
        <v>68626.062533781253</v>
      </c>
    </row>
    <row r="60" spans="1:36" hidden="1" x14ac:dyDescent="0.25">
      <c r="A60">
        <v>59</v>
      </c>
      <c r="B60" t="s">
        <v>1160</v>
      </c>
      <c r="C60" t="s">
        <v>376</v>
      </c>
      <c r="D60" t="s">
        <v>1023</v>
      </c>
      <c r="E60" t="s">
        <v>37</v>
      </c>
      <c r="F60" t="s">
        <v>38</v>
      </c>
      <c r="G60" s="2">
        <v>45867</v>
      </c>
      <c r="H60">
        <v>1.1000000000000001</v>
      </c>
      <c r="I60" t="s">
        <v>72</v>
      </c>
      <c r="J60" t="s">
        <v>1024</v>
      </c>
      <c r="K60" t="s">
        <v>1025</v>
      </c>
      <c r="L60" t="s">
        <v>1026</v>
      </c>
      <c r="M60" t="s">
        <v>1027</v>
      </c>
      <c r="O60" t="s">
        <v>141</v>
      </c>
      <c r="P60" t="s">
        <v>142</v>
      </c>
      <c r="Q60">
        <v>0.99929611432644672</v>
      </c>
      <c r="T60" t="s">
        <v>1161</v>
      </c>
      <c r="V60" t="s">
        <v>86</v>
      </c>
      <c r="X60" t="s">
        <v>1158</v>
      </c>
      <c r="Y60" t="s">
        <v>1075</v>
      </c>
      <c r="Z60" t="s">
        <v>719</v>
      </c>
      <c r="AA60" t="s">
        <v>71</v>
      </c>
      <c r="AB60" t="s">
        <v>453</v>
      </c>
      <c r="AC60" t="s">
        <v>57</v>
      </c>
      <c r="AD60" t="s">
        <v>1048</v>
      </c>
      <c r="AE60" t="s">
        <v>1159</v>
      </c>
      <c r="AI60">
        <v>246.28296549929959</v>
      </c>
      <c r="AJ60">
        <v>4044.024074221466</v>
      </c>
    </row>
    <row r="61" spans="1:36" hidden="1" x14ac:dyDescent="0.25">
      <c r="A61">
        <v>60</v>
      </c>
      <c r="B61" t="s">
        <v>1162</v>
      </c>
      <c r="C61" t="s">
        <v>376</v>
      </c>
      <c r="D61" t="s">
        <v>1023</v>
      </c>
      <c r="E61" t="s">
        <v>37</v>
      </c>
      <c r="F61" t="s">
        <v>38</v>
      </c>
      <c r="G61" s="2">
        <v>45867</v>
      </c>
      <c r="I61" t="s">
        <v>72</v>
      </c>
      <c r="J61" t="s">
        <v>1024</v>
      </c>
      <c r="K61" t="s">
        <v>1025</v>
      </c>
      <c r="L61" t="s">
        <v>1026</v>
      </c>
      <c r="M61" t="s">
        <v>1027</v>
      </c>
      <c r="O61" t="s">
        <v>402</v>
      </c>
      <c r="P61" t="s">
        <v>403</v>
      </c>
      <c r="Q61">
        <v>13.202001799700479</v>
      </c>
      <c r="S61" t="s">
        <v>38</v>
      </c>
      <c r="T61" t="s">
        <v>1154</v>
      </c>
      <c r="V61" t="s">
        <v>86</v>
      </c>
      <c r="X61" t="s">
        <v>673</v>
      </c>
      <c r="Y61" t="s">
        <v>1075</v>
      </c>
      <c r="Z61" t="s">
        <v>719</v>
      </c>
      <c r="AA61" t="s">
        <v>71</v>
      </c>
      <c r="AB61" t="s">
        <v>453</v>
      </c>
      <c r="AC61" t="s">
        <v>57</v>
      </c>
      <c r="AD61" t="s">
        <v>159</v>
      </c>
      <c r="AF61" t="s">
        <v>1163</v>
      </c>
      <c r="AI61">
        <v>1875.474536791754</v>
      </c>
      <c r="AJ61">
        <v>53426.819478718447</v>
      </c>
    </row>
    <row r="62" spans="1:36" hidden="1" x14ac:dyDescent="0.25">
      <c r="A62">
        <v>61</v>
      </c>
      <c r="B62" t="s">
        <v>1164</v>
      </c>
      <c r="C62" t="s">
        <v>376</v>
      </c>
      <c r="D62" t="s">
        <v>1023</v>
      </c>
      <c r="E62" t="s">
        <v>37</v>
      </c>
      <c r="F62" t="s">
        <v>38</v>
      </c>
      <c r="G62" s="2">
        <v>45867</v>
      </c>
      <c r="H62">
        <v>11</v>
      </c>
      <c r="I62" t="s">
        <v>72</v>
      </c>
      <c r="J62" t="s">
        <v>1024</v>
      </c>
      <c r="K62" t="s">
        <v>1025</v>
      </c>
      <c r="L62" t="s">
        <v>1026</v>
      </c>
      <c r="M62" t="s">
        <v>1027</v>
      </c>
      <c r="N62" t="s">
        <v>1148</v>
      </c>
      <c r="O62" t="s">
        <v>79</v>
      </c>
      <c r="P62" t="s">
        <v>80</v>
      </c>
      <c r="Q62">
        <v>10.59411764387929</v>
      </c>
      <c r="R62" t="s">
        <v>46</v>
      </c>
      <c r="S62" t="s">
        <v>47</v>
      </c>
      <c r="T62" t="s">
        <v>1157</v>
      </c>
      <c r="V62" t="s">
        <v>86</v>
      </c>
      <c r="X62" t="s">
        <v>1158</v>
      </c>
      <c r="Y62" t="s">
        <v>1075</v>
      </c>
      <c r="Z62" t="s">
        <v>719</v>
      </c>
      <c r="AA62" t="s">
        <v>71</v>
      </c>
      <c r="AB62" t="s">
        <v>453</v>
      </c>
      <c r="AC62" t="s">
        <v>57</v>
      </c>
      <c r="AD62" t="s">
        <v>1048</v>
      </c>
      <c r="AE62" t="s">
        <v>1159</v>
      </c>
      <c r="AI62">
        <v>933.0896814818035</v>
      </c>
      <c r="AJ62">
        <v>42873.044518800627</v>
      </c>
    </row>
    <row r="63" spans="1:36" hidden="1" x14ac:dyDescent="0.25">
      <c r="A63">
        <v>62</v>
      </c>
      <c r="B63" t="s">
        <v>1165</v>
      </c>
      <c r="C63" t="s">
        <v>376</v>
      </c>
      <c r="D63" t="s">
        <v>1023</v>
      </c>
      <c r="E63" t="s">
        <v>37</v>
      </c>
      <c r="F63" t="s">
        <v>38</v>
      </c>
      <c r="G63" s="2">
        <v>45867</v>
      </c>
      <c r="H63">
        <v>0.7</v>
      </c>
      <c r="I63" t="s">
        <v>72</v>
      </c>
      <c r="J63" t="s">
        <v>1024</v>
      </c>
      <c r="K63" t="s">
        <v>1025</v>
      </c>
      <c r="L63" t="s">
        <v>1026</v>
      </c>
      <c r="M63" t="s">
        <v>1027</v>
      </c>
      <c r="N63" t="s">
        <v>1148</v>
      </c>
      <c r="O63" t="s">
        <v>79</v>
      </c>
      <c r="P63" t="s">
        <v>80</v>
      </c>
      <c r="Q63">
        <v>0.55254418533219152</v>
      </c>
      <c r="R63" t="s">
        <v>46</v>
      </c>
      <c r="S63" t="s">
        <v>47</v>
      </c>
      <c r="T63" t="s">
        <v>1157</v>
      </c>
      <c r="V63" t="s">
        <v>86</v>
      </c>
      <c r="X63" t="s">
        <v>1158</v>
      </c>
      <c r="Y63" t="s">
        <v>1075</v>
      </c>
      <c r="Z63" t="s">
        <v>719</v>
      </c>
      <c r="AA63" t="s">
        <v>71</v>
      </c>
      <c r="AB63" t="s">
        <v>453</v>
      </c>
      <c r="AC63" t="s">
        <v>57</v>
      </c>
      <c r="AD63" t="s">
        <v>1048</v>
      </c>
      <c r="AE63" t="s">
        <v>1159</v>
      </c>
      <c r="AI63">
        <v>226.94162056235271</v>
      </c>
      <c r="AJ63">
        <v>2236.0759293661281</v>
      </c>
    </row>
    <row r="64" spans="1:36" hidden="1" x14ac:dyDescent="0.25">
      <c r="A64">
        <v>63</v>
      </c>
      <c r="B64" t="s">
        <v>1166</v>
      </c>
      <c r="C64" t="s">
        <v>376</v>
      </c>
      <c r="D64" t="s">
        <v>1023</v>
      </c>
      <c r="E64" t="s">
        <v>37</v>
      </c>
      <c r="F64" t="s">
        <v>38</v>
      </c>
      <c r="G64" s="2">
        <v>45867</v>
      </c>
      <c r="H64">
        <v>9.9</v>
      </c>
      <c r="I64" t="s">
        <v>72</v>
      </c>
      <c r="J64" t="s">
        <v>1024</v>
      </c>
      <c r="K64" t="s">
        <v>1025</v>
      </c>
      <c r="L64" t="s">
        <v>1026</v>
      </c>
      <c r="M64" t="s">
        <v>1027</v>
      </c>
      <c r="N64" t="s">
        <v>1148</v>
      </c>
      <c r="O64" t="s">
        <v>79</v>
      </c>
      <c r="P64" t="s">
        <v>80</v>
      </c>
      <c r="Q64">
        <v>10.6011100752042</v>
      </c>
      <c r="R64" t="s">
        <v>46</v>
      </c>
      <c r="S64" t="s">
        <v>47</v>
      </c>
      <c r="T64" t="s">
        <v>1157</v>
      </c>
      <c r="V64" t="s">
        <v>86</v>
      </c>
      <c r="X64" t="s">
        <v>1158</v>
      </c>
      <c r="Y64" t="s">
        <v>1075</v>
      </c>
      <c r="Z64" t="s">
        <v>719</v>
      </c>
      <c r="AA64" t="s">
        <v>71</v>
      </c>
      <c r="AB64" t="s">
        <v>453</v>
      </c>
      <c r="AC64" t="s">
        <v>57</v>
      </c>
      <c r="AD64" t="s">
        <v>1048</v>
      </c>
      <c r="AE64" t="s">
        <v>1159</v>
      </c>
      <c r="AI64">
        <v>861.05786501717444</v>
      </c>
      <c r="AJ64">
        <v>42901.341997605843</v>
      </c>
    </row>
    <row r="65" spans="1:36" hidden="1" x14ac:dyDescent="0.25">
      <c r="A65">
        <v>64</v>
      </c>
      <c r="B65" t="s">
        <v>1167</v>
      </c>
      <c r="C65" t="s">
        <v>376</v>
      </c>
      <c r="D65" t="s">
        <v>1023</v>
      </c>
      <c r="E65" t="s">
        <v>37</v>
      </c>
      <c r="F65" t="s">
        <v>38</v>
      </c>
      <c r="G65" s="2">
        <v>45867</v>
      </c>
      <c r="H65">
        <v>10.7</v>
      </c>
      <c r="I65" t="s">
        <v>72</v>
      </c>
      <c r="J65" t="s">
        <v>1024</v>
      </c>
      <c r="K65" t="s">
        <v>1025</v>
      </c>
      <c r="L65" t="s">
        <v>1026</v>
      </c>
      <c r="M65" t="s">
        <v>1027</v>
      </c>
      <c r="N65" t="s">
        <v>1148</v>
      </c>
      <c r="O65" t="s">
        <v>79</v>
      </c>
      <c r="P65" t="s">
        <v>80</v>
      </c>
      <c r="Q65">
        <v>10.888281232789771</v>
      </c>
      <c r="R65" t="s">
        <v>46</v>
      </c>
      <c r="S65" t="s">
        <v>47</v>
      </c>
      <c r="T65" t="s">
        <v>1157</v>
      </c>
      <c r="V65" t="s">
        <v>86</v>
      </c>
      <c r="X65" t="s">
        <v>1158</v>
      </c>
      <c r="Y65" t="s">
        <v>1075</v>
      </c>
      <c r="Z65" t="s">
        <v>719</v>
      </c>
      <c r="AA65" t="s">
        <v>71</v>
      </c>
      <c r="AB65" t="s">
        <v>453</v>
      </c>
      <c r="AC65" t="s">
        <v>57</v>
      </c>
      <c r="AD65" t="s">
        <v>1048</v>
      </c>
      <c r="AE65" t="s">
        <v>1159</v>
      </c>
      <c r="AI65">
        <v>939.00496920557964</v>
      </c>
      <c r="AJ65">
        <v>44063.487089584763</v>
      </c>
    </row>
    <row r="66" spans="1:36" hidden="1" x14ac:dyDescent="0.25">
      <c r="A66">
        <v>65</v>
      </c>
      <c r="B66" t="s">
        <v>1168</v>
      </c>
      <c r="C66" t="s">
        <v>376</v>
      </c>
      <c r="D66" t="s">
        <v>1023</v>
      </c>
      <c r="E66" t="s">
        <v>37</v>
      </c>
      <c r="F66" t="s">
        <v>38</v>
      </c>
      <c r="G66" s="2">
        <v>45867</v>
      </c>
      <c r="H66">
        <v>3.4</v>
      </c>
      <c r="I66" t="s">
        <v>72</v>
      </c>
      <c r="J66" t="s">
        <v>1024</v>
      </c>
      <c r="K66" t="s">
        <v>1025</v>
      </c>
      <c r="L66" t="s">
        <v>1026</v>
      </c>
      <c r="M66" t="s">
        <v>1027</v>
      </c>
      <c r="N66" t="s">
        <v>1148</v>
      </c>
      <c r="O66" t="s">
        <v>77</v>
      </c>
      <c r="P66" t="s">
        <v>78</v>
      </c>
      <c r="Q66">
        <v>2.749015120855403</v>
      </c>
      <c r="R66" t="s">
        <v>46</v>
      </c>
      <c r="S66" t="s">
        <v>47</v>
      </c>
      <c r="T66" t="s">
        <v>1157</v>
      </c>
      <c r="V66" t="s">
        <v>86</v>
      </c>
      <c r="X66" t="s">
        <v>1158</v>
      </c>
      <c r="Y66" t="s">
        <v>1075</v>
      </c>
      <c r="Z66" t="s">
        <v>719</v>
      </c>
      <c r="AA66" t="s">
        <v>71</v>
      </c>
      <c r="AB66" t="s">
        <v>453</v>
      </c>
      <c r="AC66" t="s">
        <v>57</v>
      </c>
      <c r="AD66" t="s">
        <v>1048</v>
      </c>
      <c r="AE66" t="s">
        <v>1159</v>
      </c>
      <c r="AI66">
        <v>467.27282217298148</v>
      </c>
      <c r="AJ66">
        <v>11124.91399671989</v>
      </c>
    </row>
    <row r="67" spans="1:36" hidden="1" x14ac:dyDescent="0.25">
      <c r="A67">
        <v>66</v>
      </c>
      <c r="B67" t="s">
        <v>1169</v>
      </c>
      <c r="C67" t="s">
        <v>376</v>
      </c>
      <c r="D67" t="s">
        <v>1023</v>
      </c>
      <c r="E67" t="s">
        <v>37</v>
      </c>
      <c r="F67" t="s">
        <v>38</v>
      </c>
      <c r="G67" s="2">
        <v>45867</v>
      </c>
      <c r="H67">
        <v>5.7</v>
      </c>
      <c r="I67" t="s">
        <v>72</v>
      </c>
      <c r="J67" t="s">
        <v>1024</v>
      </c>
      <c r="K67" t="s">
        <v>1025</v>
      </c>
      <c r="L67" t="s">
        <v>1026</v>
      </c>
      <c r="M67" t="s">
        <v>1027</v>
      </c>
      <c r="N67" t="s">
        <v>1148</v>
      </c>
      <c r="O67" t="s">
        <v>77</v>
      </c>
      <c r="P67" t="s">
        <v>78</v>
      </c>
      <c r="Q67">
        <v>5.823114097003276</v>
      </c>
      <c r="R67" t="s">
        <v>46</v>
      </c>
      <c r="S67" t="s">
        <v>47</v>
      </c>
      <c r="T67" t="s">
        <v>1157</v>
      </c>
      <c r="V67" t="s">
        <v>61</v>
      </c>
      <c r="X67" t="s">
        <v>1158</v>
      </c>
      <c r="Y67" t="s">
        <v>1075</v>
      </c>
      <c r="Z67" t="s">
        <v>719</v>
      </c>
      <c r="AA67" t="s">
        <v>71</v>
      </c>
      <c r="AB67" t="s">
        <v>453</v>
      </c>
      <c r="AC67" t="s">
        <v>57</v>
      </c>
      <c r="AD67" t="s">
        <v>1048</v>
      </c>
      <c r="AE67" t="s">
        <v>1159</v>
      </c>
      <c r="AI67">
        <v>794.77827476368543</v>
      </c>
      <c r="AJ67">
        <v>23565.400943335189</v>
      </c>
    </row>
    <row r="68" spans="1:36" hidden="1" x14ac:dyDescent="0.25">
      <c r="A68">
        <v>67</v>
      </c>
      <c r="B68" t="s">
        <v>1170</v>
      </c>
      <c r="C68" t="s">
        <v>376</v>
      </c>
      <c r="D68" t="s">
        <v>1023</v>
      </c>
      <c r="E68" t="s">
        <v>37</v>
      </c>
      <c r="F68" t="s">
        <v>38</v>
      </c>
      <c r="G68" s="2">
        <v>45867</v>
      </c>
      <c r="I68" t="s">
        <v>72</v>
      </c>
      <c r="J68" t="s">
        <v>1024</v>
      </c>
      <c r="K68" t="s">
        <v>1025</v>
      </c>
      <c r="L68" t="s">
        <v>1026</v>
      </c>
      <c r="M68" t="s">
        <v>1027</v>
      </c>
      <c r="O68" t="s">
        <v>1081</v>
      </c>
      <c r="P68" t="s">
        <v>116</v>
      </c>
      <c r="Q68">
        <v>0.44299216348668552</v>
      </c>
      <c r="S68" t="s">
        <v>38</v>
      </c>
      <c r="T68" t="s">
        <v>1171</v>
      </c>
      <c r="V68" t="s">
        <v>86</v>
      </c>
      <c r="X68" t="s">
        <v>1172</v>
      </c>
      <c r="Y68" t="s">
        <v>1075</v>
      </c>
      <c r="Z68" t="s">
        <v>719</v>
      </c>
      <c r="AA68" t="s">
        <v>71</v>
      </c>
      <c r="AB68" t="s">
        <v>453</v>
      </c>
      <c r="AC68" t="s">
        <v>57</v>
      </c>
      <c r="AD68" t="s">
        <v>159</v>
      </c>
      <c r="AF68" t="s">
        <v>1132</v>
      </c>
      <c r="AI68">
        <v>169.11455514277509</v>
      </c>
      <c r="AJ68">
        <v>1792.732852803204</v>
      </c>
    </row>
    <row r="69" spans="1:36" hidden="1" x14ac:dyDescent="0.25">
      <c r="A69">
        <v>68</v>
      </c>
      <c r="B69" t="s">
        <v>1173</v>
      </c>
      <c r="C69" t="s">
        <v>376</v>
      </c>
      <c r="D69" t="s">
        <v>1023</v>
      </c>
      <c r="E69" t="s">
        <v>37</v>
      </c>
      <c r="F69" t="s">
        <v>38</v>
      </c>
      <c r="G69" s="2">
        <v>45867</v>
      </c>
      <c r="H69">
        <v>6.3</v>
      </c>
      <c r="I69" t="s">
        <v>72</v>
      </c>
      <c r="J69" t="s">
        <v>1024</v>
      </c>
      <c r="K69" t="s">
        <v>1025</v>
      </c>
      <c r="L69" t="s">
        <v>1026</v>
      </c>
      <c r="M69" t="s">
        <v>1027</v>
      </c>
      <c r="N69" t="s">
        <v>1148</v>
      </c>
      <c r="O69" t="s">
        <v>77</v>
      </c>
      <c r="P69" t="s">
        <v>78</v>
      </c>
      <c r="Q69">
        <v>6.081044326917846</v>
      </c>
      <c r="R69" t="s">
        <v>46</v>
      </c>
      <c r="S69" t="s">
        <v>47</v>
      </c>
      <c r="T69" t="s">
        <v>1157</v>
      </c>
      <c r="V69" t="s">
        <v>61</v>
      </c>
      <c r="X69" t="s">
        <v>1158</v>
      </c>
      <c r="Y69" t="s">
        <v>1075</v>
      </c>
      <c r="Z69" t="s">
        <v>719</v>
      </c>
      <c r="AA69" t="s">
        <v>71</v>
      </c>
      <c r="AB69" t="s">
        <v>453</v>
      </c>
      <c r="AC69" t="s">
        <v>57</v>
      </c>
      <c r="AD69" t="s">
        <v>1048</v>
      </c>
      <c r="AE69" t="s">
        <v>1159</v>
      </c>
      <c r="AI69">
        <v>955.33032328620993</v>
      </c>
      <c r="AJ69">
        <v>24609.211726035039</v>
      </c>
    </row>
    <row r="70" spans="1:36" hidden="1" x14ac:dyDescent="0.25">
      <c r="A70">
        <v>69</v>
      </c>
      <c r="B70" t="s">
        <v>1174</v>
      </c>
      <c r="C70" t="s">
        <v>376</v>
      </c>
      <c r="D70" t="s">
        <v>1023</v>
      </c>
      <c r="E70" t="s">
        <v>37</v>
      </c>
      <c r="F70" t="s">
        <v>38</v>
      </c>
      <c r="G70" s="2">
        <v>45867</v>
      </c>
      <c r="H70">
        <v>10.7</v>
      </c>
      <c r="I70" t="s">
        <v>72</v>
      </c>
      <c r="J70" t="s">
        <v>1024</v>
      </c>
      <c r="K70" t="s">
        <v>1025</v>
      </c>
      <c r="L70" t="s">
        <v>1026</v>
      </c>
      <c r="M70" t="s">
        <v>1027</v>
      </c>
      <c r="N70" t="s">
        <v>1148</v>
      </c>
      <c r="O70" t="s">
        <v>77</v>
      </c>
      <c r="P70" t="s">
        <v>78</v>
      </c>
      <c r="Q70">
        <v>10.518529739986279</v>
      </c>
      <c r="R70" t="s">
        <v>46</v>
      </c>
      <c r="S70" t="s">
        <v>47</v>
      </c>
      <c r="T70" t="s">
        <v>1157</v>
      </c>
      <c r="V70" t="s">
        <v>61</v>
      </c>
      <c r="X70" t="s">
        <v>1158</v>
      </c>
      <c r="Y70" t="s">
        <v>1075</v>
      </c>
      <c r="Z70" t="s">
        <v>719</v>
      </c>
      <c r="AA70" t="s">
        <v>71</v>
      </c>
      <c r="AB70" t="s">
        <v>453</v>
      </c>
      <c r="AC70" t="s">
        <v>57</v>
      </c>
      <c r="AD70" t="s">
        <v>1048</v>
      </c>
      <c r="AE70" t="s">
        <v>1159</v>
      </c>
      <c r="AI70">
        <v>1154.3691668999879</v>
      </c>
      <c r="AJ70">
        <v>42567.149900898206</v>
      </c>
    </row>
    <row r="71" spans="1:36" x14ac:dyDescent="0.25">
      <c r="A71">
        <v>70</v>
      </c>
      <c r="B71" t="s">
        <v>1175</v>
      </c>
      <c r="C71" t="s">
        <v>376</v>
      </c>
      <c r="D71" t="s">
        <v>1023</v>
      </c>
      <c r="E71" t="s">
        <v>37</v>
      </c>
      <c r="F71" t="s">
        <v>38</v>
      </c>
      <c r="G71" s="2">
        <v>45867</v>
      </c>
      <c r="I71" t="s">
        <v>72</v>
      </c>
      <c r="J71" t="s">
        <v>1024</v>
      </c>
      <c r="K71" t="s">
        <v>1025</v>
      </c>
      <c r="L71" t="s">
        <v>1026</v>
      </c>
      <c r="M71" t="s">
        <v>1027</v>
      </c>
      <c r="O71" t="s">
        <v>62</v>
      </c>
      <c r="P71" t="s">
        <v>63</v>
      </c>
      <c r="Q71">
        <v>2.4296789479059688</v>
      </c>
      <c r="R71" t="s">
        <v>64</v>
      </c>
      <c r="S71" t="s">
        <v>65</v>
      </c>
      <c r="T71" t="s">
        <v>673</v>
      </c>
      <c r="V71" t="s">
        <v>61</v>
      </c>
      <c r="X71" t="s">
        <v>673</v>
      </c>
      <c r="Y71" t="s">
        <v>1075</v>
      </c>
      <c r="Z71" t="s">
        <v>719</v>
      </c>
      <c r="AA71" t="s">
        <v>71</v>
      </c>
      <c r="AB71" t="s">
        <v>453</v>
      </c>
      <c r="AC71" t="s">
        <v>57</v>
      </c>
      <c r="AD71" t="s">
        <v>159</v>
      </c>
      <c r="AE71" t="s">
        <v>1176</v>
      </c>
      <c r="AF71" t="s">
        <v>1177</v>
      </c>
      <c r="AI71">
        <v>508.47292755720639</v>
      </c>
      <c r="AJ71">
        <v>9832.6011850687537</v>
      </c>
    </row>
    <row r="72" spans="1:36" hidden="1" x14ac:dyDescent="0.25">
      <c r="A72">
        <v>71</v>
      </c>
      <c r="B72" t="s">
        <v>1178</v>
      </c>
      <c r="C72" t="s">
        <v>376</v>
      </c>
      <c r="D72" t="s">
        <v>1023</v>
      </c>
      <c r="E72" t="s">
        <v>37</v>
      </c>
      <c r="F72" t="s">
        <v>38</v>
      </c>
      <c r="G72" s="2">
        <v>45867</v>
      </c>
      <c r="I72" t="s">
        <v>72</v>
      </c>
      <c r="J72" t="s">
        <v>1024</v>
      </c>
      <c r="K72" t="s">
        <v>1025</v>
      </c>
      <c r="L72" t="s">
        <v>1026</v>
      </c>
      <c r="M72" t="s">
        <v>1027</v>
      </c>
      <c r="O72" t="s">
        <v>402</v>
      </c>
      <c r="P72" t="s">
        <v>403</v>
      </c>
      <c r="Q72">
        <v>1.0955427136346509</v>
      </c>
      <c r="T72" t="s">
        <v>673</v>
      </c>
      <c r="V72" t="s">
        <v>61</v>
      </c>
      <c r="X72" t="s">
        <v>673</v>
      </c>
      <c r="Y72" t="s">
        <v>1075</v>
      </c>
      <c r="Z72" t="s">
        <v>719</v>
      </c>
      <c r="AA72" t="s">
        <v>71</v>
      </c>
      <c r="AB72" t="s">
        <v>453</v>
      </c>
      <c r="AC72" t="s">
        <v>57</v>
      </c>
      <c r="AD72" t="s">
        <v>159</v>
      </c>
      <c r="AE72" t="s">
        <v>1176</v>
      </c>
      <c r="AF72" t="s">
        <v>1179</v>
      </c>
      <c r="AI72">
        <v>274.88929001647148</v>
      </c>
      <c r="AJ72">
        <v>4433.5218007553794</v>
      </c>
    </row>
    <row r="73" spans="1:36" hidden="1" x14ac:dyDescent="0.25">
      <c r="A73">
        <v>72</v>
      </c>
      <c r="B73" t="s">
        <v>1180</v>
      </c>
      <c r="C73" t="s">
        <v>376</v>
      </c>
      <c r="D73" t="s">
        <v>1023</v>
      </c>
      <c r="E73" t="s">
        <v>37</v>
      </c>
      <c r="F73" t="s">
        <v>38</v>
      </c>
      <c r="G73" s="2">
        <v>45867</v>
      </c>
      <c r="I73" t="s">
        <v>72</v>
      </c>
      <c r="J73" t="s">
        <v>1024</v>
      </c>
      <c r="K73" t="s">
        <v>1025</v>
      </c>
      <c r="L73" t="s">
        <v>1026</v>
      </c>
      <c r="M73" t="s">
        <v>1027</v>
      </c>
      <c r="O73" t="s">
        <v>402</v>
      </c>
      <c r="P73" t="s">
        <v>403</v>
      </c>
      <c r="Q73">
        <v>2.1832997568702188</v>
      </c>
      <c r="S73" t="s">
        <v>38</v>
      </c>
      <c r="T73" t="s">
        <v>673</v>
      </c>
      <c r="V73" t="s">
        <v>61</v>
      </c>
      <c r="X73" t="s">
        <v>673</v>
      </c>
      <c r="Y73" t="s">
        <v>1075</v>
      </c>
      <c r="Z73" t="s">
        <v>719</v>
      </c>
      <c r="AA73" t="s">
        <v>71</v>
      </c>
      <c r="AB73" t="s">
        <v>453</v>
      </c>
      <c r="AC73" t="s">
        <v>57</v>
      </c>
      <c r="AD73" t="s">
        <v>1181</v>
      </c>
      <c r="AE73" t="s">
        <v>1176</v>
      </c>
      <c r="AF73" t="s">
        <v>1182</v>
      </c>
      <c r="AI73">
        <v>430.07340528430092</v>
      </c>
      <c r="AJ73">
        <v>8835.5359852232014</v>
      </c>
    </row>
    <row r="74" spans="1:36" hidden="1" x14ac:dyDescent="0.25">
      <c r="A74">
        <v>73</v>
      </c>
      <c r="B74" t="s">
        <v>1183</v>
      </c>
      <c r="C74" t="s">
        <v>376</v>
      </c>
      <c r="D74" t="s">
        <v>1023</v>
      </c>
      <c r="E74" t="s">
        <v>37</v>
      </c>
      <c r="F74" t="s">
        <v>38</v>
      </c>
      <c r="G74" s="2">
        <v>45867</v>
      </c>
      <c r="I74" t="s">
        <v>72</v>
      </c>
      <c r="J74" t="s">
        <v>1024</v>
      </c>
      <c r="K74" t="s">
        <v>1025</v>
      </c>
      <c r="L74" t="s">
        <v>1026</v>
      </c>
      <c r="M74" t="s">
        <v>1027</v>
      </c>
      <c r="O74" t="s">
        <v>402</v>
      </c>
      <c r="P74" t="s">
        <v>403</v>
      </c>
      <c r="Q74">
        <v>5.4126685894757123E-2</v>
      </c>
      <c r="S74" t="s">
        <v>38</v>
      </c>
      <c r="T74" t="s">
        <v>673</v>
      </c>
      <c r="V74" t="s">
        <v>61</v>
      </c>
      <c r="X74" t="s">
        <v>673</v>
      </c>
      <c r="Y74" t="s">
        <v>1075</v>
      </c>
      <c r="Z74" t="s">
        <v>719</v>
      </c>
      <c r="AA74" t="s">
        <v>125</v>
      </c>
      <c r="AB74" t="s">
        <v>453</v>
      </c>
      <c r="AC74" t="s">
        <v>57</v>
      </c>
      <c r="AD74" t="s">
        <v>159</v>
      </c>
      <c r="AE74" t="s">
        <v>1176</v>
      </c>
      <c r="AF74" t="s">
        <v>1137</v>
      </c>
      <c r="AI74">
        <v>63.186940113726862</v>
      </c>
      <c r="AJ74">
        <v>219.0438026107596</v>
      </c>
    </row>
    <row r="75" spans="1:36" hidden="1" x14ac:dyDescent="0.25">
      <c r="A75">
        <v>74</v>
      </c>
      <c r="B75" t="s">
        <v>1184</v>
      </c>
      <c r="C75" t="s">
        <v>376</v>
      </c>
      <c r="D75" t="s">
        <v>1023</v>
      </c>
      <c r="E75" t="s">
        <v>37</v>
      </c>
      <c r="F75" t="s">
        <v>38</v>
      </c>
      <c r="G75" s="2">
        <v>45867</v>
      </c>
      <c r="I75" t="s">
        <v>72</v>
      </c>
      <c r="J75" t="s">
        <v>1024</v>
      </c>
      <c r="K75" t="s">
        <v>1025</v>
      </c>
      <c r="L75" t="s">
        <v>1026</v>
      </c>
      <c r="M75" t="s">
        <v>1027</v>
      </c>
      <c r="O75" t="s">
        <v>402</v>
      </c>
      <c r="P75" t="s">
        <v>403</v>
      </c>
      <c r="Q75">
        <v>0.28533326712384011</v>
      </c>
      <c r="T75" t="s">
        <v>673</v>
      </c>
      <c r="V75" t="s">
        <v>61</v>
      </c>
      <c r="X75" t="s">
        <v>673</v>
      </c>
      <c r="Y75" t="s">
        <v>1075</v>
      </c>
      <c r="Z75" t="s">
        <v>719</v>
      </c>
      <c r="AA75" t="s">
        <v>125</v>
      </c>
      <c r="AB75" t="s">
        <v>453</v>
      </c>
      <c r="AC75" t="s">
        <v>57</v>
      </c>
      <c r="AD75" t="s">
        <v>159</v>
      </c>
      <c r="AE75" t="s">
        <v>1176</v>
      </c>
      <c r="AF75" t="s">
        <v>1185</v>
      </c>
      <c r="AI75">
        <v>134.76833304432861</v>
      </c>
      <c r="AJ75">
        <v>1154.7073834094019</v>
      </c>
    </row>
    <row r="76" spans="1:36" hidden="1" x14ac:dyDescent="0.25">
      <c r="A76">
        <v>75</v>
      </c>
      <c r="B76" t="s">
        <v>1186</v>
      </c>
      <c r="C76" t="s">
        <v>376</v>
      </c>
      <c r="D76" t="s">
        <v>1023</v>
      </c>
      <c r="E76" t="s">
        <v>37</v>
      </c>
      <c r="F76" t="s">
        <v>38</v>
      </c>
      <c r="G76" s="2">
        <v>45867</v>
      </c>
      <c r="I76" t="s">
        <v>72</v>
      </c>
      <c r="J76" t="s">
        <v>1024</v>
      </c>
      <c r="K76" t="s">
        <v>1025</v>
      </c>
      <c r="L76" t="s">
        <v>1026</v>
      </c>
      <c r="M76" t="s">
        <v>1027</v>
      </c>
      <c r="O76" t="s">
        <v>402</v>
      </c>
      <c r="P76" t="s">
        <v>403</v>
      </c>
      <c r="Q76">
        <v>0.81982517783561548</v>
      </c>
      <c r="S76" t="s">
        <v>38</v>
      </c>
      <c r="T76" t="s">
        <v>673</v>
      </c>
      <c r="V76" t="s">
        <v>61</v>
      </c>
      <c r="X76" t="s">
        <v>673</v>
      </c>
      <c r="Y76" t="s">
        <v>1075</v>
      </c>
      <c r="Z76" t="s">
        <v>719</v>
      </c>
      <c r="AA76" t="s">
        <v>71</v>
      </c>
      <c r="AB76" t="s">
        <v>453</v>
      </c>
      <c r="AC76" t="s">
        <v>57</v>
      </c>
      <c r="AD76" t="s">
        <v>159</v>
      </c>
      <c r="AE76" t="s">
        <v>1176</v>
      </c>
      <c r="AF76" t="s">
        <v>1124</v>
      </c>
      <c r="AI76">
        <v>226.48227252205069</v>
      </c>
      <c r="AJ76">
        <v>3317.7280570682401</v>
      </c>
    </row>
    <row r="77" spans="1:36" hidden="1" x14ac:dyDescent="0.25">
      <c r="A77">
        <v>76</v>
      </c>
      <c r="B77" t="s">
        <v>1187</v>
      </c>
      <c r="C77" t="s">
        <v>376</v>
      </c>
      <c r="D77" t="s">
        <v>1023</v>
      </c>
      <c r="E77" t="s">
        <v>37</v>
      </c>
      <c r="F77" t="s">
        <v>38</v>
      </c>
      <c r="G77" s="2">
        <v>45867</v>
      </c>
      <c r="I77" t="s">
        <v>72</v>
      </c>
      <c r="J77" t="s">
        <v>1024</v>
      </c>
      <c r="K77" t="s">
        <v>1025</v>
      </c>
      <c r="L77" t="s">
        <v>1026</v>
      </c>
      <c r="M77" t="s">
        <v>1027</v>
      </c>
      <c r="O77" t="s">
        <v>402</v>
      </c>
      <c r="P77" t="s">
        <v>403</v>
      </c>
      <c r="Q77">
        <v>3.735496010028339</v>
      </c>
      <c r="T77" t="s">
        <v>673</v>
      </c>
      <c r="V77" t="s">
        <v>61</v>
      </c>
      <c r="X77" t="s">
        <v>673</v>
      </c>
      <c r="Y77" t="s">
        <v>1075</v>
      </c>
      <c r="Z77" t="s">
        <v>719</v>
      </c>
      <c r="AA77" t="s">
        <v>125</v>
      </c>
      <c r="AB77" t="s">
        <v>453</v>
      </c>
      <c r="AC77" t="s">
        <v>57</v>
      </c>
      <c r="AD77" t="s">
        <v>159</v>
      </c>
      <c r="AE77" t="s">
        <v>1128</v>
      </c>
      <c r="AF77" t="s">
        <v>1188</v>
      </c>
      <c r="AI77">
        <v>545.91211431162469</v>
      </c>
      <c r="AJ77">
        <v>15117.07648727824</v>
      </c>
    </row>
    <row r="78" spans="1:36" hidden="1" x14ac:dyDescent="0.25">
      <c r="A78">
        <v>77</v>
      </c>
      <c r="B78" t="s">
        <v>1189</v>
      </c>
      <c r="C78" t="s">
        <v>376</v>
      </c>
      <c r="D78" t="s">
        <v>1023</v>
      </c>
      <c r="E78" t="s">
        <v>37</v>
      </c>
      <c r="F78" t="s">
        <v>38</v>
      </c>
      <c r="G78" s="2">
        <v>45867</v>
      </c>
      <c r="I78" t="s">
        <v>72</v>
      </c>
      <c r="J78" t="s">
        <v>1024</v>
      </c>
      <c r="K78" t="s">
        <v>1025</v>
      </c>
      <c r="L78" t="s">
        <v>1026</v>
      </c>
      <c r="M78" t="s">
        <v>1027</v>
      </c>
      <c r="O78" t="s">
        <v>402</v>
      </c>
      <c r="P78" t="s">
        <v>403</v>
      </c>
      <c r="Q78">
        <v>7.6040171897485478E-2</v>
      </c>
      <c r="T78" t="s">
        <v>673</v>
      </c>
      <c r="V78" t="s">
        <v>61</v>
      </c>
      <c r="X78" t="s">
        <v>673</v>
      </c>
      <c r="Y78" t="s">
        <v>1075</v>
      </c>
      <c r="Z78" t="s">
        <v>719</v>
      </c>
      <c r="AA78" t="s">
        <v>71</v>
      </c>
      <c r="AB78" t="s">
        <v>453</v>
      </c>
      <c r="AC78" t="s">
        <v>57</v>
      </c>
      <c r="AD78" t="s">
        <v>159</v>
      </c>
      <c r="AE78" t="s">
        <v>1128</v>
      </c>
      <c r="AF78" t="s">
        <v>1079</v>
      </c>
      <c r="AI78">
        <v>87.728468422524628</v>
      </c>
      <c r="AJ78">
        <v>307.72488890206381</v>
      </c>
    </row>
    <row r="79" spans="1:36" hidden="1" x14ac:dyDescent="0.25">
      <c r="A79">
        <v>78</v>
      </c>
      <c r="B79" t="s">
        <v>1190</v>
      </c>
      <c r="C79" t="s">
        <v>376</v>
      </c>
      <c r="D79" t="s">
        <v>1023</v>
      </c>
      <c r="E79" t="s">
        <v>37</v>
      </c>
      <c r="F79" t="s">
        <v>38</v>
      </c>
      <c r="G79" s="2">
        <v>45867</v>
      </c>
      <c r="I79" t="s">
        <v>72</v>
      </c>
      <c r="J79" t="s">
        <v>1024</v>
      </c>
      <c r="K79" t="s">
        <v>1025</v>
      </c>
      <c r="L79" t="s">
        <v>1026</v>
      </c>
      <c r="M79" t="s">
        <v>1027</v>
      </c>
      <c r="O79" t="s">
        <v>402</v>
      </c>
      <c r="P79" t="s">
        <v>403</v>
      </c>
      <c r="Q79">
        <v>3.3240197493653558</v>
      </c>
      <c r="T79" t="s">
        <v>673</v>
      </c>
      <c r="V79" t="s">
        <v>61</v>
      </c>
      <c r="X79" t="s">
        <v>673</v>
      </c>
      <c r="Y79" t="s">
        <v>1075</v>
      </c>
      <c r="Z79" t="s">
        <v>719</v>
      </c>
      <c r="AA79" t="s">
        <v>71</v>
      </c>
      <c r="AB79" t="s">
        <v>453</v>
      </c>
      <c r="AC79" t="s">
        <v>57</v>
      </c>
      <c r="AD79" t="s">
        <v>159</v>
      </c>
      <c r="AE79" t="s">
        <v>1128</v>
      </c>
      <c r="AF79" t="s">
        <v>1101</v>
      </c>
      <c r="AI79">
        <v>556.21240824757945</v>
      </c>
      <c r="AJ79">
        <v>13451.884478387739</v>
      </c>
    </row>
    <row r="80" spans="1:36" x14ac:dyDescent="0.25">
      <c r="A80">
        <v>79</v>
      </c>
      <c r="B80" t="s">
        <v>1191</v>
      </c>
      <c r="C80" t="s">
        <v>376</v>
      </c>
      <c r="D80" t="s">
        <v>1023</v>
      </c>
      <c r="E80" t="s">
        <v>37</v>
      </c>
      <c r="F80" t="s">
        <v>38</v>
      </c>
      <c r="G80" s="2">
        <v>45867</v>
      </c>
      <c r="H80">
        <v>0.8</v>
      </c>
      <c r="I80" t="s">
        <v>72</v>
      </c>
      <c r="J80" t="s">
        <v>1024</v>
      </c>
      <c r="K80" t="s">
        <v>1025</v>
      </c>
      <c r="L80" t="s">
        <v>1026</v>
      </c>
      <c r="M80" t="s">
        <v>1027</v>
      </c>
      <c r="N80" t="s">
        <v>1192</v>
      </c>
      <c r="O80" t="s">
        <v>62</v>
      </c>
      <c r="P80" t="s">
        <v>63</v>
      </c>
      <c r="Q80">
        <v>0.67165680676981421</v>
      </c>
      <c r="R80" t="s">
        <v>64</v>
      </c>
      <c r="S80" t="s">
        <v>65</v>
      </c>
      <c r="T80" t="s">
        <v>1193</v>
      </c>
      <c r="V80" t="s">
        <v>61</v>
      </c>
      <c r="Y80" t="s">
        <v>1075</v>
      </c>
      <c r="Z80" t="s">
        <v>719</v>
      </c>
      <c r="AA80" t="s">
        <v>71</v>
      </c>
      <c r="AB80" t="s">
        <v>453</v>
      </c>
      <c r="AC80" t="s">
        <v>57</v>
      </c>
      <c r="AD80" t="s">
        <v>93</v>
      </c>
      <c r="AE80" t="s">
        <v>1194</v>
      </c>
      <c r="AI80">
        <v>252.90763642140419</v>
      </c>
      <c r="AJ80">
        <v>2718.109534552364</v>
      </c>
    </row>
    <row r="81" spans="1:36" x14ac:dyDescent="0.25">
      <c r="A81">
        <v>80</v>
      </c>
      <c r="B81" t="s">
        <v>1195</v>
      </c>
      <c r="C81" t="s">
        <v>376</v>
      </c>
      <c r="D81" t="s">
        <v>1023</v>
      </c>
      <c r="E81" t="s">
        <v>37</v>
      </c>
      <c r="F81" t="s">
        <v>38</v>
      </c>
      <c r="G81" s="2">
        <v>45867</v>
      </c>
      <c r="H81">
        <v>8.6</v>
      </c>
      <c r="I81" t="s">
        <v>72</v>
      </c>
      <c r="J81" t="s">
        <v>1024</v>
      </c>
      <c r="K81" t="s">
        <v>1025</v>
      </c>
      <c r="L81" t="s">
        <v>1026</v>
      </c>
      <c r="M81" t="s">
        <v>1027</v>
      </c>
      <c r="N81" t="s">
        <v>1196</v>
      </c>
      <c r="O81" t="s">
        <v>62</v>
      </c>
      <c r="P81" t="s">
        <v>63</v>
      </c>
      <c r="Q81">
        <v>8.3754400259143882</v>
      </c>
      <c r="R81" t="s">
        <v>64</v>
      </c>
      <c r="S81" t="s">
        <v>65</v>
      </c>
      <c r="T81" t="s">
        <v>1197</v>
      </c>
      <c r="V81" t="s">
        <v>61</v>
      </c>
      <c r="Y81" t="s">
        <v>1075</v>
      </c>
      <c r="Z81" t="s">
        <v>719</v>
      </c>
      <c r="AA81" t="s">
        <v>71</v>
      </c>
      <c r="AB81" t="s">
        <v>453</v>
      </c>
      <c r="AC81" t="s">
        <v>57</v>
      </c>
      <c r="AD81" t="s">
        <v>93</v>
      </c>
      <c r="AE81" t="s">
        <v>1198</v>
      </c>
      <c r="AI81">
        <v>886.51543948030621</v>
      </c>
      <c r="AJ81">
        <v>33894.338836517432</v>
      </c>
    </row>
    <row r="82" spans="1:36" hidden="1" x14ac:dyDescent="0.25">
      <c r="A82">
        <v>81</v>
      </c>
      <c r="B82" t="s">
        <v>1199</v>
      </c>
      <c r="C82" t="s">
        <v>376</v>
      </c>
      <c r="D82" t="s">
        <v>1023</v>
      </c>
      <c r="E82" t="s">
        <v>37</v>
      </c>
      <c r="F82" t="s">
        <v>38</v>
      </c>
      <c r="G82" s="2">
        <v>45867</v>
      </c>
      <c r="H82">
        <v>1.3</v>
      </c>
      <c r="I82" t="s">
        <v>72</v>
      </c>
      <c r="J82" t="s">
        <v>1024</v>
      </c>
      <c r="K82" t="s">
        <v>1025</v>
      </c>
      <c r="L82" t="s">
        <v>1026</v>
      </c>
      <c r="M82" t="s">
        <v>1027</v>
      </c>
      <c r="N82" t="s">
        <v>1196</v>
      </c>
      <c r="O82" t="s">
        <v>79</v>
      </c>
      <c r="P82" t="s">
        <v>80</v>
      </c>
      <c r="Q82">
        <v>1.220526022153321</v>
      </c>
      <c r="R82" t="s">
        <v>46</v>
      </c>
      <c r="S82" t="s">
        <v>47</v>
      </c>
      <c r="T82" t="s">
        <v>1200</v>
      </c>
      <c r="V82" t="s">
        <v>61</v>
      </c>
      <c r="X82" t="s">
        <v>1201</v>
      </c>
      <c r="Y82" t="s">
        <v>1075</v>
      </c>
      <c r="Z82" t="s">
        <v>719</v>
      </c>
      <c r="AA82" t="s">
        <v>71</v>
      </c>
      <c r="AB82" t="s">
        <v>453</v>
      </c>
      <c r="AC82" t="s">
        <v>57</v>
      </c>
      <c r="AD82" t="s">
        <v>93</v>
      </c>
      <c r="AE82" t="s">
        <v>1198</v>
      </c>
      <c r="AI82">
        <v>307.55698385199122</v>
      </c>
      <c r="AJ82">
        <v>4939.3133286910488</v>
      </c>
    </row>
    <row r="83" spans="1:36" hidden="1" x14ac:dyDescent="0.25">
      <c r="A83">
        <v>82</v>
      </c>
      <c r="B83" t="s">
        <v>1202</v>
      </c>
      <c r="C83" t="s">
        <v>376</v>
      </c>
      <c r="D83" t="s">
        <v>1023</v>
      </c>
      <c r="E83" t="s">
        <v>37</v>
      </c>
      <c r="F83" t="s">
        <v>38</v>
      </c>
      <c r="G83" s="2">
        <v>45867</v>
      </c>
      <c r="H83">
        <v>4.7</v>
      </c>
      <c r="I83" t="s">
        <v>72</v>
      </c>
      <c r="J83" t="s">
        <v>1024</v>
      </c>
      <c r="K83" t="s">
        <v>1025</v>
      </c>
      <c r="L83" t="s">
        <v>1026</v>
      </c>
      <c r="M83" t="s">
        <v>1027</v>
      </c>
      <c r="N83" t="s">
        <v>1192</v>
      </c>
      <c r="O83" t="s">
        <v>79</v>
      </c>
      <c r="P83" t="s">
        <v>80</v>
      </c>
      <c r="Q83">
        <v>4.4927810889825261</v>
      </c>
      <c r="R83" t="s">
        <v>46</v>
      </c>
      <c r="S83" t="s">
        <v>47</v>
      </c>
      <c r="T83" t="s">
        <v>1203</v>
      </c>
      <c r="V83" t="s">
        <v>61</v>
      </c>
      <c r="X83" t="s">
        <v>1204</v>
      </c>
      <c r="Y83" t="s">
        <v>1075</v>
      </c>
      <c r="Z83" t="s">
        <v>719</v>
      </c>
      <c r="AA83" t="s">
        <v>125</v>
      </c>
      <c r="AB83" t="s">
        <v>453</v>
      </c>
      <c r="AC83" t="s">
        <v>57</v>
      </c>
      <c r="AD83" t="s">
        <v>93</v>
      </c>
      <c r="AE83" t="s">
        <v>1205</v>
      </c>
      <c r="AI83">
        <v>647.70509267989041</v>
      </c>
      <c r="AJ83">
        <v>18181.7127311644</v>
      </c>
    </row>
    <row r="84" spans="1:36" hidden="1" x14ac:dyDescent="0.25">
      <c r="A84">
        <v>83</v>
      </c>
      <c r="B84" t="s">
        <v>1206</v>
      </c>
      <c r="C84" t="s">
        <v>376</v>
      </c>
      <c r="D84" t="s">
        <v>1023</v>
      </c>
      <c r="E84" t="s">
        <v>37</v>
      </c>
      <c r="F84" t="s">
        <v>38</v>
      </c>
      <c r="G84" s="2">
        <v>45867</v>
      </c>
      <c r="H84">
        <v>8.4</v>
      </c>
      <c r="I84" t="s">
        <v>72</v>
      </c>
      <c r="J84" t="s">
        <v>1024</v>
      </c>
      <c r="K84" t="s">
        <v>1025</v>
      </c>
      <c r="L84" t="s">
        <v>1026</v>
      </c>
      <c r="M84" t="s">
        <v>1027</v>
      </c>
      <c r="N84" t="s">
        <v>1196</v>
      </c>
      <c r="O84" t="s">
        <v>79</v>
      </c>
      <c r="P84" t="s">
        <v>80</v>
      </c>
      <c r="Q84">
        <v>5.7415515615457009</v>
      </c>
      <c r="R84" t="s">
        <v>46</v>
      </c>
      <c r="S84" t="s">
        <v>47</v>
      </c>
      <c r="T84" t="s">
        <v>1207</v>
      </c>
      <c r="V84" t="s">
        <v>61</v>
      </c>
      <c r="Y84" t="s">
        <v>1075</v>
      </c>
      <c r="Z84" t="s">
        <v>719</v>
      </c>
      <c r="AA84" t="s">
        <v>125</v>
      </c>
      <c r="AB84" t="s">
        <v>453</v>
      </c>
      <c r="AC84" t="s">
        <v>57</v>
      </c>
      <c r="AD84" t="s">
        <v>93</v>
      </c>
      <c r="AE84" t="s">
        <v>1208</v>
      </c>
      <c r="AI84">
        <v>667.12684144672824</v>
      </c>
      <c r="AJ84">
        <v>23235.327752600031</v>
      </c>
    </row>
    <row r="85" spans="1:36" x14ac:dyDescent="0.25">
      <c r="A85">
        <v>84</v>
      </c>
      <c r="B85" t="s">
        <v>1209</v>
      </c>
      <c r="C85" t="s">
        <v>376</v>
      </c>
      <c r="D85" t="s">
        <v>1023</v>
      </c>
      <c r="E85" t="s">
        <v>37</v>
      </c>
      <c r="F85" t="s">
        <v>38</v>
      </c>
      <c r="G85" s="2">
        <v>45867</v>
      </c>
      <c r="H85">
        <v>2.4</v>
      </c>
      <c r="I85" t="s">
        <v>72</v>
      </c>
      <c r="J85" t="s">
        <v>1024</v>
      </c>
      <c r="K85" t="s">
        <v>1025</v>
      </c>
      <c r="L85" t="s">
        <v>1026</v>
      </c>
      <c r="M85" t="s">
        <v>1027</v>
      </c>
      <c r="N85" t="s">
        <v>1196</v>
      </c>
      <c r="O85" t="s">
        <v>62</v>
      </c>
      <c r="P85" t="s">
        <v>63</v>
      </c>
      <c r="Q85">
        <v>2.1780407221822129</v>
      </c>
      <c r="R85" t="s">
        <v>64</v>
      </c>
      <c r="S85" t="s">
        <v>65</v>
      </c>
      <c r="T85" t="s">
        <v>1197</v>
      </c>
      <c r="V85" t="s">
        <v>61</v>
      </c>
      <c r="Y85" t="s">
        <v>1075</v>
      </c>
      <c r="Z85" t="s">
        <v>719</v>
      </c>
      <c r="AA85" t="s">
        <v>125</v>
      </c>
      <c r="AB85" t="s">
        <v>453</v>
      </c>
      <c r="AC85" t="s">
        <v>57</v>
      </c>
      <c r="AD85" t="s">
        <v>93</v>
      </c>
      <c r="AE85" t="s">
        <v>1208</v>
      </c>
      <c r="AI85">
        <v>456.8230202568302</v>
      </c>
      <c r="AJ85">
        <v>8814.2533417899322</v>
      </c>
    </row>
    <row r="86" spans="1:36" hidden="1" x14ac:dyDescent="0.25">
      <c r="A86">
        <v>85</v>
      </c>
      <c r="B86" t="s">
        <v>1210</v>
      </c>
      <c r="C86" t="s">
        <v>376</v>
      </c>
      <c r="D86" t="s">
        <v>1023</v>
      </c>
      <c r="E86" t="s">
        <v>37</v>
      </c>
      <c r="F86" t="s">
        <v>38</v>
      </c>
      <c r="G86" s="2">
        <v>45867</v>
      </c>
      <c r="H86">
        <v>2.8</v>
      </c>
      <c r="I86" t="s">
        <v>72</v>
      </c>
      <c r="J86" t="s">
        <v>1024</v>
      </c>
      <c r="K86" t="s">
        <v>1025</v>
      </c>
      <c r="L86" t="s">
        <v>1026</v>
      </c>
      <c r="M86" t="s">
        <v>1027</v>
      </c>
      <c r="N86" t="s">
        <v>1192</v>
      </c>
      <c r="O86" t="s">
        <v>79</v>
      </c>
      <c r="P86" t="s">
        <v>80</v>
      </c>
      <c r="Q86">
        <v>2.9253518543468169</v>
      </c>
      <c r="R86" t="s">
        <v>46</v>
      </c>
      <c r="S86" t="s">
        <v>47</v>
      </c>
      <c r="T86" t="s">
        <v>1193</v>
      </c>
      <c r="V86" t="s">
        <v>61</v>
      </c>
      <c r="Y86" t="s">
        <v>1075</v>
      </c>
      <c r="Z86" t="s">
        <v>719</v>
      </c>
      <c r="AA86" t="s">
        <v>125</v>
      </c>
      <c r="AB86" t="s">
        <v>453</v>
      </c>
      <c r="AC86" t="s">
        <v>57</v>
      </c>
      <c r="AD86" t="s">
        <v>93</v>
      </c>
      <c r="AE86" t="s">
        <v>1208</v>
      </c>
      <c r="AI86">
        <v>442.35139915550099</v>
      </c>
      <c r="AJ86">
        <v>11838.526293600989</v>
      </c>
    </row>
    <row r="87" spans="1:36" hidden="1" x14ac:dyDescent="0.25">
      <c r="A87">
        <v>86</v>
      </c>
      <c r="B87" t="s">
        <v>1211</v>
      </c>
      <c r="C87" t="s">
        <v>376</v>
      </c>
      <c r="D87" t="s">
        <v>1023</v>
      </c>
      <c r="E87" t="s">
        <v>37</v>
      </c>
      <c r="F87" t="s">
        <v>38</v>
      </c>
      <c r="G87" s="2">
        <v>45867</v>
      </c>
      <c r="H87">
        <v>3.6</v>
      </c>
      <c r="I87" t="s">
        <v>72</v>
      </c>
      <c r="J87" t="s">
        <v>1024</v>
      </c>
      <c r="K87" t="s">
        <v>1025</v>
      </c>
      <c r="L87" t="s">
        <v>1026</v>
      </c>
      <c r="M87" t="s">
        <v>1027</v>
      </c>
      <c r="N87" t="s">
        <v>1192</v>
      </c>
      <c r="O87" t="s">
        <v>79</v>
      </c>
      <c r="P87" t="s">
        <v>80</v>
      </c>
      <c r="Q87">
        <v>4.0243498177525474</v>
      </c>
      <c r="R87" t="s">
        <v>46</v>
      </c>
      <c r="S87" t="s">
        <v>47</v>
      </c>
      <c r="T87" t="s">
        <v>1193</v>
      </c>
      <c r="V87" t="s">
        <v>61</v>
      </c>
      <c r="Y87" t="s">
        <v>1075</v>
      </c>
      <c r="Z87" t="s">
        <v>719</v>
      </c>
      <c r="AA87" t="s">
        <v>125</v>
      </c>
      <c r="AB87" t="s">
        <v>453</v>
      </c>
      <c r="AC87" t="s">
        <v>57</v>
      </c>
      <c r="AD87" t="s">
        <v>93</v>
      </c>
      <c r="AE87" t="s">
        <v>1208</v>
      </c>
      <c r="AI87">
        <v>511.14646260534101</v>
      </c>
      <c r="AJ87">
        <v>16286.031050015221</v>
      </c>
    </row>
    <row r="88" spans="1:36" hidden="1" x14ac:dyDescent="0.25">
      <c r="A88">
        <v>87</v>
      </c>
      <c r="B88" t="s">
        <v>1212</v>
      </c>
      <c r="C88" t="s">
        <v>376</v>
      </c>
      <c r="D88" t="s">
        <v>1023</v>
      </c>
      <c r="E88" t="s">
        <v>37</v>
      </c>
      <c r="F88" t="s">
        <v>38</v>
      </c>
      <c r="G88" s="2">
        <v>45867</v>
      </c>
      <c r="H88">
        <v>11.1</v>
      </c>
      <c r="I88" t="s">
        <v>72</v>
      </c>
      <c r="J88" t="s">
        <v>1024</v>
      </c>
      <c r="K88" t="s">
        <v>1025</v>
      </c>
      <c r="L88" t="s">
        <v>1026</v>
      </c>
      <c r="M88" t="s">
        <v>1027</v>
      </c>
      <c r="N88" t="s">
        <v>1192</v>
      </c>
      <c r="O88" t="s">
        <v>79</v>
      </c>
      <c r="P88" t="s">
        <v>80</v>
      </c>
      <c r="Q88">
        <v>9.4741080698899118</v>
      </c>
      <c r="R88" t="s">
        <v>46</v>
      </c>
      <c r="S88" t="s">
        <v>47</v>
      </c>
      <c r="T88" t="s">
        <v>1213</v>
      </c>
      <c r="V88" t="s">
        <v>61</v>
      </c>
      <c r="X88" t="s">
        <v>1214</v>
      </c>
      <c r="Y88" t="s">
        <v>1075</v>
      </c>
      <c r="Z88" t="s">
        <v>719</v>
      </c>
      <c r="AA88" t="s">
        <v>125</v>
      </c>
      <c r="AB88" t="s">
        <v>453</v>
      </c>
      <c r="AC88" t="s">
        <v>57</v>
      </c>
      <c r="AD88" t="s">
        <v>1215</v>
      </c>
      <c r="AE88" t="s">
        <v>1216</v>
      </c>
      <c r="AI88">
        <v>959.07108206717476</v>
      </c>
      <c r="AJ88">
        <v>38340.5084510261</v>
      </c>
    </row>
    <row r="89" spans="1:36" hidden="1" x14ac:dyDescent="0.25">
      <c r="A89">
        <v>88</v>
      </c>
      <c r="B89" t="s">
        <v>1217</v>
      </c>
      <c r="C89" t="s">
        <v>376</v>
      </c>
      <c r="D89" t="s">
        <v>1023</v>
      </c>
      <c r="E89" t="s">
        <v>37</v>
      </c>
      <c r="F89" t="s">
        <v>38</v>
      </c>
      <c r="G89" s="2">
        <v>45867</v>
      </c>
      <c r="H89">
        <v>1.2</v>
      </c>
      <c r="I89" t="s">
        <v>72</v>
      </c>
      <c r="J89" t="s">
        <v>1024</v>
      </c>
      <c r="K89" t="s">
        <v>1025</v>
      </c>
      <c r="L89" t="s">
        <v>1026</v>
      </c>
      <c r="M89" t="s">
        <v>1027</v>
      </c>
      <c r="N89" t="s">
        <v>1192</v>
      </c>
      <c r="O89" t="s">
        <v>79</v>
      </c>
      <c r="P89" t="s">
        <v>80</v>
      </c>
      <c r="Q89">
        <v>1.188443082534534</v>
      </c>
      <c r="R89" t="s">
        <v>46</v>
      </c>
      <c r="S89" t="s">
        <v>47</v>
      </c>
      <c r="T89" t="s">
        <v>1213</v>
      </c>
      <c r="V89" t="s">
        <v>61</v>
      </c>
      <c r="X89" t="s">
        <v>1214</v>
      </c>
      <c r="Y89" t="s">
        <v>1075</v>
      </c>
      <c r="Z89" t="s">
        <v>719</v>
      </c>
      <c r="AA89" t="s">
        <v>125</v>
      </c>
      <c r="AB89" t="s">
        <v>453</v>
      </c>
      <c r="AC89" t="s">
        <v>57</v>
      </c>
      <c r="AD89" t="s">
        <v>1215</v>
      </c>
      <c r="AE89" t="s">
        <v>1216</v>
      </c>
      <c r="AI89">
        <v>303.64216341420882</v>
      </c>
      <c r="AJ89">
        <v>4809.4777591035299</v>
      </c>
    </row>
    <row r="90" spans="1:36" hidden="1" x14ac:dyDescent="0.25">
      <c r="A90">
        <v>89</v>
      </c>
      <c r="B90" t="s">
        <v>1218</v>
      </c>
      <c r="C90" t="s">
        <v>376</v>
      </c>
      <c r="D90" t="s">
        <v>1023</v>
      </c>
      <c r="E90" t="s">
        <v>37</v>
      </c>
      <c r="F90" t="s">
        <v>38</v>
      </c>
      <c r="G90" s="2">
        <v>45867</v>
      </c>
      <c r="H90">
        <v>16.8</v>
      </c>
      <c r="I90" t="s">
        <v>72</v>
      </c>
      <c r="J90" t="s">
        <v>1024</v>
      </c>
      <c r="K90" t="s">
        <v>1025</v>
      </c>
      <c r="L90" t="s">
        <v>1026</v>
      </c>
      <c r="M90" t="s">
        <v>1027</v>
      </c>
      <c r="N90" t="s">
        <v>1192</v>
      </c>
      <c r="O90" t="s">
        <v>79</v>
      </c>
      <c r="P90" t="s">
        <v>80</v>
      </c>
      <c r="Q90">
        <v>16.394614772460528</v>
      </c>
      <c r="R90" t="s">
        <v>46</v>
      </c>
      <c r="S90" t="s">
        <v>47</v>
      </c>
      <c r="T90" t="s">
        <v>1213</v>
      </c>
      <c r="V90" t="s">
        <v>61</v>
      </c>
      <c r="X90" t="s">
        <v>1214</v>
      </c>
      <c r="Y90" t="s">
        <v>1075</v>
      </c>
      <c r="Z90" t="s">
        <v>719</v>
      </c>
      <c r="AA90" t="s">
        <v>397</v>
      </c>
      <c r="AB90" t="s">
        <v>453</v>
      </c>
      <c r="AC90" t="s">
        <v>57</v>
      </c>
      <c r="AD90" t="s">
        <v>1215</v>
      </c>
      <c r="AE90" t="s">
        <v>1216</v>
      </c>
      <c r="AI90">
        <v>1174.0239980695089</v>
      </c>
      <c r="AJ90">
        <v>66346.917472110305</v>
      </c>
    </row>
    <row r="91" spans="1:36" hidden="1" x14ac:dyDescent="0.25">
      <c r="A91">
        <v>90</v>
      </c>
      <c r="B91" t="s">
        <v>1219</v>
      </c>
      <c r="C91" t="s">
        <v>376</v>
      </c>
      <c r="D91" t="s">
        <v>1023</v>
      </c>
      <c r="E91" t="s">
        <v>37</v>
      </c>
      <c r="F91" t="s">
        <v>38</v>
      </c>
      <c r="G91" s="2">
        <v>45867</v>
      </c>
      <c r="H91">
        <v>1.5</v>
      </c>
      <c r="I91" t="s">
        <v>72</v>
      </c>
      <c r="J91" t="s">
        <v>1024</v>
      </c>
      <c r="K91" t="s">
        <v>1025</v>
      </c>
      <c r="L91" t="s">
        <v>1026</v>
      </c>
      <c r="M91" t="s">
        <v>1027</v>
      </c>
      <c r="N91" t="s">
        <v>1192</v>
      </c>
      <c r="O91" t="s">
        <v>79</v>
      </c>
      <c r="P91" t="s">
        <v>80</v>
      </c>
      <c r="Q91">
        <v>1.468152518056574</v>
      </c>
      <c r="R91" t="s">
        <v>46</v>
      </c>
      <c r="S91" t="s">
        <v>47</v>
      </c>
      <c r="T91" t="s">
        <v>1213</v>
      </c>
      <c r="V91" t="s">
        <v>61</v>
      </c>
      <c r="X91" t="s">
        <v>1214</v>
      </c>
      <c r="Y91" t="s">
        <v>1075</v>
      </c>
      <c r="Z91" t="s">
        <v>719</v>
      </c>
      <c r="AA91" t="s">
        <v>397</v>
      </c>
      <c r="AB91" t="s">
        <v>453</v>
      </c>
      <c r="AC91" t="s">
        <v>57</v>
      </c>
      <c r="AD91" t="s">
        <v>1215</v>
      </c>
      <c r="AE91" t="s">
        <v>1216</v>
      </c>
      <c r="AI91">
        <v>421.36051211168001</v>
      </c>
      <c r="AJ91">
        <v>5941.4262124410616</v>
      </c>
    </row>
    <row r="92" spans="1:36" hidden="1" x14ac:dyDescent="0.25">
      <c r="A92">
        <v>91</v>
      </c>
      <c r="B92" t="s">
        <v>1220</v>
      </c>
      <c r="C92" t="s">
        <v>376</v>
      </c>
      <c r="D92" t="s">
        <v>1023</v>
      </c>
      <c r="E92" t="s">
        <v>37</v>
      </c>
      <c r="F92" t="s">
        <v>38</v>
      </c>
      <c r="G92" s="2">
        <v>45867</v>
      </c>
      <c r="H92">
        <v>1.6</v>
      </c>
      <c r="I92" t="s">
        <v>72</v>
      </c>
      <c r="J92" t="s">
        <v>1024</v>
      </c>
      <c r="K92" t="s">
        <v>1025</v>
      </c>
      <c r="L92" t="s">
        <v>1026</v>
      </c>
      <c r="M92" t="s">
        <v>1027</v>
      </c>
      <c r="N92" t="s">
        <v>1192</v>
      </c>
      <c r="O92" t="s">
        <v>79</v>
      </c>
      <c r="P92" t="s">
        <v>80</v>
      </c>
      <c r="Q92">
        <v>1.941378943998685</v>
      </c>
      <c r="R92" t="s">
        <v>46</v>
      </c>
      <c r="S92" t="s">
        <v>47</v>
      </c>
      <c r="T92" t="s">
        <v>1221</v>
      </c>
      <c r="V92" t="s">
        <v>61</v>
      </c>
      <c r="X92" t="s">
        <v>1222</v>
      </c>
      <c r="Y92" t="s">
        <v>1075</v>
      </c>
      <c r="Z92" t="s">
        <v>719</v>
      </c>
      <c r="AA92" t="s">
        <v>397</v>
      </c>
      <c r="AB92" t="s">
        <v>453</v>
      </c>
      <c r="AC92" t="s">
        <v>57</v>
      </c>
      <c r="AD92" t="s">
        <v>1223</v>
      </c>
      <c r="AE92" t="s">
        <v>1224</v>
      </c>
      <c r="AI92">
        <v>353.8148655850369</v>
      </c>
      <c r="AJ92">
        <v>7856.5132738548746</v>
      </c>
    </row>
    <row r="93" spans="1:36" hidden="1" x14ac:dyDescent="0.25">
      <c r="A93">
        <v>92</v>
      </c>
      <c r="B93" t="s">
        <v>1225</v>
      </c>
      <c r="C93" t="s">
        <v>376</v>
      </c>
      <c r="D93" t="s">
        <v>1023</v>
      </c>
      <c r="E93" t="s">
        <v>37</v>
      </c>
      <c r="F93" t="s">
        <v>38</v>
      </c>
      <c r="G93" s="2">
        <v>45867</v>
      </c>
      <c r="H93">
        <v>12.4</v>
      </c>
      <c r="I93" t="s">
        <v>72</v>
      </c>
      <c r="J93" t="s">
        <v>1024</v>
      </c>
      <c r="K93" t="s">
        <v>1025</v>
      </c>
      <c r="L93" t="s">
        <v>1026</v>
      </c>
      <c r="M93" t="s">
        <v>1027</v>
      </c>
      <c r="N93" t="s">
        <v>1192</v>
      </c>
      <c r="O93" t="s">
        <v>79</v>
      </c>
      <c r="P93" t="s">
        <v>80</v>
      </c>
      <c r="Q93">
        <v>11.915545761344349</v>
      </c>
      <c r="R93" t="s">
        <v>46</v>
      </c>
      <c r="S93" t="s">
        <v>47</v>
      </c>
      <c r="T93" t="s">
        <v>1221</v>
      </c>
      <c r="V93" t="s">
        <v>61</v>
      </c>
      <c r="X93" t="s">
        <v>1222</v>
      </c>
      <c r="Y93" t="s">
        <v>1075</v>
      </c>
      <c r="Z93" t="s">
        <v>719</v>
      </c>
      <c r="AA93" t="s">
        <v>397</v>
      </c>
      <c r="AB93" t="s">
        <v>453</v>
      </c>
      <c r="AC93" t="s">
        <v>57</v>
      </c>
      <c r="AD93" t="s">
        <v>1223</v>
      </c>
      <c r="AE93" t="s">
        <v>1224</v>
      </c>
      <c r="AI93">
        <v>1159.1162860897221</v>
      </c>
      <c r="AJ93">
        <v>48220.695773287691</v>
      </c>
    </row>
    <row r="94" spans="1:36" hidden="1" x14ac:dyDescent="0.25">
      <c r="A94">
        <v>93</v>
      </c>
      <c r="B94" t="s">
        <v>1226</v>
      </c>
      <c r="C94" t="s">
        <v>376</v>
      </c>
      <c r="D94" t="s">
        <v>1023</v>
      </c>
      <c r="E94" t="s">
        <v>37</v>
      </c>
      <c r="F94" t="s">
        <v>38</v>
      </c>
      <c r="G94" s="2">
        <v>45867</v>
      </c>
      <c r="H94">
        <v>5.7</v>
      </c>
      <c r="I94" t="s">
        <v>72</v>
      </c>
      <c r="J94" t="s">
        <v>1024</v>
      </c>
      <c r="K94" t="s">
        <v>1025</v>
      </c>
      <c r="L94" t="s">
        <v>1026</v>
      </c>
      <c r="M94" t="s">
        <v>1027</v>
      </c>
      <c r="N94" t="s">
        <v>1192</v>
      </c>
      <c r="O94" t="s">
        <v>79</v>
      </c>
      <c r="P94" t="s">
        <v>80</v>
      </c>
      <c r="Q94">
        <v>6.2930488553616888</v>
      </c>
      <c r="R94" t="s">
        <v>46</v>
      </c>
      <c r="S94" t="s">
        <v>47</v>
      </c>
      <c r="T94" t="s">
        <v>1221</v>
      </c>
      <c r="V94" t="s">
        <v>61</v>
      </c>
      <c r="X94" t="s">
        <v>1222</v>
      </c>
      <c r="Y94" t="s">
        <v>1075</v>
      </c>
      <c r="Z94" t="s">
        <v>719</v>
      </c>
      <c r="AA94" t="s">
        <v>397</v>
      </c>
      <c r="AB94" t="s">
        <v>453</v>
      </c>
      <c r="AC94" t="s">
        <v>57</v>
      </c>
      <c r="AD94" t="s">
        <v>1223</v>
      </c>
      <c r="AE94" t="s">
        <v>1224</v>
      </c>
      <c r="AI94">
        <v>746.40954821328876</v>
      </c>
      <c r="AJ94">
        <v>25467.167045363731</v>
      </c>
    </row>
    <row r="95" spans="1:36" hidden="1" x14ac:dyDescent="0.25">
      <c r="A95">
        <v>94</v>
      </c>
      <c r="B95" t="s">
        <v>1227</v>
      </c>
      <c r="C95" t="s">
        <v>376</v>
      </c>
      <c r="D95" t="s">
        <v>1023</v>
      </c>
      <c r="E95" t="s">
        <v>37</v>
      </c>
      <c r="F95" t="s">
        <v>38</v>
      </c>
      <c r="G95" s="2">
        <v>45867</v>
      </c>
      <c r="H95">
        <v>1.8</v>
      </c>
      <c r="I95" t="s">
        <v>72</v>
      </c>
      <c r="J95" t="s">
        <v>1024</v>
      </c>
      <c r="K95" t="s">
        <v>1025</v>
      </c>
      <c r="L95" t="s">
        <v>1026</v>
      </c>
      <c r="M95" t="s">
        <v>1027</v>
      </c>
      <c r="N95" t="s">
        <v>1192</v>
      </c>
      <c r="O95" t="s">
        <v>79</v>
      </c>
      <c r="P95" t="s">
        <v>80</v>
      </c>
      <c r="Q95">
        <v>2.0455366190233448</v>
      </c>
      <c r="R95" t="s">
        <v>46</v>
      </c>
      <c r="S95" t="s">
        <v>47</v>
      </c>
      <c r="T95" t="s">
        <v>1228</v>
      </c>
      <c r="V95" t="s">
        <v>61</v>
      </c>
      <c r="X95" t="s">
        <v>1229</v>
      </c>
      <c r="Y95" t="s">
        <v>1075</v>
      </c>
      <c r="Z95" t="s">
        <v>719</v>
      </c>
      <c r="AA95" t="s">
        <v>397</v>
      </c>
      <c r="AB95" t="s">
        <v>453</v>
      </c>
      <c r="AC95" t="s">
        <v>57</v>
      </c>
      <c r="AD95" t="s">
        <v>1230</v>
      </c>
      <c r="AE95" t="s">
        <v>1231</v>
      </c>
      <c r="AI95">
        <v>382.4293727860927</v>
      </c>
      <c r="AJ95">
        <v>8278.026116020359</v>
      </c>
    </row>
    <row r="96" spans="1:36" hidden="1" x14ac:dyDescent="0.25">
      <c r="A96">
        <v>95</v>
      </c>
      <c r="B96" t="s">
        <v>1232</v>
      </c>
      <c r="C96" t="s">
        <v>376</v>
      </c>
      <c r="D96" t="s">
        <v>1023</v>
      </c>
      <c r="E96" t="s">
        <v>37</v>
      </c>
      <c r="F96" t="s">
        <v>38</v>
      </c>
      <c r="G96" s="2">
        <v>45867</v>
      </c>
      <c r="H96">
        <v>0.4</v>
      </c>
      <c r="I96" t="s">
        <v>72</v>
      </c>
      <c r="J96" t="s">
        <v>1024</v>
      </c>
      <c r="K96" t="s">
        <v>1025</v>
      </c>
      <c r="L96" t="s">
        <v>1026</v>
      </c>
      <c r="M96" t="s">
        <v>1027</v>
      </c>
      <c r="N96" t="s">
        <v>1192</v>
      </c>
      <c r="O96" t="s">
        <v>79</v>
      </c>
      <c r="P96" t="s">
        <v>80</v>
      </c>
      <c r="Q96">
        <v>0.43606023327078131</v>
      </c>
      <c r="R96" t="s">
        <v>46</v>
      </c>
      <c r="S96" t="s">
        <v>47</v>
      </c>
      <c r="T96" t="s">
        <v>1228</v>
      </c>
      <c r="V96" t="s">
        <v>61</v>
      </c>
      <c r="X96" t="s">
        <v>1229</v>
      </c>
      <c r="Y96" t="s">
        <v>1075</v>
      </c>
      <c r="Z96" t="s">
        <v>719</v>
      </c>
      <c r="AA96" t="s">
        <v>397</v>
      </c>
      <c r="AB96" t="s">
        <v>453</v>
      </c>
      <c r="AC96" t="s">
        <v>57</v>
      </c>
      <c r="AD96" t="s">
        <v>1230</v>
      </c>
      <c r="AE96" t="s">
        <v>1231</v>
      </c>
      <c r="AI96">
        <v>204.23690973025609</v>
      </c>
      <c r="AJ96">
        <v>1764.680214278902</v>
      </c>
    </row>
    <row r="97" spans="1:36" hidden="1" x14ac:dyDescent="0.25">
      <c r="A97">
        <v>96</v>
      </c>
      <c r="B97" t="s">
        <v>1233</v>
      </c>
      <c r="C97" t="s">
        <v>376</v>
      </c>
      <c r="D97" t="s">
        <v>1023</v>
      </c>
      <c r="E97" t="s">
        <v>37</v>
      </c>
      <c r="F97" t="s">
        <v>38</v>
      </c>
      <c r="G97" s="2">
        <v>45867</v>
      </c>
      <c r="H97">
        <v>3.7</v>
      </c>
      <c r="I97" t="s">
        <v>72</v>
      </c>
      <c r="J97" t="s">
        <v>1024</v>
      </c>
      <c r="K97" t="s">
        <v>1025</v>
      </c>
      <c r="L97" t="s">
        <v>1026</v>
      </c>
      <c r="M97" t="s">
        <v>1027</v>
      </c>
      <c r="N97" t="s">
        <v>1192</v>
      </c>
      <c r="O97" t="s">
        <v>79</v>
      </c>
      <c r="P97" t="s">
        <v>80</v>
      </c>
      <c r="Q97">
        <v>3.50293541928554</v>
      </c>
      <c r="R97" t="s">
        <v>46</v>
      </c>
      <c r="S97" t="s">
        <v>47</v>
      </c>
      <c r="T97" t="s">
        <v>1228</v>
      </c>
      <c r="V97" t="s">
        <v>61</v>
      </c>
      <c r="X97" t="s">
        <v>1229</v>
      </c>
      <c r="Y97" t="s">
        <v>1075</v>
      </c>
      <c r="Z97" t="s">
        <v>719</v>
      </c>
      <c r="AA97" t="s">
        <v>397</v>
      </c>
      <c r="AB97" t="s">
        <v>453</v>
      </c>
      <c r="AC97" t="s">
        <v>57</v>
      </c>
      <c r="AD97" t="s">
        <v>1230</v>
      </c>
      <c r="AE97" t="s">
        <v>1231</v>
      </c>
      <c r="AI97">
        <v>624.40942820646262</v>
      </c>
      <c r="AJ97">
        <v>14175.933402465031</v>
      </c>
    </row>
    <row r="98" spans="1:36" hidden="1" x14ac:dyDescent="0.25">
      <c r="A98">
        <v>97</v>
      </c>
      <c r="B98" t="s">
        <v>1234</v>
      </c>
      <c r="C98" t="s">
        <v>376</v>
      </c>
      <c r="D98" t="s">
        <v>1023</v>
      </c>
      <c r="E98" t="s">
        <v>37</v>
      </c>
      <c r="F98" t="s">
        <v>38</v>
      </c>
      <c r="G98" s="2">
        <v>45867</v>
      </c>
      <c r="H98">
        <v>0.2</v>
      </c>
      <c r="I98" t="s">
        <v>72</v>
      </c>
      <c r="J98" t="s">
        <v>1024</v>
      </c>
      <c r="K98" t="s">
        <v>1025</v>
      </c>
      <c r="L98" t="s">
        <v>1026</v>
      </c>
      <c r="M98" t="s">
        <v>1027</v>
      </c>
      <c r="N98" t="s">
        <v>1192</v>
      </c>
      <c r="O98" t="s">
        <v>79</v>
      </c>
      <c r="P98" t="s">
        <v>80</v>
      </c>
      <c r="Q98">
        <v>0.2390137832750551</v>
      </c>
      <c r="R98" t="s">
        <v>46</v>
      </c>
      <c r="S98" t="s">
        <v>47</v>
      </c>
      <c r="T98" t="s">
        <v>1228</v>
      </c>
      <c r="V98" t="s">
        <v>76</v>
      </c>
      <c r="X98" t="s">
        <v>1229</v>
      </c>
      <c r="Y98" t="s">
        <v>1075</v>
      </c>
      <c r="Z98" t="s">
        <v>719</v>
      </c>
      <c r="AA98" t="s">
        <v>397</v>
      </c>
      <c r="AB98" t="s">
        <v>453</v>
      </c>
      <c r="AC98" t="s">
        <v>57</v>
      </c>
      <c r="AD98" t="s">
        <v>1230</v>
      </c>
      <c r="AE98" t="s">
        <v>1231</v>
      </c>
      <c r="AI98">
        <v>144.66347074682119</v>
      </c>
      <c r="AJ98">
        <v>967.25833291824085</v>
      </c>
    </row>
    <row r="99" spans="1:36" hidden="1" x14ac:dyDescent="0.25">
      <c r="A99">
        <v>98</v>
      </c>
      <c r="B99" t="s">
        <v>1235</v>
      </c>
      <c r="C99" t="s">
        <v>376</v>
      </c>
      <c r="D99" t="s">
        <v>1023</v>
      </c>
      <c r="E99" t="s">
        <v>37</v>
      </c>
      <c r="F99" t="s">
        <v>38</v>
      </c>
      <c r="G99" s="2">
        <v>45867</v>
      </c>
      <c r="H99">
        <v>6.1</v>
      </c>
      <c r="I99" t="s">
        <v>72</v>
      </c>
      <c r="J99" t="s">
        <v>1024</v>
      </c>
      <c r="K99" t="s">
        <v>1025</v>
      </c>
      <c r="L99" t="s">
        <v>1026</v>
      </c>
      <c r="M99" t="s">
        <v>1027</v>
      </c>
      <c r="N99" t="s">
        <v>1192</v>
      </c>
      <c r="O99" t="s">
        <v>79</v>
      </c>
      <c r="P99" t="s">
        <v>80</v>
      </c>
      <c r="Q99">
        <v>4.5732143663809319</v>
      </c>
      <c r="R99" t="s">
        <v>46</v>
      </c>
      <c r="S99" t="s">
        <v>47</v>
      </c>
      <c r="T99" t="s">
        <v>1228</v>
      </c>
      <c r="V99" t="s">
        <v>76</v>
      </c>
      <c r="X99" t="s">
        <v>1229</v>
      </c>
      <c r="Y99" t="s">
        <v>1075</v>
      </c>
      <c r="Z99" t="s">
        <v>719</v>
      </c>
      <c r="AA99" t="s">
        <v>397</v>
      </c>
      <c r="AB99" t="s">
        <v>453</v>
      </c>
      <c r="AC99" t="s">
        <v>57</v>
      </c>
      <c r="AD99" t="s">
        <v>1230</v>
      </c>
      <c r="AE99" t="s">
        <v>1231</v>
      </c>
      <c r="AI99">
        <v>800.68295878843526</v>
      </c>
      <c r="AJ99">
        <v>18507.215958390421</v>
      </c>
    </row>
    <row r="100" spans="1:36" hidden="1" x14ac:dyDescent="0.25">
      <c r="A100">
        <v>99</v>
      </c>
      <c r="B100" t="s">
        <v>1236</v>
      </c>
      <c r="C100" t="s">
        <v>376</v>
      </c>
      <c r="D100" t="s">
        <v>1023</v>
      </c>
      <c r="E100" t="s">
        <v>37</v>
      </c>
      <c r="F100" t="s">
        <v>38</v>
      </c>
      <c r="G100" s="2">
        <v>45867</v>
      </c>
      <c r="H100">
        <v>1.1499999999999999</v>
      </c>
      <c r="I100" t="s">
        <v>72</v>
      </c>
      <c r="J100" t="s">
        <v>1024</v>
      </c>
      <c r="K100" t="s">
        <v>1025</v>
      </c>
      <c r="L100" t="s">
        <v>1026</v>
      </c>
      <c r="M100" t="s">
        <v>1027</v>
      </c>
      <c r="N100" t="s">
        <v>1192</v>
      </c>
      <c r="O100" t="s">
        <v>79</v>
      </c>
      <c r="P100" t="s">
        <v>80</v>
      </c>
      <c r="Q100">
        <v>1.1401222004648119</v>
      </c>
      <c r="R100" t="s">
        <v>46</v>
      </c>
      <c r="S100" t="s">
        <v>47</v>
      </c>
      <c r="T100" t="s">
        <v>1237</v>
      </c>
      <c r="V100" t="s">
        <v>76</v>
      </c>
      <c r="X100" t="s">
        <v>673</v>
      </c>
      <c r="Y100" t="s">
        <v>1075</v>
      </c>
      <c r="Z100" t="s">
        <v>719</v>
      </c>
      <c r="AA100" t="s">
        <v>397</v>
      </c>
      <c r="AB100" t="s">
        <v>453</v>
      </c>
      <c r="AC100" t="s">
        <v>57</v>
      </c>
      <c r="AI100">
        <v>302.54793677816718</v>
      </c>
      <c r="AJ100">
        <v>4613.9293049706084</v>
      </c>
    </row>
    <row r="101" spans="1:36" hidden="1" x14ac:dyDescent="0.25">
      <c r="A101">
        <v>100</v>
      </c>
      <c r="B101" t="s">
        <v>1238</v>
      </c>
      <c r="C101" t="s">
        <v>376</v>
      </c>
      <c r="D101" t="s">
        <v>1023</v>
      </c>
      <c r="E101" t="s">
        <v>37</v>
      </c>
      <c r="F101" t="s">
        <v>38</v>
      </c>
      <c r="G101" s="2">
        <v>45867</v>
      </c>
      <c r="H101">
        <v>1.6</v>
      </c>
      <c r="I101" t="s">
        <v>72</v>
      </c>
      <c r="J101" t="s">
        <v>1024</v>
      </c>
      <c r="K101" t="s">
        <v>1025</v>
      </c>
      <c r="L101" t="s">
        <v>1026</v>
      </c>
      <c r="M101" t="s">
        <v>1027</v>
      </c>
      <c r="N101" t="s">
        <v>1192</v>
      </c>
      <c r="O101" t="s">
        <v>79</v>
      </c>
      <c r="P101" t="s">
        <v>80</v>
      </c>
      <c r="Q101">
        <v>1.5164472466225529</v>
      </c>
      <c r="R101" t="s">
        <v>46</v>
      </c>
      <c r="S101" t="s">
        <v>47</v>
      </c>
      <c r="T101" t="s">
        <v>1228</v>
      </c>
      <c r="V101" t="s">
        <v>76</v>
      </c>
      <c r="X101" t="s">
        <v>1229</v>
      </c>
      <c r="Y101" t="s">
        <v>1075</v>
      </c>
      <c r="Z101" t="s">
        <v>719</v>
      </c>
      <c r="AA101" t="s">
        <v>397</v>
      </c>
      <c r="AB101" t="s">
        <v>453</v>
      </c>
      <c r="AC101" t="s">
        <v>57</v>
      </c>
      <c r="AD101" t="s">
        <v>1230</v>
      </c>
      <c r="AE101" t="s">
        <v>1231</v>
      </c>
      <c r="AI101">
        <v>353.90309703538372</v>
      </c>
      <c r="AJ101">
        <v>6136.8688266760328</v>
      </c>
    </row>
    <row r="102" spans="1:36" hidden="1" x14ac:dyDescent="0.25">
      <c r="A102">
        <v>101</v>
      </c>
      <c r="B102" t="s">
        <v>1239</v>
      </c>
      <c r="C102" t="s">
        <v>376</v>
      </c>
      <c r="D102" t="s">
        <v>1023</v>
      </c>
      <c r="E102" t="s">
        <v>37</v>
      </c>
      <c r="F102" t="s">
        <v>38</v>
      </c>
      <c r="G102" s="2">
        <v>45867</v>
      </c>
      <c r="H102">
        <v>2.9</v>
      </c>
      <c r="I102" t="s">
        <v>72</v>
      </c>
      <c r="J102" t="s">
        <v>1024</v>
      </c>
      <c r="K102" t="s">
        <v>1025</v>
      </c>
      <c r="L102" t="s">
        <v>1026</v>
      </c>
      <c r="M102" t="s">
        <v>1027</v>
      </c>
      <c r="N102" t="s">
        <v>1192</v>
      </c>
      <c r="O102" t="s">
        <v>402</v>
      </c>
      <c r="P102" t="s">
        <v>403</v>
      </c>
      <c r="Q102">
        <v>2.825527208921045</v>
      </c>
      <c r="S102" t="s">
        <v>38</v>
      </c>
      <c r="T102" t="s">
        <v>1240</v>
      </c>
      <c r="V102" t="s">
        <v>76</v>
      </c>
      <c r="X102" t="s">
        <v>1241</v>
      </c>
      <c r="Y102" t="s">
        <v>1075</v>
      </c>
      <c r="Z102" t="s">
        <v>719</v>
      </c>
      <c r="AA102" t="s">
        <v>397</v>
      </c>
      <c r="AB102" t="s">
        <v>453</v>
      </c>
      <c r="AC102" t="s">
        <v>57</v>
      </c>
      <c r="AD102" t="s">
        <v>1215</v>
      </c>
      <c r="AE102" t="s">
        <v>1242</v>
      </c>
      <c r="AI102">
        <v>536.457324672048</v>
      </c>
      <c r="AJ102">
        <v>11434.54867023702</v>
      </c>
    </row>
    <row r="103" spans="1:36" x14ac:dyDescent="0.25">
      <c r="A103">
        <v>102</v>
      </c>
      <c r="B103" t="s">
        <v>1243</v>
      </c>
      <c r="C103" t="s">
        <v>376</v>
      </c>
      <c r="D103" t="s">
        <v>1023</v>
      </c>
      <c r="E103" t="s">
        <v>37</v>
      </c>
      <c r="F103" t="s">
        <v>38</v>
      </c>
      <c r="G103" s="2">
        <v>45867</v>
      </c>
      <c r="H103">
        <v>5.3</v>
      </c>
      <c r="I103" t="s">
        <v>72</v>
      </c>
      <c r="J103" t="s">
        <v>1024</v>
      </c>
      <c r="K103" t="s">
        <v>1025</v>
      </c>
      <c r="L103" t="s">
        <v>1026</v>
      </c>
      <c r="M103" t="s">
        <v>1027</v>
      </c>
      <c r="O103" t="s">
        <v>62</v>
      </c>
      <c r="P103" t="s">
        <v>63</v>
      </c>
      <c r="Q103">
        <v>5.0192907771026842</v>
      </c>
      <c r="R103" t="s">
        <v>64</v>
      </c>
      <c r="S103" t="s">
        <v>65</v>
      </c>
      <c r="T103" t="s">
        <v>1244</v>
      </c>
      <c r="V103" t="s">
        <v>76</v>
      </c>
      <c r="X103" t="s">
        <v>1245</v>
      </c>
      <c r="Y103" t="s">
        <v>1075</v>
      </c>
      <c r="Z103" t="s">
        <v>719</v>
      </c>
      <c r="AA103" t="s">
        <v>182</v>
      </c>
      <c r="AB103" t="s">
        <v>453</v>
      </c>
      <c r="AC103" t="s">
        <v>57</v>
      </c>
      <c r="AD103" t="s">
        <v>93</v>
      </c>
      <c r="AE103" t="s">
        <v>1246</v>
      </c>
      <c r="AI103">
        <v>1066.683580614741</v>
      </c>
      <c r="AJ103">
        <v>20312.430366851298</v>
      </c>
    </row>
    <row r="104" spans="1:36" hidden="1" x14ac:dyDescent="0.25">
      <c r="A104">
        <v>103</v>
      </c>
      <c r="B104" t="s">
        <v>1247</v>
      </c>
      <c r="C104" t="s">
        <v>376</v>
      </c>
      <c r="D104" t="s">
        <v>1023</v>
      </c>
      <c r="E104" t="s">
        <v>37</v>
      </c>
      <c r="F104" t="s">
        <v>38</v>
      </c>
      <c r="G104" s="2">
        <v>45867</v>
      </c>
      <c r="H104">
        <v>2.6</v>
      </c>
      <c r="I104" t="s">
        <v>72</v>
      </c>
      <c r="J104" t="s">
        <v>1024</v>
      </c>
      <c r="K104" t="s">
        <v>1025</v>
      </c>
      <c r="L104" t="s">
        <v>1026</v>
      </c>
      <c r="M104" t="s">
        <v>1027</v>
      </c>
      <c r="N104" t="s">
        <v>1248</v>
      </c>
      <c r="O104" t="s">
        <v>79</v>
      </c>
      <c r="P104" t="s">
        <v>80</v>
      </c>
      <c r="Q104">
        <v>1.3356583052353159</v>
      </c>
      <c r="R104" t="s">
        <v>46</v>
      </c>
      <c r="S104" t="s">
        <v>47</v>
      </c>
      <c r="T104" t="s">
        <v>1249</v>
      </c>
      <c r="V104" t="s">
        <v>76</v>
      </c>
      <c r="X104" t="s">
        <v>1250</v>
      </c>
      <c r="Y104" t="s">
        <v>1075</v>
      </c>
      <c r="Z104" t="s">
        <v>719</v>
      </c>
      <c r="AA104" t="s">
        <v>397</v>
      </c>
      <c r="AB104" t="s">
        <v>453</v>
      </c>
      <c r="AC104" t="s">
        <v>57</v>
      </c>
      <c r="AD104" t="s">
        <v>1048</v>
      </c>
      <c r="AE104" t="s">
        <v>1251</v>
      </c>
      <c r="AI104">
        <v>466.27580164209832</v>
      </c>
      <c r="AJ104">
        <v>5405.239011607865</v>
      </c>
    </row>
    <row r="105" spans="1:36" x14ac:dyDescent="0.25">
      <c r="A105">
        <v>104</v>
      </c>
      <c r="B105" t="s">
        <v>1252</v>
      </c>
      <c r="C105" t="s">
        <v>376</v>
      </c>
      <c r="D105" t="s">
        <v>1023</v>
      </c>
      <c r="E105" t="s">
        <v>37</v>
      </c>
      <c r="F105" t="s">
        <v>38</v>
      </c>
      <c r="G105" s="2">
        <v>45867</v>
      </c>
      <c r="H105">
        <v>2.5</v>
      </c>
      <c r="I105" t="s">
        <v>72</v>
      </c>
      <c r="J105" t="s">
        <v>1024</v>
      </c>
      <c r="K105" t="s">
        <v>1025</v>
      </c>
      <c r="L105" t="s">
        <v>1026</v>
      </c>
      <c r="M105" t="s">
        <v>1027</v>
      </c>
      <c r="O105" t="s">
        <v>62</v>
      </c>
      <c r="P105" t="s">
        <v>63</v>
      </c>
      <c r="Q105">
        <v>3.195358826065251</v>
      </c>
      <c r="R105" t="s">
        <v>64</v>
      </c>
      <c r="S105" t="s">
        <v>65</v>
      </c>
      <c r="T105" t="s">
        <v>1253</v>
      </c>
      <c r="V105" t="s">
        <v>76</v>
      </c>
      <c r="X105" t="s">
        <v>1245</v>
      </c>
      <c r="Y105" t="s">
        <v>1075</v>
      </c>
      <c r="Z105" t="s">
        <v>719</v>
      </c>
      <c r="AA105" t="s">
        <v>182</v>
      </c>
      <c r="AB105" t="s">
        <v>453</v>
      </c>
      <c r="AC105" t="s">
        <v>57</v>
      </c>
      <c r="AD105" t="s">
        <v>93</v>
      </c>
      <c r="AE105" t="s">
        <v>1246</v>
      </c>
      <c r="AI105">
        <v>611.26200609795069</v>
      </c>
      <c r="AJ105">
        <v>12931.21011192341</v>
      </c>
    </row>
    <row r="106" spans="1:36" x14ac:dyDescent="0.25">
      <c r="A106">
        <v>105</v>
      </c>
      <c r="B106" t="s">
        <v>1254</v>
      </c>
      <c r="C106" t="s">
        <v>376</v>
      </c>
      <c r="D106" t="s">
        <v>1023</v>
      </c>
      <c r="E106" t="s">
        <v>37</v>
      </c>
      <c r="F106" t="s">
        <v>38</v>
      </c>
      <c r="G106" s="2">
        <v>45867</v>
      </c>
      <c r="H106">
        <v>4.8</v>
      </c>
      <c r="I106" t="s">
        <v>72</v>
      </c>
      <c r="J106" t="s">
        <v>1024</v>
      </c>
      <c r="K106" t="s">
        <v>1025</v>
      </c>
      <c r="L106" t="s">
        <v>1026</v>
      </c>
      <c r="M106" t="s">
        <v>1027</v>
      </c>
      <c r="N106" t="s">
        <v>1248</v>
      </c>
      <c r="O106" t="s">
        <v>62</v>
      </c>
      <c r="P106" t="s">
        <v>63</v>
      </c>
      <c r="Q106">
        <v>4.0885435322459678</v>
      </c>
      <c r="R106" t="s">
        <v>64</v>
      </c>
      <c r="S106" t="s">
        <v>65</v>
      </c>
      <c r="T106" t="s">
        <v>1255</v>
      </c>
      <c r="V106" t="s">
        <v>76</v>
      </c>
      <c r="X106" t="s">
        <v>1250</v>
      </c>
      <c r="Y106" t="s">
        <v>1075</v>
      </c>
      <c r="Z106" t="s">
        <v>719</v>
      </c>
      <c r="AA106" t="s">
        <v>942</v>
      </c>
      <c r="AB106" t="s">
        <v>453</v>
      </c>
      <c r="AC106" t="s">
        <v>57</v>
      </c>
      <c r="AD106" t="s">
        <v>1048</v>
      </c>
      <c r="AE106" t="s">
        <v>1251</v>
      </c>
      <c r="AI106">
        <v>852.65855065622384</v>
      </c>
      <c r="AJ106">
        <v>16545.814834924731</v>
      </c>
    </row>
    <row r="107" spans="1:36" x14ac:dyDescent="0.25">
      <c r="A107">
        <v>106</v>
      </c>
      <c r="B107" t="s">
        <v>1256</v>
      </c>
      <c r="C107" t="s">
        <v>376</v>
      </c>
      <c r="D107" t="s">
        <v>1023</v>
      </c>
      <c r="E107" t="s">
        <v>37</v>
      </c>
      <c r="F107" t="s">
        <v>38</v>
      </c>
      <c r="G107" s="2">
        <v>45867</v>
      </c>
      <c r="H107">
        <v>1.21</v>
      </c>
      <c r="I107" t="s">
        <v>72</v>
      </c>
      <c r="J107" t="s">
        <v>1024</v>
      </c>
      <c r="K107" t="s">
        <v>1025</v>
      </c>
      <c r="L107" t="s">
        <v>1026</v>
      </c>
      <c r="M107" t="s">
        <v>1027</v>
      </c>
      <c r="N107" t="s">
        <v>1257</v>
      </c>
      <c r="O107" t="s">
        <v>62</v>
      </c>
      <c r="P107" t="s">
        <v>63</v>
      </c>
      <c r="Q107">
        <v>1.107843877734537</v>
      </c>
      <c r="R107" t="s">
        <v>64</v>
      </c>
      <c r="S107" t="s">
        <v>65</v>
      </c>
      <c r="T107" t="s">
        <v>1249</v>
      </c>
      <c r="V107" t="s">
        <v>76</v>
      </c>
      <c r="X107" t="s">
        <v>1258</v>
      </c>
      <c r="Y107" t="s">
        <v>1075</v>
      </c>
      <c r="Z107" t="s">
        <v>719</v>
      </c>
      <c r="AA107" t="s">
        <v>942</v>
      </c>
      <c r="AB107" t="s">
        <v>453</v>
      </c>
      <c r="AC107" t="s">
        <v>57</v>
      </c>
      <c r="AD107" t="s">
        <v>1230</v>
      </c>
      <c r="AE107" t="s">
        <v>1251</v>
      </c>
      <c r="AI107">
        <v>323.29842977508218</v>
      </c>
      <c r="AJ107">
        <v>4483.3030448207774</v>
      </c>
    </row>
    <row r="108" spans="1:36" hidden="1" x14ac:dyDescent="0.25">
      <c r="A108">
        <v>107</v>
      </c>
      <c r="B108" t="s">
        <v>1259</v>
      </c>
      <c r="C108" t="s">
        <v>376</v>
      </c>
      <c r="D108" t="s">
        <v>1023</v>
      </c>
      <c r="E108" t="s">
        <v>37</v>
      </c>
      <c r="F108" t="s">
        <v>38</v>
      </c>
      <c r="G108" s="2">
        <v>45867</v>
      </c>
      <c r="H108">
        <v>0.4</v>
      </c>
      <c r="I108" t="s">
        <v>72</v>
      </c>
      <c r="J108" t="s">
        <v>1024</v>
      </c>
      <c r="K108" t="s">
        <v>1025</v>
      </c>
      <c r="L108" t="s">
        <v>1026</v>
      </c>
      <c r="M108" t="s">
        <v>1027</v>
      </c>
      <c r="N108" t="s">
        <v>1248</v>
      </c>
      <c r="O108" t="s">
        <v>79</v>
      </c>
      <c r="P108" t="s">
        <v>80</v>
      </c>
      <c r="Q108">
        <v>0.44854531035464412</v>
      </c>
      <c r="R108" t="s">
        <v>46</v>
      </c>
      <c r="S108" t="s">
        <v>47</v>
      </c>
      <c r="T108" t="s">
        <v>1255</v>
      </c>
      <c r="V108" t="s">
        <v>76</v>
      </c>
      <c r="X108" t="s">
        <v>1250</v>
      </c>
      <c r="Y108" t="s">
        <v>1075</v>
      </c>
      <c r="Z108" t="s">
        <v>719</v>
      </c>
      <c r="AA108" t="s">
        <v>452</v>
      </c>
      <c r="AB108" t="s">
        <v>453</v>
      </c>
      <c r="AC108" t="s">
        <v>57</v>
      </c>
      <c r="AD108" t="s">
        <v>1048</v>
      </c>
      <c r="AE108" t="s">
        <v>1251</v>
      </c>
      <c r="AI108">
        <v>237.84008117408791</v>
      </c>
      <c r="AJ108">
        <v>1815.2057307617549</v>
      </c>
    </row>
    <row r="109" spans="1:36" hidden="1" x14ac:dyDescent="0.25">
      <c r="A109">
        <v>108</v>
      </c>
      <c r="B109" t="s">
        <v>1260</v>
      </c>
      <c r="C109" t="s">
        <v>376</v>
      </c>
      <c r="D109" t="s">
        <v>1023</v>
      </c>
      <c r="E109" t="s">
        <v>37</v>
      </c>
      <c r="F109" t="s">
        <v>38</v>
      </c>
      <c r="G109" s="2">
        <v>45867</v>
      </c>
      <c r="H109">
        <v>4.4000000000000004</v>
      </c>
      <c r="I109" t="s">
        <v>72</v>
      </c>
      <c r="J109" t="s">
        <v>1024</v>
      </c>
      <c r="K109" t="s">
        <v>1025</v>
      </c>
      <c r="L109" t="s">
        <v>1026</v>
      </c>
      <c r="M109" t="s">
        <v>1027</v>
      </c>
      <c r="N109" t="s">
        <v>1248</v>
      </c>
      <c r="O109" t="s">
        <v>79</v>
      </c>
      <c r="P109" t="s">
        <v>80</v>
      </c>
      <c r="Q109">
        <v>4.2856805938600013</v>
      </c>
      <c r="R109" t="s">
        <v>46</v>
      </c>
      <c r="S109" t="s">
        <v>47</v>
      </c>
      <c r="T109" t="s">
        <v>1255</v>
      </c>
      <c r="V109" t="s">
        <v>76</v>
      </c>
      <c r="X109" t="s">
        <v>1250</v>
      </c>
      <c r="Y109" t="s">
        <v>1075</v>
      </c>
      <c r="Z109" t="s">
        <v>719</v>
      </c>
      <c r="AA109" t="s">
        <v>452</v>
      </c>
      <c r="AB109" t="s">
        <v>453</v>
      </c>
      <c r="AC109" t="s">
        <v>57</v>
      </c>
      <c r="AD109" t="s">
        <v>1048</v>
      </c>
      <c r="AE109" t="s">
        <v>1251</v>
      </c>
      <c r="AI109">
        <v>584.26834296851985</v>
      </c>
      <c r="AJ109">
        <v>17343.603409961659</v>
      </c>
    </row>
    <row r="110" spans="1:36" x14ac:dyDescent="0.25">
      <c r="A110">
        <v>109</v>
      </c>
      <c r="B110" t="s">
        <v>1261</v>
      </c>
      <c r="C110" t="s">
        <v>376</v>
      </c>
      <c r="D110" t="s">
        <v>1023</v>
      </c>
      <c r="E110" t="s">
        <v>37</v>
      </c>
      <c r="F110" t="s">
        <v>38</v>
      </c>
      <c r="G110" s="2">
        <v>45867</v>
      </c>
      <c r="H110">
        <v>0.26</v>
      </c>
      <c r="I110" t="s">
        <v>72</v>
      </c>
      <c r="J110" t="s">
        <v>1024</v>
      </c>
      <c r="K110" t="s">
        <v>1025</v>
      </c>
      <c r="L110" t="s">
        <v>1026</v>
      </c>
      <c r="M110" t="s">
        <v>1027</v>
      </c>
      <c r="N110" t="s">
        <v>1248</v>
      </c>
      <c r="O110" t="s">
        <v>62</v>
      </c>
      <c r="P110" t="s">
        <v>63</v>
      </c>
      <c r="Q110">
        <v>0.25666878204082938</v>
      </c>
      <c r="R110" t="s">
        <v>64</v>
      </c>
      <c r="S110" t="s">
        <v>65</v>
      </c>
      <c r="T110" t="s">
        <v>1255</v>
      </c>
      <c r="V110" t="s">
        <v>76</v>
      </c>
      <c r="X110" t="s">
        <v>1250</v>
      </c>
      <c r="Y110" t="s">
        <v>1075</v>
      </c>
      <c r="Z110" t="s">
        <v>719</v>
      </c>
      <c r="AA110" t="s">
        <v>452</v>
      </c>
      <c r="AB110" t="s">
        <v>453</v>
      </c>
      <c r="AC110" t="s">
        <v>57</v>
      </c>
      <c r="AD110" t="s">
        <v>1048</v>
      </c>
      <c r="AE110" t="s">
        <v>1251</v>
      </c>
      <c r="AI110">
        <v>173.27684560451371</v>
      </c>
      <c r="AJ110">
        <v>1038.705863850817</v>
      </c>
    </row>
    <row r="111" spans="1:36" x14ac:dyDescent="0.25">
      <c r="A111">
        <v>110</v>
      </c>
      <c r="B111" t="s">
        <v>1262</v>
      </c>
      <c r="C111" t="s">
        <v>376</v>
      </c>
      <c r="D111" t="s">
        <v>1023</v>
      </c>
      <c r="E111" t="s">
        <v>37</v>
      </c>
      <c r="F111" t="s">
        <v>38</v>
      </c>
      <c r="G111" s="2">
        <v>45867</v>
      </c>
      <c r="H111">
        <v>0.74</v>
      </c>
      <c r="I111" t="s">
        <v>72</v>
      </c>
      <c r="J111" t="s">
        <v>1024</v>
      </c>
      <c r="K111" t="s">
        <v>1025</v>
      </c>
      <c r="L111" t="s">
        <v>1026</v>
      </c>
      <c r="M111" t="s">
        <v>1027</v>
      </c>
      <c r="N111" t="s">
        <v>1248</v>
      </c>
      <c r="O111" t="s">
        <v>62</v>
      </c>
      <c r="P111" t="s">
        <v>63</v>
      </c>
      <c r="Q111">
        <v>1.3884021435620151</v>
      </c>
      <c r="R111" t="s">
        <v>64</v>
      </c>
      <c r="S111" t="s">
        <v>65</v>
      </c>
      <c r="T111" t="s">
        <v>1255</v>
      </c>
      <c r="V111" t="s">
        <v>76</v>
      </c>
      <c r="X111" t="s">
        <v>1250</v>
      </c>
      <c r="Y111" t="s">
        <v>1075</v>
      </c>
      <c r="Z111" t="s">
        <v>719</v>
      </c>
      <c r="AA111" t="s">
        <v>942</v>
      </c>
      <c r="AB111" t="s">
        <v>453</v>
      </c>
      <c r="AC111" t="s">
        <v>57</v>
      </c>
      <c r="AD111" t="s">
        <v>1048</v>
      </c>
      <c r="AE111" t="s">
        <v>1251</v>
      </c>
      <c r="AI111">
        <v>294.28679091736137</v>
      </c>
      <c r="AJ111">
        <v>5618.6866062718163</v>
      </c>
    </row>
    <row r="112" spans="1:36" x14ac:dyDescent="0.25">
      <c r="A112">
        <v>111</v>
      </c>
      <c r="B112" t="s">
        <v>1263</v>
      </c>
      <c r="C112" t="s">
        <v>376</v>
      </c>
      <c r="D112" t="s">
        <v>1023</v>
      </c>
      <c r="E112" t="s">
        <v>37</v>
      </c>
      <c r="F112" t="s">
        <v>38</v>
      </c>
      <c r="G112" s="2">
        <v>45867</v>
      </c>
      <c r="H112">
        <v>1.1000000000000001</v>
      </c>
      <c r="I112" t="s">
        <v>72</v>
      </c>
      <c r="J112" t="s">
        <v>1024</v>
      </c>
      <c r="K112" t="s">
        <v>1025</v>
      </c>
      <c r="L112" t="s">
        <v>1026</v>
      </c>
      <c r="M112" t="s">
        <v>1027</v>
      </c>
      <c r="N112" t="s">
        <v>1257</v>
      </c>
      <c r="O112" t="s">
        <v>62</v>
      </c>
      <c r="P112" t="s">
        <v>63</v>
      </c>
      <c r="Q112">
        <v>1.0740834755368569</v>
      </c>
      <c r="R112" t="s">
        <v>64</v>
      </c>
      <c r="S112" t="s">
        <v>65</v>
      </c>
      <c r="T112" t="s">
        <v>1249</v>
      </c>
      <c r="V112" t="s">
        <v>76</v>
      </c>
      <c r="X112" t="s">
        <v>1258</v>
      </c>
      <c r="Y112" t="s">
        <v>1075</v>
      </c>
      <c r="Z112" t="s">
        <v>719</v>
      </c>
      <c r="AA112" t="s">
        <v>942</v>
      </c>
      <c r="AB112" t="s">
        <v>453</v>
      </c>
      <c r="AC112" t="s">
        <v>57</v>
      </c>
      <c r="AD112" t="s">
        <v>1230</v>
      </c>
      <c r="AE112" t="s">
        <v>1264</v>
      </c>
      <c r="AI112">
        <v>288.79297586679928</v>
      </c>
      <c r="AJ112">
        <v>4346.6789978686465</v>
      </c>
    </row>
    <row r="113" spans="1:36" x14ac:dyDescent="0.25">
      <c r="A113">
        <v>112</v>
      </c>
      <c r="B113" t="s">
        <v>1265</v>
      </c>
      <c r="C113" t="s">
        <v>376</v>
      </c>
      <c r="D113" t="s">
        <v>1023</v>
      </c>
      <c r="E113" t="s">
        <v>37</v>
      </c>
      <c r="F113" t="s">
        <v>38</v>
      </c>
      <c r="G113" s="2">
        <v>45867</v>
      </c>
      <c r="H113">
        <v>0.3</v>
      </c>
      <c r="I113" t="s">
        <v>72</v>
      </c>
      <c r="J113" t="s">
        <v>1024</v>
      </c>
      <c r="K113" t="s">
        <v>1025</v>
      </c>
      <c r="L113" t="s">
        <v>1026</v>
      </c>
      <c r="M113" t="s">
        <v>1027</v>
      </c>
      <c r="N113" t="s">
        <v>1257</v>
      </c>
      <c r="O113" t="s">
        <v>62</v>
      </c>
      <c r="P113" t="s">
        <v>63</v>
      </c>
      <c r="Q113">
        <v>0.22725050883129669</v>
      </c>
      <c r="R113" t="s">
        <v>64</v>
      </c>
      <c r="S113" t="s">
        <v>65</v>
      </c>
      <c r="T113" t="s">
        <v>1249</v>
      </c>
      <c r="V113" t="s">
        <v>76</v>
      </c>
      <c r="X113" t="s">
        <v>1258</v>
      </c>
      <c r="Y113" t="s">
        <v>1075</v>
      </c>
      <c r="Z113" t="s">
        <v>719</v>
      </c>
      <c r="AA113" t="s">
        <v>942</v>
      </c>
      <c r="AB113" t="s">
        <v>453</v>
      </c>
      <c r="AC113" t="s">
        <v>57</v>
      </c>
      <c r="AD113" t="s">
        <v>1230</v>
      </c>
      <c r="AE113" t="s">
        <v>1264</v>
      </c>
      <c r="AI113">
        <v>161.07957284387911</v>
      </c>
      <c r="AJ113">
        <v>919.65385976936147</v>
      </c>
    </row>
    <row r="114" spans="1:36" x14ac:dyDescent="0.25">
      <c r="A114">
        <v>113</v>
      </c>
      <c r="B114" t="s">
        <v>1266</v>
      </c>
      <c r="C114" t="s">
        <v>376</v>
      </c>
      <c r="D114" t="s">
        <v>1023</v>
      </c>
      <c r="E114" t="s">
        <v>37</v>
      </c>
      <c r="F114" t="s">
        <v>38</v>
      </c>
      <c r="G114" s="2">
        <v>45867</v>
      </c>
      <c r="H114">
        <v>0.3</v>
      </c>
      <c r="I114" t="s">
        <v>72</v>
      </c>
      <c r="J114" t="s">
        <v>1024</v>
      </c>
      <c r="K114" t="s">
        <v>1025</v>
      </c>
      <c r="L114" t="s">
        <v>1026</v>
      </c>
      <c r="M114" t="s">
        <v>1027</v>
      </c>
      <c r="N114" t="s">
        <v>1257</v>
      </c>
      <c r="O114" t="s">
        <v>62</v>
      </c>
      <c r="P114" t="s">
        <v>63</v>
      </c>
      <c r="Q114">
        <v>0.2474270562552954</v>
      </c>
      <c r="R114" t="s">
        <v>64</v>
      </c>
      <c r="S114" t="s">
        <v>65</v>
      </c>
      <c r="T114" t="s">
        <v>1249</v>
      </c>
      <c r="V114" t="s">
        <v>76</v>
      </c>
      <c r="X114" t="s">
        <v>1258</v>
      </c>
      <c r="Y114" t="s">
        <v>1075</v>
      </c>
      <c r="Z114" t="s">
        <v>719</v>
      </c>
      <c r="AA114" t="s">
        <v>1076</v>
      </c>
      <c r="AB114" t="s">
        <v>453</v>
      </c>
      <c r="AC114" t="s">
        <v>57</v>
      </c>
      <c r="AD114" t="s">
        <v>1230</v>
      </c>
      <c r="AE114" t="s">
        <v>1264</v>
      </c>
      <c r="AI114">
        <v>139.19140511725141</v>
      </c>
      <c r="AJ114">
        <v>1001.305776901371</v>
      </c>
    </row>
    <row r="115" spans="1:36" x14ac:dyDescent="0.25">
      <c r="A115">
        <v>114</v>
      </c>
      <c r="B115" t="s">
        <v>1267</v>
      </c>
      <c r="C115" t="s">
        <v>376</v>
      </c>
      <c r="D115" t="s">
        <v>1023</v>
      </c>
      <c r="E115" t="s">
        <v>37</v>
      </c>
      <c r="F115" t="s">
        <v>38</v>
      </c>
      <c r="G115" s="2">
        <v>45867</v>
      </c>
      <c r="H115">
        <v>3.73</v>
      </c>
      <c r="I115" t="s">
        <v>72</v>
      </c>
      <c r="J115" t="s">
        <v>1024</v>
      </c>
      <c r="K115" t="s">
        <v>1025</v>
      </c>
      <c r="L115" t="s">
        <v>1026</v>
      </c>
      <c r="M115" t="s">
        <v>1027</v>
      </c>
      <c r="N115" t="s">
        <v>1257</v>
      </c>
      <c r="O115" t="s">
        <v>62</v>
      </c>
      <c r="P115" t="s">
        <v>63</v>
      </c>
      <c r="Q115">
        <v>6.8829480797381217</v>
      </c>
      <c r="R115" t="s">
        <v>64</v>
      </c>
      <c r="S115" t="s">
        <v>65</v>
      </c>
      <c r="T115" t="s">
        <v>1249</v>
      </c>
      <c r="V115" t="s">
        <v>76</v>
      </c>
      <c r="X115" t="s">
        <v>1258</v>
      </c>
      <c r="Y115" t="s">
        <v>1075</v>
      </c>
      <c r="Z115" t="s">
        <v>719</v>
      </c>
      <c r="AA115" t="s">
        <v>942</v>
      </c>
      <c r="AB115" t="s">
        <v>453</v>
      </c>
      <c r="AC115" t="s">
        <v>57</v>
      </c>
      <c r="AD115" t="s">
        <v>1230</v>
      </c>
      <c r="AE115" t="s">
        <v>1268</v>
      </c>
      <c r="AI115">
        <v>816.51014274960721</v>
      </c>
      <c r="AJ115">
        <v>27854.414059078779</v>
      </c>
    </row>
    <row r="116" spans="1:36" x14ac:dyDescent="0.25">
      <c r="A116">
        <v>115</v>
      </c>
      <c r="B116" t="s">
        <v>1269</v>
      </c>
      <c r="C116" t="s">
        <v>376</v>
      </c>
      <c r="D116" t="s">
        <v>1023</v>
      </c>
      <c r="E116" t="s">
        <v>37</v>
      </c>
      <c r="F116" t="s">
        <v>38</v>
      </c>
      <c r="G116" s="2">
        <v>45867</v>
      </c>
      <c r="H116">
        <v>3.1</v>
      </c>
      <c r="I116" t="s">
        <v>72</v>
      </c>
      <c r="J116" t="s">
        <v>1024</v>
      </c>
      <c r="K116" t="s">
        <v>1025</v>
      </c>
      <c r="L116" t="s">
        <v>1026</v>
      </c>
      <c r="M116" t="s">
        <v>1027</v>
      </c>
      <c r="N116" t="s">
        <v>1248</v>
      </c>
      <c r="O116" t="s">
        <v>62</v>
      </c>
      <c r="P116" t="s">
        <v>63</v>
      </c>
      <c r="Q116">
        <v>3.0226462784150909</v>
      </c>
      <c r="R116" t="s">
        <v>64</v>
      </c>
      <c r="S116" t="s">
        <v>65</v>
      </c>
      <c r="T116" t="s">
        <v>1255</v>
      </c>
      <c r="V116" t="s">
        <v>76</v>
      </c>
      <c r="Y116" t="s">
        <v>1075</v>
      </c>
      <c r="Z116" t="s">
        <v>719</v>
      </c>
      <c r="AA116" t="s">
        <v>942</v>
      </c>
      <c r="AB116" t="s">
        <v>453</v>
      </c>
      <c r="AC116" t="s">
        <v>57</v>
      </c>
      <c r="AD116" t="s">
        <v>1048</v>
      </c>
      <c r="AI116">
        <v>611.7303054333438</v>
      </c>
      <c r="AJ116">
        <v>12232.26443345637</v>
      </c>
    </row>
    <row r="117" spans="1:36" hidden="1" x14ac:dyDescent="0.25">
      <c r="A117">
        <v>116</v>
      </c>
      <c r="B117" t="s">
        <v>1270</v>
      </c>
      <c r="C117" t="s">
        <v>376</v>
      </c>
      <c r="D117" t="s">
        <v>1023</v>
      </c>
      <c r="E117" t="s">
        <v>37</v>
      </c>
      <c r="F117" t="s">
        <v>38</v>
      </c>
      <c r="G117" s="2">
        <v>45867</v>
      </c>
      <c r="H117">
        <v>0.3</v>
      </c>
      <c r="I117" t="s">
        <v>72</v>
      </c>
      <c r="J117" t="s">
        <v>1024</v>
      </c>
      <c r="K117" t="s">
        <v>1025</v>
      </c>
      <c r="L117" t="s">
        <v>1026</v>
      </c>
      <c r="M117" t="s">
        <v>1027</v>
      </c>
      <c r="N117" t="s">
        <v>1248</v>
      </c>
      <c r="O117" t="s">
        <v>79</v>
      </c>
      <c r="P117" t="s">
        <v>80</v>
      </c>
      <c r="Q117">
        <v>0.16426666984845961</v>
      </c>
      <c r="R117" t="s">
        <v>46</v>
      </c>
      <c r="S117" t="s">
        <v>47</v>
      </c>
      <c r="T117" t="s">
        <v>1255</v>
      </c>
      <c r="V117" t="s">
        <v>76</v>
      </c>
      <c r="X117" t="s">
        <v>1250</v>
      </c>
      <c r="Y117" t="s">
        <v>1075</v>
      </c>
      <c r="Z117" t="s">
        <v>719</v>
      </c>
      <c r="AA117" t="s">
        <v>942</v>
      </c>
      <c r="AB117" t="s">
        <v>453</v>
      </c>
      <c r="AC117" t="s">
        <v>57</v>
      </c>
      <c r="AD117" t="s">
        <v>1048</v>
      </c>
      <c r="AE117" t="s">
        <v>1251</v>
      </c>
      <c r="AI117">
        <v>162.77063709683449</v>
      </c>
      <c r="AJ117">
        <v>664.76628692498764</v>
      </c>
    </row>
    <row r="118" spans="1:36" x14ac:dyDescent="0.25">
      <c r="A118">
        <v>117</v>
      </c>
      <c r="B118" t="s">
        <v>1271</v>
      </c>
      <c r="C118" t="s">
        <v>376</v>
      </c>
      <c r="D118" t="s">
        <v>1023</v>
      </c>
      <c r="E118" t="s">
        <v>37</v>
      </c>
      <c r="F118" t="s">
        <v>38</v>
      </c>
      <c r="G118" s="2">
        <v>45867</v>
      </c>
      <c r="H118">
        <v>0.8</v>
      </c>
      <c r="I118" t="s">
        <v>72</v>
      </c>
      <c r="J118" t="s">
        <v>1024</v>
      </c>
      <c r="K118" t="s">
        <v>1025</v>
      </c>
      <c r="L118" t="s">
        <v>1026</v>
      </c>
      <c r="M118" t="s">
        <v>1027</v>
      </c>
      <c r="N118" t="s">
        <v>1257</v>
      </c>
      <c r="O118" t="s">
        <v>62</v>
      </c>
      <c r="P118" t="s">
        <v>63</v>
      </c>
      <c r="Q118">
        <v>0.77175900749891391</v>
      </c>
      <c r="R118" t="s">
        <v>64</v>
      </c>
      <c r="S118" t="s">
        <v>65</v>
      </c>
      <c r="T118" t="s">
        <v>1249</v>
      </c>
      <c r="V118" t="s">
        <v>76</v>
      </c>
      <c r="X118" t="s">
        <v>1258</v>
      </c>
      <c r="Y118" t="s">
        <v>1075</v>
      </c>
      <c r="Z118" t="s">
        <v>719</v>
      </c>
      <c r="AA118" t="s">
        <v>942</v>
      </c>
      <c r="AB118" t="s">
        <v>453</v>
      </c>
      <c r="AC118" t="s">
        <v>57</v>
      </c>
      <c r="AD118" t="s">
        <v>1230</v>
      </c>
      <c r="AE118" t="s">
        <v>1268</v>
      </c>
      <c r="AI118">
        <v>314.28688098536833</v>
      </c>
      <c r="AJ118">
        <v>3123.2103888710922</v>
      </c>
    </row>
    <row r="119" spans="1:36" x14ac:dyDescent="0.25">
      <c r="A119">
        <v>118</v>
      </c>
      <c r="B119" t="s">
        <v>1272</v>
      </c>
      <c r="C119" t="s">
        <v>376</v>
      </c>
      <c r="D119" t="s">
        <v>1023</v>
      </c>
      <c r="E119" t="s">
        <v>37</v>
      </c>
      <c r="F119" t="s">
        <v>38</v>
      </c>
      <c r="G119" s="2">
        <v>45867</v>
      </c>
      <c r="H119">
        <v>0.1</v>
      </c>
      <c r="I119" t="s">
        <v>72</v>
      </c>
      <c r="J119" t="s">
        <v>1024</v>
      </c>
      <c r="K119" t="s">
        <v>1025</v>
      </c>
      <c r="L119" t="s">
        <v>1026</v>
      </c>
      <c r="M119" t="s">
        <v>1027</v>
      </c>
      <c r="N119" t="s">
        <v>1248</v>
      </c>
      <c r="O119" t="s">
        <v>62</v>
      </c>
      <c r="P119" t="s">
        <v>63</v>
      </c>
      <c r="Q119">
        <v>9.7142806344531998E-2</v>
      </c>
      <c r="R119" t="s">
        <v>64</v>
      </c>
      <c r="S119" t="s">
        <v>65</v>
      </c>
      <c r="T119" t="s">
        <v>1255</v>
      </c>
      <c r="V119" t="s">
        <v>76</v>
      </c>
      <c r="X119" t="s">
        <v>1250</v>
      </c>
      <c r="Y119" t="s">
        <v>1075</v>
      </c>
      <c r="Z119" t="s">
        <v>719</v>
      </c>
      <c r="AA119" t="s">
        <v>942</v>
      </c>
      <c r="AB119" t="s">
        <v>453</v>
      </c>
      <c r="AC119" t="s">
        <v>57</v>
      </c>
      <c r="AD119" t="s">
        <v>1048</v>
      </c>
      <c r="AE119" t="s">
        <v>1251</v>
      </c>
      <c r="AI119">
        <v>98.032187486060607</v>
      </c>
      <c r="AJ119">
        <v>393.12456224200531</v>
      </c>
    </row>
    <row r="120" spans="1:36" x14ac:dyDescent="0.25">
      <c r="A120">
        <v>119</v>
      </c>
      <c r="B120" t="s">
        <v>1273</v>
      </c>
      <c r="C120" t="s">
        <v>376</v>
      </c>
      <c r="D120" t="s">
        <v>1023</v>
      </c>
      <c r="E120" t="s">
        <v>37</v>
      </c>
      <c r="F120" t="s">
        <v>38</v>
      </c>
      <c r="G120" s="2">
        <v>45867</v>
      </c>
      <c r="H120">
        <v>5.4</v>
      </c>
      <c r="I120" t="s">
        <v>72</v>
      </c>
      <c r="J120" t="s">
        <v>1024</v>
      </c>
      <c r="K120" t="s">
        <v>1025</v>
      </c>
      <c r="L120" t="s">
        <v>1026</v>
      </c>
      <c r="M120" t="s">
        <v>1027</v>
      </c>
      <c r="N120" t="s">
        <v>1248</v>
      </c>
      <c r="O120" t="s">
        <v>62</v>
      </c>
      <c r="P120" t="s">
        <v>63</v>
      </c>
      <c r="Q120">
        <v>5.456989072989872</v>
      </c>
      <c r="R120" t="s">
        <v>64</v>
      </c>
      <c r="S120" t="s">
        <v>65</v>
      </c>
      <c r="T120" t="s">
        <v>1255</v>
      </c>
      <c r="V120" t="s">
        <v>76</v>
      </c>
      <c r="X120" t="s">
        <v>1250</v>
      </c>
      <c r="Y120" t="s">
        <v>1075</v>
      </c>
      <c r="Z120" t="s">
        <v>719</v>
      </c>
      <c r="AA120" t="s">
        <v>452</v>
      </c>
      <c r="AB120" t="s">
        <v>453</v>
      </c>
      <c r="AC120" t="s">
        <v>57</v>
      </c>
      <c r="AD120" t="s">
        <v>1048</v>
      </c>
      <c r="AE120" t="s">
        <v>1251</v>
      </c>
      <c r="AI120">
        <v>657.33185633589301</v>
      </c>
      <c r="AJ120">
        <v>22083.7396118658</v>
      </c>
    </row>
    <row r="121" spans="1:36" x14ac:dyDescent="0.25">
      <c r="A121">
        <v>120</v>
      </c>
      <c r="B121" t="s">
        <v>1274</v>
      </c>
      <c r="C121" t="s">
        <v>376</v>
      </c>
      <c r="D121" t="s">
        <v>1023</v>
      </c>
      <c r="E121" t="s">
        <v>37</v>
      </c>
      <c r="F121" t="s">
        <v>38</v>
      </c>
      <c r="G121" s="2">
        <v>45867</v>
      </c>
      <c r="H121">
        <v>1.1000000000000001</v>
      </c>
      <c r="I121" t="s">
        <v>72</v>
      </c>
      <c r="J121" t="s">
        <v>1024</v>
      </c>
      <c r="K121" t="s">
        <v>1025</v>
      </c>
      <c r="L121" t="s">
        <v>1026</v>
      </c>
      <c r="M121" t="s">
        <v>1027</v>
      </c>
      <c r="N121" t="s">
        <v>1248</v>
      </c>
      <c r="O121" t="s">
        <v>62</v>
      </c>
      <c r="P121" t="s">
        <v>63</v>
      </c>
      <c r="Q121">
        <v>1.232202219709275</v>
      </c>
      <c r="R121" t="s">
        <v>64</v>
      </c>
      <c r="S121" t="s">
        <v>65</v>
      </c>
      <c r="T121" t="s">
        <v>1255</v>
      </c>
      <c r="V121" t="s">
        <v>76</v>
      </c>
      <c r="X121" t="s">
        <v>1250</v>
      </c>
      <c r="Y121" t="s">
        <v>1075</v>
      </c>
      <c r="Z121" t="s">
        <v>719</v>
      </c>
      <c r="AA121" t="s">
        <v>452</v>
      </c>
      <c r="AB121" t="s">
        <v>453</v>
      </c>
      <c r="AC121" t="s">
        <v>57</v>
      </c>
      <c r="AD121" t="s">
        <v>1048</v>
      </c>
      <c r="AE121" t="s">
        <v>1251</v>
      </c>
      <c r="AI121">
        <v>352.33633410195728</v>
      </c>
      <c r="AJ121">
        <v>4986.5654127677199</v>
      </c>
    </row>
    <row r="122" spans="1:36" x14ac:dyDescent="0.25">
      <c r="A122">
        <v>121</v>
      </c>
      <c r="B122" t="s">
        <v>1275</v>
      </c>
      <c r="C122" t="s">
        <v>376</v>
      </c>
      <c r="D122" t="s">
        <v>1023</v>
      </c>
      <c r="E122" t="s">
        <v>37</v>
      </c>
      <c r="F122" t="s">
        <v>38</v>
      </c>
      <c r="G122" s="2">
        <v>45867</v>
      </c>
      <c r="H122">
        <v>0.8</v>
      </c>
      <c r="I122" t="s">
        <v>72</v>
      </c>
      <c r="J122" t="s">
        <v>1024</v>
      </c>
      <c r="K122" t="s">
        <v>1025</v>
      </c>
      <c r="L122" t="s">
        <v>1026</v>
      </c>
      <c r="M122" t="s">
        <v>1027</v>
      </c>
      <c r="N122" t="s">
        <v>1257</v>
      </c>
      <c r="O122" t="s">
        <v>62</v>
      </c>
      <c r="P122" t="s">
        <v>63</v>
      </c>
      <c r="Q122">
        <v>0.80845899475142624</v>
      </c>
      <c r="R122" t="s">
        <v>64</v>
      </c>
      <c r="S122" t="s">
        <v>65</v>
      </c>
      <c r="T122" t="s">
        <v>57</v>
      </c>
      <c r="V122" t="s">
        <v>76</v>
      </c>
      <c r="X122" t="s">
        <v>1258</v>
      </c>
      <c r="Y122" t="s">
        <v>1075</v>
      </c>
      <c r="Z122" t="s">
        <v>719</v>
      </c>
      <c r="AA122" t="s">
        <v>942</v>
      </c>
      <c r="AB122" t="s">
        <v>453</v>
      </c>
      <c r="AC122" t="s">
        <v>57</v>
      </c>
      <c r="AD122" t="s">
        <v>1230</v>
      </c>
      <c r="AE122" t="s">
        <v>1276</v>
      </c>
      <c r="AI122">
        <v>281.81900714343021</v>
      </c>
      <c r="AJ122">
        <v>3271.7305620660181</v>
      </c>
    </row>
    <row r="123" spans="1:36" hidden="1" x14ac:dyDescent="0.25">
      <c r="A123">
        <v>122</v>
      </c>
      <c r="B123" t="s">
        <v>1277</v>
      </c>
      <c r="C123" t="s">
        <v>376</v>
      </c>
      <c r="D123" t="s">
        <v>1023</v>
      </c>
      <c r="E123" t="s">
        <v>37</v>
      </c>
      <c r="F123" t="s">
        <v>38</v>
      </c>
      <c r="G123" s="2">
        <v>45867</v>
      </c>
      <c r="I123" t="s">
        <v>72</v>
      </c>
      <c r="J123" t="s">
        <v>1024</v>
      </c>
      <c r="K123" t="s">
        <v>1025</v>
      </c>
      <c r="L123" t="s">
        <v>1026</v>
      </c>
      <c r="M123" t="s">
        <v>1027</v>
      </c>
      <c r="O123" t="s">
        <v>402</v>
      </c>
      <c r="P123" t="s">
        <v>403</v>
      </c>
      <c r="Q123">
        <v>1.2903581527467389</v>
      </c>
      <c r="T123" t="s">
        <v>1278</v>
      </c>
      <c r="V123" t="s">
        <v>76</v>
      </c>
      <c r="X123" t="s">
        <v>673</v>
      </c>
      <c r="Y123" t="s">
        <v>1075</v>
      </c>
      <c r="Z123" t="s">
        <v>719</v>
      </c>
      <c r="AB123" t="s">
        <v>453</v>
      </c>
      <c r="AC123" t="s">
        <v>57</v>
      </c>
      <c r="AD123" t="s">
        <v>159</v>
      </c>
      <c r="AF123" t="s">
        <v>1279</v>
      </c>
      <c r="AI123">
        <v>359.43983652973208</v>
      </c>
      <c r="AJ123">
        <v>5221.9150652787139</v>
      </c>
    </row>
    <row r="124" spans="1:36" x14ac:dyDescent="0.25">
      <c r="A124">
        <v>123</v>
      </c>
      <c r="B124" t="s">
        <v>1280</v>
      </c>
      <c r="C124" t="s">
        <v>376</v>
      </c>
      <c r="D124" t="s">
        <v>1023</v>
      </c>
      <c r="E124" t="s">
        <v>37</v>
      </c>
      <c r="F124" t="s">
        <v>38</v>
      </c>
      <c r="G124" s="2">
        <v>45867</v>
      </c>
      <c r="H124">
        <v>0.4</v>
      </c>
      <c r="I124" t="s">
        <v>72</v>
      </c>
      <c r="J124" t="s">
        <v>1024</v>
      </c>
      <c r="K124" t="s">
        <v>1025</v>
      </c>
      <c r="L124" t="s">
        <v>1026</v>
      </c>
      <c r="M124" t="s">
        <v>1027</v>
      </c>
      <c r="N124" t="s">
        <v>1248</v>
      </c>
      <c r="O124" t="s">
        <v>62</v>
      </c>
      <c r="P124" t="s">
        <v>63</v>
      </c>
      <c r="Q124">
        <v>0.40277513212931082</v>
      </c>
      <c r="R124" t="s">
        <v>64</v>
      </c>
      <c r="S124" t="s">
        <v>65</v>
      </c>
      <c r="T124" t="s">
        <v>1255</v>
      </c>
      <c r="V124" t="s">
        <v>76</v>
      </c>
      <c r="X124" t="s">
        <v>1250</v>
      </c>
      <c r="Y124" t="s">
        <v>1075</v>
      </c>
      <c r="Z124" t="s">
        <v>719</v>
      </c>
      <c r="AA124" t="s">
        <v>452</v>
      </c>
      <c r="AB124" t="s">
        <v>453</v>
      </c>
      <c r="AC124" t="s">
        <v>57</v>
      </c>
      <c r="AD124" t="s">
        <v>1048</v>
      </c>
      <c r="AE124" t="s">
        <v>1251</v>
      </c>
      <c r="AI124">
        <v>213.93976046503971</v>
      </c>
      <c r="AJ124">
        <v>1629.9796501525909</v>
      </c>
    </row>
    <row r="125" spans="1:36" x14ac:dyDescent="0.25">
      <c r="A125">
        <v>124</v>
      </c>
      <c r="B125" t="s">
        <v>1281</v>
      </c>
      <c r="C125" t="s">
        <v>376</v>
      </c>
      <c r="D125" t="s">
        <v>1023</v>
      </c>
      <c r="E125" t="s">
        <v>37</v>
      </c>
      <c r="F125" t="s">
        <v>38</v>
      </c>
      <c r="G125" s="2">
        <v>45867</v>
      </c>
      <c r="H125">
        <v>3</v>
      </c>
      <c r="I125" t="s">
        <v>72</v>
      </c>
      <c r="J125" t="s">
        <v>1024</v>
      </c>
      <c r="K125" t="s">
        <v>1025</v>
      </c>
      <c r="L125" t="s">
        <v>1026</v>
      </c>
      <c r="M125" t="s">
        <v>1027</v>
      </c>
      <c r="N125" t="s">
        <v>1257</v>
      </c>
      <c r="O125" t="s">
        <v>62</v>
      </c>
      <c r="P125" t="s">
        <v>63</v>
      </c>
      <c r="Q125">
        <v>2.971748821664276</v>
      </c>
      <c r="R125" t="s">
        <v>64</v>
      </c>
      <c r="S125" t="s">
        <v>65</v>
      </c>
      <c r="T125" t="s">
        <v>1249</v>
      </c>
      <c r="V125" t="s">
        <v>75</v>
      </c>
      <c r="X125" t="s">
        <v>1258</v>
      </c>
      <c r="Y125" t="s">
        <v>1075</v>
      </c>
      <c r="Z125" t="s">
        <v>719</v>
      </c>
      <c r="AA125" t="s">
        <v>452</v>
      </c>
      <c r="AB125" t="s">
        <v>453</v>
      </c>
      <c r="AC125" t="s">
        <v>57</v>
      </c>
      <c r="AD125" t="s">
        <v>1048</v>
      </c>
      <c r="AE125" t="s">
        <v>1282</v>
      </c>
      <c r="AI125">
        <v>443.18320438363747</v>
      </c>
      <c r="AJ125">
        <v>12026.288909819241</v>
      </c>
    </row>
    <row r="126" spans="1:36" x14ac:dyDescent="0.25">
      <c r="A126">
        <v>125</v>
      </c>
      <c r="B126" t="s">
        <v>1283</v>
      </c>
      <c r="C126" t="s">
        <v>376</v>
      </c>
      <c r="D126" t="s">
        <v>1023</v>
      </c>
      <c r="E126" t="s">
        <v>37</v>
      </c>
      <c r="F126" t="s">
        <v>38</v>
      </c>
      <c r="G126" s="2">
        <v>45867</v>
      </c>
      <c r="H126">
        <v>1.9</v>
      </c>
      <c r="I126" t="s">
        <v>72</v>
      </c>
      <c r="J126" t="s">
        <v>1024</v>
      </c>
      <c r="K126" t="s">
        <v>1025</v>
      </c>
      <c r="L126" t="s">
        <v>1026</v>
      </c>
      <c r="M126" t="s">
        <v>1027</v>
      </c>
      <c r="N126" t="s">
        <v>1257</v>
      </c>
      <c r="O126" t="s">
        <v>62</v>
      </c>
      <c r="P126" t="s">
        <v>63</v>
      </c>
      <c r="Q126">
        <v>1.7703964950297839</v>
      </c>
      <c r="R126" t="s">
        <v>64</v>
      </c>
      <c r="S126" t="s">
        <v>65</v>
      </c>
      <c r="T126" t="s">
        <v>1249</v>
      </c>
      <c r="V126" t="s">
        <v>76</v>
      </c>
      <c r="X126" t="s">
        <v>1258</v>
      </c>
      <c r="Y126" t="s">
        <v>1075</v>
      </c>
      <c r="Z126" t="s">
        <v>719</v>
      </c>
      <c r="AA126" t="s">
        <v>942</v>
      </c>
      <c r="AB126" t="s">
        <v>453</v>
      </c>
      <c r="AC126" t="s">
        <v>57</v>
      </c>
      <c r="AD126" t="s">
        <v>1230</v>
      </c>
      <c r="AE126" t="s">
        <v>1284</v>
      </c>
      <c r="AI126">
        <v>362.78657046928822</v>
      </c>
      <c r="AJ126">
        <v>7164.5690843534103</v>
      </c>
    </row>
    <row r="127" spans="1:36" x14ac:dyDescent="0.25">
      <c r="A127">
        <v>126</v>
      </c>
      <c r="B127" t="s">
        <v>1285</v>
      </c>
      <c r="C127" t="s">
        <v>376</v>
      </c>
      <c r="D127" t="s">
        <v>1023</v>
      </c>
      <c r="E127" t="s">
        <v>37</v>
      </c>
      <c r="F127" t="s">
        <v>38</v>
      </c>
      <c r="G127" s="2">
        <v>45867</v>
      </c>
      <c r="H127">
        <v>1.8</v>
      </c>
      <c r="I127" t="s">
        <v>72</v>
      </c>
      <c r="J127" t="s">
        <v>1024</v>
      </c>
      <c r="K127" t="s">
        <v>1025</v>
      </c>
      <c r="L127" t="s">
        <v>1026</v>
      </c>
      <c r="M127" t="s">
        <v>1027</v>
      </c>
      <c r="N127" t="s">
        <v>1257</v>
      </c>
      <c r="O127" t="s">
        <v>62</v>
      </c>
      <c r="P127" t="s">
        <v>63</v>
      </c>
      <c r="Q127">
        <v>1.7860413104939461</v>
      </c>
      <c r="R127" t="s">
        <v>64</v>
      </c>
      <c r="S127" t="s">
        <v>65</v>
      </c>
      <c r="T127" t="s">
        <v>1249</v>
      </c>
      <c r="V127" t="s">
        <v>75</v>
      </c>
      <c r="X127" t="s">
        <v>1258</v>
      </c>
      <c r="Y127" t="s">
        <v>1075</v>
      </c>
      <c r="Z127" t="s">
        <v>719</v>
      </c>
      <c r="AA127" t="s">
        <v>452</v>
      </c>
      <c r="AB127" t="s">
        <v>453</v>
      </c>
      <c r="AC127" t="s">
        <v>57</v>
      </c>
      <c r="AD127" t="s">
        <v>1048</v>
      </c>
      <c r="AE127" t="s">
        <v>1282</v>
      </c>
      <c r="AI127">
        <v>367.11304840391188</v>
      </c>
      <c r="AJ127">
        <v>7227.8816595418648</v>
      </c>
    </row>
    <row r="128" spans="1:36" x14ac:dyDescent="0.25">
      <c r="A128">
        <v>127</v>
      </c>
      <c r="B128" t="s">
        <v>1286</v>
      </c>
      <c r="C128" t="s">
        <v>376</v>
      </c>
      <c r="D128" t="s">
        <v>1023</v>
      </c>
      <c r="E128" t="s">
        <v>37</v>
      </c>
      <c r="F128" t="s">
        <v>38</v>
      </c>
      <c r="G128" s="2">
        <v>45867</v>
      </c>
      <c r="H128">
        <v>1.2</v>
      </c>
      <c r="I128" t="s">
        <v>72</v>
      </c>
      <c r="J128" t="s">
        <v>1024</v>
      </c>
      <c r="K128" t="s">
        <v>1025</v>
      </c>
      <c r="L128" t="s">
        <v>1026</v>
      </c>
      <c r="M128" t="s">
        <v>1027</v>
      </c>
      <c r="N128" t="s">
        <v>1257</v>
      </c>
      <c r="O128" t="s">
        <v>62</v>
      </c>
      <c r="P128" t="s">
        <v>63</v>
      </c>
      <c r="Q128">
        <v>1.324616899891808</v>
      </c>
      <c r="R128" t="s">
        <v>64</v>
      </c>
      <c r="S128" t="s">
        <v>65</v>
      </c>
      <c r="T128" t="s">
        <v>1249</v>
      </c>
      <c r="V128" t="s">
        <v>75</v>
      </c>
      <c r="X128" t="s">
        <v>1258</v>
      </c>
      <c r="Y128" t="s">
        <v>1075</v>
      </c>
      <c r="Z128" t="s">
        <v>719</v>
      </c>
      <c r="AA128" t="s">
        <v>942</v>
      </c>
      <c r="AB128" t="s">
        <v>453</v>
      </c>
      <c r="AC128" t="s">
        <v>57</v>
      </c>
      <c r="AD128" t="s">
        <v>1230</v>
      </c>
      <c r="AE128" t="s">
        <v>1282</v>
      </c>
      <c r="AI128">
        <v>341.97861288930648</v>
      </c>
      <c r="AJ128">
        <v>5360.5558507487021</v>
      </c>
    </row>
    <row r="129" spans="1:36" x14ac:dyDescent="0.25">
      <c r="A129">
        <v>128</v>
      </c>
      <c r="B129" t="s">
        <v>1287</v>
      </c>
      <c r="C129" t="s">
        <v>376</v>
      </c>
      <c r="D129" t="s">
        <v>1023</v>
      </c>
      <c r="E129" t="s">
        <v>37</v>
      </c>
      <c r="F129" t="s">
        <v>38</v>
      </c>
      <c r="G129" s="2">
        <v>45867</v>
      </c>
      <c r="H129">
        <v>2</v>
      </c>
      <c r="I129" t="s">
        <v>72</v>
      </c>
      <c r="J129" t="s">
        <v>1024</v>
      </c>
      <c r="K129" t="s">
        <v>1025</v>
      </c>
      <c r="L129" t="s">
        <v>1026</v>
      </c>
      <c r="M129" t="s">
        <v>1027</v>
      </c>
      <c r="N129" t="s">
        <v>1257</v>
      </c>
      <c r="O129" t="s">
        <v>62</v>
      </c>
      <c r="P129" t="s">
        <v>63</v>
      </c>
      <c r="Q129">
        <v>1.9879390475379799</v>
      </c>
      <c r="R129" t="s">
        <v>64</v>
      </c>
      <c r="S129" t="s">
        <v>65</v>
      </c>
      <c r="T129" t="s">
        <v>1249</v>
      </c>
      <c r="V129" t="s">
        <v>75</v>
      </c>
      <c r="X129" t="s">
        <v>1258</v>
      </c>
      <c r="Y129" t="s">
        <v>1075</v>
      </c>
      <c r="Z129" t="s">
        <v>719</v>
      </c>
      <c r="AA129" t="s">
        <v>942</v>
      </c>
      <c r="AB129" t="s">
        <v>453</v>
      </c>
      <c r="AC129" t="s">
        <v>57</v>
      </c>
      <c r="AD129" t="s">
        <v>1230</v>
      </c>
      <c r="AE129" t="s">
        <v>1288</v>
      </c>
      <c r="AI129">
        <v>351.95109040447971</v>
      </c>
      <c r="AJ129">
        <v>8044.9360815809587</v>
      </c>
    </row>
    <row r="130" spans="1:36" x14ac:dyDescent="0.25">
      <c r="A130">
        <v>129</v>
      </c>
      <c r="B130" t="s">
        <v>1289</v>
      </c>
      <c r="C130" t="s">
        <v>376</v>
      </c>
      <c r="D130" t="s">
        <v>1023</v>
      </c>
      <c r="E130" t="s">
        <v>37</v>
      </c>
      <c r="F130" t="s">
        <v>38</v>
      </c>
      <c r="G130" s="2">
        <v>45867</v>
      </c>
      <c r="H130">
        <v>1.2</v>
      </c>
      <c r="I130" t="s">
        <v>72</v>
      </c>
      <c r="J130" t="s">
        <v>1024</v>
      </c>
      <c r="K130" t="s">
        <v>1025</v>
      </c>
      <c r="L130" t="s">
        <v>1026</v>
      </c>
      <c r="M130" t="s">
        <v>1027</v>
      </c>
      <c r="N130" t="s">
        <v>1257</v>
      </c>
      <c r="O130" t="s">
        <v>62</v>
      </c>
      <c r="P130" t="s">
        <v>63</v>
      </c>
      <c r="Q130">
        <v>1.1466588436791889</v>
      </c>
      <c r="R130" t="s">
        <v>64</v>
      </c>
      <c r="S130" t="s">
        <v>65</v>
      </c>
      <c r="T130" t="s">
        <v>1249</v>
      </c>
      <c r="V130" t="s">
        <v>75</v>
      </c>
      <c r="X130" t="s">
        <v>1258</v>
      </c>
      <c r="Y130" t="s">
        <v>1075</v>
      </c>
      <c r="Z130" t="s">
        <v>719</v>
      </c>
      <c r="AA130" t="s">
        <v>942</v>
      </c>
      <c r="AB130" t="s">
        <v>453</v>
      </c>
      <c r="AC130" t="s">
        <v>57</v>
      </c>
      <c r="AD130" t="s">
        <v>1230</v>
      </c>
      <c r="AE130" t="s">
        <v>1288</v>
      </c>
      <c r="AI130">
        <v>292.43158111143828</v>
      </c>
      <c r="AJ130">
        <v>4640.3822673553914</v>
      </c>
    </row>
    <row r="131" spans="1:36" x14ac:dyDescent="0.25">
      <c r="A131">
        <v>130</v>
      </c>
      <c r="B131" t="s">
        <v>1290</v>
      </c>
      <c r="C131" t="s">
        <v>376</v>
      </c>
      <c r="D131" t="s">
        <v>1023</v>
      </c>
      <c r="E131" t="s">
        <v>37</v>
      </c>
      <c r="F131" t="s">
        <v>38</v>
      </c>
      <c r="G131" s="2">
        <v>45867</v>
      </c>
      <c r="H131">
        <v>1.3</v>
      </c>
      <c r="I131" t="s">
        <v>72</v>
      </c>
      <c r="J131" t="s">
        <v>1024</v>
      </c>
      <c r="K131" t="s">
        <v>1025</v>
      </c>
      <c r="L131" t="s">
        <v>1026</v>
      </c>
      <c r="M131" t="s">
        <v>1027</v>
      </c>
      <c r="N131" t="s">
        <v>1257</v>
      </c>
      <c r="O131" t="s">
        <v>62</v>
      </c>
      <c r="P131" t="s">
        <v>63</v>
      </c>
      <c r="Q131">
        <v>1.2614696958190801</v>
      </c>
      <c r="R131" t="s">
        <v>64</v>
      </c>
      <c r="S131" t="s">
        <v>65</v>
      </c>
      <c r="T131" t="s">
        <v>1249</v>
      </c>
      <c r="V131" t="s">
        <v>75</v>
      </c>
      <c r="X131" t="s">
        <v>1258</v>
      </c>
      <c r="Y131" t="s">
        <v>1075</v>
      </c>
      <c r="Z131" t="s">
        <v>719</v>
      </c>
      <c r="AA131" t="s">
        <v>942</v>
      </c>
      <c r="AB131" t="s">
        <v>453</v>
      </c>
      <c r="AC131" t="s">
        <v>57</v>
      </c>
      <c r="AD131" t="s">
        <v>1230</v>
      </c>
      <c r="AE131" t="s">
        <v>1288</v>
      </c>
      <c r="AI131">
        <v>303.95875340924482</v>
      </c>
      <c r="AJ131">
        <v>5105.0071601966374</v>
      </c>
    </row>
    <row r="132" spans="1:36" x14ac:dyDescent="0.25">
      <c r="A132">
        <v>131</v>
      </c>
      <c r="B132" t="s">
        <v>1291</v>
      </c>
      <c r="C132" t="s">
        <v>376</v>
      </c>
      <c r="D132" t="s">
        <v>1023</v>
      </c>
      <c r="E132" t="s">
        <v>37</v>
      </c>
      <c r="F132" t="s">
        <v>38</v>
      </c>
      <c r="G132" s="2">
        <v>45867</v>
      </c>
      <c r="H132">
        <v>3.1</v>
      </c>
      <c r="I132" t="s">
        <v>72</v>
      </c>
      <c r="J132" t="s">
        <v>1024</v>
      </c>
      <c r="K132" t="s">
        <v>1025</v>
      </c>
      <c r="L132" t="s">
        <v>1026</v>
      </c>
      <c r="M132" t="s">
        <v>1027</v>
      </c>
      <c r="N132" t="s">
        <v>1257</v>
      </c>
      <c r="O132" t="s">
        <v>62</v>
      </c>
      <c r="P132" t="s">
        <v>63</v>
      </c>
      <c r="Q132">
        <v>3.1033081325161449</v>
      </c>
      <c r="R132" t="s">
        <v>64</v>
      </c>
      <c r="S132" t="s">
        <v>65</v>
      </c>
      <c r="T132" t="s">
        <v>1249</v>
      </c>
      <c r="V132" t="s">
        <v>75</v>
      </c>
      <c r="X132" t="s">
        <v>1258</v>
      </c>
      <c r="Y132" t="s">
        <v>1075</v>
      </c>
      <c r="Z132" t="s">
        <v>719</v>
      </c>
      <c r="AA132" t="s">
        <v>942</v>
      </c>
      <c r="AB132" t="s">
        <v>453</v>
      </c>
      <c r="AC132" t="s">
        <v>57</v>
      </c>
      <c r="AD132" t="s">
        <v>1230</v>
      </c>
      <c r="AE132" t="s">
        <v>1292</v>
      </c>
      <c r="AI132">
        <v>444.94409902457971</v>
      </c>
      <c r="AJ132">
        <v>12558.692681479601</v>
      </c>
    </row>
    <row r="133" spans="1:36" x14ac:dyDescent="0.25">
      <c r="A133">
        <v>132</v>
      </c>
      <c r="B133" t="s">
        <v>1293</v>
      </c>
      <c r="C133" t="s">
        <v>376</v>
      </c>
      <c r="D133" t="s">
        <v>1023</v>
      </c>
      <c r="E133" t="s">
        <v>37</v>
      </c>
      <c r="F133" t="s">
        <v>38</v>
      </c>
      <c r="G133" s="2">
        <v>45867</v>
      </c>
      <c r="H133">
        <v>0.4</v>
      </c>
      <c r="I133" t="s">
        <v>72</v>
      </c>
      <c r="J133" t="s">
        <v>1024</v>
      </c>
      <c r="K133" t="s">
        <v>1025</v>
      </c>
      <c r="L133" t="s">
        <v>1026</v>
      </c>
      <c r="M133" t="s">
        <v>1027</v>
      </c>
      <c r="N133" t="s">
        <v>1257</v>
      </c>
      <c r="O133" t="s">
        <v>62</v>
      </c>
      <c r="P133" t="s">
        <v>63</v>
      </c>
      <c r="Q133">
        <v>0.50602181970585947</v>
      </c>
      <c r="R133" t="s">
        <v>64</v>
      </c>
      <c r="S133" t="s">
        <v>65</v>
      </c>
      <c r="T133" t="s">
        <v>1249</v>
      </c>
      <c r="V133" t="s">
        <v>75</v>
      </c>
      <c r="X133" t="s">
        <v>1258</v>
      </c>
      <c r="Y133" t="s">
        <v>1075</v>
      </c>
      <c r="Z133" t="s">
        <v>719</v>
      </c>
      <c r="AA133" t="s">
        <v>942</v>
      </c>
      <c r="AB133" t="s">
        <v>453</v>
      </c>
      <c r="AC133" t="s">
        <v>57</v>
      </c>
      <c r="AD133" t="s">
        <v>1230</v>
      </c>
      <c r="AE133" t="s">
        <v>1294</v>
      </c>
      <c r="AI133">
        <v>191.63133545567479</v>
      </c>
      <c r="AJ133">
        <v>2047.80584216637</v>
      </c>
    </row>
    <row r="134" spans="1:36" x14ac:dyDescent="0.25">
      <c r="A134">
        <v>133</v>
      </c>
      <c r="B134" t="s">
        <v>1295</v>
      </c>
      <c r="C134" t="s">
        <v>376</v>
      </c>
      <c r="D134" t="s">
        <v>1023</v>
      </c>
      <c r="E134" t="s">
        <v>37</v>
      </c>
      <c r="F134" t="s">
        <v>38</v>
      </c>
      <c r="G134" s="2">
        <v>45867</v>
      </c>
      <c r="H134">
        <v>2.2000000000000002</v>
      </c>
      <c r="I134" t="s">
        <v>72</v>
      </c>
      <c r="J134" t="s">
        <v>1024</v>
      </c>
      <c r="K134" t="s">
        <v>1025</v>
      </c>
      <c r="L134" t="s">
        <v>1026</v>
      </c>
      <c r="M134" t="s">
        <v>1027</v>
      </c>
      <c r="N134" t="s">
        <v>1257</v>
      </c>
      <c r="O134" t="s">
        <v>62</v>
      </c>
      <c r="P134" t="s">
        <v>63</v>
      </c>
      <c r="Q134">
        <v>2.265438512596806</v>
      </c>
      <c r="R134" t="s">
        <v>64</v>
      </c>
      <c r="S134" t="s">
        <v>65</v>
      </c>
      <c r="T134" t="s">
        <v>1249</v>
      </c>
      <c r="V134" t="s">
        <v>75</v>
      </c>
      <c r="X134" t="s">
        <v>1258</v>
      </c>
      <c r="Y134" t="s">
        <v>1075</v>
      </c>
      <c r="Z134" t="s">
        <v>719</v>
      </c>
      <c r="AA134" t="s">
        <v>942</v>
      </c>
      <c r="AB134" t="s">
        <v>453</v>
      </c>
      <c r="AC134" t="s">
        <v>57</v>
      </c>
      <c r="AD134" t="s">
        <v>1230</v>
      </c>
      <c r="AE134" t="s">
        <v>1288</v>
      </c>
      <c r="AI134">
        <v>412.09594200036543</v>
      </c>
      <c r="AJ134">
        <v>9167.9410659822788</v>
      </c>
    </row>
    <row r="135" spans="1:36" x14ac:dyDescent="0.25">
      <c r="A135">
        <v>134</v>
      </c>
      <c r="B135" t="s">
        <v>1296</v>
      </c>
      <c r="C135" t="s">
        <v>376</v>
      </c>
      <c r="D135" t="s">
        <v>1023</v>
      </c>
      <c r="E135" t="s">
        <v>37</v>
      </c>
      <c r="F135" t="s">
        <v>38</v>
      </c>
      <c r="G135" s="2">
        <v>45867</v>
      </c>
      <c r="H135">
        <v>0.7</v>
      </c>
      <c r="I135" t="s">
        <v>72</v>
      </c>
      <c r="J135" t="s">
        <v>1024</v>
      </c>
      <c r="K135" t="s">
        <v>1025</v>
      </c>
      <c r="L135" t="s">
        <v>1026</v>
      </c>
      <c r="M135" t="s">
        <v>1027</v>
      </c>
      <c r="N135" t="s">
        <v>1257</v>
      </c>
      <c r="O135" t="s">
        <v>62</v>
      </c>
      <c r="P135" t="s">
        <v>63</v>
      </c>
      <c r="Q135">
        <v>0.68680134447358698</v>
      </c>
      <c r="R135" t="s">
        <v>64</v>
      </c>
      <c r="S135" t="s">
        <v>65</v>
      </c>
      <c r="T135" t="s">
        <v>1249</v>
      </c>
      <c r="V135" t="s">
        <v>75</v>
      </c>
      <c r="X135" t="s">
        <v>1258</v>
      </c>
      <c r="Y135" t="s">
        <v>1075</v>
      </c>
      <c r="Z135" t="s">
        <v>719</v>
      </c>
      <c r="AA135" t="s">
        <v>942</v>
      </c>
      <c r="AB135" t="s">
        <v>453</v>
      </c>
      <c r="AC135" t="s">
        <v>57</v>
      </c>
      <c r="AD135" t="s">
        <v>1230</v>
      </c>
      <c r="AE135" t="s">
        <v>665</v>
      </c>
      <c r="AI135">
        <v>214.8990212720646</v>
      </c>
      <c r="AJ135">
        <v>2779.3975493749699</v>
      </c>
    </row>
    <row r="136" spans="1:36" x14ac:dyDescent="0.25">
      <c r="A136">
        <v>135</v>
      </c>
      <c r="B136" t="s">
        <v>1297</v>
      </c>
      <c r="C136" t="s">
        <v>376</v>
      </c>
      <c r="D136" t="s">
        <v>1023</v>
      </c>
      <c r="E136" t="s">
        <v>37</v>
      </c>
      <c r="F136" t="s">
        <v>38</v>
      </c>
      <c r="G136" s="2">
        <v>45867</v>
      </c>
      <c r="H136">
        <v>0.3</v>
      </c>
      <c r="I136" t="s">
        <v>72</v>
      </c>
      <c r="J136" t="s">
        <v>1024</v>
      </c>
      <c r="K136" t="s">
        <v>1025</v>
      </c>
      <c r="L136" t="s">
        <v>1026</v>
      </c>
      <c r="M136" t="s">
        <v>1027</v>
      </c>
      <c r="N136" t="s">
        <v>1257</v>
      </c>
      <c r="O136" t="s">
        <v>62</v>
      </c>
      <c r="P136" t="s">
        <v>63</v>
      </c>
      <c r="Q136">
        <v>0.29123838593409668</v>
      </c>
      <c r="R136" t="s">
        <v>64</v>
      </c>
      <c r="S136" t="s">
        <v>65</v>
      </c>
      <c r="T136" t="s">
        <v>1249</v>
      </c>
      <c r="V136" t="s">
        <v>75</v>
      </c>
      <c r="X136" t="s">
        <v>1258</v>
      </c>
      <c r="Y136" t="s">
        <v>1075</v>
      </c>
      <c r="Z136" t="s">
        <v>719</v>
      </c>
      <c r="AA136" t="s">
        <v>942</v>
      </c>
      <c r="AB136" t="s">
        <v>453</v>
      </c>
      <c r="AC136" t="s">
        <v>57</v>
      </c>
      <c r="AD136" t="s">
        <v>1230</v>
      </c>
      <c r="AE136" t="s">
        <v>1288</v>
      </c>
      <c r="AI136">
        <v>210.2936187576299</v>
      </c>
      <c r="AJ136">
        <v>1178.604646980682</v>
      </c>
    </row>
    <row r="137" spans="1:36" x14ac:dyDescent="0.25">
      <c r="A137">
        <v>136</v>
      </c>
      <c r="B137" t="s">
        <v>1298</v>
      </c>
      <c r="C137" t="s">
        <v>376</v>
      </c>
      <c r="D137" t="s">
        <v>1023</v>
      </c>
      <c r="E137" t="s">
        <v>37</v>
      </c>
      <c r="F137" t="s">
        <v>38</v>
      </c>
      <c r="G137" s="2">
        <v>45867</v>
      </c>
      <c r="H137">
        <v>0.4</v>
      </c>
      <c r="I137" t="s">
        <v>72</v>
      </c>
      <c r="J137" t="s">
        <v>1024</v>
      </c>
      <c r="K137" t="s">
        <v>1025</v>
      </c>
      <c r="L137" t="s">
        <v>1026</v>
      </c>
      <c r="M137" t="s">
        <v>1027</v>
      </c>
      <c r="N137" t="s">
        <v>1257</v>
      </c>
      <c r="O137" t="s">
        <v>62</v>
      </c>
      <c r="P137" t="s">
        <v>63</v>
      </c>
      <c r="Q137">
        <v>0.41643875730512098</v>
      </c>
      <c r="R137" t="s">
        <v>64</v>
      </c>
      <c r="S137" t="s">
        <v>65</v>
      </c>
      <c r="T137" t="s">
        <v>1299</v>
      </c>
      <c r="V137" t="s">
        <v>75</v>
      </c>
      <c r="X137" t="s">
        <v>1300</v>
      </c>
      <c r="Y137" t="s">
        <v>1075</v>
      </c>
      <c r="Z137" t="s">
        <v>719</v>
      </c>
      <c r="AA137" t="s">
        <v>942</v>
      </c>
      <c r="AB137" t="s">
        <v>453</v>
      </c>
      <c r="AC137" t="s">
        <v>57</v>
      </c>
      <c r="AD137" t="s">
        <v>93</v>
      </c>
      <c r="AE137" t="s">
        <v>1301</v>
      </c>
      <c r="AI137">
        <v>165.69015120285209</v>
      </c>
      <c r="AJ137">
        <v>1685.274600628165</v>
      </c>
    </row>
    <row r="138" spans="1:36" x14ac:dyDescent="0.25">
      <c r="A138">
        <v>137</v>
      </c>
      <c r="B138" t="s">
        <v>1302</v>
      </c>
      <c r="C138" t="s">
        <v>376</v>
      </c>
      <c r="D138" t="s">
        <v>1023</v>
      </c>
      <c r="E138" t="s">
        <v>37</v>
      </c>
      <c r="F138" t="s">
        <v>38</v>
      </c>
      <c r="G138" s="2">
        <v>45867</v>
      </c>
      <c r="H138">
        <v>0.4</v>
      </c>
      <c r="I138" t="s">
        <v>72</v>
      </c>
      <c r="J138" t="s">
        <v>1024</v>
      </c>
      <c r="K138" t="s">
        <v>1025</v>
      </c>
      <c r="L138" t="s">
        <v>1026</v>
      </c>
      <c r="M138" t="s">
        <v>1027</v>
      </c>
      <c r="N138" t="s">
        <v>1257</v>
      </c>
      <c r="O138" t="s">
        <v>62</v>
      </c>
      <c r="P138" t="s">
        <v>63</v>
      </c>
      <c r="Q138">
        <v>0.46613551100159922</v>
      </c>
      <c r="R138" t="s">
        <v>64</v>
      </c>
      <c r="S138" t="s">
        <v>65</v>
      </c>
      <c r="T138" t="s">
        <v>1299</v>
      </c>
      <c r="V138" t="s">
        <v>75</v>
      </c>
      <c r="X138" t="s">
        <v>1300</v>
      </c>
      <c r="Y138" t="s">
        <v>1075</v>
      </c>
      <c r="Z138" t="s">
        <v>719</v>
      </c>
      <c r="AA138" t="s">
        <v>942</v>
      </c>
      <c r="AB138" t="s">
        <v>453</v>
      </c>
      <c r="AC138" t="s">
        <v>57</v>
      </c>
      <c r="AD138" t="s">
        <v>93</v>
      </c>
      <c r="AE138" t="s">
        <v>1301</v>
      </c>
      <c r="AI138">
        <v>184.92225843308279</v>
      </c>
      <c r="AJ138">
        <v>1886.39103196211</v>
      </c>
    </row>
    <row r="139" spans="1:36" x14ac:dyDescent="0.25">
      <c r="A139">
        <v>138</v>
      </c>
      <c r="B139" t="s">
        <v>1303</v>
      </c>
      <c r="C139" t="s">
        <v>376</v>
      </c>
      <c r="D139" t="s">
        <v>1023</v>
      </c>
      <c r="E139" t="s">
        <v>37</v>
      </c>
      <c r="F139" t="s">
        <v>38</v>
      </c>
      <c r="G139" s="2">
        <v>45867</v>
      </c>
      <c r="H139">
        <v>1.2</v>
      </c>
      <c r="I139" t="s">
        <v>72</v>
      </c>
      <c r="J139" t="s">
        <v>1024</v>
      </c>
      <c r="K139" t="s">
        <v>1025</v>
      </c>
      <c r="L139" t="s">
        <v>1026</v>
      </c>
      <c r="M139" t="s">
        <v>1027</v>
      </c>
      <c r="N139" t="s">
        <v>1257</v>
      </c>
      <c r="O139" t="s">
        <v>62</v>
      </c>
      <c r="P139" t="s">
        <v>63</v>
      </c>
      <c r="Q139">
        <v>1.263154650036985</v>
      </c>
      <c r="R139" t="s">
        <v>64</v>
      </c>
      <c r="S139" t="s">
        <v>65</v>
      </c>
      <c r="T139" t="s">
        <v>1299</v>
      </c>
      <c r="V139" t="s">
        <v>75</v>
      </c>
      <c r="X139" t="s">
        <v>1300</v>
      </c>
      <c r="Y139" t="s">
        <v>1075</v>
      </c>
      <c r="Z139" t="s">
        <v>719</v>
      </c>
      <c r="AA139" t="s">
        <v>942</v>
      </c>
      <c r="AB139" t="s">
        <v>453</v>
      </c>
      <c r="AC139" t="s">
        <v>57</v>
      </c>
      <c r="AD139" t="s">
        <v>93</v>
      </c>
      <c r="AE139" t="s">
        <v>1304</v>
      </c>
      <c r="AI139">
        <v>287.30798874781863</v>
      </c>
      <c r="AJ139">
        <v>5111.8259552699701</v>
      </c>
    </row>
    <row r="140" spans="1:36" x14ac:dyDescent="0.25">
      <c r="A140">
        <v>139</v>
      </c>
      <c r="B140" t="s">
        <v>1305</v>
      </c>
      <c r="C140" t="s">
        <v>376</v>
      </c>
      <c r="D140" t="s">
        <v>1023</v>
      </c>
      <c r="E140" t="s">
        <v>37</v>
      </c>
      <c r="F140" t="s">
        <v>38</v>
      </c>
      <c r="G140" s="2">
        <v>45867</v>
      </c>
      <c r="H140">
        <v>1.7</v>
      </c>
      <c r="I140" t="s">
        <v>72</v>
      </c>
      <c r="J140" t="s">
        <v>1024</v>
      </c>
      <c r="K140" t="s">
        <v>1025</v>
      </c>
      <c r="L140" t="s">
        <v>1026</v>
      </c>
      <c r="M140" t="s">
        <v>1027</v>
      </c>
      <c r="N140" t="s">
        <v>1257</v>
      </c>
      <c r="O140" t="s">
        <v>62</v>
      </c>
      <c r="P140" t="s">
        <v>63</v>
      </c>
      <c r="Q140">
        <v>1.584277552771167</v>
      </c>
      <c r="R140" t="s">
        <v>64</v>
      </c>
      <c r="S140" t="s">
        <v>65</v>
      </c>
      <c r="T140" t="s">
        <v>1249</v>
      </c>
      <c r="V140" t="s">
        <v>75</v>
      </c>
      <c r="X140" t="s">
        <v>1258</v>
      </c>
      <c r="Y140" t="s">
        <v>1075</v>
      </c>
      <c r="Z140" t="s">
        <v>719</v>
      </c>
      <c r="AA140" t="s">
        <v>942</v>
      </c>
      <c r="AB140" t="s">
        <v>453</v>
      </c>
      <c r="AC140" t="s">
        <v>57</v>
      </c>
      <c r="AD140" t="s">
        <v>1230</v>
      </c>
      <c r="AE140" t="s">
        <v>1288</v>
      </c>
      <c r="AI140">
        <v>339.66904421922072</v>
      </c>
      <c r="AJ140">
        <v>6411.3694347482451</v>
      </c>
    </row>
    <row r="141" spans="1:36" x14ac:dyDescent="0.25">
      <c r="A141">
        <v>140</v>
      </c>
      <c r="B141" t="s">
        <v>1306</v>
      </c>
      <c r="C141" t="s">
        <v>376</v>
      </c>
      <c r="D141" t="s">
        <v>1023</v>
      </c>
      <c r="E141" t="s">
        <v>37</v>
      </c>
      <c r="F141" t="s">
        <v>38</v>
      </c>
      <c r="G141" s="2">
        <v>45867</v>
      </c>
      <c r="H141">
        <v>0.9</v>
      </c>
      <c r="I141" t="s">
        <v>72</v>
      </c>
      <c r="J141" t="s">
        <v>1024</v>
      </c>
      <c r="K141" t="s">
        <v>1025</v>
      </c>
      <c r="L141" t="s">
        <v>1026</v>
      </c>
      <c r="M141" t="s">
        <v>1027</v>
      </c>
      <c r="N141" t="s">
        <v>1257</v>
      </c>
      <c r="O141" t="s">
        <v>62</v>
      </c>
      <c r="P141" t="s">
        <v>63</v>
      </c>
      <c r="Q141">
        <v>0.91720706873350721</v>
      </c>
      <c r="R141" t="s">
        <v>64</v>
      </c>
      <c r="S141" t="s">
        <v>65</v>
      </c>
      <c r="T141" t="s">
        <v>1249</v>
      </c>
      <c r="V141" t="s">
        <v>75</v>
      </c>
      <c r="X141" t="s">
        <v>1258</v>
      </c>
      <c r="Y141" t="s">
        <v>1075</v>
      </c>
      <c r="Z141" t="s">
        <v>719</v>
      </c>
      <c r="AA141" t="s">
        <v>942</v>
      </c>
      <c r="AB141" t="s">
        <v>453</v>
      </c>
      <c r="AC141" t="s">
        <v>57</v>
      </c>
      <c r="AD141" t="s">
        <v>1230</v>
      </c>
      <c r="AE141" t="s">
        <v>1288</v>
      </c>
      <c r="AI141">
        <v>247.40865785728829</v>
      </c>
      <c r="AJ141">
        <v>3711.820164040681</v>
      </c>
    </row>
    <row r="142" spans="1:36" x14ac:dyDescent="0.25">
      <c r="A142">
        <v>141</v>
      </c>
      <c r="B142" t="s">
        <v>1307</v>
      </c>
      <c r="C142" t="s">
        <v>376</v>
      </c>
      <c r="D142" t="s">
        <v>1023</v>
      </c>
      <c r="E142" t="s">
        <v>37</v>
      </c>
      <c r="F142" t="s">
        <v>38</v>
      </c>
      <c r="G142" s="2">
        <v>45867</v>
      </c>
      <c r="H142">
        <v>3.1</v>
      </c>
      <c r="I142" t="s">
        <v>72</v>
      </c>
      <c r="J142" t="s">
        <v>1024</v>
      </c>
      <c r="K142" t="s">
        <v>1025</v>
      </c>
      <c r="L142" t="s">
        <v>1026</v>
      </c>
      <c r="M142" t="s">
        <v>1027</v>
      </c>
      <c r="N142" t="s">
        <v>1257</v>
      </c>
      <c r="O142" t="s">
        <v>62</v>
      </c>
      <c r="P142" t="s">
        <v>63</v>
      </c>
      <c r="Q142">
        <v>3.1857389175909541</v>
      </c>
      <c r="R142" t="s">
        <v>64</v>
      </c>
      <c r="S142" t="s">
        <v>65</v>
      </c>
      <c r="T142" t="s">
        <v>1308</v>
      </c>
      <c r="V142" t="s">
        <v>75</v>
      </c>
      <c r="X142" t="s">
        <v>1309</v>
      </c>
      <c r="Y142" t="s">
        <v>1075</v>
      </c>
      <c r="Z142" t="s">
        <v>719</v>
      </c>
      <c r="AA142" t="s">
        <v>942</v>
      </c>
      <c r="AB142" t="s">
        <v>453</v>
      </c>
      <c r="AC142" t="s">
        <v>57</v>
      </c>
      <c r="AD142" t="s">
        <v>93</v>
      </c>
      <c r="AE142" t="s">
        <v>1310</v>
      </c>
      <c r="AI142">
        <v>483.89618495827568</v>
      </c>
      <c r="AJ142">
        <v>12892.279567809281</v>
      </c>
    </row>
    <row r="143" spans="1:36" x14ac:dyDescent="0.25">
      <c r="A143">
        <v>142</v>
      </c>
      <c r="B143" t="s">
        <v>1311</v>
      </c>
      <c r="C143" t="s">
        <v>376</v>
      </c>
      <c r="D143" t="s">
        <v>1023</v>
      </c>
      <c r="E143" t="s">
        <v>37</v>
      </c>
      <c r="F143" t="s">
        <v>38</v>
      </c>
      <c r="G143" s="2">
        <v>45867</v>
      </c>
      <c r="H143">
        <v>2.7</v>
      </c>
      <c r="I143" t="s">
        <v>72</v>
      </c>
      <c r="J143" t="s">
        <v>1024</v>
      </c>
      <c r="K143" t="s">
        <v>1025</v>
      </c>
      <c r="L143" t="s">
        <v>1026</v>
      </c>
      <c r="M143" t="s">
        <v>1027</v>
      </c>
      <c r="N143" t="s">
        <v>1257</v>
      </c>
      <c r="O143" t="s">
        <v>62</v>
      </c>
      <c r="P143" t="s">
        <v>63</v>
      </c>
      <c r="Q143">
        <v>2.632294386450762</v>
      </c>
      <c r="R143" t="s">
        <v>64</v>
      </c>
      <c r="S143" t="s">
        <v>65</v>
      </c>
      <c r="T143" t="s">
        <v>1308</v>
      </c>
      <c r="V143" t="s">
        <v>75</v>
      </c>
      <c r="X143" t="s">
        <v>1309</v>
      </c>
      <c r="Y143" t="s">
        <v>1075</v>
      </c>
      <c r="Z143" t="s">
        <v>719</v>
      </c>
      <c r="AA143" t="s">
        <v>576</v>
      </c>
      <c r="AB143" t="s">
        <v>453</v>
      </c>
      <c r="AC143" t="s">
        <v>57</v>
      </c>
      <c r="AD143" t="s">
        <v>93</v>
      </c>
      <c r="AE143" t="s">
        <v>1310</v>
      </c>
      <c r="AI143">
        <v>471.58434993269071</v>
      </c>
      <c r="AJ143">
        <v>10652.560053653329</v>
      </c>
    </row>
    <row r="144" spans="1:36" x14ac:dyDescent="0.25">
      <c r="A144">
        <v>143</v>
      </c>
      <c r="B144" t="s">
        <v>1312</v>
      </c>
      <c r="C144" t="s">
        <v>376</v>
      </c>
      <c r="D144" t="s">
        <v>1023</v>
      </c>
      <c r="E144" t="s">
        <v>37</v>
      </c>
      <c r="F144" t="s">
        <v>38</v>
      </c>
      <c r="G144" s="2">
        <v>45867</v>
      </c>
      <c r="H144">
        <v>0.1</v>
      </c>
      <c r="I144" t="s">
        <v>72</v>
      </c>
      <c r="J144" t="s">
        <v>1024</v>
      </c>
      <c r="K144" t="s">
        <v>1025</v>
      </c>
      <c r="L144" t="s">
        <v>1026</v>
      </c>
      <c r="M144" t="s">
        <v>1027</v>
      </c>
      <c r="O144" t="s">
        <v>62</v>
      </c>
      <c r="P144" t="s">
        <v>63</v>
      </c>
      <c r="Q144">
        <v>9.536606275798544E-2</v>
      </c>
      <c r="R144" t="s">
        <v>64</v>
      </c>
      <c r="S144" t="s">
        <v>65</v>
      </c>
      <c r="T144" t="s">
        <v>1313</v>
      </c>
      <c r="V144" t="s">
        <v>75</v>
      </c>
      <c r="X144" t="s">
        <v>1314</v>
      </c>
      <c r="Y144" t="s">
        <v>1075</v>
      </c>
      <c r="Z144" t="s">
        <v>719</v>
      </c>
      <c r="AA144" t="s">
        <v>576</v>
      </c>
      <c r="AB144" t="s">
        <v>453</v>
      </c>
      <c r="AC144" t="s">
        <v>57</v>
      </c>
      <c r="AD144" t="s">
        <v>93</v>
      </c>
      <c r="AE144" t="s">
        <v>1315</v>
      </c>
      <c r="AI144">
        <v>80.877900495672037</v>
      </c>
      <c r="AJ144">
        <v>385.93430728684018</v>
      </c>
    </row>
    <row r="145" spans="1:36" hidden="1" x14ac:dyDescent="0.25">
      <c r="A145">
        <v>144</v>
      </c>
      <c r="B145" t="s">
        <v>1316</v>
      </c>
      <c r="C145" t="s">
        <v>376</v>
      </c>
      <c r="D145" t="s">
        <v>1023</v>
      </c>
      <c r="E145" t="s">
        <v>37</v>
      </c>
      <c r="F145" t="s">
        <v>38</v>
      </c>
      <c r="G145" s="2">
        <v>45867</v>
      </c>
      <c r="H145">
        <v>0.8</v>
      </c>
      <c r="I145" t="s">
        <v>72</v>
      </c>
      <c r="J145" t="s">
        <v>1024</v>
      </c>
      <c r="K145" t="s">
        <v>1025</v>
      </c>
      <c r="L145" t="s">
        <v>1026</v>
      </c>
      <c r="M145" t="s">
        <v>1027</v>
      </c>
      <c r="O145" t="s">
        <v>79</v>
      </c>
      <c r="P145" t="s">
        <v>80</v>
      </c>
      <c r="Q145">
        <v>0.78045728582789675</v>
      </c>
      <c r="R145" t="s">
        <v>60</v>
      </c>
      <c r="S145" t="s">
        <v>66</v>
      </c>
      <c r="T145" t="s">
        <v>1313</v>
      </c>
      <c r="V145" t="s">
        <v>75</v>
      </c>
      <c r="X145" t="s">
        <v>1314</v>
      </c>
      <c r="Y145" t="s">
        <v>1075</v>
      </c>
      <c r="Z145" t="s">
        <v>719</v>
      </c>
      <c r="AA145" t="s">
        <v>576</v>
      </c>
      <c r="AB145" t="s">
        <v>453</v>
      </c>
      <c r="AC145" t="s">
        <v>57</v>
      </c>
      <c r="AD145" t="s">
        <v>93</v>
      </c>
      <c r="AE145" t="s">
        <v>1315</v>
      </c>
      <c r="AI145">
        <v>282.37317577986443</v>
      </c>
      <c r="AJ145">
        <v>3158.411213193715</v>
      </c>
    </row>
    <row r="146" spans="1:36" hidden="1" x14ac:dyDescent="0.25">
      <c r="A146">
        <v>145</v>
      </c>
      <c r="B146" t="s">
        <v>1317</v>
      </c>
      <c r="C146" t="s">
        <v>376</v>
      </c>
      <c r="D146" t="s">
        <v>1023</v>
      </c>
      <c r="E146" t="s">
        <v>37</v>
      </c>
      <c r="G146" s="2">
        <v>45867</v>
      </c>
      <c r="H146">
        <v>0.6</v>
      </c>
      <c r="I146" t="s">
        <v>72</v>
      </c>
      <c r="J146" t="s">
        <v>1024</v>
      </c>
      <c r="K146" t="s">
        <v>1025</v>
      </c>
      <c r="L146" t="s">
        <v>1026</v>
      </c>
      <c r="M146" t="s">
        <v>1027</v>
      </c>
      <c r="O146" t="s">
        <v>79</v>
      </c>
      <c r="P146" t="s">
        <v>80</v>
      </c>
      <c r="Q146">
        <v>0.55632445081773452</v>
      </c>
      <c r="R146" t="s">
        <v>60</v>
      </c>
      <c r="S146" t="s">
        <v>66</v>
      </c>
      <c r="T146" t="s">
        <v>1313</v>
      </c>
      <c r="V146" t="s">
        <v>75</v>
      </c>
      <c r="X146" t="s">
        <v>1314</v>
      </c>
      <c r="Y146" t="s">
        <v>1075</v>
      </c>
      <c r="Z146" t="s">
        <v>719</v>
      </c>
      <c r="AA146" t="s">
        <v>576</v>
      </c>
      <c r="AC146" t="s">
        <v>57</v>
      </c>
      <c r="AD146" t="s">
        <v>93</v>
      </c>
      <c r="AE146" t="s">
        <v>1315</v>
      </c>
      <c r="AI146">
        <v>279.38056645432448</v>
      </c>
      <c r="AJ146">
        <v>2251.3741822176248</v>
      </c>
    </row>
    <row r="147" spans="1:36" x14ac:dyDescent="0.25">
      <c r="A147">
        <v>146</v>
      </c>
      <c r="B147" t="s">
        <v>1318</v>
      </c>
      <c r="C147" t="s">
        <v>376</v>
      </c>
      <c r="D147" t="s">
        <v>1023</v>
      </c>
      <c r="E147" t="s">
        <v>37</v>
      </c>
      <c r="F147" t="s">
        <v>38</v>
      </c>
      <c r="G147" s="2">
        <v>45867</v>
      </c>
      <c r="H147">
        <v>2.2999999999999998</v>
      </c>
      <c r="I147" t="s">
        <v>72</v>
      </c>
      <c r="J147" t="s">
        <v>1024</v>
      </c>
      <c r="K147" t="s">
        <v>1025</v>
      </c>
      <c r="L147" t="s">
        <v>1026</v>
      </c>
      <c r="M147" t="s">
        <v>1027</v>
      </c>
      <c r="O147" t="s">
        <v>62</v>
      </c>
      <c r="P147" t="s">
        <v>63</v>
      </c>
      <c r="Q147">
        <v>2.1665144919226589</v>
      </c>
      <c r="R147" t="s">
        <v>64</v>
      </c>
      <c r="S147" t="s">
        <v>65</v>
      </c>
      <c r="T147" t="s">
        <v>1313</v>
      </c>
      <c r="V147" t="s">
        <v>75</v>
      </c>
      <c r="X147" t="s">
        <v>1314</v>
      </c>
      <c r="Y147" t="s">
        <v>1075</v>
      </c>
      <c r="Z147" t="s">
        <v>719</v>
      </c>
      <c r="AA147" t="s">
        <v>576</v>
      </c>
      <c r="AB147" t="s">
        <v>453</v>
      </c>
      <c r="AC147" t="s">
        <v>57</v>
      </c>
      <c r="AD147" t="s">
        <v>93</v>
      </c>
      <c r="AE147" t="s">
        <v>1315</v>
      </c>
      <c r="AI147">
        <v>382.07105598884323</v>
      </c>
      <c r="AJ147">
        <v>8767.6081562574418</v>
      </c>
    </row>
    <row r="148" spans="1:36" hidden="1" x14ac:dyDescent="0.25">
      <c r="A148">
        <v>147</v>
      </c>
      <c r="B148" t="s">
        <v>1319</v>
      </c>
      <c r="C148" t="s">
        <v>376</v>
      </c>
      <c r="D148" t="s">
        <v>1023</v>
      </c>
      <c r="E148" t="s">
        <v>37</v>
      </c>
      <c r="F148" t="s">
        <v>38</v>
      </c>
      <c r="G148" s="2">
        <v>45867</v>
      </c>
      <c r="H148">
        <v>1.9</v>
      </c>
      <c r="I148" t="s">
        <v>72</v>
      </c>
      <c r="J148" t="s">
        <v>1024</v>
      </c>
      <c r="K148" t="s">
        <v>1025</v>
      </c>
      <c r="L148" t="s">
        <v>1026</v>
      </c>
      <c r="M148" t="s">
        <v>1027</v>
      </c>
      <c r="O148" t="s">
        <v>79</v>
      </c>
      <c r="P148" t="s">
        <v>80</v>
      </c>
      <c r="Q148">
        <v>4.058819673333887</v>
      </c>
      <c r="R148" t="s">
        <v>60</v>
      </c>
      <c r="S148" t="s">
        <v>66</v>
      </c>
      <c r="T148" t="s">
        <v>1313</v>
      </c>
      <c r="V148" t="s">
        <v>75</v>
      </c>
      <c r="X148" t="s">
        <v>1314</v>
      </c>
      <c r="Y148" t="s">
        <v>1075</v>
      </c>
      <c r="Z148" t="s">
        <v>719</v>
      </c>
      <c r="AA148" t="s">
        <v>576</v>
      </c>
      <c r="AB148" t="s">
        <v>453</v>
      </c>
      <c r="AC148" t="s">
        <v>57</v>
      </c>
      <c r="AD148" t="s">
        <v>93</v>
      </c>
      <c r="AE148" t="s">
        <v>1315</v>
      </c>
      <c r="AI148">
        <v>503.55216254969542</v>
      </c>
      <c r="AJ148">
        <v>16425.526164433661</v>
      </c>
    </row>
    <row r="149" spans="1:36" x14ac:dyDescent="0.25">
      <c r="A149">
        <v>148</v>
      </c>
      <c r="B149" t="s">
        <v>1320</v>
      </c>
      <c r="C149" t="s">
        <v>376</v>
      </c>
      <c r="D149" t="s">
        <v>1023</v>
      </c>
      <c r="E149" t="s">
        <v>37</v>
      </c>
      <c r="F149" t="s">
        <v>38</v>
      </c>
      <c r="G149" s="2">
        <v>45867</v>
      </c>
      <c r="H149">
        <v>1.1000000000000001</v>
      </c>
      <c r="I149" t="s">
        <v>72</v>
      </c>
      <c r="J149" t="s">
        <v>1024</v>
      </c>
      <c r="K149" t="s">
        <v>1025</v>
      </c>
      <c r="L149" t="s">
        <v>1026</v>
      </c>
      <c r="M149" t="s">
        <v>1027</v>
      </c>
      <c r="O149" t="s">
        <v>62</v>
      </c>
      <c r="P149" t="s">
        <v>63</v>
      </c>
      <c r="Q149">
        <v>1.106162011472416</v>
      </c>
      <c r="R149" t="s">
        <v>64</v>
      </c>
      <c r="S149" t="s">
        <v>65</v>
      </c>
      <c r="T149" t="s">
        <v>1313</v>
      </c>
      <c r="V149" t="s">
        <v>75</v>
      </c>
      <c r="X149" t="s">
        <v>1314</v>
      </c>
      <c r="Y149" t="s">
        <v>1075</v>
      </c>
      <c r="Z149" t="s">
        <v>719</v>
      </c>
      <c r="AA149" t="s">
        <v>576</v>
      </c>
      <c r="AB149" t="s">
        <v>453</v>
      </c>
      <c r="AC149" t="s">
        <v>57</v>
      </c>
      <c r="AD149" t="s">
        <v>93</v>
      </c>
      <c r="AE149" t="s">
        <v>1315</v>
      </c>
      <c r="AI149">
        <v>286.25771952826631</v>
      </c>
      <c r="AJ149">
        <v>4476.4967463111298</v>
      </c>
    </row>
    <row r="150" spans="1:36" x14ac:dyDescent="0.25">
      <c r="A150">
        <v>149</v>
      </c>
      <c r="B150" t="s">
        <v>1321</v>
      </c>
      <c r="C150" t="s">
        <v>376</v>
      </c>
      <c r="D150" t="s">
        <v>1023</v>
      </c>
      <c r="E150" t="s">
        <v>37</v>
      </c>
      <c r="F150" t="s">
        <v>38</v>
      </c>
      <c r="G150" s="2">
        <v>45867</v>
      </c>
      <c r="H150">
        <v>3.9</v>
      </c>
      <c r="I150" t="s">
        <v>72</v>
      </c>
      <c r="J150" t="s">
        <v>1024</v>
      </c>
      <c r="K150" t="s">
        <v>1025</v>
      </c>
      <c r="L150" t="s">
        <v>1026</v>
      </c>
      <c r="M150" t="s">
        <v>1027</v>
      </c>
      <c r="O150" t="s">
        <v>62</v>
      </c>
      <c r="P150" t="s">
        <v>63</v>
      </c>
      <c r="Q150">
        <v>3.943842687050255</v>
      </c>
      <c r="R150" t="s">
        <v>64</v>
      </c>
      <c r="S150" t="s">
        <v>65</v>
      </c>
      <c r="T150" t="s">
        <v>1313</v>
      </c>
      <c r="V150" t="s">
        <v>75</v>
      </c>
      <c r="X150" t="s">
        <v>1314</v>
      </c>
      <c r="Y150" t="s">
        <v>1075</v>
      </c>
      <c r="Z150" t="s">
        <v>719</v>
      </c>
      <c r="AA150" t="s">
        <v>576</v>
      </c>
      <c r="AB150" t="s">
        <v>453</v>
      </c>
      <c r="AC150" t="s">
        <v>57</v>
      </c>
      <c r="AD150" t="s">
        <v>93</v>
      </c>
      <c r="AE150" t="s">
        <v>1315</v>
      </c>
      <c r="AI150">
        <v>541.61426311367916</v>
      </c>
      <c r="AJ150">
        <v>15960.228947876551</v>
      </c>
    </row>
    <row r="151" spans="1:36" x14ac:dyDescent="0.25">
      <c r="A151">
        <v>150</v>
      </c>
      <c r="B151" t="s">
        <v>1322</v>
      </c>
      <c r="C151" t="s">
        <v>376</v>
      </c>
      <c r="D151" t="s">
        <v>1023</v>
      </c>
      <c r="E151" t="s">
        <v>37</v>
      </c>
      <c r="F151" t="s">
        <v>38</v>
      </c>
      <c r="G151" s="2">
        <v>45867</v>
      </c>
      <c r="H151">
        <v>2.6</v>
      </c>
      <c r="I151" t="s">
        <v>72</v>
      </c>
      <c r="J151" t="s">
        <v>1024</v>
      </c>
      <c r="K151" t="s">
        <v>1025</v>
      </c>
      <c r="L151" t="s">
        <v>1026</v>
      </c>
      <c r="M151" t="s">
        <v>1027</v>
      </c>
      <c r="O151" t="s">
        <v>62</v>
      </c>
      <c r="P151" t="s">
        <v>63</v>
      </c>
      <c r="Q151">
        <v>2.5789360166662179</v>
      </c>
      <c r="R151" t="s">
        <v>64</v>
      </c>
      <c r="S151" t="s">
        <v>65</v>
      </c>
      <c r="T151" t="s">
        <v>1313</v>
      </c>
      <c r="V151" t="s">
        <v>75</v>
      </c>
      <c r="X151" t="s">
        <v>1314</v>
      </c>
      <c r="Y151" t="s">
        <v>1075</v>
      </c>
      <c r="Z151" t="s">
        <v>719</v>
      </c>
      <c r="AA151" t="s">
        <v>576</v>
      </c>
      <c r="AB151" t="s">
        <v>453</v>
      </c>
      <c r="AC151" t="s">
        <v>57</v>
      </c>
      <c r="AD151" t="s">
        <v>93</v>
      </c>
      <c r="AE151" t="s">
        <v>1315</v>
      </c>
      <c r="AI151">
        <v>407.15703801868801</v>
      </c>
      <c r="AJ151">
        <v>10436.62552846472</v>
      </c>
    </row>
    <row r="152" spans="1:36" x14ac:dyDescent="0.25">
      <c r="A152">
        <v>151</v>
      </c>
      <c r="B152" t="s">
        <v>1323</v>
      </c>
      <c r="C152" t="s">
        <v>376</v>
      </c>
      <c r="D152" t="s">
        <v>1023</v>
      </c>
      <c r="E152" t="s">
        <v>37</v>
      </c>
      <c r="F152" t="s">
        <v>38</v>
      </c>
      <c r="G152" s="2">
        <v>45867</v>
      </c>
      <c r="H152">
        <v>1.7</v>
      </c>
      <c r="I152" t="s">
        <v>72</v>
      </c>
      <c r="J152" t="s">
        <v>1024</v>
      </c>
      <c r="K152" t="s">
        <v>1025</v>
      </c>
      <c r="L152" t="s">
        <v>1026</v>
      </c>
      <c r="M152" t="s">
        <v>1027</v>
      </c>
      <c r="O152" t="s">
        <v>62</v>
      </c>
      <c r="P152" t="s">
        <v>63</v>
      </c>
      <c r="Q152">
        <v>1.62980244856139</v>
      </c>
      <c r="R152" t="s">
        <v>64</v>
      </c>
      <c r="S152" t="s">
        <v>65</v>
      </c>
      <c r="T152" t="s">
        <v>1313</v>
      </c>
      <c r="V152" t="s">
        <v>75</v>
      </c>
      <c r="X152" t="s">
        <v>1314</v>
      </c>
      <c r="Y152" t="s">
        <v>1075</v>
      </c>
      <c r="Z152" t="s">
        <v>719</v>
      </c>
      <c r="AA152" t="s">
        <v>576</v>
      </c>
      <c r="AB152" t="s">
        <v>453</v>
      </c>
      <c r="AC152" t="s">
        <v>57</v>
      </c>
      <c r="AD152" t="s">
        <v>93</v>
      </c>
      <c r="AE152" t="s">
        <v>1315</v>
      </c>
      <c r="AI152">
        <v>358.69586940616858</v>
      </c>
      <c r="AJ152">
        <v>6595.6028885890773</v>
      </c>
    </row>
    <row r="153" spans="1:36" x14ac:dyDescent="0.25">
      <c r="A153">
        <v>152</v>
      </c>
      <c r="B153" t="s">
        <v>1324</v>
      </c>
      <c r="C153" t="s">
        <v>376</v>
      </c>
      <c r="D153" t="s">
        <v>1023</v>
      </c>
      <c r="E153" t="s">
        <v>37</v>
      </c>
      <c r="F153" t="s">
        <v>38</v>
      </c>
      <c r="G153" s="2">
        <v>45867</v>
      </c>
      <c r="H153">
        <v>0.7</v>
      </c>
      <c r="I153" t="s">
        <v>72</v>
      </c>
      <c r="J153" t="s">
        <v>1024</v>
      </c>
      <c r="K153" t="s">
        <v>1025</v>
      </c>
      <c r="L153" t="s">
        <v>1026</v>
      </c>
      <c r="M153" t="s">
        <v>1027</v>
      </c>
      <c r="O153" t="s">
        <v>62</v>
      </c>
      <c r="P153" t="s">
        <v>63</v>
      </c>
      <c r="Q153">
        <v>0.6988101106642286</v>
      </c>
      <c r="R153" t="s">
        <v>64</v>
      </c>
      <c r="S153" t="s">
        <v>65</v>
      </c>
      <c r="T153" t="s">
        <v>1313</v>
      </c>
      <c r="V153" t="s">
        <v>75</v>
      </c>
      <c r="X153" t="s">
        <v>1314</v>
      </c>
      <c r="Y153" t="s">
        <v>1075</v>
      </c>
      <c r="Z153" t="s">
        <v>719</v>
      </c>
      <c r="AA153" t="s">
        <v>576</v>
      </c>
      <c r="AB153" t="s">
        <v>453</v>
      </c>
      <c r="AC153" t="s">
        <v>57</v>
      </c>
      <c r="AD153" t="s">
        <v>93</v>
      </c>
      <c r="AE153" t="s">
        <v>1315</v>
      </c>
      <c r="AI153">
        <v>223.24245883455069</v>
      </c>
      <c r="AJ153">
        <v>2827.995496350261</v>
      </c>
    </row>
    <row r="154" spans="1:36" x14ac:dyDescent="0.25">
      <c r="A154">
        <v>153</v>
      </c>
      <c r="B154" t="s">
        <v>1325</v>
      </c>
      <c r="C154" t="s">
        <v>376</v>
      </c>
      <c r="D154" t="s">
        <v>1023</v>
      </c>
      <c r="E154" t="s">
        <v>37</v>
      </c>
      <c r="F154" t="s">
        <v>38</v>
      </c>
      <c r="G154" s="2">
        <v>45867</v>
      </c>
      <c r="H154">
        <v>3.1</v>
      </c>
      <c r="I154" t="s">
        <v>72</v>
      </c>
      <c r="J154" t="s">
        <v>1024</v>
      </c>
      <c r="K154" t="s">
        <v>1025</v>
      </c>
      <c r="L154" t="s">
        <v>1026</v>
      </c>
      <c r="M154" t="s">
        <v>1027</v>
      </c>
      <c r="O154" t="s">
        <v>62</v>
      </c>
      <c r="P154" t="s">
        <v>63</v>
      </c>
      <c r="Q154">
        <v>2.5135934803216688</v>
      </c>
      <c r="R154" t="s">
        <v>64</v>
      </c>
      <c r="S154" t="s">
        <v>65</v>
      </c>
      <c r="T154" t="s">
        <v>1313</v>
      </c>
      <c r="V154" t="s">
        <v>64</v>
      </c>
      <c r="X154" t="s">
        <v>1326</v>
      </c>
      <c r="Y154" t="s">
        <v>1075</v>
      </c>
      <c r="Z154" t="s">
        <v>719</v>
      </c>
      <c r="AA154" t="s">
        <v>576</v>
      </c>
      <c r="AB154" t="s">
        <v>453</v>
      </c>
      <c r="AC154" t="s">
        <v>57</v>
      </c>
      <c r="AD154" t="s">
        <v>1327</v>
      </c>
      <c r="AE154" t="s">
        <v>1328</v>
      </c>
      <c r="AI154">
        <v>499.92407779811867</v>
      </c>
      <c r="AJ154">
        <v>10172.192607872261</v>
      </c>
    </row>
    <row r="155" spans="1:36" x14ac:dyDescent="0.25">
      <c r="A155">
        <v>154</v>
      </c>
      <c r="B155" t="s">
        <v>1329</v>
      </c>
      <c r="C155" t="s">
        <v>376</v>
      </c>
      <c r="D155" t="s">
        <v>1023</v>
      </c>
      <c r="E155" t="s">
        <v>37</v>
      </c>
      <c r="F155" t="s">
        <v>38</v>
      </c>
      <c r="G155" s="2">
        <v>45867</v>
      </c>
      <c r="I155" t="s">
        <v>72</v>
      </c>
      <c r="J155" t="s">
        <v>1024</v>
      </c>
      <c r="K155" t="s">
        <v>1025</v>
      </c>
      <c r="L155" t="s">
        <v>1026</v>
      </c>
      <c r="M155" t="s">
        <v>1027</v>
      </c>
      <c r="O155" t="s">
        <v>62</v>
      </c>
      <c r="P155" t="s">
        <v>63</v>
      </c>
      <c r="Q155">
        <v>4.8988372774321522</v>
      </c>
      <c r="R155" t="s">
        <v>64</v>
      </c>
      <c r="S155" t="s">
        <v>65</v>
      </c>
      <c r="T155" t="s">
        <v>1313</v>
      </c>
      <c r="V155" t="s">
        <v>64</v>
      </c>
      <c r="X155" t="s">
        <v>1326</v>
      </c>
      <c r="Y155" t="s">
        <v>1075</v>
      </c>
      <c r="Z155" t="s">
        <v>719</v>
      </c>
      <c r="AA155" t="s">
        <v>576</v>
      </c>
      <c r="AB155" t="s">
        <v>453</v>
      </c>
      <c r="AC155" t="s">
        <v>57</v>
      </c>
      <c r="AD155" t="s">
        <v>1327</v>
      </c>
      <c r="AE155" t="s">
        <v>1328</v>
      </c>
      <c r="AI155">
        <v>743.82677198266765</v>
      </c>
      <c r="AJ155">
        <v>19824.970398271129</v>
      </c>
    </row>
    <row r="156" spans="1:36" x14ac:dyDescent="0.25">
      <c r="A156">
        <v>155</v>
      </c>
      <c r="B156" t="s">
        <v>1330</v>
      </c>
      <c r="C156" t="s">
        <v>376</v>
      </c>
      <c r="D156" t="s">
        <v>1023</v>
      </c>
      <c r="E156" t="s">
        <v>37</v>
      </c>
      <c r="F156" t="s">
        <v>38</v>
      </c>
      <c r="G156" s="2">
        <v>45867</v>
      </c>
      <c r="I156" t="s">
        <v>72</v>
      </c>
      <c r="J156" t="s">
        <v>1024</v>
      </c>
      <c r="K156" t="s">
        <v>1025</v>
      </c>
      <c r="L156" t="s">
        <v>1026</v>
      </c>
      <c r="M156" t="s">
        <v>1027</v>
      </c>
      <c r="O156" t="s">
        <v>62</v>
      </c>
      <c r="P156" t="s">
        <v>63</v>
      </c>
      <c r="Q156">
        <v>1.019819222024956</v>
      </c>
      <c r="R156" t="s">
        <v>64</v>
      </c>
      <c r="S156" t="s">
        <v>65</v>
      </c>
      <c r="T156" t="s">
        <v>1313</v>
      </c>
      <c r="V156" t="s">
        <v>64</v>
      </c>
      <c r="X156" t="s">
        <v>1326</v>
      </c>
      <c r="Y156" t="s">
        <v>1075</v>
      </c>
      <c r="Z156" t="s">
        <v>719</v>
      </c>
      <c r="AA156" t="s">
        <v>576</v>
      </c>
      <c r="AB156" t="s">
        <v>453</v>
      </c>
      <c r="AC156" t="s">
        <v>57</v>
      </c>
      <c r="AD156" t="s">
        <v>1327</v>
      </c>
      <c r="AE156" t="s">
        <v>1328</v>
      </c>
      <c r="AI156">
        <v>272.92633178697429</v>
      </c>
      <c r="AJ156">
        <v>4127.0784766360621</v>
      </c>
    </row>
    <row r="157" spans="1:36" x14ac:dyDescent="0.25">
      <c r="A157">
        <v>156</v>
      </c>
      <c r="B157" t="s">
        <v>1331</v>
      </c>
      <c r="C157" t="s">
        <v>376</v>
      </c>
      <c r="D157" t="s">
        <v>1023</v>
      </c>
      <c r="E157" t="s">
        <v>37</v>
      </c>
      <c r="F157" t="s">
        <v>38</v>
      </c>
      <c r="G157" s="2">
        <v>45867</v>
      </c>
      <c r="H157">
        <v>4</v>
      </c>
      <c r="I157" t="s">
        <v>72</v>
      </c>
      <c r="J157" t="s">
        <v>1024</v>
      </c>
      <c r="K157" t="s">
        <v>1025</v>
      </c>
      <c r="L157" t="s">
        <v>1026</v>
      </c>
      <c r="M157" t="s">
        <v>1027</v>
      </c>
      <c r="O157" t="s">
        <v>62</v>
      </c>
      <c r="P157" t="s">
        <v>63</v>
      </c>
      <c r="Q157">
        <v>3.9021041906761669</v>
      </c>
      <c r="R157" t="s">
        <v>64</v>
      </c>
      <c r="S157" t="s">
        <v>65</v>
      </c>
      <c r="T157" t="s">
        <v>1313</v>
      </c>
      <c r="V157" t="s">
        <v>64</v>
      </c>
      <c r="X157" t="s">
        <v>1326</v>
      </c>
      <c r="Y157" t="s">
        <v>1075</v>
      </c>
      <c r="Z157" t="s">
        <v>719</v>
      </c>
      <c r="AA157" t="s">
        <v>576</v>
      </c>
      <c r="AB157" t="s">
        <v>453</v>
      </c>
      <c r="AC157" t="s">
        <v>57</v>
      </c>
      <c r="AD157" t="s">
        <v>1327</v>
      </c>
      <c r="AE157" t="s">
        <v>1328</v>
      </c>
      <c r="AI157">
        <v>574.13950437690232</v>
      </c>
      <c r="AJ157">
        <v>15791.31857012291</v>
      </c>
    </row>
    <row r="158" spans="1:36" x14ac:dyDescent="0.25">
      <c r="A158">
        <v>157</v>
      </c>
      <c r="B158" t="s">
        <v>1332</v>
      </c>
      <c r="C158" t="s">
        <v>376</v>
      </c>
      <c r="D158" t="s">
        <v>1023</v>
      </c>
      <c r="E158" t="s">
        <v>37</v>
      </c>
      <c r="F158" t="s">
        <v>38</v>
      </c>
      <c r="G158" s="2">
        <v>45867</v>
      </c>
      <c r="H158">
        <v>1</v>
      </c>
      <c r="I158" t="s">
        <v>72</v>
      </c>
      <c r="J158" t="s">
        <v>1024</v>
      </c>
      <c r="K158" t="s">
        <v>1025</v>
      </c>
      <c r="L158" t="s">
        <v>1026</v>
      </c>
      <c r="M158" t="s">
        <v>1027</v>
      </c>
      <c r="O158" t="s">
        <v>62</v>
      </c>
      <c r="P158" t="s">
        <v>63</v>
      </c>
      <c r="Q158">
        <v>0.89401532957377094</v>
      </c>
      <c r="R158" t="s">
        <v>64</v>
      </c>
      <c r="S158" t="s">
        <v>65</v>
      </c>
      <c r="T158" t="s">
        <v>1313</v>
      </c>
      <c r="V158" t="s">
        <v>64</v>
      </c>
      <c r="X158" t="s">
        <v>1326</v>
      </c>
      <c r="Y158" t="s">
        <v>1075</v>
      </c>
      <c r="Z158" t="s">
        <v>719</v>
      </c>
      <c r="AA158" t="s">
        <v>576</v>
      </c>
      <c r="AB158" t="s">
        <v>453</v>
      </c>
      <c r="AC158" t="s">
        <v>57</v>
      </c>
      <c r="AD158" t="s">
        <v>1327</v>
      </c>
      <c r="AE158" t="s">
        <v>1328</v>
      </c>
      <c r="AI158">
        <v>240.56487070632519</v>
      </c>
      <c r="AJ158">
        <v>3617.9661500597958</v>
      </c>
    </row>
    <row r="159" spans="1:36" x14ac:dyDescent="0.25">
      <c r="A159">
        <v>158</v>
      </c>
      <c r="B159" t="s">
        <v>1333</v>
      </c>
      <c r="C159" t="s">
        <v>376</v>
      </c>
      <c r="D159" t="s">
        <v>1023</v>
      </c>
      <c r="E159" t="s">
        <v>37</v>
      </c>
      <c r="F159" t="s">
        <v>38</v>
      </c>
      <c r="G159" s="2">
        <v>45867</v>
      </c>
      <c r="H159">
        <v>1.5</v>
      </c>
      <c r="I159" t="s">
        <v>72</v>
      </c>
      <c r="J159" t="s">
        <v>1024</v>
      </c>
      <c r="K159" t="s">
        <v>1025</v>
      </c>
      <c r="L159" t="s">
        <v>1026</v>
      </c>
      <c r="M159" t="s">
        <v>1027</v>
      </c>
      <c r="O159" t="s">
        <v>62</v>
      </c>
      <c r="P159" t="s">
        <v>63</v>
      </c>
      <c r="Q159">
        <v>1.4378931296156969</v>
      </c>
      <c r="R159" t="s">
        <v>64</v>
      </c>
      <c r="S159" t="s">
        <v>65</v>
      </c>
      <c r="T159" t="s">
        <v>1313</v>
      </c>
      <c r="V159" t="s">
        <v>64</v>
      </c>
      <c r="X159" t="s">
        <v>1334</v>
      </c>
      <c r="Y159" t="s">
        <v>1075</v>
      </c>
      <c r="Z159" t="s">
        <v>719</v>
      </c>
      <c r="AA159" t="s">
        <v>576</v>
      </c>
      <c r="AB159" t="s">
        <v>453</v>
      </c>
      <c r="AC159" t="s">
        <v>57</v>
      </c>
      <c r="AD159" t="s">
        <v>1223</v>
      </c>
      <c r="AE159" t="s">
        <v>865</v>
      </c>
      <c r="AI159">
        <v>292.32119114518258</v>
      </c>
      <c r="AJ159">
        <v>5818.9703221681302</v>
      </c>
    </row>
    <row r="160" spans="1:36" x14ac:dyDescent="0.25">
      <c r="A160">
        <v>159</v>
      </c>
      <c r="B160" t="s">
        <v>1335</v>
      </c>
      <c r="C160" t="s">
        <v>376</v>
      </c>
      <c r="D160" t="s">
        <v>1023</v>
      </c>
      <c r="E160" t="s">
        <v>37</v>
      </c>
      <c r="F160" t="s">
        <v>38</v>
      </c>
      <c r="G160" s="2">
        <v>45867</v>
      </c>
      <c r="H160">
        <v>1.2</v>
      </c>
      <c r="I160" t="s">
        <v>72</v>
      </c>
      <c r="J160" t="s">
        <v>1024</v>
      </c>
      <c r="K160" t="s">
        <v>1025</v>
      </c>
      <c r="L160" t="s">
        <v>1026</v>
      </c>
      <c r="M160" t="s">
        <v>1027</v>
      </c>
      <c r="O160" t="s">
        <v>62</v>
      </c>
      <c r="P160" t="s">
        <v>63</v>
      </c>
      <c r="Q160">
        <v>1.1458550776284351</v>
      </c>
      <c r="R160" t="s">
        <v>64</v>
      </c>
      <c r="S160" t="s">
        <v>65</v>
      </c>
      <c r="T160" t="s">
        <v>1313</v>
      </c>
      <c r="V160" t="s">
        <v>64</v>
      </c>
      <c r="X160" t="s">
        <v>1334</v>
      </c>
      <c r="Y160" t="s">
        <v>1075</v>
      </c>
      <c r="Z160" t="s">
        <v>719</v>
      </c>
      <c r="AA160" t="s">
        <v>576</v>
      </c>
      <c r="AB160" t="s">
        <v>453</v>
      </c>
      <c r="AC160" t="s">
        <v>57</v>
      </c>
      <c r="AD160" t="s">
        <v>1223</v>
      </c>
      <c r="AE160" t="s">
        <v>865</v>
      </c>
      <c r="AI160">
        <v>464.51506135451018</v>
      </c>
      <c r="AJ160">
        <v>4637.1295285398464</v>
      </c>
    </row>
    <row r="161" spans="1:36" x14ac:dyDescent="0.25">
      <c r="A161">
        <v>160</v>
      </c>
      <c r="B161" t="s">
        <v>1336</v>
      </c>
      <c r="C161" t="s">
        <v>376</v>
      </c>
      <c r="D161" t="s">
        <v>1023</v>
      </c>
      <c r="E161" t="s">
        <v>37</v>
      </c>
      <c r="F161" t="s">
        <v>38</v>
      </c>
      <c r="G161" s="2">
        <v>45867</v>
      </c>
      <c r="H161">
        <v>0.3</v>
      </c>
      <c r="I161" t="s">
        <v>72</v>
      </c>
      <c r="J161" t="s">
        <v>1024</v>
      </c>
      <c r="K161" t="s">
        <v>1025</v>
      </c>
      <c r="L161" t="s">
        <v>1026</v>
      </c>
      <c r="M161" t="s">
        <v>1027</v>
      </c>
      <c r="O161" t="s">
        <v>62</v>
      </c>
      <c r="P161" t="s">
        <v>63</v>
      </c>
      <c r="Q161">
        <v>0.25184745910436551</v>
      </c>
      <c r="R161" t="s">
        <v>64</v>
      </c>
      <c r="S161" t="s">
        <v>65</v>
      </c>
      <c r="T161" t="s">
        <v>1313</v>
      </c>
      <c r="V161" t="s">
        <v>64</v>
      </c>
      <c r="X161" t="s">
        <v>1334</v>
      </c>
      <c r="Y161" t="s">
        <v>1075</v>
      </c>
      <c r="Z161" t="s">
        <v>719</v>
      </c>
      <c r="AA161" t="s">
        <v>576</v>
      </c>
      <c r="AB161" t="s">
        <v>453</v>
      </c>
      <c r="AC161" t="s">
        <v>57</v>
      </c>
      <c r="AD161" t="s">
        <v>1223</v>
      </c>
      <c r="AE161" t="s">
        <v>865</v>
      </c>
      <c r="AI161">
        <v>128.93104035544181</v>
      </c>
      <c r="AJ161">
        <v>1019.194584115882</v>
      </c>
    </row>
    <row r="162" spans="1:36" x14ac:dyDescent="0.25">
      <c r="A162">
        <v>161</v>
      </c>
      <c r="B162" t="s">
        <v>1337</v>
      </c>
      <c r="C162" t="s">
        <v>376</v>
      </c>
      <c r="D162" t="s">
        <v>1023</v>
      </c>
      <c r="E162" t="s">
        <v>37</v>
      </c>
      <c r="F162" t="s">
        <v>38</v>
      </c>
      <c r="G162" s="2">
        <v>45867</v>
      </c>
      <c r="H162">
        <v>11.6</v>
      </c>
      <c r="I162" t="s">
        <v>72</v>
      </c>
      <c r="J162" t="s">
        <v>1024</v>
      </c>
      <c r="K162" t="s">
        <v>1025</v>
      </c>
      <c r="L162" t="s">
        <v>1026</v>
      </c>
      <c r="M162" t="s">
        <v>1027</v>
      </c>
      <c r="O162" t="s">
        <v>62</v>
      </c>
      <c r="P162" t="s">
        <v>63</v>
      </c>
      <c r="Q162">
        <v>10.039398777996769</v>
      </c>
      <c r="R162" t="s">
        <v>64</v>
      </c>
      <c r="S162" t="s">
        <v>65</v>
      </c>
      <c r="T162" t="s">
        <v>1338</v>
      </c>
      <c r="V162" t="s">
        <v>64</v>
      </c>
      <c r="X162" t="s">
        <v>1339</v>
      </c>
      <c r="Y162" t="s">
        <v>1340</v>
      </c>
      <c r="Z162" t="s">
        <v>1073</v>
      </c>
      <c r="AA162" t="s">
        <v>629</v>
      </c>
      <c r="AB162" t="s">
        <v>453</v>
      </c>
      <c r="AC162" t="s">
        <v>57</v>
      </c>
      <c r="AD162" t="s">
        <v>145</v>
      </c>
      <c r="AE162" t="s">
        <v>1341</v>
      </c>
      <c r="AI162">
        <v>848.3260220572356</v>
      </c>
      <c r="AJ162">
        <v>40628.16793428018</v>
      </c>
    </row>
    <row r="163" spans="1:36" x14ac:dyDescent="0.25">
      <c r="A163">
        <v>162</v>
      </c>
      <c r="B163" t="s">
        <v>1342</v>
      </c>
      <c r="C163" t="s">
        <v>376</v>
      </c>
      <c r="D163" t="s">
        <v>1023</v>
      </c>
      <c r="E163" t="s">
        <v>37</v>
      </c>
      <c r="F163" t="s">
        <v>38</v>
      </c>
      <c r="G163" s="2">
        <v>45860</v>
      </c>
      <c r="H163">
        <v>0.1</v>
      </c>
      <c r="I163" t="s">
        <v>72</v>
      </c>
      <c r="J163" t="s">
        <v>1024</v>
      </c>
      <c r="K163" t="s">
        <v>1025</v>
      </c>
      <c r="L163" t="s">
        <v>1026</v>
      </c>
      <c r="M163" t="s">
        <v>1027</v>
      </c>
      <c r="N163" t="s">
        <v>57</v>
      </c>
      <c r="O163" t="s">
        <v>62</v>
      </c>
      <c r="P163" t="s">
        <v>63</v>
      </c>
      <c r="Q163">
        <v>3.4928587259998159E-2</v>
      </c>
      <c r="R163" t="s">
        <v>64</v>
      </c>
      <c r="S163" t="s">
        <v>65</v>
      </c>
      <c r="T163" t="s">
        <v>1343</v>
      </c>
      <c r="V163" t="s">
        <v>618</v>
      </c>
      <c r="X163" t="s">
        <v>1344</v>
      </c>
      <c r="Y163" t="s">
        <v>1345</v>
      </c>
      <c r="Z163" t="s">
        <v>49</v>
      </c>
      <c r="AA163" t="s">
        <v>896</v>
      </c>
      <c r="AB163" t="s">
        <v>453</v>
      </c>
      <c r="AC163" t="s">
        <v>57</v>
      </c>
      <c r="AD163" t="s">
        <v>159</v>
      </c>
      <c r="AI163">
        <v>52.229440277518997</v>
      </c>
      <c r="AJ163">
        <v>141.35154308408929</v>
      </c>
    </row>
    <row r="164" spans="1:36" hidden="1" x14ac:dyDescent="0.25">
      <c r="A164">
        <v>163</v>
      </c>
      <c r="B164" t="s">
        <v>1346</v>
      </c>
      <c r="C164" t="s">
        <v>376</v>
      </c>
      <c r="D164" t="s">
        <v>1023</v>
      </c>
      <c r="E164" t="s">
        <v>37</v>
      </c>
      <c r="F164" t="s">
        <v>38</v>
      </c>
      <c r="G164" s="2">
        <v>45860</v>
      </c>
      <c r="H164">
        <v>0.1</v>
      </c>
      <c r="I164" t="s">
        <v>72</v>
      </c>
      <c r="J164" t="s">
        <v>1024</v>
      </c>
      <c r="K164" t="s">
        <v>1025</v>
      </c>
      <c r="L164" t="s">
        <v>1026</v>
      </c>
      <c r="M164" t="s">
        <v>1027</v>
      </c>
      <c r="N164" t="s">
        <v>57</v>
      </c>
      <c r="O164" t="s">
        <v>1045</v>
      </c>
      <c r="P164" t="s">
        <v>133</v>
      </c>
      <c r="Q164">
        <v>8.7809524370167716E-2</v>
      </c>
      <c r="R164" t="s">
        <v>73</v>
      </c>
      <c r="S164" t="s">
        <v>74</v>
      </c>
      <c r="T164" t="s">
        <v>1343</v>
      </c>
      <c r="V164" t="s">
        <v>618</v>
      </c>
      <c r="X164" t="s">
        <v>1344</v>
      </c>
      <c r="Y164" t="s">
        <v>1345</v>
      </c>
      <c r="Z164" t="s">
        <v>49</v>
      </c>
      <c r="AA164" t="s">
        <v>896</v>
      </c>
      <c r="AB164" t="s">
        <v>453</v>
      </c>
      <c r="AC164" t="s">
        <v>57</v>
      </c>
      <c r="AD164" t="s">
        <v>159</v>
      </c>
      <c r="AI164">
        <v>90.36765373424123</v>
      </c>
      <c r="AJ164">
        <v>355.35395905971728</v>
      </c>
    </row>
    <row r="165" spans="1:36" hidden="1" x14ac:dyDescent="0.25">
      <c r="A165">
        <v>164</v>
      </c>
      <c r="B165" t="s">
        <v>1347</v>
      </c>
      <c r="C165" t="s">
        <v>376</v>
      </c>
      <c r="D165" t="s">
        <v>1023</v>
      </c>
      <c r="E165" t="s">
        <v>37</v>
      </c>
      <c r="F165" t="s">
        <v>38</v>
      </c>
      <c r="G165" s="2">
        <v>45860</v>
      </c>
      <c r="H165">
        <v>0.2</v>
      </c>
      <c r="I165" t="s">
        <v>72</v>
      </c>
      <c r="J165" t="s">
        <v>1024</v>
      </c>
      <c r="K165" t="s">
        <v>1025</v>
      </c>
      <c r="L165" t="s">
        <v>1026</v>
      </c>
      <c r="M165" t="s">
        <v>1027</v>
      </c>
      <c r="N165" t="s">
        <v>57</v>
      </c>
      <c r="O165" t="s">
        <v>1045</v>
      </c>
      <c r="P165" t="s">
        <v>133</v>
      </c>
      <c r="Q165">
        <v>0.2198061788313618</v>
      </c>
      <c r="R165" t="s">
        <v>73</v>
      </c>
      <c r="S165" t="s">
        <v>74</v>
      </c>
      <c r="T165" t="s">
        <v>1343</v>
      </c>
      <c r="V165" t="s">
        <v>618</v>
      </c>
      <c r="X165" t="s">
        <v>1344</v>
      </c>
      <c r="Y165" t="s">
        <v>1345</v>
      </c>
      <c r="Z165" t="s">
        <v>49</v>
      </c>
      <c r="AA165" t="s">
        <v>896</v>
      </c>
      <c r="AB165" t="s">
        <v>453</v>
      </c>
      <c r="AC165" t="s">
        <v>57</v>
      </c>
      <c r="AD165" t="s">
        <v>159</v>
      </c>
      <c r="AI165">
        <v>117.3737318566027</v>
      </c>
      <c r="AJ165">
        <v>889.52760459375975</v>
      </c>
    </row>
    <row r="166" spans="1:36" hidden="1" x14ac:dyDescent="0.25">
      <c r="A166">
        <v>165</v>
      </c>
      <c r="B166" t="s">
        <v>1348</v>
      </c>
      <c r="C166" t="s">
        <v>376</v>
      </c>
      <c r="D166" t="s">
        <v>1023</v>
      </c>
      <c r="E166" t="s">
        <v>37</v>
      </c>
      <c r="F166" t="s">
        <v>38</v>
      </c>
      <c r="G166" s="2">
        <v>45860</v>
      </c>
      <c r="H166">
        <v>1</v>
      </c>
      <c r="I166" t="s">
        <v>72</v>
      </c>
      <c r="J166" t="s">
        <v>1024</v>
      </c>
      <c r="K166" t="s">
        <v>1025</v>
      </c>
      <c r="L166" t="s">
        <v>1026</v>
      </c>
      <c r="M166" t="s">
        <v>1027</v>
      </c>
      <c r="N166" t="s">
        <v>57</v>
      </c>
      <c r="O166" t="s">
        <v>1045</v>
      </c>
      <c r="P166" t="s">
        <v>133</v>
      </c>
      <c r="Q166">
        <v>1.132678845083489</v>
      </c>
      <c r="R166" t="s">
        <v>73</v>
      </c>
      <c r="S166" t="s">
        <v>74</v>
      </c>
      <c r="T166" t="s">
        <v>1349</v>
      </c>
      <c r="V166" t="s">
        <v>618</v>
      </c>
      <c r="X166" t="s">
        <v>1350</v>
      </c>
      <c r="Y166" t="s">
        <v>1345</v>
      </c>
      <c r="Z166" t="s">
        <v>49</v>
      </c>
      <c r="AA166" t="s">
        <v>896</v>
      </c>
      <c r="AB166" t="s">
        <v>453</v>
      </c>
      <c r="AC166" t="s">
        <v>57</v>
      </c>
      <c r="AD166" t="s">
        <v>145</v>
      </c>
      <c r="AE166" t="s">
        <v>1351</v>
      </c>
      <c r="AI166">
        <v>333.29207760024059</v>
      </c>
      <c r="AJ166">
        <v>4583.8069939523721</v>
      </c>
    </row>
    <row r="167" spans="1:36" hidden="1" x14ac:dyDescent="0.25">
      <c r="A167">
        <v>166</v>
      </c>
      <c r="B167" t="s">
        <v>1352</v>
      </c>
      <c r="C167" t="s">
        <v>376</v>
      </c>
      <c r="D167" t="s">
        <v>1023</v>
      </c>
      <c r="E167" t="s">
        <v>37</v>
      </c>
      <c r="F167" t="s">
        <v>38</v>
      </c>
      <c r="G167" s="2">
        <v>45860</v>
      </c>
      <c r="H167">
        <v>0.9</v>
      </c>
      <c r="I167" t="s">
        <v>72</v>
      </c>
      <c r="J167" t="s">
        <v>1024</v>
      </c>
      <c r="K167" t="s">
        <v>1025</v>
      </c>
      <c r="L167" t="s">
        <v>1026</v>
      </c>
      <c r="M167" t="s">
        <v>1027</v>
      </c>
      <c r="N167" t="s">
        <v>57</v>
      </c>
      <c r="O167" t="s">
        <v>1045</v>
      </c>
      <c r="P167" t="s">
        <v>133</v>
      </c>
      <c r="Q167">
        <v>0.95182234501959029</v>
      </c>
      <c r="R167" t="s">
        <v>73</v>
      </c>
      <c r="S167" t="s">
        <v>74</v>
      </c>
      <c r="T167" t="s">
        <v>1353</v>
      </c>
      <c r="V167" t="s">
        <v>618</v>
      </c>
      <c r="X167" t="s">
        <v>1350</v>
      </c>
      <c r="Y167" t="s">
        <v>1345</v>
      </c>
      <c r="Z167" t="s">
        <v>49</v>
      </c>
      <c r="AA167" t="s">
        <v>896</v>
      </c>
      <c r="AB167" t="s">
        <v>453</v>
      </c>
      <c r="AC167" t="s">
        <v>57</v>
      </c>
      <c r="AD167" t="s">
        <v>145</v>
      </c>
      <c r="AE167" t="s">
        <v>1351</v>
      </c>
      <c r="AI167">
        <v>387.59984116299972</v>
      </c>
      <c r="AJ167">
        <v>3851.9037775260599</v>
      </c>
    </row>
    <row r="168" spans="1:36" hidden="1" x14ac:dyDescent="0.25">
      <c r="A168">
        <v>167</v>
      </c>
      <c r="B168" t="s">
        <v>1354</v>
      </c>
      <c r="C168" t="s">
        <v>376</v>
      </c>
      <c r="D168" t="s">
        <v>1023</v>
      </c>
      <c r="E168" t="s">
        <v>37</v>
      </c>
      <c r="F168" t="s">
        <v>38</v>
      </c>
      <c r="G168" s="2">
        <v>45860</v>
      </c>
      <c r="H168">
        <v>2.8</v>
      </c>
      <c r="I168" t="s">
        <v>72</v>
      </c>
      <c r="J168" t="s">
        <v>1024</v>
      </c>
      <c r="K168" t="s">
        <v>1025</v>
      </c>
      <c r="L168" t="s">
        <v>1026</v>
      </c>
      <c r="M168" t="s">
        <v>1027</v>
      </c>
      <c r="O168" t="s">
        <v>1045</v>
      </c>
      <c r="P168" t="s">
        <v>133</v>
      </c>
      <c r="Q168">
        <v>1.616105448922704</v>
      </c>
      <c r="R168" t="s">
        <v>73</v>
      </c>
      <c r="S168" t="s">
        <v>74</v>
      </c>
      <c r="T168" t="s">
        <v>1353</v>
      </c>
      <c r="V168" t="s">
        <v>618</v>
      </c>
      <c r="X168" t="s">
        <v>1350</v>
      </c>
      <c r="Y168" t="s">
        <v>1345</v>
      </c>
      <c r="Z168" t="s">
        <v>49</v>
      </c>
      <c r="AA168" t="s">
        <v>896</v>
      </c>
      <c r="AB168" t="s">
        <v>453</v>
      </c>
      <c r="AC168" t="s">
        <v>57</v>
      </c>
      <c r="AD168" t="s">
        <v>145</v>
      </c>
      <c r="AE168" t="s">
        <v>1351</v>
      </c>
      <c r="AI168">
        <v>336.36737262636848</v>
      </c>
      <c r="AJ168">
        <v>6540.1728759138232</v>
      </c>
    </row>
    <row r="169" spans="1:36" x14ac:dyDescent="0.25">
      <c r="A169">
        <v>168</v>
      </c>
      <c r="B169" t="s">
        <v>1355</v>
      </c>
      <c r="C169" t="s">
        <v>376</v>
      </c>
      <c r="D169" t="s">
        <v>1023</v>
      </c>
      <c r="E169" t="s">
        <v>37</v>
      </c>
      <c r="F169" t="s">
        <v>38</v>
      </c>
      <c r="G169" s="2">
        <v>45860</v>
      </c>
      <c r="H169">
        <v>1.3</v>
      </c>
      <c r="I169" t="s">
        <v>72</v>
      </c>
      <c r="J169" t="s">
        <v>1024</v>
      </c>
      <c r="K169" t="s">
        <v>1025</v>
      </c>
      <c r="L169" t="s">
        <v>1026</v>
      </c>
      <c r="M169" t="s">
        <v>1027</v>
      </c>
      <c r="O169" t="s">
        <v>62</v>
      </c>
      <c r="P169" t="s">
        <v>63</v>
      </c>
      <c r="Q169">
        <v>0.76161600432074683</v>
      </c>
      <c r="R169" t="s">
        <v>64</v>
      </c>
      <c r="S169" t="s">
        <v>65</v>
      </c>
      <c r="T169" t="s">
        <v>1353</v>
      </c>
      <c r="V169" t="s">
        <v>618</v>
      </c>
      <c r="X169" t="s">
        <v>1350</v>
      </c>
      <c r="Y169" t="s">
        <v>1345</v>
      </c>
      <c r="Z169" t="s">
        <v>49</v>
      </c>
      <c r="AA169" t="s">
        <v>896</v>
      </c>
      <c r="AB169" t="s">
        <v>453</v>
      </c>
      <c r="AC169" t="s">
        <v>57</v>
      </c>
      <c r="AD169" t="s">
        <v>145</v>
      </c>
      <c r="AE169" t="s">
        <v>1351</v>
      </c>
      <c r="AI169">
        <v>318.76546258589531</v>
      </c>
      <c r="AJ169">
        <v>3082.1629471275</v>
      </c>
    </row>
    <row r="170" spans="1:36" x14ac:dyDescent="0.25">
      <c r="A170">
        <v>169</v>
      </c>
      <c r="B170" t="s">
        <v>1356</v>
      </c>
      <c r="C170" t="s">
        <v>376</v>
      </c>
      <c r="D170" t="s">
        <v>1023</v>
      </c>
      <c r="E170" t="s">
        <v>37</v>
      </c>
      <c r="F170" t="s">
        <v>38</v>
      </c>
      <c r="G170" s="2">
        <v>45860</v>
      </c>
      <c r="H170">
        <v>0.6</v>
      </c>
      <c r="I170" t="s">
        <v>72</v>
      </c>
      <c r="J170" t="s">
        <v>1024</v>
      </c>
      <c r="K170" t="s">
        <v>1025</v>
      </c>
      <c r="L170" t="s">
        <v>1026</v>
      </c>
      <c r="M170" t="s">
        <v>1027</v>
      </c>
      <c r="O170" t="s">
        <v>62</v>
      </c>
      <c r="P170" t="s">
        <v>63</v>
      </c>
      <c r="Q170">
        <v>0.44561464403183759</v>
      </c>
      <c r="R170" t="s">
        <v>64</v>
      </c>
      <c r="S170" t="s">
        <v>65</v>
      </c>
      <c r="T170" t="s">
        <v>1357</v>
      </c>
      <c r="V170" t="s">
        <v>618</v>
      </c>
      <c r="X170" t="s">
        <v>1350</v>
      </c>
      <c r="Y170" t="s">
        <v>1345</v>
      </c>
      <c r="Z170" t="s">
        <v>49</v>
      </c>
      <c r="AA170" t="s">
        <v>896</v>
      </c>
      <c r="AB170" t="s">
        <v>453</v>
      </c>
      <c r="AC170" t="s">
        <v>57</v>
      </c>
      <c r="AD170" t="s">
        <v>145</v>
      </c>
      <c r="AE170" t="s">
        <v>1351</v>
      </c>
      <c r="AI170">
        <v>189.09141097422261</v>
      </c>
      <c r="AJ170">
        <v>1803.345697491309</v>
      </c>
    </row>
    <row r="171" spans="1:36" x14ac:dyDescent="0.25">
      <c r="A171">
        <v>170</v>
      </c>
      <c r="B171" t="s">
        <v>1358</v>
      </c>
      <c r="C171" t="s">
        <v>376</v>
      </c>
      <c r="D171" t="s">
        <v>1023</v>
      </c>
      <c r="E171" t="s">
        <v>37</v>
      </c>
      <c r="F171" t="s">
        <v>38</v>
      </c>
      <c r="G171" s="2">
        <v>45860</v>
      </c>
      <c r="H171">
        <v>1.5</v>
      </c>
      <c r="I171" t="s">
        <v>72</v>
      </c>
      <c r="J171" t="s">
        <v>1024</v>
      </c>
      <c r="K171" t="s">
        <v>1025</v>
      </c>
      <c r="L171" t="s">
        <v>1026</v>
      </c>
      <c r="M171" t="s">
        <v>1027</v>
      </c>
      <c r="O171" t="s">
        <v>62</v>
      </c>
      <c r="P171" t="s">
        <v>63</v>
      </c>
      <c r="Q171">
        <v>1.658813366695868</v>
      </c>
      <c r="R171" t="s">
        <v>64</v>
      </c>
      <c r="S171" t="s">
        <v>65</v>
      </c>
      <c r="T171" t="s">
        <v>1357</v>
      </c>
      <c r="V171" t="s">
        <v>618</v>
      </c>
      <c r="X171" t="s">
        <v>1350</v>
      </c>
      <c r="Y171" t="s">
        <v>1345</v>
      </c>
      <c r="Z171" t="s">
        <v>49</v>
      </c>
      <c r="AA171" t="s">
        <v>896</v>
      </c>
      <c r="AB171" t="s">
        <v>453</v>
      </c>
      <c r="AC171" t="s">
        <v>57</v>
      </c>
      <c r="AD171" t="s">
        <v>145</v>
      </c>
      <c r="AE171" t="s">
        <v>1351</v>
      </c>
      <c r="AI171">
        <v>478.48510933207882</v>
      </c>
      <c r="AJ171">
        <v>6713.0063785748016</v>
      </c>
    </row>
    <row r="172" spans="1:36" x14ac:dyDescent="0.25">
      <c r="A172">
        <v>171</v>
      </c>
      <c r="B172" t="s">
        <v>1359</v>
      </c>
      <c r="C172" t="s">
        <v>376</v>
      </c>
      <c r="D172" t="s">
        <v>1023</v>
      </c>
      <c r="E172" t="s">
        <v>37</v>
      </c>
      <c r="F172" t="s">
        <v>38</v>
      </c>
      <c r="G172" s="2">
        <v>45860</v>
      </c>
      <c r="H172">
        <v>0.3</v>
      </c>
      <c r="I172" t="s">
        <v>72</v>
      </c>
      <c r="J172" t="s">
        <v>1024</v>
      </c>
      <c r="K172" t="s">
        <v>1025</v>
      </c>
      <c r="L172" t="s">
        <v>1026</v>
      </c>
      <c r="M172" t="s">
        <v>1027</v>
      </c>
      <c r="O172" t="s">
        <v>62</v>
      </c>
      <c r="P172" t="s">
        <v>63</v>
      </c>
      <c r="Q172">
        <v>0.33418755603107492</v>
      </c>
      <c r="R172" t="s">
        <v>64</v>
      </c>
      <c r="S172" t="s">
        <v>65</v>
      </c>
      <c r="T172" t="s">
        <v>1357</v>
      </c>
      <c r="V172" t="s">
        <v>618</v>
      </c>
      <c r="X172" t="s">
        <v>1350</v>
      </c>
      <c r="Y172" t="s">
        <v>1345</v>
      </c>
      <c r="Z172" t="s">
        <v>49</v>
      </c>
      <c r="AA172" t="s">
        <v>896</v>
      </c>
      <c r="AB172" t="s">
        <v>453</v>
      </c>
      <c r="AC172" t="s">
        <v>57</v>
      </c>
      <c r="AD172" t="s">
        <v>145</v>
      </c>
      <c r="AE172" t="s">
        <v>1351</v>
      </c>
      <c r="AI172">
        <v>180.14539346230941</v>
      </c>
      <c r="AJ172">
        <v>1352.4144670629739</v>
      </c>
    </row>
    <row r="173" spans="1:36" x14ac:dyDescent="0.25">
      <c r="A173">
        <v>172</v>
      </c>
      <c r="B173" t="s">
        <v>1360</v>
      </c>
      <c r="C173" t="s">
        <v>376</v>
      </c>
      <c r="D173" t="s">
        <v>1023</v>
      </c>
      <c r="E173" t="s">
        <v>37</v>
      </c>
      <c r="F173" t="s">
        <v>38</v>
      </c>
      <c r="G173" s="2">
        <v>45860</v>
      </c>
      <c r="H173">
        <v>0.7</v>
      </c>
      <c r="I173" t="s">
        <v>72</v>
      </c>
      <c r="J173" t="s">
        <v>1024</v>
      </c>
      <c r="K173" t="s">
        <v>1025</v>
      </c>
      <c r="L173" t="s">
        <v>1026</v>
      </c>
      <c r="M173" t="s">
        <v>1027</v>
      </c>
      <c r="O173" t="s">
        <v>62</v>
      </c>
      <c r="P173" t="s">
        <v>63</v>
      </c>
      <c r="Q173">
        <v>0.78054357490092519</v>
      </c>
      <c r="R173" t="s">
        <v>64</v>
      </c>
      <c r="S173" t="s">
        <v>65</v>
      </c>
      <c r="T173" t="s">
        <v>1353</v>
      </c>
      <c r="V173" t="s">
        <v>618</v>
      </c>
      <c r="X173" t="s">
        <v>1350</v>
      </c>
      <c r="Y173" t="s">
        <v>1345</v>
      </c>
      <c r="Z173" t="s">
        <v>49</v>
      </c>
      <c r="AA173" t="s">
        <v>896</v>
      </c>
      <c r="AB173" t="s">
        <v>453</v>
      </c>
      <c r="AC173" t="s">
        <v>57</v>
      </c>
      <c r="AD173" t="s">
        <v>145</v>
      </c>
      <c r="AE173" t="s">
        <v>1351</v>
      </c>
      <c r="AI173">
        <v>273.06102441237817</v>
      </c>
      <c r="AJ173">
        <v>3158.7604140798858</v>
      </c>
    </row>
    <row r="174" spans="1:36" x14ac:dyDescent="0.25">
      <c r="A174">
        <v>173</v>
      </c>
      <c r="B174" t="s">
        <v>1361</v>
      </c>
      <c r="C174" t="s">
        <v>376</v>
      </c>
      <c r="D174" t="s">
        <v>1023</v>
      </c>
      <c r="E174" t="s">
        <v>37</v>
      </c>
      <c r="F174" t="s">
        <v>38</v>
      </c>
      <c r="G174" s="2">
        <v>45860</v>
      </c>
      <c r="I174" t="s">
        <v>72</v>
      </c>
      <c r="J174" t="s">
        <v>1024</v>
      </c>
      <c r="K174" t="s">
        <v>1025</v>
      </c>
      <c r="L174" t="s">
        <v>1026</v>
      </c>
      <c r="M174" t="s">
        <v>1027</v>
      </c>
      <c r="O174" t="s">
        <v>62</v>
      </c>
      <c r="P174" t="s">
        <v>63</v>
      </c>
      <c r="Q174">
        <v>0.55833035712910528</v>
      </c>
      <c r="R174" t="s">
        <v>64</v>
      </c>
      <c r="S174" t="s">
        <v>65</v>
      </c>
      <c r="T174" t="s">
        <v>673</v>
      </c>
      <c r="V174" t="s">
        <v>618</v>
      </c>
      <c r="X174" t="s">
        <v>673</v>
      </c>
      <c r="Y174" t="s">
        <v>1345</v>
      </c>
      <c r="Z174" t="s">
        <v>49</v>
      </c>
      <c r="AA174" t="s">
        <v>896</v>
      </c>
      <c r="AB174" t="s">
        <v>453</v>
      </c>
      <c r="AC174" t="s">
        <v>57</v>
      </c>
      <c r="AD174" t="s">
        <v>159</v>
      </c>
      <c r="AF174" t="s">
        <v>1132</v>
      </c>
      <c r="AI174">
        <v>326.21808523761229</v>
      </c>
      <c r="AJ174">
        <v>2259.491829527085</v>
      </c>
    </row>
    <row r="175" spans="1:36" x14ac:dyDescent="0.25">
      <c r="A175">
        <v>174</v>
      </c>
      <c r="B175" t="s">
        <v>1362</v>
      </c>
      <c r="C175" t="s">
        <v>376</v>
      </c>
      <c r="D175" t="s">
        <v>1023</v>
      </c>
      <c r="E175" t="s">
        <v>37</v>
      </c>
      <c r="F175" t="s">
        <v>38</v>
      </c>
      <c r="G175" s="2">
        <v>45860</v>
      </c>
      <c r="H175">
        <v>1.5</v>
      </c>
      <c r="I175" t="s">
        <v>72</v>
      </c>
      <c r="J175" t="s">
        <v>1024</v>
      </c>
      <c r="K175" t="s">
        <v>1025</v>
      </c>
      <c r="L175" t="s">
        <v>1026</v>
      </c>
      <c r="M175" t="s">
        <v>1027</v>
      </c>
      <c r="O175" t="s">
        <v>62</v>
      </c>
      <c r="P175" t="s">
        <v>63</v>
      </c>
      <c r="Q175">
        <v>1.6981838390045609</v>
      </c>
      <c r="R175" t="s">
        <v>64</v>
      </c>
      <c r="S175" t="s">
        <v>65</v>
      </c>
      <c r="T175" t="s">
        <v>1363</v>
      </c>
      <c r="V175" t="s">
        <v>618</v>
      </c>
      <c r="X175" t="s">
        <v>1350</v>
      </c>
      <c r="Y175" t="s">
        <v>1345</v>
      </c>
      <c r="Z175" t="s">
        <v>49</v>
      </c>
      <c r="AA175" t="s">
        <v>896</v>
      </c>
      <c r="AB175" t="s">
        <v>453</v>
      </c>
      <c r="AC175" t="s">
        <v>57</v>
      </c>
      <c r="AD175" t="s">
        <v>145</v>
      </c>
      <c r="AE175" t="s">
        <v>1351</v>
      </c>
      <c r="AI175">
        <v>389.13173839180791</v>
      </c>
      <c r="AJ175">
        <v>6872.3336645986647</v>
      </c>
    </row>
    <row r="176" spans="1:36" x14ac:dyDescent="0.25">
      <c r="A176">
        <v>175</v>
      </c>
      <c r="B176" t="s">
        <v>1364</v>
      </c>
      <c r="C176" t="s">
        <v>376</v>
      </c>
      <c r="D176" t="s">
        <v>1023</v>
      </c>
      <c r="E176" t="s">
        <v>37</v>
      </c>
      <c r="F176" t="s">
        <v>38</v>
      </c>
      <c r="G176" s="2">
        <v>45860</v>
      </c>
      <c r="H176">
        <v>0.1</v>
      </c>
      <c r="I176" t="s">
        <v>72</v>
      </c>
      <c r="J176" t="s">
        <v>1024</v>
      </c>
      <c r="K176" t="s">
        <v>1025</v>
      </c>
      <c r="L176" t="s">
        <v>1026</v>
      </c>
      <c r="M176" t="s">
        <v>1027</v>
      </c>
      <c r="O176" t="s">
        <v>62</v>
      </c>
      <c r="P176" t="s">
        <v>63</v>
      </c>
      <c r="Q176">
        <v>0.14440223731397989</v>
      </c>
      <c r="R176" t="s">
        <v>64</v>
      </c>
      <c r="S176" t="s">
        <v>65</v>
      </c>
      <c r="T176" t="s">
        <v>1365</v>
      </c>
      <c r="V176" t="s">
        <v>618</v>
      </c>
      <c r="X176" t="s">
        <v>1350</v>
      </c>
      <c r="Y176" t="s">
        <v>1345</v>
      </c>
      <c r="Z176" t="s">
        <v>49</v>
      </c>
      <c r="AA176" t="s">
        <v>896</v>
      </c>
      <c r="AB176" t="s">
        <v>453</v>
      </c>
      <c r="AC176" t="s">
        <v>57</v>
      </c>
      <c r="AD176" t="s">
        <v>145</v>
      </c>
      <c r="AE176" t="s">
        <v>1351</v>
      </c>
      <c r="AI176">
        <v>149.75123840654749</v>
      </c>
      <c r="AJ176">
        <v>584.37745899050685</v>
      </c>
    </row>
    <row r="177" spans="1:36" x14ac:dyDescent="0.25">
      <c r="A177">
        <v>176</v>
      </c>
      <c r="B177" t="s">
        <v>1366</v>
      </c>
      <c r="C177" t="s">
        <v>376</v>
      </c>
      <c r="D177" t="s">
        <v>1023</v>
      </c>
      <c r="E177" t="s">
        <v>37</v>
      </c>
      <c r="G177" s="2">
        <v>45860</v>
      </c>
      <c r="H177">
        <v>1.1000000000000001</v>
      </c>
      <c r="I177" t="s">
        <v>72</v>
      </c>
      <c r="J177" t="s">
        <v>1024</v>
      </c>
      <c r="L177" t="s">
        <v>1026</v>
      </c>
      <c r="M177" t="s">
        <v>1027</v>
      </c>
      <c r="O177" t="s">
        <v>62</v>
      </c>
      <c r="P177" t="s">
        <v>63</v>
      </c>
      <c r="Q177">
        <v>0.73092030990784074</v>
      </c>
      <c r="R177" t="s">
        <v>64</v>
      </c>
      <c r="S177" t="s">
        <v>65</v>
      </c>
      <c r="T177" t="s">
        <v>1365</v>
      </c>
      <c r="V177" t="s">
        <v>618</v>
      </c>
      <c r="X177" t="s">
        <v>1350</v>
      </c>
      <c r="Y177" t="s">
        <v>1345</v>
      </c>
      <c r="Z177" t="s">
        <v>49</v>
      </c>
      <c r="AA177" t="s">
        <v>896</v>
      </c>
      <c r="AC177" t="s">
        <v>57</v>
      </c>
      <c r="AD177" t="s">
        <v>145</v>
      </c>
      <c r="AE177" t="s">
        <v>1351</v>
      </c>
      <c r="AI177">
        <v>343.95057308799392</v>
      </c>
      <c r="AJ177">
        <v>2957.94138216684</v>
      </c>
    </row>
    <row r="178" spans="1:36" x14ac:dyDescent="0.25">
      <c r="A178">
        <v>177</v>
      </c>
      <c r="B178" t="s">
        <v>1367</v>
      </c>
      <c r="C178" t="s">
        <v>376</v>
      </c>
      <c r="D178" t="s">
        <v>1023</v>
      </c>
      <c r="E178" t="s">
        <v>37</v>
      </c>
      <c r="F178" t="s">
        <v>38</v>
      </c>
      <c r="G178" s="2">
        <v>45860</v>
      </c>
      <c r="H178">
        <v>0.2</v>
      </c>
      <c r="I178" t="s">
        <v>72</v>
      </c>
      <c r="J178" t="s">
        <v>1024</v>
      </c>
      <c r="K178" t="s">
        <v>1025</v>
      </c>
      <c r="L178" t="s">
        <v>1026</v>
      </c>
      <c r="M178" t="s">
        <v>1027</v>
      </c>
      <c r="O178" t="s">
        <v>62</v>
      </c>
      <c r="P178" t="s">
        <v>63</v>
      </c>
      <c r="Q178">
        <v>0.14540443789393279</v>
      </c>
      <c r="R178" t="s">
        <v>64</v>
      </c>
      <c r="S178" t="s">
        <v>65</v>
      </c>
      <c r="T178" t="s">
        <v>1365</v>
      </c>
      <c r="V178" t="s">
        <v>618</v>
      </c>
      <c r="X178" t="s">
        <v>1350</v>
      </c>
      <c r="Y178" t="s">
        <v>1345</v>
      </c>
      <c r="Z178" t="s">
        <v>49</v>
      </c>
      <c r="AA178" t="s">
        <v>896</v>
      </c>
      <c r="AB178" t="s">
        <v>453</v>
      </c>
      <c r="AC178" t="s">
        <v>57</v>
      </c>
      <c r="AD178" t="s">
        <v>145</v>
      </c>
      <c r="AE178" t="s">
        <v>1351</v>
      </c>
      <c r="AI178">
        <v>176.01403551083109</v>
      </c>
      <c r="AJ178">
        <v>588.43323706711828</v>
      </c>
    </row>
    <row r="179" spans="1:36" x14ac:dyDescent="0.25">
      <c r="A179">
        <v>178</v>
      </c>
      <c r="B179" t="s">
        <v>1368</v>
      </c>
      <c r="C179" t="s">
        <v>376</v>
      </c>
      <c r="D179" t="s">
        <v>1023</v>
      </c>
      <c r="E179" t="s">
        <v>37</v>
      </c>
      <c r="F179" t="s">
        <v>38</v>
      </c>
      <c r="G179" s="2">
        <v>45860</v>
      </c>
      <c r="H179">
        <v>3.9</v>
      </c>
      <c r="I179" t="s">
        <v>72</v>
      </c>
      <c r="J179" t="s">
        <v>1024</v>
      </c>
      <c r="K179" t="s">
        <v>1025</v>
      </c>
      <c r="L179" t="s">
        <v>1026</v>
      </c>
      <c r="M179" t="s">
        <v>1027</v>
      </c>
      <c r="O179" t="s">
        <v>62</v>
      </c>
      <c r="P179" t="s">
        <v>63</v>
      </c>
      <c r="Q179">
        <v>4.6429742997737327</v>
      </c>
      <c r="R179" t="s">
        <v>64</v>
      </c>
      <c r="S179" t="s">
        <v>65</v>
      </c>
      <c r="T179" t="s">
        <v>1365</v>
      </c>
      <c r="V179" t="s">
        <v>618</v>
      </c>
      <c r="X179" t="s">
        <v>1350</v>
      </c>
      <c r="Y179" t="s">
        <v>1345</v>
      </c>
      <c r="Z179" t="s">
        <v>49</v>
      </c>
      <c r="AA179" t="s">
        <v>942</v>
      </c>
      <c r="AB179" t="s">
        <v>453</v>
      </c>
      <c r="AC179" t="s">
        <v>57</v>
      </c>
      <c r="AD179" t="s">
        <v>145</v>
      </c>
      <c r="AE179" t="s">
        <v>1351</v>
      </c>
      <c r="AI179">
        <v>721.84036523565283</v>
      </c>
      <c r="AJ179">
        <v>18789.525522104399</v>
      </c>
    </row>
    <row r="180" spans="1:36" x14ac:dyDescent="0.25">
      <c r="A180">
        <v>179</v>
      </c>
      <c r="B180" t="s">
        <v>1369</v>
      </c>
      <c r="C180" t="s">
        <v>376</v>
      </c>
      <c r="D180" t="s">
        <v>1023</v>
      </c>
      <c r="E180" t="s">
        <v>37</v>
      </c>
      <c r="F180" t="s">
        <v>38</v>
      </c>
      <c r="G180" s="2">
        <v>45860</v>
      </c>
      <c r="H180">
        <v>0.1</v>
      </c>
      <c r="I180" t="s">
        <v>72</v>
      </c>
      <c r="J180" t="s">
        <v>1024</v>
      </c>
      <c r="K180" t="s">
        <v>1025</v>
      </c>
      <c r="L180" t="s">
        <v>1026</v>
      </c>
      <c r="M180" t="s">
        <v>1027</v>
      </c>
      <c r="O180" t="s">
        <v>62</v>
      </c>
      <c r="P180" t="s">
        <v>63</v>
      </c>
      <c r="Q180">
        <v>3.266288324331873E-2</v>
      </c>
      <c r="R180" t="s">
        <v>64</v>
      </c>
      <c r="S180" t="s">
        <v>65</v>
      </c>
      <c r="T180" t="s">
        <v>1365</v>
      </c>
      <c r="V180" t="s">
        <v>618</v>
      </c>
      <c r="X180" t="s">
        <v>1350</v>
      </c>
      <c r="Y180" t="s">
        <v>1345</v>
      </c>
      <c r="Z180" t="s">
        <v>49</v>
      </c>
      <c r="AA180" t="s">
        <v>942</v>
      </c>
      <c r="AB180" t="s">
        <v>453</v>
      </c>
      <c r="AC180" t="s">
        <v>57</v>
      </c>
      <c r="AD180" t="s">
        <v>145</v>
      </c>
      <c r="AE180" t="s">
        <v>1351</v>
      </c>
      <c r="AI180">
        <v>70.501890723867731</v>
      </c>
      <c r="AJ180">
        <v>132.18252755690719</v>
      </c>
    </row>
    <row r="181" spans="1:36" x14ac:dyDescent="0.25">
      <c r="A181">
        <v>180</v>
      </c>
      <c r="B181" t="s">
        <v>1370</v>
      </c>
      <c r="C181" t="s">
        <v>376</v>
      </c>
      <c r="D181" t="s">
        <v>1023</v>
      </c>
      <c r="E181" t="s">
        <v>37</v>
      </c>
      <c r="F181" t="s">
        <v>38</v>
      </c>
      <c r="G181" s="2">
        <v>45860</v>
      </c>
      <c r="H181">
        <v>0.1</v>
      </c>
      <c r="I181" t="s">
        <v>72</v>
      </c>
      <c r="J181" t="s">
        <v>1024</v>
      </c>
      <c r="K181" t="s">
        <v>1025</v>
      </c>
      <c r="L181" t="s">
        <v>1026</v>
      </c>
      <c r="M181" t="s">
        <v>1027</v>
      </c>
      <c r="O181" t="s">
        <v>62</v>
      </c>
      <c r="P181" t="s">
        <v>63</v>
      </c>
      <c r="Q181">
        <v>6.0416785948592573E-2</v>
      </c>
      <c r="R181" t="s">
        <v>64</v>
      </c>
      <c r="S181" t="s">
        <v>65</v>
      </c>
      <c r="T181" t="s">
        <v>1363</v>
      </c>
      <c r="V181" t="s">
        <v>618</v>
      </c>
      <c r="X181" t="s">
        <v>1350</v>
      </c>
      <c r="Y181" t="s">
        <v>1345</v>
      </c>
      <c r="Z181" t="s">
        <v>49</v>
      </c>
      <c r="AA181" t="s">
        <v>896</v>
      </c>
      <c r="AB181" t="s">
        <v>453</v>
      </c>
      <c r="AC181" t="s">
        <v>57</v>
      </c>
      <c r="AD181" t="s">
        <v>145</v>
      </c>
      <c r="AE181" t="s">
        <v>1351</v>
      </c>
      <c r="AI181">
        <v>111.6019559137015</v>
      </c>
      <c r="AJ181">
        <v>244.49903623199481</v>
      </c>
    </row>
    <row r="182" spans="1:36" x14ac:dyDescent="0.25">
      <c r="A182">
        <v>181</v>
      </c>
      <c r="B182" t="s">
        <v>1371</v>
      </c>
      <c r="C182" t="s">
        <v>376</v>
      </c>
      <c r="D182" t="s">
        <v>1023</v>
      </c>
      <c r="E182" t="s">
        <v>37</v>
      </c>
      <c r="F182" t="s">
        <v>38</v>
      </c>
      <c r="G182" s="2">
        <v>45860</v>
      </c>
      <c r="H182">
        <v>0.1</v>
      </c>
      <c r="I182" t="s">
        <v>72</v>
      </c>
      <c r="J182" t="s">
        <v>1024</v>
      </c>
      <c r="K182" t="s">
        <v>1025</v>
      </c>
      <c r="L182" t="s">
        <v>1026</v>
      </c>
      <c r="M182" t="s">
        <v>1027</v>
      </c>
      <c r="O182" t="s">
        <v>62</v>
      </c>
      <c r="P182" t="s">
        <v>63</v>
      </c>
      <c r="Q182">
        <v>5.3518921363360727E-2</v>
      </c>
      <c r="R182" t="s">
        <v>64</v>
      </c>
      <c r="S182" t="s">
        <v>65</v>
      </c>
      <c r="T182" t="s">
        <v>1365</v>
      </c>
      <c r="V182" t="s">
        <v>618</v>
      </c>
      <c r="X182" t="s">
        <v>1350</v>
      </c>
      <c r="Y182" t="s">
        <v>1345</v>
      </c>
      <c r="Z182" t="s">
        <v>49</v>
      </c>
      <c r="AA182" t="s">
        <v>942</v>
      </c>
      <c r="AB182" t="s">
        <v>453</v>
      </c>
      <c r="AC182" t="s">
        <v>57</v>
      </c>
      <c r="AD182" t="s">
        <v>145</v>
      </c>
      <c r="AE182" t="s">
        <v>1351</v>
      </c>
      <c r="AI182">
        <v>90.505009047750164</v>
      </c>
      <c r="AJ182">
        <v>216.58425697539849</v>
      </c>
    </row>
    <row r="183" spans="1:36" x14ac:dyDescent="0.25">
      <c r="A183">
        <v>182</v>
      </c>
      <c r="B183" t="s">
        <v>1372</v>
      </c>
      <c r="C183" t="s">
        <v>376</v>
      </c>
      <c r="D183" t="s">
        <v>1023</v>
      </c>
      <c r="E183" t="s">
        <v>37</v>
      </c>
      <c r="F183" t="s">
        <v>38</v>
      </c>
      <c r="G183" s="2">
        <v>45860</v>
      </c>
      <c r="H183">
        <v>0.8</v>
      </c>
      <c r="I183" t="s">
        <v>72</v>
      </c>
      <c r="J183" t="s">
        <v>1024</v>
      </c>
      <c r="K183" t="s">
        <v>1025</v>
      </c>
      <c r="L183" t="s">
        <v>1026</v>
      </c>
      <c r="M183" t="s">
        <v>1027</v>
      </c>
      <c r="O183" t="s">
        <v>62</v>
      </c>
      <c r="P183" t="s">
        <v>63</v>
      </c>
      <c r="Q183">
        <v>0.87271034583961904</v>
      </c>
      <c r="R183" t="s">
        <v>64</v>
      </c>
      <c r="S183" t="s">
        <v>65</v>
      </c>
      <c r="T183" t="s">
        <v>1365</v>
      </c>
      <c r="V183" t="s">
        <v>618</v>
      </c>
      <c r="X183" t="s">
        <v>1350</v>
      </c>
      <c r="Y183" t="s">
        <v>1345</v>
      </c>
      <c r="Z183" t="s">
        <v>49</v>
      </c>
      <c r="AA183" t="s">
        <v>942</v>
      </c>
      <c r="AB183" t="s">
        <v>453</v>
      </c>
      <c r="AC183" t="s">
        <v>57</v>
      </c>
      <c r="AD183" t="s">
        <v>145</v>
      </c>
      <c r="AE183" t="s">
        <v>1351</v>
      </c>
      <c r="AI183">
        <v>373.27605401533128</v>
      </c>
      <c r="AJ183">
        <v>3531.7475949322402</v>
      </c>
    </row>
    <row r="184" spans="1:36" x14ac:dyDescent="0.25">
      <c r="A184">
        <v>183</v>
      </c>
      <c r="B184" t="s">
        <v>1373</v>
      </c>
      <c r="C184" t="s">
        <v>376</v>
      </c>
      <c r="D184" t="s">
        <v>1023</v>
      </c>
      <c r="E184" t="s">
        <v>37</v>
      </c>
      <c r="F184" t="s">
        <v>38</v>
      </c>
      <c r="G184" s="2">
        <v>45860</v>
      </c>
      <c r="I184" t="s">
        <v>72</v>
      </c>
      <c r="J184" t="s">
        <v>1024</v>
      </c>
      <c r="K184" t="s">
        <v>1025</v>
      </c>
      <c r="L184" t="s">
        <v>1026</v>
      </c>
      <c r="M184" t="s">
        <v>1027</v>
      </c>
      <c r="O184" t="s">
        <v>62</v>
      </c>
      <c r="P184" t="s">
        <v>63</v>
      </c>
      <c r="Q184">
        <v>1.48466346157233</v>
      </c>
      <c r="R184" t="s">
        <v>64</v>
      </c>
      <c r="S184" t="s">
        <v>65</v>
      </c>
      <c r="T184" t="s">
        <v>1120</v>
      </c>
      <c r="V184" t="s">
        <v>618</v>
      </c>
      <c r="X184" t="s">
        <v>673</v>
      </c>
      <c r="Y184" t="s">
        <v>1345</v>
      </c>
      <c r="Z184" t="s">
        <v>49</v>
      </c>
      <c r="AA184" t="s">
        <v>942</v>
      </c>
      <c r="AB184" t="s">
        <v>453</v>
      </c>
      <c r="AC184" t="s">
        <v>57</v>
      </c>
      <c r="AF184" t="s">
        <v>1374</v>
      </c>
      <c r="AI184">
        <v>463.79796630389848</v>
      </c>
      <c r="AJ184">
        <v>6008.2438975181567</v>
      </c>
    </row>
    <row r="185" spans="1:36" x14ac:dyDescent="0.25">
      <c r="A185">
        <v>184</v>
      </c>
      <c r="B185" t="s">
        <v>1375</v>
      </c>
      <c r="C185" t="s">
        <v>376</v>
      </c>
      <c r="D185" t="s">
        <v>1023</v>
      </c>
      <c r="E185" t="s">
        <v>37</v>
      </c>
      <c r="F185" t="s">
        <v>38</v>
      </c>
      <c r="G185" s="2">
        <v>45860</v>
      </c>
      <c r="I185" t="s">
        <v>72</v>
      </c>
      <c r="J185" t="s">
        <v>1024</v>
      </c>
      <c r="K185" t="s">
        <v>1025</v>
      </c>
      <c r="L185" t="s">
        <v>1026</v>
      </c>
      <c r="M185" t="s">
        <v>1027</v>
      </c>
      <c r="O185" t="s">
        <v>62</v>
      </c>
      <c r="P185" t="s">
        <v>63</v>
      </c>
      <c r="Q185">
        <v>0.63210442431943303</v>
      </c>
      <c r="R185" t="s">
        <v>64</v>
      </c>
      <c r="S185" t="s">
        <v>65</v>
      </c>
      <c r="T185" t="s">
        <v>1376</v>
      </c>
      <c r="V185" t="s">
        <v>125</v>
      </c>
      <c r="X185" t="s">
        <v>673</v>
      </c>
      <c r="Y185" t="s">
        <v>1345</v>
      </c>
      <c r="Z185" t="s">
        <v>49</v>
      </c>
      <c r="AA185" t="s">
        <v>942</v>
      </c>
      <c r="AB185" t="s">
        <v>453</v>
      </c>
      <c r="AC185" t="s">
        <v>57</v>
      </c>
      <c r="AD185" t="s">
        <v>159</v>
      </c>
      <c r="AF185" t="s">
        <v>1146</v>
      </c>
      <c r="AI185">
        <v>365.71239392892068</v>
      </c>
      <c r="AJ185">
        <v>2558.046081358646</v>
      </c>
    </row>
    <row r="186" spans="1:36" x14ac:dyDescent="0.25">
      <c r="A186">
        <v>185</v>
      </c>
      <c r="B186" t="s">
        <v>1377</v>
      </c>
      <c r="C186" t="s">
        <v>376</v>
      </c>
      <c r="D186" t="s">
        <v>1023</v>
      </c>
      <c r="E186" t="s">
        <v>37</v>
      </c>
      <c r="F186" t="s">
        <v>38</v>
      </c>
      <c r="G186" s="2">
        <v>45860</v>
      </c>
      <c r="I186" t="s">
        <v>72</v>
      </c>
      <c r="J186" t="s">
        <v>1024</v>
      </c>
      <c r="K186" t="s">
        <v>1025</v>
      </c>
      <c r="L186" t="s">
        <v>1026</v>
      </c>
      <c r="M186" t="s">
        <v>1027</v>
      </c>
      <c r="O186" t="s">
        <v>62</v>
      </c>
      <c r="P186" t="s">
        <v>63</v>
      </c>
      <c r="Q186">
        <v>3.9453579159031831</v>
      </c>
      <c r="R186" t="s">
        <v>64</v>
      </c>
      <c r="S186" t="s">
        <v>65</v>
      </c>
      <c r="T186" t="s">
        <v>1376</v>
      </c>
      <c r="V186" t="s">
        <v>125</v>
      </c>
      <c r="X186" t="s">
        <v>673</v>
      </c>
      <c r="Y186" t="s">
        <v>1345</v>
      </c>
      <c r="Z186" t="s">
        <v>49</v>
      </c>
      <c r="AA186" t="s">
        <v>576</v>
      </c>
      <c r="AB186" t="s">
        <v>453</v>
      </c>
      <c r="AC186" t="s">
        <v>57</v>
      </c>
      <c r="AD186" t="s">
        <v>159</v>
      </c>
      <c r="AF186" t="s">
        <v>1378</v>
      </c>
      <c r="AI186">
        <v>765.28945661481998</v>
      </c>
      <c r="AJ186">
        <v>15966.360886019151</v>
      </c>
    </row>
    <row r="187" spans="1:36" hidden="1" x14ac:dyDescent="0.25">
      <c r="A187">
        <v>186</v>
      </c>
      <c r="B187" t="s">
        <v>1379</v>
      </c>
      <c r="C187" t="s">
        <v>376</v>
      </c>
      <c r="D187" t="s">
        <v>1023</v>
      </c>
      <c r="E187" t="s">
        <v>37</v>
      </c>
      <c r="F187" t="s">
        <v>38</v>
      </c>
      <c r="G187" s="2">
        <v>45867</v>
      </c>
      <c r="H187">
        <v>10.3</v>
      </c>
      <c r="I187" t="s">
        <v>72</v>
      </c>
      <c r="J187" t="s">
        <v>1024</v>
      </c>
      <c r="K187" t="s">
        <v>1025</v>
      </c>
      <c r="L187" t="s">
        <v>1026</v>
      </c>
      <c r="M187" t="s">
        <v>1027</v>
      </c>
      <c r="O187" t="s">
        <v>624</v>
      </c>
      <c r="P187" t="s">
        <v>625</v>
      </c>
      <c r="Q187">
        <v>12.81941535482385</v>
      </c>
      <c r="S187" t="s">
        <v>38</v>
      </c>
      <c r="T187" t="s">
        <v>1380</v>
      </c>
      <c r="V187" t="s">
        <v>73</v>
      </c>
      <c r="X187" t="s">
        <v>1381</v>
      </c>
      <c r="Y187" t="s">
        <v>1340</v>
      </c>
      <c r="Z187" t="s">
        <v>1073</v>
      </c>
      <c r="AA187" t="s">
        <v>139</v>
      </c>
      <c r="AB187" t="s">
        <v>453</v>
      </c>
      <c r="AC187" t="s">
        <v>57</v>
      </c>
      <c r="AD187" t="s">
        <v>1382</v>
      </c>
      <c r="AE187" t="s">
        <v>1383</v>
      </c>
      <c r="AI187">
        <v>1293.240422525394</v>
      </c>
      <c r="AJ187">
        <v>51878.540874038059</v>
      </c>
    </row>
    <row r="188" spans="1:36" hidden="1" x14ac:dyDescent="0.25">
      <c r="A188">
        <v>187</v>
      </c>
      <c r="B188" t="s">
        <v>1384</v>
      </c>
      <c r="C188" t="s">
        <v>376</v>
      </c>
      <c r="D188" t="s">
        <v>1023</v>
      </c>
      <c r="E188" t="s">
        <v>37</v>
      </c>
      <c r="F188" t="s">
        <v>38</v>
      </c>
      <c r="G188" s="2">
        <v>45867</v>
      </c>
      <c r="H188">
        <v>1</v>
      </c>
      <c r="I188" t="s">
        <v>72</v>
      </c>
      <c r="J188" t="s">
        <v>1024</v>
      </c>
      <c r="K188" t="s">
        <v>1025</v>
      </c>
      <c r="L188" t="s">
        <v>1026</v>
      </c>
      <c r="M188" t="s">
        <v>1027</v>
      </c>
      <c r="O188" t="s">
        <v>624</v>
      </c>
      <c r="P188" t="s">
        <v>625</v>
      </c>
      <c r="Q188">
        <v>0.91116782088638537</v>
      </c>
      <c r="S188" t="s">
        <v>38</v>
      </c>
      <c r="T188" t="s">
        <v>1385</v>
      </c>
      <c r="V188" t="s">
        <v>60</v>
      </c>
      <c r="X188" t="s">
        <v>1386</v>
      </c>
      <c r="Y188" t="s">
        <v>1387</v>
      </c>
      <c r="Z188" t="s">
        <v>49</v>
      </c>
      <c r="AA188" t="s">
        <v>125</v>
      </c>
      <c r="AB188" t="s">
        <v>453</v>
      </c>
      <c r="AC188" t="s">
        <v>57</v>
      </c>
      <c r="AD188" t="s">
        <v>399</v>
      </c>
      <c r="AE188" t="s">
        <v>1388</v>
      </c>
      <c r="AI188">
        <v>308.7416190805896</v>
      </c>
      <c r="AJ188">
        <v>3687.3800973439211</v>
      </c>
    </row>
    <row r="189" spans="1:36" hidden="1" x14ac:dyDescent="0.25">
      <c r="A189">
        <v>188</v>
      </c>
      <c r="B189" t="s">
        <v>1389</v>
      </c>
      <c r="C189" t="s">
        <v>376</v>
      </c>
      <c r="D189" t="s">
        <v>1023</v>
      </c>
      <c r="E189" t="s">
        <v>37</v>
      </c>
      <c r="F189" t="s">
        <v>38</v>
      </c>
      <c r="G189" s="2">
        <v>45867</v>
      </c>
      <c r="H189">
        <v>2.2000000000000002</v>
      </c>
      <c r="I189" t="s">
        <v>72</v>
      </c>
      <c r="J189" t="s">
        <v>1024</v>
      </c>
      <c r="K189" t="s">
        <v>1025</v>
      </c>
      <c r="L189" t="s">
        <v>1026</v>
      </c>
      <c r="M189" t="s">
        <v>1027</v>
      </c>
      <c r="O189" t="s">
        <v>624</v>
      </c>
      <c r="P189" t="s">
        <v>625</v>
      </c>
      <c r="Q189">
        <v>2.3417244238493011</v>
      </c>
      <c r="S189" t="s">
        <v>38</v>
      </c>
      <c r="T189" t="s">
        <v>1385</v>
      </c>
      <c r="V189" t="s">
        <v>60</v>
      </c>
      <c r="X189" t="s">
        <v>1386</v>
      </c>
      <c r="Y189" t="s">
        <v>1387</v>
      </c>
      <c r="Z189" t="s">
        <v>49</v>
      </c>
      <c r="AA189" t="s">
        <v>125</v>
      </c>
      <c r="AB189" t="s">
        <v>453</v>
      </c>
      <c r="AC189" t="s">
        <v>57</v>
      </c>
      <c r="AD189" t="s">
        <v>399</v>
      </c>
      <c r="AE189" t="s">
        <v>1388</v>
      </c>
      <c r="AI189">
        <v>558.50409868985332</v>
      </c>
      <c r="AJ189">
        <v>9476.6604307492998</v>
      </c>
    </row>
    <row r="190" spans="1:36" hidden="1" x14ac:dyDescent="0.25">
      <c r="A190">
        <v>189</v>
      </c>
      <c r="B190" t="s">
        <v>1390</v>
      </c>
      <c r="C190" t="s">
        <v>376</v>
      </c>
      <c r="D190" t="s">
        <v>1023</v>
      </c>
      <c r="E190" t="s">
        <v>37</v>
      </c>
      <c r="F190" t="s">
        <v>38</v>
      </c>
      <c r="G190" s="2">
        <v>45867</v>
      </c>
      <c r="H190">
        <v>1</v>
      </c>
      <c r="I190" t="s">
        <v>72</v>
      </c>
      <c r="J190" t="s">
        <v>1024</v>
      </c>
      <c r="K190" t="s">
        <v>1025</v>
      </c>
      <c r="L190" t="s">
        <v>1026</v>
      </c>
      <c r="M190" t="s">
        <v>1027</v>
      </c>
      <c r="O190" t="s">
        <v>624</v>
      </c>
      <c r="P190" t="s">
        <v>625</v>
      </c>
      <c r="Q190">
        <v>1.0437405383448231</v>
      </c>
      <c r="S190" t="s">
        <v>38</v>
      </c>
      <c r="T190" t="s">
        <v>1385</v>
      </c>
      <c r="V190" t="s">
        <v>60</v>
      </c>
      <c r="X190" t="s">
        <v>1386</v>
      </c>
      <c r="Y190" t="s">
        <v>1387</v>
      </c>
      <c r="Z190" t="s">
        <v>49</v>
      </c>
      <c r="AA190" t="s">
        <v>125</v>
      </c>
      <c r="AB190" t="s">
        <v>453</v>
      </c>
      <c r="AC190" t="s">
        <v>57</v>
      </c>
      <c r="AD190" t="s">
        <v>399</v>
      </c>
      <c r="AE190" t="s">
        <v>1388</v>
      </c>
      <c r="AI190">
        <v>419.16796171557951</v>
      </c>
      <c r="AJ190">
        <v>4223.8849964430692</v>
      </c>
    </row>
    <row r="191" spans="1:36" hidden="1" x14ac:dyDescent="0.25">
      <c r="A191">
        <v>190</v>
      </c>
      <c r="B191" t="s">
        <v>1391</v>
      </c>
      <c r="C191" t="s">
        <v>376</v>
      </c>
      <c r="D191" t="s">
        <v>1023</v>
      </c>
      <c r="E191" t="s">
        <v>37</v>
      </c>
      <c r="F191" t="s">
        <v>38</v>
      </c>
      <c r="G191" s="2">
        <v>45867</v>
      </c>
      <c r="H191">
        <v>0.9</v>
      </c>
      <c r="I191" t="s">
        <v>72</v>
      </c>
      <c r="J191" t="s">
        <v>1024</v>
      </c>
      <c r="K191" t="s">
        <v>1025</v>
      </c>
      <c r="L191" t="s">
        <v>1026</v>
      </c>
      <c r="M191" t="s">
        <v>1027</v>
      </c>
      <c r="O191" t="s">
        <v>624</v>
      </c>
      <c r="P191" t="s">
        <v>625</v>
      </c>
      <c r="Q191">
        <v>0.83302557894820606</v>
      </c>
      <c r="S191" t="s">
        <v>38</v>
      </c>
      <c r="T191" t="s">
        <v>1385</v>
      </c>
      <c r="V191" t="s">
        <v>60</v>
      </c>
      <c r="X191" t="s">
        <v>1386</v>
      </c>
      <c r="Y191" t="s">
        <v>1387</v>
      </c>
      <c r="Z191" t="s">
        <v>49</v>
      </c>
      <c r="AA191" t="s">
        <v>125</v>
      </c>
      <c r="AB191" t="s">
        <v>453</v>
      </c>
      <c r="AC191" t="s">
        <v>57</v>
      </c>
      <c r="AD191" t="s">
        <v>399</v>
      </c>
      <c r="AE191" t="s">
        <v>1388</v>
      </c>
      <c r="AI191">
        <v>312.47046000227459</v>
      </c>
      <c r="AJ191">
        <v>3371.1483987701358</v>
      </c>
    </row>
    <row r="192" spans="1:36" hidden="1" x14ac:dyDescent="0.25">
      <c r="A192">
        <v>191</v>
      </c>
      <c r="B192" t="s">
        <v>1392</v>
      </c>
      <c r="C192" t="s">
        <v>376</v>
      </c>
      <c r="D192" t="s">
        <v>1023</v>
      </c>
      <c r="E192" t="s">
        <v>37</v>
      </c>
      <c r="G192" s="2">
        <v>45867</v>
      </c>
      <c r="H192">
        <v>19</v>
      </c>
      <c r="I192" t="s">
        <v>72</v>
      </c>
      <c r="J192" t="s">
        <v>1024</v>
      </c>
      <c r="K192" t="s">
        <v>1025</v>
      </c>
      <c r="L192" t="s">
        <v>1026</v>
      </c>
      <c r="M192" t="s">
        <v>1027</v>
      </c>
      <c r="O192" t="s">
        <v>87</v>
      </c>
      <c r="P192" t="s">
        <v>88</v>
      </c>
      <c r="Q192">
        <v>11.69623549589924</v>
      </c>
      <c r="R192" t="s">
        <v>46</v>
      </c>
      <c r="S192" t="s">
        <v>47</v>
      </c>
      <c r="T192" t="s">
        <v>1393</v>
      </c>
      <c r="V192" t="s">
        <v>1394</v>
      </c>
      <c r="X192" t="s">
        <v>1395</v>
      </c>
      <c r="Y192" t="s">
        <v>1387</v>
      </c>
      <c r="Z192" t="s">
        <v>49</v>
      </c>
      <c r="AA192" t="s">
        <v>896</v>
      </c>
      <c r="AC192" t="s">
        <v>57</v>
      </c>
      <c r="AD192" t="s">
        <v>1396</v>
      </c>
      <c r="AE192" t="s">
        <v>1397</v>
      </c>
      <c r="AI192">
        <v>1308.95730058346</v>
      </c>
      <c r="AJ192">
        <v>47333.17506699363</v>
      </c>
    </row>
    <row r="193" spans="1:36" hidden="1" x14ac:dyDescent="0.25">
      <c r="A193">
        <v>192</v>
      </c>
      <c r="B193" t="s">
        <v>1398</v>
      </c>
      <c r="C193" t="s">
        <v>376</v>
      </c>
      <c r="D193" t="s">
        <v>1023</v>
      </c>
      <c r="E193" t="s">
        <v>37</v>
      </c>
      <c r="F193" t="s">
        <v>38</v>
      </c>
      <c r="G193" s="2">
        <v>45867</v>
      </c>
      <c r="H193">
        <v>0.5</v>
      </c>
      <c r="I193" t="s">
        <v>72</v>
      </c>
      <c r="J193" t="s">
        <v>1024</v>
      </c>
      <c r="K193" t="s">
        <v>1025</v>
      </c>
      <c r="L193" t="s">
        <v>1026</v>
      </c>
      <c r="M193" t="s">
        <v>1027</v>
      </c>
      <c r="O193" t="s">
        <v>115</v>
      </c>
      <c r="P193" t="s">
        <v>137</v>
      </c>
      <c r="Q193">
        <v>0.82786471522884764</v>
      </c>
      <c r="S193" t="s">
        <v>38</v>
      </c>
      <c r="T193" t="s">
        <v>1399</v>
      </c>
      <c r="V193" t="s">
        <v>46</v>
      </c>
      <c r="X193" t="s">
        <v>1400</v>
      </c>
      <c r="Y193" t="s">
        <v>1387</v>
      </c>
      <c r="Z193" t="s">
        <v>49</v>
      </c>
      <c r="AA193" t="s">
        <v>896</v>
      </c>
      <c r="AB193" t="s">
        <v>453</v>
      </c>
      <c r="AC193" t="s">
        <v>57</v>
      </c>
      <c r="AD193" t="s">
        <v>1401</v>
      </c>
      <c r="AE193" t="s">
        <v>1402</v>
      </c>
      <c r="AI193">
        <v>296.75152470601682</v>
      </c>
      <c r="AJ193">
        <v>3350.2630407409711</v>
      </c>
    </row>
    <row r="194" spans="1:36" hidden="1" x14ac:dyDescent="0.25">
      <c r="A194">
        <v>193</v>
      </c>
      <c r="B194" t="s">
        <v>1403</v>
      </c>
      <c r="C194" t="s">
        <v>376</v>
      </c>
      <c r="D194" t="s">
        <v>1023</v>
      </c>
      <c r="E194" t="s">
        <v>37</v>
      </c>
      <c r="F194" t="s">
        <v>38</v>
      </c>
      <c r="G194" s="2">
        <v>45867</v>
      </c>
      <c r="H194">
        <v>0.7</v>
      </c>
      <c r="I194" t="s">
        <v>72</v>
      </c>
      <c r="J194" t="s">
        <v>1024</v>
      </c>
      <c r="K194" t="s">
        <v>1025</v>
      </c>
      <c r="L194" t="s">
        <v>1026</v>
      </c>
      <c r="M194" t="s">
        <v>1027</v>
      </c>
      <c r="O194" t="s">
        <v>87</v>
      </c>
      <c r="P194" t="s">
        <v>88</v>
      </c>
      <c r="Q194">
        <v>0.6778335705395373</v>
      </c>
      <c r="R194" t="s">
        <v>46</v>
      </c>
      <c r="S194" t="s">
        <v>47</v>
      </c>
      <c r="T194" t="s">
        <v>1404</v>
      </c>
      <c r="V194" t="s">
        <v>46</v>
      </c>
      <c r="X194" t="s">
        <v>1400</v>
      </c>
      <c r="Y194" t="s">
        <v>1387</v>
      </c>
      <c r="Z194" t="s">
        <v>49</v>
      </c>
      <c r="AA194" t="s">
        <v>942</v>
      </c>
      <c r="AB194" t="s">
        <v>453</v>
      </c>
      <c r="AC194" t="s">
        <v>57</v>
      </c>
      <c r="AD194" t="s">
        <v>1401</v>
      </c>
      <c r="AE194" t="s">
        <v>1402</v>
      </c>
      <c r="AI194">
        <v>218.8306525117128</v>
      </c>
      <c r="AJ194">
        <v>2743.1061106697198</v>
      </c>
    </row>
    <row r="195" spans="1:36" hidden="1" x14ac:dyDescent="0.25">
      <c r="A195">
        <v>194</v>
      </c>
      <c r="B195" t="s">
        <v>1405</v>
      </c>
      <c r="C195" t="s">
        <v>376</v>
      </c>
      <c r="D195" t="s">
        <v>1023</v>
      </c>
      <c r="E195" t="s">
        <v>37</v>
      </c>
      <c r="F195" t="s">
        <v>38</v>
      </c>
      <c r="G195" s="2">
        <v>45868</v>
      </c>
      <c r="H195">
        <v>1</v>
      </c>
      <c r="I195" t="s">
        <v>72</v>
      </c>
      <c r="J195" t="s">
        <v>1024</v>
      </c>
      <c r="K195" t="s">
        <v>1025</v>
      </c>
      <c r="L195" t="s">
        <v>1026</v>
      </c>
      <c r="M195" t="s">
        <v>1027</v>
      </c>
      <c r="O195" t="s">
        <v>115</v>
      </c>
      <c r="P195" t="s">
        <v>137</v>
      </c>
      <c r="Q195">
        <v>1.1583086893940031</v>
      </c>
      <c r="S195" t="s">
        <v>38</v>
      </c>
      <c r="T195" t="s">
        <v>1406</v>
      </c>
      <c r="V195" t="s">
        <v>1029</v>
      </c>
      <c r="X195" t="s">
        <v>1030</v>
      </c>
      <c r="AA195" t="s">
        <v>119</v>
      </c>
      <c r="AB195" t="s">
        <v>453</v>
      </c>
      <c r="AC195" t="s">
        <v>57</v>
      </c>
      <c r="AD195" t="s">
        <v>1032</v>
      </c>
      <c r="AE195" t="s">
        <v>1407</v>
      </c>
      <c r="AI195">
        <v>315.46197049897393</v>
      </c>
      <c r="AJ195">
        <v>4687.527708887932</v>
      </c>
    </row>
    <row r="196" spans="1:36" hidden="1" x14ac:dyDescent="0.25">
      <c r="A196">
        <v>195</v>
      </c>
      <c r="B196" t="s">
        <v>1408</v>
      </c>
      <c r="C196" t="s">
        <v>376</v>
      </c>
      <c r="D196" t="s">
        <v>1023</v>
      </c>
      <c r="E196" t="s">
        <v>37</v>
      </c>
      <c r="F196" t="s">
        <v>38</v>
      </c>
      <c r="G196" s="2">
        <v>45860</v>
      </c>
      <c r="H196">
        <v>1.1499999999999999</v>
      </c>
      <c r="I196" t="s">
        <v>72</v>
      </c>
      <c r="J196" t="s">
        <v>1024</v>
      </c>
      <c r="K196" t="s">
        <v>1025</v>
      </c>
      <c r="L196" t="s">
        <v>1026</v>
      </c>
      <c r="M196" t="s">
        <v>1027</v>
      </c>
      <c r="O196" t="s">
        <v>115</v>
      </c>
      <c r="P196" t="s">
        <v>116</v>
      </c>
      <c r="Q196">
        <v>1.2239807640934051</v>
      </c>
      <c r="S196" t="s">
        <v>38</v>
      </c>
      <c r="T196" t="s">
        <v>1409</v>
      </c>
      <c r="V196" t="s">
        <v>681</v>
      </c>
      <c r="W196" t="s">
        <v>75</v>
      </c>
      <c r="X196" t="s">
        <v>1410</v>
      </c>
      <c r="Y196" t="s">
        <v>1095</v>
      </c>
      <c r="Z196" t="s">
        <v>1411</v>
      </c>
      <c r="AA196" t="s">
        <v>471</v>
      </c>
      <c r="AB196" t="s">
        <v>453</v>
      </c>
      <c r="AC196" t="s">
        <v>1412</v>
      </c>
      <c r="AD196" t="s">
        <v>1413</v>
      </c>
      <c r="AE196" t="s">
        <v>1414</v>
      </c>
      <c r="AI196">
        <v>371.83266658072228</v>
      </c>
      <c r="AJ196">
        <v>4953.2942292225589</v>
      </c>
    </row>
    <row r="197" spans="1:36" hidden="1" x14ac:dyDescent="0.25">
      <c r="A197">
        <v>196</v>
      </c>
      <c r="B197" t="s">
        <v>1415</v>
      </c>
      <c r="C197" t="s">
        <v>376</v>
      </c>
      <c r="D197" t="s">
        <v>1023</v>
      </c>
      <c r="E197" t="s">
        <v>37</v>
      </c>
      <c r="F197" t="s">
        <v>38</v>
      </c>
      <c r="G197" s="2">
        <v>45860</v>
      </c>
      <c r="I197" t="s">
        <v>72</v>
      </c>
      <c r="J197" t="s">
        <v>1024</v>
      </c>
      <c r="K197" t="s">
        <v>1025</v>
      </c>
      <c r="L197" t="s">
        <v>1026</v>
      </c>
      <c r="M197" t="s">
        <v>1027</v>
      </c>
      <c r="O197" t="s">
        <v>402</v>
      </c>
      <c r="P197" t="s">
        <v>403</v>
      </c>
      <c r="Q197">
        <v>0.96411830430524259</v>
      </c>
      <c r="S197" t="s">
        <v>38</v>
      </c>
      <c r="T197" t="s">
        <v>1278</v>
      </c>
      <c r="V197" t="s">
        <v>681</v>
      </c>
      <c r="X197" t="s">
        <v>673</v>
      </c>
      <c r="Y197" t="s">
        <v>1095</v>
      </c>
      <c r="Z197" t="s">
        <v>1411</v>
      </c>
      <c r="AA197" t="s">
        <v>471</v>
      </c>
      <c r="AB197" t="s">
        <v>453</v>
      </c>
      <c r="AC197" t="s">
        <v>57</v>
      </c>
      <c r="AD197" t="s">
        <v>159</v>
      </c>
      <c r="AF197" t="s">
        <v>1416</v>
      </c>
      <c r="AI197">
        <v>275.04497491397012</v>
      </c>
      <c r="AJ197">
        <v>3901.6639583712949</v>
      </c>
    </row>
    <row r="198" spans="1:36" hidden="1" x14ac:dyDescent="0.25">
      <c r="A198">
        <v>197</v>
      </c>
      <c r="B198" t="s">
        <v>1417</v>
      </c>
      <c r="C198" t="s">
        <v>376</v>
      </c>
      <c r="D198" t="s">
        <v>1023</v>
      </c>
      <c r="E198" t="s">
        <v>37</v>
      </c>
      <c r="F198" t="s">
        <v>38</v>
      </c>
      <c r="G198" s="2">
        <v>45860</v>
      </c>
      <c r="I198" t="s">
        <v>72</v>
      </c>
      <c r="J198" t="s">
        <v>1024</v>
      </c>
      <c r="K198" t="s">
        <v>1025</v>
      </c>
      <c r="L198" t="s">
        <v>1026</v>
      </c>
      <c r="M198" t="s">
        <v>1027</v>
      </c>
      <c r="O198" t="s">
        <v>402</v>
      </c>
      <c r="P198" t="s">
        <v>403</v>
      </c>
      <c r="Q198">
        <v>0.65892347911241023</v>
      </c>
      <c r="S198" t="s">
        <v>38</v>
      </c>
      <c r="T198" t="s">
        <v>1278</v>
      </c>
      <c r="V198" t="s">
        <v>681</v>
      </c>
      <c r="X198" t="s">
        <v>673</v>
      </c>
      <c r="Y198" t="s">
        <v>1095</v>
      </c>
      <c r="Z198" t="s">
        <v>1411</v>
      </c>
      <c r="AA198" t="s">
        <v>471</v>
      </c>
      <c r="AB198" t="s">
        <v>453</v>
      </c>
      <c r="AC198" t="s">
        <v>57</v>
      </c>
      <c r="AD198" t="s">
        <v>159</v>
      </c>
      <c r="AF198" t="s">
        <v>1146</v>
      </c>
      <c r="AI198">
        <v>230.14974439424091</v>
      </c>
      <c r="AJ198">
        <v>2666.579379623061</v>
      </c>
    </row>
    <row r="199" spans="1:36" hidden="1" x14ac:dyDescent="0.25">
      <c r="A199">
        <v>198</v>
      </c>
      <c r="B199" t="s">
        <v>1418</v>
      </c>
      <c r="C199" t="s">
        <v>376</v>
      </c>
      <c r="D199" t="s">
        <v>1023</v>
      </c>
      <c r="E199" t="s">
        <v>37</v>
      </c>
      <c r="F199" t="s">
        <v>38</v>
      </c>
      <c r="G199" s="2">
        <v>45860</v>
      </c>
      <c r="I199" t="s">
        <v>72</v>
      </c>
      <c r="J199" t="s">
        <v>1024</v>
      </c>
      <c r="K199" t="s">
        <v>1025</v>
      </c>
      <c r="L199" t="s">
        <v>1026</v>
      </c>
      <c r="M199" t="s">
        <v>1027</v>
      </c>
      <c r="O199" t="s">
        <v>402</v>
      </c>
      <c r="P199" t="s">
        <v>403</v>
      </c>
      <c r="Q199">
        <v>0.1239257516204636</v>
      </c>
      <c r="S199" t="s">
        <v>38</v>
      </c>
      <c r="T199" t="s">
        <v>1278</v>
      </c>
      <c r="V199" t="s">
        <v>681</v>
      </c>
      <c r="X199" t="s">
        <v>673</v>
      </c>
      <c r="Y199" t="s">
        <v>1095</v>
      </c>
      <c r="Z199" t="s">
        <v>1411</v>
      </c>
      <c r="AA199" t="s">
        <v>699</v>
      </c>
      <c r="AB199" t="s">
        <v>453</v>
      </c>
      <c r="AC199" t="s">
        <v>57</v>
      </c>
      <c r="AD199" t="s">
        <v>159</v>
      </c>
      <c r="AF199" t="s">
        <v>1079</v>
      </c>
      <c r="AI199">
        <v>88.026659334993525</v>
      </c>
      <c r="AJ199">
        <v>501.51172989093362</v>
      </c>
    </row>
    <row r="200" spans="1:36" hidden="1" x14ac:dyDescent="0.25">
      <c r="A200">
        <v>199</v>
      </c>
      <c r="B200" t="s">
        <v>1419</v>
      </c>
      <c r="C200" t="s">
        <v>376</v>
      </c>
      <c r="D200" t="s">
        <v>1023</v>
      </c>
      <c r="E200" t="s">
        <v>37</v>
      </c>
      <c r="F200" t="s">
        <v>38</v>
      </c>
      <c r="G200" s="2">
        <v>45860</v>
      </c>
      <c r="I200" t="s">
        <v>72</v>
      </c>
      <c r="J200" t="s">
        <v>1024</v>
      </c>
      <c r="K200" t="s">
        <v>1025</v>
      </c>
      <c r="L200" t="s">
        <v>1026</v>
      </c>
      <c r="M200" t="s">
        <v>1027</v>
      </c>
      <c r="O200" t="s">
        <v>1045</v>
      </c>
      <c r="P200" t="s">
        <v>133</v>
      </c>
      <c r="Q200">
        <v>0.202253383656638</v>
      </c>
      <c r="R200" t="s">
        <v>60</v>
      </c>
      <c r="S200" t="s">
        <v>66</v>
      </c>
      <c r="T200" t="s">
        <v>1278</v>
      </c>
      <c r="V200" t="s">
        <v>681</v>
      </c>
      <c r="X200" t="s">
        <v>673</v>
      </c>
      <c r="Y200" t="s">
        <v>1095</v>
      </c>
      <c r="Z200" t="s">
        <v>1411</v>
      </c>
      <c r="AA200" t="s">
        <v>699</v>
      </c>
      <c r="AB200" t="s">
        <v>453</v>
      </c>
      <c r="AC200" t="s">
        <v>57</v>
      </c>
      <c r="AD200" t="s">
        <v>159</v>
      </c>
      <c r="AF200" t="s">
        <v>1420</v>
      </c>
      <c r="AI200">
        <v>131.91152618333851</v>
      </c>
      <c r="AJ200">
        <v>818.49367857443713</v>
      </c>
    </row>
    <row r="201" spans="1:36" hidden="1" x14ac:dyDescent="0.25">
      <c r="A201">
        <v>200</v>
      </c>
      <c r="B201" t="s">
        <v>1421</v>
      </c>
      <c r="C201" t="s">
        <v>376</v>
      </c>
      <c r="D201" t="s">
        <v>1023</v>
      </c>
      <c r="E201" t="s">
        <v>37</v>
      </c>
      <c r="F201" t="s">
        <v>38</v>
      </c>
      <c r="G201" s="2">
        <v>45860</v>
      </c>
      <c r="I201" t="s">
        <v>72</v>
      </c>
      <c r="J201" t="s">
        <v>1024</v>
      </c>
      <c r="K201" t="s">
        <v>1025</v>
      </c>
      <c r="L201" t="s">
        <v>1026</v>
      </c>
      <c r="M201" t="s">
        <v>1027</v>
      </c>
      <c r="O201" t="s">
        <v>408</v>
      </c>
      <c r="P201" t="s">
        <v>409</v>
      </c>
      <c r="Q201">
        <v>0.99316608585550481</v>
      </c>
      <c r="R201" t="s">
        <v>60</v>
      </c>
      <c r="S201" t="s">
        <v>66</v>
      </c>
      <c r="T201" t="s">
        <v>1422</v>
      </c>
      <c r="V201" t="s">
        <v>681</v>
      </c>
      <c r="X201" t="s">
        <v>673</v>
      </c>
      <c r="Y201" t="s">
        <v>1095</v>
      </c>
      <c r="Z201" t="s">
        <v>1411</v>
      </c>
      <c r="AA201" t="s">
        <v>699</v>
      </c>
      <c r="AB201" t="s">
        <v>453</v>
      </c>
      <c r="AC201" t="s">
        <v>57</v>
      </c>
      <c r="AD201" t="s">
        <v>159</v>
      </c>
      <c r="AF201" t="s">
        <v>1423</v>
      </c>
      <c r="AI201">
        <v>252.8572480792576</v>
      </c>
      <c r="AJ201">
        <v>4019.2166299046621</v>
      </c>
    </row>
    <row r="202" spans="1:36" hidden="1" x14ac:dyDescent="0.25">
      <c r="A202">
        <v>201</v>
      </c>
      <c r="B202" t="s">
        <v>1424</v>
      </c>
      <c r="C202" t="s">
        <v>376</v>
      </c>
      <c r="D202" t="s">
        <v>1023</v>
      </c>
      <c r="E202" t="s">
        <v>37</v>
      </c>
      <c r="F202" t="s">
        <v>38</v>
      </c>
      <c r="G202" s="2">
        <v>45867</v>
      </c>
      <c r="H202">
        <v>0.83499999999999996</v>
      </c>
      <c r="I202" t="s">
        <v>72</v>
      </c>
      <c r="J202" t="s">
        <v>1024</v>
      </c>
      <c r="K202" t="s">
        <v>1025</v>
      </c>
      <c r="L202" t="s">
        <v>1026</v>
      </c>
      <c r="M202" t="s">
        <v>1027</v>
      </c>
      <c r="O202" t="s">
        <v>115</v>
      </c>
      <c r="P202" t="s">
        <v>137</v>
      </c>
      <c r="Q202">
        <v>0.83514004673307496</v>
      </c>
      <c r="S202" t="s">
        <v>38</v>
      </c>
      <c r="T202" t="s">
        <v>1425</v>
      </c>
      <c r="V202" t="s">
        <v>71</v>
      </c>
      <c r="X202" t="s">
        <v>1426</v>
      </c>
      <c r="Y202" t="s">
        <v>1340</v>
      </c>
      <c r="Z202" t="s">
        <v>1427</v>
      </c>
      <c r="AA202" t="s">
        <v>563</v>
      </c>
      <c r="AB202" t="s">
        <v>453</v>
      </c>
      <c r="AC202" t="s">
        <v>1428</v>
      </c>
      <c r="AD202" t="s">
        <v>758</v>
      </c>
      <c r="AE202" t="s">
        <v>1429</v>
      </c>
      <c r="AI202">
        <v>271.95664205503863</v>
      </c>
      <c r="AJ202">
        <v>3379.7053805331839</v>
      </c>
    </row>
    <row r="203" spans="1:36" hidden="1" x14ac:dyDescent="0.25">
      <c r="A203">
        <v>202</v>
      </c>
      <c r="B203" t="s">
        <v>1430</v>
      </c>
      <c r="C203" t="s">
        <v>376</v>
      </c>
      <c r="D203" t="s">
        <v>1023</v>
      </c>
      <c r="E203" t="s">
        <v>37</v>
      </c>
      <c r="F203" t="s">
        <v>38</v>
      </c>
      <c r="G203" s="2">
        <v>45867</v>
      </c>
      <c r="H203">
        <v>0.8</v>
      </c>
      <c r="I203" t="s">
        <v>72</v>
      </c>
      <c r="J203" t="s">
        <v>1024</v>
      </c>
      <c r="K203" t="s">
        <v>1025</v>
      </c>
      <c r="L203" t="s">
        <v>1026</v>
      </c>
      <c r="M203" t="s">
        <v>1027</v>
      </c>
      <c r="O203" t="s">
        <v>408</v>
      </c>
      <c r="P203" t="s">
        <v>409</v>
      </c>
      <c r="Q203">
        <v>0.39206786206977601</v>
      </c>
      <c r="R203" t="s">
        <v>60</v>
      </c>
      <c r="S203" t="s">
        <v>66</v>
      </c>
      <c r="T203" t="s">
        <v>1431</v>
      </c>
      <c r="V203" t="s">
        <v>61</v>
      </c>
      <c r="X203" t="s">
        <v>1432</v>
      </c>
      <c r="Y203" t="s">
        <v>1075</v>
      </c>
      <c r="Z203" t="s">
        <v>719</v>
      </c>
      <c r="AA203" t="s">
        <v>397</v>
      </c>
      <c r="AB203" t="s">
        <v>453</v>
      </c>
      <c r="AC203" t="s">
        <v>57</v>
      </c>
      <c r="AD203" t="s">
        <v>93</v>
      </c>
      <c r="AE203" t="s">
        <v>1194</v>
      </c>
      <c r="AI203">
        <v>196.0898336053711</v>
      </c>
      <c r="AJ203">
        <v>1586.648692222132</v>
      </c>
    </row>
    <row r="204" spans="1:36" x14ac:dyDescent="0.25">
      <c r="A204">
        <v>203</v>
      </c>
      <c r="B204" t="s">
        <v>1433</v>
      </c>
      <c r="C204" t="s">
        <v>376</v>
      </c>
      <c r="D204" t="s">
        <v>1023</v>
      </c>
      <c r="E204" t="s">
        <v>37</v>
      </c>
      <c r="F204" t="s">
        <v>38</v>
      </c>
      <c r="G204" s="2">
        <v>45867</v>
      </c>
      <c r="H204">
        <v>1</v>
      </c>
      <c r="I204" t="s">
        <v>72</v>
      </c>
      <c r="J204" t="s">
        <v>1024</v>
      </c>
      <c r="K204" t="s">
        <v>1025</v>
      </c>
      <c r="L204" t="s">
        <v>1026</v>
      </c>
      <c r="M204" t="s">
        <v>1027</v>
      </c>
      <c r="O204" t="s">
        <v>62</v>
      </c>
      <c r="P204" t="s">
        <v>63</v>
      </c>
      <c r="Q204">
        <v>1.0349606769848001</v>
      </c>
      <c r="R204" t="s">
        <v>64</v>
      </c>
      <c r="S204" t="s">
        <v>65</v>
      </c>
      <c r="T204" t="s">
        <v>1431</v>
      </c>
      <c r="V204" t="s">
        <v>61</v>
      </c>
      <c r="X204" t="s">
        <v>1434</v>
      </c>
      <c r="Y204" t="s">
        <v>1075</v>
      </c>
      <c r="Z204" t="s">
        <v>719</v>
      </c>
      <c r="AA204" t="s">
        <v>182</v>
      </c>
      <c r="AB204" t="s">
        <v>453</v>
      </c>
      <c r="AC204" t="s">
        <v>1435</v>
      </c>
      <c r="AD204" t="s">
        <v>93</v>
      </c>
      <c r="AE204" t="s">
        <v>1198</v>
      </c>
      <c r="AI204">
        <v>262.23284638826232</v>
      </c>
      <c r="AJ204">
        <v>4188.3540159867007</v>
      </c>
    </row>
    <row r="205" spans="1:36" hidden="1" x14ac:dyDescent="0.25">
      <c r="A205">
        <v>204</v>
      </c>
      <c r="B205" t="s">
        <v>1436</v>
      </c>
      <c r="C205" t="s">
        <v>376</v>
      </c>
      <c r="D205" t="s">
        <v>1023</v>
      </c>
      <c r="E205" t="s">
        <v>37</v>
      </c>
      <c r="F205" t="s">
        <v>38</v>
      </c>
      <c r="G205" s="2">
        <v>45867</v>
      </c>
      <c r="H205">
        <v>1.05</v>
      </c>
      <c r="I205" t="s">
        <v>72</v>
      </c>
      <c r="J205" t="s">
        <v>1024</v>
      </c>
      <c r="K205" t="s">
        <v>1025</v>
      </c>
      <c r="L205" t="s">
        <v>1026</v>
      </c>
      <c r="M205" t="s">
        <v>1027</v>
      </c>
      <c r="O205" t="s">
        <v>87</v>
      </c>
      <c r="P205" t="s">
        <v>88</v>
      </c>
      <c r="Q205">
        <v>1.0760742687971749</v>
      </c>
      <c r="R205" t="s">
        <v>46</v>
      </c>
      <c r="S205" t="s">
        <v>47</v>
      </c>
      <c r="T205" t="s">
        <v>1404</v>
      </c>
      <c r="V205" t="s">
        <v>46</v>
      </c>
      <c r="X205" t="s">
        <v>1400</v>
      </c>
      <c r="Y205" t="s">
        <v>1387</v>
      </c>
      <c r="Z205" t="s">
        <v>49</v>
      </c>
      <c r="AA205" t="s">
        <v>942</v>
      </c>
      <c r="AB205" t="s">
        <v>453</v>
      </c>
      <c r="AC205" t="s">
        <v>57</v>
      </c>
      <c r="AD205" t="s">
        <v>1401</v>
      </c>
      <c r="AE205" t="s">
        <v>1402</v>
      </c>
      <c r="AI205">
        <v>331.18644685048059</v>
      </c>
      <c r="AJ205">
        <v>4354.7354845857508</v>
      </c>
    </row>
    <row r="206" spans="1:36" hidden="1" x14ac:dyDescent="0.25">
      <c r="A206">
        <v>205</v>
      </c>
      <c r="B206" t="s">
        <v>1437</v>
      </c>
      <c r="C206" t="s">
        <v>376</v>
      </c>
      <c r="D206" t="s">
        <v>1023</v>
      </c>
      <c r="E206" t="s">
        <v>37</v>
      </c>
      <c r="F206" t="s">
        <v>38</v>
      </c>
      <c r="G206" s="2">
        <v>45867</v>
      </c>
      <c r="H206">
        <v>0.6</v>
      </c>
      <c r="I206" t="s">
        <v>72</v>
      </c>
      <c r="J206" t="s">
        <v>1024</v>
      </c>
      <c r="K206" t="s">
        <v>1025</v>
      </c>
      <c r="L206" t="s">
        <v>1026</v>
      </c>
      <c r="M206" t="s">
        <v>1027</v>
      </c>
      <c r="O206" t="s">
        <v>87</v>
      </c>
      <c r="P206" t="s">
        <v>88</v>
      </c>
      <c r="Q206">
        <v>0.42432366552033168</v>
      </c>
      <c r="R206" t="s">
        <v>46</v>
      </c>
      <c r="S206" t="s">
        <v>47</v>
      </c>
      <c r="T206" t="s">
        <v>1438</v>
      </c>
      <c r="V206" t="s">
        <v>46</v>
      </c>
      <c r="X206" t="s">
        <v>1400</v>
      </c>
      <c r="Y206" t="s">
        <v>1387</v>
      </c>
      <c r="Z206" t="s">
        <v>49</v>
      </c>
      <c r="AA206" t="s">
        <v>942</v>
      </c>
      <c r="AB206" t="s">
        <v>453</v>
      </c>
      <c r="AC206" t="s">
        <v>57</v>
      </c>
      <c r="AD206" t="s">
        <v>1401</v>
      </c>
      <c r="AE206" t="s">
        <v>1402</v>
      </c>
      <c r="AI206">
        <v>175.48262731639451</v>
      </c>
      <c r="AJ206">
        <v>1717.183819715674</v>
      </c>
    </row>
    <row r="207" spans="1:36" x14ac:dyDescent="0.25">
      <c r="A207">
        <v>206</v>
      </c>
      <c r="B207" t="s">
        <v>1439</v>
      </c>
      <c r="C207" t="s">
        <v>376</v>
      </c>
      <c r="D207" t="s">
        <v>1023</v>
      </c>
      <c r="E207" t="s">
        <v>37</v>
      </c>
      <c r="F207" t="s">
        <v>38</v>
      </c>
      <c r="G207" s="2">
        <v>45867</v>
      </c>
      <c r="H207">
        <v>9.3000000000000007</v>
      </c>
      <c r="I207" t="s">
        <v>72</v>
      </c>
      <c r="J207" t="s">
        <v>1024</v>
      </c>
      <c r="K207" t="s">
        <v>1025</v>
      </c>
      <c r="L207" t="s">
        <v>1026</v>
      </c>
      <c r="M207" t="s">
        <v>1027</v>
      </c>
      <c r="O207" t="s">
        <v>62</v>
      </c>
      <c r="P207" t="s">
        <v>63</v>
      </c>
      <c r="Q207">
        <v>8.1979781543962407</v>
      </c>
      <c r="R207" t="s">
        <v>64</v>
      </c>
      <c r="S207" t="s">
        <v>65</v>
      </c>
      <c r="T207" t="s">
        <v>1440</v>
      </c>
      <c r="V207" t="s">
        <v>46</v>
      </c>
      <c r="X207" t="s">
        <v>1400</v>
      </c>
      <c r="Y207" t="s">
        <v>1387</v>
      </c>
      <c r="Z207" t="s">
        <v>49</v>
      </c>
      <c r="AA207" t="s">
        <v>942</v>
      </c>
      <c r="AB207" t="s">
        <v>453</v>
      </c>
      <c r="AC207" t="s">
        <v>57</v>
      </c>
      <c r="AD207" t="s">
        <v>1382</v>
      </c>
      <c r="AE207" t="s">
        <v>1383</v>
      </c>
      <c r="AI207">
        <v>923.41207691508021</v>
      </c>
      <c r="AJ207">
        <v>33176.17324937362</v>
      </c>
    </row>
    <row r="208" spans="1:36" x14ac:dyDescent="0.25">
      <c r="A208">
        <v>207</v>
      </c>
      <c r="B208" t="s">
        <v>1441</v>
      </c>
      <c r="C208" t="s">
        <v>376</v>
      </c>
      <c r="D208" t="s">
        <v>1023</v>
      </c>
      <c r="E208" t="s">
        <v>37</v>
      </c>
      <c r="F208" t="s">
        <v>38</v>
      </c>
      <c r="G208" s="2">
        <v>45867</v>
      </c>
      <c r="H208">
        <v>3.14</v>
      </c>
      <c r="I208" t="s">
        <v>72</v>
      </c>
      <c r="J208" t="s">
        <v>1024</v>
      </c>
      <c r="K208" t="s">
        <v>1025</v>
      </c>
      <c r="L208" t="s">
        <v>1026</v>
      </c>
      <c r="M208" t="s">
        <v>1027</v>
      </c>
      <c r="O208" t="s">
        <v>62</v>
      </c>
      <c r="P208" t="s">
        <v>63</v>
      </c>
      <c r="Q208">
        <v>2.8649353460158098</v>
      </c>
      <c r="R208" t="s">
        <v>64</v>
      </c>
      <c r="S208" t="s">
        <v>65</v>
      </c>
      <c r="T208" t="s">
        <v>1440</v>
      </c>
      <c r="V208" t="s">
        <v>46</v>
      </c>
      <c r="X208" t="s">
        <v>1400</v>
      </c>
      <c r="Y208" t="s">
        <v>1387</v>
      </c>
      <c r="Z208" t="s">
        <v>49</v>
      </c>
      <c r="AA208" t="s">
        <v>942</v>
      </c>
      <c r="AB208" t="s">
        <v>453</v>
      </c>
      <c r="AC208" t="s">
        <v>57</v>
      </c>
      <c r="AD208" t="s">
        <v>1401</v>
      </c>
      <c r="AE208" t="s">
        <v>1402</v>
      </c>
      <c r="AI208">
        <v>556.10419877757158</v>
      </c>
      <c r="AJ208">
        <v>11594.028380851991</v>
      </c>
    </row>
    <row r="209" spans="1:36" x14ac:dyDescent="0.25">
      <c r="A209">
        <v>208</v>
      </c>
      <c r="B209" t="s">
        <v>1442</v>
      </c>
      <c r="C209" t="s">
        <v>376</v>
      </c>
      <c r="D209" t="s">
        <v>1023</v>
      </c>
      <c r="E209" t="s">
        <v>37</v>
      </c>
      <c r="F209" t="s">
        <v>38</v>
      </c>
      <c r="G209" s="2">
        <v>45867</v>
      </c>
      <c r="H209">
        <v>1.51</v>
      </c>
      <c r="I209" t="s">
        <v>72</v>
      </c>
      <c r="J209" t="s">
        <v>1024</v>
      </c>
      <c r="K209" t="s">
        <v>1025</v>
      </c>
      <c r="L209" t="s">
        <v>1026</v>
      </c>
      <c r="M209" t="s">
        <v>1027</v>
      </c>
      <c r="O209" t="s">
        <v>62</v>
      </c>
      <c r="P209" t="s">
        <v>63</v>
      </c>
      <c r="Q209">
        <v>1.541735600700755</v>
      </c>
      <c r="R209" t="s">
        <v>64</v>
      </c>
      <c r="S209" t="s">
        <v>65</v>
      </c>
      <c r="T209" t="s">
        <v>1440</v>
      </c>
      <c r="V209" t="s">
        <v>46</v>
      </c>
      <c r="X209" t="s">
        <v>1400</v>
      </c>
      <c r="Y209" t="s">
        <v>1387</v>
      </c>
      <c r="Z209" t="s">
        <v>49</v>
      </c>
      <c r="AA209" t="s">
        <v>942</v>
      </c>
      <c r="AB209" t="s">
        <v>453</v>
      </c>
      <c r="AC209" t="s">
        <v>57</v>
      </c>
      <c r="AD209" t="s">
        <v>1401</v>
      </c>
      <c r="AE209" t="s">
        <v>1402</v>
      </c>
      <c r="AI209">
        <v>310.20426708382348</v>
      </c>
      <c r="AJ209">
        <v>6239.2075741439121</v>
      </c>
    </row>
    <row r="210" spans="1:36" x14ac:dyDescent="0.25">
      <c r="A210">
        <v>209</v>
      </c>
      <c r="B210" t="s">
        <v>1443</v>
      </c>
      <c r="C210" t="s">
        <v>376</v>
      </c>
      <c r="D210" t="s">
        <v>1023</v>
      </c>
      <c r="E210" t="s">
        <v>37</v>
      </c>
      <c r="F210" t="s">
        <v>38</v>
      </c>
      <c r="G210" s="2">
        <v>45867</v>
      </c>
      <c r="H210">
        <v>1.5</v>
      </c>
      <c r="I210" t="s">
        <v>72</v>
      </c>
      <c r="J210" t="s">
        <v>1024</v>
      </c>
      <c r="K210" t="s">
        <v>1025</v>
      </c>
      <c r="L210" t="s">
        <v>1026</v>
      </c>
      <c r="M210" t="s">
        <v>1027</v>
      </c>
      <c r="O210" t="s">
        <v>62</v>
      </c>
      <c r="P210" t="s">
        <v>63</v>
      </c>
      <c r="Q210">
        <v>1.195927089291803</v>
      </c>
      <c r="R210" t="s">
        <v>64</v>
      </c>
      <c r="S210" t="s">
        <v>65</v>
      </c>
      <c r="T210" t="s">
        <v>1444</v>
      </c>
      <c r="V210" t="s">
        <v>46</v>
      </c>
      <c r="X210" t="s">
        <v>1400</v>
      </c>
      <c r="Y210" t="s">
        <v>1387</v>
      </c>
      <c r="Z210" t="s">
        <v>49</v>
      </c>
      <c r="AA210" t="s">
        <v>942</v>
      </c>
      <c r="AB210" t="s">
        <v>453</v>
      </c>
      <c r="AC210" t="s">
        <v>57</v>
      </c>
      <c r="AD210" t="s">
        <v>1401</v>
      </c>
      <c r="AE210" t="s">
        <v>1402</v>
      </c>
      <c r="AI210">
        <v>376.94214852375228</v>
      </c>
      <c r="AJ210">
        <v>4839.7645810616377</v>
      </c>
    </row>
    <row r="211" spans="1:36" x14ac:dyDescent="0.25">
      <c r="A211">
        <v>210</v>
      </c>
      <c r="B211" t="s">
        <v>1445</v>
      </c>
      <c r="C211" t="s">
        <v>376</v>
      </c>
      <c r="D211" t="s">
        <v>1023</v>
      </c>
      <c r="E211" t="s">
        <v>37</v>
      </c>
      <c r="F211" t="s">
        <v>38</v>
      </c>
      <c r="G211" s="2">
        <v>45868</v>
      </c>
      <c r="H211">
        <v>0.74</v>
      </c>
      <c r="I211" t="s">
        <v>72</v>
      </c>
      <c r="J211" t="s">
        <v>1024</v>
      </c>
      <c r="K211" t="s">
        <v>1025</v>
      </c>
      <c r="L211" t="s">
        <v>1026</v>
      </c>
      <c r="M211" t="s">
        <v>1027</v>
      </c>
      <c r="O211" t="s">
        <v>62</v>
      </c>
      <c r="P211" t="s">
        <v>63</v>
      </c>
      <c r="Q211">
        <v>0.74771430806949601</v>
      </c>
      <c r="R211" t="s">
        <v>64</v>
      </c>
      <c r="S211" t="s">
        <v>65</v>
      </c>
      <c r="T211" t="s">
        <v>1028</v>
      </c>
      <c r="V211" t="s">
        <v>1029</v>
      </c>
      <c r="X211" t="s">
        <v>1030</v>
      </c>
      <c r="Y211" t="s">
        <v>1072</v>
      </c>
      <c r="Z211" t="s">
        <v>1073</v>
      </c>
      <c r="AA211" t="s">
        <v>119</v>
      </c>
      <c r="AB211" t="s">
        <v>453</v>
      </c>
      <c r="AC211" t="s">
        <v>57</v>
      </c>
      <c r="AD211" t="s">
        <v>1032</v>
      </c>
      <c r="AE211" t="s">
        <v>1407</v>
      </c>
      <c r="AI211">
        <v>229.49310507026311</v>
      </c>
      <c r="AJ211">
        <v>3025.904553337522</v>
      </c>
    </row>
    <row r="212" spans="1:36" x14ac:dyDescent="0.25">
      <c r="A212">
        <v>211</v>
      </c>
      <c r="B212" t="s">
        <v>1446</v>
      </c>
      <c r="C212" t="s">
        <v>376</v>
      </c>
      <c r="D212" t="s">
        <v>1023</v>
      </c>
      <c r="E212" t="s">
        <v>37</v>
      </c>
      <c r="F212" t="s">
        <v>38</v>
      </c>
      <c r="G212" s="2">
        <v>45868</v>
      </c>
      <c r="H212">
        <v>1.56</v>
      </c>
      <c r="I212" t="s">
        <v>72</v>
      </c>
      <c r="J212" t="s">
        <v>1024</v>
      </c>
      <c r="K212" t="s">
        <v>1025</v>
      </c>
      <c r="L212" t="s">
        <v>1026</v>
      </c>
      <c r="M212" t="s">
        <v>1027</v>
      </c>
      <c r="O212" t="s">
        <v>62</v>
      </c>
      <c r="P212" t="s">
        <v>63</v>
      </c>
      <c r="Q212">
        <v>1.5473056242525129</v>
      </c>
      <c r="R212" t="s">
        <v>64</v>
      </c>
      <c r="S212" t="s">
        <v>65</v>
      </c>
      <c r="T212" t="s">
        <v>1028</v>
      </c>
      <c r="V212" t="s">
        <v>1029</v>
      </c>
      <c r="X212" t="s">
        <v>1030</v>
      </c>
      <c r="Y212" t="s">
        <v>1072</v>
      </c>
      <c r="Z212" t="s">
        <v>1073</v>
      </c>
      <c r="AA212" t="s">
        <v>119</v>
      </c>
      <c r="AB212" t="s">
        <v>453</v>
      </c>
      <c r="AC212" t="s">
        <v>57</v>
      </c>
      <c r="AD212" t="s">
        <v>1032</v>
      </c>
      <c r="AE212" t="s">
        <v>1407</v>
      </c>
      <c r="AI212">
        <v>329.11140988027142</v>
      </c>
      <c r="AJ212">
        <v>6261.7487498918736</v>
      </c>
    </row>
    <row r="213" spans="1:36" x14ac:dyDescent="0.25">
      <c r="A213">
        <v>212</v>
      </c>
      <c r="B213" t="s">
        <v>1447</v>
      </c>
      <c r="C213" t="s">
        <v>376</v>
      </c>
      <c r="D213" t="s">
        <v>1023</v>
      </c>
      <c r="E213" t="s">
        <v>37</v>
      </c>
      <c r="F213" t="s">
        <v>38</v>
      </c>
      <c r="G213" s="2">
        <v>45867</v>
      </c>
      <c r="H213">
        <v>3.2</v>
      </c>
      <c r="I213" t="s">
        <v>72</v>
      </c>
      <c r="J213" t="s">
        <v>1024</v>
      </c>
      <c r="K213" t="s">
        <v>1025</v>
      </c>
      <c r="L213" t="s">
        <v>1026</v>
      </c>
      <c r="M213" t="s">
        <v>1027</v>
      </c>
      <c r="O213" t="s">
        <v>62</v>
      </c>
      <c r="P213" t="s">
        <v>63</v>
      </c>
      <c r="Q213">
        <v>3.6851045011380341</v>
      </c>
      <c r="R213" t="s">
        <v>64</v>
      </c>
      <c r="S213" t="s">
        <v>65</v>
      </c>
      <c r="T213" t="s">
        <v>1448</v>
      </c>
      <c r="V213" t="s">
        <v>64</v>
      </c>
      <c r="X213" t="s">
        <v>1449</v>
      </c>
      <c r="Y213" t="s">
        <v>1340</v>
      </c>
      <c r="Z213" t="s">
        <v>1073</v>
      </c>
      <c r="AA213" t="s">
        <v>629</v>
      </c>
      <c r="AB213" t="s">
        <v>453</v>
      </c>
      <c r="AC213" t="s">
        <v>1450</v>
      </c>
      <c r="AD213" t="s">
        <v>145</v>
      </c>
      <c r="AI213">
        <v>578.66132290866415</v>
      </c>
      <c r="AJ213">
        <v>14913.148470179831</v>
      </c>
    </row>
    <row r="214" spans="1:36" hidden="1" x14ac:dyDescent="0.25">
      <c r="A214">
        <v>213</v>
      </c>
      <c r="B214" t="s">
        <v>1424</v>
      </c>
      <c r="C214" t="s">
        <v>376</v>
      </c>
      <c r="D214" t="s">
        <v>1023</v>
      </c>
      <c r="E214" t="s">
        <v>37</v>
      </c>
      <c r="F214" t="s">
        <v>38</v>
      </c>
      <c r="G214" s="2">
        <v>45867</v>
      </c>
      <c r="H214">
        <v>0.52100000000000002</v>
      </c>
      <c r="I214" t="s">
        <v>72</v>
      </c>
      <c r="J214" t="s">
        <v>1024</v>
      </c>
      <c r="K214" t="s">
        <v>1025</v>
      </c>
      <c r="L214" t="s">
        <v>1026</v>
      </c>
      <c r="M214" t="s">
        <v>1027</v>
      </c>
      <c r="O214" t="s">
        <v>1081</v>
      </c>
      <c r="P214" t="s">
        <v>116</v>
      </c>
      <c r="Q214">
        <v>0.52052349036698009</v>
      </c>
      <c r="S214" t="s">
        <v>38</v>
      </c>
      <c r="T214" t="s">
        <v>1451</v>
      </c>
      <c r="V214" t="s">
        <v>71</v>
      </c>
      <c r="X214" t="s">
        <v>1426</v>
      </c>
      <c r="Y214" t="s">
        <v>1340</v>
      </c>
      <c r="Z214" t="s">
        <v>1427</v>
      </c>
      <c r="AA214" t="s">
        <v>563</v>
      </c>
      <c r="AB214" t="s">
        <v>453</v>
      </c>
      <c r="AC214" t="s">
        <v>1428</v>
      </c>
      <c r="AD214" t="s">
        <v>758</v>
      </c>
      <c r="AE214" t="s">
        <v>1429</v>
      </c>
      <c r="AI214">
        <v>200.85554954502649</v>
      </c>
      <c r="AJ214">
        <v>2106.492255962276</v>
      </c>
    </row>
    <row r="215" spans="1:36" hidden="1" x14ac:dyDescent="0.25">
      <c r="A215">
        <v>214</v>
      </c>
      <c r="B215" t="s">
        <v>1424</v>
      </c>
      <c r="C215" t="s">
        <v>376</v>
      </c>
      <c r="D215" t="s">
        <v>1023</v>
      </c>
      <c r="E215" t="s">
        <v>37</v>
      </c>
      <c r="F215" t="s">
        <v>38</v>
      </c>
      <c r="G215" s="2">
        <v>45867</v>
      </c>
      <c r="H215">
        <v>0.70399999999999996</v>
      </c>
      <c r="I215" t="s">
        <v>72</v>
      </c>
      <c r="J215" t="s">
        <v>1024</v>
      </c>
      <c r="K215" t="s">
        <v>1025</v>
      </c>
      <c r="L215" t="s">
        <v>1026</v>
      </c>
      <c r="M215" t="s">
        <v>1027</v>
      </c>
      <c r="O215" t="s">
        <v>1081</v>
      </c>
      <c r="P215" t="s">
        <v>116</v>
      </c>
      <c r="Q215">
        <v>0.70426447684630944</v>
      </c>
      <c r="S215" t="s">
        <v>38</v>
      </c>
      <c r="T215" t="s">
        <v>1452</v>
      </c>
      <c r="V215" t="s">
        <v>71</v>
      </c>
      <c r="X215" t="s">
        <v>1426</v>
      </c>
      <c r="Y215" t="s">
        <v>1340</v>
      </c>
      <c r="Z215" t="s">
        <v>1427</v>
      </c>
      <c r="AA215" t="s">
        <v>50</v>
      </c>
      <c r="AB215" t="s">
        <v>453</v>
      </c>
      <c r="AC215" t="s">
        <v>1428</v>
      </c>
      <c r="AD215" t="s">
        <v>758</v>
      </c>
      <c r="AE215" t="s">
        <v>1429</v>
      </c>
      <c r="AI215">
        <v>252.4101264976216</v>
      </c>
      <c r="AJ215">
        <v>2850.068621456749</v>
      </c>
    </row>
    <row r="216" spans="1:36" hidden="1" x14ac:dyDescent="0.25">
      <c r="A216">
        <v>215</v>
      </c>
      <c r="B216" t="s">
        <v>1424</v>
      </c>
      <c r="C216" t="s">
        <v>376</v>
      </c>
      <c r="D216" t="s">
        <v>1023</v>
      </c>
      <c r="E216" t="s">
        <v>37</v>
      </c>
      <c r="F216" t="s">
        <v>38</v>
      </c>
      <c r="G216" s="2">
        <v>45867</v>
      </c>
      <c r="H216">
        <v>0.44800000000000001</v>
      </c>
      <c r="I216" t="s">
        <v>72</v>
      </c>
      <c r="J216" t="s">
        <v>1024</v>
      </c>
      <c r="K216" t="s">
        <v>1025</v>
      </c>
      <c r="L216" t="s">
        <v>1026</v>
      </c>
      <c r="M216" t="s">
        <v>1027</v>
      </c>
      <c r="O216" t="s">
        <v>1081</v>
      </c>
      <c r="P216" t="s">
        <v>116</v>
      </c>
      <c r="Q216">
        <v>0.44839558077986857</v>
      </c>
      <c r="S216" t="s">
        <v>38</v>
      </c>
      <c r="T216" t="s">
        <v>1453</v>
      </c>
      <c r="V216" t="s">
        <v>71</v>
      </c>
      <c r="X216" t="s">
        <v>1426</v>
      </c>
      <c r="Y216" t="s">
        <v>1340</v>
      </c>
      <c r="Z216" t="s">
        <v>1427</v>
      </c>
      <c r="AA216" t="s">
        <v>50</v>
      </c>
      <c r="AB216" t="s">
        <v>453</v>
      </c>
      <c r="AC216" t="s">
        <v>1428</v>
      </c>
      <c r="AD216" t="s">
        <v>758</v>
      </c>
      <c r="AE216" t="s">
        <v>1429</v>
      </c>
      <c r="AI216">
        <v>211.6826738515409</v>
      </c>
      <c r="AJ216">
        <v>1814.5997942467079</v>
      </c>
    </row>
    <row r="217" spans="1:36" hidden="1" x14ac:dyDescent="0.25">
      <c r="A217">
        <v>216</v>
      </c>
      <c r="C217" t="s">
        <v>376</v>
      </c>
      <c r="D217" t="s">
        <v>1023</v>
      </c>
      <c r="E217" t="s">
        <v>37</v>
      </c>
      <c r="F217" t="s">
        <v>38</v>
      </c>
      <c r="G217" s="2">
        <v>45867</v>
      </c>
      <c r="H217">
        <v>4.71</v>
      </c>
      <c r="I217" t="s">
        <v>72</v>
      </c>
      <c r="J217" t="s">
        <v>1024</v>
      </c>
      <c r="K217" t="s">
        <v>1025</v>
      </c>
      <c r="L217" t="s">
        <v>1026</v>
      </c>
      <c r="M217" t="s">
        <v>1027</v>
      </c>
      <c r="O217" t="s">
        <v>87</v>
      </c>
      <c r="P217" t="s">
        <v>88</v>
      </c>
      <c r="Q217">
        <v>5.2903565164656179</v>
      </c>
      <c r="R217" t="s">
        <v>46</v>
      </c>
      <c r="S217" t="s">
        <v>47</v>
      </c>
      <c r="T217" t="s">
        <v>1454</v>
      </c>
      <c r="V217" t="s">
        <v>71</v>
      </c>
      <c r="X217" t="s">
        <v>1455</v>
      </c>
      <c r="Y217" t="s">
        <v>1340</v>
      </c>
      <c r="Z217" t="s">
        <v>1427</v>
      </c>
      <c r="AA217" t="s">
        <v>50</v>
      </c>
      <c r="AB217" t="s">
        <v>453</v>
      </c>
      <c r="AD217" t="s">
        <v>399</v>
      </c>
      <c r="AE217" t="s">
        <v>1456</v>
      </c>
      <c r="AI217">
        <v>696.10135759394927</v>
      </c>
      <c r="AJ217">
        <v>21409.398882954469</v>
      </c>
    </row>
    <row r="218" spans="1:36" x14ac:dyDescent="0.25">
      <c r="A218">
        <v>217</v>
      </c>
      <c r="C218" t="s">
        <v>376</v>
      </c>
      <c r="D218" t="s">
        <v>1023</v>
      </c>
      <c r="E218" t="s">
        <v>37</v>
      </c>
      <c r="F218" t="s">
        <v>38</v>
      </c>
      <c r="G218" s="2">
        <v>45867</v>
      </c>
      <c r="H218">
        <v>1.3</v>
      </c>
      <c r="I218" t="s">
        <v>72</v>
      </c>
      <c r="J218" t="s">
        <v>1024</v>
      </c>
      <c r="K218" t="s">
        <v>1025</v>
      </c>
      <c r="L218" t="s">
        <v>1026</v>
      </c>
      <c r="M218" t="s">
        <v>1027</v>
      </c>
      <c r="N218" t="s">
        <v>1257</v>
      </c>
      <c r="O218" t="s">
        <v>62</v>
      </c>
      <c r="P218" t="s">
        <v>63</v>
      </c>
      <c r="Q218">
        <v>1.303102539738729</v>
      </c>
      <c r="R218" t="s">
        <v>64</v>
      </c>
      <c r="S218" t="s">
        <v>65</v>
      </c>
      <c r="T218" t="s">
        <v>1299</v>
      </c>
      <c r="V218" t="s">
        <v>75</v>
      </c>
      <c r="X218" t="s">
        <v>1300</v>
      </c>
      <c r="Y218" t="s">
        <v>1095</v>
      </c>
      <c r="Z218" t="s">
        <v>1073</v>
      </c>
      <c r="AA218" t="s">
        <v>942</v>
      </c>
      <c r="AB218" t="s">
        <v>453</v>
      </c>
      <c r="AD218" t="s">
        <v>93</v>
      </c>
      <c r="AE218" t="s">
        <v>1304</v>
      </c>
      <c r="AI218">
        <v>305.04676487683997</v>
      </c>
      <c r="AJ218">
        <v>5273.4899759262353</v>
      </c>
    </row>
    <row r="219" spans="1:36" x14ac:dyDescent="0.25">
      <c r="A219">
        <v>218</v>
      </c>
      <c r="C219" t="s">
        <v>376</v>
      </c>
      <c r="D219" t="s">
        <v>1023</v>
      </c>
      <c r="E219" t="s">
        <v>37</v>
      </c>
      <c r="F219" t="s">
        <v>38</v>
      </c>
      <c r="G219" s="2">
        <v>45867</v>
      </c>
      <c r="H219">
        <v>0.89</v>
      </c>
      <c r="I219" t="s">
        <v>72</v>
      </c>
      <c r="J219" t="s">
        <v>1024</v>
      </c>
      <c r="K219" t="s">
        <v>1025</v>
      </c>
      <c r="L219" t="s">
        <v>1026</v>
      </c>
      <c r="M219" t="s">
        <v>1027</v>
      </c>
      <c r="N219" t="s">
        <v>1257</v>
      </c>
      <c r="O219" t="s">
        <v>62</v>
      </c>
      <c r="P219" t="s">
        <v>63</v>
      </c>
      <c r="Q219">
        <v>0.90517028285093537</v>
      </c>
      <c r="R219" t="s">
        <v>64</v>
      </c>
      <c r="S219" t="s">
        <v>65</v>
      </c>
      <c r="T219" t="s">
        <v>1299</v>
      </c>
      <c r="V219" t="s">
        <v>75</v>
      </c>
      <c r="X219" t="s">
        <v>1300</v>
      </c>
      <c r="Y219" t="s">
        <v>1095</v>
      </c>
      <c r="Z219" t="s">
        <v>1073</v>
      </c>
      <c r="AA219" t="s">
        <v>942</v>
      </c>
      <c r="AB219" t="s">
        <v>453</v>
      </c>
      <c r="AD219" t="s">
        <v>93</v>
      </c>
      <c r="AE219" t="s">
        <v>1304</v>
      </c>
      <c r="AI219">
        <v>293.89369421244101</v>
      </c>
      <c r="AJ219">
        <v>3663.1088249415789</v>
      </c>
    </row>
    <row r="220" spans="1:36" x14ac:dyDescent="0.25">
      <c r="A220">
        <v>219</v>
      </c>
      <c r="C220" t="s">
        <v>376</v>
      </c>
      <c r="D220" t="s">
        <v>1023</v>
      </c>
      <c r="E220" t="s">
        <v>37</v>
      </c>
      <c r="F220" t="s">
        <v>38</v>
      </c>
      <c r="G220" s="2">
        <v>45867</v>
      </c>
      <c r="H220">
        <v>0.4</v>
      </c>
      <c r="I220" t="s">
        <v>72</v>
      </c>
      <c r="J220" t="s">
        <v>1024</v>
      </c>
      <c r="K220" t="s">
        <v>1025</v>
      </c>
      <c r="L220" t="s">
        <v>1026</v>
      </c>
      <c r="M220" t="s">
        <v>1027</v>
      </c>
      <c r="N220" t="s">
        <v>1257</v>
      </c>
      <c r="O220" t="s">
        <v>62</v>
      </c>
      <c r="P220" t="s">
        <v>63</v>
      </c>
      <c r="Q220">
        <v>0.31338375378768341</v>
      </c>
      <c r="R220" t="s">
        <v>64</v>
      </c>
      <c r="S220" t="s">
        <v>65</v>
      </c>
      <c r="T220" t="s">
        <v>1299</v>
      </c>
      <c r="V220" t="s">
        <v>75</v>
      </c>
      <c r="X220" t="s">
        <v>1300</v>
      </c>
      <c r="Y220" t="s">
        <v>1095</v>
      </c>
      <c r="Z220" t="s">
        <v>1073</v>
      </c>
      <c r="AA220" t="s">
        <v>942</v>
      </c>
      <c r="AB220" t="s">
        <v>453</v>
      </c>
      <c r="AD220" t="s">
        <v>93</v>
      </c>
      <c r="AE220" t="s">
        <v>1301</v>
      </c>
      <c r="AI220">
        <v>145.73603469000639</v>
      </c>
      <c r="AJ220">
        <v>1268.2241295829519</v>
      </c>
    </row>
    <row r="221" spans="1:36" x14ac:dyDescent="0.25">
      <c r="A221">
        <v>220</v>
      </c>
      <c r="C221" t="s">
        <v>376</v>
      </c>
      <c r="D221" t="s">
        <v>1023</v>
      </c>
      <c r="E221" t="s">
        <v>37</v>
      </c>
      <c r="F221" t="s">
        <v>38</v>
      </c>
      <c r="G221" s="2">
        <v>45867</v>
      </c>
      <c r="H221">
        <v>1.3</v>
      </c>
      <c r="I221" t="s">
        <v>72</v>
      </c>
      <c r="J221" t="s">
        <v>1024</v>
      </c>
      <c r="K221" t="s">
        <v>1025</v>
      </c>
      <c r="L221" t="s">
        <v>1026</v>
      </c>
      <c r="M221" t="s">
        <v>1027</v>
      </c>
      <c r="N221" t="s">
        <v>1257</v>
      </c>
      <c r="O221" t="s">
        <v>62</v>
      </c>
      <c r="P221" t="s">
        <v>63</v>
      </c>
      <c r="Q221">
        <v>1.8796929096630739</v>
      </c>
      <c r="R221" t="s">
        <v>64</v>
      </c>
      <c r="S221" t="s">
        <v>65</v>
      </c>
      <c r="T221" t="s">
        <v>1249</v>
      </c>
      <c r="V221" t="s">
        <v>75</v>
      </c>
      <c r="X221" t="s">
        <v>1258</v>
      </c>
      <c r="Y221" t="s">
        <v>1095</v>
      </c>
      <c r="Z221" t="s">
        <v>1073</v>
      </c>
      <c r="AA221" t="s">
        <v>942</v>
      </c>
      <c r="AB221" t="s">
        <v>453</v>
      </c>
      <c r="AD221" t="s">
        <v>1230</v>
      </c>
      <c r="AE221" t="s">
        <v>1292</v>
      </c>
      <c r="AI221">
        <v>340.58132942445673</v>
      </c>
      <c r="AJ221">
        <v>7606.8777510903301</v>
      </c>
    </row>
    <row r="222" spans="1:36" x14ac:dyDescent="0.25">
      <c r="A222">
        <v>221</v>
      </c>
      <c r="C222" t="s">
        <v>376</v>
      </c>
      <c r="D222" t="s">
        <v>1023</v>
      </c>
      <c r="E222" t="s">
        <v>37</v>
      </c>
      <c r="F222" t="s">
        <v>38</v>
      </c>
      <c r="G222" s="2">
        <v>45867</v>
      </c>
      <c r="H222">
        <v>1.26</v>
      </c>
      <c r="I222" t="s">
        <v>72</v>
      </c>
      <c r="J222" t="s">
        <v>1024</v>
      </c>
      <c r="K222" t="s">
        <v>1025</v>
      </c>
      <c r="L222" t="s">
        <v>1026</v>
      </c>
      <c r="M222" t="s">
        <v>1027</v>
      </c>
      <c r="N222" t="s">
        <v>1257</v>
      </c>
      <c r="O222" t="s">
        <v>62</v>
      </c>
      <c r="P222" t="s">
        <v>63</v>
      </c>
      <c r="Q222">
        <v>1.2615663858185211</v>
      </c>
      <c r="R222" t="s">
        <v>64</v>
      </c>
      <c r="S222" t="s">
        <v>65</v>
      </c>
      <c r="T222" t="s">
        <v>1249</v>
      </c>
      <c r="V222" t="s">
        <v>75</v>
      </c>
      <c r="X222" t="s">
        <v>1258</v>
      </c>
      <c r="Y222" t="s">
        <v>1095</v>
      </c>
      <c r="Z222" t="s">
        <v>1073</v>
      </c>
      <c r="AA222" t="s">
        <v>942</v>
      </c>
      <c r="AB222" t="s">
        <v>453</v>
      </c>
      <c r="AD222" t="s">
        <v>1230</v>
      </c>
      <c r="AE222" t="s">
        <v>1292</v>
      </c>
      <c r="AI222">
        <v>321.47110036543171</v>
      </c>
      <c r="AJ222">
        <v>5105.3984523070267</v>
      </c>
    </row>
    <row r="223" spans="1:36" x14ac:dyDescent="0.25">
      <c r="A223">
        <v>222</v>
      </c>
      <c r="C223" t="s">
        <v>376</v>
      </c>
      <c r="D223" t="s">
        <v>1023</v>
      </c>
      <c r="E223" t="s">
        <v>37</v>
      </c>
      <c r="F223" t="s">
        <v>38</v>
      </c>
      <c r="G223" s="2">
        <v>45867</v>
      </c>
      <c r="H223">
        <v>1.2</v>
      </c>
      <c r="I223" t="s">
        <v>72</v>
      </c>
      <c r="J223" t="s">
        <v>1024</v>
      </c>
      <c r="K223" t="s">
        <v>1025</v>
      </c>
      <c r="L223" t="s">
        <v>1026</v>
      </c>
      <c r="M223" t="s">
        <v>1027</v>
      </c>
      <c r="N223" t="s">
        <v>1257</v>
      </c>
      <c r="O223" t="s">
        <v>62</v>
      </c>
      <c r="P223" t="s">
        <v>63</v>
      </c>
      <c r="Q223">
        <v>1.8918509441589491</v>
      </c>
      <c r="R223" t="s">
        <v>64</v>
      </c>
      <c r="S223" t="s">
        <v>65</v>
      </c>
      <c r="T223" t="s">
        <v>1249</v>
      </c>
      <c r="V223" t="s">
        <v>75</v>
      </c>
      <c r="X223" t="s">
        <v>1258</v>
      </c>
      <c r="Y223" t="s">
        <v>1095</v>
      </c>
      <c r="Z223" t="s">
        <v>1073</v>
      </c>
      <c r="AA223" t="s">
        <v>942</v>
      </c>
      <c r="AB223" t="s">
        <v>453</v>
      </c>
      <c r="AD223" t="s">
        <v>1230</v>
      </c>
      <c r="AE223" t="s">
        <v>1292</v>
      </c>
      <c r="AI223">
        <v>350.90793941365882</v>
      </c>
      <c r="AJ223">
        <v>7656.0797678815916</v>
      </c>
    </row>
    <row r="224" spans="1:36" x14ac:dyDescent="0.25">
      <c r="A224">
        <v>223</v>
      </c>
      <c r="C224" t="s">
        <v>376</v>
      </c>
      <c r="D224" t="s">
        <v>1023</v>
      </c>
      <c r="E224" t="s">
        <v>37</v>
      </c>
      <c r="F224" t="s">
        <v>38</v>
      </c>
      <c r="G224" s="2">
        <v>45867</v>
      </c>
      <c r="H224">
        <v>3.4</v>
      </c>
      <c r="I224" t="s">
        <v>72</v>
      </c>
      <c r="J224" t="s">
        <v>1024</v>
      </c>
      <c r="K224" t="s">
        <v>1025</v>
      </c>
      <c r="L224" t="s">
        <v>1026</v>
      </c>
      <c r="M224" t="s">
        <v>1027</v>
      </c>
      <c r="N224" t="s">
        <v>1257</v>
      </c>
      <c r="O224" t="s">
        <v>62</v>
      </c>
      <c r="P224" t="s">
        <v>63</v>
      </c>
      <c r="Q224">
        <v>2.8273786743809501</v>
      </c>
      <c r="R224" t="s">
        <v>64</v>
      </c>
      <c r="S224" t="s">
        <v>65</v>
      </c>
      <c r="T224" t="s">
        <v>1249</v>
      </c>
      <c r="V224" t="s">
        <v>75</v>
      </c>
      <c r="X224" t="s">
        <v>1258</v>
      </c>
      <c r="Y224" t="s">
        <v>1095</v>
      </c>
      <c r="Z224" t="s">
        <v>1073</v>
      </c>
      <c r="AA224" t="s">
        <v>942</v>
      </c>
      <c r="AB224" t="s">
        <v>453</v>
      </c>
      <c r="AD224" t="s">
        <v>1230</v>
      </c>
      <c r="AE224" t="s">
        <v>1292</v>
      </c>
      <c r="AI224">
        <v>436.4707181590926</v>
      </c>
      <c r="AJ224">
        <v>11442.041315094841</v>
      </c>
    </row>
    <row r="225" spans="1:36" x14ac:dyDescent="0.25">
      <c r="A225">
        <v>224</v>
      </c>
      <c r="C225" t="s">
        <v>376</v>
      </c>
      <c r="D225" t="s">
        <v>1023</v>
      </c>
      <c r="E225" t="s">
        <v>37</v>
      </c>
      <c r="F225" t="s">
        <v>38</v>
      </c>
      <c r="G225" s="2">
        <v>45867</v>
      </c>
      <c r="H225">
        <v>0.7</v>
      </c>
      <c r="I225" t="s">
        <v>72</v>
      </c>
      <c r="J225" t="s">
        <v>1024</v>
      </c>
      <c r="K225" t="s">
        <v>1025</v>
      </c>
      <c r="L225" t="s">
        <v>1026</v>
      </c>
      <c r="M225" t="s">
        <v>1027</v>
      </c>
      <c r="N225" t="s">
        <v>1257</v>
      </c>
      <c r="O225" t="s">
        <v>62</v>
      </c>
      <c r="P225" t="s">
        <v>63</v>
      </c>
      <c r="Q225">
        <v>0.77650576544879835</v>
      </c>
      <c r="R225" t="s">
        <v>64</v>
      </c>
      <c r="S225" t="s">
        <v>65</v>
      </c>
      <c r="T225" t="s">
        <v>1249</v>
      </c>
      <c r="V225" t="s">
        <v>75</v>
      </c>
      <c r="X225" t="s">
        <v>1258</v>
      </c>
      <c r="Y225" t="s">
        <v>1095</v>
      </c>
      <c r="Z225" t="s">
        <v>1073</v>
      </c>
      <c r="AA225" t="s">
        <v>942</v>
      </c>
      <c r="AB225" t="s">
        <v>453</v>
      </c>
      <c r="AD225" t="s">
        <v>1230</v>
      </c>
      <c r="AE225" t="s">
        <v>1288</v>
      </c>
      <c r="AI225">
        <v>257.953764350396</v>
      </c>
      <c r="AJ225">
        <v>3142.4199136041821</v>
      </c>
    </row>
    <row r="226" spans="1:36" x14ac:dyDescent="0.25">
      <c r="A226">
        <v>225</v>
      </c>
      <c r="C226" t="s">
        <v>376</v>
      </c>
      <c r="D226" t="s">
        <v>1023</v>
      </c>
      <c r="E226" t="s">
        <v>37</v>
      </c>
      <c r="F226" t="s">
        <v>38</v>
      </c>
      <c r="G226" s="2">
        <v>45867</v>
      </c>
      <c r="H226">
        <v>1.17</v>
      </c>
      <c r="I226" t="s">
        <v>72</v>
      </c>
      <c r="J226" t="s">
        <v>1024</v>
      </c>
      <c r="K226" t="s">
        <v>1025</v>
      </c>
      <c r="L226" t="s">
        <v>1026</v>
      </c>
      <c r="M226" t="s">
        <v>1027</v>
      </c>
      <c r="N226" t="s">
        <v>1257</v>
      </c>
      <c r="O226" t="s">
        <v>62</v>
      </c>
      <c r="P226" t="s">
        <v>63</v>
      </c>
      <c r="Q226">
        <v>1.166357236519858</v>
      </c>
      <c r="R226" t="s">
        <v>64</v>
      </c>
      <c r="S226" t="s">
        <v>65</v>
      </c>
      <c r="T226" t="s">
        <v>1249</v>
      </c>
      <c r="V226" t="s">
        <v>76</v>
      </c>
      <c r="X226" t="s">
        <v>1258</v>
      </c>
      <c r="Y226" t="s">
        <v>1095</v>
      </c>
      <c r="Z226" t="s">
        <v>1073</v>
      </c>
      <c r="AA226" t="s">
        <v>942</v>
      </c>
      <c r="AB226" t="s">
        <v>453</v>
      </c>
      <c r="AD226" t="s">
        <v>1230</v>
      </c>
      <c r="AE226" t="s">
        <v>1268</v>
      </c>
      <c r="AI226">
        <v>357.59320405631797</v>
      </c>
      <c r="AJ226">
        <v>4720.0991538008366</v>
      </c>
    </row>
    <row r="227" spans="1:36" x14ac:dyDescent="0.25">
      <c r="A227">
        <v>226</v>
      </c>
      <c r="C227" t="s">
        <v>376</v>
      </c>
      <c r="D227" t="s">
        <v>1023</v>
      </c>
      <c r="E227" t="s">
        <v>37</v>
      </c>
      <c r="F227" t="s">
        <v>38</v>
      </c>
      <c r="G227" s="2">
        <v>45867</v>
      </c>
      <c r="H227">
        <v>0.5</v>
      </c>
      <c r="I227" t="s">
        <v>72</v>
      </c>
      <c r="J227" t="s">
        <v>1024</v>
      </c>
      <c r="K227" t="s">
        <v>1025</v>
      </c>
      <c r="L227" t="s">
        <v>1026</v>
      </c>
      <c r="M227" t="s">
        <v>1027</v>
      </c>
      <c r="N227" t="s">
        <v>1257</v>
      </c>
      <c r="O227" t="s">
        <v>62</v>
      </c>
      <c r="P227" t="s">
        <v>63</v>
      </c>
      <c r="Q227">
        <v>0.50809525873111483</v>
      </c>
      <c r="R227" t="s">
        <v>64</v>
      </c>
      <c r="S227" t="s">
        <v>65</v>
      </c>
      <c r="T227" t="s">
        <v>1249</v>
      </c>
      <c r="V227" t="s">
        <v>76</v>
      </c>
      <c r="X227" t="s">
        <v>673</v>
      </c>
      <c r="Y227" t="s">
        <v>1095</v>
      </c>
      <c r="Z227" t="s">
        <v>1073</v>
      </c>
      <c r="AA227" t="s">
        <v>942</v>
      </c>
      <c r="AB227" t="s">
        <v>453</v>
      </c>
      <c r="AI227">
        <v>216.35329762184239</v>
      </c>
      <c r="AJ227">
        <v>2056.1967857659201</v>
      </c>
    </row>
    <row r="228" spans="1:36" x14ac:dyDescent="0.25">
      <c r="A228">
        <v>227</v>
      </c>
      <c r="C228" t="s">
        <v>376</v>
      </c>
      <c r="D228" t="s">
        <v>1023</v>
      </c>
      <c r="E228" t="s">
        <v>37</v>
      </c>
      <c r="F228" t="s">
        <v>38</v>
      </c>
      <c r="G228" s="2">
        <v>45867</v>
      </c>
      <c r="H228">
        <v>0.49</v>
      </c>
      <c r="I228" t="s">
        <v>72</v>
      </c>
      <c r="J228" t="s">
        <v>1024</v>
      </c>
      <c r="K228" t="s">
        <v>1025</v>
      </c>
      <c r="L228" t="s">
        <v>1026</v>
      </c>
      <c r="M228" t="s">
        <v>1027</v>
      </c>
      <c r="N228" t="s">
        <v>1257</v>
      </c>
      <c r="O228" t="s">
        <v>62</v>
      </c>
      <c r="P228" t="s">
        <v>63</v>
      </c>
      <c r="Q228">
        <v>0.49244704334548761</v>
      </c>
      <c r="R228" t="s">
        <v>64</v>
      </c>
      <c r="S228" t="s">
        <v>65</v>
      </c>
      <c r="T228" t="s">
        <v>1249</v>
      </c>
      <c r="V228" t="s">
        <v>76</v>
      </c>
      <c r="X228" t="s">
        <v>1258</v>
      </c>
      <c r="Y228" t="s">
        <v>1095</v>
      </c>
      <c r="Z228" t="s">
        <v>1073</v>
      </c>
      <c r="AA228" t="s">
        <v>942</v>
      </c>
      <c r="AB228" t="s">
        <v>453</v>
      </c>
      <c r="AD228" t="s">
        <v>1230</v>
      </c>
      <c r="AE228" t="s">
        <v>1251</v>
      </c>
      <c r="AI228">
        <v>344.83898369068618</v>
      </c>
      <c r="AJ228">
        <v>1992.8704515284121</v>
      </c>
    </row>
    <row r="229" spans="1:36" hidden="1" x14ac:dyDescent="0.25">
      <c r="A229">
        <v>228</v>
      </c>
      <c r="C229" t="s">
        <v>376</v>
      </c>
      <c r="D229" t="s">
        <v>1023</v>
      </c>
      <c r="E229" t="s">
        <v>37</v>
      </c>
      <c r="F229" t="s">
        <v>38</v>
      </c>
      <c r="G229" s="2">
        <v>45867</v>
      </c>
      <c r="H229">
        <v>2.7</v>
      </c>
      <c r="I229" t="s">
        <v>72</v>
      </c>
      <c r="J229" t="s">
        <v>1024</v>
      </c>
      <c r="K229" t="s">
        <v>1025</v>
      </c>
      <c r="L229" t="s">
        <v>1026</v>
      </c>
      <c r="M229" t="s">
        <v>1027</v>
      </c>
      <c r="N229" t="s">
        <v>1257</v>
      </c>
      <c r="O229" t="s">
        <v>79</v>
      </c>
      <c r="P229" t="s">
        <v>80</v>
      </c>
      <c r="Q229">
        <v>2.6997216996709832</v>
      </c>
      <c r="R229" t="s">
        <v>46</v>
      </c>
      <c r="S229" t="s">
        <v>47</v>
      </c>
      <c r="T229" t="s">
        <v>1249</v>
      </c>
      <c r="V229" t="s">
        <v>76</v>
      </c>
      <c r="X229" t="s">
        <v>1250</v>
      </c>
      <c r="Y229" t="s">
        <v>1095</v>
      </c>
      <c r="Z229" t="s">
        <v>1073</v>
      </c>
      <c r="AA229" t="s">
        <v>942</v>
      </c>
      <c r="AB229" t="s">
        <v>453</v>
      </c>
      <c r="AD229" t="s">
        <v>1048</v>
      </c>
      <c r="AE229" t="s">
        <v>1251</v>
      </c>
      <c r="AI229">
        <v>485.33873320511998</v>
      </c>
      <c r="AJ229">
        <v>10925.429800681661</v>
      </c>
    </row>
    <row r="230" spans="1:36" x14ac:dyDescent="0.25">
      <c r="A230">
        <v>229</v>
      </c>
      <c r="C230" t="s">
        <v>376</v>
      </c>
      <c r="D230" t="s">
        <v>1023</v>
      </c>
      <c r="E230" t="s">
        <v>37</v>
      </c>
      <c r="F230" t="s">
        <v>38</v>
      </c>
      <c r="G230" s="2">
        <v>45867</v>
      </c>
      <c r="H230">
        <v>0.9</v>
      </c>
      <c r="I230" t="s">
        <v>72</v>
      </c>
      <c r="J230" t="s">
        <v>1024</v>
      </c>
      <c r="K230" t="s">
        <v>1025</v>
      </c>
      <c r="L230" t="s">
        <v>1026</v>
      </c>
      <c r="M230" t="s">
        <v>1027</v>
      </c>
      <c r="N230" t="s">
        <v>1257</v>
      </c>
      <c r="O230" t="s">
        <v>62</v>
      </c>
      <c r="P230" t="s">
        <v>63</v>
      </c>
      <c r="Q230">
        <v>0.90594915895694095</v>
      </c>
      <c r="R230" t="s">
        <v>64</v>
      </c>
      <c r="S230" t="s">
        <v>65</v>
      </c>
      <c r="T230" t="s">
        <v>1249</v>
      </c>
      <c r="V230" t="s">
        <v>76</v>
      </c>
      <c r="X230" t="s">
        <v>1258</v>
      </c>
      <c r="Y230" t="s">
        <v>1095</v>
      </c>
      <c r="Z230" t="s">
        <v>1073</v>
      </c>
      <c r="AA230" t="s">
        <v>942</v>
      </c>
      <c r="AB230" t="s">
        <v>453</v>
      </c>
      <c r="AD230" t="s">
        <v>1230</v>
      </c>
      <c r="AE230" t="s">
        <v>1264</v>
      </c>
      <c r="AI230">
        <v>257.92207076541968</v>
      </c>
      <c r="AJ230">
        <v>3666.2608373214589</v>
      </c>
    </row>
    <row r="231" spans="1:36" hidden="1" x14ac:dyDescent="0.25">
      <c r="A231">
        <v>230</v>
      </c>
      <c r="C231" t="s">
        <v>376</v>
      </c>
      <c r="D231" t="s">
        <v>1023</v>
      </c>
      <c r="E231" t="s">
        <v>37</v>
      </c>
      <c r="F231" t="s">
        <v>38</v>
      </c>
      <c r="G231" s="2">
        <v>45867</v>
      </c>
      <c r="H231">
        <v>1.19</v>
      </c>
      <c r="I231" t="s">
        <v>72</v>
      </c>
      <c r="J231" t="s">
        <v>1024</v>
      </c>
      <c r="K231" t="s">
        <v>1025</v>
      </c>
      <c r="L231" t="s">
        <v>1026</v>
      </c>
      <c r="M231" t="s">
        <v>1027</v>
      </c>
      <c r="N231" t="s">
        <v>1192</v>
      </c>
      <c r="O231" t="s">
        <v>79</v>
      </c>
      <c r="P231" t="s">
        <v>80</v>
      </c>
      <c r="Q231">
        <v>1.188167942101594</v>
      </c>
      <c r="R231" t="s">
        <v>46</v>
      </c>
      <c r="S231" t="s">
        <v>47</v>
      </c>
      <c r="T231" t="s">
        <v>673</v>
      </c>
      <c r="V231" t="s">
        <v>61</v>
      </c>
      <c r="X231" t="s">
        <v>673</v>
      </c>
      <c r="Y231" t="s">
        <v>1095</v>
      </c>
      <c r="Z231" t="s">
        <v>1073</v>
      </c>
      <c r="AA231" t="s">
        <v>397</v>
      </c>
      <c r="AB231" t="s">
        <v>453</v>
      </c>
      <c r="AI231">
        <v>302.80141248869472</v>
      </c>
      <c r="AJ231">
        <v>4808.3643008215977</v>
      </c>
    </row>
    <row r="232" spans="1:36" hidden="1" x14ac:dyDescent="0.25">
      <c r="A232">
        <v>231</v>
      </c>
      <c r="C232" t="s">
        <v>376</v>
      </c>
      <c r="D232" t="s">
        <v>1023</v>
      </c>
      <c r="E232" t="s">
        <v>37</v>
      </c>
      <c r="F232" t="s">
        <v>38</v>
      </c>
      <c r="G232" s="2">
        <v>45867</v>
      </c>
      <c r="H232">
        <v>0.8</v>
      </c>
      <c r="I232" t="s">
        <v>72</v>
      </c>
      <c r="J232" t="s">
        <v>1024</v>
      </c>
      <c r="K232" t="s">
        <v>1025</v>
      </c>
      <c r="L232" t="s">
        <v>1026</v>
      </c>
      <c r="M232" t="s">
        <v>1027</v>
      </c>
      <c r="N232" t="s">
        <v>1192</v>
      </c>
      <c r="O232" t="s">
        <v>79</v>
      </c>
      <c r="P232" t="s">
        <v>80</v>
      </c>
      <c r="Q232">
        <v>0.83057739762216232</v>
      </c>
      <c r="R232" t="s">
        <v>46</v>
      </c>
      <c r="S232" t="s">
        <v>47</v>
      </c>
      <c r="T232" t="s">
        <v>1228</v>
      </c>
      <c r="V232" t="s">
        <v>61</v>
      </c>
      <c r="X232" t="s">
        <v>1229</v>
      </c>
      <c r="Y232" t="s">
        <v>1095</v>
      </c>
      <c r="Z232" t="s">
        <v>1073</v>
      </c>
      <c r="AA232" t="s">
        <v>397</v>
      </c>
      <c r="AB232" t="s">
        <v>453</v>
      </c>
      <c r="AD232" t="s">
        <v>1230</v>
      </c>
      <c r="AE232" t="s">
        <v>1231</v>
      </c>
      <c r="AI232">
        <v>279.37041649020819</v>
      </c>
      <c r="AJ232">
        <v>3361.2409208177642</v>
      </c>
    </row>
    <row r="233" spans="1:36" hidden="1" x14ac:dyDescent="0.25">
      <c r="A233">
        <v>232</v>
      </c>
      <c r="C233" t="s">
        <v>376</v>
      </c>
      <c r="D233" t="s">
        <v>1023</v>
      </c>
      <c r="E233" t="s">
        <v>37</v>
      </c>
      <c r="F233" t="s">
        <v>38</v>
      </c>
      <c r="G233" s="2">
        <v>45867</v>
      </c>
      <c r="H233">
        <v>2.59</v>
      </c>
      <c r="I233" t="s">
        <v>72</v>
      </c>
      <c r="J233" t="s">
        <v>1024</v>
      </c>
      <c r="K233" t="s">
        <v>1025</v>
      </c>
      <c r="L233" t="s">
        <v>1026</v>
      </c>
      <c r="M233" t="s">
        <v>1027</v>
      </c>
      <c r="N233" t="s">
        <v>1192</v>
      </c>
      <c r="O233" t="s">
        <v>79</v>
      </c>
      <c r="P233" t="s">
        <v>80</v>
      </c>
      <c r="Q233">
        <v>2.600805556168194</v>
      </c>
      <c r="R233" t="s">
        <v>46</v>
      </c>
      <c r="S233" t="s">
        <v>47</v>
      </c>
      <c r="T233" t="s">
        <v>673</v>
      </c>
      <c r="V233" t="s">
        <v>61</v>
      </c>
      <c r="X233" t="s">
        <v>673</v>
      </c>
      <c r="Y233" t="s">
        <v>1095</v>
      </c>
      <c r="Z233" t="s">
        <v>1073</v>
      </c>
      <c r="AA233" t="s">
        <v>397</v>
      </c>
      <c r="AB233" t="s">
        <v>453</v>
      </c>
      <c r="AI233">
        <v>660.36209891119006</v>
      </c>
      <c r="AJ233">
        <v>10525.12876886583</v>
      </c>
    </row>
    <row r="234" spans="1:36" x14ac:dyDescent="0.25">
      <c r="A234">
        <v>233</v>
      </c>
      <c r="C234" t="s">
        <v>376</v>
      </c>
      <c r="D234" t="s">
        <v>1023</v>
      </c>
      <c r="E234" t="s">
        <v>37</v>
      </c>
      <c r="F234" t="s">
        <v>38</v>
      </c>
      <c r="G234" s="2">
        <v>45867</v>
      </c>
      <c r="H234">
        <v>2.1</v>
      </c>
      <c r="I234" t="s">
        <v>72</v>
      </c>
      <c r="J234" t="s">
        <v>1024</v>
      </c>
      <c r="K234" t="s">
        <v>1025</v>
      </c>
      <c r="L234" t="s">
        <v>1026</v>
      </c>
      <c r="M234" t="s">
        <v>1027</v>
      </c>
      <c r="N234" t="s">
        <v>1192</v>
      </c>
      <c r="O234" t="s">
        <v>62</v>
      </c>
      <c r="P234" t="s">
        <v>63</v>
      </c>
      <c r="Q234">
        <v>2.1157974808334701</v>
      </c>
      <c r="R234" t="s">
        <v>64</v>
      </c>
      <c r="S234" t="s">
        <v>65</v>
      </c>
      <c r="T234" t="s">
        <v>1213</v>
      </c>
      <c r="V234" t="s">
        <v>61</v>
      </c>
      <c r="X234" t="s">
        <v>1214</v>
      </c>
      <c r="Y234" t="s">
        <v>1095</v>
      </c>
      <c r="Z234" t="s">
        <v>1073</v>
      </c>
      <c r="AA234" t="s">
        <v>125</v>
      </c>
      <c r="AB234" t="s">
        <v>453</v>
      </c>
      <c r="AD234" t="s">
        <v>1215</v>
      </c>
      <c r="AE234" t="s">
        <v>1216</v>
      </c>
      <c r="AI234">
        <v>539.47465198094949</v>
      </c>
      <c r="AJ234">
        <v>8562.3628732259131</v>
      </c>
    </row>
    <row r="235" spans="1:36" x14ac:dyDescent="0.25">
      <c r="A235">
        <v>234</v>
      </c>
      <c r="C235" t="s">
        <v>376</v>
      </c>
      <c r="D235" t="s">
        <v>1023</v>
      </c>
      <c r="E235" t="s">
        <v>37</v>
      </c>
      <c r="F235" t="s">
        <v>38</v>
      </c>
      <c r="G235" s="2">
        <v>45867</v>
      </c>
      <c r="H235">
        <v>1.9</v>
      </c>
      <c r="I235" t="s">
        <v>72</v>
      </c>
      <c r="J235" t="s">
        <v>1024</v>
      </c>
      <c r="K235" t="s">
        <v>1025</v>
      </c>
      <c r="L235" t="s">
        <v>1026</v>
      </c>
      <c r="M235" t="s">
        <v>1027</v>
      </c>
      <c r="N235" t="s">
        <v>1192</v>
      </c>
      <c r="O235" t="s">
        <v>62</v>
      </c>
      <c r="P235" t="s">
        <v>63</v>
      </c>
      <c r="Q235">
        <v>1.9037589307217171</v>
      </c>
      <c r="R235" t="s">
        <v>64</v>
      </c>
      <c r="S235" t="s">
        <v>65</v>
      </c>
      <c r="T235" t="s">
        <v>1193</v>
      </c>
      <c r="V235" t="s">
        <v>61</v>
      </c>
      <c r="Y235" t="s">
        <v>1095</v>
      </c>
      <c r="Z235" t="s">
        <v>1073</v>
      </c>
      <c r="AA235" t="s">
        <v>125</v>
      </c>
      <c r="AB235" t="s">
        <v>453</v>
      </c>
      <c r="AD235" t="s">
        <v>93</v>
      </c>
      <c r="AE235" t="s">
        <v>1208</v>
      </c>
      <c r="AI235">
        <v>475.1790878465514</v>
      </c>
      <c r="AJ235">
        <v>7704.2698725412092</v>
      </c>
    </row>
    <row r="236" spans="1:36" hidden="1" x14ac:dyDescent="0.25">
      <c r="A236">
        <v>235</v>
      </c>
      <c r="C236" t="s">
        <v>376</v>
      </c>
      <c r="D236" t="s">
        <v>1023</v>
      </c>
      <c r="E236" t="s">
        <v>37</v>
      </c>
      <c r="F236" t="s">
        <v>38</v>
      </c>
      <c r="G236" s="2">
        <v>45867</v>
      </c>
      <c r="H236">
        <v>9.5</v>
      </c>
      <c r="I236" t="s">
        <v>72</v>
      </c>
      <c r="J236" t="s">
        <v>1024</v>
      </c>
      <c r="K236" t="s">
        <v>1025</v>
      </c>
      <c r="L236" t="s">
        <v>1026</v>
      </c>
      <c r="M236" t="s">
        <v>1027</v>
      </c>
      <c r="N236" t="s">
        <v>1148</v>
      </c>
      <c r="O236" t="s">
        <v>79</v>
      </c>
      <c r="P236" t="s">
        <v>80</v>
      </c>
      <c r="Q236">
        <v>9.5522250933513231</v>
      </c>
      <c r="R236" t="s">
        <v>46</v>
      </c>
      <c r="S236" t="s">
        <v>47</v>
      </c>
      <c r="T236" t="s">
        <v>1157</v>
      </c>
      <c r="V236" t="s">
        <v>86</v>
      </c>
      <c r="X236" t="s">
        <v>1158</v>
      </c>
      <c r="Y236" t="s">
        <v>1095</v>
      </c>
      <c r="Z236" t="s">
        <v>1073</v>
      </c>
      <c r="AA236" t="s">
        <v>71</v>
      </c>
      <c r="AB236" t="s">
        <v>453</v>
      </c>
      <c r="AD236" t="s">
        <v>1048</v>
      </c>
      <c r="AE236" t="s">
        <v>1159</v>
      </c>
      <c r="AI236">
        <v>764.14415924672358</v>
      </c>
      <c r="AJ236">
        <v>38656.63809363699</v>
      </c>
    </row>
    <row r="237" spans="1:36" x14ac:dyDescent="0.25">
      <c r="A237">
        <v>236</v>
      </c>
      <c r="C237" t="s">
        <v>376</v>
      </c>
      <c r="D237" t="s">
        <v>1023</v>
      </c>
      <c r="E237" t="s">
        <v>37</v>
      </c>
      <c r="F237" t="s">
        <v>38</v>
      </c>
      <c r="G237" s="2">
        <v>45868</v>
      </c>
      <c r="H237">
        <v>0.75</v>
      </c>
      <c r="I237" t="s">
        <v>72</v>
      </c>
      <c r="J237" t="s">
        <v>1024</v>
      </c>
      <c r="K237" t="s">
        <v>1025</v>
      </c>
      <c r="L237" t="s">
        <v>1026</v>
      </c>
      <c r="M237" t="s">
        <v>1027</v>
      </c>
      <c r="O237" t="s">
        <v>62</v>
      </c>
      <c r="P237" t="s">
        <v>63</v>
      </c>
      <c r="Q237">
        <v>0.75447650333037342</v>
      </c>
      <c r="R237" t="s">
        <v>64</v>
      </c>
      <c r="S237" t="s">
        <v>65</v>
      </c>
      <c r="T237" t="s">
        <v>1028</v>
      </c>
      <c r="V237" t="s">
        <v>1029</v>
      </c>
      <c r="X237" t="s">
        <v>1030</v>
      </c>
      <c r="Y237" t="s">
        <v>1072</v>
      </c>
      <c r="Z237" t="s">
        <v>1073</v>
      </c>
      <c r="AA237" t="s">
        <v>119</v>
      </c>
      <c r="AB237" t="s">
        <v>453</v>
      </c>
      <c r="AD237" t="s">
        <v>1032</v>
      </c>
      <c r="AE237" t="s">
        <v>1407</v>
      </c>
      <c r="AI237">
        <v>235.6809602002844</v>
      </c>
      <c r="AJ237">
        <v>3053.2702961213881</v>
      </c>
    </row>
    <row r="238" spans="1:36" hidden="1" x14ac:dyDescent="0.25">
      <c r="A238">
        <v>237</v>
      </c>
      <c r="B238" t="s">
        <v>1247</v>
      </c>
      <c r="C238" t="s">
        <v>376</v>
      </c>
      <c r="D238" t="s">
        <v>1023</v>
      </c>
      <c r="E238" t="s">
        <v>37</v>
      </c>
      <c r="F238" t="s">
        <v>38</v>
      </c>
      <c r="G238" s="2">
        <v>45867</v>
      </c>
      <c r="H238">
        <v>2.6</v>
      </c>
      <c r="I238" t="s">
        <v>72</v>
      </c>
      <c r="J238" t="s">
        <v>1024</v>
      </c>
      <c r="K238" t="s">
        <v>1025</v>
      </c>
      <c r="L238" t="s">
        <v>1026</v>
      </c>
      <c r="M238" t="s">
        <v>1027</v>
      </c>
      <c r="N238" t="s">
        <v>1248</v>
      </c>
      <c r="O238" t="s">
        <v>79</v>
      </c>
      <c r="P238" t="s">
        <v>80</v>
      </c>
      <c r="Q238">
        <v>1.2485193333918561</v>
      </c>
      <c r="R238" t="s">
        <v>46</v>
      </c>
      <c r="S238" t="s">
        <v>47</v>
      </c>
      <c r="T238" t="s">
        <v>1249</v>
      </c>
      <c r="V238" t="s">
        <v>76</v>
      </c>
      <c r="X238" t="s">
        <v>1250</v>
      </c>
      <c r="Y238" t="s">
        <v>1075</v>
      </c>
      <c r="Z238" t="s">
        <v>719</v>
      </c>
      <c r="AA238" t="s">
        <v>397</v>
      </c>
      <c r="AB238" t="s">
        <v>453</v>
      </c>
      <c r="AC238" t="s">
        <v>57</v>
      </c>
      <c r="AD238" t="s">
        <v>1048</v>
      </c>
      <c r="AE238" t="s">
        <v>1251</v>
      </c>
      <c r="AI238">
        <v>340.6398685031993</v>
      </c>
      <c r="AJ238">
        <v>5052.5986932019623</v>
      </c>
    </row>
    <row r="239" spans="1:36" hidden="1" x14ac:dyDescent="0.25">
      <c r="A239">
        <v>238</v>
      </c>
      <c r="B239" t="s">
        <v>1206</v>
      </c>
      <c r="C239" t="s">
        <v>376</v>
      </c>
      <c r="D239" t="s">
        <v>1023</v>
      </c>
      <c r="E239" t="s">
        <v>37</v>
      </c>
      <c r="F239" t="s">
        <v>38</v>
      </c>
      <c r="G239" s="2">
        <v>45867</v>
      </c>
      <c r="H239">
        <v>8.4</v>
      </c>
      <c r="I239" t="s">
        <v>72</v>
      </c>
      <c r="J239" t="s">
        <v>1024</v>
      </c>
      <c r="K239" t="s">
        <v>1025</v>
      </c>
      <c r="L239" t="s">
        <v>1026</v>
      </c>
      <c r="M239" t="s">
        <v>1027</v>
      </c>
      <c r="N239" t="s">
        <v>1196</v>
      </c>
      <c r="O239" t="s">
        <v>79</v>
      </c>
      <c r="P239" t="s">
        <v>80</v>
      </c>
      <c r="Q239">
        <v>2.7086201037820201</v>
      </c>
      <c r="R239" t="s">
        <v>46</v>
      </c>
      <c r="S239" t="s">
        <v>47</v>
      </c>
      <c r="T239" t="s">
        <v>1207</v>
      </c>
      <c r="V239" t="s">
        <v>61</v>
      </c>
      <c r="Y239" t="s">
        <v>1075</v>
      </c>
      <c r="Z239" t="s">
        <v>719</v>
      </c>
      <c r="AA239" t="s">
        <v>125</v>
      </c>
      <c r="AB239" t="s">
        <v>453</v>
      </c>
      <c r="AC239" t="s">
        <v>57</v>
      </c>
      <c r="AD239" t="s">
        <v>93</v>
      </c>
      <c r="AE239" t="s">
        <v>1208</v>
      </c>
      <c r="AI239">
        <v>430.63865482910859</v>
      </c>
      <c r="AJ239">
        <v>10961.440508550209</v>
      </c>
    </row>
    <row r="240" spans="1:36" hidden="1" x14ac:dyDescent="0.25">
      <c r="A240">
        <v>239</v>
      </c>
      <c r="B240" t="s">
        <v>1392</v>
      </c>
      <c r="C240" t="s">
        <v>376</v>
      </c>
      <c r="D240" t="s">
        <v>1023</v>
      </c>
      <c r="E240" t="s">
        <v>37</v>
      </c>
      <c r="F240" t="s">
        <v>38</v>
      </c>
      <c r="G240" s="2">
        <v>45867</v>
      </c>
      <c r="H240">
        <v>19</v>
      </c>
      <c r="I240" t="s">
        <v>72</v>
      </c>
      <c r="J240" t="s">
        <v>1024</v>
      </c>
      <c r="K240" t="s">
        <v>1025</v>
      </c>
      <c r="L240" t="s">
        <v>1026</v>
      </c>
      <c r="M240" t="s">
        <v>1027</v>
      </c>
      <c r="O240" t="s">
        <v>87</v>
      </c>
      <c r="P240" t="s">
        <v>88</v>
      </c>
      <c r="Q240">
        <v>1.177340305439222</v>
      </c>
      <c r="R240" t="s">
        <v>46</v>
      </c>
      <c r="S240" t="s">
        <v>47</v>
      </c>
      <c r="T240" t="s">
        <v>1457</v>
      </c>
      <c r="V240" t="s">
        <v>1394</v>
      </c>
      <c r="X240" t="s">
        <v>1395</v>
      </c>
      <c r="Y240" t="s">
        <v>1387</v>
      </c>
      <c r="Z240" t="s">
        <v>49</v>
      </c>
      <c r="AA240" t="s">
        <v>896</v>
      </c>
      <c r="AB240" t="s">
        <v>453</v>
      </c>
      <c r="AC240" t="s">
        <v>57</v>
      </c>
      <c r="AD240" t="s">
        <v>1396</v>
      </c>
      <c r="AE240" t="s">
        <v>1397</v>
      </c>
      <c r="AI240">
        <v>290.64585835947719</v>
      </c>
      <c r="AJ240">
        <v>4764.5462345829746</v>
      </c>
    </row>
    <row r="241" spans="1:36" x14ac:dyDescent="0.25">
      <c r="A241">
        <v>240</v>
      </c>
      <c r="B241" t="s">
        <v>1062</v>
      </c>
      <c r="C241" t="s">
        <v>376</v>
      </c>
      <c r="D241" t="s">
        <v>1023</v>
      </c>
      <c r="E241" t="s">
        <v>37</v>
      </c>
      <c r="F241" t="s">
        <v>38</v>
      </c>
      <c r="G241" s="2">
        <v>45868</v>
      </c>
      <c r="H241">
        <v>1.2</v>
      </c>
      <c r="I241" t="s">
        <v>72</v>
      </c>
      <c r="J241" t="s">
        <v>1024</v>
      </c>
      <c r="K241" t="s">
        <v>1025</v>
      </c>
      <c r="L241" t="s">
        <v>1026</v>
      </c>
      <c r="M241" t="s">
        <v>1027</v>
      </c>
      <c r="N241" t="s">
        <v>1051</v>
      </c>
      <c r="O241" t="s">
        <v>62</v>
      </c>
      <c r="P241" t="s">
        <v>63</v>
      </c>
      <c r="Q241">
        <v>0.52543805007230604</v>
      </c>
      <c r="R241" t="s">
        <v>64</v>
      </c>
      <c r="S241" t="s">
        <v>65</v>
      </c>
      <c r="T241" t="s">
        <v>1054</v>
      </c>
      <c r="V241" t="s">
        <v>119</v>
      </c>
      <c r="X241" t="s">
        <v>1047</v>
      </c>
      <c r="Y241" t="s">
        <v>1031</v>
      </c>
      <c r="Z241" t="s">
        <v>719</v>
      </c>
      <c r="AA241" t="s">
        <v>942</v>
      </c>
      <c r="AB241" t="s">
        <v>453</v>
      </c>
      <c r="AC241" t="s">
        <v>57</v>
      </c>
      <c r="AD241" t="s">
        <v>1048</v>
      </c>
      <c r="AE241" t="s">
        <v>1049</v>
      </c>
      <c r="AI241">
        <v>186.6757501845164</v>
      </c>
      <c r="AJ241">
        <v>2126.3808530233509</v>
      </c>
    </row>
    <row r="242" spans="1:36" x14ac:dyDescent="0.25">
      <c r="A242">
        <v>241</v>
      </c>
      <c r="C242" t="s">
        <v>376</v>
      </c>
      <c r="D242" t="s">
        <v>1023</v>
      </c>
      <c r="E242" t="s">
        <v>37</v>
      </c>
      <c r="F242" t="s">
        <v>38</v>
      </c>
      <c r="G242" s="2">
        <v>45860</v>
      </c>
      <c r="H242">
        <v>0.9</v>
      </c>
      <c r="I242" t="s">
        <v>72</v>
      </c>
      <c r="J242" t="s">
        <v>1024</v>
      </c>
      <c r="K242" t="s">
        <v>1025</v>
      </c>
      <c r="L242" t="s">
        <v>1026</v>
      </c>
      <c r="M242" t="s">
        <v>1027</v>
      </c>
      <c r="O242" t="s">
        <v>62</v>
      </c>
      <c r="P242" t="s">
        <v>63</v>
      </c>
      <c r="Q242">
        <v>0.61302464048885319</v>
      </c>
      <c r="R242" t="s">
        <v>64</v>
      </c>
      <c r="S242" t="s">
        <v>65</v>
      </c>
      <c r="T242" t="s">
        <v>1458</v>
      </c>
      <c r="V242" t="s">
        <v>618</v>
      </c>
      <c r="W242" t="s">
        <v>896</v>
      </c>
      <c r="X242" t="s">
        <v>1459</v>
      </c>
      <c r="Y242" t="s">
        <v>1340</v>
      </c>
      <c r="Z242" t="s">
        <v>1460</v>
      </c>
      <c r="AA242" t="s">
        <v>896</v>
      </c>
      <c r="AB242" t="s">
        <v>453</v>
      </c>
      <c r="AC242" t="s">
        <v>1461</v>
      </c>
      <c r="AD242" t="s">
        <v>145</v>
      </c>
      <c r="AE242" t="s">
        <v>1351</v>
      </c>
      <c r="AI242">
        <v>241.53135311342851</v>
      </c>
      <c r="AJ242">
        <v>2480.8326267723501</v>
      </c>
    </row>
    <row r="243" spans="1:36" x14ac:dyDescent="0.25">
      <c r="A243">
        <v>242</v>
      </c>
      <c r="C243" t="s">
        <v>376</v>
      </c>
      <c r="D243" t="s">
        <v>1023</v>
      </c>
      <c r="E243" t="s">
        <v>37</v>
      </c>
      <c r="F243" t="s">
        <v>38</v>
      </c>
      <c r="G243" s="2">
        <v>45860</v>
      </c>
      <c r="H243">
        <v>0.1</v>
      </c>
      <c r="I243" t="s">
        <v>72</v>
      </c>
      <c r="J243" t="s">
        <v>1024</v>
      </c>
      <c r="K243" t="s">
        <v>1025</v>
      </c>
      <c r="L243" t="s">
        <v>1026</v>
      </c>
      <c r="M243" t="s">
        <v>1027</v>
      </c>
      <c r="O243" t="s">
        <v>62</v>
      </c>
      <c r="P243" t="s">
        <v>63</v>
      </c>
      <c r="Q243">
        <v>7.6812235433327311E-2</v>
      </c>
      <c r="R243" t="s">
        <v>64</v>
      </c>
      <c r="S243" t="s">
        <v>65</v>
      </c>
      <c r="T243" t="s">
        <v>1458</v>
      </c>
      <c r="V243" t="s">
        <v>618</v>
      </c>
      <c r="W243" t="s">
        <v>896</v>
      </c>
      <c r="X243" t="s">
        <v>1459</v>
      </c>
      <c r="Y243" t="s">
        <v>1340</v>
      </c>
      <c r="Z243" t="s">
        <v>1460</v>
      </c>
      <c r="AA243" t="s">
        <v>896</v>
      </c>
      <c r="AB243" t="s">
        <v>453</v>
      </c>
      <c r="AC243" t="s">
        <v>1461</v>
      </c>
      <c r="AD243" t="s">
        <v>145</v>
      </c>
      <c r="AE243" t="s">
        <v>1351</v>
      </c>
      <c r="AI243">
        <v>100.5299164775946</v>
      </c>
      <c r="AJ243">
        <v>310.84933167834481</v>
      </c>
    </row>
    <row r="244" spans="1:36" x14ac:dyDescent="0.25">
      <c r="A244">
        <v>243</v>
      </c>
      <c r="B244" t="s">
        <v>1034</v>
      </c>
      <c r="C244" t="s">
        <v>376</v>
      </c>
      <c r="D244" t="s">
        <v>1023</v>
      </c>
      <c r="E244" t="s">
        <v>37</v>
      </c>
      <c r="F244" t="s">
        <v>38</v>
      </c>
      <c r="G244" s="2">
        <v>45868</v>
      </c>
      <c r="H244">
        <v>6.37</v>
      </c>
      <c r="I244" t="s">
        <v>72</v>
      </c>
      <c r="J244" t="s">
        <v>1024</v>
      </c>
      <c r="K244" t="s">
        <v>1025</v>
      </c>
      <c r="L244" t="s">
        <v>1026</v>
      </c>
      <c r="M244" t="s">
        <v>1027</v>
      </c>
      <c r="O244" t="s">
        <v>62</v>
      </c>
      <c r="P244" t="s">
        <v>63</v>
      </c>
      <c r="Q244">
        <v>2.5240422517864198</v>
      </c>
      <c r="R244" t="s">
        <v>64</v>
      </c>
      <c r="S244" t="s">
        <v>65</v>
      </c>
      <c r="T244" t="s">
        <v>1028</v>
      </c>
      <c r="V244" t="s">
        <v>1029</v>
      </c>
      <c r="X244" t="s">
        <v>1030</v>
      </c>
      <c r="Y244" t="s">
        <v>1031</v>
      </c>
      <c r="Z244" t="s">
        <v>719</v>
      </c>
      <c r="AA244" t="s">
        <v>119</v>
      </c>
      <c r="AB244" t="s">
        <v>453</v>
      </c>
      <c r="AC244" t="s">
        <v>57</v>
      </c>
      <c r="AD244" t="s">
        <v>1032</v>
      </c>
      <c r="AE244" t="s">
        <v>1033</v>
      </c>
      <c r="AI244">
        <v>420.35738960908731</v>
      </c>
      <c r="AJ244">
        <v>10214.47745491979</v>
      </c>
    </row>
    <row r="245" spans="1:36" x14ac:dyDescent="0.25">
      <c r="A245">
        <v>244</v>
      </c>
      <c r="B245" t="s">
        <v>1355</v>
      </c>
      <c r="C245" t="s">
        <v>376</v>
      </c>
      <c r="D245" t="s">
        <v>1023</v>
      </c>
      <c r="E245" t="s">
        <v>37</v>
      </c>
      <c r="F245" t="s">
        <v>38</v>
      </c>
      <c r="G245" s="2">
        <v>45860</v>
      </c>
      <c r="H245">
        <v>1.3</v>
      </c>
      <c r="I245" t="s">
        <v>72</v>
      </c>
      <c r="J245" t="s">
        <v>1024</v>
      </c>
      <c r="K245" t="s">
        <v>1025</v>
      </c>
      <c r="L245" t="s">
        <v>1026</v>
      </c>
      <c r="M245" t="s">
        <v>1027</v>
      </c>
      <c r="O245" t="s">
        <v>62</v>
      </c>
      <c r="P245" t="s">
        <v>63</v>
      </c>
      <c r="Q245">
        <v>0.45333832093180698</v>
      </c>
      <c r="R245" t="s">
        <v>64</v>
      </c>
      <c r="S245" t="s">
        <v>65</v>
      </c>
      <c r="T245" t="s">
        <v>1353</v>
      </c>
      <c r="V245" t="s">
        <v>618</v>
      </c>
      <c r="X245" t="s">
        <v>1350</v>
      </c>
      <c r="Y245" t="s">
        <v>1345</v>
      </c>
      <c r="Z245" t="s">
        <v>49</v>
      </c>
      <c r="AA245" t="s">
        <v>896</v>
      </c>
      <c r="AB245" t="s">
        <v>453</v>
      </c>
      <c r="AC245" t="s">
        <v>57</v>
      </c>
      <c r="AD245" t="s">
        <v>145</v>
      </c>
      <c r="AE245" t="s">
        <v>1351</v>
      </c>
      <c r="AI245">
        <v>256.51233661018489</v>
      </c>
      <c r="AJ245">
        <v>1834.6024339853129</v>
      </c>
    </row>
    <row r="246" spans="1:36" x14ac:dyDescent="0.25">
      <c r="A246">
        <v>245</v>
      </c>
      <c r="B246" t="s">
        <v>1354</v>
      </c>
      <c r="C246" t="s">
        <v>376</v>
      </c>
      <c r="D246" t="s">
        <v>1023</v>
      </c>
      <c r="E246" t="s">
        <v>37</v>
      </c>
      <c r="F246" t="s">
        <v>38</v>
      </c>
      <c r="G246" s="2">
        <v>45860</v>
      </c>
      <c r="H246">
        <v>2.8</v>
      </c>
      <c r="I246" t="s">
        <v>72</v>
      </c>
      <c r="J246" t="s">
        <v>1024</v>
      </c>
      <c r="K246" t="s">
        <v>1025</v>
      </c>
      <c r="L246" t="s">
        <v>1026</v>
      </c>
      <c r="M246" t="s">
        <v>1027</v>
      </c>
      <c r="O246" t="s">
        <v>62</v>
      </c>
      <c r="P246" t="s">
        <v>63</v>
      </c>
      <c r="Q246">
        <v>1.2001025030110539</v>
      </c>
      <c r="R246" t="s">
        <v>64</v>
      </c>
      <c r="S246" t="s">
        <v>65</v>
      </c>
      <c r="T246" t="s">
        <v>1353</v>
      </c>
      <c r="V246" t="s">
        <v>618</v>
      </c>
      <c r="X246" t="s">
        <v>1350</v>
      </c>
      <c r="Y246" t="s">
        <v>1345</v>
      </c>
      <c r="Z246" t="s">
        <v>49</v>
      </c>
      <c r="AA246" t="s">
        <v>896</v>
      </c>
      <c r="AB246" t="s">
        <v>453</v>
      </c>
      <c r="AC246" t="s">
        <v>57</v>
      </c>
      <c r="AD246" t="s">
        <v>145</v>
      </c>
      <c r="AE246" t="s">
        <v>1351</v>
      </c>
      <c r="AI246">
        <v>382.94937893630458</v>
      </c>
      <c r="AJ246">
        <v>4856.6619484769662</v>
      </c>
    </row>
    <row r="247" spans="1:36" x14ac:dyDescent="0.25">
      <c r="A247">
        <v>246</v>
      </c>
      <c r="B247" t="s">
        <v>57</v>
      </c>
      <c r="C247" t="s">
        <v>376</v>
      </c>
      <c r="D247" t="s">
        <v>1023</v>
      </c>
      <c r="E247" t="s">
        <v>37</v>
      </c>
      <c r="F247" t="s">
        <v>38</v>
      </c>
      <c r="G247" s="2">
        <v>45867</v>
      </c>
      <c r="H247">
        <v>0.5</v>
      </c>
      <c r="I247" t="s">
        <v>72</v>
      </c>
      <c r="J247" t="s">
        <v>1024</v>
      </c>
      <c r="K247" t="s">
        <v>1025</v>
      </c>
      <c r="L247" t="s">
        <v>1026</v>
      </c>
      <c r="M247" t="s">
        <v>1027</v>
      </c>
      <c r="N247" t="s">
        <v>57</v>
      </c>
      <c r="O247" t="s">
        <v>62</v>
      </c>
      <c r="P247" t="s">
        <v>63</v>
      </c>
      <c r="Q247">
        <v>0.51486248814358793</v>
      </c>
      <c r="R247" t="s">
        <v>64</v>
      </c>
      <c r="S247" t="s">
        <v>65</v>
      </c>
      <c r="T247" t="s">
        <v>1462</v>
      </c>
      <c r="V247" t="s">
        <v>50</v>
      </c>
      <c r="X247" t="s">
        <v>1463</v>
      </c>
      <c r="Y247" t="s">
        <v>1340</v>
      </c>
      <c r="Z247" t="s">
        <v>1464</v>
      </c>
      <c r="AA247" t="s">
        <v>75</v>
      </c>
      <c r="AB247" t="s">
        <v>57</v>
      </c>
      <c r="AC247" t="s">
        <v>1465</v>
      </c>
      <c r="AD247" t="s">
        <v>145</v>
      </c>
      <c r="AE247" t="s">
        <v>1466</v>
      </c>
      <c r="AI247">
        <v>186.4869638016454</v>
      </c>
      <c r="AJ247">
        <v>2083.582901119993</v>
      </c>
    </row>
    <row r="248" spans="1:36" hidden="1" x14ac:dyDescent="0.25">
      <c r="A248">
        <v>247</v>
      </c>
      <c r="C248" t="s">
        <v>376</v>
      </c>
      <c r="D248" t="s">
        <v>1023</v>
      </c>
      <c r="E248" t="s">
        <v>37</v>
      </c>
      <c r="F248" t="s">
        <v>38</v>
      </c>
      <c r="G248" s="2">
        <v>45867</v>
      </c>
      <c r="H248">
        <v>0.37</v>
      </c>
      <c r="I248" t="s">
        <v>72</v>
      </c>
      <c r="J248" t="s">
        <v>1024</v>
      </c>
      <c r="K248" t="s">
        <v>1025</v>
      </c>
      <c r="L248" t="s">
        <v>1026</v>
      </c>
      <c r="M248" t="s">
        <v>1027</v>
      </c>
      <c r="N248" t="s">
        <v>57</v>
      </c>
      <c r="O248" t="s">
        <v>624</v>
      </c>
      <c r="P248" t="s">
        <v>625</v>
      </c>
      <c r="Q248">
        <v>0.30641758657946883</v>
      </c>
      <c r="S248" t="s">
        <v>38</v>
      </c>
      <c r="T248" t="s">
        <v>1467</v>
      </c>
      <c r="V248" t="s">
        <v>76</v>
      </c>
      <c r="X248" t="s">
        <v>1468</v>
      </c>
      <c r="Y248" t="s">
        <v>1095</v>
      </c>
      <c r="Z248" t="s">
        <v>1073</v>
      </c>
      <c r="AA248" t="s">
        <v>182</v>
      </c>
      <c r="AB248" t="s">
        <v>453</v>
      </c>
      <c r="AC248" t="s">
        <v>1469</v>
      </c>
      <c r="AD248" t="s">
        <v>93</v>
      </c>
      <c r="AE248" t="s">
        <v>1470</v>
      </c>
      <c r="AI248">
        <v>125.8098860730813</v>
      </c>
      <c r="AJ248">
        <v>1240.0329383122239</v>
      </c>
    </row>
    <row r="249" spans="1:36" x14ac:dyDescent="0.25">
      <c r="A249">
        <v>248</v>
      </c>
      <c r="B249" t="s">
        <v>1325</v>
      </c>
      <c r="C249" t="s">
        <v>376</v>
      </c>
      <c r="D249" t="s">
        <v>1023</v>
      </c>
      <c r="E249" t="s">
        <v>37</v>
      </c>
      <c r="F249" t="s">
        <v>38</v>
      </c>
      <c r="G249" s="2">
        <v>45867</v>
      </c>
      <c r="H249">
        <v>3.1</v>
      </c>
      <c r="I249" t="s">
        <v>72</v>
      </c>
      <c r="J249" t="s">
        <v>1024</v>
      </c>
      <c r="K249" t="s">
        <v>1025</v>
      </c>
      <c r="L249" t="s">
        <v>1026</v>
      </c>
      <c r="M249" t="s">
        <v>1027</v>
      </c>
      <c r="O249" t="s">
        <v>62</v>
      </c>
      <c r="P249" t="s">
        <v>63</v>
      </c>
      <c r="Q249">
        <v>0.3549452843169244</v>
      </c>
      <c r="R249" t="s">
        <v>64</v>
      </c>
      <c r="S249" t="s">
        <v>65</v>
      </c>
      <c r="T249" t="s">
        <v>1313</v>
      </c>
      <c r="V249" t="s">
        <v>64</v>
      </c>
      <c r="X249" t="s">
        <v>1326</v>
      </c>
      <c r="Y249" t="s">
        <v>1075</v>
      </c>
      <c r="Z249" t="s">
        <v>719</v>
      </c>
      <c r="AA249" t="s">
        <v>576</v>
      </c>
      <c r="AB249" t="s">
        <v>453</v>
      </c>
      <c r="AC249" t="s">
        <v>57</v>
      </c>
      <c r="AD249" t="s">
        <v>1327</v>
      </c>
      <c r="AE249" t="s">
        <v>1328</v>
      </c>
      <c r="AI249">
        <v>154.21638877396941</v>
      </c>
      <c r="AJ249">
        <v>1436.4183491061899</v>
      </c>
    </row>
    <row r="250" spans="1:36" hidden="1" x14ac:dyDescent="0.25">
      <c r="A250">
        <v>249</v>
      </c>
      <c r="C250" t="s">
        <v>376</v>
      </c>
      <c r="D250" t="s">
        <v>1023</v>
      </c>
      <c r="E250" t="s">
        <v>37</v>
      </c>
      <c r="F250" t="s">
        <v>38</v>
      </c>
      <c r="G250" s="2">
        <v>45867</v>
      </c>
      <c r="I250" t="s">
        <v>72</v>
      </c>
      <c r="J250" t="s">
        <v>1024</v>
      </c>
      <c r="K250" t="s">
        <v>1025</v>
      </c>
      <c r="L250" t="s">
        <v>1026</v>
      </c>
      <c r="M250" t="s">
        <v>1027</v>
      </c>
      <c r="O250" t="s">
        <v>79</v>
      </c>
      <c r="P250" t="s">
        <v>80</v>
      </c>
      <c r="Q250">
        <v>3.25516272250823</v>
      </c>
      <c r="R250" t="s">
        <v>60</v>
      </c>
      <c r="S250" t="s">
        <v>66</v>
      </c>
      <c r="V250" t="s">
        <v>75</v>
      </c>
      <c r="AI250">
        <v>611.80686161835433</v>
      </c>
      <c r="AJ250">
        <v>13173.228862402249</v>
      </c>
    </row>
    <row r="251" spans="1:36" hidden="1" x14ac:dyDescent="0.25">
      <c r="A251">
        <v>250</v>
      </c>
      <c r="C251" t="s">
        <v>376</v>
      </c>
      <c r="D251" t="s">
        <v>1023</v>
      </c>
      <c r="E251" t="s">
        <v>37</v>
      </c>
      <c r="F251" t="s">
        <v>38</v>
      </c>
      <c r="G251" s="2">
        <v>45867</v>
      </c>
      <c r="I251" t="s">
        <v>72</v>
      </c>
      <c r="J251" t="s">
        <v>1024</v>
      </c>
      <c r="K251" t="s">
        <v>1025</v>
      </c>
      <c r="L251" t="s">
        <v>1026</v>
      </c>
      <c r="M251" t="s">
        <v>1027</v>
      </c>
      <c r="O251" t="s">
        <v>141</v>
      </c>
      <c r="P251" t="s">
        <v>142</v>
      </c>
      <c r="Q251">
        <v>0.4342863820230331</v>
      </c>
      <c r="S251" t="s">
        <v>38</v>
      </c>
      <c r="T251" t="s">
        <v>1471</v>
      </c>
      <c r="V251" t="s">
        <v>75</v>
      </c>
      <c r="AI251">
        <v>165.33765100650709</v>
      </c>
      <c r="AJ251">
        <v>1757.5016642503981</v>
      </c>
    </row>
    <row r="252" spans="1:36" hidden="1" x14ac:dyDescent="0.25">
      <c r="A252">
        <v>251</v>
      </c>
      <c r="C252" t="s">
        <v>376</v>
      </c>
      <c r="D252" t="s">
        <v>1023</v>
      </c>
      <c r="E252" t="s">
        <v>37</v>
      </c>
      <c r="F252" t="s">
        <v>38</v>
      </c>
      <c r="G252" s="2">
        <v>45867</v>
      </c>
      <c r="I252" t="s">
        <v>72</v>
      </c>
      <c r="J252" t="s">
        <v>1024</v>
      </c>
      <c r="K252" t="s">
        <v>1025</v>
      </c>
      <c r="L252" t="s">
        <v>1026</v>
      </c>
      <c r="M252" t="s">
        <v>1027</v>
      </c>
      <c r="O252" t="s">
        <v>79</v>
      </c>
      <c r="P252" t="s">
        <v>80</v>
      </c>
      <c r="Q252">
        <v>1.5986035011299291</v>
      </c>
      <c r="R252" t="s">
        <v>60</v>
      </c>
      <c r="S252" t="s">
        <v>66</v>
      </c>
      <c r="V252" t="s">
        <v>75</v>
      </c>
      <c r="AI252">
        <v>337.32643239769288</v>
      </c>
      <c r="AJ252">
        <v>6469.3447227717907</v>
      </c>
    </row>
    <row r="253" spans="1:36" x14ac:dyDescent="0.25">
      <c r="A253">
        <v>252</v>
      </c>
      <c r="B253" t="s">
        <v>1043</v>
      </c>
      <c r="C253" t="s">
        <v>376</v>
      </c>
      <c r="D253" t="s">
        <v>1023</v>
      </c>
      <c r="E253" t="s">
        <v>37</v>
      </c>
      <c r="F253" t="s">
        <v>38</v>
      </c>
      <c r="G253" s="2">
        <v>45868</v>
      </c>
      <c r="H253">
        <v>6.35</v>
      </c>
      <c r="I253" t="s">
        <v>72</v>
      </c>
      <c r="J253" t="s">
        <v>1024</v>
      </c>
      <c r="K253" t="s">
        <v>1025</v>
      </c>
      <c r="L253" t="s">
        <v>1026</v>
      </c>
      <c r="M253" t="s">
        <v>1027</v>
      </c>
      <c r="O253" t="s">
        <v>62</v>
      </c>
      <c r="P253" t="s">
        <v>63</v>
      </c>
      <c r="Q253">
        <v>1.4437033097899541</v>
      </c>
      <c r="R253" t="s">
        <v>64</v>
      </c>
      <c r="S253" t="s">
        <v>65</v>
      </c>
      <c r="T253" t="s">
        <v>1028</v>
      </c>
      <c r="V253" t="s">
        <v>1029</v>
      </c>
      <c r="X253" t="s">
        <v>1030</v>
      </c>
      <c r="Y253" t="s">
        <v>1031</v>
      </c>
      <c r="Z253" t="s">
        <v>719</v>
      </c>
      <c r="AA253" t="s">
        <v>119</v>
      </c>
      <c r="AB253" t="s">
        <v>453</v>
      </c>
      <c r="AC253" t="s">
        <v>57</v>
      </c>
      <c r="AD253" t="s">
        <v>1032</v>
      </c>
      <c r="AE253" t="s">
        <v>1033</v>
      </c>
      <c r="AI253">
        <v>325.66537625760287</v>
      </c>
      <c r="AJ253">
        <v>5842.4833811737653</v>
      </c>
    </row>
    <row r="254" spans="1:36" x14ac:dyDescent="0.25">
      <c r="A254">
        <v>253</v>
      </c>
      <c r="B254" t="s">
        <v>1043</v>
      </c>
      <c r="C254" t="s">
        <v>376</v>
      </c>
      <c r="D254" t="s">
        <v>1023</v>
      </c>
      <c r="E254" t="s">
        <v>37</v>
      </c>
      <c r="F254" t="s">
        <v>38</v>
      </c>
      <c r="G254" s="2">
        <v>45868</v>
      </c>
      <c r="H254">
        <v>6.35</v>
      </c>
      <c r="I254" t="s">
        <v>72</v>
      </c>
      <c r="J254" t="s">
        <v>1024</v>
      </c>
      <c r="K254" t="s">
        <v>1025</v>
      </c>
      <c r="L254" t="s">
        <v>1026</v>
      </c>
      <c r="M254" t="s">
        <v>1027</v>
      </c>
      <c r="O254" t="s">
        <v>62</v>
      </c>
      <c r="P254" t="s">
        <v>63</v>
      </c>
      <c r="Q254">
        <v>0.98341117250641452</v>
      </c>
      <c r="R254" t="s">
        <v>64</v>
      </c>
      <c r="S254" t="s">
        <v>65</v>
      </c>
      <c r="T254" t="s">
        <v>1028</v>
      </c>
      <c r="V254" t="s">
        <v>1029</v>
      </c>
      <c r="X254" t="s">
        <v>1030</v>
      </c>
      <c r="Y254" t="s">
        <v>1031</v>
      </c>
      <c r="Z254" t="s">
        <v>719</v>
      </c>
      <c r="AA254" t="s">
        <v>119</v>
      </c>
      <c r="AB254" t="s">
        <v>453</v>
      </c>
      <c r="AC254" t="s">
        <v>57</v>
      </c>
      <c r="AD254" t="s">
        <v>1032</v>
      </c>
      <c r="AE254" t="s">
        <v>1033</v>
      </c>
      <c r="AI254">
        <v>275.83757550061461</v>
      </c>
      <c r="AJ254">
        <v>3979.7397382605318</v>
      </c>
    </row>
    <row r="255" spans="1:36" hidden="1" x14ac:dyDescent="0.25">
      <c r="A255">
        <v>254</v>
      </c>
      <c r="C255" t="s">
        <v>376</v>
      </c>
      <c r="D255" t="s">
        <v>1023</v>
      </c>
      <c r="E255" t="s">
        <v>37</v>
      </c>
      <c r="F255" t="s">
        <v>38</v>
      </c>
      <c r="G255" s="2">
        <v>45868</v>
      </c>
      <c r="I255" t="s">
        <v>72</v>
      </c>
      <c r="J255" t="s">
        <v>1024</v>
      </c>
      <c r="K255" t="s">
        <v>1025</v>
      </c>
      <c r="L255" t="s">
        <v>1026</v>
      </c>
      <c r="M255" t="s">
        <v>1027</v>
      </c>
      <c r="O255" t="s">
        <v>87</v>
      </c>
      <c r="P255" t="s">
        <v>88</v>
      </c>
      <c r="Q255">
        <v>0.31903305978067692</v>
      </c>
      <c r="R255" t="s">
        <v>46</v>
      </c>
      <c r="S255" t="s">
        <v>47</v>
      </c>
      <c r="T255" t="s">
        <v>1028</v>
      </c>
      <c r="V255" t="s">
        <v>1029</v>
      </c>
      <c r="AI255">
        <v>181.03426546907511</v>
      </c>
      <c r="AJ255">
        <v>1291.0861512707961</v>
      </c>
    </row>
    <row r="256" spans="1:36" x14ac:dyDescent="0.25">
      <c r="A256">
        <v>255</v>
      </c>
      <c r="B256" t="s">
        <v>1043</v>
      </c>
      <c r="C256" t="s">
        <v>376</v>
      </c>
      <c r="D256" t="s">
        <v>1023</v>
      </c>
      <c r="E256" t="s">
        <v>37</v>
      </c>
      <c r="F256" t="s">
        <v>38</v>
      </c>
      <c r="G256" s="2">
        <v>45868</v>
      </c>
      <c r="H256">
        <v>6.35</v>
      </c>
      <c r="I256" t="s">
        <v>72</v>
      </c>
      <c r="J256" t="s">
        <v>1024</v>
      </c>
      <c r="K256" t="s">
        <v>1025</v>
      </c>
      <c r="L256" t="s">
        <v>1026</v>
      </c>
      <c r="M256" t="s">
        <v>1027</v>
      </c>
      <c r="O256" t="s">
        <v>62</v>
      </c>
      <c r="P256" t="s">
        <v>63</v>
      </c>
      <c r="Q256">
        <v>0.65992690843342849</v>
      </c>
      <c r="R256" t="s">
        <v>64</v>
      </c>
      <c r="S256" t="s">
        <v>65</v>
      </c>
      <c r="T256" t="s">
        <v>1028</v>
      </c>
      <c r="V256" t="s">
        <v>1029</v>
      </c>
      <c r="X256" t="s">
        <v>1030</v>
      </c>
      <c r="Y256" t="s">
        <v>1031</v>
      </c>
      <c r="Z256" t="s">
        <v>719</v>
      </c>
      <c r="AA256" t="s">
        <v>119</v>
      </c>
      <c r="AB256" t="s">
        <v>453</v>
      </c>
      <c r="AC256" t="s">
        <v>57</v>
      </c>
      <c r="AD256" t="s">
        <v>1032</v>
      </c>
      <c r="AE256" t="s">
        <v>1033</v>
      </c>
      <c r="AI256">
        <v>255.96639459461599</v>
      </c>
      <c r="AJ256">
        <v>2670.6401302582349</v>
      </c>
    </row>
    <row r="257" spans="1:36" hidden="1" x14ac:dyDescent="0.25">
      <c r="A257">
        <v>256</v>
      </c>
      <c r="C257" t="s">
        <v>376</v>
      </c>
      <c r="D257" t="s">
        <v>1023</v>
      </c>
      <c r="E257" t="s">
        <v>37</v>
      </c>
      <c r="F257" t="s">
        <v>38</v>
      </c>
      <c r="G257" s="2">
        <v>45867</v>
      </c>
      <c r="I257" t="s">
        <v>72</v>
      </c>
      <c r="J257" t="s">
        <v>1024</v>
      </c>
      <c r="K257" t="s">
        <v>1025</v>
      </c>
      <c r="L257" t="s">
        <v>1026</v>
      </c>
      <c r="M257" t="s">
        <v>1027</v>
      </c>
      <c r="O257" t="s">
        <v>408</v>
      </c>
      <c r="P257" t="s">
        <v>409</v>
      </c>
      <c r="Q257">
        <v>2.055027997973113</v>
      </c>
      <c r="R257" t="s">
        <v>60</v>
      </c>
      <c r="S257" t="s">
        <v>66</v>
      </c>
      <c r="T257" t="s">
        <v>1472</v>
      </c>
      <c r="V257" t="s">
        <v>118</v>
      </c>
      <c r="AI257">
        <v>360.05308088552209</v>
      </c>
      <c r="AJ257">
        <v>8316.4365175221101</v>
      </c>
    </row>
    <row r="258" spans="1:36" hidden="1" x14ac:dyDescent="0.25">
      <c r="A258">
        <v>257</v>
      </c>
      <c r="B258" t="s">
        <v>1356</v>
      </c>
      <c r="C258" t="s">
        <v>376</v>
      </c>
      <c r="D258" t="s">
        <v>1023</v>
      </c>
      <c r="E258" t="s">
        <v>37</v>
      </c>
      <c r="F258" t="s">
        <v>38</v>
      </c>
      <c r="G258" s="2">
        <v>45860</v>
      </c>
      <c r="H258">
        <v>0.6</v>
      </c>
      <c r="I258" t="s">
        <v>72</v>
      </c>
      <c r="J258" t="s">
        <v>1024</v>
      </c>
      <c r="K258" t="s">
        <v>1025</v>
      </c>
      <c r="L258" t="s">
        <v>1026</v>
      </c>
      <c r="M258" t="s">
        <v>1027</v>
      </c>
      <c r="O258" t="s">
        <v>99</v>
      </c>
      <c r="P258" t="s">
        <v>100</v>
      </c>
      <c r="Q258">
        <v>0.24882291516598379</v>
      </c>
      <c r="R258" t="s">
        <v>73</v>
      </c>
      <c r="S258" t="s">
        <v>74</v>
      </c>
      <c r="T258" t="s">
        <v>1357</v>
      </c>
      <c r="V258" t="s">
        <v>618</v>
      </c>
      <c r="X258" t="s">
        <v>1350</v>
      </c>
      <c r="Y258" t="s">
        <v>1345</v>
      </c>
      <c r="Z258" t="s">
        <v>49</v>
      </c>
      <c r="AA258" t="s">
        <v>896</v>
      </c>
      <c r="AB258" t="s">
        <v>453</v>
      </c>
      <c r="AC258" t="s">
        <v>57</v>
      </c>
      <c r="AD258" t="s">
        <v>145</v>
      </c>
      <c r="AE258" t="s">
        <v>1351</v>
      </c>
      <c r="AI258">
        <v>131.6423636197226</v>
      </c>
      <c r="AJ258">
        <v>1006.954640094285</v>
      </c>
    </row>
    <row r="259" spans="1:36" x14ac:dyDescent="0.25">
      <c r="A259">
        <v>258</v>
      </c>
      <c r="B259" t="s">
        <v>1473</v>
      </c>
      <c r="C259" t="s">
        <v>376</v>
      </c>
      <c r="D259" t="s">
        <v>1023</v>
      </c>
      <c r="E259" t="s">
        <v>37</v>
      </c>
      <c r="F259" t="s">
        <v>38</v>
      </c>
      <c r="G259" s="2">
        <v>45860</v>
      </c>
      <c r="H259">
        <v>0.7</v>
      </c>
      <c r="I259" t="s">
        <v>72</v>
      </c>
      <c r="J259" t="s">
        <v>1024</v>
      </c>
      <c r="K259" t="s">
        <v>1025</v>
      </c>
      <c r="L259" t="s">
        <v>1026</v>
      </c>
      <c r="M259" t="s">
        <v>1027</v>
      </c>
      <c r="O259" t="s">
        <v>62</v>
      </c>
      <c r="P259" t="s">
        <v>63</v>
      </c>
      <c r="Q259">
        <v>0.30572455379247759</v>
      </c>
      <c r="R259" t="s">
        <v>64</v>
      </c>
      <c r="S259" t="s">
        <v>65</v>
      </c>
      <c r="T259" t="s">
        <v>1353</v>
      </c>
      <c r="V259" t="s">
        <v>618</v>
      </c>
      <c r="X259" t="s">
        <v>1350</v>
      </c>
      <c r="Y259" t="s">
        <v>1345</v>
      </c>
      <c r="Z259" t="s">
        <v>49</v>
      </c>
      <c r="AA259" t="s">
        <v>896</v>
      </c>
      <c r="AB259" t="s">
        <v>453</v>
      </c>
      <c r="AC259" t="s">
        <v>57</v>
      </c>
      <c r="AD259" t="s">
        <v>145</v>
      </c>
      <c r="AE259" t="s">
        <v>1351</v>
      </c>
      <c r="AI259">
        <v>142.7215192881971</v>
      </c>
      <c r="AJ259">
        <v>1237.228322908805</v>
      </c>
    </row>
    <row r="260" spans="1:36" x14ac:dyDescent="0.25">
      <c r="A260">
        <v>259</v>
      </c>
      <c r="B260" t="s">
        <v>1473</v>
      </c>
      <c r="C260" t="s">
        <v>376</v>
      </c>
      <c r="D260" t="s">
        <v>1023</v>
      </c>
      <c r="E260" t="s">
        <v>37</v>
      </c>
      <c r="F260" t="s">
        <v>38</v>
      </c>
      <c r="G260" s="2">
        <v>45860</v>
      </c>
      <c r="H260">
        <v>0.7</v>
      </c>
      <c r="I260" t="s">
        <v>72</v>
      </c>
      <c r="J260" t="s">
        <v>1024</v>
      </c>
      <c r="K260" t="s">
        <v>1025</v>
      </c>
      <c r="L260" t="s">
        <v>1026</v>
      </c>
      <c r="M260" t="s">
        <v>1027</v>
      </c>
      <c r="O260" t="s">
        <v>62</v>
      </c>
      <c r="P260" t="s">
        <v>63</v>
      </c>
      <c r="Q260">
        <v>7.1639964572053891E-2</v>
      </c>
      <c r="R260" t="s">
        <v>64</v>
      </c>
      <c r="S260" t="s">
        <v>65</v>
      </c>
      <c r="T260" t="s">
        <v>1353</v>
      </c>
      <c r="V260" t="s">
        <v>618</v>
      </c>
      <c r="X260" t="s">
        <v>1350</v>
      </c>
      <c r="Y260" t="s">
        <v>1345</v>
      </c>
      <c r="Z260" t="s">
        <v>49</v>
      </c>
      <c r="AA260" t="s">
        <v>896</v>
      </c>
      <c r="AB260" t="s">
        <v>453</v>
      </c>
      <c r="AC260" t="s">
        <v>57</v>
      </c>
      <c r="AD260" t="s">
        <v>145</v>
      </c>
      <c r="AE260" t="s">
        <v>1351</v>
      </c>
      <c r="AI260">
        <v>76.793543789428838</v>
      </c>
      <c r="AJ260">
        <v>289.91781039900673</v>
      </c>
    </row>
    <row r="261" spans="1:36" hidden="1" x14ac:dyDescent="0.25">
      <c r="A261">
        <v>260</v>
      </c>
      <c r="B261" t="s">
        <v>1421</v>
      </c>
      <c r="C261" t="s">
        <v>376</v>
      </c>
      <c r="D261" t="s">
        <v>1023</v>
      </c>
      <c r="E261" t="s">
        <v>37</v>
      </c>
      <c r="F261" t="s">
        <v>38</v>
      </c>
      <c r="G261" s="2">
        <v>45860</v>
      </c>
      <c r="I261" t="s">
        <v>72</v>
      </c>
      <c r="J261" t="s">
        <v>1024</v>
      </c>
      <c r="K261" t="s">
        <v>1025</v>
      </c>
      <c r="L261" t="s">
        <v>1026</v>
      </c>
      <c r="M261" t="s">
        <v>1027</v>
      </c>
      <c r="O261" t="s">
        <v>704</v>
      </c>
      <c r="P261" t="s">
        <v>705</v>
      </c>
      <c r="Q261">
        <v>0.1124233467301053</v>
      </c>
      <c r="R261" t="s">
        <v>60</v>
      </c>
      <c r="S261" t="s">
        <v>66</v>
      </c>
      <c r="T261" t="s">
        <v>1278</v>
      </c>
      <c r="V261" t="s">
        <v>681</v>
      </c>
      <c r="X261" t="s">
        <v>673</v>
      </c>
      <c r="Y261" t="s">
        <v>1095</v>
      </c>
      <c r="Z261" t="s">
        <v>1411</v>
      </c>
      <c r="AA261" t="s">
        <v>699</v>
      </c>
      <c r="AB261" t="s">
        <v>453</v>
      </c>
      <c r="AC261" t="s">
        <v>57</v>
      </c>
      <c r="AD261" t="s">
        <v>159</v>
      </c>
      <c r="AF261" t="s">
        <v>1423</v>
      </c>
      <c r="AI261">
        <v>86.603264491762218</v>
      </c>
      <c r="AJ261">
        <v>454.96296259245929</v>
      </c>
    </row>
    <row r="262" spans="1:36" hidden="1" x14ac:dyDescent="0.25">
      <c r="A262">
        <v>261</v>
      </c>
      <c r="B262" t="s">
        <v>1421</v>
      </c>
      <c r="C262" t="s">
        <v>376</v>
      </c>
      <c r="D262" t="s">
        <v>1023</v>
      </c>
      <c r="E262" t="s">
        <v>37</v>
      </c>
      <c r="F262" t="s">
        <v>38</v>
      </c>
      <c r="G262" s="2">
        <v>45860</v>
      </c>
      <c r="I262" t="s">
        <v>72</v>
      </c>
      <c r="J262" t="s">
        <v>1024</v>
      </c>
      <c r="K262" t="s">
        <v>1025</v>
      </c>
      <c r="L262" t="s">
        <v>1026</v>
      </c>
      <c r="M262" t="s">
        <v>1027</v>
      </c>
      <c r="O262" t="s">
        <v>402</v>
      </c>
      <c r="P262" t="s">
        <v>403</v>
      </c>
      <c r="Q262">
        <v>0.1181675593986357</v>
      </c>
      <c r="T262" t="s">
        <v>1278</v>
      </c>
      <c r="V262" t="s">
        <v>681</v>
      </c>
      <c r="X262" t="s">
        <v>673</v>
      </c>
      <c r="Y262" t="s">
        <v>1095</v>
      </c>
      <c r="Z262" t="s">
        <v>1411</v>
      </c>
      <c r="AA262" t="s">
        <v>699</v>
      </c>
      <c r="AB262" t="s">
        <v>453</v>
      </c>
      <c r="AC262" t="s">
        <v>57</v>
      </c>
      <c r="AD262" t="s">
        <v>159</v>
      </c>
      <c r="AF262" t="s">
        <v>1423</v>
      </c>
      <c r="AI262">
        <v>109.765933534925</v>
      </c>
      <c r="AJ262">
        <v>478.20905950602742</v>
      </c>
    </row>
    <row r="263" spans="1:36" hidden="1" x14ac:dyDescent="0.25">
      <c r="A263">
        <v>262</v>
      </c>
      <c r="B263" t="s">
        <v>1421</v>
      </c>
      <c r="C263" t="s">
        <v>376</v>
      </c>
      <c r="D263" t="s">
        <v>1023</v>
      </c>
      <c r="E263" t="s">
        <v>37</v>
      </c>
      <c r="F263" t="s">
        <v>38</v>
      </c>
      <c r="G263" s="2">
        <v>45860</v>
      </c>
      <c r="I263" t="s">
        <v>72</v>
      </c>
      <c r="J263" t="s">
        <v>1024</v>
      </c>
      <c r="K263" t="s">
        <v>1025</v>
      </c>
      <c r="L263" t="s">
        <v>1026</v>
      </c>
      <c r="M263" t="s">
        <v>1027</v>
      </c>
      <c r="O263" t="s">
        <v>402</v>
      </c>
      <c r="P263" t="s">
        <v>403</v>
      </c>
      <c r="Q263">
        <v>6.6562398315097721E-2</v>
      </c>
      <c r="S263" t="s">
        <v>38</v>
      </c>
      <c r="T263" t="s">
        <v>1278</v>
      </c>
      <c r="V263" t="s">
        <v>681</v>
      </c>
      <c r="X263" t="s">
        <v>673</v>
      </c>
      <c r="Y263" t="s">
        <v>1095</v>
      </c>
      <c r="Z263" t="s">
        <v>1411</v>
      </c>
      <c r="AA263" t="s">
        <v>699</v>
      </c>
      <c r="AB263" t="s">
        <v>453</v>
      </c>
      <c r="AC263" t="s">
        <v>57</v>
      </c>
      <c r="AD263" t="s">
        <v>159</v>
      </c>
      <c r="AF263" t="s">
        <v>1423</v>
      </c>
      <c r="AI263">
        <v>142.0890490389632</v>
      </c>
      <c r="AJ263">
        <v>269.36954658890897</v>
      </c>
    </row>
    <row r="264" spans="1:36" hidden="1" x14ac:dyDescent="0.25">
      <c r="A264">
        <v>263</v>
      </c>
      <c r="C264" t="s">
        <v>376</v>
      </c>
      <c r="D264" t="s">
        <v>1023</v>
      </c>
      <c r="E264" t="s">
        <v>37</v>
      </c>
      <c r="F264" t="s">
        <v>38</v>
      </c>
      <c r="G264" s="2">
        <v>45860</v>
      </c>
      <c r="I264" t="s">
        <v>72</v>
      </c>
      <c r="J264" t="s">
        <v>1024</v>
      </c>
      <c r="K264" t="s">
        <v>1025</v>
      </c>
      <c r="L264" t="s">
        <v>1026</v>
      </c>
      <c r="M264" t="s">
        <v>1027</v>
      </c>
      <c r="O264" t="s">
        <v>1081</v>
      </c>
      <c r="P264" t="s">
        <v>116</v>
      </c>
      <c r="Q264">
        <v>0.20310363857596181</v>
      </c>
      <c r="S264" t="s">
        <v>38</v>
      </c>
      <c r="T264" t="s">
        <v>1474</v>
      </c>
      <c r="V264" t="s">
        <v>681</v>
      </c>
      <c r="AI264">
        <v>123.11612779460491</v>
      </c>
      <c r="AJ264">
        <v>821.93455191885948</v>
      </c>
    </row>
    <row r="265" spans="1:36" x14ac:dyDescent="0.25">
      <c r="A265">
        <v>264</v>
      </c>
      <c r="B265" t="s">
        <v>1392</v>
      </c>
      <c r="C265" t="s">
        <v>376</v>
      </c>
      <c r="D265" t="s">
        <v>1023</v>
      </c>
      <c r="E265" t="s">
        <v>37</v>
      </c>
      <c r="F265" t="s">
        <v>38</v>
      </c>
      <c r="G265" s="2">
        <v>45867</v>
      </c>
      <c r="H265">
        <v>19</v>
      </c>
      <c r="I265" t="s">
        <v>72</v>
      </c>
      <c r="J265" t="s">
        <v>1024</v>
      </c>
      <c r="K265" t="s">
        <v>1025</v>
      </c>
      <c r="L265" t="s">
        <v>1026</v>
      </c>
      <c r="M265" t="s">
        <v>1027</v>
      </c>
      <c r="O265" t="s">
        <v>62</v>
      </c>
      <c r="P265" t="s">
        <v>63</v>
      </c>
      <c r="Q265">
        <v>1.9959097167585831</v>
      </c>
      <c r="R265" t="s">
        <v>64</v>
      </c>
      <c r="S265" t="s">
        <v>65</v>
      </c>
      <c r="T265" t="s">
        <v>1457</v>
      </c>
      <c r="V265" t="s">
        <v>1394</v>
      </c>
      <c r="X265" t="s">
        <v>1395</v>
      </c>
      <c r="Y265" t="s">
        <v>1387</v>
      </c>
      <c r="Z265" t="s">
        <v>49</v>
      </c>
      <c r="AA265" t="s">
        <v>896</v>
      </c>
      <c r="AB265" t="s">
        <v>453</v>
      </c>
      <c r="AC265" t="s">
        <v>57</v>
      </c>
      <c r="AD265" t="s">
        <v>1396</v>
      </c>
      <c r="AE265" t="s">
        <v>1397</v>
      </c>
      <c r="AI265">
        <v>344.59547250291581</v>
      </c>
      <c r="AJ265">
        <v>8077.1923645321849</v>
      </c>
    </row>
    <row r="266" spans="1:36" x14ac:dyDescent="0.25">
      <c r="A266">
        <v>265</v>
      </c>
      <c r="B266" t="s">
        <v>1354</v>
      </c>
      <c r="C266" t="s">
        <v>376</v>
      </c>
      <c r="D266" t="s">
        <v>1023</v>
      </c>
      <c r="E266" t="s">
        <v>37</v>
      </c>
      <c r="F266" t="s">
        <v>38</v>
      </c>
      <c r="G266" s="2">
        <v>45860</v>
      </c>
      <c r="H266">
        <v>2.8</v>
      </c>
      <c r="I266" t="s">
        <v>72</v>
      </c>
      <c r="J266" t="s">
        <v>1024</v>
      </c>
      <c r="K266" t="s">
        <v>1025</v>
      </c>
      <c r="L266" t="s">
        <v>1026</v>
      </c>
      <c r="M266" t="s">
        <v>1027</v>
      </c>
      <c r="O266" t="s">
        <v>62</v>
      </c>
      <c r="P266" t="s">
        <v>63</v>
      </c>
      <c r="Q266">
        <v>0.41291652402737061</v>
      </c>
      <c r="R266" t="s">
        <v>64</v>
      </c>
      <c r="S266" t="s">
        <v>65</v>
      </c>
      <c r="T266" t="s">
        <v>1353</v>
      </c>
      <c r="V266" t="s">
        <v>618</v>
      </c>
      <c r="X266" t="s">
        <v>1350</v>
      </c>
      <c r="Y266" t="s">
        <v>1345</v>
      </c>
      <c r="Z266" t="s">
        <v>49</v>
      </c>
      <c r="AA266" t="s">
        <v>896</v>
      </c>
      <c r="AB266" t="s">
        <v>453</v>
      </c>
      <c r="AC266" t="s">
        <v>57</v>
      </c>
      <c r="AD266" t="s">
        <v>145</v>
      </c>
      <c r="AE266" t="s">
        <v>1351</v>
      </c>
      <c r="AI266">
        <v>217.91105149546729</v>
      </c>
      <c r="AJ266">
        <v>1671.0205712508489</v>
      </c>
    </row>
    <row r="267" spans="1:36" hidden="1" x14ac:dyDescent="0.25">
      <c r="A267">
        <v>266</v>
      </c>
      <c r="B267" t="s">
        <v>1355</v>
      </c>
      <c r="C267" t="s">
        <v>376</v>
      </c>
      <c r="D267" t="s">
        <v>1023</v>
      </c>
      <c r="E267" t="s">
        <v>37</v>
      </c>
      <c r="F267" t="s">
        <v>38</v>
      </c>
      <c r="G267" s="2">
        <v>45860</v>
      </c>
      <c r="H267">
        <v>1.3</v>
      </c>
      <c r="I267" t="s">
        <v>72</v>
      </c>
      <c r="J267" t="s">
        <v>1024</v>
      </c>
      <c r="K267" t="s">
        <v>1025</v>
      </c>
      <c r="L267" t="s">
        <v>1026</v>
      </c>
      <c r="M267" t="s">
        <v>1027</v>
      </c>
      <c r="O267" t="s">
        <v>1045</v>
      </c>
      <c r="P267" t="s">
        <v>133</v>
      </c>
      <c r="Q267">
        <v>0.28291494541176498</v>
      </c>
      <c r="R267" t="s">
        <v>73</v>
      </c>
      <c r="S267" t="s">
        <v>74</v>
      </c>
      <c r="T267" t="s">
        <v>1353</v>
      </c>
      <c r="V267" t="s">
        <v>618</v>
      </c>
      <c r="X267" t="s">
        <v>1350</v>
      </c>
      <c r="Y267" t="s">
        <v>1345</v>
      </c>
      <c r="Z267" t="s">
        <v>49</v>
      </c>
      <c r="AA267" t="s">
        <v>896</v>
      </c>
      <c r="AB267" t="s">
        <v>453</v>
      </c>
      <c r="AC267" t="s">
        <v>57</v>
      </c>
      <c r="AD267" t="s">
        <v>145</v>
      </c>
      <c r="AE267" t="s">
        <v>1351</v>
      </c>
      <c r="AI267">
        <v>189.8785050137063</v>
      </c>
      <c r="AJ267">
        <v>1144.9207435109411</v>
      </c>
    </row>
    <row r="268" spans="1:36" hidden="1" x14ac:dyDescent="0.25">
      <c r="A268">
        <v>267</v>
      </c>
      <c r="C268" t="s">
        <v>376</v>
      </c>
      <c r="D268" t="s">
        <v>1023</v>
      </c>
      <c r="E268" t="s">
        <v>37</v>
      </c>
      <c r="F268" t="s">
        <v>38</v>
      </c>
      <c r="G268" s="2">
        <v>45867</v>
      </c>
      <c r="I268" t="s">
        <v>72</v>
      </c>
      <c r="J268" t="s">
        <v>1024</v>
      </c>
      <c r="K268" t="s">
        <v>1025</v>
      </c>
      <c r="L268" t="s">
        <v>1026</v>
      </c>
      <c r="M268" t="s">
        <v>1027</v>
      </c>
      <c r="O268" t="s">
        <v>115</v>
      </c>
      <c r="P268" t="s">
        <v>137</v>
      </c>
      <c r="Q268">
        <v>3.4036800978994891E-2</v>
      </c>
      <c r="S268" t="s">
        <v>38</v>
      </c>
      <c r="T268" t="s">
        <v>1475</v>
      </c>
      <c r="V268" t="s">
        <v>64</v>
      </c>
      <c r="AI268">
        <v>43.919989785428392</v>
      </c>
      <c r="AJ268">
        <v>137.74259760963551</v>
      </c>
    </row>
    <row r="269" spans="1:36" x14ac:dyDescent="0.25">
      <c r="A269">
        <v>268</v>
      </c>
      <c r="B269" t="s">
        <v>1235</v>
      </c>
      <c r="C269" t="s">
        <v>376</v>
      </c>
      <c r="D269" t="s">
        <v>1023</v>
      </c>
      <c r="E269" t="s">
        <v>37</v>
      </c>
      <c r="F269" t="s">
        <v>38</v>
      </c>
      <c r="G269" s="2">
        <v>45867</v>
      </c>
      <c r="H269">
        <v>6.1</v>
      </c>
      <c r="I269" t="s">
        <v>72</v>
      </c>
      <c r="J269" t="s">
        <v>1024</v>
      </c>
      <c r="K269" t="s">
        <v>1025</v>
      </c>
      <c r="L269" t="s">
        <v>1026</v>
      </c>
      <c r="M269" t="s">
        <v>1027</v>
      </c>
      <c r="N269" t="s">
        <v>1192</v>
      </c>
      <c r="O269" t="s">
        <v>62</v>
      </c>
      <c r="P269" t="s">
        <v>63</v>
      </c>
      <c r="Q269">
        <v>1.4584757613486741</v>
      </c>
      <c r="R269" t="s">
        <v>64</v>
      </c>
      <c r="S269" t="s">
        <v>65</v>
      </c>
      <c r="T269" t="s">
        <v>1228</v>
      </c>
      <c r="V269" t="s">
        <v>76</v>
      </c>
      <c r="X269" t="s">
        <v>1229</v>
      </c>
      <c r="Y269" t="s">
        <v>1075</v>
      </c>
      <c r="Z269" t="s">
        <v>719</v>
      </c>
      <c r="AA269" t="s">
        <v>397</v>
      </c>
      <c r="AB269" t="s">
        <v>453</v>
      </c>
      <c r="AC269" t="s">
        <v>57</v>
      </c>
      <c r="AD269" t="s">
        <v>1230</v>
      </c>
      <c r="AE269" t="s">
        <v>1231</v>
      </c>
      <c r="AI269">
        <v>337.22833656734008</v>
      </c>
      <c r="AJ269">
        <v>5902.2656107674457</v>
      </c>
    </row>
    <row r="270" spans="1:36" hidden="1" x14ac:dyDescent="0.25">
      <c r="A270">
        <v>269</v>
      </c>
      <c r="C270" t="s">
        <v>376</v>
      </c>
      <c r="D270" t="s">
        <v>1023</v>
      </c>
      <c r="E270" t="s">
        <v>37</v>
      </c>
      <c r="F270" t="s">
        <v>38</v>
      </c>
      <c r="G270" s="2">
        <v>45867</v>
      </c>
      <c r="I270" t="s">
        <v>72</v>
      </c>
      <c r="J270" t="s">
        <v>1024</v>
      </c>
      <c r="K270" t="s">
        <v>1025</v>
      </c>
      <c r="L270" t="s">
        <v>1026</v>
      </c>
      <c r="M270" t="s">
        <v>1027</v>
      </c>
      <c r="O270" t="s">
        <v>115</v>
      </c>
      <c r="P270" t="s">
        <v>137</v>
      </c>
      <c r="Q270">
        <v>0.67441287589689358</v>
      </c>
      <c r="S270" t="s">
        <v>38</v>
      </c>
      <c r="T270" t="s">
        <v>1476</v>
      </c>
      <c r="V270" t="s">
        <v>61</v>
      </c>
      <c r="AI270">
        <v>256.34832792503948</v>
      </c>
      <c r="AJ270">
        <v>2729.2629952136622</v>
      </c>
    </row>
    <row r="271" spans="1:36" hidden="1" x14ac:dyDescent="0.25">
      <c r="A271">
        <v>270</v>
      </c>
      <c r="B271" t="s">
        <v>1042</v>
      </c>
      <c r="C271" t="s">
        <v>376</v>
      </c>
      <c r="D271" t="s">
        <v>1023</v>
      </c>
      <c r="E271" t="s">
        <v>37</v>
      </c>
      <c r="F271" t="s">
        <v>38</v>
      </c>
      <c r="G271" s="2">
        <v>45868</v>
      </c>
      <c r="H271">
        <v>3.13</v>
      </c>
      <c r="I271" t="s">
        <v>72</v>
      </c>
      <c r="J271" t="s">
        <v>1024</v>
      </c>
      <c r="K271" t="s">
        <v>1025</v>
      </c>
      <c r="L271" t="s">
        <v>1026</v>
      </c>
      <c r="M271" t="s">
        <v>1027</v>
      </c>
      <c r="O271" t="s">
        <v>1045</v>
      </c>
      <c r="P271" t="s">
        <v>133</v>
      </c>
      <c r="Q271">
        <v>0.33357991070999338</v>
      </c>
      <c r="R271" t="s">
        <v>73</v>
      </c>
      <c r="S271" t="s">
        <v>74</v>
      </c>
      <c r="T271" t="s">
        <v>1028</v>
      </c>
      <c r="V271" t="s">
        <v>1029</v>
      </c>
      <c r="X271" t="s">
        <v>1030</v>
      </c>
      <c r="Y271" t="s">
        <v>1031</v>
      </c>
      <c r="Z271" t="s">
        <v>719</v>
      </c>
      <c r="AA271" t="s">
        <v>119</v>
      </c>
      <c r="AB271" t="s">
        <v>453</v>
      </c>
      <c r="AC271" t="s">
        <v>57</v>
      </c>
      <c r="AD271" t="s">
        <v>1032</v>
      </c>
      <c r="AE271" t="s">
        <v>1033</v>
      </c>
      <c r="AI271">
        <v>186.99784617145241</v>
      </c>
      <c r="AJ271">
        <v>1349.9554038565709</v>
      </c>
    </row>
    <row r="272" spans="1:36" hidden="1" x14ac:dyDescent="0.25">
      <c r="A272">
        <v>271</v>
      </c>
      <c r="B272" t="s">
        <v>1042</v>
      </c>
      <c r="C272" t="s">
        <v>376</v>
      </c>
      <c r="D272" t="s">
        <v>1023</v>
      </c>
      <c r="E272" t="s">
        <v>37</v>
      </c>
      <c r="F272" t="s">
        <v>38</v>
      </c>
      <c r="G272" s="2">
        <v>45868</v>
      </c>
      <c r="H272">
        <v>3.13</v>
      </c>
      <c r="I272" t="s">
        <v>72</v>
      </c>
      <c r="J272" t="s">
        <v>1024</v>
      </c>
      <c r="K272" t="s">
        <v>1025</v>
      </c>
      <c r="L272" t="s">
        <v>1026</v>
      </c>
      <c r="M272" t="s">
        <v>1027</v>
      </c>
      <c r="O272" t="s">
        <v>79</v>
      </c>
      <c r="P272" t="s">
        <v>80</v>
      </c>
      <c r="Q272">
        <v>0.38091511959626467</v>
      </c>
      <c r="R272" t="s">
        <v>73</v>
      </c>
      <c r="S272" t="s">
        <v>74</v>
      </c>
      <c r="T272" t="s">
        <v>1028</v>
      </c>
      <c r="V272" t="s">
        <v>1029</v>
      </c>
      <c r="X272" t="s">
        <v>1030</v>
      </c>
      <c r="Y272" t="s">
        <v>1031</v>
      </c>
      <c r="Z272" t="s">
        <v>719</v>
      </c>
      <c r="AA272" t="s">
        <v>119</v>
      </c>
      <c r="AB272" t="s">
        <v>453</v>
      </c>
      <c r="AC272" t="s">
        <v>57</v>
      </c>
      <c r="AD272" t="s">
        <v>1032</v>
      </c>
      <c r="AE272" t="s">
        <v>1033</v>
      </c>
      <c r="AI272">
        <v>168.13778825728971</v>
      </c>
      <c r="AJ272">
        <v>1541.5149641810981</v>
      </c>
    </row>
    <row r="273" spans="1:36" hidden="1" x14ac:dyDescent="0.25">
      <c r="A273">
        <v>272</v>
      </c>
      <c r="C273" t="s">
        <v>376</v>
      </c>
      <c r="D273" t="s">
        <v>1023</v>
      </c>
      <c r="E273" t="s">
        <v>37</v>
      </c>
      <c r="F273" t="s">
        <v>38</v>
      </c>
      <c r="G273" s="2">
        <v>45867</v>
      </c>
      <c r="H273">
        <v>0.5</v>
      </c>
      <c r="I273" t="s">
        <v>72</v>
      </c>
      <c r="J273" t="s">
        <v>1024</v>
      </c>
      <c r="K273" t="s">
        <v>1025</v>
      </c>
      <c r="L273" t="s">
        <v>1026</v>
      </c>
      <c r="M273" t="s">
        <v>1027</v>
      </c>
      <c r="N273" t="s">
        <v>1257</v>
      </c>
      <c r="O273" t="s">
        <v>1081</v>
      </c>
      <c r="P273" t="s">
        <v>116</v>
      </c>
      <c r="Q273">
        <v>0.494607230048422</v>
      </c>
      <c r="S273" t="s">
        <v>38</v>
      </c>
      <c r="T273" t="s">
        <v>1477</v>
      </c>
      <c r="V273" t="s">
        <v>76</v>
      </c>
      <c r="X273" t="s">
        <v>673</v>
      </c>
      <c r="Y273" t="s">
        <v>1095</v>
      </c>
      <c r="Z273" t="s">
        <v>1073</v>
      </c>
      <c r="AA273" t="s">
        <v>397</v>
      </c>
      <c r="AB273" t="s">
        <v>453</v>
      </c>
      <c r="AI273">
        <v>260.75172711181619</v>
      </c>
      <c r="AJ273">
        <v>2001.6124519287321</v>
      </c>
    </row>
    <row r="274" spans="1:36" hidden="1" x14ac:dyDescent="0.25">
      <c r="A274">
        <v>273</v>
      </c>
      <c r="C274" t="s">
        <v>376</v>
      </c>
      <c r="D274" t="s">
        <v>1023</v>
      </c>
      <c r="E274" t="s">
        <v>37</v>
      </c>
      <c r="F274" t="s">
        <v>38</v>
      </c>
      <c r="G274" s="2">
        <v>45867</v>
      </c>
      <c r="I274" t="s">
        <v>72</v>
      </c>
      <c r="J274" t="s">
        <v>1024</v>
      </c>
      <c r="K274" t="s">
        <v>1025</v>
      </c>
      <c r="L274" t="s">
        <v>1026</v>
      </c>
      <c r="M274" t="s">
        <v>1027</v>
      </c>
      <c r="N274" t="s">
        <v>1192</v>
      </c>
      <c r="O274" t="s">
        <v>87</v>
      </c>
      <c r="P274" t="s">
        <v>88</v>
      </c>
      <c r="Q274">
        <v>11.484810058274171</v>
      </c>
      <c r="R274" t="s">
        <v>46</v>
      </c>
      <c r="S274" t="s">
        <v>47</v>
      </c>
      <c r="T274" t="s">
        <v>1478</v>
      </c>
      <c r="V274" t="s">
        <v>76</v>
      </c>
      <c r="AI274">
        <v>899.5408050026889</v>
      </c>
      <c r="AJ274">
        <v>46477.563254438042</v>
      </c>
    </row>
    <row r="275" spans="1:36" hidden="1" x14ac:dyDescent="0.25">
      <c r="A275">
        <v>274</v>
      </c>
      <c r="B275" t="s">
        <v>1043</v>
      </c>
      <c r="C275" t="s">
        <v>376</v>
      </c>
      <c r="D275" t="s">
        <v>1023</v>
      </c>
      <c r="E275" t="s">
        <v>37</v>
      </c>
      <c r="F275" t="s">
        <v>38</v>
      </c>
      <c r="G275" s="2">
        <v>45868</v>
      </c>
      <c r="H275">
        <v>6.35</v>
      </c>
      <c r="I275" t="s">
        <v>72</v>
      </c>
      <c r="J275" t="s">
        <v>1024</v>
      </c>
      <c r="K275" t="s">
        <v>1025</v>
      </c>
      <c r="L275" t="s">
        <v>1026</v>
      </c>
      <c r="M275" t="s">
        <v>1027</v>
      </c>
      <c r="O275" t="s">
        <v>44</v>
      </c>
      <c r="P275" t="s">
        <v>45</v>
      </c>
      <c r="Q275">
        <v>1.1252430051727951</v>
      </c>
      <c r="R275" t="s">
        <v>46</v>
      </c>
      <c r="S275" t="s">
        <v>47</v>
      </c>
      <c r="T275" t="s">
        <v>1028</v>
      </c>
      <c r="V275" t="s">
        <v>1029</v>
      </c>
      <c r="X275" t="s">
        <v>1030</v>
      </c>
      <c r="Y275" t="s">
        <v>1031</v>
      </c>
      <c r="Z275" t="s">
        <v>719</v>
      </c>
      <c r="AA275" t="s">
        <v>119</v>
      </c>
      <c r="AB275" t="s">
        <v>453</v>
      </c>
      <c r="AC275" t="s">
        <v>57</v>
      </c>
      <c r="AD275" t="s">
        <v>1032</v>
      </c>
      <c r="AE275" t="s">
        <v>1033</v>
      </c>
      <c r="AI275">
        <v>278.180379585835</v>
      </c>
      <c r="AJ275">
        <v>4553.715097086374</v>
      </c>
    </row>
    <row r="276" spans="1:36" hidden="1" x14ac:dyDescent="0.25">
      <c r="A276">
        <v>275</v>
      </c>
      <c r="C276" t="s">
        <v>376</v>
      </c>
      <c r="D276" t="s">
        <v>1023</v>
      </c>
      <c r="E276" t="s">
        <v>37</v>
      </c>
      <c r="G276" s="2">
        <v>45860</v>
      </c>
      <c r="I276" t="s">
        <v>72</v>
      </c>
      <c r="J276" t="s">
        <v>1024</v>
      </c>
      <c r="K276" t="s">
        <v>1025</v>
      </c>
      <c r="L276" t="s">
        <v>1026</v>
      </c>
      <c r="M276" t="s">
        <v>1027</v>
      </c>
      <c r="O276" t="s">
        <v>99</v>
      </c>
      <c r="P276" t="s">
        <v>100</v>
      </c>
      <c r="Q276">
        <v>3.6338740500038907E-2</v>
      </c>
      <c r="R276" t="s">
        <v>60</v>
      </c>
      <c r="S276" t="s">
        <v>66</v>
      </c>
      <c r="V276" t="s">
        <v>618</v>
      </c>
      <c r="AI276">
        <v>57.886194553652977</v>
      </c>
      <c r="AJ276">
        <v>147.05825360693569</v>
      </c>
    </row>
    <row r="277" spans="1:36" hidden="1" x14ac:dyDescent="0.25">
      <c r="A277">
        <v>276</v>
      </c>
      <c r="B277" t="s">
        <v>1366</v>
      </c>
      <c r="C277" t="s">
        <v>376</v>
      </c>
      <c r="D277" t="s">
        <v>1023</v>
      </c>
      <c r="E277" t="s">
        <v>37</v>
      </c>
      <c r="G277" s="2">
        <v>45860</v>
      </c>
      <c r="H277">
        <v>1.1000000000000001</v>
      </c>
      <c r="I277" t="s">
        <v>72</v>
      </c>
      <c r="J277" t="s">
        <v>1024</v>
      </c>
      <c r="K277" t="s">
        <v>1025</v>
      </c>
      <c r="L277" t="s">
        <v>1026</v>
      </c>
      <c r="M277" t="s">
        <v>1027</v>
      </c>
      <c r="O277" t="s">
        <v>129</v>
      </c>
      <c r="P277" t="s">
        <v>130</v>
      </c>
      <c r="Q277">
        <v>0.49813070989548602</v>
      </c>
      <c r="R277" t="s">
        <v>73</v>
      </c>
      <c r="S277" t="s">
        <v>74</v>
      </c>
      <c r="T277" t="s">
        <v>1365</v>
      </c>
      <c r="V277" t="s">
        <v>618</v>
      </c>
      <c r="X277" t="s">
        <v>1350</v>
      </c>
      <c r="Y277" t="s">
        <v>1345</v>
      </c>
      <c r="Z277" t="s">
        <v>49</v>
      </c>
      <c r="AA277" t="s">
        <v>896</v>
      </c>
      <c r="AC277" t="s">
        <v>57</v>
      </c>
      <c r="AD277" t="s">
        <v>145</v>
      </c>
      <c r="AE277" t="s">
        <v>1351</v>
      </c>
      <c r="AI277">
        <v>176.56399484788761</v>
      </c>
      <c r="AJ277">
        <v>2015.871526013259</v>
      </c>
    </row>
    <row r="278" spans="1:36" hidden="1" x14ac:dyDescent="0.25">
      <c r="A278">
        <v>278</v>
      </c>
      <c r="B278" t="s">
        <v>1112</v>
      </c>
      <c r="C278" t="s">
        <v>376</v>
      </c>
      <c r="D278" t="s">
        <v>1023</v>
      </c>
      <c r="E278" t="s">
        <v>37</v>
      </c>
      <c r="G278" s="2">
        <v>45861</v>
      </c>
      <c r="H278">
        <v>3</v>
      </c>
      <c r="I278" t="s">
        <v>72</v>
      </c>
      <c r="J278" t="s">
        <v>1024</v>
      </c>
      <c r="K278" t="s">
        <v>1025</v>
      </c>
      <c r="L278" t="s">
        <v>1026</v>
      </c>
      <c r="M278" t="s">
        <v>1027</v>
      </c>
      <c r="O278" t="s">
        <v>79</v>
      </c>
      <c r="P278" t="s">
        <v>80</v>
      </c>
      <c r="Q278">
        <v>1.042553410928128</v>
      </c>
      <c r="R278" t="s">
        <v>46</v>
      </c>
      <c r="S278" t="s">
        <v>47</v>
      </c>
      <c r="T278" t="s">
        <v>1093</v>
      </c>
      <c r="V278" t="s">
        <v>118</v>
      </c>
      <c r="X278" t="s">
        <v>1094</v>
      </c>
      <c r="Y278" t="s">
        <v>1095</v>
      </c>
      <c r="Z278" t="s">
        <v>1096</v>
      </c>
      <c r="AA278" t="s">
        <v>1076</v>
      </c>
      <c r="AC278" t="s">
        <v>57</v>
      </c>
      <c r="AD278" t="s">
        <v>399</v>
      </c>
      <c r="AE278" t="s">
        <v>1097</v>
      </c>
      <c r="AI278">
        <v>392.69132905240349</v>
      </c>
      <c r="AJ278">
        <v>4219.080843016015</v>
      </c>
    </row>
    <row r="279" spans="1:36" hidden="1" x14ac:dyDescent="0.25">
      <c r="A279">
        <v>279</v>
      </c>
      <c r="B279" t="s">
        <v>1317</v>
      </c>
      <c r="C279" t="s">
        <v>376</v>
      </c>
      <c r="D279" t="s">
        <v>1023</v>
      </c>
      <c r="E279" t="s">
        <v>37</v>
      </c>
      <c r="G279" s="2">
        <v>45867</v>
      </c>
      <c r="H279">
        <v>0.6</v>
      </c>
      <c r="I279" t="s">
        <v>72</v>
      </c>
      <c r="J279" t="s">
        <v>1024</v>
      </c>
      <c r="K279" t="s">
        <v>1025</v>
      </c>
      <c r="L279" t="s">
        <v>1026</v>
      </c>
      <c r="M279" t="s">
        <v>1027</v>
      </c>
      <c r="O279" t="s">
        <v>115</v>
      </c>
      <c r="P279" t="s">
        <v>137</v>
      </c>
      <c r="Q279">
        <v>2.798617501450975E-2</v>
      </c>
      <c r="T279" t="s">
        <v>1479</v>
      </c>
      <c r="V279" t="s">
        <v>75</v>
      </c>
      <c r="X279" t="s">
        <v>1314</v>
      </c>
      <c r="Y279" t="s">
        <v>1075</v>
      </c>
      <c r="Z279" t="s">
        <v>719</v>
      </c>
      <c r="AA279" t="s">
        <v>576</v>
      </c>
      <c r="AC279" t="s">
        <v>57</v>
      </c>
      <c r="AD279" t="s">
        <v>93</v>
      </c>
      <c r="AE279" t="s">
        <v>1315</v>
      </c>
      <c r="AI279">
        <v>43.606715733602641</v>
      </c>
      <c r="AJ279">
        <v>113.25648512136659</v>
      </c>
    </row>
    <row r="280" spans="1:36" hidden="1" x14ac:dyDescent="0.25">
      <c r="A280">
        <v>281</v>
      </c>
      <c r="C280" t="s">
        <v>376</v>
      </c>
      <c r="D280" t="s">
        <v>1023</v>
      </c>
      <c r="E280" t="s">
        <v>37</v>
      </c>
      <c r="G280" s="2">
        <v>45867</v>
      </c>
      <c r="I280" t="s">
        <v>72</v>
      </c>
      <c r="J280" t="s">
        <v>1024</v>
      </c>
      <c r="K280" t="s">
        <v>1025</v>
      </c>
      <c r="L280" t="s">
        <v>1026</v>
      </c>
      <c r="M280" t="s">
        <v>1027</v>
      </c>
      <c r="O280" t="s">
        <v>408</v>
      </c>
      <c r="P280" t="s">
        <v>409</v>
      </c>
      <c r="Q280">
        <v>0.62016861294040471</v>
      </c>
      <c r="R280" t="s">
        <v>60</v>
      </c>
      <c r="S280" t="s">
        <v>66</v>
      </c>
      <c r="V280" t="s">
        <v>118</v>
      </c>
      <c r="AI280">
        <v>202.5652481243948</v>
      </c>
      <c r="AJ280">
        <v>2509.7433732122299</v>
      </c>
    </row>
    <row r="281" spans="1:36" hidden="1" x14ac:dyDescent="0.25">
      <c r="A281">
        <v>283</v>
      </c>
      <c r="C281" t="s">
        <v>376</v>
      </c>
      <c r="D281" t="s">
        <v>1023</v>
      </c>
      <c r="E281" t="s">
        <v>37</v>
      </c>
      <c r="G281" s="2">
        <v>45868</v>
      </c>
      <c r="I281" t="s">
        <v>72</v>
      </c>
      <c r="J281" t="s">
        <v>1024</v>
      </c>
      <c r="K281" t="s">
        <v>1025</v>
      </c>
      <c r="L281" t="s">
        <v>1026</v>
      </c>
      <c r="M281" t="s">
        <v>1027</v>
      </c>
      <c r="O281" t="s">
        <v>129</v>
      </c>
      <c r="P281" t="s">
        <v>130</v>
      </c>
      <c r="Q281">
        <v>8.2460485461332708E-2</v>
      </c>
      <c r="R281" t="s">
        <v>73</v>
      </c>
      <c r="S281" t="s">
        <v>74</v>
      </c>
      <c r="V281" t="s">
        <v>119</v>
      </c>
      <c r="AI281">
        <v>82.363860197023968</v>
      </c>
      <c r="AJ281">
        <v>333.70708001040128</v>
      </c>
    </row>
    <row r="282" spans="1:36" x14ac:dyDescent="0.25">
      <c r="A282">
        <v>284</v>
      </c>
      <c r="B282" t="s">
        <v>1392</v>
      </c>
      <c r="C282" t="s">
        <v>376</v>
      </c>
      <c r="D282" t="s">
        <v>1023</v>
      </c>
      <c r="E282" t="s">
        <v>37</v>
      </c>
      <c r="G282" s="2">
        <v>45867</v>
      </c>
      <c r="H282">
        <v>19</v>
      </c>
      <c r="I282" t="s">
        <v>72</v>
      </c>
      <c r="J282" t="s">
        <v>1024</v>
      </c>
      <c r="K282" t="s">
        <v>1025</v>
      </c>
      <c r="L282" t="s">
        <v>1026</v>
      </c>
      <c r="M282" t="s">
        <v>1027</v>
      </c>
      <c r="O282" t="s">
        <v>62</v>
      </c>
      <c r="P282" t="s">
        <v>63</v>
      </c>
      <c r="Q282">
        <v>2.4171947593457568</v>
      </c>
      <c r="R282" t="s">
        <v>64</v>
      </c>
      <c r="S282" t="s">
        <v>65</v>
      </c>
      <c r="T282" t="s">
        <v>1393</v>
      </c>
      <c r="V282" t="s">
        <v>1394</v>
      </c>
      <c r="X282" t="s">
        <v>1395</v>
      </c>
      <c r="Y282" t="s">
        <v>1387</v>
      </c>
      <c r="Z282" t="s">
        <v>49</v>
      </c>
      <c r="AA282" t="s">
        <v>896</v>
      </c>
      <c r="AC282" t="s">
        <v>57</v>
      </c>
      <c r="AD282" t="s">
        <v>1396</v>
      </c>
      <c r="AE282" t="s">
        <v>1397</v>
      </c>
      <c r="AI282">
        <v>469.77990692513742</v>
      </c>
      <c r="AJ282">
        <v>9782.0792643279274</v>
      </c>
    </row>
  </sheetData>
  <autoFilter ref="A1:AJ282" xr:uid="{00000000-0001-0000-0400-000000000000}">
    <filterColumn colId="15">
      <filters>
        <filter val="Fallow, idle or otherwise not irrigated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J131"/>
  <sheetViews>
    <sheetView workbookViewId="0">
      <pane ySplit="1" topLeftCell="A6" activePane="bottomLeft" state="frozen"/>
      <selection pane="bottomLeft" activeCell="O6" sqref="O6"/>
    </sheetView>
  </sheetViews>
  <sheetFormatPr defaultRowHeight="15" x14ac:dyDescent="0.25"/>
  <cols>
    <col min="15" max="15" width="13.85546875" bestFit="1" customWidth="1"/>
    <col min="16" max="16" width="48.85546875" bestFit="1" customWidth="1"/>
  </cols>
  <sheetData>
    <row r="1" spans="1:3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idden="1" x14ac:dyDescent="0.25">
      <c r="A2">
        <v>1</v>
      </c>
      <c r="B2" t="s">
        <v>375</v>
      </c>
      <c r="C2" t="s">
        <v>376</v>
      </c>
      <c r="D2" t="s">
        <v>377</v>
      </c>
      <c r="E2" t="s">
        <v>37</v>
      </c>
      <c r="F2" t="s">
        <v>57</v>
      </c>
      <c r="G2" s="2">
        <v>45874</v>
      </c>
      <c r="H2">
        <v>1.1000000000000001</v>
      </c>
      <c r="I2" t="s">
        <v>72</v>
      </c>
      <c r="J2" t="s">
        <v>40</v>
      </c>
      <c r="K2" t="s">
        <v>41</v>
      </c>
      <c r="L2" t="s">
        <v>378</v>
      </c>
      <c r="M2" t="s">
        <v>379</v>
      </c>
      <c r="O2" t="s">
        <v>62</v>
      </c>
      <c r="P2" t="s">
        <v>63</v>
      </c>
      <c r="Q2">
        <v>1.1344223523244259</v>
      </c>
      <c r="R2" t="s">
        <v>64</v>
      </c>
      <c r="S2" t="s">
        <v>65</v>
      </c>
      <c r="T2" t="s">
        <v>380</v>
      </c>
      <c r="V2" t="s">
        <v>46</v>
      </c>
      <c r="X2" t="s">
        <v>381</v>
      </c>
      <c r="Y2" t="s">
        <v>382</v>
      </c>
      <c r="Z2" t="s">
        <v>383</v>
      </c>
      <c r="AA2" t="s">
        <v>118</v>
      </c>
      <c r="AB2" t="s">
        <v>41</v>
      </c>
      <c r="AC2" t="s">
        <v>384</v>
      </c>
      <c r="AD2" t="s">
        <v>145</v>
      </c>
      <c r="AE2" t="s">
        <v>385</v>
      </c>
      <c r="AI2">
        <v>340.87902976960532</v>
      </c>
      <c r="AJ2">
        <v>4590.8627456508366</v>
      </c>
    </row>
    <row r="3" spans="1:36" hidden="1" x14ac:dyDescent="0.25">
      <c r="A3">
        <v>2</v>
      </c>
      <c r="B3" t="s">
        <v>386</v>
      </c>
      <c r="C3" t="s">
        <v>376</v>
      </c>
      <c r="D3" t="s">
        <v>377</v>
      </c>
      <c r="E3" t="s">
        <v>37</v>
      </c>
      <c r="F3" t="s">
        <v>57</v>
      </c>
      <c r="G3" s="2">
        <v>45874</v>
      </c>
      <c r="H3">
        <v>0.8</v>
      </c>
      <c r="I3" t="s">
        <v>72</v>
      </c>
      <c r="J3" t="s">
        <v>40</v>
      </c>
      <c r="K3" t="s">
        <v>41</v>
      </c>
      <c r="L3" t="s">
        <v>378</v>
      </c>
      <c r="M3" t="s">
        <v>379</v>
      </c>
      <c r="O3" t="s">
        <v>62</v>
      </c>
      <c r="P3" t="s">
        <v>63</v>
      </c>
      <c r="Q3">
        <v>0.34968843407345879</v>
      </c>
      <c r="R3" t="s">
        <v>64</v>
      </c>
      <c r="S3" t="s">
        <v>65</v>
      </c>
      <c r="T3" t="s">
        <v>387</v>
      </c>
      <c r="V3" t="s">
        <v>46</v>
      </c>
      <c r="X3" t="s">
        <v>381</v>
      </c>
      <c r="Y3" t="s">
        <v>382</v>
      </c>
      <c r="Z3" t="s">
        <v>383</v>
      </c>
      <c r="AA3" t="s">
        <v>118</v>
      </c>
      <c r="AB3" t="s">
        <v>41</v>
      </c>
      <c r="AC3" t="s">
        <v>384</v>
      </c>
      <c r="AD3" t="s">
        <v>145</v>
      </c>
      <c r="AE3" t="s">
        <v>385</v>
      </c>
      <c r="AI3">
        <v>162.4299601277946</v>
      </c>
      <c r="AJ3">
        <v>1415.1445458416979</v>
      </c>
    </row>
    <row r="4" spans="1:36" hidden="1" x14ac:dyDescent="0.25">
      <c r="A4">
        <v>3</v>
      </c>
      <c r="B4" t="s">
        <v>388</v>
      </c>
      <c r="C4" t="s">
        <v>376</v>
      </c>
      <c r="D4" t="s">
        <v>377</v>
      </c>
      <c r="E4" t="s">
        <v>37</v>
      </c>
      <c r="F4" t="s">
        <v>57</v>
      </c>
      <c r="G4" s="2">
        <v>45874</v>
      </c>
      <c r="H4">
        <v>0.1</v>
      </c>
      <c r="I4" t="s">
        <v>72</v>
      </c>
      <c r="J4" t="s">
        <v>40</v>
      </c>
      <c r="K4" t="s">
        <v>41</v>
      </c>
      <c r="L4" t="s">
        <v>378</v>
      </c>
      <c r="M4" t="s">
        <v>379</v>
      </c>
      <c r="O4" t="s">
        <v>62</v>
      </c>
      <c r="P4" t="s">
        <v>63</v>
      </c>
      <c r="Q4">
        <v>0.1080501001363583</v>
      </c>
      <c r="R4" t="s">
        <v>64</v>
      </c>
      <c r="S4" t="s">
        <v>65</v>
      </c>
      <c r="T4" t="s">
        <v>387</v>
      </c>
      <c r="V4" t="s">
        <v>46</v>
      </c>
      <c r="X4" t="s">
        <v>381</v>
      </c>
      <c r="Y4" t="s">
        <v>382</v>
      </c>
      <c r="Z4" t="s">
        <v>383</v>
      </c>
      <c r="AA4" t="s">
        <v>118</v>
      </c>
      <c r="AB4" t="s">
        <v>41</v>
      </c>
      <c r="AC4" t="s">
        <v>384</v>
      </c>
      <c r="AD4" t="s">
        <v>145</v>
      </c>
      <c r="AE4" t="s">
        <v>385</v>
      </c>
      <c r="AI4">
        <v>91.653020730264771</v>
      </c>
      <c r="AJ4">
        <v>437.26499073599848</v>
      </c>
    </row>
    <row r="5" spans="1:36" hidden="1" x14ac:dyDescent="0.25">
      <c r="A5">
        <v>4</v>
      </c>
      <c r="B5" t="s">
        <v>389</v>
      </c>
      <c r="C5" t="s">
        <v>376</v>
      </c>
      <c r="D5" t="s">
        <v>377</v>
      </c>
      <c r="E5" t="s">
        <v>37</v>
      </c>
      <c r="F5" t="s">
        <v>57</v>
      </c>
      <c r="G5" s="2">
        <v>45874</v>
      </c>
      <c r="H5">
        <v>0.1</v>
      </c>
      <c r="I5" t="s">
        <v>72</v>
      </c>
      <c r="J5" t="s">
        <v>40</v>
      </c>
      <c r="K5" t="s">
        <v>41</v>
      </c>
      <c r="L5" t="s">
        <v>378</v>
      </c>
      <c r="M5" t="s">
        <v>379</v>
      </c>
      <c r="O5" t="s">
        <v>79</v>
      </c>
      <c r="P5" t="s">
        <v>80</v>
      </c>
      <c r="Q5">
        <v>6.1166995593429987E-2</v>
      </c>
      <c r="R5" t="s">
        <v>46</v>
      </c>
      <c r="S5" t="s">
        <v>47</v>
      </c>
      <c r="T5" t="s">
        <v>390</v>
      </c>
      <c r="V5" t="s">
        <v>46</v>
      </c>
      <c r="X5" t="s">
        <v>381</v>
      </c>
      <c r="Y5" t="s">
        <v>382</v>
      </c>
      <c r="Z5" t="s">
        <v>383</v>
      </c>
      <c r="AA5" t="s">
        <v>118</v>
      </c>
      <c r="AB5" t="s">
        <v>41</v>
      </c>
      <c r="AC5" t="s">
        <v>384</v>
      </c>
      <c r="AD5" t="s">
        <v>145</v>
      </c>
      <c r="AE5" t="s">
        <v>385</v>
      </c>
      <c r="AI5">
        <v>65.128741429596943</v>
      </c>
      <c r="AJ5">
        <v>247.5350390953509</v>
      </c>
    </row>
    <row r="6" spans="1:36" x14ac:dyDescent="0.25">
      <c r="A6">
        <v>5</v>
      </c>
      <c r="B6" t="s">
        <v>391</v>
      </c>
      <c r="C6" t="s">
        <v>376</v>
      </c>
      <c r="D6" t="s">
        <v>377</v>
      </c>
      <c r="E6" t="s">
        <v>37</v>
      </c>
      <c r="F6" t="s">
        <v>57</v>
      </c>
      <c r="G6" s="2">
        <v>45874</v>
      </c>
      <c r="H6">
        <v>0.1</v>
      </c>
      <c r="I6" t="s">
        <v>72</v>
      </c>
      <c r="J6" t="s">
        <v>40</v>
      </c>
      <c r="K6" t="s">
        <v>41</v>
      </c>
      <c r="L6" t="s">
        <v>378</v>
      </c>
      <c r="M6" t="s">
        <v>379</v>
      </c>
      <c r="P6" t="s">
        <v>142</v>
      </c>
      <c r="Q6">
        <v>2.9927175344229479E-2</v>
      </c>
      <c r="S6" t="s">
        <v>38</v>
      </c>
      <c r="T6" t="s">
        <v>392</v>
      </c>
      <c r="V6" t="s">
        <v>46</v>
      </c>
      <c r="X6" t="s">
        <v>381</v>
      </c>
      <c r="Y6" t="s">
        <v>382</v>
      </c>
      <c r="Z6" t="s">
        <v>383</v>
      </c>
      <c r="AA6" t="s">
        <v>118</v>
      </c>
      <c r="AB6" t="s">
        <v>41</v>
      </c>
      <c r="AC6" t="s">
        <v>384</v>
      </c>
      <c r="AD6" t="s">
        <v>145</v>
      </c>
      <c r="AE6" t="s">
        <v>385</v>
      </c>
      <c r="AI6">
        <v>40.336982986797928</v>
      </c>
      <c r="AJ6">
        <v>121.11146619146631</v>
      </c>
    </row>
    <row r="7" spans="1:36" x14ac:dyDescent="0.25">
      <c r="A7">
        <v>6</v>
      </c>
      <c r="B7" t="s">
        <v>393</v>
      </c>
      <c r="C7" t="s">
        <v>376</v>
      </c>
      <c r="D7" t="s">
        <v>377</v>
      </c>
      <c r="E7" t="s">
        <v>37</v>
      </c>
      <c r="F7" t="s">
        <v>57</v>
      </c>
      <c r="G7" s="2">
        <v>45874</v>
      </c>
      <c r="H7">
        <v>0.8</v>
      </c>
      <c r="I7" t="s">
        <v>72</v>
      </c>
      <c r="J7" t="s">
        <v>40</v>
      </c>
      <c r="K7" t="s">
        <v>41</v>
      </c>
      <c r="L7" t="s">
        <v>378</v>
      </c>
      <c r="M7" t="s">
        <v>379</v>
      </c>
      <c r="P7" t="s">
        <v>142</v>
      </c>
      <c r="Q7">
        <v>0.76347871667161893</v>
      </c>
      <c r="S7" t="s">
        <v>38</v>
      </c>
      <c r="T7" t="s">
        <v>394</v>
      </c>
      <c r="V7" t="s">
        <v>60</v>
      </c>
      <c r="X7" t="s">
        <v>395</v>
      </c>
      <c r="Y7" t="s">
        <v>382</v>
      </c>
      <c r="Z7" t="s">
        <v>396</v>
      </c>
      <c r="AA7" t="s">
        <v>397</v>
      </c>
      <c r="AB7" t="s">
        <v>41</v>
      </c>
      <c r="AC7" t="s">
        <v>398</v>
      </c>
      <c r="AD7" t="s">
        <v>399</v>
      </c>
      <c r="AE7" t="s">
        <v>400</v>
      </c>
      <c r="AI7">
        <v>219.73407609889381</v>
      </c>
      <c r="AJ7">
        <v>3089.7011067203189</v>
      </c>
    </row>
    <row r="8" spans="1:36" hidden="1" x14ac:dyDescent="0.25">
      <c r="A8">
        <v>7</v>
      </c>
      <c r="B8" t="s">
        <v>401</v>
      </c>
      <c r="C8" t="s">
        <v>376</v>
      </c>
      <c r="D8" t="s">
        <v>377</v>
      </c>
      <c r="E8" t="s">
        <v>37</v>
      </c>
      <c r="F8" t="s">
        <v>57</v>
      </c>
      <c r="G8" s="2">
        <v>45874</v>
      </c>
      <c r="H8">
        <v>3.8</v>
      </c>
      <c r="I8" t="s">
        <v>72</v>
      </c>
      <c r="J8" t="s">
        <v>40</v>
      </c>
      <c r="K8" t="s">
        <v>41</v>
      </c>
      <c r="L8" t="s">
        <v>378</v>
      </c>
      <c r="M8" t="s">
        <v>379</v>
      </c>
      <c r="O8" t="s">
        <v>402</v>
      </c>
      <c r="P8" t="s">
        <v>403</v>
      </c>
      <c r="Q8">
        <v>3.7353023422774201</v>
      </c>
      <c r="S8" t="s">
        <v>38</v>
      </c>
      <c r="T8" t="s">
        <v>404</v>
      </c>
      <c r="V8" t="s">
        <v>60</v>
      </c>
      <c r="X8" t="s">
        <v>395</v>
      </c>
      <c r="Y8" t="s">
        <v>382</v>
      </c>
      <c r="Z8" t="s">
        <v>396</v>
      </c>
      <c r="AA8" t="s">
        <v>397</v>
      </c>
      <c r="AB8" t="s">
        <v>41</v>
      </c>
      <c r="AC8" t="s">
        <v>398</v>
      </c>
      <c r="AD8" t="s">
        <v>399</v>
      </c>
      <c r="AE8" t="s">
        <v>400</v>
      </c>
      <c r="AI8">
        <v>546.70517655807407</v>
      </c>
      <c r="AJ8">
        <v>15116.292738561629</v>
      </c>
    </row>
    <row r="9" spans="1:36" hidden="1" x14ac:dyDescent="0.25">
      <c r="A9">
        <v>8</v>
      </c>
      <c r="B9" t="s">
        <v>405</v>
      </c>
      <c r="C9" t="s">
        <v>376</v>
      </c>
      <c r="D9" t="s">
        <v>377</v>
      </c>
      <c r="E9" t="s">
        <v>37</v>
      </c>
      <c r="F9" t="s">
        <v>57</v>
      </c>
      <c r="G9" s="2">
        <v>45874</v>
      </c>
      <c r="H9">
        <v>3.5</v>
      </c>
      <c r="I9" t="s">
        <v>72</v>
      </c>
      <c r="J9" t="s">
        <v>40</v>
      </c>
      <c r="K9" t="s">
        <v>41</v>
      </c>
      <c r="L9" t="s">
        <v>378</v>
      </c>
      <c r="M9" t="s">
        <v>379</v>
      </c>
      <c r="O9" t="s">
        <v>402</v>
      </c>
      <c r="P9" t="s">
        <v>403</v>
      </c>
      <c r="Q9">
        <v>3.3268829703648479</v>
      </c>
      <c r="S9" t="s">
        <v>38</v>
      </c>
      <c r="T9" t="s">
        <v>404</v>
      </c>
      <c r="V9" t="s">
        <v>60</v>
      </c>
      <c r="X9" t="s">
        <v>395</v>
      </c>
      <c r="Y9" t="s">
        <v>382</v>
      </c>
      <c r="Z9" t="s">
        <v>396</v>
      </c>
      <c r="AA9" t="s">
        <v>397</v>
      </c>
      <c r="AB9" t="s">
        <v>41</v>
      </c>
      <c r="AC9" t="s">
        <v>398</v>
      </c>
      <c r="AD9" t="s">
        <v>399</v>
      </c>
      <c r="AE9" t="s">
        <v>400</v>
      </c>
      <c r="AI9">
        <v>508.1383699148563</v>
      </c>
      <c r="AJ9">
        <v>13463.4715690266</v>
      </c>
    </row>
    <row r="10" spans="1:36" hidden="1" x14ac:dyDescent="0.25">
      <c r="A10">
        <v>9</v>
      </c>
      <c r="B10" t="s">
        <v>406</v>
      </c>
      <c r="C10" t="s">
        <v>376</v>
      </c>
      <c r="D10" t="s">
        <v>377</v>
      </c>
      <c r="E10" t="s">
        <v>37</v>
      </c>
      <c r="F10" t="s">
        <v>57</v>
      </c>
      <c r="G10" s="2">
        <v>45874</v>
      </c>
      <c r="H10">
        <v>3.5</v>
      </c>
      <c r="I10" t="s">
        <v>72</v>
      </c>
      <c r="J10" t="s">
        <v>40</v>
      </c>
      <c r="K10" t="s">
        <v>41</v>
      </c>
      <c r="L10" t="s">
        <v>378</v>
      </c>
      <c r="M10" t="s">
        <v>379</v>
      </c>
      <c r="O10" t="s">
        <v>402</v>
      </c>
      <c r="P10" t="s">
        <v>403</v>
      </c>
      <c r="Q10">
        <v>2.8593503622392471</v>
      </c>
      <c r="S10" t="s">
        <v>38</v>
      </c>
      <c r="T10" t="s">
        <v>404</v>
      </c>
      <c r="V10" t="s">
        <v>60</v>
      </c>
      <c r="X10" t="s">
        <v>395</v>
      </c>
      <c r="Y10" t="s">
        <v>382</v>
      </c>
      <c r="Z10" t="s">
        <v>396</v>
      </c>
      <c r="AA10" t="s">
        <v>397</v>
      </c>
      <c r="AB10" t="s">
        <v>41</v>
      </c>
      <c r="AC10" t="s">
        <v>398</v>
      </c>
      <c r="AD10" t="s">
        <v>399</v>
      </c>
      <c r="AE10" t="s">
        <v>400</v>
      </c>
      <c r="AI10">
        <v>653.18778209264053</v>
      </c>
      <c r="AJ10">
        <v>11571.42666298003</v>
      </c>
    </row>
    <row r="11" spans="1:36" hidden="1" x14ac:dyDescent="0.25">
      <c r="A11">
        <v>10</v>
      </c>
      <c r="B11" t="s">
        <v>407</v>
      </c>
      <c r="C11" t="s">
        <v>376</v>
      </c>
      <c r="D11" t="s">
        <v>377</v>
      </c>
      <c r="E11" t="s">
        <v>37</v>
      </c>
      <c r="F11" t="s">
        <v>57</v>
      </c>
      <c r="G11" s="2">
        <v>45897</v>
      </c>
      <c r="I11" t="s">
        <v>72</v>
      </c>
      <c r="J11" t="s">
        <v>40</v>
      </c>
      <c r="K11" t="s">
        <v>41</v>
      </c>
      <c r="L11" t="s">
        <v>378</v>
      </c>
      <c r="M11" t="s">
        <v>379</v>
      </c>
      <c r="O11" t="s">
        <v>408</v>
      </c>
      <c r="P11" t="s">
        <v>409</v>
      </c>
      <c r="Q11">
        <v>0.22012113815142781</v>
      </c>
      <c r="R11" t="s">
        <v>60</v>
      </c>
      <c r="S11" t="s">
        <v>66</v>
      </c>
      <c r="T11" t="s">
        <v>57</v>
      </c>
      <c r="V11" t="s">
        <v>410</v>
      </c>
      <c r="X11" t="s">
        <v>411</v>
      </c>
      <c r="Y11" t="s">
        <v>412</v>
      </c>
      <c r="Z11" t="s">
        <v>413</v>
      </c>
      <c r="AA11" t="s">
        <v>76</v>
      </c>
      <c r="AB11" t="s">
        <v>41</v>
      </c>
      <c r="AC11" t="s">
        <v>57</v>
      </c>
      <c r="AD11" t="s">
        <v>57</v>
      </c>
      <c r="AE11" t="s">
        <v>414</v>
      </c>
      <c r="AI11">
        <v>132.5319168913214</v>
      </c>
      <c r="AJ11">
        <v>890.80220483935955</v>
      </c>
    </row>
    <row r="12" spans="1:36" hidden="1" x14ac:dyDescent="0.25">
      <c r="A12">
        <v>11</v>
      </c>
      <c r="B12" t="s">
        <v>415</v>
      </c>
      <c r="C12" t="s">
        <v>376</v>
      </c>
      <c r="D12" t="s">
        <v>377</v>
      </c>
      <c r="E12" t="s">
        <v>37</v>
      </c>
      <c r="F12" t="s">
        <v>57</v>
      </c>
      <c r="G12" s="2">
        <v>45897</v>
      </c>
      <c r="H12">
        <v>3.0619999999999998</v>
      </c>
      <c r="I12" t="s">
        <v>72</v>
      </c>
      <c r="J12" t="s">
        <v>40</v>
      </c>
      <c r="K12" t="s">
        <v>41</v>
      </c>
      <c r="L12" t="s">
        <v>378</v>
      </c>
      <c r="M12" t="s">
        <v>379</v>
      </c>
      <c r="O12" t="s">
        <v>402</v>
      </c>
      <c r="P12" t="s">
        <v>403</v>
      </c>
      <c r="Q12">
        <v>4.0707076548975252</v>
      </c>
      <c r="S12" t="s">
        <v>38</v>
      </c>
      <c r="T12" t="s">
        <v>416</v>
      </c>
      <c r="V12" t="s">
        <v>410</v>
      </c>
      <c r="X12" t="s">
        <v>411</v>
      </c>
      <c r="Y12" t="s">
        <v>412</v>
      </c>
      <c r="Z12" t="s">
        <v>413</v>
      </c>
      <c r="AA12" t="s">
        <v>76</v>
      </c>
      <c r="AB12" t="s">
        <v>41</v>
      </c>
      <c r="AC12" t="s">
        <v>57</v>
      </c>
      <c r="AD12" t="s">
        <v>57</v>
      </c>
      <c r="AE12" t="s">
        <v>414</v>
      </c>
      <c r="AI12">
        <v>550.29885701268574</v>
      </c>
      <c r="AJ12">
        <v>16473.635311410239</v>
      </c>
    </row>
    <row r="13" spans="1:36" hidden="1" x14ac:dyDescent="0.25">
      <c r="A13">
        <v>12</v>
      </c>
      <c r="B13" t="s">
        <v>417</v>
      </c>
      <c r="C13" t="s">
        <v>376</v>
      </c>
      <c r="D13" t="s">
        <v>377</v>
      </c>
      <c r="E13" t="s">
        <v>37</v>
      </c>
      <c r="F13" t="s">
        <v>57</v>
      </c>
      <c r="G13" s="2">
        <v>45897</v>
      </c>
      <c r="H13">
        <v>7.8</v>
      </c>
      <c r="I13" t="s">
        <v>72</v>
      </c>
      <c r="J13" t="s">
        <v>40</v>
      </c>
      <c r="K13" t="s">
        <v>41</v>
      </c>
      <c r="L13" t="s">
        <v>378</v>
      </c>
      <c r="M13" t="s">
        <v>379</v>
      </c>
      <c r="O13" t="s">
        <v>402</v>
      </c>
      <c r="P13" t="s">
        <v>403</v>
      </c>
      <c r="Q13">
        <v>8.1970096318487844</v>
      </c>
      <c r="S13" t="s">
        <v>38</v>
      </c>
      <c r="T13" t="s">
        <v>418</v>
      </c>
      <c r="V13" t="s">
        <v>73</v>
      </c>
      <c r="X13" t="s">
        <v>419</v>
      </c>
      <c r="Y13" t="s">
        <v>420</v>
      </c>
      <c r="Z13" t="s">
        <v>421</v>
      </c>
      <c r="AA13" t="s">
        <v>124</v>
      </c>
      <c r="AB13" t="s">
        <v>41</v>
      </c>
      <c r="AC13" t="s">
        <v>57</v>
      </c>
      <c r="AD13" t="s">
        <v>422</v>
      </c>
      <c r="AE13" t="s">
        <v>423</v>
      </c>
      <c r="AI13">
        <v>841.02709576594418</v>
      </c>
      <c r="AJ13">
        <v>33172.253762004271</v>
      </c>
    </row>
    <row r="14" spans="1:36" hidden="1" x14ac:dyDescent="0.25">
      <c r="A14">
        <v>13</v>
      </c>
      <c r="B14" t="s">
        <v>424</v>
      </c>
      <c r="C14" t="s">
        <v>376</v>
      </c>
      <c r="D14" t="s">
        <v>377</v>
      </c>
      <c r="E14" t="s">
        <v>37</v>
      </c>
      <c r="F14" t="s">
        <v>57</v>
      </c>
      <c r="G14" s="2">
        <v>45897</v>
      </c>
      <c r="H14">
        <v>7.3</v>
      </c>
      <c r="I14" t="s">
        <v>72</v>
      </c>
      <c r="J14" t="s">
        <v>40</v>
      </c>
      <c r="K14" t="s">
        <v>41</v>
      </c>
      <c r="L14" t="s">
        <v>378</v>
      </c>
      <c r="M14" t="s">
        <v>379</v>
      </c>
      <c r="O14" t="s">
        <v>402</v>
      </c>
      <c r="P14" t="s">
        <v>403</v>
      </c>
      <c r="Q14">
        <v>7.196260915210928</v>
      </c>
      <c r="S14" t="s">
        <v>38</v>
      </c>
      <c r="T14" t="s">
        <v>425</v>
      </c>
      <c r="V14" t="s">
        <v>73</v>
      </c>
      <c r="X14" t="s">
        <v>419</v>
      </c>
      <c r="Y14" t="s">
        <v>420</v>
      </c>
      <c r="Z14" t="s">
        <v>421</v>
      </c>
      <c r="AA14" t="s">
        <v>124</v>
      </c>
      <c r="AB14" t="s">
        <v>41</v>
      </c>
      <c r="AC14" t="s">
        <v>57</v>
      </c>
      <c r="AD14" t="s">
        <v>422</v>
      </c>
      <c r="AE14" t="s">
        <v>423</v>
      </c>
      <c r="AI14">
        <v>903.00666293087397</v>
      </c>
      <c r="AJ14">
        <v>29122.35119127572</v>
      </c>
    </row>
    <row r="15" spans="1:36" hidden="1" x14ac:dyDescent="0.25">
      <c r="A15">
        <v>14</v>
      </c>
      <c r="B15" t="s">
        <v>426</v>
      </c>
      <c r="C15" t="s">
        <v>376</v>
      </c>
      <c r="D15" t="s">
        <v>377</v>
      </c>
      <c r="E15" t="s">
        <v>37</v>
      </c>
      <c r="F15" t="s">
        <v>57</v>
      </c>
      <c r="G15" s="2">
        <v>45897</v>
      </c>
      <c r="H15">
        <v>6.4</v>
      </c>
      <c r="I15" t="s">
        <v>72</v>
      </c>
      <c r="J15" t="s">
        <v>40</v>
      </c>
      <c r="K15" t="s">
        <v>41</v>
      </c>
      <c r="L15" t="s">
        <v>378</v>
      </c>
      <c r="M15" t="s">
        <v>379</v>
      </c>
      <c r="O15" t="s">
        <v>402</v>
      </c>
      <c r="P15" t="s">
        <v>403</v>
      </c>
      <c r="Q15">
        <v>6.1337463765382649</v>
      </c>
      <c r="S15" t="s">
        <v>38</v>
      </c>
      <c r="T15" t="s">
        <v>427</v>
      </c>
      <c r="V15" t="s">
        <v>73</v>
      </c>
      <c r="X15" t="s">
        <v>419</v>
      </c>
      <c r="Y15" t="s">
        <v>420</v>
      </c>
      <c r="Z15" t="s">
        <v>421</v>
      </c>
      <c r="AA15" t="s">
        <v>124</v>
      </c>
      <c r="AB15" t="s">
        <v>41</v>
      </c>
      <c r="AC15" t="s">
        <v>57</v>
      </c>
      <c r="AD15" t="s">
        <v>422</v>
      </c>
      <c r="AE15" t="s">
        <v>423</v>
      </c>
      <c r="AI15">
        <v>684.62370929720385</v>
      </c>
      <c r="AJ15">
        <v>24822.490207128139</v>
      </c>
    </row>
    <row r="16" spans="1:36" hidden="1" x14ac:dyDescent="0.25">
      <c r="A16">
        <v>15</v>
      </c>
      <c r="B16" t="s">
        <v>428</v>
      </c>
      <c r="C16" t="s">
        <v>376</v>
      </c>
      <c r="D16" t="s">
        <v>377</v>
      </c>
      <c r="E16" t="s">
        <v>37</v>
      </c>
      <c r="F16" t="s">
        <v>57</v>
      </c>
      <c r="G16" s="2">
        <v>45897</v>
      </c>
      <c r="H16">
        <v>4.2</v>
      </c>
      <c r="I16" t="s">
        <v>72</v>
      </c>
      <c r="J16" t="s">
        <v>40</v>
      </c>
      <c r="K16" t="s">
        <v>41</v>
      </c>
      <c r="L16" t="s">
        <v>378</v>
      </c>
      <c r="M16" t="s">
        <v>379</v>
      </c>
      <c r="O16" t="s">
        <v>62</v>
      </c>
      <c r="P16" t="s">
        <v>63</v>
      </c>
      <c r="Q16">
        <v>2.4227185609601212</v>
      </c>
      <c r="R16" t="s">
        <v>64</v>
      </c>
      <c r="S16" t="s">
        <v>65</v>
      </c>
      <c r="T16" t="s">
        <v>429</v>
      </c>
      <c r="V16" t="s">
        <v>73</v>
      </c>
      <c r="X16" t="s">
        <v>419</v>
      </c>
      <c r="Y16" t="s">
        <v>420</v>
      </c>
      <c r="Z16" t="s">
        <v>421</v>
      </c>
      <c r="AA16" t="s">
        <v>121</v>
      </c>
      <c r="AB16" t="s">
        <v>41</v>
      </c>
      <c r="AC16" t="s">
        <v>430</v>
      </c>
      <c r="AD16" t="s">
        <v>422</v>
      </c>
      <c r="AE16" t="s">
        <v>423</v>
      </c>
      <c r="AI16">
        <v>451.25516229117022</v>
      </c>
      <c r="AJ16">
        <v>9804.4333857834772</v>
      </c>
    </row>
    <row r="17" spans="1:36" hidden="1" x14ac:dyDescent="0.25">
      <c r="A17">
        <v>16</v>
      </c>
      <c r="B17" t="s">
        <v>431</v>
      </c>
      <c r="C17" t="s">
        <v>376</v>
      </c>
      <c r="D17" t="s">
        <v>377</v>
      </c>
      <c r="E17" t="s">
        <v>37</v>
      </c>
      <c r="F17" t="s">
        <v>57</v>
      </c>
      <c r="G17" s="2">
        <v>45897</v>
      </c>
      <c r="H17">
        <v>0.7</v>
      </c>
      <c r="I17" t="s">
        <v>72</v>
      </c>
      <c r="J17" t="s">
        <v>40</v>
      </c>
      <c r="K17" t="s">
        <v>41</v>
      </c>
      <c r="L17" t="s">
        <v>378</v>
      </c>
      <c r="M17" t="s">
        <v>379</v>
      </c>
      <c r="O17" t="s">
        <v>62</v>
      </c>
      <c r="P17" t="s">
        <v>63</v>
      </c>
      <c r="Q17">
        <v>0.34710861932552739</v>
      </c>
      <c r="R17" t="s">
        <v>64</v>
      </c>
      <c r="S17" t="s">
        <v>65</v>
      </c>
      <c r="T17" t="s">
        <v>429</v>
      </c>
      <c r="V17" t="s">
        <v>73</v>
      </c>
      <c r="X17" t="s">
        <v>419</v>
      </c>
      <c r="Y17" t="s">
        <v>420</v>
      </c>
      <c r="Z17" t="s">
        <v>421</v>
      </c>
      <c r="AA17" t="s">
        <v>121</v>
      </c>
      <c r="AB17" t="s">
        <v>41</v>
      </c>
      <c r="AC17" t="s">
        <v>57</v>
      </c>
      <c r="AD17" t="s">
        <v>422</v>
      </c>
      <c r="AE17" t="s">
        <v>423</v>
      </c>
      <c r="AI17">
        <v>188.32646935871799</v>
      </c>
      <c r="AJ17">
        <v>1404.704364199745</v>
      </c>
    </row>
    <row r="18" spans="1:36" x14ac:dyDescent="0.25">
      <c r="A18">
        <v>17</v>
      </c>
      <c r="B18" t="s">
        <v>432</v>
      </c>
      <c r="C18" t="s">
        <v>376</v>
      </c>
      <c r="D18" t="s">
        <v>377</v>
      </c>
      <c r="E18" t="s">
        <v>37</v>
      </c>
      <c r="F18" t="s">
        <v>57</v>
      </c>
      <c r="G18" s="2">
        <v>45897</v>
      </c>
      <c r="H18">
        <v>0.68</v>
      </c>
      <c r="I18" t="s">
        <v>72</v>
      </c>
      <c r="J18" t="s">
        <v>40</v>
      </c>
      <c r="K18" t="s">
        <v>41</v>
      </c>
      <c r="L18" t="s">
        <v>378</v>
      </c>
      <c r="M18" t="s">
        <v>379</v>
      </c>
      <c r="P18" t="s">
        <v>137</v>
      </c>
      <c r="Q18">
        <v>0.21376396066076769</v>
      </c>
      <c r="S18" t="s">
        <v>38</v>
      </c>
      <c r="T18" t="s">
        <v>433</v>
      </c>
      <c r="V18" t="s">
        <v>73</v>
      </c>
      <c r="X18" t="s">
        <v>419</v>
      </c>
      <c r="Y18" t="s">
        <v>420</v>
      </c>
      <c r="Z18" t="s">
        <v>421</v>
      </c>
      <c r="AA18" t="s">
        <v>121</v>
      </c>
      <c r="AB18" t="s">
        <v>41</v>
      </c>
      <c r="AC18" t="s">
        <v>57</v>
      </c>
      <c r="AD18" t="s">
        <v>422</v>
      </c>
      <c r="AE18" t="s">
        <v>423</v>
      </c>
      <c r="AI18">
        <v>112.9024431011804</v>
      </c>
      <c r="AJ18">
        <v>865.07551737629797</v>
      </c>
    </row>
    <row r="19" spans="1:36" hidden="1" x14ac:dyDescent="0.25">
      <c r="A19">
        <v>18</v>
      </c>
      <c r="B19" t="s">
        <v>434</v>
      </c>
      <c r="C19" t="s">
        <v>376</v>
      </c>
      <c r="D19" t="s">
        <v>377</v>
      </c>
      <c r="E19" t="s">
        <v>37</v>
      </c>
      <c r="F19" t="s">
        <v>57</v>
      </c>
      <c r="G19" s="2">
        <v>45897</v>
      </c>
      <c r="H19">
        <v>5.0999999999999996</v>
      </c>
      <c r="I19" t="s">
        <v>72</v>
      </c>
      <c r="J19" t="s">
        <v>40</v>
      </c>
      <c r="K19" t="s">
        <v>41</v>
      </c>
      <c r="L19" t="s">
        <v>378</v>
      </c>
      <c r="M19" t="s">
        <v>379</v>
      </c>
      <c r="O19" t="s">
        <v>402</v>
      </c>
      <c r="P19" t="s">
        <v>403</v>
      </c>
      <c r="Q19">
        <v>6.2598283861645303</v>
      </c>
      <c r="S19" t="s">
        <v>38</v>
      </c>
      <c r="T19" t="s">
        <v>435</v>
      </c>
      <c r="V19" t="s">
        <v>73</v>
      </c>
      <c r="X19" t="s">
        <v>419</v>
      </c>
      <c r="Y19" t="s">
        <v>420</v>
      </c>
      <c r="Z19" t="s">
        <v>421</v>
      </c>
      <c r="AA19" t="s">
        <v>121</v>
      </c>
      <c r="AB19" t="s">
        <v>41</v>
      </c>
      <c r="AC19" t="s">
        <v>436</v>
      </c>
      <c r="AD19" t="s">
        <v>422</v>
      </c>
      <c r="AE19" t="s">
        <v>423</v>
      </c>
      <c r="AI19">
        <v>743.2928589487525</v>
      </c>
      <c r="AJ19">
        <v>25332.728038482579</v>
      </c>
    </row>
    <row r="20" spans="1:36" hidden="1" x14ac:dyDescent="0.25">
      <c r="A20">
        <v>19</v>
      </c>
      <c r="B20" t="s">
        <v>437</v>
      </c>
      <c r="C20" t="s">
        <v>376</v>
      </c>
      <c r="D20" t="s">
        <v>377</v>
      </c>
      <c r="E20" t="s">
        <v>37</v>
      </c>
      <c r="F20" t="s">
        <v>57</v>
      </c>
      <c r="G20" s="2">
        <v>45897</v>
      </c>
      <c r="H20">
        <v>5.6</v>
      </c>
      <c r="I20" t="s">
        <v>72</v>
      </c>
      <c r="J20" t="s">
        <v>40</v>
      </c>
      <c r="K20" t="s">
        <v>41</v>
      </c>
      <c r="L20" t="s">
        <v>378</v>
      </c>
      <c r="M20" t="s">
        <v>379</v>
      </c>
      <c r="O20" t="s">
        <v>79</v>
      </c>
      <c r="P20" t="s">
        <v>80</v>
      </c>
      <c r="Q20">
        <v>3.796452718310249</v>
      </c>
      <c r="R20" t="s">
        <v>46</v>
      </c>
      <c r="S20" t="s">
        <v>47</v>
      </c>
      <c r="T20" t="s">
        <v>438</v>
      </c>
      <c r="V20" t="s">
        <v>64</v>
      </c>
      <c r="X20" t="s">
        <v>439</v>
      </c>
      <c r="Y20" t="s">
        <v>440</v>
      </c>
      <c r="Z20" t="s">
        <v>421</v>
      </c>
      <c r="AA20" t="s">
        <v>441</v>
      </c>
      <c r="AB20" t="s">
        <v>41</v>
      </c>
      <c r="AC20" t="s">
        <v>442</v>
      </c>
      <c r="AD20" t="s">
        <v>399</v>
      </c>
      <c r="AE20" t="s">
        <v>443</v>
      </c>
      <c r="AI20">
        <v>525.1250667033645</v>
      </c>
      <c r="AJ20">
        <v>15363.760520412399</v>
      </c>
    </row>
    <row r="21" spans="1:36" hidden="1" x14ac:dyDescent="0.25">
      <c r="A21">
        <v>20</v>
      </c>
      <c r="B21" t="s">
        <v>444</v>
      </c>
      <c r="C21" t="s">
        <v>376</v>
      </c>
      <c r="D21" t="s">
        <v>377</v>
      </c>
      <c r="E21" t="s">
        <v>37</v>
      </c>
      <c r="F21" t="s">
        <v>57</v>
      </c>
      <c r="G21" s="2">
        <v>45897</v>
      </c>
      <c r="H21">
        <v>8.5</v>
      </c>
      <c r="I21" t="s">
        <v>72</v>
      </c>
      <c r="J21" t="s">
        <v>40</v>
      </c>
      <c r="K21" t="s">
        <v>41</v>
      </c>
      <c r="L21" t="s">
        <v>378</v>
      </c>
      <c r="M21" t="s">
        <v>379</v>
      </c>
      <c r="O21" t="s">
        <v>79</v>
      </c>
      <c r="P21" t="s">
        <v>80</v>
      </c>
      <c r="Q21">
        <v>8.8993804251330175</v>
      </c>
      <c r="R21" t="s">
        <v>46</v>
      </c>
      <c r="S21" t="s">
        <v>47</v>
      </c>
      <c r="T21" t="s">
        <v>438</v>
      </c>
      <c r="V21" t="s">
        <v>64</v>
      </c>
      <c r="X21" t="s">
        <v>439</v>
      </c>
      <c r="Y21" t="s">
        <v>440</v>
      </c>
      <c r="Z21" t="s">
        <v>421</v>
      </c>
      <c r="AA21" t="s">
        <v>445</v>
      </c>
      <c r="AB21" t="s">
        <v>41</v>
      </c>
      <c r="AC21" t="s">
        <v>57</v>
      </c>
      <c r="AD21" t="s">
        <v>399</v>
      </c>
      <c r="AE21" t="s">
        <v>443</v>
      </c>
      <c r="AI21">
        <v>1027.9621334282799</v>
      </c>
      <c r="AJ21">
        <v>36014.658887321893</v>
      </c>
    </row>
    <row r="22" spans="1:36" hidden="1" x14ac:dyDescent="0.25">
      <c r="A22">
        <v>21</v>
      </c>
      <c r="B22" t="s">
        <v>446</v>
      </c>
      <c r="C22" t="s">
        <v>376</v>
      </c>
      <c r="D22" t="s">
        <v>377</v>
      </c>
      <c r="E22" t="s">
        <v>37</v>
      </c>
      <c r="F22" t="s">
        <v>57</v>
      </c>
      <c r="G22" s="2">
        <v>45897</v>
      </c>
      <c r="H22">
        <v>0.4</v>
      </c>
      <c r="I22" t="s">
        <v>72</v>
      </c>
      <c r="J22" t="s">
        <v>40</v>
      </c>
      <c r="K22" t="s">
        <v>41</v>
      </c>
      <c r="L22" t="s">
        <v>378</v>
      </c>
      <c r="M22" t="s">
        <v>379</v>
      </c>
      <c r="O22" t="s">
        <v>79</v>
      </c>
      <c r="P22" t="s">
        <v>80</v>
      </c>
      <c r="Q22">
        <v>0.33376946670233948</v>
      </c>
      <c r="R22" t="s">
        <v>46</v>
      </c>
      <c r="S22" t="s">
        <v>47</v>
      </c>
      <c r="T22" t="s">
        <v>438</v>
      </c>
      <c r="V22" t="s">
        <v>64</v>
      </c>
      <c r="X22" t="s">
        <v>439</v>
      </c>
      <c r="Y22" t="s">
        <v>440</v>
      </c>
      <c r="Z22" t="s">
        <v>421</v>
      </c>
      <c r="AA22" t="s">
        <v>445</v>
      </c>
      <c r="AB22" t="s">
        <v>41</v>
      </c>
      <c r="AC22" t="s">
        <v>57</v>
      </c>
      <c r="AD22" t="s">
        <v>399</v>
      </c>
      <c r="AE22" t="s">
        <v>443</v>
      </c>
      <c r="AI22">
        <v>166.67516873815421</v>
      </c>
      <c r="AJ22">
        <v>1350.722512810034</v>
      </c>
    </row>
    <row r="23" spans="1:36" hidden="1" x14ac:dyDescent="0.25">
      <c r="A23">
        <v>22</v>
      </c>
      <c r="B23" t="s">
        <v>447</v>
      </c>
      <c r="C23" t="s">
        <v>376</v>
      </c>
      <c r="D23" t="s">
        <v>377</v>
      </c>
      <c r="E23" t="s">
        <v>37</v>
      </c>
      <c r="F23" t="s">
        <v>57</v>
      </c>
      <c r="G23" s="2">
        <v>45897</v>
      </c>
      <c r="H23">
        <v>6.7</v>
      </c>
      <c r="I23" t="s">
        <v>72</v>
      </c>
      <c r="J23" t="s">
        <v>40</v>
      </c>
      <c r="K23" t="s">
        <v>41</v>
      </c>
      <c r="L23" t="s">
        <v>378</v>
      </c>
      <c r="M23" t="s">
        <v>379</v>
      </c>
      <c r="O23" t="s">
        <v>79</v>
      </c>
      <c r="P23" t="s">
        <v>80</v>
      </c>
      <c r="Q23">
        <v>6.8265250318597257</v>
      </c>
      <c r="R23" t="s">
        <v>46</v>
      </c>
      <c r="S23" t="s">
        <v>47</v>
      </c>
      <c r="T23" t="s">
        <v>438</v>
      </c>
      <c r="V23" t="s">
        <v>64</v>
      </c>
      <c r="X23" t="s">
        <v>439</v>
      </c>
      <c r="Y23" t="s">
        <v>440</v>
      </c>
      <c r="Z23" t="s">
        <v>421</v>
      </c>
      <c r="AA23" t="s">
        <v>445</v>
      </c>
      <c r="AB23" t="s">
        <v>41</v>
      </c>
      <c r="AC23" t="s">
        <v>57</v>
      </c>
      <c r="AD23" t="s">
        <v>399</v>
      </c>
      <c r="AE23" t="s">
        <v>443</v>
      </c>
      <c r="AI23">
        <v>743.50981296343059</v>
      </c>
      <c r="AJ23">
        <v>27626.07717205408</v>
      </c>
    </row>
    <row r="24" spans="1:36" hidden="1" x14ac:dyDescent="0.25">
      <c r="A24">
        <v>23</v>
      </c>
      <c r="B24" t="s">
        <v>448</v>
      </c>
      <c r="C24" t="s">
        <v>376</v>
      </c>
      <c r="D24" t="s">
        <v>377</v>
      </c>
      <c r="E24" t="s">
        <v>37</v>
      </c>
      <c r="F24" t="s">
        <v>57</v>
      </c>
      <c r="G24" s="2">
        <v>45897</v>
      </c>
      <c r="H24">
        <v>4.5</v>
      </c>
      <c r="I24" t="s">
        <v>72</v>
      </c>
      <c r="J24" t="s">
        <v>40</v>
      </c>
      <c r="K24" t="s">
        <v>41</v>
      </c>
      <c r="L24" t="s">
        <v>378</v>
      </c>
      <c r="M24" t="s">
        <v>379</v>
      </c>
      <c r="O24" t="s">
        <v>402</v>
      </c>
      <c r="P24" t="s">
        <v>403</v>
      </c>
      <c r="Q24">
        <v>4.3440260493708287</v>
      </c>
      <c r="S24" t="s">
        <v>38</v>
      </c>
      <c r="T24" t="s">
        <v>449</v>
      </c>
      <c r="V24" t="s">
        <v>76</v>
      </c>
      <c r="X24" t="s">
        <v>450</v>
      </c>
      <c r="Y24" t="s">
        <v>451</v>
      </c>
      <c r="Z24" t="s">
        <v>396</v>
      </c>
      <c r="AA24" t="s">
        <v>452</v>
      </c>
      <c r="AB24" t="s">
        <v>453</v>
      </c>
      <c r="AC24" t="s">
        <v>454</v>
      </c>
      <c r="AD24" t="s">
        <v>455</v>
      </c>
      <c r="AE24" t="s">
        <v>456</v>
      </c>
      <c r="AI24">
        <v>623.43790407116978</v>
      </c>
      <c r="AJ24">
        <v>17579.720035779061</v>
      </c>
    </row>
    <row r="25" spans="1:36" hidden="1" x14ac:dyDescent="0.25">
      <c r="A25">
        <v>24</v>
      </c>
      <c r="B25" t="s">
        <v>457</v>
      </c>
      <c r="C25" t="s">
        <v>376</v>
      </c>
      <c r="D25" t="s">
        <v>377</v>
      </c>
      <c r="E25" t="s">
        <v>37</v>
      </c>
      <c r="F25" t="s">
        <v>57</v>
      </c>
      <c r="G25" s="2">
        <v>45897</v>
      </c>
      <c r="H25">
        <v>3.9</v>
      </c>
      <c r="I25" t="s">
        <v>72</v>
      </c>
      <c r="J25" t="s">
        <v>40</v>
      </c>
      <c r="K25" t="s">
        <v>41</v>
      </c>
      <c r="L25" t="s">
        <v>378</v>
      </c>
      <c r="M25" t="s">
        <v>379</v>
      </c>
      <c r="O25" t="s">
        <v>402</v>
      </c>
      <c r="P25" t="s">
        <v>403</v>
      </c>
      <c r="Q25">
        <v>4.0837014149741897</v>
      </c>
      <c r="S25" t="s">
        <v>38</v>
      </c>
      <c r="T25" t="s">
        <v>449</v>
      </c>
      <c r="V25" t="s">
        <v>76</v>
      </c>
      <c r="X25" t="s">
        <v>450</v>
      </c>
      <c r="Y25" t="s">
        <v>451</v>
      </c>
      <c r="Z25" t="s">
        <v>396</v>
      </c>
      <c r="AA25" t="s">
        <v>452</v>
      </c>
      <c r="AB25" t="s">
        <v>453</v>
      </c>
      <c r="AC25" t="s">
        <v>458</v>
      </c>
      <c r="AD25" t="s">
        <v>455</v>
      </c>
      <c r="AE25" t="s">
        <v>456</v>
      </c>
      <c r="AI25">
        <v>561.8200743156425</v>
      </c>
      <c r="AJ25">
        <v>16526.21940316377</v>
      </c>
    </row>
    <row r="26" spans="1:36" hidden="1" x14ac:dyDescent="0.25">
      <c r="A26">
        <v>25</v>
      </c>
      <c r="B26" t="s">
        <v>459</v>
      </c>
      <c r="C26" t="s">
        <v>376</v>
      </c>
      <c r="D26" t="s">
        <v>377</v>
      </c>
      <c r="E26" t="s">
        <v>37</v>
      </c>
      <c r="F26" t="s">
        <v>57</v>
      </c>
      <c r="G26" s="2">
        <v>45897</v>
      </c>
      <c r="H26">
        <v>4.7</v>
      </c>
      <c r="I26" t="s">
        <v>72</v>
      </c>
      <c r="J26" t="s">
        <v>40</v>
      </c>
      <c r="K26" t="s">
        <v>41</v>
      </c>
      <c r="L26" t="s">
        <v>378</v>
      </c>
      <c r="M26" t="s">
        <v>379</v>
      </c>
      <c r="O26" t="s">
        <v>402</v>
      </c>
      <c r="P26" t="s">
        <v>403</v>
      </c>
      <c r="Q26">
        <v>4.3237806289083149</v>
      </c>
      <c r="S26" t="s">
        <v>38</v>
      </c>
      <c r="T26" t="s">
        <v>449</v>
      </c>
      <c r="V26" t="s">
        <v>76</v>
      </c>
      <c r="X26" t="s">
        <v>450</v>
      </c>
      <c r="Y26" t="s">
        <v>451</v>
      </c>
      <c r="Z26" t="s">
        <v>396</v>
      </c>
      <c r="AA26" t="s">
        <v>460</v>
      </c>
      <c r="AB26" t="s">
        <v>453</v>
      </c>
      <c r="AC26" t="s">
        <v>454</v>
      </c>
      <c r="AD26" t="s">
        <v>455</v>
      </c>
      <c r="AE26" t="s">
        <v>456</v>
      </c>
      <c r="AI26">
        <v>621.95646292042409</v>
      </c>
      <c r="AJ26">
        <v>17497.78939823393</v>
      </c>
    </row>
    <row r="27" spans="1:36" hidden="1" x14ac:dyDescent="0.25">
      <c r="A27">
        <v>26</v>
      </c>
      <c r="B27" t="s">
        <v>461</v>
      </c>
      <c r="C27" t="s">
        <v>376</v>
      </c>
      <c r="D27" t="s">
        <v>377</v>
      </c>
      <c r="E27" t="s">
        <v>37</v>
      </c>
      <c r="F27" t="s">
        <v>57</v>
      </c>
      <c r="G27" s="2">
        <v>45897</v>
      </c>
      <c r="H27">
        <v>9.3000000000000007</v>
      </c>
      <c r="I27" t="s">
        <v>72</v>
      </c>
      <c r="J27" t="s">
        <v>40</v>
      </c>
      <c r="K27" t="s">
        <v>41</v>
      </c>
      <c r="L27" t="s">
        <v>378</v>
      </c>
      <c r="M27" t="s">
        <v>379</v>
      </c>
      <c r="O27" t="s">
        <v>402</v>
      </c>
      <c r="P27" t="s">
        <v>403</v>
      </c>
      <c r="Q27">
        <v>9.1173413515732893</v>
      </c>
      <c r="S27" t="s">
        <v>38</v>
      </c>
      <c r="T27" t="s">
        <v>462</v>
      </c>
      <c r="V27" t="s">
        <v>76</v>
      </c>
      <c r="X27" t="s">
        <v>450</v>
      </c>
      <c r="Y27" t="s">
        <v>451</v>
      </c>
      <c r="Z27" t="s">
        <v>396</v>
      </c>
      <c r="AA27" t="s">
        <v>460</v>
      </c>
      <c r="AB27" t="s">
        <v>453</v>
      </c>
      <c r="AC27" t="s">
        <v>442</v>
      </c>
      <c r="AD27" t="s">
        <v>455</v>
      </c>
      <c r="AE27" t="s">
        <v>456</v>
      </c>
      <c r="AI27">
        <v>775.13257867787024</v>
      </c>
      <c r="AJ27">
        <v>36896.718990555833</v>
      </c>
    </row>
    <row r="28" spans="1:36" hidden="1" x14ac:dyDescent="0.25">
      <c r="A28">
        <v>27</v>
      </c>
      <c r="B28" t="s">
        <v>463</v>
      </c>
      <c r="C28" t="s">
        <v>376</v>
      </c>
      <c r="D28" t="s">
        <v>377</v>
      </c>
      <c r="E28" t="s">
        <v>37</v>
      </c>
      <c r="F28" t="s">
        <v>57</v>
      </c>
      <c r="G28" s="2">
        <v>45897</v>
      </c>
      <c r="H28">
        <v>9.9</v>
      </c>
      <c r="I28" t="s">
        <v>72</v>
      </c>
      <c r="J28" t="s">
        <v>40</v>
      </c>
      <c r="K28" t="s">
        <v>41</v>
      </c>
      <c r="L28" t="s">
        <v>378</v>
      </c>
      <c r="M28" t="s">
        <v>379</v>
      </c>
      <c r="O28" t="s">
        <v>402</v>
      </c>
      <c r="P28" t="s">
        <v>403</v>
      </c>
      <c r="Q28">
        <v>8.2366840618834747</v>
      </c>
      <c r="S28" t="s">
        <v>38</v>
      </c>
      <c r="T28" t="s">
        <v>464</v>
      </c>
      <c r="V28" t="s">
        <v>76</v>
      </c>
      <c r="X28" t="s">
        <v>450</v>
      </c>
      <c r="Y28" t="s">
        <v>451</v>
      </c>
      <c r="Z28" t="s">
        <v>396</v>
      </c>
      <c r="AA28" t="s">
        <v>460</v>
      </c>
      <c r="AB28" t="s">
        <v>453</v>
      </c>
      <c r="AC28" t="s">
        <v>442</v>
      </c>
      <c r="AD28" t="s">
        <v>455</v>
      </c>
      <c r="AE28" t="s">
        <v>456</v>
      </c>
      <c r="AI28">
        <v>781.75869535392189</v>
      </c>
      <c r="AJ28">
        <v>33332.811126224027</v>
      </c>
    </row>
    <row r="29" spans="1:36" hidden="1" x14ac:dyDescent="0.25">
      <c r="A29">
        <v>28</v>
      </c>
      <c r="B29" t="s">
        <v>465</v>
      </c>
      <c r="C29" t="s">
        <v>376</v>
      </c>
      <c r="D29" t="s">
        <v>377</v>
      </c>
      <c r="E29" t="s">
        <v>37</v>
      </c>
      <c r="F29" t="s">
        <v>57</v>
      </c>
      <c r="G29" s="2">
        <v>45897</v>
      </c>
      <c r="H29">
        <v>8.1</v>
      </c>
      <c r="I29" t="s">
        <v>72</v>
      </c>
      <c r="J29" t="s">
        <v>40</v>
      </c>
      <c r="K29" t="s">
        <v>41</v>
      </c>
      <c r="L29" t="s">
        <v>378</v>
      </c>
      <c r="M29" t="s">
        <v>379</v>
      </c>
      <c r="O29" t="s">
        <v>402</v>
      </c>
      <c r="P29" t="s">
        <v>403</v>
      </c>
      <c r="Q29">
        <v>7.9074068212870836</v>
      </c>
      <c r="S29" t="s">
        <v>38</v>
      </c>
      <c r="T29" t="s">
        <v>462</v>
      </c>
      <c r="V29" t="s">
        <v>76</v>
      </c>
      <c r="X29" t="s">
        <v>450</v>
      </c>
      <c r="Y29" t="s">
        <v>451</v>
      </c>
      <c r="Z29" t="s">
        <v>396</v>
      </c>
      <c r="AA29" t="s">
        <v>460</v>
      </c>
      <c r="AB29" t="s">
        <v>453</v>
      </c>
      <c r="AC29" t="s">
        <v>454</v>
      </c>
      <c r="AD29" t="s">
        <v>455</v>
      </c>
      <c r="AE29" t="s">
        <v>456</v>
      </c>
      <c r="AI29">
        <v>840.53427764133278</v>
      </c>
      <c r="AJ29">
        <v>32000.268080199519</v>
      </c>
    </row>
    <row r="30" spans="1:36" hidden="1" x14ac:dyDescent="0.25">
      <c r="A30">
        <v>29</v>
      </c>
      <c r="B30" t="s">
        <v>466</v>
      </c>
      <c r="C30" t="s">
        <v>376</v>
      </c>
      <c r="D30" t="s">
        <v>377</v>
      </c>
      <c r="E30" t="s">
        <v>37</v>
      </c>
      <c r="F30" t="s">
        <v>57</v>
      </c>
      <c r="G30" s="2">
        <v>45897</v>
      </c>
      <c r="H30">
        <v>7.4</v>
      </c>
      <c r="I30" t="s">
        <v>72</v>
      </c>
      <c r="J30" t="s">
        <v>40</v>
      </c>
      <c r="K30" t="s">
        <v>41</v>
      </c>
      <c r="L30" t="s">
        <v>378</v>
      </c>
      <c r="M30" t="s">
        <v>379</v>
      </c>
      <c r="O30" t="s">
        <v>62</v>
      </c>
      <c r="P30" t="s">
        <v>63</v>
      </c>
      <c r="Q30">
        <v>7.3187875959737774</v>
      </c>
      <c r="R30" t="s">
        <v>64</v>
      </c>
      <c r="S30" t="s">
        <v>65</v>
      </c>
      <c r="T30" t="s">
        <v>467</v>
      </c>
      <c r="V30" t="s">
        <v>76</v>
      </c>
      <c r="X30" t="s">
        <v>450</v>
      </c>
      <c r="Y30" t="s">
        <v>451</v>
      </c>
      <c r="Z30" t="s">
        <v>396</v>
      </c>
      <c r="AA30" t="s">
        <v>460</v>
      </c>
      <c r="AB30" t="s">
        <v>453</v>
      </c>
      <c r="AC30" t="s">
        <v>454</v>
      </c>
      <c r="AD30" t="s">
        <v>455</v>
      </c>
      <c r="AE30" t="s">
        <v>456</v>
      </c>
      <c r="AI30">
        <v>824.94663407481221</v>
      </c>
      <c r="AJ30">
        <v>29618.201059633699</v>
      </c>
    </row>
    <row r="31" spans="1:36" hidden="1" x14ac:dyDescent="0.25">
      <c r="A31">
        <v>30</v>
      </c>
      <c r="B31" t="s">
        <v>468</v>
      </c>
      <c r="C31" t="s">
        <v>376</v>
      </c>
      <c r="D31" t="s">
        <v>377</v>
      </c>
      <c r="E31" t="s">
        <v>37</v>
      </c>
      <c r="F31" t="s">
        <v>57</v>
      </c>
      <c r="G31" s="2">
        <v>45897</v>
      </c>
      <c r="H31">
        <v>0.5</v>
      </c>
      <c r="I31" t="s">
        <v>72</v>
      </c>
      <c r="J31" t="s">
        <v>40</v>
      </c>
      <c r="K31" t="s">
        <v>41</v>
      </c>
      <c r="L31" t="s">
        <v>378</v>
      </c>
      <c r="M31" t="s">
        <v>379</v>
      </c>
      <c r="O31" t="s">
        <v>62</v>
      </c>
      <c r="P31" t="s">
        <v>63</v>
      </c>
      <c r="Q31">
        <v>0.24302168383406611</v>
      </c>
      <c r="R31" t="s">
        <v>64</v>
      </c>
      <c r="S31" t="s">
        <v>65</v>
      </c>
      <c r="T31" t="s">
        <v>469</v>
      </c>
      <c r="V31" t="s">
        <v>75</v>
      </c>
      <c r="X31" t="s">
        <v>470</v>
      </c>
      <c r="Y31" t="s">
        <v>440</v>
      </c>
      <c r="Z31" t="s">
        <v>421</v>
      </c>
      <c r="AA31" t="s">
        <v>471</v>
      </c>
      <c r="AB31" t="s">
        <v>41</v>
      </c>
      <c r="AC31" t="s">
        <v>57</v>
      </c>
      <c r="AD31" t="s">
        <v>57</v>
      </c>
      <c r="AI31">
        <v>147.1419517762607</v>
      </c>
      <c r="AJ31">
        <v>983.47779591360245</v>
      </c>
    </row>
    <row r="32" spans="1:36" hidden="1" x14ac:dyDescent="0.25">
      <c r="A32">
        <v>31</v>
      </c>
      <c r="B32" t="s">
        <v>472</v>
      </c>
      <c r="C32" t="s">
        <v>376</v>
      </c>
      <c r="D32" t="s">
        <v>377</v>
      </c>
      <c r="E32" t="s">
        <v>37</v>
      </c>
      <c r="F32" t="s">
        <v>57</v>
      </c>
      <c r="G32" s="2">
        <v>45897</v>
      </c>
      <c r="H32">
        <v>0.5</v>
      </c>
      <c r="I32" t="s">
        <v>72</v>
      </c>
      <c r="J32" t="s">
        <v>40</v>
      </c>
      <c r="K32" t="s">
        <v>41</v>
      </c>
      <c r="L32" t="s">
        <v>378</v>
      </c>
      <c r="M32" t="s">
        <v>379</v>
      </c>
      <c r="O32" t="s">
        <v>62</v>
      </c>
      <c r="P32" t="s">
        <v>63</v>
      </c>
      <c r="Q32">
        <v>0.75769758178993085</v>
      </c>
      <c r="R32" t="s">
        <v>64</v>
      </c>
      <c r="S32" t="s">
        <v>65</v>
      </c>
      <c r="T32" t="s">
        <v>469</v>
      </c>
      <c r="V32" t="s">
        <v>75</v>
      </c>
      <c r="X32" t="s">
        <v>470</v>
      </c>
      <c r="Y32" t="s">
        <v>440</v>
      </c>
      <c r="Z32" t="s">
        <v>421</v>
      </c>
      <c r="AA32" t="s">
        <v>471</v>
      </c>
      <c r="AB32" t="s">
        <v>41</v>
      </c>
      <c r="AC32" t="s">
        <v>57</v>
      </c>
      <c r="AD32" t="s">
        <v>57</v>
      </c>
      <c r="AI32">
        <v>265.66767932825468</v>
      </c>
      <c r="AJ32">
        <v>3066.3055903136269</v>
      </c>
    </row>
    <row r="33" spans="1:36" hidden="1" x14ac:dyDescent="0.25">
      <c r="A33">
        <v>32</v>
      </c>
      <c r="B33" t="s">
        <v>473</v>
      </c>
      <c r="C33" t="s">
        <v>376</v>
      </c>
      <c r="D33" t="s">
        <v>377</v>
      </c>
      <c r="E33" t="s">
        <v>37</v>
      </c>
      <c r="F33" t="s">
        <v>57</v>
      </c>
      <c r="G33" s="2">
        <v>45897</v>
      </c>
      <c r="H33">
        <v>1.1479999999999999</v>
      </c>
      <c r="I33" t="s">
        <v>72</v>
      </c>
      <c r="J33" t="s">
        <v>40</v>
      </c>
      <c r="K33" t="s">
        <v>41</v>
      </c>
      <c r="L33" t="s">
        <v>378</v>
      </c>
      <c r="M33" t="s">
        <v>379</v>
      </c>
      <c r="O33" t="s">
        <v>87</v>
      </c>
      <c r="P33" t="s">
        <v>88</v>
      </c>
      <c r="Q33">
        <v>1.3104931919613949</v>
      </c>
      <c r="R33" t="s">
        <v>60</v>
      </c>
      <c r="S33" t="s">
        <v>66</v>
      </c>
      <c r="T33" t="s">
        <v>474</v>
      </c>
      <c r="V33" t="s">
        <v>75</v>
      </c>
      <c r="X33" t="s">
        <v>475</v>
      </c>
      <c r="Y33" t="s">
        <v>440</v>
      </c>
      <c r="Z33" t="s">
        <v>421</v>
      </c>
      <c r="AA33" t="s">
        <v>471</v>
      </c>
      <c r="AB33" t="s">
        <v>41</v>
      </c>
      <c r="AC33" t="s">
        <v>57</v>
      </c>
      <c r="AD33" t="s">
        <v>476</v>
      </c>
      <c r="AE33" t="s">
        <v>423</v>
      </c>
      <c r="AI33">
        <v>456.19449286913431</v>
      </c>
      <c r="AJ33">
        <v>5303.399003975248</v>
      </c>
    </row>
    <row r="34" spans="1:36" hidden="1" x14ac:dyDescent="0.25">
      <c r="A34">
        <v>33</v>
      </c>
      <c r="B34" t="s">
        <v>477</v>
      </c>
      <c r="C34" t="s">
        <v>376</v>
      </c>
      <c r="D34" t="s">
        <v>377</v>
      </c>
      <c r="E34" t="s">
        <v>37</v>
      </c>
      <c r="F34" t="s">
        <v>57</v>
      </c>
      <c r="G34" s="2">
        <v>45897</v>
      </c>
      <c r="H34">
        <v>1.806</v>
      </c>
      <c r="I34" t="s">
        <v>72</v>
      </c>
      <c r="J34" t="s">
        <v>40</v>
      </c>
      <c r="K34" t="s">
        <v>41</v>
      </c>
      <c r="L34" t="s">
        <v>378</v>
      </c>
      <c r="M34" t="s">
        <v>379</v>
      </c>
      <c r="O34" t="s">
        <v>87</v>
      </c>
      <c r="P34" t="s">
        <v>88</v>
      </c>
      <c r="Q34">
        <v>1.7138556387856401</v>
      </c>
      <c r="R34" t="s">
        <v>60</v>
      </c>
      <c r="S34" t="s">
        <v>66</v>
      </c>
      <c r="T34" t="s">
        <v>474</v>
      </c>
      <c r="V34" t="s">
        <v>75</v>
      </c>
      <c r="X34" t="s">
        <v>475</v>
      </c>
      <c r="Y34" t="s">
        <v>440</v>
      </c>
      <c r="Z34" t="s">
        <v>421</v>
      </c>
      <c r="AA34" t="s">
        <v>471</v>
      </c>
      <c r="AB34" t="s">
        <v>41</v>
      </c>
      <c r="AC34" t="s">
        <v>57</v>
      </c>
      <c r="AD34" t="s">
        <v>476</v>
      </c>
      <c r="AE34" t="s">
        <v>423</v>
      </c>
      <c r="AI34">
        <v>430.32976631429852</v>
      </c>
      <c r="AJ34">
        <v>6935.7554418801474</v>
      </c>
    </row>
    <row r="35" spans="1:36" hidden="1" x14ac:dyDescent="0.25">
      <c r="A35">
        <v>34</v>
      </c>
      <c r="B35" t="s">
        <v>478</v>
      </c>
      <c r="C35" t="s">
        <v>376</v>
      </c>
      <c r="D35" t="s">
        <v>377</v>
      </c>
      <c r="E35" t="s">
        <v>37</v>
      </c>
      <c r="F35" t="s">
        <v>57</v>
      </c>
      <c r="G35" s="2">
        <v>45897</v>
      </c>
      <c r="H35">
        <v>0.8</v>
      </c>
      <c r="I35" t="s">
        <v>72</v>
      </c>
      <c r="J35" t="s">
        <v>40</v>
      </c>
      <c r="K35" t="s">
        <v>41</v>
      </c>
      <c r="L35" t="s">
        <v>378</v>
      </c>
      <c r="M35" t="s">
        <v>379</v>
      </c>
      <c r="N35" t="s">
        <v>479</v>
      </c>
      <c r="O35" t="s">
        <v>62</v>
      </c>
      <c r="P35" t="s">
        <v>63</v>
      </c>
      <c r="Q35">
        <v>0.66748689354858115</v>
      </c>
      <c r="R35" t="s">
        <v>64</v>
      </c>
      <c r="S35" t="s">
        <v>65</v>
      </c>
      <c r="T35" t="s">
        <v>480</v>
      </c>
      <c r="V35" t="s">
        <v>75</v>
      </c>
      <c r="X35" t="s">
        <v>481</v>
      </c>
      <c r="Y35" t="s">
        <v>440</v>
      </c>
      <c r="Z35" t="s">
        <v>421</v>
      </c>
      <c r="AA35" t="s">
        <v>471</v>
      </c>
      <c r="AB35" t="s">
        <v>41</v>
      </c>
      <c r="AC35" t="s">
        <v>482</v>
      </c>
      <c r="AD35" t="s">
        <v>483</v>
      </c>
      <c r="AE35" t="s">
        <v>484</v>
      </c>
      <c r="AI35">
        <v>224.6159133667438</v>
      </c>
      <c r="AJ35">
        <v>2701.234426951803</v>
      </c>
    </row>
    <row r="36" spans="1:36" hidden="1" x14ac:dyDescent="0.25">
      <c r="A36">
        <v>35</v>
      </c>
      <c r="B36" t="s">
        <v>485</v>
      </c>
      <c r="C36" t="s">
        <v>376</v>
      </c>
      <c r="D36" t="s">
        <v>377</v>
      </c>
      <c r="E36" t="s">
        <v>37</v>
      </c>
      <c r="F36" t="s">
        <v>57</v>
      </c>
      <c r="G36" s="2">
        <v>45897</v>
      </c>
      <c r="H36">
        <v>0.5</v>
      </c>
      <c r="I36" t="s">
        <v>72</v>
      </c>
      <c r="J36" t="s">
        <v>40</v>
      </c>
      <c r="K36" t="s">
        <v>41</v>
      </c>
      <c r="L36" t="s">
        <v>378</v>
      </c>
      <c r="M36" t="s">
        <v>379</v>
      </c>
      <c r="N36" t="s">
        <v>479</v>
      </c>
      <c r="O36" t="s">
        <v>79</v>
      </c>
      <c r="P36" t="s">
        <v>80</v>
      </c>
      <c r="Q36">
        <v>0.48974293196441832</v>
      </c>
      <c r="R36" t="s">
        <v>46</v>
      </c>
      <c r="S36" t="s">
        <v>47</v>
      </c>
      <c r="T36" t="s">
        <v>480</v>
      </c>
      <c r="V36" t="s">
        <v>75</v>
      </c>
      <c r="X36" t="s">
        <v>481</v>
      </c>
      <c r="Y36" t="s">
        <v>440</v>
      </c>
      <c r="Z36" t="s">
        <v>421</v>
      </c>
      <c r="AA36" t="s">
        <v>471</v>
      </c>
      <c r="AB36" t="s">
        <v>41</v>
      </c>
      <c r="AC36" t="s">
        <v>486</v>
      </c>
      <c r="AD36" t="s">
        <v>483</v>
      </c>
      <c r="AE36" t="s">
        <v>487</v>
      </c>
      <c r="AI36">
        <v>181.19170822866769</v>
      </c>
      <c r="AJ36">
        <v>1981.927257246314</v>
      </c>
    </row>
    <row r="37" spans="1:36" hidden="1" x14ac:dyDescent="0.25">
      <c r="A37">
        <v>36</v>
      </c>
      <c r="B37" t="s">
        <v>488</v>
      </c>
      <c r="C37" t="s">
        <v>376</v>
      </c>
      <c r="D37" t="s">
        <v>377</v>
      </c>
      <c r="E37" t="s">
        <v>37</v>
      </c>
      <c r="F37" t="s">
        <v>57</v>
      </c>
      <c r="G37" s="2">
        <v>45897</v>
      </c>
      <c r="H37">
        <v>0.32</v>
      </c>
      <c r="I37" t="s">
        <v>72</v>
      </c>
      <c r="J37" t="s">
        <v>40</v>
      </c>
      <c r="K37" t="s">
        <v>41</v>
      </c>
      <c r="L37" t="s">
        <v>378</v>
      </c>
      <c r="M37" t="s">
        <v>379</v>
      </c>
      <c r="N37" t="s">
        <v>479</v>
      </c>
      <c r="O37" t="s">
        <v>99</v>
      </c>
      <c r="P37" t="s">
        <v>100</v>
      </c>
      <c r="Q37">
        <v>0.50406140474583172</v>
      </c>
      <c r="R37" t="s">
        <v>46</v>
      </c>
      <c r="S37" t="s">
        <v>47</v>
      </c>
      <c r="T37" t="s">
        <v>480</v>
      </c>
      <c r="V37" t="s">
        <v>75</v>
      </c>
      <c r="X37" t="s">
        <v>481</v>
      </c>
      <c r="Y37" t="s">
        <v>440</v>
      </c>
      <c r="Z37" t="s">
        <v>421</v>
      </c>
      <c r="AA37" t="s">
        <v>471</v>
      </c>
      <c r="AB37" t="s">
        <v>41</v>
      </c>
      <c r="AC37" t="s">
        <v>489</v>
      </c>
      <c r="AD37" t="s">
        <v>483</v>
      </c>
      <c r="AE37" t="s">
        <v>490</v>
      </c>
      <c r="AI37">
        <v>217.58856933128129</v>
      </c>
      <c r="AJ37">
        <v>2039.872292560646</v>
      </c>
    </row>
    <row r="38" spans="1:36" hidden="1" x14ac:dyDescent="0.25">
      <c r="A38">
        <v>37</v>
      </c>
      <c r="B38" t="s">
        <v>491</v>
      </c>
      <c r="C38" t="s">
        <v>376</v>
      </c>
      <c r="D38" t="s">
        <v>377</v>
      </c>
      <c r="E38" t="s">
        <v>37</v>
      </c>
      <c r="F38" t="s">
        <v>57</v>
      </c>
      <c r="G38" s="2">
        <v>45897</v>
      </c>
      <c r="H38">
        <v>0.7</v>
      </c>
      <c r="I38" t="s">
        <v>72</v>
      </c>
      <c r="J38" t="s">
        <v>40</v>
      </c>
      <c r="K38" t="s">
        <v>41</v>
      </c>
      <c r="L38" t="s">
        <v>378</v>
      </c>
      <c r="M38" t="s">
        <v>379</v>
      </c>
      <c r="N38" t="s">
        <v>479</v>
      </c>
      <c r="O38" t="s">
        <v>99</v>
      </c>
      <c r="P38" t="s">
        <v>100</v>
      </c>
      <c r="Q38">
        <v>0.54057014318897678</v>
      </c>
      <c r="R38" t="s">
        <v>46</v>
      </c>
      <c r="S38" t="s">
        <v>47</v>
      </c>
      <c r="T38" t="s">
        <v>480</v>
      </c>
      <c r="V38" t="s">
        <v>75</v>
      </c>
      <c r="X38" t="s">
        <v>481</v>
      </c>
      <c r="Y38" t="s">
        <v>440</v>
      </c>
      <c r="Z38" t="s">
        <v>421</v>
      </c>
      <c r="AA38" t="s">
        <v>471</v>
      </c>
      <c r="AB38" t="s">
        <v>41</v>
      </c>
      <c r="AC38" t="s">
        <v>57</v>
      </c>
      <c r="AD38" t="s">
        <v>483</v>
      </c>
      <c r="AE38" t="s">
        <v>492</v>
      </c>
      <c r="AI38">
        <v>252.9685333112038</v>
      </c>
      <c r="AJ38">
        <v>2187.618506187272</v>
      </c>
    </row>
    <row r="39" spans="1:36" hidden="1" x14ac:dyDescent="0.25">
      <c r="A39">
        <v>38</v>
      </c>
      <c r="B39" t="s">
        <v>493</v>
      </c>
      <c r="C39" t="s">
        <v>376</v>
      </c>
      <c r="D39" t="s">
        <v>377</v>
      </c>
      <c r="E39" t="s">
        <v>37</v>
      </c>
      <c r="F39" t="s">
        <v>57</v>
      </c>
      <c r="G39" s="2">
        <v>45897</v>
      </c>
      <c r="I39" t="s">
        <v>72</v>
      </c>
      <c r="J39" t="s">
        <v>40</v>
      </c>
      <c r="K39" t="s">
        <v>41</v>
      </c>
      <c r="L39" t="s">
        <v>378</v>
      </c>
      <c r="M39" t="s">
        <v>379</v>
      </c>
      <c r="O39" t="s">
        <v>99</v>
      </c>
      <c r="P39" t="s">
        <v>100</v>
      </c>
      <c r="Q39">
        <v>0.40288228954366101</v>
      </c>
      <c r="R39" t="s">
        <v>46</v>
      </c>
      <c r="S39" t="s">
        <v>47</v>
      </c>
      <c r="T39" t="s">
        <v>494</v>
      </c>
      <c r="V39" t="s">
        <v>75</v>
      </c>
      <c r="X39" t="s">
        <v>495</v>
      </c>
      <c r="Y39" t="s">
        <v>440</v>
      </c>
      <c r="Z39" t="s">
        <v>421</v>
      </c>
      <c r="AA39" t="s">
        <v>471</v>
      </c>
      <c r="AB39" t="s">
        <v>41</v>
      </c>
      <c r="AC39" t="s">
        <v>57</v>
      </c>
      <c r="AD39" t="s">
        <v>57</v>
      </c>
      <c r="AI39">
        <v>177.87947879411661</v>
      </c>
      <c r="AJ39">
        <v>1630.4133025576691</v>
      </c>
    </row>
    <row r="40" spans="1:36" hidden="1" x14ac:dyDescent="0.25">
      <c r="A40">
        <v>39</v>
      </c>
      <c r="B40" t="s">
        <v>496</v>
      </c>
      <c r="C40" t="s">
        <v>376</v>
      </c>
      <c r="D40" t="s">
        <v>377</v>
      </c>
      <c r="E40" t="s">
        <v>37</v>
      </c>
      <c r="F40" t="s">
        <v>57</v>
      </c>
      <c r="G40" s="2">
        <v>45897</v>
      </c>
      <c r="H40">
        <v>0.7</v>
      </c>
      <c r="I40" t="s">
        <v>72</v>
      </c>
      <c r="J40" t="s">
        <v>40</v>
      </c>
      <c r="K40" t="s">
        <v>41</v>
      </c>
      <c r="L40" t="s">
        <v>378</v>
      </c>
      <c r="M40" t="s">
        <v>379</v>
      </c>
      <c r="N40" t="s">
        <v>479</v>
      </c>
      <c r="O40" t="s">
        <v>408</v>
      </c>
      <c r="P40" t="s">
        <v>409</v>
      </c>
      <c r="Q40">
        <v>0.52679583291688126</v>
      </c>
      <c r="R40" t="s">
        <v>46</v>
      </c>
      <c r="S40" t="s">
        <v>47</v>
      </c>
      <c r="T40" t="s">
        <v>480</v>
      </c>
      <c r="V40" t="s">
        <v>75</v>
      </c>
      <c r="X40" t="s">
        <v>481</v>
      </c>
      <c r="Y40" t="s">
        <v>440</v>
      </c>
      <c r="Z40" t="s">
        <v>421</v>
      </c>
      <c r="AA40" t="s">
        <v>471</v>
      </c>
      <c r="AB40" t="s">
        <v>41</v>
      </c>
      <c r="AC40" t="s">
        <v>57</v>
      </c>
      <c r="AD40" t="s">
        <v>483</v>
      </c>
      <c r="AE40" t="s">
        <v>492</v>
      </c>
      <c r="AI40">
        <v>235.02413001030129</v>
      </c>
      <c r="AJ40">
        <v>2131.875627227219</v>
      </c>
    </row>
    <row r="41" spans="1:36" hidden="1" x14ac:dyDescent="0.25">
      <c r="A41">
        <v>40</v>
      </c>
      <c r="B41" t="s">
        <v>497</v>
      </c>
      <c r="C41" t="s">
        <v>376</v>
      </c>
      <c r="D41" t="s">
        <v>377</v>
      </c>
      <c r="E41" t="s">
        <v>37</v>
      </c>
      <c r="F41" t="s">
        <v>57</v>
      </c>
      <c r="G41" s="2">
        <v>45897</v>
      </c>
      <c r="H41">
        <v>0.5</v>
      </c>
      <c r="I41" t="s">
        <v>72</v>
      </c>
      <c r="J41" t="s">
        <v>40</v>
      </c>
      <c r="K41" t="s">
        <v>41</v>
      </c>
      <c r="L41" t="s">
        <v>378</v>
      </c>
      <c r="M41" t="s">
        <v>379</v>
      </c>
      <c r="N41" t="s">
        <v>479</v>
      </c>
      <c r="O41" t="s">
        <v>79</v>
      </c>
      <c r="P41" t="s">
        <v>80</v>
      </c>
      <c r="Q41">
        <v>0.55463998687645644</v>
      </c>
      <c r="R41" t="s">
        <v>46</v>
      </c>
      <c r="S41" t="s">
        <v>47</v>
      </c>
      <c r="T41" t="s">
        <v>480</v>
      </c>
      <c r="V41" t="s">
        <v>75</v>
      </c>
      <c r="X41" t="s">
        <v>498</v>
      </c>
      <c r="Y41" t="s">
        <v>440</v>
      </c>
      <c r="Z41" t="s">
        <v>421</v>
      </c>
      <c r="AA41" t="s">
        <v>471</v>
      </c>
      <c r="AB41" t="s">
        <v>41</v>
      </c>
      <c r="AC41" t="s">
        <v>57</v>
      </c>
      <c r="AD41" t="s">
        <v>483</v>
      </c>
      <c r="AE41" t="s">
        <v>499</v>
      </c>
      <c r="AI41">
        <v>195.52904237956511</v>
      </c>
      <c r="AJ41">
        <v>2244.5573712313462</v>
      </c>
    </row>
    <row r="42" spans="1:36" hidden="1" x14ac:dyDescent="0.25">
      <c r="A42">
        <v>41</v>
      </c>
      <c r="B42" t="s">
        <v>500</v>
      </c>
      <c r="C42" t="s">
        <v>376</v>
      </c>
      <c r="D42" t="s">
        <v>377</v>
      </c>
      <c r="E42" t="s">
        <v>37</v>
      </c>
      <c r="F42" t="s">
        <v>57</v>
      </c>
      <c r="G42" s="2">
        <v>45897</v>
      </c>
      <c r="H42">
        <v>0.4</v>
      </c>
      <c r="I42" t="s">
        <v>72</v>
      </c>
      <c r="J42" t="s">
        <v>40</v>
      </c>
      <c r="K42" t="s">
        <v>41</v>
      </c>
      <c r="L42" t="s">
        <v>378</v>
      </c>
      <c r="M42" t="s">
        <v>379</v>
      </c>
      <c r="N42" t="s">
        <v>479</v>
      </c>
      <c r="O42" t="s">
        <v>79</v>
      </c>
      <c r="P42" t="s">
        <v>80</v>
      </c>
      <c r="Q42">
        <v>0.50536985090024367</v>
      </c>
      <c r="R42" t="s">
        <v>46</v>
      </c>
      <c r="S42" t="s">
        <v>47</v>
      </c>
      <c r="T42" t="s">
        <v>480</v>
      </c>
      <c r="V42" t="s">
        <v>75</v>
      </c>
      <c r="Y42" t="s">
        <v>440</v>
      </c>
      <c r="Z42" t="s">
        <v>421</v>
      </c>
      <c r="AA42" t="s">
        <v>471</v>
      </c>
      <c r="AB42" t="s">
        <v>41</v>
      </c>
      <c r="AC42" t="s">
        <v>501</v>
      </c>
      <c r="AD42" t="s">
        <v>483</v>
      </c>
      <c r="AE42" t="s">
        <v>502</v>
      </c>
      <c r="AI42">
        <v>182.42736640470119</v>
      </c>
      <c r="AJ42">
        <v>2045.1674074644311</v>
      </c>
    </row>
    <row r="43" spans="1:36" hidden="1" x14ac:dyDescent="0.25">
      <c r="A43">
        <v>42</v>
      </c>
      <c r="B43" t="s">
        <v>503</v>
      </c>
      <c r="C43" t="s">
        <v>376</v>
      </c>
      <c r="D43" t="s">
        <v>377</v>
      </c>
      <c r="E43" t="s">
        <v>37</v>
      </c>
      <c r="F43" t="s">
        <v>57</v>
      </c>
      <c r="G43" s="2">
        <v>45897</v>
      </c>
      <c r="H43">
        <v>0.7</v>
      </c>
      <c r="I43" t="s">
        <v>72</v>
      </c>
      <c r="J43" t="s">
        <v>40</v>
      </c>
      <c r="K43" t="s">
        <v>41</v>
      </c>
      <c r="L43" t="s">
        <v>378</v>
      </c>
      <c r="M43" t="s">
        <v>379</v>
      </c>
      <c r="N43" t="s">
        <v>479</v>
      </c>
      <c r="O43" t="s">
        <v>79</v>
      </c>
      <c r="P43" t="s">
        <v>80</v>
      </c>
      <c r="Q43">
        <v>0.69693775976815964</v>
      </c>
      <c r="R43" t="s">
        <v>46</v>
      </c>
      <c r="S43" t="s">
        <v>47</v>
      </c>
      <c r="T43" t="s">
        <v>480</v>
      </c>
      <c r="V43" t="s">
        <v>75</v>
      </c>
      <c r="X43" t="s">
        <v>504</v>
      </c>
      <c r="Y43" t="s">
        <v>440</v>
      </c>
      <c r="Z43" t="s">
        <v>421</v>
      </c>
      <c r="AA43" t="s">
        <v>471</v>
      </c>
      <c r="AB43" t="s">
        <v>41</v>
      </c>
      <c r="AC43" t="s">
        <v>505</v>
      </c>
      <c r="AD43" t="s">
        <v>483</v>
      </c>
      <c r="AE43" t="s">
        <v>506</v>
      </c>
      <c r="AI43">
        <v>278.5986356451582</v>
      </c>
      <c r="AJ43">
        <v>2820.418330792887</v>
      </c>
    </row>
    <row r="44" spans="1:36" hidden="1" x14ac:dyDescent="0.25">
      <c r="A44">
        <v>43</v>
      </c>
      <c r="B44" t="s">
        <v>507</v>
      </c>
      <c r="C44" t="s">
        <v>376</v>
      </c>
      <c r="D44" t="s">
        <v>377</v>
      </c>
      <c r="E44" t="s">
        <v>37</v>
      </c>
      <c r="F44" t="s">
        <v>57</v>
      </c>
      <c r="G44" s="2">
        <v>45897</v>
      </c>
      <c r="H44">
        <v>0.4</v>
      </c>
      <c r="I44" t="s">
        <v>72</v>
      </c>
      <c r="J44" t="s">
        <v>40</v>
      </c>
      <c r="K44" t="s">
        <v>41</v>
      </c>
      <c r="L44" t="s">
        <v>378</v>
      </c>
      <c r="M44" t="s">
        <v>379</v>
      </c>
      <c r="N44" t="s">
        <v>479</v>
      </c>
      <c r="O44" t="s">
        <v>99</v>
      </c>
      <c r="P44" t="s">
        <v>100</v>
      </c>
      <c r="Q44">
        <v>0.42893782328263302</v>
      </c>
      <c r="R44" t="s">
        <v>46</v>
      </c>
      <c r="S44" t="s">
        <v>47</v>
      </c>
      <c r="T44" t="s">
        <v>480</v>
      </c>
      <c r="V44" t="s">
        <v>75</v>
      </c>
      <c r="X44" t="s">
        <v>481</v>
      </c>
      <c r="Y44" t="s">
        <v>440</v>
      </c>
      <c r="Z44" t="s">
        <v>421</v>
      </c>
      <c r="AA44" t="s">
        <v>471</v>
      </c>
      <c r="AB44" t="s">
        <v>41</v>
      </c>
      <c r="AC44" t="s">
        <v>508</v>
      </c>
      <c r="AD44" t="s">
        <v>483</v>
      </c>
      <c r="AE44" t="s">
        <v>509</v>
      </c>
      <c r="AI44">
        <v>242.5323735874548</v>
      </c>
      <c r="AJ44">
        <v>1735.8567283815689</v>
      </c>
    </row>
    <row r="45" spans="1:36" hidden="1" x14ac:dyDescent="0.25">
      <c r="A45">
        <v>44</v>
      </c>
      <c r="B45" t="s">
        <v>510</v>
      </c>
      <c r="C45" t="s">
        <v>376</v>
      </c>
      <c r="D45" t="s">
        <v>377</v>
      </c>
      <c r="E45" t="s">
        <v>37</v>
      </c>
      <c r="F45" t="s">
        <v>57</v>
      </c>
      <c r="G45" s="2">
        <v>45897</v>
      </c>
      <c r="H45">
        <v>5</v>
      </c>
      <c r="I45" t="s">
        <v>72</v>
      </c>
      <c r="J45" t="s">
        <v>40</v>
      </c>
      <c r="K45" t="s">
        <v>41</v>
      </c>
      <c r="L45" t="s">
        <v>378</v>
      </c>
      <c r="M45" t="s">
        <v>379</v>
      </c>
      <c r="N45" t="s">
        <v>479</v>
      </c>
      <c r="O45" t="s">
        <v>79</v>
      </c>
      <c r="P45" t="s">
        <v>80</v>
      </c>
      <c r="Q45">
        <v>4.0495924643767012</v>
      </c>
      <c r="R45" t="s">
        <v>46</v>
      </c>
      <c r="S45" t="s">
        <v>47</v>
      </c>
      <c r="T45" t="s">
        <v>480</v>
      </c>
      <c r="V45" t="s">
        <v>75</v>
      </c>
      <c r="X45" t="s">
        <v>481</v>
      </c>
      <c r="Y45" t="s">
        <v>440</v>
      </c>
      <c r="Z45" t="s">
        <v>421</v>
      </c>
      <c r="AA45" t="s">
        <v>471</v>
      </c>
      <c r="AB45" t="s">
        <v>41</v>
      </c>
      <c r="AC45" t="s">
        <v>511</v>
      </c>
      <c r="AD45" t="s">
        <v>483</v>
      </c>
      <c r="AE45" t="s">
        <v>512</v>
      </c>
      <c r="AI45">
        <v>634.52433080287688</v>
      </c>
      <c r="AJ45">
        <v>16388.184825239241</v>
      </c>
    </row>
    <row r="46" spans="1:36" hidden="1" x14ac:dyDescent="0.25">
      <c r="A46">
        <v>45</v>
      </c>
      <c r="B46" t="s">
        <v>513</v>
      </c>
      <c r="C46" t="s">
        <v>376</v>
      </c>
      <c r="D46" t="s">
        <v>377</v>
      </c>
      <c r="E46" t="s">
        <v>37</v>
      </c>
      <c r="F46" t="s">
        <v>57</v>
      </c>
      <c r="G46" s="2">
        <v>45897</v>
      </c>
      <c r="H46">
        <v>0.8</v>
      </c>
      <c r="I46" t="s">
        <v>72</v>
      </c>
      <c r="J46" t="s">
        <v>40</v>
      </c>
      <c r="K46" t="s">
        <v>41</v>
      </c>
      <c r="L46" t="s">
        <v>378</v>
      </c>
      <c r="M46" t="s">
        <v>379</v>
      </c>
      <c r="N46" t="s">
        <v>479</v>
      </c>
      <c r="O46" t="s">
        <v>79</v>
      </c>
      <c r="P46" t="s">
        <v>80</v>
      </c>
      <c r="Q46">
        <v>0.77542886765819929</v>
      </c>
      <c r="R46" t="s">
        <v>46</v>
      </c>
      <c r="S46" t="s">
        <v>47</v>
      </c>
      <c r="T46" t="s">
        <v>480</v>
      </c>
      <c r="V46" t="s">
        <v>75</v>
      </c>
      <c r="X46" t="s">
        <v>498</v>
      </c>
      <c r="Y46" t="s">
        <v>440</v>
      </c>
      <c r="Z46" t="s">
        <v>421</v>
      </c>
      <c r="AA46" t="s">
        <v>471</v>
      </c>
      <c r="AB46" t="s">
        <v>41</v>
      </c>
      <c r="AC46" t="s">
        <v>514</v>
      </c>
      <c r="AD46" t="s">
        <v>483</v>
      </c>
      <c r="AE46" t="s">
        <v>499</v>
      </c>
      <c r="AI46">
        <v>241.20482997932629</v>
      </c>
      <c r="AJ46">
        <v>3138.0618454317728</v>
      </c>
    </row>
    <row r="47" spans="1:36" hidden="1" x14ac:dyDescent="0.25">
      <c r="A47">
        <v>46</v>
      </c>
      <c r="B47" t="s">
        <v>515</v>
      </c>
      <c r="C47" t="s">
        <v>376</v>
      </c>
      <c r="D47" t="s">
        <v>377</v>
      </c>
      <c r="E47" t="s">
        <v>37</v>
      </c>
      <c r="F47" t="s">
        <v>57</v>
      </c>
      <c r="G47" s="2">
        <v>45897</v>
      </c>
      <c r="H47">
        <v>0.7</v>
      </c>
      <c r="I47" t="s">
        <v>72</v>
      </c>
      <c r="J47" t="s">
        <v>40</v>
      </c>
      <c r="K47" t="s">
        <v>41</v>
      </c>
      <c r="L47" t="s">
        <v>378</v>
      </c>
      <c r="M47" t="s">
        <v>379</v>
      </c>
      <c r="N47" t="s">
        <v>479</v>
      </c>
      <c r="O47" t="s">
        <v>79</v>
      </c>
      <c r="P47" t="s">
        <v>80</v>
      </c>
      <c r="Q47">
        <v>0.63604919203464705</v>
      </c>
      <c r="R47" t="s">
        <v>60</v>
      </c>
      <c r="S47" t="s">
        <v>66</v>
      </c>
      <c r="T47" t="s">
        <v>480</v>
      </c>
      <c r="V47" t="s">
        <v>75</v>
      </c>
      <c r="X47" t="s">
        <v>498</v>
      </c>
      <c r="Y47" t="s">
        <v>440</v>
      </c>
      <c r="Z47" t="s">
        <v>421</v>
      </c>
      <c r="AA47" t="s">
        <v>471</v>
      </c>
      <c r="AB47" t="s">
        <v>41</v>
      </c>
      <c r="AC47" t="s">
        <v>516</v>
      </c>
      <c r="AD47" t="s">
        <v>483</v>
      </c>
      <c r="AE47" t="s">
        <v>517</v>
      </c>
      <c r="AI47">
        <v>226.5992404295817</v>
      </c>
      <c r="AJ47">
        <v>2574.0100537776611</v>
      </c>
    </row>
    <row r="48" spans="1:36" hidden="1" x14ac:dyDescent="0.25">
      <c r="A48">
        <v>47</v>
      </c>
      <c r="B48" t="s">
        <v>518</v>
      </c>
      <c r="C48" t="s">
        <v>376</v>
      </c>
      <c r="D48" t="s">
        <v>377</v>
      </c>
      <c r="E48" t="s">
        <v>37</v>
      </c>
      <c r="F48" t="s">
        <v>57</v>
      </c>
      <c r="G48" s="2">
        <v>45897</v>
      </c>
      <c r="H48">
        <v>1.3</v>
      </c>
      <c r="I48" t="s">
        <v>72</v>
      </c>
      <c r="J48" t="s">
        <v>40</v>
      </c>
      <c r="K48" t="s">
        <v>41</v>
      </c>
      <c r="L48" t="s">
        <v>378</v>
      </c>
      <c r="M48" t="s">
        <v>379</v>
      </c>
      <c r="N48" t="s">
        <v>479</v>
      </c>
      <c r="O48" t="s">
        <v>79</v>
      </c>
      <c r="P48" t="s">
        <v>80</v>
      </c>
      <c r="Q48">
        <v>1.3371720508708931</v>
      </c>
      <c r="R48" t="s">
        <v>46</v>
      </c>
      <c r="S48" t="s">
        <v>47</v>
      </c>
      <c r="T48" t="s">
        <v>480</v>
      </c>
      <c r="V48" t="s">
        <v>75</v>
      </c>
      <c r="X48" t="s">
        <v>481</v>
      </c>
      <c r="Y48" t="s">
        <v>440</v>
      </c>
      <c r="Z48" t="s">
        <v>421</v>
      </c>
      <c r="AA48" t="s">
        <v>471</v>
      </c>
      <c r="AB48" t="s">
        <v>41</v>
      </c>
      <c r="AC48" t="s">
        <v>519</v>
      </c>
      <c r="AD48" t="s">
        <v>483</v>
      </c>
      <c r="AE48" t="s">
        <v>520</v>
      </c>
      <c r="AI48">
        <v>295.14539150206349</v>
      </c>
      <c r="AJ48">
        <v>5411.3649473587966</v>
      </c>
    </row>
    <row r="49" spans="1:36" hidden="1" x14ac:dyDescent="0.25">
      <c r="A49">
        <v>48</v>
      </c>
      <c r="B49" t="s">
        <v>521</v>
      </c>
      <c r="C49" t="s">
        <v>376</v>
      </c>
      <c r="D49" t="s">
        <v>377</v>
      </c>
      <c r="E49" t="s">
        <v>37</v>
      </c>
      <c r="F49" t="s">
        <v>57</v>
      </c>
      <c r="G49" s="2">
        <v>45897</v>
      </c>
      <c r="H49">
        <v>0.4</v>
      </c>
      <c r="I49" t="s">
        <v>72</v>
      </c>
      <c r="J49" t="s">
        <v>40</v>
      </c>
      <c r="K49" t="s">
        <v>41</v>
      </c>
      <c r="L49" t="s">
        <v>378</v>
      </c>
      <c r="M49" t="s">
        <v>379</v>
      </c>
      <c r="N49" t="s">
        <v>479</v>
      </c>
      <c r="O49" t="s">
        <v>62</v>
      </c>
      <c r="P49" t="s">
        <v>63</v>
      </c>
      <c r="Q49">
        <v>0.39381224558922318</v>
      </c>
      <c r="R49" t="s">
        <v>64</v>
      </c>
      <c r="S49" t="s">
        <v>65</v>
      </c>
      <c r="T49" t="s">
        <v>480</v>
      </c>
      <c r="V49" t="s">
        <v>75</v>
      </c>
      <c r="X49" t="s">
        <v>522</v>
      </c>
      <c r="Y49" t="s">
        <v>440</v>
      </c>
      <c r="Z49" t="s">
        <v>421</v>
      </c>
      <c r="AA49" t="s">
        <v>471</v>
      </c>
      <c r="AB49" t="s">
        <v>41</v>
      </c>
      <c r="AC49" t="s">
        <v>523</v>
      </c>
      <c r="AD49" t="s">
        <v>483</v>
      </c>
      <c r="AE49" t="s">
        <v>524</v>
      </c>
      <c r="AI49">
        <v>163.14619818387311</v>
      </c>
      <c r="AJ49">
        <v>1593.7079901080999</v>
      </c>
    </row>
    <row r="50" spans="1:36" hidden="1" x14ac:dyDescent="0.25">
      <c r="A50">
        <v>49</v>
      </c>
      <c r="B50" t="s">
        <v>525</v>
      </c>
      <c r="C50" t="s">
        <v>376</v>
      </c>
      <c r="D50" t="s">
        <v>377</v>
      </c>
      <c r="E50" t="s">
        <v>37</v>
      </c>
      <c r="F50" t="s">
        <v>57</v>
      </c>
      <c r="G50" s="2">
        <v>45897</v>
      </c>
      <c r="H50">
        <v>0.4</v>
      </c>
      <c r="I50" t="s">
        <v>72</v>
      </c>
      <c r="J50" t="s">
        <v>40</v>
      </c>
      <c r="K50" t="s">
        <v>41</v>
      </c>
      <c r="L50" t="s">
        <v>378</v>
      </c>
      <c r="M50" t="s">
        <v>379</v>
      </c>
      <c r="N50" t="s">
        <v>479</v>
      </c>
      <c r="O50" t="s">
        <v>62</v>
      </c>
      <c r="P50" t="s">
        <v>63</v>
      </c>
      <c r="Q50">
        <v>0.680204311512557</v>
      </c>
      <c r="R50" t="s">
        <v>64</v>
      </c>
      <c r="S50" t="s">
        <v>65</v>
      </c>
      <c r="T50" t="s">
        <v>480</v>
      </c>
      <c r="V50" t="s">
        <v>75</v>
      </c>
      <c r="X50" t="s">
        <v>526</v>
      </c>
      <c r="Y50" t="s">
        <v>440</v>
      </c>
      <c r="Z50" t="s">
        <v>421</v>
      </c>
      <c r="AA50" t="s">
        <v>471</v>
      </c>
      <c r="AB50" t="s">
        <v>41</v>
      </c>
      <c r="AC50" t="s">
        <v>527</v>
      </c>
      <c r="AD50" t="s">
        <v>483</v>
      </c>
      <c r="AE50" t="s">
        <v>528</v>
      </c>
      <c r="AI50">
        <v>214.756482246817</v>
      </c>
      <c r="AJ50">
        <v>2752.70019737854</v>
      </c>
    </row>
    <row r="51" spans="1:36" hidden="1" x14ac:dyDescent="0.25">
      <c r="A51">
        <v>50</v>
      </c>
      <c r="B51" t="s">
        <v>529</v>
      </c>
      <c r="C51" t="s">
        <v>376</v>
      </c>
      <c r="D51" t="s">
        <v>377</v>
      </c>
      <c r="E51" t="s">
        <v>37</v>
      </c>
      <c r="F51" t="s">
        <v>57</v>
      </c>
      <c r="G51" s="2">
        <v>45897</v>
      </c>
      <c r="H51">
        <v>2.7</v>
      </c>
      <c r="I51" t="s">
        <v>72</v>
      </c>
      <c r="J51" t="s">
        <v>40</v>
      </c>
      <c r="K51" t="s">
        <v>41</v>
      </c>
      <c r="L51" t="s">
        <v>378</v>
      </c>
      <c r="M51" t="s">
        <v>379</v>
      </c>
      <c r="N51" t="s">
        <v>479</v>
      </c>
      <c r="O51" t="s">
        <v>79</v>
      </c>
      <c r="P51" t="s">
        <v>80</v>
      </c>
      <c r="Q51">
        <v>0.95170355376686977</v>
      </c>
      <c r="R51" t="s">
        <v>46</v>
      </c>
      <c r="S51" t="s">
        <v>47</v>
      </c>
      <c r="T51" t="s">
        <v>480</v>
      </c>
      <c r="V51" t="s">
        <v>75</v>
      </c>
      <c r="X51" t="s">
        <v>498</v>
      </c>
      <c r="Y51" t="s">
        <v>440</v>
      </c>
      <c r="Z51" t="s">
        <v>421</v>
      </c>
      <c r="AA51" t="s">
        <v>471</v>
      </c>
      <c r="AB51" t="s">
        <v>41</v>
      </c>
      <c r="AC51" t="s">
        <v>514</v>
      </c>
      <c r="AD51" t="s">
        <v>530</v>
      </c>
      <c r="AE51" t="s">
        <v>499</v>
      </c>
      <c r="AI51">
        <v>277.03391282496762</v>
      </c>
      <c r="AJ51">
        <v>3851.4230444591331</v>
      </c>
    </row>
    <row r="52" spans="1:36" hidden="1" x14ac:dyDescent="0.25">
      <c r="A52">
        <v>51</v>
      </c>
      <c r="B52" t="s">
        <v>531</v>
      </c>
      <c r="C52" t="s">
        <v>376</v>
      </c>
      <c r="D52" t="s">
        <v>377</v>
      </c>
      <c r="E52" t="s">
        <v>37</v>
      </c>
      <c r="F52" t="s">
        <v>57</v>
      </c>
      <c r="G52" s="2">
        <v>45897</v>
      </c>
      <c r="H52">
        <v>4.2</v>
      </c>
      <c r="I52" t="s">
        <v>72</v>
      </c>
      <c r="J52" t="s">
        <v>40</v>
      </c>
      <c r="K52" t="s">
        <v>41</v>
      </c>
      <c r="L52" t="s">
        <v>378</v>
      </c>
      <c r="M52" t="s">
        <v>379</v>
      </c>
      <c r="N52" t="s">
        <v>479</v>
      </c>
      <c r="O52" t="s">
        <v>79</v>
      </c>
      <c r="P52" t="s">
        <v>80</v>
      </c>
      <c r="Q52">
        <v>2.4492591683655478</v>
      </c>
      <c r="R52" t="s">
        <v>46</v>
      </c>
      <c r="S52" t="s">
        <v>47</v>
      </c>
      <c r="T52" t="s">
        <v>532</v>
      </c>
      <c r="V52" t="s">
        <v>75</v>
      </c>
      <c r="X52" t="s">
        <v>533</v>
      </c>
      <c r="Y52" t="s">
        <v>440</v>
      </c>
      <c r="Z52" t="s">
        <v>421</v>
      </c>
      <c r="AA52" t="s">
        <v>471</v>
      </c>
      <c r="AB52" t="s">
        <v>41</v>
      </c>
      <c r="AC52" t="s">
        <v>534</v>
      </c>
      <c r="AD52" t="s">
        <v>483</v>
      </c>
      <c r="AE52" t="s">
        <v>535</v>
      </c>
      <c r="AI52">
        <v>508.60639839764332</v>
      </c>
      <c r="AJ52">
        <v>9911.8398429419231</v>
      </c>
    </row>
    <row r="53" spans="1:36" hidden="1" x14ac:dyDescent="0.25">
      <c r="A53">
        <v>52</v>
      </c>
      <c r="B53" t="s">
        <v>536</v>
      </c>
      <c r="C53" t="s">
        <v>376</v>
      </c>
      <c r="D53" t="s">
        <v>377</v>
      </c>
      <c r="E53" t="s">
        <v>37</v>
      </c>
      <c r="F53" t="s">
        <v>57</v>
      </c>
      <c r="G53" s="2">
        <v>45897</v>
      </c>
      <c r="H53">
        <v>1.9</v>
      </c>
      <c r="I53" t="s">
        <v>72</v>
      </c>
      <c r="J53" t="s">
        <v>40</v>
      </c>
      <c r="K53" t="s">
        <v>41</v>
      </c>
      <c r="L53" t="s">
        <v>378</v>
      </c>
      <c r="M53" t="s">
        <v>379</v>
      </c>
      <c r="N53" t="s">
        <v>479</v>
      </c>
      <c r="O53" t="s">
        <v>62</v>
      </c>
      <c r="P53" t="s">
        <v>63</v>
      </c>
      <c r="Q53">
        <v>1.8142759549570899</v>
      </c>
      <c r="R53" t="s">
        <v>64</v>
      </c>
      <c r="S53" t="s">
        <v>65</v>
      </c>
      <c r="T53" t="s">
        <v>532</v>
      </c>
      <c r="V53" t="s">
        <v>75</v>
      </c>
      <c r="X53" t="s">
        <v>537</v>
      </c>
      <c r="Y53" t="s">
        <v>440</v>
      </c>
      <c r="Z53" t="s">
        <v>421</v>
      </c>
      <c r="AA53" t="s">
        <v>471</v>
      </c>
      <c r="AB53" t="s">
        <v>41</v>
      </c>
      <c r="AC53" t="s">
        <v>538</v>
      </c>
      <c r="AD53" t="s">
        <v>483</v>
      </c>
      <c r="AE53" t="s">
        <v>539</v>
      </c>
      <c r="AI53">
        <v>349.45678689367259</v>
      </c>
      <c r="AJ53">
        <v>7342.1436688693002</v>
      </c>
    </row>
    <row r="54" spans="1:36" x14ac:dyDescent="0.25">
      <c r="A54">
        <v>53</v>
      </c>
      <c r="B54" t="s">
        <v>540</v>
      </c>
      <c r="C54" t="s">
        <v>376</v>
      </c>
      <c r="D54" t="s">
        <v>377</v>
      </c>
      <c r="E54" t="s">
        <v>37</v>
      </c>
      <c r="F54" t="s">
        <v>57</v>
      </c>
      <c r="G54" s="2">
        <v>45897</v>
      </c>
      <c r="H54">
        <v>0.5</v>
      </c>
      <c r="I54" t="s">
        <v>72</v>
      </c>
      <c r="J54" t="s">
        <v>40</v>
      </c>
      <c r="K54" t="s">
        <v>41</v>
      </c>
      <c r="L54" t="s">
        <v>378</v>
      </c>
      <c r="M54" t="s">
        <v>379</v>
      </c>
      <c r="N54" t="s">
        <v>479</v>
      </c>
      <c r="P54" t="s">
        <v>137</v>
      </c>
      <c r="Q54">
        <v>0.44059238801735068</v>
      </c>
      <c r="S54" t="s">
        <v>38</v>
      </c>
      <c r="T54" t="s">
        <v>541</v>
      </c>
      <c r="V54" t="s">
        <v>75</v>
      </c>
      <c r="X54" t="s">
        <v>533</v>
      </c>
      <c r="Y54" t="s">
        <v>440</v>
      </c>
      <c r="Z54" t="s">
        <v>421</v>
      </c>
      <c r="AA54" t="s">
        <v>471</v>
      </c>
      <c r="AB54" t="s">
        <v>41</v>
      </c>
      <c r="AC54" t="s">
        <v>534</v>
      </c>
      <c r="AD54" t="s">
        <v>483</v>
      </c>
      <c r="AE54" t="s">
        <v>535</v>
      </c>
      <c r="AI54">
        <v>162.59412685310119</v>
      </c>
      <c r="AJ54">
        <v>1783.0212671865049</v>
      </c>
    </row>
    <row r="55" spans="1:36" hidden="1" x14ac:dyDescent="0.25">
      <c r="A55">
        <v>54</v>
      </c>
      <c r="B55" t="s">
        <v>542</v>
      </c>
      <c r="C55" t="s">
        <v>376</v>
      </c>
      <c r="D55" t="s">
        <v>377</v>
      </c>
      <c r="E55" t="s">
        <v>37</v>
      </c>
      <c r="F55" t="s">
        <v>57</v>
      </c>
      <c r="G55" s="2">
        <v>45897</v>
      </c>
      <c r="H55">
        <v>4.0999999999999996</v>
      </c>
      <c r="I55" t="s">
        <v>72</v>
      </c>
      <c r="J55" t="s">
        <v>40</v>
      </c>
      <c r="K55" t="s">
        <v>41</v>
      </c>
      <c r="L55" t="s">
        <v>378</v>
      </c>
      <c r="M55" t="s">
        <v>379</v>
      </c>
      <c r="O55" t="s">
        <v>62</v>
      </c>
      <c r="P55" t="s">
        <v>63</v>
      </c>
      <c r="Q55">
        <v>4.3101684989271218</v>
      </c>
      <c r="R55" t="s">
        <v>64</v>
      </c>
      <c r="S55" t="s">
        <v>65</v>
      </c>
      <c r="T55" t="s">
        <v>543</v>
      </c>
      <c r="V55" t="s">
        <v>544</v>
      </c>
      <c r="X55" t="s">
        <v>545</v>
      </c>
      <c r="Y55" t="s">
        <v>546</v>
      </c>
      <c r="Z55" t="s">
        <v>413</v>
      </c>
      <c r="AA55" t="s">
        <v>50</v>
      </c>
      <c r="AB55" t="s">
        <v>453</v>
      </c>
      <c r="AC55" t="s">
        <v>547</v>
      </c>
      <c r="AD55" t="s">
        <v>145</v>
      </c>
      <c r="AE55" t="s">
        <v>548</v>
      </c>
      <c r="AI55">
        <v>743.85120536781562</v>
      </c>
      <c r="AJ55">
        <v>17442.70284225099</v>
      </c>
    </row>
    <row r="56" spans="1:36" hidden="1" x14ac:dyDescent="0.25">
      <c r="A56">
        <v>55</v>
      </c>
      <c r="B56" t="s">
        <v>549</v>
      </c>
      <c r="C56" t="s">
        <v>376</v>
      </c>
      <c r="D56" t="s">
        <v>377</v>
      </c>
      <c r="E56" t="s">
        <v>37</v>
      </c>
      <c r="F56" t="s">
        <v>57</v>
      </c>
      <c r="G56" s="2">
        <v>45897</v>
      </c>
      <c r="H56">
        <v>2.8</v>
      </c>
      <c r="I56" t="s">
        <v>72</v>
      </c>
      <c r="J56" t="s">
        <v>40</v>
      </c>
      <c r="K56" t="s">
        <v>41</v>
      </c>
      <c r="L56" t="s">
        <v>378</v>
      </c>
      <c r="M56" t="s">
        <v>379</v>
      </c>
      <c r="O56" t="s">
        <v>62</v>
      </c>
      <c r="P56" t="s">
        <v>63</v>
      </c>
      <c r="Q56">
        <v>2.8804020042305338</v>
      </c>
      <c r="R56" t="s">
        <v>64</v>
      </c>
      <c r="S56" t="s">
        <v>65</v>
      </c>
      <c r="T56" t="s">
        <v>550</v>
      </c>
      <c r="V56" t="s">
        <v>551</v>
      </c>
      <c r="W56" t="s">
        <v>552</v>
      </c>
      <c r="X56" t="s">
        <v>553</v>
      </c>
      <c r="Y56" t="s">
        <v>546</v>
      </c>
      <c r="Z56" t="s">
        <v>413</v>
      </c>
      <c r="AA56" t="s">
        <v>554</v>
      </c>
      <c r="AB56" t="s">
        <v>453</v>
      </c>
      <c r="AC56" t="s">
        <v>547</v>
      </c>
      <c r="AD56" t="s">
        <v>145</v>
      </c>
      <c r="AE56" t="s">
        <v>548</v>
      </c>
      <c r="AI56">
        <v>453.03446134523568</v>
      </c>
      <c r="AJ56">
        <v>11656.619976347451</v>
      </c>
    </row>
    <row r="57" spans="1:36" hidden="1" x14ac:dyDescent="0.25">
      <c r="A57">
        <v>56</v>
      </c>
      <c r="B57" t="s">
        <v>555</v>
      </c>
      <c r="C57" t="s">
        <v>376</v>
      </c>
      <c r="D57" t="s">
        <v>377</v>
      </c>
      <c r="E57" t="s">
        <v>37</v>
      </c>
      <c r="F57" t="s">
        <v>57</v>
      </c>
      <c r="G57" s="2">
        <v>45897</v>
      </c>
      <c r="H57">
        <v>1.5</v>
      </c>
      <c r="I57" t="s">
        <v>72</v>
      </c>
      <c r="J57" t="s">
        <v>40</v>
      </c>
      <c r="K57" t="s">
        <v>41</v>
      </c>
      <c r="L57" t="s">
        <v>378</v>
      </c>
      <c r="M57" t="s">
        <v>379</v>
      </c>
      <c r="O57" t="s">
        <v>62</v>
      </c>
      <c r="P57" t="s">
        <v>63</v>
      </c>
      <c r="Q57">
        <v>1.429328206949487</v>
      </c>
      <c r="R57" t="s">
        <v>64</v>
      </c>
      <c r="S57" t="s">
        <v>65</v>
      </c>
      <c r="T57" t="s">
        <v>556</v>
      </c>
      <c r="V57" t="s">
        <v>551</v>
      </c>
      <c r="X57" t="s">
        <v>557</v>
      </c>
      <c r="Y57" t="s">
        <v>546</v>
      </c>
      <c r="Z57" t="s">
        <v>413</v>
      </c>
      <c r="AA57" t="s">
        <v>554</v>
      </c>
      <c r="AB57" t="s">
        <v>453</v>
      </c>
      <c r="AC57" t="s">
        <v>547</v>
      </c>
      <c r="AD57" t="s">
        <v>145</v>
      </c>
      <c r="AE57" t="s">
        <v>548</v>
      </c>
      <c r="AI57">
        <v>357.16829353254042</v>
      </c>
      <c r="AJ57">
        <v>5784.309171224555</v>
      </c>
    </row>
    <row r="58" spans="1:36" hidden="1" x14ac:dyDescent="0.25">
      <c r="A58">
        <v>57</v>
      </c>
      <c r="B58" t="s">
        <v>558</v>
      </c>
      <c r="C58" t="s">
        <v>376</v>
      </c>
      <c r="D58" t="s">
        <v>377</v>
      </c>
      <c r="E58" t="s">
        <v>37</v>
      </c>
      <c r="F58" t="s">
        <v>57</v>
      </c>
      <c r="G58" s="2">
        <v>45897</v>
      </c>
      <c r="H58">
        <v>10.8</v>
      </c>
      <c r="I58" t="s">
        <v>72</v>
      </c>
      <c r="J58" t="s">
        <v>40</v>
      </c>
      <c r="K58" t="s">
        <v>41</v>
      </c>
      <c r="L58" t="s">
        <v>378</v>
      </c>
      <c r="M58" t="s">
        <v>379</v>
      </c>
      <c r="O58" t="s">
        <v>62</v>
      </c>
      <c r="P58" t="s">
        <v>63</v>
      </c>
      <c r="Q58">
        <v>11.3990180174958</v>
      </c>
      <c r="R58" t="s">
        <v>64</v>
      </c>
      <c r="S58" t="s">
        <v>65</v>
      </c>
      <c r="T58" t="s">
        <v>559</v>
      </c>
      <c r="V58" t="s">
        <v>560</v>
      </c>
      <c r="W58" t="s">
        <v>561</v>
      </c>
      <c r="X58" t="s">
        <v>562</v>
      </c>
      <c r="Y58" t="s">
        <v>546</v>
      </c>
      <c r="Z58" t="s">
        <v>413</v>
      </c>
      <c r="AA58" t="s">
        <v>563</v>
      </c>
      <c r="AB58" t="s">
        <v>453</v>
      </c>
      <c r="AC58" t="s">
        <v>547</v>
      </c>
      <c r="AD58" t="s">
        <v>145</v>
      </c>
      <c r="AE58" t="s">
        <v>548</v>
      </c>
      <c r="AI58">
        <v>1595.5399296267001</v>
      </c>
      <c r="AJ58">
        <v>46130.373794466861</v>
      </c>
    </row>
    <row r="59" spans="1:36" hidden="1" x14ac:dyDescent="0.25">
      <c r="A59">
        <v>58</v>
      </c>
      <c r="B59" t="s">
        <v>564</v>
      </c>
      <c r="C59" t="s">
        <v>376</v>
      </c>
      <c r="D59" t="s">
        <v>377</v>
      </c>
      <c r="E59" t="s">
        <v>37</v>
      </c>
      <c r="F59" t="s">
        <v>57</v>
      </c>
      <c r="G59" s="2">
        <v>45897</v>
      </c>
      <c r="H59">
        <v>9.1</v>
      </c>
      <c r="I59" t="s">
        <v>72</v>
      </c>
      <c r="J59" t="s">
        <v>40</v>
      </c>
      <c r="K59" t="s">
        <v>41</v>
      </c>
      <c r="L59" t="s">
        <v>378</v>
      </c>
      <c r="M59" t="s">
        <v>379</v>
      </c>
      <c r="O59" t="s">
        <v>62</v>
      </c>
      <c r="P59" t="s">
        <v>63</v>
      </c>
      <c r="Q59">
        <v>9.5857462136914222</v>
      </c>
      <c r="R59" t="s">
        <v>64</v>
      </c>
      <c r="S59" t="s">
        <v>65</v>
      </c>
      <c r="T59" t="s">
        <v>565</v>
      </c>
      <c r="V59" t="s">
        <v>566</v>
      </c>
      <c r="X59" t="s">
        <v>567</v>
      </c>
      <c r="Y59" t="s">
        <v>546</v>
      </c>
      <c r="Z59" t="s">
        <v>413</v>
      </c>
      <c r="AA59" t="s">
        <v>445</v>
      </c>
      <c r="AB59" t="s">
        <v>453</v>
      </c>
      <c r="AC59" t="s">
        <v>547</v>
      </c>
      <c r="AD59" t="s">
        <v>145</v>
      </c>
      <c r="AE59" t="s">
        <v>548</v>
      </c>
      <c r="AI59">
        <v>934.14354253812655</v>
      </c>
      <c r="AJ59">
        <v>38792.293797393642</v>
      </c>
    </row>
    <row r="60" spans="1:36" hidden="1" x14ac:dyDescent="0.25">
      <c r="A60">
        <v>59</v>
      </c>
      <c r="B60" t="s">
        <v>568</v>
      </c>
      <c r="C60" t="s">
        <v>376</v>
      </c>
      <c r="D60" t="s">
        <v>377</v>
      </c>
      <c r="E60" t="s">
        <v>37</v>
      </c>
      <c r="F60" t="s">
        <v>57</v>
      </c>
      <c r="G60" s="2">
        <v>45897</v>
      </c>
      <c r="H60">
        <v>2.2000000000000002</v>
      </c>
      <c r="I60" t="s">
        <v>72</v>
      </c>
      <c r="J60" t="s">
        <v>40</v>
      </c>
      <c r="K60" t="s">
        <v>41</v>
      </c>
      <c r="L60" t="s">
        <v>378</v>
      </c>
      <c r="M60" t="s">
        <v>379</v>
      </c>
      <c r="O60" t="s">
        <v>62</v>
      </c>
      <c r="P60" t="s">
        <v>63</v>
      </c>
      <c r="Q60">
        <v>2.4717478332318752</v>
      </c>
      <c r="R60" t="s">
        <v>64</v>
      </c>
      <c r="S60" t="s">
        <v>65</v>
      </c>
      <c r="T60" t="s">
        <v>569</v>
      </c>
      <c r="V60" t="s">
        <v>570</v>
      </c>
      <c r="X60" t="s">
        <v>571</v>
      </c>
      <c r="Y60" t="s">
        <v>546</v>
      </c>
      <c r="Z60" t="s">
        <v>413</v>
      </c>
      <c r="AA60" t="s">
        <v>110</v>
      </c>
      <c r="AB60" t="s">
        <v>453</v>
      </c>
      <c r="AC60" t="s">
        <v>547</v>
      </c>
      <c r="AD60" t="s">
        <v>145</v>
      </c>
      <c r="AE60" t="s">
        <v>548</v>
      </c>
      <c r="AI60">
        <v>710.97554305618667</v>
      </c>
      <c r="AJ60">
        <v>10002.8486048221</v>
      </c>
    </row>
    <row r="61" spans="1:36" hidden="1" x14ac:dyDescent="0.25">
      <c r="A61">
        <v>60</v>
      </c>
      <c r="B61" t="s">
        <v>572</v>
      </c>
      <c r="C61" t="s">
        <v>376</v>
      </c>
      <c r="D61" t="s">
        <v>377</v>
      </c>
      <c r="E61" t="s">
        <v>37</v>
      </c>
      <c r="F61" t="s">
        <v>57</v>
      </c>
      <c r="G61" s="2">
        <v>45897</v>
      </c>
      <c r="H61">
        <v>5.0999999999999996</v>
      </c>
      <c r="I61" t="s">
        <v>72</v>
      </c>
      <c r="J61" t="s">
        <v>40</v>
      </c>
      <c r="K61" t="s">
        <v>41</v>
      </c>
      <c r="L61" t="s">
        <v>378</v>
      </c>
      <c r="M61" t="s">
        <v>379</v>
      </c>
      <c r="O61" t="s">
        <v>62</v>
      </c>
      <c r="P61" t="s">
        <v>63</v>
      </c>
      <c r="Q61">
        <v>2.492773107863862</v>
      </c>
      <c r="R61" t="s">
        <v>64</v>
      </c>
      <c r="S61" t="s">
        <v>65</v>
      </c>
      <c r="T61" t="s">
        <v>573</v>
      </c>
      <c r="V61" t="s">
        <v>574</v>
      </c>
      <c r="W61" t="s">
        <v>38</v>
      </c>
      <c r="X61" t="s">
        <v>575</v>
      </c>
      <c r="Y61" t="s">
        <v>420</v>
      </c>
      <c r="Z61" t="s">
        <v>421</v>
      </c>
      <c r="AA61" t="s">
        <v>576</v>
      </c>
      <c r="AB61" t="s">
        <v>41</v>
      </c>
      <c r="AC61" t="s">
        <v>436</v>
      </c>
      <c r="AD61" t="s">
        <v>422</v>
      </c>
      <c r="AE61" t="s">
        <v>423</v>
      </c>
      <c r="AI61">
        <v>495.57476922667269</v>
      </c>
      <c r="AJ61">
        <v>10087.935212845379</v>
      </c>
    </row>
    <row r="62" spans="1:36" hidden="1" x14ac:dyDescent="0.25">
      <c r="A62">
        <v>61</v>
      </c>
      <c r="B62" t="s">
        <v>577</v>
      </c>
      <c r="C62" t="s">
        <v>376</v>
      </c>
      <c r="D62" t="s">
        <v>377</v>
      </c>
      <c r="E62" t="s">
        <v>37</v>
      </c>
      <c r="F62" t="s">
        <v>57</v>
      </c>
      <c r="G62" s="2">
        <v>45897</v>
      </c>
      <c r="H62">
        <v>3.0720000000000001</v>
      </c>
      <c r="I62" t="s">
        <v>72</v>
      </c>
      <c r="J62" t="s">
        <v>40</v>
      </c>
      <c r="K62" t="s">
        <v>41</v>
      </c>
      <c r="L62" t="s">
        <v>378</v>
      </c>
      <c r="M62" t="s">
        <v>379</v>
      </c>
      <c r="O62" t="s">
        <v>62</v>
      </c>
      <c r="P62" t="s">
        <v>63</v>
      </c>
      <c r="Q62">
        <v>3.1037168830560851</v>
      </c>
      <c r="R62" t="s">
        <v>64</v>
      </c>
      <c r="S62" t="s">
        <v>65</v>
      </c>
      <c r="T62" t="s">
        <v>573</v>
      </c>
      <c r="V62" t="s">
        <v>574</v>
      </c>
      <c r="W62" t="s">
        <v>38</v>
      </c>
      <c r="X62" t="s">
        <v>575</v>
      </c>
      <c r="Y62" t="s">
        <v>420</v>
      </c>
      <c r="Z62" t="s">
        <v>421</v>
      </c>
      <c r="AA62" t="s">
        <v>576</v>
      </c>
      <c r="AB62" t="s">
        <v>41</v>
      </c>
      <c r="AC62" t="s">
        <v>436</v>
      </c>
      <c r="AD62" t="s">
        <v>422</v>
      </c>
      <c r="AE62" t="s">
        <v>423</v>
      </c>
      <c r="AI62">
        <v>466.09573577204901</v>
      </c>
      <c r="AJ62">
        <v>12560.346842843959</v>
      </c>
    </row>
    <row r="63" spans="1:36" hidden="1" x14ac:dyDescent="0.25">
      <c r="A63">
        <v>62</v>
      </c>
      <c r="B63" t="s">
        <v>578</v>
      </c>
      <c r="C63" t="s">
        <v>376</v>
      </c>
      <c r="D63" t="s">
        <v>377</v>
      </c>
      <c r="E63" t="s">
        <v>37</v>
      </c>
      <c r="F63" t="s">
        <v>57</v>
      </c>
      <c r="G63" s="2">
        <v>45897</v>
      </c>
      <c r="H63">
        <v>0.86799999999999999</v>
      </c>
      <c r="I63" t="s">
        <v>72</v>
      </c>
      <c r="J63" t="s">
        <v>40</v>
      </c>
      <c r="K63" t="s">
        <v>41</v>
      </c>
      <c r="L63" t="s">
        <v>378</v>
      </c>
      <c r="M63" t="s">
        <v>379</v>
      </c>
      <c r="O63" t="s">
        <v>62</v>
      </c>
      <c r="P63" t="s">
        <v>63</v>
      </c>
      <c r="Q63">
        <v>0.86808047170842928</v>
      </c>
      <c r="R63" t="s">
        <v>64</v>
      </c>
      <c r="S63" t="s">
        <v>65</v>
      </c>
      <c r="T63" t="s">
        <v>573</v>
      </c>
      <c r="V63" t="s">
        <v>574</v>
      </c>
      <c r="W63" t="s">
        <v>38</v>
      </c>
      <c r="X63" t="s">
        <v>575</v>
      </c>
      <c r="Y63" t="s">
        <v>420</v>
      </c>
      <c r="Z63" t="s">
        <v>421</v>
      </c>
      <c r="AA63" t="s">
        <v>576</v>
      </c>
      <c r="AB63" t="s">
        <v>41</v>
      </c>
      <c r="AC63" t="s">
        <v>436</v>
      </c>
      <c r="AD63" t="s">
        <v>422</v>
      </c>
      <c r="AE63" t="s">
        <v>423</v>
      </c>
      <c r="AI63">
        <v>319.24638497557311</v>
      </c>
      <c r="AJ63">
        <v>3513.0110841235628</v>
      </c>
    </row>
    <row r="64" spans="1:36" hidden="1" x14ac:dyDescent="0.25">
      <c r="A64">
        <v>63</v>
      </c>
      <c r="B64" t="s">
        <v>579</v>
      </c>
      <c r="C64" t="s">
        <v>376</v>
      </c>
      <c r="D64" t="s">
        <v>377</v>
      </c>
      <c r="E64" t="s">
        <v>37</v>
      </c>
      <c r="F64" t="s">
        <v>57</v>
      </c>
      <c r="G64" s="2">
        <v>45897</v>
      </c>
      <c r="H64">
        <v>0.95599999999999996</v>
      </c>
      <c r="I64" t="s">
        <v>72</v>
      </c>
      <c r="J64" t="s">
        <v>40</v>
      </c>
      <c r="K64" t="s">
        <v>41</v>
      </c>
      <c r="L64" t="s">
        <v>378</v>
      </c>
      <c r="M64" t="s">
        <v>379</v>
      </c>
      <c r="O64" t="s">
        <v>62</v>
      </c>
      <c r="P64" t="s">
        <v>63</v>
      </c>
      <c r="Q64">
        <v>0.98056840514142896</v>
      </c>
      <c r="R64" t="s">
        <v>64</v>
      </c>
      <c r="S64" t="s">
        <v>65</v>
      </c>
      <c r="T64" t="s">
        <v>573</v>
      </c>
      <c r="V64" t="s">
        <v>574</v>
      </c>
      <c r="W64" t="s">
        <v>38</v>
      </c>
      <c r="X64" t="s">
        <v>575</v>
      </c>
      <c r="Y64" t="s">
        <v>420</v>
      </c>
      <c r="Z64" t="s">
        <v>421</v>
      </c>
      <c r="AA64" t="s">
        <v>576</v>
      </c>
      <c r="AB64" t="s">
        <v>41</v>
      </c>
      <c r="AC64" t="s">
        <v>436</v>
      </c>
      <c r="AD64" t="s">
        <v>422</v>
      </c>
      <c r="AE64" t="s">
        <v>423</v>
      </c>
      <c r="AI64">
        <v>258.44774287165649</v>
      </c>
      <c r="AJ64">
        <v>3968.235420874928</v>
      </c>
    </row>
    <row r="65" spans="1:36" hidden="1" x14ac:dyDescent="0.25">
      <c r="A65">
        <v>64</v>
      </c>
      <c r="B65" t="s">
        <v>580</v>
      </c>
      <c r="C65" t="s">
        <v>376</v>
      </c>
      <c r="D65" t="s">
        <v>377</v>
      </c>
      <c r="E65" t="s">
        <v>37</v>
      </c>
      <c r="F65" t="s">
        <v>57</v>
      </c>
      <c r="G65" s="2">
        <v>45897</v>
      </c>
      <c r="H65">
        <v>5.0060000000000002</v>
      </c>
      <c r="I65" t="s">
        <v>72</v>
      </c>
      <c r="J65" t="s">
        <v>40</v>
      </c>
      <c r="K65" t="s">
        <v>41</v>
      </c>
      <c r="L65" t="s">
        <v>378</v>
      </c>
      <c r="M65" t="s">
        <v>379</v>
      </c>
      <c r="O65" t="s">
        <v>62</v>
      </c>
      <c r="P65" t="s">
        <v>63</v>
      </c>
      <c r="Q65">
        <v>5.0568231535309351</v>
      </c>
      <c r="R65" t="s">
        <v>64</v>
      </c>
      <c r="S65" t="s">
        <v>65</v>
      </c>
      <c r="T65" t="s">
        <v>573</v>
      </c>
      <c r="V65" t="s">
        <v>574</v>
      </c>
      <c r="X65" t="s">
        <v>575</v>
      </c>
      <c r="Y65" t="s">
        <v>420</v>
      </c>
      <c r="Z65" t="s">
        <v>421</v>
      </c>
      <c r="AA65" t="s">
        <v>576</v>
      </c>
      <c r="AB65" t="s">
        <v>41</v>
      </c>
      <c r="AC65" t="s">
        <v>436</v>
      </c>
      <c r="AD65" t="s">
        <v>422</v>
      </c>
      <c r="AE65" t="s">
        <v>423</v>
      </c>
      <c r="AI65">
        <v>831.54775135679301</v>
      </c>
      <c r="AJ65">
        <v>20464.319113002279</v>
      </c>
    </row>
    <row r="66" spans="1:36" hidden="1" x14ac:dyDescent="0.25">
      <c r="A66">
        <v>65</v>
      </c>
      <c r="B66" t="s">
        <v>581</v>
      </c>
      <c r="C66" t="s">
        <v>376</v>
      </c>
      <c r="D66" t="s">
        <v>377</v>
      </c>
      <c r="E66" t="s">
        <v>37</v>
      </c>
      <c r="F66" t="s">
        <v>57</v>
      </c>
      <c r="G66" s="2">
        <v>45897</v>
      </c>
      <c r="H66">
        <v>0.5</v>
      </c>
      <c r="I66" t="s">
        <v>72</v>
      </c>
      <c r="J66" t="s">
        <v>40</v>
      </c>
      <c r="K66" t="s">
        <v>41</v>
      </c>
      <c r="L66" t="s">
        <v>378</v>
      </c>
      <c r="M66" t="s">
        <v>379</v>
      </c>
      <c r="O66" t="s">
        <v>79</v>
      </c>
      <c r="P66" t="s">
        <v>80</v>
      </c>
      <c r="Q66">
        <v>0.47706983033122391</v>
      </c>
      <c r="R66" t="s">
        <v>46</v>
      </c>
      <c r="S66" t="s">
        <v>47</v>
      </c>
      <c r="T66" t="s">
        <v>582</v>
      </c>
      <c r="V66" t="s">
        <v>118</v>
      </c>
      <c r="X66" t="s">
        <v>583</v>
      </c>
      <c r="Y66" t="s">
        <v>546</v>
      </c>
      <c r="Z66" t="s">
        <v>413</v>
      </c>
      <c r="AA66" t="s">
        <v>70</v>
      </c>
      <c r="AB66" t="s">
        <v>584</v>
      </c>
      <c r="AC66" t="s">
        <v>57</v>
      </c>
      <c r="AD66" t="s">
        <v>57</v>
      </c>
      <c r="AI66">
        <v>187.61743293394341</v>
      </c>
      <c r="AJ66">
        <v>1930.640829364786</v>
      </c>
    </row>
    <row r="67" spans="1:36" hidden="1" x14ac:dyDescent="0.25">
      <c r="A67">
        <v>66</v>
      </c>
      <c r="B67" t="s">
        <v>585</v>
      </c>
      <c r="C67" t="s">
        <v>376</v>
      </c>
      <c r="D67" t="s">
        <v>377</v>
      </c>
      <c r="E67" t="s">
        <v>37</v>
      </c>
      <c r="F67" t="s">
        <v>57</v>
      </c>
      <c r="G67" s="2">
        <v>45897</v>
      </c>
      <c r="H67">
        <v>0.5</v>
      </c>
      <c r="I67" t="s">
        <v>72</v>
      </c>
      <c r="J67" t="s">
        <v>40</v>
      </c>
      <c r="K67" t="s">
        <v>41</v>
      </c>
      <c r="L67" t="s">
        <v>378</v>
      </c>
      <c r="M67" t="s">
        <v>379</v>
      </c>
      <c r="O67" t="s">
        <v>79</v>
      </c>
      <c r="P67" t="s">
        <v>80</v>
      </c>
      <c r="Q67">
        <v>0.53653481454518515</v>
      </c>
      <c r="R67" t="s">
        <v>46</v>
      </c>
      <c r="S67" t="s">
        <v>47</v>
      </c>
      <c r="T67" t="s">
        <v>582</v>
      </c>
      <c r="V67" t="s">
        <v>118</v>
      </c>
      <c r="X67" t="s">
        <v>583</v>
      </c>
      <c r="Y67" t="s">
        <v>546</v>
      </c>
      <c r="Z67" t="s">
        <v>413</v>
      </c>
      <c r="AA67" t="s">
        <v>70</v>
      </c>
      <c r="AB67" t="s">
        <v>584</v>
      </c>
      <c r="AC67" t="s">
        <v>57</v>
      </c>
      <c r="AD67" t="s">
        <v>57</v>
      </c>
      <c r="AI67">
        <v>199.40489379698431</v>
      </c>
      <c r="AJ67">
        <v>2171.288045226871</v>
      </c>
    </row>
    <row r="68" spans="1:36" hidden="1" x14ac:dyDescent="0.25">
      <c r="A68">
        <v>67</v>
      </c>
      <c r="B68" t="s">
        <v>586</v>
      </c>
      <c r="C68" t="s">
        <v>376</v>
      </c>
      <c r="D68" t="s">
        <v>377</v>
      </c>
      <c r="E68" t="s">
        <v>37</v>
      </c>
      <c r="F68" t="s">
        <v>57</v>
      </c>
      <c r="G68" s="2">
        <v>45897</v>
      </c>
      <c r="H68">
        <v>8.1</v>
      </c>
      <c r="I68" t="s">
        <v>72</v>
      </c>
      <c r="J68" t="s">
        <v>40</v>
      </c>
      <c r="K68" t="s">
        <v>41</v>
      </c>
      <c r="L68" t="s">
        <v>378</v>
      </c>
      <c r="M68" t="s">
        <v>379</v>
      </c>
      <c r="O68" t="s">
        <v>402</v>
      </c>
      <c r="P68" t="s">
        <v>403</v>
      </c>
      <c r="Q68">
        <v>8.6113602655926087</v>
      </c>
      <c r="S68" t="s">
        <v>38</v>
      </c>
      <c r="T68" t="s">
        <v>587</v>
      </c>
      <c r="V68" t="s">
        <v>86</v>
      </c>
      <c r="X68" t="s">
        <v>588</v>
      </c>
      <c r="Y68" t="s">
        <v>451</v>
      </c>
      <c r="Z68" t="s">
        <v>421</v>
      </c>
      <c r="AA68" t="s">
        <v>110</v>
      </c>
      <c r="AB68" t="s">
        <v>453</v>
      </c>
      <c r="AC68" t="s">
        <v>57</v>
      </c>
      <c r="AD68" t="s">
        <v>589</v>
      </c>
      <c r="AE68" t="s">
        <v>590</v>
      </c>
      <c r="AI68">
        <v>1271.5475487278541</v>
      </c>
      <c r="AJ68">
        <v>34849.077992586193</v>
      </c>
    </row>
    <row r="69" spans="1:36" hidden="1" x14ac:dyDescent="0.25">
      <c r="A69">
        <v>68</v>
      </c>
      <c r="B69" t="s">
        <v>591</v>
      </c>
      <c r="C69" t="s">
        <v>376</v>
      </c>
      <c r="D69" t="s">
        <v>377</v>
      </c>
      <c r="E69" t="s">
        <v>37</v>
      </c>
      <c r="F69" t="s">
        <v>57</v>
      </c>
      <c r="G69" s="2">
        <v>45897</v>
      </c>
      <c r="H69">
        <v>2.6</v>
      </c>
      <c r="I69" t="s">
        <v>72</v>
      </c>
      <c r="J69" t="s">
        <v>40</v>
      </c>
      <c r="K69" t="s">
        <v>41</v>
      </c>
      <c r="L69" t="s">
        <v>378</v>
      </c>
      <c r="M69" t="s">
        <v>379</v>
      </c>
      <c r="O69" t="s">
        <v>402</v>
      </c>
      <c r="P69" t="s">
        <v>403</v>
      </c>
      <c r="Q69">
        <v>2.6483728281688181</v>
      </c>
      <c r="S69" t="s">
        <v>38</v>
      </c>
      <c r="T69" t="s">
        <v>587</v>
      </c>
      <c r="V69" t="s">
        <v>86</v>
      </c>
      <c r="X69" t="s">
        <v>588</v>
      </c>
      <c r="Y69" t="s">
        <v>451</v>
      </c>
      <c r="Z69" t="s">
        <v>421</v>
      </c>
      <c r="AA69" t="s">
        <v>110</v>
      </c>
      <c r="AB69" t="s">
        <v>453</v>
      </c>
      <c r="AC69" t="s">
        <v>57</v>
      </c>
      <c r="AD69" t="s">
        <v>589</v>
      </c>
      <c r="AE69" t="s">
        <v>590</v>
      </c>
      <c r="AI69">
        <v>754.64341120794677</v>
      </c>
      <c r="AJ69">
        <v>10717.6274590516</v>
      </c>
    </row>
    <row r="70" spans="1:36" hidden="1" x14ac:dyDescent="0.25">
      <c r="A70">
        <v>69</v>
      </c>
      <c r="B70" t="s">
        <v>592</v>
      </c>
      <c r="C70" t="s">
        <v>376</v>
      </c>
      <c r="D70" t="s">
        <v>377</v>
      </c>
      <c r="E70" t="s">
        <v>37</v>
      </c>
      <c r="F70" t="s">
        <v>57</v>
      </c>
      <c r="G70" s="2">
        <v>45897</v>
      </c>
      <c r="H70">
        <v>1.1000000000000001</v>
      </c>
      <c r="I70" t="s">
        <v>72</v>
      </c>
      <c r="J70" t="s">
        <v>40</v>
      </c>
      <c r="K70" t="s">
        <v>41</v>
      </c>
      <c r="L70" t="s">
        <v>378</v>
      </c>
      <c r="M70" t="s">
        <v>379</v>
      </c>
      <c r="O70" t="s">
        <v>402</v>
      </c>
      <c r="P70" t="s">
        <v>403</v>
      </c>
      <c r="Q70">
        <v>1.1178433366494831</v>
      </c>
      <c r="S70" t="s">
        <v>38</v>
      </c>
      <c r="T70" t="s">
        <v>587</v>
      </c>
      <c r="V70" t="s">
        <v>86</v>
      </c>
      <c r="X70" t="s">
        <v>588</v>
      </c>
      <c r="Y70" t="s">
        <v>451</v>
      </c>
      <c r="Z70" t="s">
        <v>421</v>
      </c>
      <c r="AA70" t="s">
        <v>119</v>
      </c>
      <c r="AB70" t="s">
        <v>453</v>
      </c>
      <c r="AC70" t="s">
        <v>57</v>
      </c>
      <c r="AD70" t="s">
        <v>589</v>
      </c>
      <c r="AE70" t="s">
        <v>590</v>
      </c>
      <c r="AI70">
        <v>336.00320980312767</v>
      </c>
      <c r="AJ70">
        <v>4523.7695812172342</v>
      </c>
    </row>
    <row r="71" spans="1:36" hidden="1" x14ac:dyDescent="0.25">
      <c r="A71">
        <v>70</v>
      </c>
      <c r="B71" t="s">
        <v>593</v>
      </c>
      <c r="C71" t="s">
        <v>376</v>
      </c>
      <c r="D71" t="s">
        <v>377</v>
      </c>
      <c r="E71" t="s">
        <v>37</v>
      </c>
      <c r="F71" t="s">
        <v>57</v>
      </c>
      <c r="G71" s="2">
        <v>45897</v>
      </c>
      <c r="H71">
        <v>1.6</v>
      </c>
      <c r="I71" t="s">
        <v>72</v>
      </c>
      <c r="J71" t="s">
        <v>40</v>
      </c>
      <c r="K71" t="s">
        <v>41</v>
      </c>
      <c r="L71" t="s">
        <v>378</v>
      </c>
      <c r="M71" t="s">
        <v>379</v>
      </c>
      <c r="O71" t="s">
        <v>402</v>
      </c>
      <c r="P71" t="s">
        <v>403</v>
      </c>
      <c r="Q71">
        <v>1.618691187262038</v>
      </c>
      <c r="S71" t="s">
        <v>38</v>
      </c>
      <c r="T71" t="s">
        <v>587</v>
      </c>
      <c r="V71" t="s">
        <v>86</v>
      </c>
      <c r="X71" t="s">
        <v>588</v>
      </c>
      <c r="Y71" t="s">
        <v>451</v>
      </c>
      <c r="Z71" t="s">
        <v>421</v>
      </c>
      <c r="AA71" t="s">
        <v>119</v>
      </c>
      <c r="AB71" t="s">
        <v>453</v>
      </c>
      <c r="AC71" t="s">
        <v>57</v>
      </c>
      <c r="AD71" t="s">
        <v>589</v>
      </c>
      <c r="AE71" t="s">
        <v>590</v>
      </c>
      <c r="AI71">
        <v>394.94636809984269</v>
      </c>
      <c r="AJ71">
        <v>6550.6370295755733</v>
      </c>
    </row>
    <row r="72" spans="1:36" hidden="1" x14ac:dyDescent="0.25">
      <c r="A72">
        <v>71</v>
      </c>
      <c r="B72" t="s">
        <v>594</v>
      </c>
      <c r="C72" t="s">
        <v>376</v>
      </c>
      <c r="D72" t="s">
        <v>377</v>
      </c>
      <c r="E72" t="s">
        <v>37</v>
      </c>
      <c r="F72" t="s">
        <v>57</v>
      </c>
      <c r="G72" s="2">
        <v>45897</v>
      </c>
      <c r="H72">
        <v>0.9</v>
      </c>
      <c r="I72" t="s">
        <v>72</v>
      </c>
      <c r="J72" t="s">
        <v>40</v>
      </c>
      <c r="K72" t="s">
        <v>41</v>
      </c>
      <c r="L72" t="s">
        <v>378</v>
      </c>
      <c r="M72" t="s">
        <v>379</v>
      </c>
      <c r="O72" t="s">
        <v>402</v>
      </c>
      <c r="P72" t="s">
        <v>403</v>
      </c>
      <c r="Q72">
        <v>0.87329813270174117</v>
      </c>
      <c r="S72" t="s">
        <v>38</v>
      </c>
      <c r="T72" t="s">
        <v>587</v>
      </c>
      <c r="V72" t="s">
        <v>86</v>
      </c>
      <c r="X72" t="s">
        <v>588</v>
      </c>
      <c r="Y72" t="s">
        <v>451</v>
      </c>
      <c r="Z72" t="s">
        <v>421</v>
      </c>
      <c r="AA72" t="s">
        <v>119</v>
      </c>
      <c r="AB72" t="s">
        <v>453</v>
      </c>
      <c r="AC72" t="s">
        <v>57</v>
      </c>
      <c r="AD72" t="s">
        <v>589</v>
      </c>
      <c r="AE72" t="s">
        <v>590</v>
      </c>
      <c r="AI72">
        <v>276.053783632273</v>
      </c>
      <c r="AJ72">
        <v>3534.126293485006</v>
      </c>
    </row>
    <row r="73" spans="1:36" hidden="1" x14ac:dyDescent="0.25">
      <c r="A73">
        <v>72</v>
      </c>
      <c r="B73" t="s">
        <v>595</v>
      </c>
      <c r="C73" t="s">
        <v>376</v>
      </c>
      <c r="D73" t="s">
        <v>377</v>
      </c>
      <c r="E73" t="s">
        <v>37</v>
      </c>
      <c r="F73" t="s">
        <v>57</v>
      </c>
      <c r="G73" s="2">
        <v>45897</v>
      </c>
      <c r="H73">
        <v>4.4000000000000004</v>
      </c>
      <c r="I73" t="s">
        <v>72</v>
      </c>
      <c r="J73" t="s">
        <v>40</v>
      </c>
      <c r="K73" t="s">
        <v>41</v>
      </c>
      <c r="L73" t="s">
        <v>378</v>
      </c>
      <c r="M73" t="s">
        <v>379</v>
      </c>
      <c r="O73" t="s">
        <v>402</v>
      </c>
      <c r="P73" t="s">
        <v>403</v>
      </c>
      <c r="Q73">
        <v>5.2497575655420823</v>
      </c>
      <c r="S73" t="s">
        <v>38</v>
      </c>
      <c r="T73" t="s">
        <v>587</v>
      </c>
      <c r="V73" t="s">
        <v>86</v>
      </c>
      <c r="X73" t="s">
        <v>588</v>
      </c>
      <c r="Y73" t="s">
        <v>451</v>
      </c>
      <c r="Z73" t="s">
        <v>421</v>
      </c>
      <c r="AA73" t="s">
        <v>119</v>
      </c>
      <c r="AB73" t="s">
        <v>453</v>
      </c>
      <c r="AC73" t="s">
        <v>57</v>
      </c>
      <c r="AD73" t="s">
        <v>589</v>
      </c>
      <c r="AE73" t="s">
        <v>590</v>
      </c>
      <c r="AI73">
        <v>898.01809599747946</v>
      </c>
      <c r="AJ73">
        <v>21245.10010047238</v>
      </c>
    </row>
    <row r="74" spans="1:36" hidden="1" x14ac:dyDescent="0.25">
      <c r="A74">
        <v>73</v>
      </c>
      <c r="B74" t="s">
        <v>596</v>
      </c>
      <c r="C74" t="s">
        <v>376</v>
      </c>
      <c r="D74" t="s">
        <v>377</v>
      </c>
      <c r="E74" t="s">
        <v>37</v>
      </c>
      <c r="F74" t="s">
        <v>57</v>
      </c>
      <c r="G74" s="2">
        <v>45897</v>
      </c>
      <c r="H74">
        <v>1</v>
      </c>
      <c r="I74" t="s">
        <v>72</v>
      </c>
      <c r="J74" t="s">
        <v>40</v>
      </c>
      <c r="K74" t="s">
        <v>41</v>
      </c>
      <c r="L74" t="s">
        <v>378</v>
      </c>
      <c r="M74" t="s">
        <v>379</v>
      </c>
      <c r="O74" t="s">
        <v>402</v>
      </c>
      <c r="P74" t="s">
        <v>403</v>
      </c>
      <c r="Q74">
        <v>1.027937899181574</v>
      </c>
      <c r="S74" t="s">
        <v>38</v>
      </c>
      <c r="T74" t="s">
        <v>587</v>
      </c>
      <c r="V74" t="s">
        <v>86</v>
      </c>
      <c r="X74" t="s">
        <v>588</v>
      </c>
      <c r="Y74" t="s">
        <v>451</v>
      </c>
      <c r="Z74" t="s">
        <v>421</v>
      </c>
      <c r="AA74" t="s">
        <v>119</v>
      </c>
      <c r="AB74" t="s">
        <v>453</v>
      </c>
      <c r="AC74" t="s">
        <v>57</v>
      </c>
      <c r="AD74" t="s">
        <v>589</v>
      </c>
      <c r="AE74" t="s">
        <v>590</v>
      </c>
      <c r="AI74">
        <v>357.45762377496391</v>
      </c>
      <c r="AJ74">
        <v>4159.9337288495899</v>
      </c>
    </row>
    <row r="75" spans="1:36" hidden="1" x14ac:dyDescent="0.25">
      <c r="A75">
        <v>74</v>
      </c>
      <c r="B75" t="s">
        <v>597</v>
      </c>
      <c r="C75" t="s">
        <v>376</v>
      </c>
      <c r="D75" t="s">
        <v>377</v>
      </c>
      <c r="E75" t="s">
        <v>37</v>
      </c>
      <c r="F75" t="s">
        <v>57</v>
      </c>
      <c r="G75" s="2">
        <v>45897</v>
      </c>
      <c r="H75">
        <v>1.1000000000000001</v>
      </c>
      <c r="I75" t="s">
        <v>72</v>
      </c>
      <c r="J75" t="s">
        <v>40</v>
      </c>
      <c r="K75" t="s">
        <v>41</v>
      </c>
      <c r="L75" t="s">
        <v>378</v>
      </c>
      <c r="M75" t="s">
        <v>379</v>
      </c>
      <c r="O75" t="s">
        <v>402</v>
      </c>
      <c r="P75" t="s">
        <v>403</v>
      </c>
      <c r="Q75">
        <v>1.134458524341996</v>
      </c>
      <c r="S75" t="s">
        <v>38</v>
      </c>
      <c r="T75" t="s">
        <v>587</v>
      </c>
      <c r="V75" t="s">
        <v>86</v>
      </c>
      <c r="X75" t="s">
        <v>588</v>
      </c>
      <c r="Y75" t="s">
        <v>451</v>
      </c>
      <c r="Z75" t="s">
        <v>421</v>
      </c>
      <c r="AA75" t="s">
        <v>119</v>
      </c>
      <c r="AB75" t="s">
        <v>453</v>
      </c>
      <c r="AC75" t="s">
        <v>57</v>
      </c>
      <c r="AD75" t="s">
        <v>589</v>
      </c>
      <c r="AE75" t="s">
        <v>590</v>
      </c>
      <c r="AI75">
        <v>405.04761483851462</v>
      </c>
      <c r="AJ75">
        <v>4591.0091291979852</v>
      </c>
    </row>
    <row r="76" spans="1:36" hidden="1" x14ac:dyDescent="0.25">
      <c r="A76">
        <v>75</v>
      </c>
      <c r="B76" t="s">
        <v>598</v>
      </c>
      <c r="C76" t="s">
        <v>376</v>
      </c>
      <c r="D76" t="s">
        <v>377</v>
      </c>
      <c r="E76" t="s">
        <v>37</v>
      </c>
      <c r="F76" t="s">
        <v>57</v>
      </c>
      <c r="G76" s="2">
        <v>45897</v>
      </c>
      <c r="H76">
        <v>1.9</v>
      </c>
      <c r="I76" t="s">
        <v>72</v>
      </c>
      <c r="J76" t="s">
        <v>40</v>
      </c>
      <c r="K76" t="s">
        <v>41</v>
      </c>
      <c r="L76" t="s">
        <v>378</v>
      </c>
      <c r="M76" t="s">
        <v>379</v>
      </c>
      <c r="O76" t="s">
        <v>402</v>
      </c>
      <c r="P76" t="s">
        <v>403</v>
      </c>
      <c r="Q76">
        <v>1.909790818430521</v>
      </c>
      <c r="S76" t="s">
        <v>38</v>
      </c>
      <c r="T76" t="s">
        <v>587</v>
      </c>
      <c r="V76" t="s">
        <v>86</v>
      </c>
      <c r="X76" t="s">
        <v>588</v>
      </c>
      <c r="Y76" t="s">
        <v>451</v>
      </c>
      <c r="Z76" t="s">
        <v>421</v>
      </c>
      <c r="AA76" t="s">
        <v>119</v>
      </c>
      <c r="AB76" t="s">
        <v>453</v>
      </c>
      <c r="AC76" t="s">
        <v>57</v>
      </c>
      <c r="AD76" t="s">
        <v>589</v>
      </c>
      <c r="AE76" t="s">
        <v>590</v>
      </c>
      <c r="AI76">
        <v>571.28092027846401</v>
      </c>
      <c r="AJ76">
        <v>7728.6801536958064</v>
      </c>
    </row>
    <row r="77" spans="1:36" hidden="1" x14ac:dyDescent="0.25">
      <c r="A77">
        <v>76</v>
      </c>
      <c r="B77" t="s">
        <v>599</v>
      </c>
      <c r="C77" t="s">
        <v>376</v>
      </c>
      <c r="D77" t="s">
        <v>377</v>
      </c>
      <c r="E77" t="s">
        <v>37</v>
      </c>
      <c r="F77" t="s">
        <v>57</v>
      </c>
      <c r="G77" s="2">
        <v>45897</v>
      </c>
      <c r="H77">
        <v>2</v>
      </c>
      <c r="I77" t="s">
        <v>72</v>
      </c>
      <c r="J77" t="s">
        <v>40</v>
      </c>
      <c r="K77" t="s">
        <v>41</v>
      </c>
      <c r="L77" t="s">
        <v>378</v>
      </c>
      <c r="M77" t="s">
        <v>379</v>
      </c>
      <c r="O77" t="s">
        <v>402</v>
      </c>
      <c r="P77" t="s">
        <v>403</v>
      </c>
      <c r="Q77">
        <v>2.0994935057831738</v>
      </c>
      <c r="S77" t="s">
        <v>38</v>
      </c>
      <c r="T77" t="s">
        <v>587</v>
      </c>
      <c r="V77" t="s">
        <v>86</v>
      </c>
      <c r="X77" t="s">
        <v>588</v>
      </c>
      <c r="Y77" t="s">
        <v>451</v>
      </c>
      <c r="Z77" t="s">
        <v>421</v>
      </c>
      <c r="AA77" t="s">
        <v>119</v>
      </c>
      <c r="AB77" t="s">
        <v>453</v>
      </c>
      <c r="AC77" t="s">
        <v>57</v>
      </c>
      <c r="AD77" t="s">
        <v>589</v>
      </c>
      <c r="AE77" t="s">
        <v>590</v>
      </c>
      <c r="AI77">
        <v>518.612949237576</v>
      </c>
      <c r="AJ77">
        <v>8496.3827631627973</v>
      </c>
    </row>
    <row r="78" spans="1:36" hidden="1" x14ac:dyDescent="0.25">
      <c r="A78">
        <v>77</v>
      </c>
      <c r="B78" t="s">
        <v>600</v>
      </c>
      <c r="C78" t="s">
        <v>376</v>
      </c>
      <c r="D78" t="s">
        <v>377</v>
      </c>
      <c r="E78" t="s">
        <v>37</v>
      </c>
      <c r="F78" t="s">
        <v>57</v>
      </c>
      <c r="G78" s="2">
        <v>45897</v>
      </c>
      <c r="H78">
        <v>2.6</v>
      </c>
      <c r="I78" t="s">
        <v>72</v>
      </c>
      <c r="J78" t="s">
        <v>40</v>
      </c>
      <c r="K78" t="s">
        <v>41</v>
      </c>
      <c r="L78" t="s">
        <v>378</v>
      </c>
      <c r="M78" t="s">
        <v>379</v>
      </c>
      <c r="O78" t="s">
        <v>402</v>
      </c>
      <c r="P78" t="s">
        <v>403</v>
      </c>
      <c r="Q78">
        <v>2.619726160304912</v>
      </c>
      <c r="S78" t="s">
        <v>38</v>
      </c>
      <c r="T78" t="s">
        <v>587</v>
      </c>
      <c r="V78" t="s">
        <v>86</v>
      </c>
      <c r="X78" t="s">
        <v>588</v>
      </c>
      <c r="Y78" t="s">
        <v>451</v>
      </c>
      <c r="Z78" t="s">
        <v>421</v>
      </c>
      <c r="AA78" t="s">
        <v>119</v>
      </c>
      <c r="AB78" t="s">
        <v>453</v>
      </c>
      <c r="AC78" t="s">
        <v>57</v>
      </c>
      <c r="AD78" t="s">
        <v>589</v>
      </c>
      <c r="AE78" t="s">
        <v>590</v>
      </c>
      <c r="AI78">
        <v>422.82221230418361</v>
      </c>
      <c r="AJ78">
        <v>10601.69804350899</v>
      </c>
    </row>
    <row r="79" spans="1:36" hidden="1" x14ac:dyDescent="0.25">
      <c r="A79">
        <v>78</v>
      </c>
      <c r="B79" t="s">
        <v>601</v>
      </c>
      <c r="C79" t="s">
        <v>376</v>
      </c>
      <c r="D79" t="s">
        <v>377</v>
      </c>
      <c r="E79" t="s">
        <v>37</v>
      </c>
      <c r="F79" t="s">
        <v>57</v>
      </c>
      <c r="G79" s="2">
        <v>45897</v>
      </c>
      <c r="H79">
        <v>4</v>
      </c>
      <c r="I79" t="s">
        <v>72</v>
      </c>
      <c r="J79" t="s">
        <v>40</v>
      </c>
      <c r="K79" t="s">
        <v>41</v>
      </c>
      <c r="L79" t="s">
        <v>378</v>
      </c>
      <c r="M79" t="s">
        <v>379</v>
      </c>
      <c r="O79" t="s">
        <v>402</v>
      </c>
      <c r="P79" t="s">
        <v>403</v>
      </c>
      <c r="Q79">
        <v>5.0224420235408216</v>
      </c>
      <c r="S79" t="s">
        <v>38</v>
      </c>
      <c r="T79" t="s">
        <v>587</v>
      </c>
      <c r="V79" t="s">
        <v>86</v>
      </c>
      <c r="X79" t="s">
        <v>602</v>
      </c>
      <c r="Y79" t="s">
        <v>451</v>
      </c>
      <c r="Z79" t="s">
        <v>421</v>
      </c>
      <c r="AA79" t="s">
        <v>603</v>
      </c>
      <c r="AB79" t="s">
        <v>453</v>
      </c>
      <c r="AC79" t="s">
        <v>57</v>
      </c>
      <c r="AD79" t="s">
        <v>589</v>
      </c>
      <c r="AE79" t="s">
        <v>590</v>
      </c>
      <c r="AI79">
        <v>780.16606999578187</v>
      </c>
      <c r="AJ79">
        <v>20325.183059748761</v>
      </c>
    </row>
    <row r="80" spans="1:36" hidden="1" x14ac:dyDescent="0.25">
      <c r="A80">
        <v>79</v>
      </c>
      <c r="B80" t="s">
        <v>604</v>
      </c>
      <c r="C80" t="s">
        <v>376</v>
      </c>
      <c r="D80" t="s">
        <v>377</v>
      </c>
      <c r="E80" t="s">
        <v>37</v>
      </c>
      <c r="F80" t="s">
        <v>57</v>
      </c>
      <c r="G80" s="2">
        <v>45897</v>
      </c>
      <c r="H80">
        <v>1.4</v>
      </c>
      <c r="I80" t="s">
        <v>72</v>
      </c>
      <c r="J80" t="s">
        <v>40</v>
      </c>
      <c r="K80" t="s">
        <v>41</v>
      </c>
      <c r="L80" t="s">
        <v>378</v>
      </c>
      <c r="M80" t="s">
        <v>379</v>
      </c>
      <c r="O80" t="s">
        <v>402</v>
      </c>
      <c r="P80" t="s">
        <v>403</v>
      </c>
      <c r="Q80">
        <v>1.70900641463767</v>
      </c>
      <c r="S80" t="s">
        <v>38</v>
      </c>
      <c r="T80" t="s">
        <v>587</v>
      </c>
      <c r="V80" t="s">
        <v>86</v>
      </c>
      <c r="X80" t="s">
        <v>602</v>
      </c>
      <c r="Y80" t="s">
        <v>451</v>
      </c>
      <c r="Z80" t="s">
        <v>421</v>
      </c>
      <c r="AA80" t="s">
        <v>603</v>
      </c>
      <c r="AB80" t="s">
        <v>453</v>
      </c>
      <c r="AC80" t="s">
        <v>57</v>
      </c>
      <c r="AD80" t="s">
        <v>589</v>
      </c>
      <c r="AE80" t="s">
        <v>590</v>
      </c>
      <c r="AI80">
        <v>494.7655507947851</v>
      </c>
      <c r="AJ80">
        <v>6916.131249496586</v>
      </c>
    </row>
    <row r="81" spans="1:36" hidden="1" x14ac:dyDescent="0.25">
      <c r="A81">
        <v>80</v>
      </c>
      <c r="B81" t="s">
        <v>605</v>
      </c>
      <c r="C81" t="s">
        <v>376</v>
      </c>
      <c r="D81" t="s">
        <v>377</v>
      </c>
      <c r="E81" t="s">
        <v>37</v>
      </c>
      <c r="F81" t="s">
        <v>57</v>
      </c>
      <c r="G81" s="2">
        <v>45897</v>
      </c>
      <c r="H81">
        <v>0.1</v>
      </c>
      <c r="I81" t="s">
        <v>72</v>
      </c>
      <c r="J81" t="s">
        <v>40</v>
      </c>
      <c r="K81" t="s">
        <v>41</v>
      </c>
      <c r="L81" t="s">
        <v>378</v>
      </c>
      <c r="M81" t="s">
        <v>379</v>
      </c>
      <c r="O81" t="s">
        <v>402</v>
      </c>
      <c r="P81" t="s">
        <v>403</v>
      </c>
      <c r="Q81">
        <v>4.9218957983557618E-2</v>
      </c>
      <c r="S81" t="s">
        <v>38</v>
      </c>
      <c r="T81" t="s">
        <v>587</v>
      </c>
      <c r="V81" t="s">
        <v>86</v>
      </c>
      <c r="X81" t="s">
        <v>602</v>
      </c>
      <c r="Y81" t="s">
        <v>451</v>
      </c>
      <c r="Z81" t="s">
        <v>421</v>
      </c>
      <c r="AA81" t="s">
        <v>606</v>
      </c>
      <c r="AB81" t="s">
        <v>453</v>
      </c>
      <c r="AC81" t="s">
        <v>57</v>
      </c>
      <c r="AD81" t="s">
        <v>589</v>
      </c>
      <c r="AE81" t="s">
        <v>590</v>
      </c>
      <c r="AI81">
        <v>56.635824229676373</v>
      </c>
      <c r="AJ81">
        <v>199.18285295021099</v>
      </c>
    </row>
    <row r="82" spans="1:36" hidden="1" x14ac:dyDescent="0.25">
      <c r="A82">
        <v>81</v>
      </c>
      <c r="B82" t="s">
        <v>607</v>
      </c>
      <c r="C82" t="s">
        <v>376</v>
      </c>
      <c r="D82" t="s">
        <v>377</v>
      </c>
      <c r="E82" t="s">
        <v>37</v>
      </c>
      <c r="F82" t="s">
        <v>57</v>
      </c>
      <c r="G82" s="2">
        <v>45897</v>
      </c>
      <c r="H82">
        <v>1.2</v>
      </c>
      <c r="I82" t="s">
        <v>72</v>
      </c>
      <c r="J82" t="s">
        <v>40</v>
      </c>
      <c r="K82" t="s">
        <v>41</v>
      </c>
      <c r="L82" t="s">
        <v>378</v>
      </c>
      <c r="M82" t="s">
        <v>379</v>
      </c>
      <c r="O82" t="s">
        <v>402</v>
      </c>
      <c r="P82" t="s">
        <v>403</v>
      </c>
      <c r="Q82">
        <v>1.455092872971965</v>
      </c>
      <c r="S82" t="s">
        <v>38</v>
      </c>
      <c r="T82" t="s">
        <v>587</v>
      </c>
      <c r="V82" t="s">
        <v>86</v>
      </c>
      <c r="X82" t="s">
        <v>602</v>
      </c>
      <c r="Y82" t="s">
        <v>451</v>
      </c>
      <c r="Z82" t="s">
        <v>421</v>
      </c>
      <c r="AA82" t="s">
        <v>606</v>
      </c>
      <c r="AB82" t="s">
        <v>453</v>
      </c>
      <c r="AC82" t="s">
        <v>57</v>
      </c>
      <c r="AD82" t="s">
        <v>589</v>
      </c>
      <c r="AE82" t="s">
        <v>590</v>
      </c>
      <c r="AI82">
        <v>464.1469430194702</v>
      </c>
      <c r="AJ82">
        <v>5888.5754924534804</v>
      </c>
    </row>
    <row r="83" spans="1:36" hidden="1" x14ac:dyDescent="0.25">
      <c r="A83">
        <v>82</v>
      </c>
      <c r="B83" t="s">
        <v>608</v>
      </c>
      <c r="C83" t="s">
        <v>376</v>
      </c>
      <c r="D83" t="s">
        <v>377</v>
      </c>
      <c r="E83" t="s">
        <v>37</v>
      </c>
      <c r="F83" t="s">
        <v>57</v>
      </c>
      <c r="G83" s="2">
        <v>45897</v>
      </c>
      <c r="H83">
        <v>0</v>
      </c>
      <c r="I83" t="s">
        <v>72</v>
      </c>
      <c r="J83" t="s">
        <v>40</v>
      </c>
      <c r="K83" t="s">
        <v>41</v>
      </c>
      <c r="L83" t="s">
        <v>378</v>
      </c>
      <c r="M83" t="s">
        <v>379</v>
      </c>
      <c r="O83" t="s">
        <v>402</v>
      </c>
      <c r="P83" t="s">
        <v>403</v>
      </c>
      <c r="Q83">
        <v>1.00729319803662</v>
      </c>
      <c r="S83" t="s">
        <v>38</v>
      </c>
      <c r="T83" t="s">
        <v>609</v>
      </c>
      <c r="V83" t="s">
        <v>86</v>
      </c>
      <c r="X83" t="s">
        <v>495</v>
      </c>
      <c r="Y83" t="s">
        <v>451</v>
      </c>
      <c r="Z83" t="s">
        <v>421</v>
      </c>
      <c r="AA83" t="s">
        <v>606</v>
      </c>
      <c r="AB83" t="s">
        <v>453</v>
      </c>
      <c r="AD83" t="s">
        <v>57</v>
      </c>
      <c r="AI83">
        <v>257.99905462910363</v>
      </c>
      <c r="AJ83">
        <v>4076.3872532470368</v>
      </c>
    </row>
    <row r="84" spans="1:36" hidden="1" x14ac:dyDescent="0.25">
      <c r="A84">
        <v>83</v>
      </c>
      <c r="B84" t="s">
        <v>610</v>
      </c>
      <c r="C84" t="s">
        <v>376</v>
      </c>
      <c r="D84" t="s">
        <v>377</v>
      </c>
      <c r="E84" t="s">
        <v>37</v>
      </c>
      <c r="F84" t="s">
        <v>57</v>
      </c>
      <c r="G84" s="2">
        <v>45897</v>
      </c>
      <c r="H84">
        <v>6.2</v>
      </c>
      <c r="I84" t="s">
        <v>72</v>
      </c>
      <c r="J84" t="s">
        <v>40</v>
      </c>
      <c r="K84" t="s">
        <v>41</v>
      </c>
      <c r="L84" t="s">
        <v>378</v>
      </c>
      <c r="M84" t="s">
        <v>379</v>
      </c>
      <c r="O84" t="s">
        <v>402</v>
      </c>
      <c r="P84" t="s">
        <v>403</v>
      </c>
      <c r="Q84">
        <v>7.5243309196793744</v>
      </c>
      <c r="S84" t="s">
        <v>38</v>
      </c>
      <c r="T84" t="s">
        <v>587</v>
      </c>
      <c r="V84" t="s">
        <v>86</v>
      </c>
      <c r="X84" t="s">
        <v>602</v>
      </c>
      <c r="Y84" t="s">
        <v>451</v>
      </c>
      <c r="Z84" t="s">
        <v>421</v>
      </c>
      <c r="AA84" t="s">
        <v>606</v>
      </c>
      <c r="AB84" t="s">
        <v>453</v>
      </c>
      <c r="AC84" t="s">
        <v>57</v>
      </c>
      <c r="AD84" t="s">
        <v>589</v>
      </c>
      <c r="AE84" t="s">
        <v>590</v>
      </c>
      <c r="AI84">
        <v>1274.4599281864701</v>
      </c>
      <c r="AJ84">
        <v>30450.008706480399</v>
      </c>
    </row>
    <row r="85" spans="1:36" hidden="1" x14ac:dyDescent="0.25">
      <c r="A85">
        <v>84</v>
      </c>
      <c r="B85" t="s">
        <v>611</v>
      </c>
      <c r="C85" t="s">
        <v>376</v>
      </c>
      <c r="D85" t="s">
        <v>377</v>
      </c>
      <c r="E85" t="s">
        <v>37</v>
      </c>
      <c r="F85" t="s">
        <v>57</v>
      </c>
      <c r="G85" s="2">
        <v>45897</v>
      </c>
      <c r="H85">
        <v>0.35</v>
      </c>
      <c r="I85" t="s">
        <v>72</v>
      </c>
      <c r="J85" t="s">
        <v>40</v>
      </c>
      <c r="K85" t="s">
        <v>41</v>
      </c>
      <c r="L85" t="s">
        <v>378</v>
      </c>
      <c r="M85" t="s">
        <v>379</v>
      </c>
      <c r="O85" t="s">
        <v>402</v>
      </c>
      <c r="P85" t="s">
        <v>403</v>
      </c>
      <c r="Q85">
        <v>0.3412579721944245</v>
      </c>
      <c r="S85" t="s">
        <v>38</v>
      </c>
      <c r="T85" t="s">
        <v>587</v>
      </c>
      <c r="V85" t="s">
        <v>86</v>
      </c>
      <c r="X85" t="s">
        <v>602</v>
      </c>
      <c r="Y85" t="s">
        <v>451</v>
      </c>
      <c r="Z85" t="s">
        <v>421</v>
      </c>
      <c r="AA85" t="s">
        <v>606</v>
      </c>
      <c r="AB85" t="s">
        <v>453</v>
      </c>
      <c r="AC85" t="s">
        <v>57</v>
      </c>
      <c r="AD85" t="s">
        <v>589</v>
      </c>
      <c r="AE85" t="s">
        <v>590</v>
      </c>
      <c r="AI85">
        <v>162.26236424374059</v>
      </c>
      <c r="AJ85">
        <v>1381.027540574845</v>
      </c>
    </row>
    <row r="86" spans="1:36" hidden="1" x14ac:dyDescent="0.25">
      <c r="A86">
        <v>85</v>
      </c>
      <c r="B86" t="s">
        <v>612</v>
      </c>
      <c r="C86" t="s">
        <v>376</v>
      </c>
      <c r="D86" t="s">
        <v>377</v>
      </c>
      <c r="E86" t="s">
        <v>37</v>
      </c>
      <c r="F86" t="s">
        <v>57</v>
      </c>
      <c r="G86" s="2">
        <v>45897</v>
      </c>
      <c r="H86">
        <v>1.2</v>
      </c>
      <c r="I86" t="s">
        <v>72</v>
      </c>
      <c r="J86" t="s">
        <v>40</v>
      </c>
      <c r="K86" t="s">
        <v>41</v>
      </c>
      <c r="L86" t="s">
        <v>378</v>
      </c>
      <c r="M86" t="s">
        <v>379</v>
      </c>
      <c r="O86" t="s">
        <v>402</v>
      </c>
      <c r="P86" t="s">
        <v>403</v>
      </c>
      <c r="Q86">
        <v>1.1657391613453409</v>
      </c>
      <c r="S86" t="s">
        <v>38</v>
      </c>
      <c r="T86" t="s">
        <v>587</v>
      </c>
      <c r="V86" t="s">
        <v>86</v>
      </c>
      <c r="X86" t="s">
        <v>602</v>
      </c>
      <c r="Y86" t="s">
        <v>451</v>
      </c>
      <c r="Z86" t="s">
        <v>421</v>
      </c>
      <c r="AA86" t="s">
        <v>606</v>
      </c>
      <c r="AB86" t="s">
        <v>453</v>
      </c>
      <c r="AC86" t="s">
        <v>57</v>
      </c>
      <c r="AD86" t="s">
        <v>589</v>
      </c>
      <c r="AE86" t="s">
        <v>590</v>
      </c>
      <c r="AI86">
        <v>416.41001810065279</v>
      </c>
      <c r="AJ86">
        <v>4717.5978823062414</v>
      </c>
    </row>
    <row r="87" spans="1:36" hidden="1" x14ac:dyDescent="0.25">
      <c r="A87">
        <v>86</v>
      </c>
      <c r="B87" t="s">
        <v>613</v>
      </c>
      <c r="C87" t="s">
        <v>376</v>
      </c>
      <c r="D87" t="s">
        <v>377</v>
      </c>
      <c r="E87" t="s">
        <v>37</v>
      </c>
      <c r="F87" t="s">
        <v>57</v>
      </c>
      <c r="G87" s="2">
        <v>45897</v>
      </c>
      <c r="H87">
        <v>3.6</v>
      </c>
      <c r="I87" t="s">
        <v>72</v>
      </c>
      <c r="J87" t="s">
        <v>40</v>
      </c>
      <c r="K87" t="s">
        <v>41</v>
      </c>
      <c r="L87" t="s">
        <v>378</v>
      </c>
      <c r="M87" t="s">
        <v>379</v>
      </c>
      <c r="O87" t="s">
        <v>402</v>
      </c>
      <c r="P87" t="s">
        <v>403</v>
      </c>
      <c r="Q87">
        <v>3.3277165638912241</v>
      </c>
      <c r="S87" t="s">
        <v>38</v>
      </c>
      <c r="T87" t="s">
        <v>587</v>
      </c>
      <c r="V87" t="s">
        <v>86</v>
      </c>
      <c r="X87" t="s">
        <v>602</v>
      </c>
      <c r="Y87" t="s">
        <v>451</v>
      </c>
      <c r="Z87" t="s">
        <v>421</v>
      </c>
      <c r="AA87" t="s">
        <v>606</v>
      </c>
      <c r="AB87" t="s">
        <v>453</v>
      </c>
      <c r="AC87" t="s">
        <v>57</v>
      </c>
      <c r="AD87" t="s">
        <v>589</v>
      </c>
      <c r="AE87" t="s">
        <v>590</v>
      </c>
      <c r="AI87">
        <v>630.5695379842731</v>
      </c>
      <c r="AJ87">
        <v>13466.84501583625</v>
      </c>
    </row>
    <row r="88" spans="1:36" hidden="1" x14ac:dyDescent="0.25">
      <c r="A88">
        <v>87</v>
      </c>
      <c r="B88" t="s">
        <v>614</v>
      </c>
      <c r="C88" t="s">
        <v>376</v>
      </c>
      <c r="D88" t="s">
        <v>377</v>
      </c>
      <c r="E88" t="s">
        <v>37</v>
      </c>
      <c r="F88" t="s">
        <v>57</v>
      </c>
      <c r="G88" s="2">
        <v>45897</v>
      </c>
      <c r="H88">
        <v>6.25E-2</v>
      </c>
      <c r="I88" t="s">
        <v>72</v>
      </c>
      <c r="J88" t="s">
        <v>40</v>
      </c>
      <c r="K88" t="s">
        <v>41</v>
      </c>
      <c r="L88" t="s">
        <v>378</v>
      </c>
      <c r="M88" t="s">
        <v>379</v>
      </c>
      <c r="O88" t="s">
        <v>99</v>
      </c>
      <c r="P88" t="s">
        <v>100</v>
      </c>
      <c r="Q88">
        <v>4.7845481683415653E-2</v>
      </c>
      <c r="R88" t="s">
        <v>60</v>
      </c>
      <c r="S88" t="s">
        <v>66</v>
      </c>
      <c r="T88" t="s">
        <v>615</v>
      </c>
      <c r="V88" t="s">
        <v>616</v>
      </c>
      <c r="X88" t="s">
        <v>617</v>
      </c>
      <c r="Y88" t="s">
        <v>412</v>
      </c>
      <c r="Z88" t="s">
        <v>413</v>
      </c>
      <c r="AA88" t="s">
        <v>618</v>
      </c>
      <c r="AB88" t="s">
        <v>41</v>
      </c>
      <c r="AC88" t="s">
        <v>619</v>
      </c>
      <c r="AD88" t="s">
        <v>620</v>
      </c>
      <c r="AE88" t="s">
        <v>414</v>
      </c>
      <c r="AI88">
        <v>59.702872857484991</v>
      </c>
      <c r="AJ88">
        <v>193.624569330855</v>
      </c>
    </row>
    <row r="89" spans="1:36" hidden="1" x14ac:dyDescent="0.25">
      <c r="A89">
        <v>88</v>
      </c>
      <c r="B89" t="s">
        <v>621</v>
      </c>
      <c r="C89" t="s">
        <v>376</v>
      </c>
      <c r="D89" t="s">
        <v>377</v>
      </c>
      <c r="E89" t="s">
        <v>37</v>
      </c>
      <c r="F89" t="s">
        <v>57</v>
      </c>
      <c r="G89" s="2">
        <v>45897</v>
      </c>
      <c r="H89">
        <v>6.25E-2</v>
      </c>
      <c r="I89" t="s">
        <v>72</v>
      </c>
      <c r="J89" t="s">
        <v>40</v>
      </c>
      <c r="K89" t="s">
        <v>41</v>
      </c>
      <c r="L89" t="s">
        <v>378</v>
      </c>
      <c r="M89" t="s">
        <v>379</v>
      </c>
      <c r="O89" t="s">
        <v>99</v>
      </c>
      <c r="P89" t="s">
        <v>100</v>
      </c>
      <c r="Q89">
        <v>0.12520212107576789</v>
      </c>
      <c r="R89" t="s">
        <v>60</v>
      </c>
      <c r="S89" t="s">
        <v>66</v>
      </c>
      <c r="T89" t="s">
        <v>622</v>
      </c>
      <c r="V89" t="s">
        <v>616</v>
      </c>
      <c r="X89" t="s">
        <v>617</v>
      </c>
      <c r="Y89" t="s">
        <v>412</v>
      </c>
      <c r="Z89" t="s">
        <v>413</v>
      </c>
      <c r="AA89" t="s">
        <v>618</v>
      </c>
      <c r="AB89" t="s">
        <v>41</v>
      </c>
      <c r="AC89" t="s">
        <v>619</v>
      </c>
      <c r="AD89" t="s">
        <v>620</v>
      </c>
      <c r="AE89" t="s">
        <v>414</v>
      </c>
      <c r="AI89">
        <v>137.15606828832409</v>
      </c>
      <c r="AJ89">
        <v>506.67703447968478</v>
      </c>
    </row>
    <row r="90" spans="1:36" hidden="1" x14ac:dyDescent="0.25">
      <c r="A90">
        <v>89</v>
      </c>
      <c r="B90" t="s">
        <v>623</v>
      </c>
      <c r="C90" t="s">
        <v>376</v>
      </c>
      <c r="D90" t="s">
        <v>377</v>
      </c>
      <c r="E90" t="s">
        <v>37</v>
      </c>
      <c r="F90" t="s">
        <v>57</v>
      </c>
      <c r="G90" s="2">
        <v>45897</v>
      </c>
      <c r="H90">
        <v>0.95199999999999996</v>
      </c>
      <c r="I90" t="s">
        <v>72</v>
      </c>
      <c r="J90" t="s">
        <v>40</v>
      </c>
      <c r="K90" t="s">
        <v>41</v>
      </c>
      <c r="L90" t="s">
        <v>378</v>
      </c>
      <c r="M90" t="s">
        <v>379</v>
      </c>
      <c r="O90" t="s">
        <v>624</v>
      </c>
      <c r="P90" t="s">
        <v>625</v>
      </c>
      <c r="Q90">
        <v>0.9604563546628645</v>
      </c>
      <c r="S90" t="s">
        <v>38</v>
      </c>
      <c r="T90" t="s">
        <v>626</v>
      </c>
      <c r="V90" t="s">
        <v>627</v>
      </c>
      <c r="X90" t="s">
        <v>628</v>
      </c>
      <c r="Y90" t="s">
        <v>440</v>
      </c>
      <c r="Z90" t="s">
        <v>421</v>
      </c>
      <c r="AA90" t="s">
        <v>629</v>
      </c>
      <c r="AB90" t="s">
        <v>41</v>
      </c>
      <c r="AC90" t="s">
        <v>630</v>
      </c>
      <c r="AD90" t="s">
        <v>476</v>
      </c>
      <c r="AI90">
        <v>329.70150671838388</v>
      </c>
      <c r="AJ90">
        <v>3886.844514664816</v>
      </c>
    </row>
    <row r="91" spans="1:36" hidden="1" x14ac:dyDescent="0.25">
      <c r="A91">
        <v>90</v>
      </c>
      <c r="B91" t="s">
        <v>631</v>
      </c>
      <c r="C91" t="s">
        <v>376</v>
      </c>
      <c r="D91" t="s">
        <v>377</v>
      </c>
      <c r="E91" t="s">
        <v>37</v>
      </c>
      <c r="F91" t="s">
        <v>57</v>
      </c>
      <c r="G91" s="2">
        <v>45897</v>
      </c>
      <c r="H91">
        <v>1.1379999999999999</v>
      </c>
      <c r="I91" t="s">
        <v>72</v>
      </c>
      <c r="J91" t="s">
        <v>40</v>
      </c>
      <c r="K91" t="s">
        <v>41</v>
      </c>
      <c r="L91" t="s">
        <v>378</v>
      </c>
      <c r="M91" t="s">
        <v>379</v>
      </c>
      <c r="O91" t="s">
        <v>624</v>
      </c>
      <c r="P91" t="s">
        <v>625</v>
      </c>
      <c r="Q91">
        <v>1.0306184417336539</v>
      </c>
      <c r="S91" t="s">
        <v>38</v>
      </c>
      <c r="T91" t="s">
        <v>632</v>
      </c>
      <c r="V91" t="s">
        <v>627</v>
      </c>
      <c r="X91" t="s">
        <v>628</v>
      </c>
      <c r="Y91" t="s">
        <v>440</v>
      </c>
      <c r="Z91" t="s">
        <v>421</v>
      </c>
      <c r="AA91" t="s">
        <v>629</v>
      </c>
      <c r="AB91" t="s">
        <v>41</v>
      </c>
      <c r="AC91" t="s">
        <v>630</v>
      </c>
      <c r="AD91" t="s">
        <v>476</v>
      </c>
      <c r="AI91">
        <v>579.70554362070948</v>
      </c>
      <c r="AJ91">
        <v>4170.781543083207</v>
      </c>
    </row>
    <row r="92" spans="1:36" hidden="1" x14ac:dyDescent="0.25">
      <c r="A92">
        <v>91</v>
      </c>
      <c r="B92" t="s">
        <v>633</v>
      </c>
      <c r="C92" t="s">
        <v>376</v>
      </c>
      <c r="D92" t="s">
        <v>377</v>
      </c>
      <c r="E92" t="s">
        <v>37</v>
      </c>
      <c r="F92" t="s">
        <v>57</v>
      </c>
      <c r="G92" s="2">
        <v>45897</v>
      </c>
      <c r="H92">
        <v>0.86399999999999999</v>
      </c>
      <c r="I92" t="s">
        <v>72</v>
      </c>
      <c r="J92" t="s">
        <v>40</v>
      </c>
      <c r="K92" t="s">
        <v>41</v>
      </c>
      <c r="L92" t="s">
        <v>378</v>
      </c>
      <c r="M92" t="s">
        <v>379</v>
      </c>
      <c r="O92" t="s">
        <v>624</v>
      </c>
      <c r="P92" t="s">
        <v>625</v>
      </c>
      <c r="Q92">
        <v>0.80417629695921677</v>
      </c>
      <c r="S92" t="s">
        <v>38</v>
      </c>
      <c r="T92" t="s">
        <v>634</v>
      </c>
      <c r="V92" t="s">
        <v>627</v>
      </c>
      <c r="X92" t="s">
        <v>628</v>
      </c>
      <c r="Y92" t="s">
        <v>440</v>
      </c>
      <c r="Z92" t="s">
        <v>421</v>
      </c>
      <c r="AA92" t="s">
        <v>635</v>
      </c>
      <c r="AB92" t="s">
        <v>41</v>
      </c>
      <c r="AC92" t="s">
        <v>630</v>
      </c>
      <c r="AD92" t="s">
        <v>476</v>
      </c>
      <c r="AI92">
        <v>494.56103665338691</v>
      </c>
      <c r="AJ92">
        <v>3254.3990296743568</v>
      </c>
    </row>
    <row r="93" spans="1:36" hidden="1" x14ac:dyDescent="0.25">
      <c r="A93">
        <v>92</v>
      </c>
      <c r="B93" t="s">
        <v>636</v>
      </c>
      <c r="C93" t="s">
        <v>376</v>
      </c>
      <c r="D93" t="s">
        <v>377</v>
      </c>
      <c r="E93" t="s">
        <v>37</v>
      </c>
      <c r="F93" t="s">
        <v>57</v>
      </c>
      <c r="G93" s="2">
        <v>45897</v>
      </c>
      <c r="H93">
        <v>0.125</v>
      </c>
      <c r="I93" t="s">
        <v>72</v>
      </c>
      <c r="J93" t="s">
        <v>40</v>
      </c>
      <c r="K93" t="s">
        <v>41</v>
      </c>
      <c r="L93" t="s">
        <v>378</v>
      </c>
      <c r="M93" t="s">
        <v>379</v>
      </c>
      <c r="O93" t="s">
        <v>408</v>
      </c>
      <c r="P93" t="s">
        <v>409</v>
      </c>
      <c r="Q93">
        <v>0.126922999589963</v>
      </c>
      <c r="R93" t="s">
        <v>60</v>
      </c>
      <c r="S93" t="s">
        <v>66</v>
      </c>
      <c r="T93" t="s">
        <v>637</v>
      </c>
      <c r="V93" t="s">
        <v>410</v>
      </c>
      <c r="X93" t="s">
        <v>638</v>
      </c>
      <c r="Y93" t="s">
        <v>412</v>
      </c>
      <c r="Z93" t="s">
        <v>413</v>
      </c>
      <c r="AA93" t="s">
        <v>76</v>
      </c>
      <c r="AB93" t="s">
        <v>41</v>
      </c>
      <c r="AC93" t="s">
        <v>639</v>
      </c>
      <c r="AD93" t="s">
        <v>620</v>
      </c>
      <c r="AE93" t="s">
        <v>414</v>
      </c>
      <c r="AI93">
        <v>89.969367161546657</v>
      </c>
      <c r="AJ93">
        <v>513.64121060370212</v>
      </c>
    </row>
    <row r="94" spans="1:36" hidden="1" x14ac:dyDescent="0.25">
      <c r="A94">
        <v>93</v>
      </c>
      <c r="B94" t="s">
        <v>640</v>
      </c>
      <c r="C94" t="s">
        <v>376</v>
      </c>
      <c r="D94" t="s">
        <v>377</v>
      </c>
      <c r="E94" t="s">
        <v>37</v>
      </c>
      <c r="F94" t="s">
        <v>57</v>
      </c>
      <c r="G94" s="2">
        <v>45897</v>
      </c>
      <c r="H94">
        <v>0.2</v>
      </c>
      <c r="I94" t="s">
        <v>72</v>
      </c>
      <c r="J94" t="s">
        <v>40</v>
      </c>
      <c r="K94" t="s">
        <v>41</v>
      </c>
      <c r="L94" t="s">
        <v>378</v>
      </c>
      <c r="M94" t="s">
        <v>379</v>
      </c>
      <c r="O94" t="s">
        <v>62</v>
      </c>
      <c r="P94" t="s">
        <v>63</v>
      </c>
      <c r="Q94">
        <v>6.558342751652263E-2</v>
      </c>
      <c r="R94" t="s">
        <v>64</v>
      </c>
      <c r="S94" t="s">
        <v>65</v>
      </c>
      <c r="T94" t="s">
        <v>641</v>
      </c>
      <c r="V94" t="s">
        <v>73</v>
      </c>
      <c r="W94" t="s">
        <v>38</v>
      </c>
      <c r="X94" t="s">
        <v>642</v>
      </c>
      <c r="Y94" t="s">
        <v>420</v>
      </c>
      <c r="Z94" t="s">
        <v>421</v>
      </c>
      <c r="AA94" t="s">
        <v>124</v>
      </c>
      <c r="AB94" t="s">
        <v>41</v>
      </c>
      <c r="AC94" t="s">
        <v>643</v>
      </c>
      <c r="AD94" t="s">
        <v>422</v>
      </c>
      <c r="AE94" t="s">
        <v>423</v>
      </c>
      <c r="AI94">
        <v>83.051530158832207</v>
      </c>
      <c r="AJ94">
        <v>265.40777647828878</v>
      </c>
    </row>
    <row r="95" spans="1:36" hidden="1" x14ac:dyDescent="0.25">
      <c r="A95">
        <v>94</v>
      </c>
      <c r="B95" t="s">
        <v>644</v>
      </c>
      <c r="C95" t="s">
        <v>376</v>
      </c>
      <c r="D95" t="s">
        <v>377</v>
      </c>
      <c r="E95" t="s">
        <v>37</v>
      </c>
      <c r="F95" t="s">
        <v>57</v>
      </c>
      <c r="G95" s="2">
        <v>45897</v>
      </c>
      <c r="H95">
        <v>0.2</v>
      </c>
      <c r="I95" t="s">
        <v>72</v>
      </c>
      <c r="J95" t="s">
        <v>40</v>
      </c>
      <c r="K95" t="s">
        <v>41</v>
      </c>
      <c r="L95" t="s">
        <v>378</v>
      </c>
      <c r="M95" t="s">
        <v>379</v>
      </c>
      <c r="O95" t="s">
        <v>62</v>
      </c>
      <c r="P95" t="s">
        <v>63</v>
      </c>
      <c r="Q95">
        <v>6.606944007014319E-2</v>
      </c>
      <c r="R95" t="s">
        <v>64</v>
      </c>
      <c r="S95" t="s">
        <v>65</v>
      </c>
      <c r="T95" t="s">
        <v>645</v>
      </c>
      <c r="V95" t="s">
        <v>73</v>
      </c>
      <c r="W95" t="s">
        <v>38</v>
      </c>
      <c r="X95" t="s">
        <v>642</v>
      </c>
      <c r="Y95" t="s">
        <v>420</v>
      </c>
      <c r="Z95" t="s">
        <v>421</v>
      </c>
      <c r="AA95" t="s">
        <v>124</v>
      </c>
      <c r="AB95" t="s">
        <v>41</v>
      </c>
      <c r="AC95" t="s">
        <v>643</v>
      </c>
      <c r="AD95" t="s">
        <v>422</v>
      </c>
      <c r="AE95" t="s">
        <v>423</v>
      </c>
      <c r="AI95">
        <v>76.529169989065139</v>
      </c>
      <c r="AJ95">
        <v>267.37460736959082</v>
      </c>
    </row>
    <row r="96" spans="1:36" hidden="1" x14ac:dyDescent="0.25">
      <c r="A96">
        <v>95</v>
      </c>
      <c r="B96" t="s">
        <v>646</v>
      </c>
      <c r="C96" t="s">
        <v>376</v>
      </c>
      <c r="D96" t="s">
        <v>377</v>
      </c>
      <c r="E96" t="s">
        <v>37</v>
      </c>
      <c r="F96" t="s">
        <v>57</v>
      </c>
      <c r="G96" s="2">
        <v>45897</v>
      </c>
      <c r="H96">
        <v>0.2</v>
      </c>
      <c r="I96" t="s">
        <v>72</v>
      </c>
      <c r="J96" t="s">
        <v>40</v>
      </c>
      <c r="K96" t="s">
        <v>41</v>
      </c>
      <c r="L96" t="s">
        <v>378</v>
      </c>
      <c r="M96" t="s">
        <v>379</v>
      </c>
      <c r="O96" t="s">
        <v>62</v>
      </c>
      <c r="P96" t="s">
        <v>63</v>
      </c>
      <c r="Q96">
        <v>6.8337739655904312E-2</v>
      </c>
      <c r="R96" t="s">
        <v>64</v>
      </c>
      <c r="S96" t="s">
        <v>65</v>
      </c>
      <c r="T96" t="s">
        <v>647</v>
      </c>
      <c r="V96" t="s">
        <v>73</v>
      </c>
      <c r="W96" t="s">
        <v>38</v>
      </c>
      <c r="X96" t="s">
        <v>642</v>
      </c>
      <c r="Y96" t="s">
        <v>420</v>
      </c>
      <c r="Z96" t="s">
        <v>421</v>
      </c>
      <c r="AA96" t="s">
        <v>124</v>
      </c>
      <c r="AB96" t="s">
        <v>41</v>
      </c>
      <c r="AC96" t="s">
        <v>643</v>
      </c>
      <c r="AD96" t="s">
        <v>422</v>
      </c>
      <c r="AE96" t="s">
        <v>423</v>
      </c>
      <c r="AI96">
        <v>76.645603752533333</v>
      </c>
      <c r="AJ96">
        <v>276.55412683419661</v>
      </c>
    </row>
    <row r="97" spans="1:36" hidden="1" x14ac:dyDescent="0.25">
      <c r="A97">
        <v>96</v>
      </c>
      <c r="B97" t="s">
        <v>648</v>
      </c>
      <c r="C97" t="s">
        <v>376</v>
      </c>
      <c r="D97" t="s">
        <v>377</v>
      </c>
      <c r="E97" t="s">
        <v>37</v>
      </c>
      <c r="F97" t="s">
        <v>57</v>
      </c>
      <c r="G97" s="2">
        <v>45897</v>
      </c>
      <c r="H97">
        <v>0.5</v>
      </c>
      <c r="I97" t="s">
        <v>72</v>
      </c>
      <c r="J97" t="s">
        <v>40</v>
      </c>
      <c r="K97" t="s">
        <v>41</v>
      </c>
      <c r="L97" t="s">
        <v>378</v>
      </c>
      <c r="M97" t="s">
        <v>379</v>
      </c>
      <c r="N97" t="s">
        <v>649</v>
      </c>
      <c r="O97" t="s">
        <v>87</v>
      </c>
      <c r="P97" t="s">
        <v>88</v>
      </c>
      <c r="Q97">
        <v>0.53765317911316735</v>
      </c>
      <c r="R97" t="s">
        <v>60</v>
      </c>
      <c r="S97" t="s">
        <v>66</v>
      </c>
      <c r="T97" t="s">
        <v>650</v>
      </c>
      <c r="V97" t="s">
        <v>75</v>
      </c>
      <c r="X97" t="s">
        <v>533</v>
      </c>
      <c r="Y97" t="s">
        <v>440</v>
      </c>
      <c r="Z97" t="s">
        <v>421</v>
      </c>
      <c r="AA97" t="s">
        <v>471</v>
      </c>
      <c r="AB97" t="s">
        <v>41</v>
      </c>
      <c r="AC97" t="s">
        <v>651</v>
      </c>
      <c r="AD97" t="s">
        <v>483</v>
      </c>
      <c r="AE97" t="s">
        <v>535</v>
      </c>
      <c r="AI97">
        <v>199.1900384212727</v>
      </c>
      <c r="AJ97">
        <v>2175.8139241648919</v>
      </c>
    </row>
    <row r="98" spans="1:36" hidden="1" x14ac:dyDescent="0.25">
      <c r="A98">
        <v>97</v>
      </c>
      <c r="B98" t="s">
        <v>652</v>
      </c>
      <c r="C98" t="s">
        <v>376</v>
      </c>
      <c r="D98" t="s">
        <v>377</v>
      </c>
      <c r="E98" t="s">
        <v>37</v>
      </c>
      <c r="F98" t="s">
        <v>57</v>
      </c>
      <c r="G98" s="2">
        <v>45897</v>
      </c>
      <c r="H98">
        <v>0.08</v>
      </c>
      <c r="I98" t="s">
        <v>72</v>
      </c>
      <c r="J98" t="s">
        <v>40</v>
      </c>
      <c r="K98" t="s">
        <v>41</v>
      </c>
      <c r="L98" t="s">
        <v>378</v>
      </c>
      <c r="M98" t="s">
        <v>379</v>
      </c>
      <c r="O98" t="s">
        <v>38</v>
      </c>
      <c r="P98" t="s">
        <v>133</v>
      </c>
      <c r="Q98">
        <v>6.192325516497426E-2</v>
      </c>
      <c r="R98" t="s">
        <v>60</v>
      </c>
      <c r="S98" t="s">
        <v>66</v>
      </c>
      <c r="T98" t="s">
        <v>653</v>
      </c>
      <c r="V98" t="s">
        <v>75</v>
      </c>
      <c r="X98" t="s">
        <v>654</v>
      </c>
      <c r="Y98" t="s">
        <v>440</v>
      </c>
      <c r="Z98" t="s">
        <v>655</v>
      </c>
      <c r="AA98" t="s">
        <v>75</v>
      </c>
      <c r="AB98" t="s">
        <v>41</v>
      </c>
      <c r="AC98" t="s">
        <v>57</v>
      </c>
      <c r="AD98" t="s">
        <v>656</v>
      </c>
      <c r="AE98" t="s">
        <v>657</v>
      </c>
      <c r="AI98">
        <v>86.725481165620579</v>
      </c>
      <c r="AJ98">
        <v>250.5955252413886</v>
      </c>
    </row>
    <row r="99" spans="1:36" hidden="1" x14ac:dyDescent="0.25">
      <c r="A99">
        <v>98</v>
      </c>
      <c r="B99" t="s">
        <v>658</v>
      </c>
      <c r="C99" t="s">
        <v>376</v>
      </c>
      <c r="D99" t="s">
        <v>377</v>
      </c>
      <c r="E99" t="s">
        <v>37</v>
      </c>
      <c r="F99" t="s">
        <v>57</v>
      </c>
      <c r="G99" s="2">
        <v>45897</v>
      </c>
      <c r="H99">
        <v>0.03</v>
      </c>
      <c r="I99" t="s">
        <v>72</v>
      </c>
      <c r="J99" t="s">
        <v>40</v>
      </c>
      <c r="K99" t="s">
        <v>41</v>
      </c>
      <c r="L99" t="s">
        <v>378</v>
      </c>
      <c r="M99" t="s">
        <v>379</v>
      </c>
      <c r="O99" t="s">
        <v>38</v>
      </c>
      <c r="P99" t="s">
        <v>133</v>
      </c>
      <c r="Q99">
        <v>9.7827778386751114E-3</v>
      </c>
      <c r="R99" t="s">
        <v>60</v>
      </c>
      <c r="S99" t="s">
        <v>66</v>
      </c>
      <c r="T99" t="s">
        <v>659</v>
      </c>
      <c r="V99" t="s">
        <v>75</v>
      </c>
      <c r="X99" t="s">
        <v>654</v>
      </c>
      <c r="Y99" t="s">
        <v>440</v>
      </c>
      <c r="Z99" t="s">
        <v>655</v>
      </c>
      <c r="AA99" t="s">
        <v>75</v>
      </c>
      <c r="AB99" t="s">
        <v>41</v>
      </c>
      <c r="AC99" t="s">
        <v>57</v>
      </c>
      <c r="AD99" t="s">
        <v>656</v>
      </c>
      <c r="AE99" t="s">
        <v>657</v>
      </c>
      <c r="AI99">
        <v>29.062469365034701</v>
      </c>
      <c r="AJ99">
        <v>39.589655683819139</v>
      </c>
    </row>
    <row r="100" spans="1:36" hidden="1" x14ac:dyDescent="0.25">
      <c r="A100">
        <v>99</v>
      </c>
      <c r="B100" t="s">
        <v>660</v>
      </c>
      <c r="C100" t="s">
        <v>376</v>
      </c>
      <c r="D100" t="s">
        <v>377</v>
      </c>
      <c r="E100" t="s">
        <v>37</v>
      </c>
      <c r="F100" t="s">
        <v>57</v>
      </c>
      <c r="G100" s="2">
        <v>45897</v>
      </c>
      <c r="H100">
        <v>0.35</v>
      </c>
      <c r="I100" t="s">
        <v>72</v>
      </c>
      <c r="J100" t="s">
        <v>40</v>
      </c>
      <c r="K100" t="s">
        <v>41</v>
      </c>
      <c r="L100" t="s">
        <v>378</v>
      </c>
      <c r="M100" t="s">
        <v>379</v>
      </c>
      <c r="O100" t="s">
        <v>99</v>
      </c>
      <c r="P100" t="s">
        <v>100</v>
      </c>
      <c r="Q100">
        <v>0.16750426333111609</v>
      </c>
      <c r="R100" t="s">
        <v>60</v>
      </c>
      <c r="S100" t="s">
        <v>66</v>
      </c>
      <c r="T100" t="s">
        <v>661</v>
      </c>
      <c r="V100" t="s">
        <v>75</v>
      </c>
      <c r="X100" t="s">
        <v>662</v>
      </c>
      <c r="Y100" t="s">
        <v>440</v>
      </c>
      <c r="Z100" t="s">
        <v>421</v>
      </c>
      <c r="AA100" t="s">
        <v>471</v>
      </c>
      <c r="AB100" t="s">
        <v>41</v>
      </c>
      <c r="AC100" t="s">
        <v>663</v>
      </c>
      <c r="AD100" t="s">
        <v>664</v>
      </c>
      <c r="AE100" t="s">
        <v>665</v>
      </c>
      <c r="AI100">
        <v>111.294157859894</v>
      </c>
      <c r="AJ100">
        <v>677.86841531185769</v>
      </c>
    </row>
    <row r="101" spans="1:36" hidden="1" x14ac:dyDescent="0.25">
      <c r="A101">
        <v>100</v>
      </c>
      <c r="B101" t="s">
        <v>666</v>
      </c>
      <c r="C101" t="s">
        <v>376</v>
      </c>
      <c r="D101" t="s">
        <v>377</v>
      </c>
      <c r="E101" t="s">
        <v>37</v>
      </c>
      <c r="F101" t="s">
        <v>57</v>
      </c>
      <c r="G101" s="2">
        <v>45897</v>
      </c>
      <c r="H101">
        <v>0.15</v>
      </c>
      <c r="I101" t="s">
        <v>72</v>
      </c>
      <c r="J101" t="s">
        <v>40</v>
      </c>
      <c r="K101" t="s">
        <v>41</v>
      </c>
      <c r="L101" t="s">
        <v>378</v>
      </c>
      <c r="M101" t="s">
        <v>379</v>
      </c>
      <c r="O101" t="s">
        <v>99</v>
      </c>
      <c r="P101" t="s">
        <v>100</v>
      </c>
      <c r="Q101">
        <v>1.466441393494872E-2</v>
      </c>
      <c r="R101" t="s">
        <v>60</v>
      </c>
      <c r="S101" t="s">
        <v>66</v>
      </c>
      <c r="T101" t="s">
        <v>667</v>
      </c>
      <c r="V101" t="s">
        <v>75</v>
      </c>
      <c r="X101" t="s">
        <v>662</v>
      </c>
      <c r="Y101" t="s">
        <v>440</v>
      </c>
      <c r="Z101" t="s">
        <v>421</v>
      </c>
      <c r="AA101" t="s">
        <v>471</v>
      </c>
      <c r="AB101" t="s">
        <v>41</v>
      </c>
      <c r="AC101" t="s">
        <v>663</v>
      </c>
      <c r="AD101" t="s">
        <v>664</v>
      </c>
      <c r="AE101" t="s">
        <v>665</v>
      </c>
      <c r="AI101">
        <v>31.459483426652991</v>
      </c>
      <c r="AJ101">
        <v>59.345015093202257</v>
      </c>
    </row>
    <row r="102" spans="1:36" hidden="1" x14ac:dyDescent="0.25">
      <c r="A102">
        <v>101</v>
      </c>
      <c r="B102" t="s">
        <v>668</v>
      </c>
      <c r="C102" t="s">
        <v>376</v>
      </c>
      <c r="D102" t="s">
        <v>377</v>
      </c>
      <c r="E102" t="s">
        <v>37</v>
      </c>
      <c r="F102" t="s">
        <v>57</v>
      </c>
      <c r="G102" s="2">
        <v>45874</v>
      </c>
      <c r="H102">
        <v>0.5</v>
      </c>
      <c r="I102" t="s">
        <v>72</v>
      </c>
      <c r="J102" t="s">
        <v>40</v>
      </c>
      <c r="K102" t="s">
        <v>41</v>
      </c>
      <c r="L102" t="s">
        <v>378</v>
      </c>
      <c r="M102" t="s">
        <v>379</v>
      </c>
      <c r="O102" t="s">
        <v>62</v>
      </c>
      <c r="P102" t="s">
        <v>63</v>
      </c>
      <c r="Q102">
        <v>0.43829542525829868</v>
      </c>
      <c r="R102" t="s">
        <v>64</v>
      </c>
      <c r="S102" t="s">
        <v>65</v>
      </c>
      <c r="T102" t="s">
        <v>380</v>
      </c>
      <c r="V102" t="s">
        <v>46</v>
      </c>
      <c r="X102" t="s">
        <v>381</v>
      </c>
      <c r="Y102" t="s">
        <v>669</v>
      </c>
      <c r="Z102" t="s">
        <v>670</v>
      </c>
      <c r="AA102" t="s">
        <v>445</v>
      </c>
      <c r="AB102" t="s">
        <v>41</v>
      </c>
      <c r="AD102" t="s">
        <v>145</v>
      </c>
      <c r="AE102" t="s">
        <v>385</v>
      </c>
      <c r="AI102">
        <v>231.57194622788381</v>
      </c>
      <c r="AJ102">
        <v>1773.7257515109959</v>
      </c>
    </row>
    <row r="103" spans="1:36" x14ac:dyDescent="0.25">
      <c r="A103">
        <v>102</v>
      </c>
      <c r="B103" t="s">
        <v>668</v>
      </c>
      <c r="C103" t="s">
        <v>376</v>
      </c>
      <c r="D103" t="s">
        <v>377</v>
      </c>
      <c r="E103" t="s">
        <v>37</v>
      </c>
      <c r="F103" t="s">
        <v>57</v>
      </c>
      <c r="G103" s="2">
        <v>45874</v>
      </c>
      <c r="H103">
        <v>1</v>
      </c>
      <c r="I103" t="s">
        <v>72</v>
      </c>
      <c r="J103" t="s">
        <v>40</v>
      </c>
      <c r="K103" t="s">
        <v>41</v>
      </c>
      <c r="L103" t="s">
        <v>378</v>
      </c>
      <c r="M103" t="s">
        <v>379</v>
      </c>
      <c r="P103" t="s">
        <v>671</v>
      </c>
      <c r="Q103">
        <v>0.96473975795892664</v>
      </c>
      <c r="S103" t="s">
        <v>38</v>
      </c>
      <c r="T103" t="s">
        <v>672</v>
      </c>
      <c r="V103" t="s">
        <v>60</v>
      </c>
      <c r="X103" t="s">
        <v>673</v>
      </c>
      <c r="Y103" t="s">
        <v>669</v>
      </c>
      <c r="Z103" t="s">
        <v>674</v>
      </c>
      <c r="AA103" t="s">
        <v>182</v>
      </c>
      <c r="AB103" t="s">
        <v>41</v>
      </c>
      <c r="AI103">
        <v>262.59333840597333</v>
      </c>
      <c r="AJ103">
        <v>3904.1789021406948</v>
      </c>
    </row>
    <row r="104" spans="1:36" hidden="1" x14ac:dyDescent="0.25">
      <c r="A104">
        <v>103</v>
      </c>
      <c r="B104" t="s">
        <v>668</v>
      </c>
      <c r="C104" t="s">
        <v>376</v>
      </c>
      <c r="D104" t="s">
        <v>377</v>
      </c>
      <c r="E104" t="s">
        <v>37</v>
      </c>
      <c r="F104" t="s">
        <v>57</v>
      </c>
      <c r="G104" s="2">
        <v>45897</v>
      </c>
      <c r="H104">
        <v>5</v>
      </c>
      <c r="I104" t="s">
        <v>72</v>
      </c>
      <c r="J104" t="s">
        <v>40</v>
      </c>
      <c r="K104" t="s">
        <v>41</v>
      </c>
      <c r="L104" t="s">
        <v>378</v>
      </c>
      <c r="M104" t="s">
        <v>379</v>
      </c>
      <c r="O104" t="s">
        <v>62</v>
      </c>
      <c r="P104" t="s">
        <v>63</v>
      </c>
      <c r="Q104">
        <v>5.3099243583136886</v>
      </c>
      <c r="R104" t="s">
        <v>64</v>
      </c>
      <c r="S104" t="s">
        <v>65</v>
      </c>
      <c r="T104" t="s">
        <v>675</v>
      </c>
      <c r="V104" t="s">
        <v>64</v>
      </c>
      <c r="X104" t="s">
        <v>673</v>
      </c>
      <c r="Y104" t="s">
        <v>676</v>
      </c>
      <c r="Z104" t="s">
        <v>677</v>
      </c>
      <c r="AA104" t="s">
        <v>445</v>
      </c>
      <c r="AB104" t="s">
        <v>41</v>
      </c>
      <c r="AI104">
        <v>732.28953711665849</v>
      </c>
      <c r="AJ104">
        <v>21488.58744616378</v>
      </c>
    </row>
    <row r="105" spans="1:36" hidden="1" x14ac:dyDescent="0.25">
      <c r="A105">
        <v>104</v>
      </c>
      <c r="B105" t="s">
        <v>668</v>
      </c>
      <c r="C105" t="s">
        <v>376</v>
      </c>
      <c r="D105" t="s">
        <v>377</v>
      </c>
      <c r="E105" t="s">
        <v>37</v>
      </c>
      <c r="F105" t="s">
        <v>57</v>
      </c>
      <c r="G105" s="2">
        <v>45897</v>
      </c>
      <c r="H105">
        <v>0.4</v>
      </c>
      <c r="I105" t="s">
        <v>72</v>
      </c>
      <c r="J105" t="s">
        <v>40</v>
      </c>
      <c r="K105" t="s">
        <v>41</v>
      </c>
      <c r="L105" t="s">
        <v>378</v>
      </c>
      <c r="M105" t="s">
        <v>379</v>
      </c>
      <c r="N105" t="s">
        <v>479</v>
      </c>
      <c r="O105" t="s">
        <v>62</v>
      </c>
      <c r="P105" t="s">
        <v>63</v>
      </c>
      <c r="Q105">
        <v>0.42279952768806828</v>
      </c>
      <c r="R105" t="s">
        <v>64</v>
      </c>
      <c r="S105" t="s">
        <v>65</v>
      </c>
      <c r="T105" t="s">
        <v>480</v>
      </c>
      <c r="V105" t="s">
        <v>75</v>
      </c>
      <c r="X105" t="s">
        <v>522</v>
      </c>
      <c r="Y105" t="s">
        <v>676</v>
      </c>
      <c r="Z105" t="s">
        <v>677</v>
      </c>
      <c r="AA105" t="s">
        <v>471</v>
      </c>
      <c r="AB105" t="s">
        <v>41</v>
      </c>
      <c r="AD105" t="s">
        <v>483</v>
      </c>
      <c r="AE105" t="s">
        <v>524</v>
      </c>
      <c r="AI105">
        <v>165.62387930534021</v>
      </c>
      <c r="AJ105">
        <v>1711.0158280686139</v>
      </c>
    </row>
    <row r="106" spans="1:36" hidden="1" x14ac:dyDescent="0.25">
      <c r="A106">
        <v>105</v>
      </c>
      <c r="B106" t="s">
        <v>668</v>
      </c>
      <c r="C106" t="s">
        <v>376</v>
      </c>
      <c r="D106" t="s">
        <v>377</v>
      </c>
      <c r="E106" t="s">
        <v>37</v>
      </c>
      <c r="F106" t="s">
        <v>57</v>
      </c>
      <c r="G106" s="2">
        <v>45897</v>
      </c>
      <c r="H106">
        <v>0.4</v>
      </c>
      <c r="I106" t="s">
        <v>72</v>
      </c>
      <c r="J106" t="s">
        <v>40</v>
      </c>
      <c r="K106" t="s">
        <v>41</v>
      </c>
      <c r="L106" t="s">
        <v>378</v>
      </c>
      <c r="M106" t="s">
        <v>379</v>
      </c>
      <c r="N106" t="s">
        <v>479</v>
      </c>
      <c r="O106" t="s">
        <v>99</v>
      </c>
      <c r="P106" t="s">
        <v>100</v>
      </c>
      <c r="Q106">
        <v>0.58705447359287299</v>
      </c>
      <c r="R106" t="s">
        <v>46</v>
      </c>
      <c r="S106" t="s">
        <v>47</v>
      </c>
      <c r="T106" t="s">
        <v>480</v>
      </c>
      <c r="V106" t="s">
        <v>75</v>
      </c>
      <c r="X106" t="s">
        <v>481</v>
      </c>
      <c r="Y106" t="s">
        <v>676</v>
      </c>
      <c r="Z106" t="s">
        <v>677</v>
      </c>
      <c r="AA106" t="s">
        <v>471</v>
      </c>
      <c r="AB106" t="s">
        <v>41</v>
      </c>
      <c r="AD106" t="s">
        <v>483</v>
      </c>
      <c r="AE106" t="s">
        <v>492</v>
      </c>
      <c r="AI106">
        <v>199.85092432951879</v>
      </c>
      <c r="AJ106">
        <v>2375.734669687145</v>
      </c>
    </row>
    <row r="107" spans="1:36" hidden="1" x14ac:dyDescent="0.25">
      <c r="A107">
        <v>106</v>
      </c>
      <c r="B107" t="s">
        <v>386</v>
      </c>
      <c r="C107" t="s">
        <v>376</v>
      </c>
      <c r="D107" t="s">
        <v>377</v>
      </c>
      <c r="E107" t="s">
        <v>37</v>
      </c>
      <c r="F107" t="s">
        <v>57</v>
      </c>
      <c r="G107" s="2">
        <v>45874</v>
      </c>
      <c r="H107">
        <v>0.8</v>
      </c>
      <c r="I107" t="s">
        <v>72</v>
      </c>
      <c r="J107" t="s">
        <v>40</v>
      </c>
      <c r="K107" t="s">
        <v>41</v>
      </c>
      <c r="L107" t="s">
        <v>378</v>
      </c>
      <c r="M107" t="s">
        <v>379</v>
      </c>
      <c r="O107" t="s">
        <v>62</v>
      </c>
      <c r="P107" t="s">
        <v>63</v>
      </c>
      <c r="Q107">
        <v>0.31908311016324808</v>
      </c>
      <c r="R107" t="s">
        <v>64</v>
      </c>
      <c r="S107" t="s">
        <v>65</v>
      </c>
      <c r="T107" t="s">
        <v>678</v>
      </c>
      <c r="V107" t="s">
        <v>46</v>
      </c>
      <c r="X107" t="s">
        <v>381</v>
      </c>
      <c r="Y107" t="s">
        <v>382</v>
      </c>
      <c r="Z107" t="s">
        <v>383</v>
      </c>
      <c r="AA107" t="s">
        <v>118</v>
      </c>
      <c r="AB107" t="s">
        <v>41</v>
      </c>
      <c r="AC107" t="s">
        <v>384</v>
      </c>
      <c r="AD107" t="s">
        <v>145</v>
      </c>
      <c r="AE107" t="s">
        <v>385</v>
      </c>
      <c r="AI107">
        <v>146.1177397959168</v>
      </c>
      <c r="AJ107">
        <v>1291.288698793137</v>
      </c>
    </row>
    <row r="108" spans="1:36" hidden="1" x14ac:dyDescent="0.25">
      <c r="A108">
        <v>107</v>
      </c>
      <c r="B108" t="s">
        <v>531</v>
      </c>
      <c r="C108" t="s">
        <v>376</v>
      </c>
      <c r="D108" t="s">
        <v>377</v>
      </c>
      <c r="E108" t="s">
        <v>37</v>
      </c>
      <c r="F108" t="s">
        <v>57</v>
      </c>
      <c r="G108" s="2">
        <v>45897</v>
      </c>
      <c r="H108">
        <v>4.2</v>
      </c>
      <c r="I108" t="s">
        <v>72</v>
      </c>
      <c r="J108" t="s">
        <v>40</v>
      </c>
      <c r="K108" t="s">
        <v>41</v>
      </c>
      <c r="L108" t="s">
        <v>378</v>
      </c>
      <c r="M108" t="s">
        <v>379</v>
      </c>
      <c r="N108" t="s">
        <v>479</v>
      </c>
      <c r="O108" t="s">
        <v>62</v>
      </c>
      <c r="P108" t="s">
        <v>63</v>
      </c>
      <c r="Q108">
        <v>1.8785036913776609</v>
      </c>
      <c r="R108" t="s">
        <v>64</v>
      </c>
      <c r="S108" t="s">
        <v>65</v>
      </c>
      <c r="T108" t="s">
        <v>532</v>
      </c>
      <c r="V108" t="s">
        <v>75</v>
      </c>
      <c r="X108" t="s">
        <v>533</v>
      </c>
      <c r="Y108" t="s">
        <v>440</v>
      </c>
      <c r="Z108" t="s">
        <v>421</v>
      </c>
      <c r="AA108" t="s">
        <v>471</v>
      </c>
      <c r="AB108" t="s">
        <v>41</v>
      </c>
      <c r="AC108" t="s">
        <v>534</v>
      </c>
      <c r="AD108" t="s">
        <v>483</v>
      </c>
      <c r="AE108" t="s">
        <v>535</v>
      </c>
      <c r="AI108">
        <v>425.36067985390213</v>
      </c>
      <c r="AJ108">
        <v>7602.0651361839327</v>
      </c>
    </row>
    <row r="109" spans="1:36" hidden="1" x14ac:dyDescent="0.25">
      <c r="A109">
        <v>108</v>
      </c>
      <c r="C109" t="s">
        <v>376</v>
      </c>
      <c r="D109" t="s">
        <v>377</v>
      </c>
      <c r="E109" t="s">
        <v>37</v>
      </c>
      <c r="F109" t="s">
        <v>57</v>
      </c>
      <c r="G109" s="2">
        <v>45897</v>
      </c>
      <c r="H109">
        <v>0.25</v>
      </c>
      <c r="I109" t="s">
        <v>72</v>
      </c>
      <c r="J109" t="s">
        <v>40</v>
      </c>
      <c r="K109" t="s">
        <v>41</v>
      </c>
      <c r="L109" t="s">
        <v>378</v>
      </c>
      <c r="M109" t="s">
        <v>379</v>
      </c>
      <c r="O109" t="s">
        <v>62</v>
      </c>
      <c r="P109" t="s">
        <v>63</v>
      </c>
      <c r="Q109">
        <v>0.24601496979673909</v>
      </c>
      <c r="R109" t="s">
        <v>64</v>
      </c>
      <c r="S109" t="s">
        <v>65</v>
      </c>
      <c r="T109" t="s">
        <v>679</v>
      </c>
      <c r="V109" t="s">
        <v>616</v>
      </c>
      <c r="X109" t="s">
        <v>680</v>
      </c>
      <c r="Y109" t="s">
        <v>412</v>
      </c>
      <c r="Z109" t="s">
        <v>413</v>
      </c>
      <c r="AA109" t="s">
        <v>681</v>
      </c>
      <c r="AB109" t="s">
        <v>41</v>
      </c>
      <c r="AC109" t="s">
        <v>682</v>
      </c>
      <c r="AD109" t="s">
        <v>683</v>
      </c>
      <c r="AE109" t="s">
        <v>684</v>
      </c>
      <c r="AI109">
        <v>130.9444547820199</v>
      </c>
      <c r="AJ109">
        <v>995.59124288946475</v>
      </c>
    </row>
    <row r="110" spans="1:36" hidden="1" x14ac:dyDescent="0.25">
      <c r="A110">
        <v>109</v>
      </c>
      <c r="C110" t="s">
        <v>376</v>
      </c>
      <c r="D110" t="s">
        <v>377</v>
      </c>
      <c r="E110" t="s">
        <v>37</v>
      </c>
      <c r="F110" t="s">
        <v>57</v>
      </c>
      <c r="G110" s="2">
        <v>45897</v>
      </c>
      <c r="H110">
        <v>0.08</v>
      </c>
      <c r="I110" t="s">
        <v>72</v>
      </c>
      <c r="J110" t="s">
        <v>40</v>
      </c>
      <c r="K110" t="s">
        <v>41</v>
      </c>
      <c r="L110" t="s">
        <v>378</v>
      </c>
      <c r="M110" t="s">
        <v>379</v>
      </c>
      <c r="O110" t="s">
        <v>408</v>
      </c>
      <c r="P110" t="s">
        <v>409</v>
      </c>
      <c r="Q110">
        <v>7.7025855894923209E-2</v>
      </c>
      <c r="R110" t="s">
        <v>60</v>
      </c>
      <c r="S110" t="s">
        <v>66</v>
      </c>
      <c r="T110" t="s">
        <v>685</v>
      </c>
      <c r="V110" t="s">
        <v>616</v>
      </c>
      <c r="X110" t="s">
        <v>680</v>
      </c>
      <c r="Y110" t="s">
        <v>412</v>
      </c>
      <c r="Z110" t="s">
        <v>413</v>
      </c>
      <c r="AA110" t="s">
        <v>681</v>
      </c>
      <c r="AB110" t="s">
        <v>41</v>
      </c>
      <c r="AC110" t="s">
        <v>682</v>
      </c>
      <c r="AD110" t="s">
        <v>683</v>
      </c>
      <c r="AE110" t="s">
        <v>414</v>
      </c>
      <c r="AI110">
        <v>70.793481412352747</v>
      </c>
      <c r="AJ110">
        <v>311.71382647328591</v>
      </c>
    </row>
    <row r="111" spans="1:36" hidden="1" x14ac:dyDescent="0.25">
      <c r="A111">
        <v>110</v>
      </c>
      <c r="C111" t="s">
        <v>376</v>
      </c>
      <c r="D111" t="s">
        <v>377</v>
      </c>
      <c r="E111" t="s">
        <v>37</v>
      </c>
      <c r="F111" t="s">
        <v>57</v>
      </c>
      <c r="G111" s="2">
        <v>45897</v>
      </c>
      <c r="H111">
        <v>0.05</v>
      </c>
      <c r="I111" t="s">
        <v>72</v>
      </c>
      <c r="J111" t="s">
        <v>40</v>
      </c>
      <c r="K111" t="s">
        <v>41</v>
      </c>
      <c r="L111" t="s">
        <v>378</v>
      </c>
      <c r="M111" t="s">
        <v>379</v>
      </c>
      <c r="O111" t="s">
        <v>408</v>
      </c>
      <c r="P111" t="s">
        <v>409</v>
      </c>
      <c r="Q111">
        <v>5.5741754030004753E-2</v>
      </c>
      <c r="R111" t="s">
        <v>60</v>
      </c>
      <c r="S111" t="s">
        <v>66</v>
      </c>
      <c r="T111" t="s">
        <v>685</v>
      </c>
      <c r="V111" t="s">
        <v>616</v>
      </c>
      <c r="X111" t="s">
        <v>680</v>
      </c>
      <c r="Y111" t="s">
        <v>412</v>
      </c>
      <c r="Z111" t="s">
        <v>413</v>
      </c>
      <c r="AA111" t="s">
        <v>681</v>
      </c>
      <c r="AB111" t="s">
        <v>41</v>
      </c>
      <c r="AC111" t="s">
        <v>682</v>
      </c>
      <c r="AD111" t="s">
        <v>683</v>
      </c>
      <c r="AE111" t="s">
        <v>414</v>
      </c>
      <c r="AI111">
        <v>64.662449151519141</v>
      </c>
      <c r="AJ111">
        <v>225.5797776103739</v>
      </c>
    </row>
    <row r="112" spans="1:36" hidden="1" x14ac:dyDescent="0.25">
      <c r="A112">
        <v>111</v>
      </c>
      <c r="C112" t="s">
        <v>376</v>
      </c>
      <c r="D112" t="s">
        <v>377</v>
      </c>
      <c r="E112" t="s">
        <v>37</v>
      </c>
      <c r="F112" t="s">
        <v>57</v>
      </c>
      <c r="G112" s="2">
        <v>45897</v>
      </c>
      <c r="H112">
        <v>0.01</v>
      </c>
      <c r="I112" t="s">
        <v>72</v>
      </c>
      <c r="J112" t="s">
        <v>40</v>
      </c>
      <c r="K112" t="s">
        <v>41</v>
      </c>
      <c r="L112" t="s">
        <v>378</v>
      </c>
      <c r="M112" t="s">
        <v>379</v>
      </c>
      <c r="O112" t="s">
        <v>408</v>
      </c>
      <c r="P112" t="s">
        <v>409</v>
      </c>
      <c r="Q112">
        <v>9.990565583102946E-3</v>
      </c>
      <c r="R112" t="s">
        <v>60</v>
      </c>
      <c r="S112" t="s">
        <v>66</v>
      </c>
      <c r="T112" t="s">
        <v>685</v>
      </c>
      <c r="V112" t="s">
        <v>616</v>
      </c>
      <c r="X112" t="s">
        <v>680</v>
      </c>
      <c r="Y112" t="s">
        <v>412</v>
      </c>
      <c r="Z112" t="s">
        <v>413</v>
      </c>
      <c r="AA112" t="s">
        <v>681</v>
      </c>
      <c r="AB112" t="s">
        <v>41</v>
      </c>
      <c r="AC112" t="s">
        <v>682</v>
      </c>
      <c r="AD112" t="s">
        <v>683</v>
      </c>
      <c r="AE112" t="s">
        <v>414</v>
      </c>
      <c r="AI112">
        <v>36.949965095222836</v>
      </c>
      <c r="AJ112">
        <v>40.430546215411702</v>
      </c>
    </row>
    <row r="113" spans="1:36" hidden="1" x14ac:dyDescent="0.25">
      <c r="A113">
        <v>112</v>
      </c>
      <c r="C113" t="s">
        <v>376</v>
      </c>
      <c r="D113" t="s">
        <v>377</v>
      </c>
      <c r="E113" t="s">
        <v>37</v>
      </c>
      <c r="F113" t="s">
        <v>57</v>
      </c>
      <c r="G113" s="2">
        <v>45897</v>
      </c>
      <c r="H113">
        <v>0.11</v>
      </c>
      <c r="I113" t="s">
        <v>72</v>
      </c>
      <c r="J113" t="s">
        <v>40</v>
      </c>
      <c r="K113" t="s">
        <v>41</v>
      </c>
      <c r="L113" t="s">
        <v>378</v>
      </c>
      <c r="M113" t="s">
        <v>379</v>
      </c>
      <c r="O113" t="s">
        <v>408</v>
      </c>
      <c r="P113" t="s">
        <v>409</v>
      </c>
      <c r="Q113">
        <v>9.8779907655035665E-2</v>
      </c>
      <c r="R113" t="s">
        <v>60</v>
      </c>
      <c r="S113" t="s">
        <v>66</v>
      </c>
      <c r="T113" t="s">
        <v>685</v>
      </c>
      <c r="V113" t="s">
        <v>616</v>
      </c>
      <c r="X113" t="s">
        <v>680</v>
      </c>
      <c r="Y113" t="s">
        <v>412</v>
      </c>
      <c r="Z113" t="s">
        <v>413</v>
      </c>
      <c r="AA113" t="s">
        <v>681</v>
      </c>
      <c r="AB113" t="s">
        <v>41</v>
      </c>
      <c r="AC113" t="s">
        <v>682</v>
      </c>
      <c r="AD113" t="s">
        <v>683</v>
      </c>
      <c r="AE113" t="s">
        <v>414</v>
      </c>
      <c r="AI113">
        <v>126.0701097470437</v>
      </c>
      <c r="AJ113">
        <v>399.74970269507179</v>
      </c>
    </row>
    <row r="114" spans="1:36" hidden="1" x14ac:dyDescent="0.25">
      <c r="A114">
        <v>113</v>
      </c>
      <c r="C114" t="s">
        <v>376</v>
      </c>
      <c r="D114" t="s">
        <v>377</v>
      </c>
      <c r="E114" t="s">
        <v>37</v>
      </c>
      <c r="F114" t="s">
        <v>57</v>
      </c>
      <c r="G114" s="2">
        <v>45897</v>
      </c>
      <c r="I114" t="s">
        <v>72</v>
      </c>
      <c r="J114" t="s">
        <v>40</v>
      </c>
      <c r="K114" t="s">
        <v>41</v>
      </c>
      <c r="L114" t="s">
        <v>378</v>
      </c>
      <c r="M114" t="s">
        <v>379</v>
      </c>
      <c r="O114" t="s">
        <v>87</v>
      </c>
      <c r="P114" t="s">
        <v>88</v>
      </c>
      <c r="Q114">
        <v>1.611089422637296</v>
      </c>
      <c r="R114" t="s">
        <v>60</v>
      </c>
      <c r="S114" t="s">
        <v>66</v>
      </c>
      <c r="T114" t="s">
        <v>686</v>
      </c>
      <c r="V114" t="s">
        <v>110</v>
      </c>
      <c r="X114" t="s">
        <v>687</v>
      </c>
      <c r="Y114" t="s">
        <v>451</v>
      </c>
      <c r="Z114" t="s">
        <v>413</v>
      </c>
      <c r="AA114" t="s">
        <v>441</v>
      </c>
      <c r="AB114" t="s">
        <v>453</v>
      </c>
      <c r="AD114" t="s">
        <v>688</v>
      </c>
      <c r="AG114" t="s">
        <v>689</v>
      </c>
      <c r="AI114">
        <v>393.31408725067843</v>
      </c>
      <c r="AJ114">
        <v>6519.8736565289973</v>
      </c>
    </row>
    <row r="115" spans="1:36" hidden="1" x14ac:dyDescent="0.25">
      <c r="A115">
        <v>114</v>
      </c>
      <c r="C115" t="s">
        <v>376</v>
      </c>
      <c r="D115" t="s">
        <v>377</v>
      </c>
      <c r="E115" t="s">
        <v>37</v>
      </c>
      <c r="F115" t="s">
        <v>57</v>
      </c>
      <c r="G115" s="2">
        <v>45897</v>
      </c>
      <c r="I115" t="s">
        <v>72</v>
      </c>
      <c r="J115" t="s">
        <v>40</v>
      </c>
      <c r="K115" t="s">
        <v>41</v>
      </c>
      <c r="L115" t="s">
        <v>378</v>
      </c>
      <c r="M115" t="s">
        <v>379</v>
      </c>
      <c r="O115" t="s">
        <v>87</v>
      </c>
      <c r="P115" t="s">
        <v>88</v>
      </c>
      <c r="Q115">
        <v>2.4841476657810788</v>
      </c>
      <c r="R115" t="s">
        <v>60</v>
      </c>
      <c r="S115" t="s">
        <v>66</v>
      </c>
      <c r="T115" t="s">
        <v>690</v>
      </c>
      <c r="V115" t="s">
        <v>110</v>
      </c>
      <c r="X115" t="s">
        <v>687</v>
      </c>
      <c r="Y115" t="s">
        <v>451</v>
      </c>
      <c r="Z115" t="s">
        <v>413</v>
      </c>
      <c r="AA115" t="s">
        <v>441</v>
      </c>
      <c r="AB115" t="s">
        <v>453</v>
      </c>
      <c r="AD115" t="s">
        <v>688</v>
      </c>
      <c r="AG115" t="s">
        <v>689</v>
      </c>
      <c r="AI115">
        <v>550.63285799876564</v>
      </c>
      <c r="AJ115">
        <v>10053.02914753251</v>
      </c>
    </row>
    <row r="116" spans="1:36" hidden="1" x14ac:dyDescent="0.25">
      <c r="A116">
        <v>115</v>
      </c>
      <c r="C116" t="s">
        <v>376</v>
      </c>
      <c r="D116" t="s">
        <v>377</v>
      </c>
      <c r="E116" t="s">
        <v>37</v>
      </c>
      <c r="F116" t="s">
        <v>57</v>
      </c>
      <c r="G116" s="2">
        <v>45897</v>
      </c>
      <c r="I116" t="s">
        <v>72</v>
      </c>
      <c r="J116" t="s">
        <v>40</v>
      </c>
      <c r="K116" t="s">
        <v>41</v>
      </c>
      <c r="L116" t="s">
        <v>378</v>
      </c>
      <c r="M116" t="s">
        <v>379</v>
      </c>
      <c r="O116" t="s">
        <v>87</v>
      </c>
      <c r="P116" t="s">
        <v>88</v>
      </c>
      <c r="Q116">
        <v>0.95407150227292414</v>
      </c>
      <c r="R116" t="s">
        <v>60</v>
      </c>
      <c r="S116" t="s">
        <v>66</v>
      </c>
      <c r="T116" t="s">
        <v>691</v>
      </c>
      <c r="V116" t="s">
        <v>110</v>
      </c>
      <c r="X116" t="s">
        <v>687</v>
      </c>
      <c r="Y116" t="s">
        <v>451</v>
      </c>
      <c r="Z116" t="s">
        <v>413</v>
      </c>
      <c r="AA116" t="s">
        <v>441</v>
      </c>
      <c r="AB116" t="s">
        <v>453</v>
      </c>
      <c r="AD116" t="s">
        <v>688</v>
      </c>
      <c r="AG116" t="s">
        <v>689</v>
      </c>
      <c r="AI116">
        <v>260.25674164823482</v>
      </c>
      <c r="AJ116">
        <v>3861.005830409877</v>
      </c>
    </row>
    <row r="117" spans="1:36" x14ac:dyDescent="0.25">
      <c r="A117">
        <v>116</v>
      </c>
      <c r="C117" t="s">
        <v>376</v>
      </c>
      <c r="D117" t="s">
        <v>377</v>
      </c>
      <c r="E117" t="s">
        <v>37</v>
      </c>
      <c r="F117" t="s">
        <v>57</v>
      </c>
      <c r="G117" s="2">
        <v>45897</v>
      </c>
      <c r="I117" t="s">
        <v>72</v>
      </c>
      <c r="J117" t="s">
        <v>40</v>
      </c>
      <c r="K117" t="s">
        <v>41</v>
      </c>
      <c r="L117" t="s">
        <v>378</v>
      </c>
      <c r="M117" t="s">
        <v>379</v>
      </c>
      <c r="P117" t="s">
        <v>137</v>
      </c>
      <c r="Q117">
        <v>1.2488816895415229</v>
      </c>
      <c r="S117" t="s">
        <v>38</v>
      </c>
      <c r="T117" t="s">
        <v>692</v>
      </c>
      <c r="V117" t="s">
        <v>110</v>
      </c>
      <c r="X117" t="s">
        <v>693</v>
      </c>
      <c r="Y117" t="s">
        <v>451</v>
      </c>
      <c r="Z117" t="s">
        <v>413</v>
      </c>
      <c r="AA117" t="s">
        <v>441</v>
      </c>
      <c r="AB117" t="s">
        <v>453</v>
      </c>
      <c r="AD117" t="s">
        <v>688</v>
      </c>
      <c r="AG117" t="s">
        <v>694</v>
      </c>
      <c r="AI117">
        <v>323.93364541194688</v>
      </c>
      <c r="AJ117">
        <v>5054.0651023790688</v>
      </c>
    </row>
    <row r="118" spans="1:36" x14ac:dyDescent="0.25">
      <c r="A118">
        <v>117</v>
      </c>
      <c r="C118" t="s">
        <v>376</v>
      </c>
      <c r="D118" t="s">
        <v>377</v>
      </c>
      <c r="E118" t="s">
        <v>37</v>
      </c>
      <c r="F118" t="s">
        <v>57</v>
      </c>
      <c r="G118" s="2">
        <v>45897</v>
      </c>
      <c r="I118" t="s">
        <v>72</v>
      </c>
      <c r="J118" t="s">
        <v>40</v>
      </c>
      <c r="K118" t="s">
        <v>41</v>
      </c>
      <c r="L118" t="s">
        <v>378</v>
      </c>
      <c r="M118" t="s">
        <v>379</v>
      </c>
      <c r="P118" t="s">
        <v>142</v>
      </c>
      <c r="Q118">
        <v>8.2638729960308961</v>
      </c>
      <c r="S118" t="s">
        <v>38</v>
      </c>
      <c r="T118" t="s">
        <v>695</v>
      </c>
      <c r="V118" t="s">
        <v>566</v>
      </c>
      <c r="X118" t="s">
        <v>696</v>
      </c>
      <c r="Y118" t="s">
        <v>546</v>
      </c>
      <c r="Z118" t="s">
        <v>413</v>
      </c>
      <c r="AA118" t="s">
        <v>110</v>
      </c>
      <c r="AB118" t="s">
        <v>453</v>
      </c>
      <c r="AI118">
        <v>843.94059545109167</v>
      </c>
      <c r="AJ118">
        <v>33442.841279116903</v>
      </c>
    </row>
    <row r="119" spans="1:36" hidden="1" x14ac:dyDescent="0.25">
      <c r="A119">
        <v>118</v>
      </c>
      <c r="C119" t="s">
        <v>376</v>
      </c>
      <c r="D119" t="s">
        <v>377</v>
      </c>
      <c r="E119" t="s">
        <v>37</v>
      </c>
      <c r="F119" t="s">
        <v>57</v>
      </c>
      <c r="G119" s="2">
        <v>45874</v>
      </c>
      <c r="H119">
        <v>0.125</v>
      </c>
      <c r="I119" t="s">
        <v>72</v>
      </c>
      <c r="J119" t="s">
        <v>40</v>
      </c>
      <c r="K119" t="s">
        <v>41</v>
      </c>
      <c r="L119" t="s">
        <v>378</v>
      </c>
      <c r="M119" t="s">
        <v>379</v>
      </c>
      <c r="O119" t="s">
        <v>99</v>
      </c>
      <c r="P119" t="s">
        <v>100</v>
      </c>
      <c r="Q119">
        <v>0.1214107882918983</v>
      </c>
      <c r="R119" t="s">
        <v>60</v>
      </c>
      <c r="S119" t="s">
        <v>66</v>
      </c>
      <c r="T119" t="s">
        <v>57</v>
      </c>
      <c r="V119" t="s">
        <v>119</v>
      </c>
      <c r="X119" t="s">
        <v>697</v>
      </c>
      <c r="Y119" t="s">
        <v>698</v>
      </c>
      <c r="Z119" t="s">
        <v>421</v>
      </c>
      <c r="AA119" t="s">
        <v>699</v>
      </c>
      <c r="AB119" t="s">
        <v>41</v>
      </c>
      <c r="AC119" t="s">
        <v>700</v>
      </c>
      <c r="AD119" t="s">
        <v>701</v>
      </c>
      <c r="AE119" t="s">
        <v>702</v>
      </c>
      <c r="AI119">
        <v>90.269398366061409</v>
      </c>
      <c r="AJ119">
        <v>491.33399368172462</v>
      </c>
    </row>
    <row r="120" spans="1:36" hidden="1" x14ac:dyDescent="0.25">
      <c r="A120">
        <v>119</v>
      </c>
      <c r="C120" t="s">
        <v>376</v>
      </c>
      <c r="D120" t="s">
        <v>377</v>
      </c>
      <c r="E120" t="s">
        <v>37</v>
      </c>
      <c r="F120" t="s">
        <v>57</v>
      </c>
      <c r="G120" s="2">
        <v>45874</v>
      </c>
      <c r="H120">
        <v>0.125</v>
      </c>
      <c r="I120" t="s">
        <v>72</v>
      </c>
      <c r="J120" t="s">
        <v>40</v>
      </c>
      <c r="K120" t="s">
        <v>41</v>
      </c>
      <c r="L120" t="s">
        <v>378</v>
      </c>
      <c r="M120" t="s">
        <v>379</v>
      </c>
      <c r="O120" t="s">
        <v>99</v>
      </c>
      <c r="P120" t="s">
        <v>100</v>
      </c>
      <c r="Q120">
        <v>3.5847531549151892E-3</v>
      </c>
      <c r="R120" t="s">
        <v>60</v>
      </c>
      <c r="S120" t="s">
        <v>66</v>
      </c>
      <c r="T120" t="s">
        <v>57</v>
      </c>
      <c r="V120" t="s">
        <v>119</v>
      </c>
      <c r="X120" t="s">
        <v>697</v>
      </c>
      <c r="Y120" t="s">
        <v>698</v>
      </c>
      <c r="Z120" t="s">
        <v>421</v>
      </c>
      <c r="AA120" t="s">
        <v>699</v>
      </c>
      <c r="AB120" t="s">
        <v>41</v>
      </c>
      <c r="AC120" t="s">
        <v>700</v>
      </c>
      <c r="AD120" t="s">
        <v>701</v>
      </c>
      <c r="AE120" t="s">
        <v>702</v>
      </c>
      <c r="AI120">
        <v>18.13726306637804</v>
      </c>
      <c r="AJ120">
        <v>14.50703935578659</v>
      </c>
    </row>
    <row r="121" spans="1:36" hidden="1" x14ac:dyDescent="0.25">
      <c r="A121">
        <v>120</v>
      </c>
      <c r="B121" t="s">
        <v>529</v>
      </c>
      <c r="C121" t="s">
        <v>376</v>
      </c>
      <c r="D121" t="s">
        <v>377</v>
      </c>
      <c r="E121" t="s">
        <v>37</v>
      </c>
      <c r="F121" t="s">
        <v>57</v>
      </c>
      <c r="G121" s="2">
        <v>45897</v>
      </c>
      <c r="H121">
        <v>2.7</v>
      </c>
      <c r="I121" t="s">
        <v>72</v>
      </c>
      <c r="J121" t="s">
        <v>40</v>
      </c>
      <c r="K121" t="s">
        <v>41</v>
      </c>
      <c r="L121" t="s">
        <v>378</v>
      </c>
      <c r="M121" t="s">
        <v>379</v>
      </c>
      <c r="N121" t="s">
        <v>479</v>
      </c>
      <c r="O121" t="s">
        <v>79</v>
      </c>
      <c r="P121" t="s">
        <v>80</v>
      </c>
      <c r="Q121">
        <v>1.0864076041007911</v>
      </c>
      <c r="R121" t="s">
        <v>46</v>
      </c>
      <c r="S121" t="s">
        <v>47</v>
      </c>
      <c r="T121" t="s">
        <v>480</v>
      </c>
      <c r="V121" t="s">
        <v>75</v>
      </c>
      <c r="X121" t="s">
        <v>498</v>
      </c>
      <c r="Y121" t="s">
        <v>440</v>
      </c>
      <c r="Z121" t="s">
        <v>421</v>
      </c>
      <c r="AA121" t="s">
        <v>471</v>
      </c>
      <c r="AB121" t="s">
        <v>41</v>
      </c>
      <c r="AC121" t="s">
        <v>514</v>
      </c>
      <c r="AD121" t="s">
        <v>530</v>
      </c>
      <c r="AE121" t="s">
        <v>499</v>
      </c>
      <c r="AI121">
        <v>313.54449842309418</v>
      </c>
      <c r="AJ121">
        <v>4396.5531761946022</v>
      </c>
    </row>
    <row r="122" spans="1:36" hidden="1" x14ac:dyDescent="0.25">
      <c r="A122">
        <v>121</v>
      </c>
      <c r="C122" t="s">
        <v>376</v>
      </c>
      <c r="D122" t="s">
        <v>377</v>
      </c>
      <c r="E122" t="s">
        <v>37</v>
      </c>
      <c r="F122" t="s">
        <v>57</v>
      </c>
      <c r="G122" s="2">
        <v>45897</v>
      </c>
      <c r="I122" t="s">
        <v>72</v>
      </c>
      <c r="J122" t="s">
        <v>40</v>
      </c>
      <c r="K122" t="s">
        <v>41</v>
      </c>
      <c r="L122" t="s">
        <v>378</v>
      </c>
      <c r="M122" t="s">
        <v>379</v>
      </c>
      <c r="O122" t="s">
        <v>87</v>
      </c>
      <c r="P122" t="s">
        <v>88</v>
      </c>
      <c r="Q122">
        <v>0.36112182895580419</v>
      </c>
      <c r="R122" t="s">
        <v>60</v>
      </c>
      <c r="S122" t="s">
        <v>66</v>
      </c>
      <c r="V122" t="s">
        <v>703</v>
      </c>
      <c r="Y122" t="s">
        <v>451</v>
      </c>
      <c r="Z122" t="s">
        <v>413</v>
      </c>
      <c r="AA122" t="s">
        <v>441</v>
      </c>
      <c r="AB122" t="s">
        <v>41</v>
      </c>
      <c r="AI122">
        <v>172.16423393495259</v>
      </c>
      <c r="AJ122">
        <v>1461.414038428939</v>
      </c>
    </row>
    <row r="123" spans="1:36" hidden="1" x14ac:dyDescent="0.25">
      <c r="A123">
        <v>122</v>
      </c>
      <c r="C123" t="s">
        <v>376</v>
      </c>
      <c r="D123" t="s">
        <v>377</v>
      </c>
      <c r="E123" t="s">
        <v>37</v>
      </c>
      <c r="F123" t="s">
        <v>57</v>
      </c>
      <c r="G123" s="2">
        <v>45897</v>
      </c>
      <c r="I123" t="s">
        <v>72</v>
      </c>
      <c r="J123" t="s">
        <v>40</v>
      </c>
      <c r="K123" t="s">
        <v>41</v>
      </c>
      <c r="L123" t="s">
        <v>378</v>
      </c>
      <c r="M123" t="s">
        <v>379</v>
      </c>
      <c r="O123" t="s">
        <v>704</v>
      </c>
      <c r="P123" t="s">
        <v>705</v>
      </c>
      <c r="Q123">
        <v>0.11500011415655489</v>
      </c>
      <c r="R123" t="s">
        <v>60</v>
      </c>
      <c r="S123" t="s">
        <v>66</v>
      </c>
      <c r="V123" t="s">
        <v>703</v>
      </c>
      <c r="Y123" t="s">
        <v>451</v>
      </c>
      <c r="Z123" t="s">
        <v>413</v>
      </c>
      <c r="AA123" t="s">
        <v>441</v>
      </c>
      <c r="AB123" t="s">
        <v>41</v>
      </c>
      <c r="AI123">
        <v>88.722665105193315</v>
      </c>
      <c r="AJ123">
        <v>465.39081211257422</v>
      </c>
    </row>
    <row r="124" spans="1:36" hidden="1" x14ac:dyDescent="0.25">
      <c r="A124">
        <v>123</v>
      </c>
      <c r="C124" t="s">
        <v>376</v>
      </c>
      <c r="D124" t="s">
        <v>377</v>
      </c>
      <c r="E124" t="s">
        <v>37</v>
      </c>
      <c r="F124" t="s">
        <v>57</v>
      </c>
      <c r="G124" s="2">
        <v>45897</v>
      </c>
      <c r="I124" t="s">
        <v>72</v>
      </c>
      <c r="J124" t="s">
        <v>40</v>
      </c>
      <c r="K124" t="s">
        <v>41</v>
      </c>
      <c r="L124" t="s">
        <v>378</v>
      </c>
      <c r="M124" t="s">
        <v>379</v>
      </c>
      <c r="O124" t="s">
        <v>408</v>
      </c>
      <c r="P124" t="s">
        <v>409</v>
      </c>
      <c r="Q124">
        <v>8.6474891547823313E-2</v>
      </c>
      <c r="R124" t="s">
        <v>60</v>
      </c>
      <c r="S124" t="s">
        <v>66</v>
      </c>
      <c r="V124" t="s">
        <v>75</v>
      </c>
      <c r="Y124" t="s">
        <v>451</v>
      </c>
      <c r="Z124" t="s">
        <v>413</v>
      </c>
      <c r="AA124" t="s">
        <v>441</v>
      </c>
      <c r="AB124" t="s">
        <v>41</v>
      </c>
      <c r="AI124">
        <v>91.515849900194922</v>
      </c>
      <c r="AJ124">
        <v>349.95287004673258</v>
      </c>
    </row>
    <row r="125" spans="1:36" hidden="1" x14ac:dyDescent="0.25">
      <c r="A125">
        <v>124</v>
      </c>
      <c r="C125" t="s">
        <v>376</v>
      </c>
      <c r="D125" t="s">
        <v>377</v>
      </c>
      <c r="E125" t="s">
        <v>37</v>
      </c>
      <c r="F125" t="s">
        <v>57</v>
      </c>
      <c r="G125" s="2">
        <v>45897</v>
      </c>
      <c r="I125" t="s">
        <v>72</v>
      </c>
      <c r="J125" t="s">
        <v>40</v>
      </c>
      <c r="K125" t="s">
        <v>41</v>
      </c>
      <c r="L125" t="s">
        <v>378</v>
      </c>
      <c r="M125" t="s">
        <v>379</v>
      </c>
      <c r="O125" t="s">
        <v>408</v>
      </c>
      <c r="P125" t="s">
        <v>409</v>
      </c>
      <c r="Q125">
        <v>0.25894892559617172</v>
      </c>
      <c r="R125" t="s">
        <v>60</v>
      </c>
      <c r="S125" t="s">
        <v>66</v>
      </c>
      <c r="V125" t="s">
        <v>75</v>
      </c>
      <c r="Y125" t="s">
        <v>451</v>
      </c>
      <c r="Z125" t="s">
        <v>413</v>
      </c>
      <c r="AA125" t="s">
        <v>441</v>
      </c>
      <c r="AB125" t="s">
        <v>41</v>
      </c>
      <c r="AI125">
        <v>132.9949273388747</v>
      </c>
      <c r="AJ125">
        <v>1047.933314351513</v>
      </c>
    </row>
    <row r="126" spans="1:36" hidden="1" x14ac:dyDescent="0.25">
      <c r="A126">
        <v>125</v>
      </c>
      <c r="B126" t="s">
        <v>666</v>
      </c>
      <c r="C126" t="s">
        <v>376</v>
      </c>
      <c r="D126" t="s">
        <v>377</v>
      </c>
      <c r="E126" t="s">
        <v>37</v>
      </c>
      <c r="F126" t="s">
        <v>57</v>
      </c>
      <c r="G126" s="2">
        <v>45897</v>
      </c>
      <c r="H126">
        <v>0.15</v>
      </c>
      <c r="I126" t="s">
        <v>72</v>
      </c>
      <c r="J126" t="s">
        <v>40</v>
      </c>
      <c r="K126" t="s">
        <v>41</v>
      </c>
      <c r="L126" t="s">
        <v>378</v>
      </c>
      <c r="M126" t="s">
        <v>379</v>
      </c>
      <c r="O126" t="s">
        <v>62</v>
      </c>
      <c r="P126" t="s">
        <v>63</v>
      </c>
      <c r="Q126">
        <v>6.8166703423212752E-2</v>
      </c>
      <c r="R126" t="s">
        <v>64</v>
      </c>
      <c r="S126" t="s">
        <v>65</v>
      </c>
      <c r="T126" t="s">
        <v>667</v>
      </c>
      <c r="V126" t="s">
        <v>75</v>
      </c>
      <c r="X126" t="s">
        <v>662</v>
      </c>
      <c r="Y126" t="s">
        <v>440</v>
      </c>
      <c r="Z126" t="s">
        <v>421</v>
      </c>
      <c r="AA126" t="s">
        <v>471</v>
      </c>
      <c r="AB126" t="s">
        <v>41</v>
      </c>
      <c r="AC126" t="s">
        <v>663</v>
      </c>
      <c r="AD126" t="s">
        <v>664</v>
      </c>
      <c r="AE126" t="s">
        <v>665</v>
      </c>
      <c r="AI126">
        <v>72.970748278307823</v>
      </c>
      <c r="AJ126">
        <v>275.86196498882111</v>
      </c>
    </row>
    <row r="127" spans="1:36" hidden="1" x14ac:dyDescent="0.25">
      <c r="A127">
        <v>126</v>
      </c>
      <c r="B127" t="s">
        <v>529</v>
      </c>
      <c r="C127" t="s">
        <v>376</v>
      </c>
      <c r="D127" t="s">
        <v>377</v>
      </c>
      <c r="E127" t="s">
        <v>37</v>
      </c>
      <c r="F127" t="s">
        <v>57</v>
      </c>
      <c r="G127" s="2">
        <v>45897</v>
      </c>
      <c r="H127">
        <v>2.7</v>
      </c>
      <c r="I127" t="s">
        <v>72</v>
      </c>
      <c r="J127" t="s">
        <v>40</v>
      </c>
      <c r="K127" t="s">
        <v>41</v>
      </c>
      <c r="L127" t="s">
        <v>378</v>
      </c>
      <c r="M127" t="s">
        <v>379</v>
      </c>
      <c r="N127" t="s">
        <v>479</v>
      </c>
      <c r="O127" t="s">
        <v>79</v>
      </c>
      <c r="P127" t="s">
        <v>80</v>
      </c>
      <c r="Q127">
        <v>0.44925539162088862</v>
      </c>
      <c r="R127" t="s">
        <v>46</v>
      </c>
      <c r="S127" t="s">
        <v>47</v>
      </c>
      <c r="T127" t="s">
        <v>480</v>
      </c>
      <c r="V127" t="s">
        <v>75</v>
      </c>
      <c r="X127" t="s">
        <v>498</v>
      </c>
      <c r="Y127" t="s">
        <v>440</v>
      </c>
      <c r="Z127" t="s">
        <v>421</v>
      </c>
      <c r="AA127" t="s">
        <v>471</v>
      </c>
      <c r="AB127" t="s">
        <v>41</v>
      </c>
      <c r="AC127" t="s">
        <v>514</v>
      </c>
      <c r="AD127" t="s">
        <v>530</v>
      </c>
      <c r="AE127" t="s">
        <v>499</v>
      </c>
      <c r="AI127">
        <v>173.51083370291619</v>
      </c>
      <c r="AJ127">
        <v>1818.079339188904</v>
      </c>
    </row>
    <row r="128" spans="1:36" hidden="1" x14ac:dyDescent="0.25">
      <c r="A128">
        <v>127</v>
      </c>
      <c r="B128" t="s">
        <v>529</v>
      </c>
      <c r="C128" t="s">
        <v>376</v>
      </c>
      <c r="D128" t="s">
        <v>377</v>
      </c>
      <c r="E128" t="s">
        <v>37</v>
      </c>
      <c r="F128" t="s">
        <v>57</v>
      </c>
      <c r="G128" s="2">
        <v>45897</v>
      </c>
      <c r="H128">
        <v>2.7</v>
      </c>
      <c r="I128" t="s">
        <v>72</v>
      </c>
      <c r="J128" t="s">
        <v>40</v>
      </c>
      <c r="K128" t="s">
        <v>41</v>
      </c>
      <c r="L128" t="s">
        <v>378</v>
      </c>
      <c r="M128" t="s">
        <v>379</v>
      </c>
      <c r="N128" t="s">
        <v>479</v>
      </c>
      <c r="O128" t="s">
        <v>62</v>
      </c>
      <c r="P128" t="s">
        <v>63</v>
      </c>
      <c r="Q128">
        <v>0.45570057978812778</v>
      </c>
      <c r="R128" t="s">
        <v>64</v>
      </c>
      <c r="S128" t="s">
        <v>65</v>
      </c>
      <c r="T128" t="s">
        <v>480</v>
      </c>
      <c r="V128" t="s">
        <v>75</v>
      </c>
      <c r="X128" t="s">
        <v>498</v>
      </c>
      <c r="Y128" t="s">
        <v>440</v>
      </c>
      <c r="Z128" t="s">
        <v>421</v>
      </c>
      <c r="AA128" t="s">
        <v>471</v>
      </c>
      <c r="AB128" t="s">
        <v>41</v>
      </c>
      <c r="AC128" t="s">
        <v>514</v>
      </c>
      <c r="AD128" t="s">
        <v>530</v>
      </c>
      <c r="AE128" t="s">
        <v>499</v>
      </c>
      <c r="AI128">
        <v>231.5563828082729</v>
      </c>
      <c r="AJ128">
        <v>1844.1621946483911</v>
      </c>
    </row>
    <row r="129" spans="1:36" hidden="1" x14ac:dyDescent="0.25">
      <c r="A129">
        <v>129</v>
      </c>
      <c r="B129" t="s">
        <v>424</v>
      </c>
      <c r="C129" t="s">
        <v>376</v>
      </c>
      <c r="D129" t="s">
        <v>377</v>
      </c>
      <c r="E129" t="s">
        <v>37</v>
      </c>
      <c r="F129" t="s">
        <v>57</v>
      </c>
      <c r="G129" s="2">
        <v>45897</v>
      </c>
      <c r="H129">
        <v>7.3</v>
      </c>
      <c r="I129" t="s">
        <v>72</v>
      </c>
      <c r="J129" t="s">
        <v>40</v>
      </c>
      <c r="K129" t="s">
        <v>41</v>
      </c>
      <c r="L129" t="s">
        <v>378</v>
      </c>
      <c r="M129" t="s">
        <v>379</v>
      </c>
      <c r="O129" t="s">
        <v>402</v>
      </c>
      <c r="P129" t="s">
        <v>403</v>
      </c>
      <c r="Q129">
        <v>0.22172059362789051</v>
      </c>
      <c r="S129" t="s">
        <v>38</v>
      </c>
      <c r="T129" t="s">
        <v>425</v>
      </c>
      <c r="V129" t="s">
        <v>73</v>
      </c>
      <c r="X129" t="s">
        <v>419</v>
      </c>
      <c r="Y129" t="s">
        <v>420</v>
      </c>
      <c r="Z129" t="s">
        <v>421</v>
      </c>
      <c r="AA129" t="s">
        <v>124</v>
      </c>
      <c r="AB129" t="s">
        <v>41</v>
      </c>
      <c r="AC129" t="s">
        <v>57</v>
      </c>
      <c r="AD129" t="s">
        <v>422</v>
      </c>
      <c r="AE129" t="s">
        <v>423</v>
      </c>
      <c r="AI129">
        <v>149.20909068464741</v>
      </c>
      <c r="AJ129">
        <v>897.27499739776954</v>
      </c>
    </row>
    <row r="130" spans="1:36" x14ac:dyDescent="0.25">
      <c r="A130">
        <v>131</v>
      </c>
      <c r="C130" t="s">
        <v>376</v>
      </c>
      <c r="D130" t="s">
        <v>377</v>
      </c>
      <c r="E130" t="s">
        <v>37</v>
      </c>
      <c r="F130" t="s">
        <v>57</v>
      </c>
      <c r="G130" s="2">
        <v>45897</v>
      </c>
      <c r="I130" t="s">
        <v>72</v>
      </c>
      <c r="J130" t="s">
        <v>40</v>
      </c>
      <c r="K130" t="s">
        <v>41</v>
      </c>
      <c r="L130" t="s">
        <v>378</v>
      </c>
      <c r="M130" t="s">
        <v>379</v>
      </c>
      <c r="P130" t="s">
        <v>137</v>
      </c>
      <c r="Q130">
        <v>59.162017365162427</v>
      </c>
      <c r="T130" t="s">
        <v>706</v>
      </c>
      <c r="V130" t="s">
        <v>574</v>
      </c>
      <c r="X130" t="s">
        <v>707</v>
      </c>
      <c r="Y130" t="s">
        <v>412</v>
      </c>
      <c r="Z130" t="s">
        <v>421</v>
      </c>
      <c r="AA130" t="s">
        <v>603</v>
      </c>
      <c r="AB130" t="s">
        <v>41</v>
      </c>
      <c r="AI130">
        <v>3658.1363297624512</v>
      </c>
      <c r="AJ130">
        <v>239421.14761998071</v>
      </c>
    </row>
    <row r="131" spans="1:36" x14ac:dyDescent="0.25">
      <c r="A131">
        <v>134</v>
      </c>
      <c r="C131" t="s">
        <v>376</v>
      </c>
      <c r="D131" t="s">
        <v>377</v>
      </c>
      <c r="E131" t="s">
        <v>37</v>
      </c>
      <c r="F131" t="s">
        <v>57</v>
      </c>
      <c r="G131" s="2">
        <v>45897</v>
      </c>
      <c r="I131" t="s">
        <v>72</v>
      </c>
      <c r="J131" t="s">
        <v>40</v>
      </c>
      <c r="K131" t="s">
        <v>41</v>
      </c>
      <c r="L131" t="s">
        <v>378</v>
      </c>
      <c r="M131" t="s">
        <v>379</v>
      </c>
      <c r="P131" t="s">
        <v>116</v>
      </c>
      <c r="Q131">
        <v>95.956846034786793</v>
      </c>
      <c r="T131" t="s">
        <v>708</v>
      </c>
      <c r="V131" t="s">
        <v>709</v>
      </c>
      <c r="X131" t="s">
        <v>710</v>
      </c>
      <c r="Y131" t="s">
        <v>711</v>
      </c>
      <c r="Z131" t="s">
        <v>413</v>
      </c>
      <c r="AA131" t="s">
        <v>712</v>
      </c>
      <c r="AB131" t="s">
        <v>453</v>
      </c>
      <c r="AI131">
        <v>3715.6908169348608</v>
      </c>
      <c r="AJ131">
        <v>388325.13194809941</v>
      </c>
    </row>
  </sheetData>
  <autoFilter ref="A1:AJ131" xr:uid="{00000000-0001-0000-0200-000000000000}">
    <filterColumn colId="15">
      <filters>
        <filter val="Reservoir Dry"/>
        <filter val="Reservoir Retaining water (note volume in remarks)"/>
        <filter val="Stock Rank, Dry"/>
        <filter val="Stock Tank Retaining water (note volume in remarks)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6"/>
  <sheetViews>
    <sheetView workbookViewId="0">
      <pane ySplit="1" topLeftCell="A2" activePane="bottomLeft" state="frozen"/>
      <selection pane="bottomLeft" activeCell="H47" sqref="H47"/>
    </sheetView>
  </sheetViews>
  <sheetFormatPr defaultRowHeight="15" x14ac:dyDescent="0.25"/>
  <cols>
    <col min="1" max="1" width="9.28515625" bestFit="1" customWidth="1"/>
    <col min="7" max="7" width="17.28515625" bestFit="1" customWidth="1"/>
    <col min="15" max="15" width="11.5703125" bestFit="1" customWidth="1"/>
    <col min="16" max="16" width="48.85546875" bestFit="1" customWidth="1"/>
    <col min="17" max="17" width="9.28515625" bestFit="1" customWidth="1"/>
    <col min="35" max="36" width="9.28515625" bestFit="1" customWidth="1"/>
  </cols>
  <sheetData>
    <row r="1" spans="1:3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>
        <v>248</v>
      </c>
      <c r="C2" t="s">
        <v>36</v>
      </c>
      <c r="E2" t="s">
        <v>37</v>
      </c>
      <c r="F2" t="s">
        <v>38</v>
      </c>
      <c r="G2" s="2">
        <v>45839</v>
      </c>
      <c r="I2" t="s">
        <v>39</v>
      </c>
      <c r="J2" t="s">
        <v>40</v>
      </c>
      <c r="K2" t="s">
        <v>41</v>
      </c>
      <c r="L2" t="s">
        <v>42</v>
      </c>
      <c r="M2" t="s">
        <v>36</v>
      </c>
      <c r="N2" t="s">
        <v>43</v>
      </c>
      <c r="O2" t="s">
        <v>141</v>
      </c>
      <c r="P2" t="s">
        <v>142</v>
      </c>
      <c r="Q2">
        <v>0.37265839440589649</v>
      </c>
      <c r="R2">
        <v>0</v>
      </c>
      <c r="S2" t="s">
        <v>38</v>
      </c>
      <c r="V2" t="s">
        <v>71</v>
      </c>
      <c r="Y2" t="s">
        <v>120</v>
      </c>
      <c r="Z2" t="s">
        <v>69</v>
      </c>
      <c r="AA2" t="s">
        <v>124</v>
      </c>
      <c r="AB2" t="s">
        <v>51</v>
      </c>
      <c r="AI2">
        <v>177.21535573307281</v>
      </c>
      <c r="AJ2">
        <v>1508.1010491609391</v>
      </c>
    </row>
    <row r="3" spans="1:36" x14ac:dyDescent="0.25">
      <c r="A3">
        <v>203</v>
      </c>
      <c r="C3" t="s">
        <v>36</v>
      </c>
      <c r="E3" t="s">
        <v>37</v>
      </c>
      <c r="F3" t="s">
        <v>38</v>
      </c>
      <c r="G3" s="2">
        <v>45839</v>
      </c>
      <c r="I3" t="s">
        <v>39</v>
      </c>
      <c r="J3" t="s">
        <v>40</v>
      </c>
      <c r="K3" t="s">
        <v>41</v>
      </c>
      <c r="L3" t="s">
        <v>42</v>
      </c>
      <c r="M3" t="s">
        <v>36</v>
      </c>
      <c r="N3" t="s">
        <v>126</v>
      </c>
      <c r="O3" t="s">
        <v>115</v>
      </c>
      <c r="P3" t="s">
        <v>137</v>
      </c>
      <c r="Q3">
        <v>0.96094632609354813</v>
      </c>
      <c r="R3">
        <v>0</v>
      </c>
      <c r="S3" t="s">
        <v>38</v>
      </c>
      <c r="T3" t="s">
        <v>138</v>
      </c>
      <c r="V3" t="s">
        <v>110</v>
      </c>
      <c r="Y3" t="s">
        <v>48</v>
      </c>
      <c r="Z3" t="s">
        <v>69</v>
      </c>
      <c r="AA3" t="s">
        <v>64</v>
      </c>
      <c r="AB3" t="s">
        <v>51</v>
      </c>
      <c r="AI3">
        <v>337.56254341067751</v>
      </c>
      <c r="AJ3">
        <v>3888.8273666272712</v>
      </c>
    </row>
    <row r="4" spans="1:36" x14ac:dyDescent="0.25">
      <c r="A4">
        <v>117</v>
      </c>
      <c r="C4" t="s">
        <v>36</v>
      </c>
      <c r="E4" t="s">
        <v>37</v>
      </c>
      <c r="F4" t="s">
        <v>38</v>
      </c>
      <c r="G4" s="2">
        <v>45839</v>
      </c>
      <c r="I4" t="s">
        <v>39</v>
      </c>
      <c r="J4" t="s">
        <v>40</v>
      </c>
      <c r="K4" t="s">
        <v>41</v>
      </c>
      <c r="L4" t="s">
        <v>42</v>
      </c>
      <c r="M4" t="s">
        <v>36</v>
      </c>
      <c r="N4" t="s">
        <v>43</v>
      </c>
      <c r="O4" t="s">
        <v>1081</v>
      </c>
      <c r="P4" t="s">
        <v>116</v>
      </c>
      <c r="Q4">
        <v>0.59961224285715753</v>
      </c>
      <c r="R4">
        <v>0</v>
      </c>
      <c r="S4" t="s">
        <v>38</v>
      </c>
      <c r="T4" t="s">
        <v>117</v>
      </c>
      <c r="V4" t="s">
        <v>110</v>
      </c>
      <c r="Y4" t="s">
        <v>48</v>
      </c>
      <c r="Z4" t="s">
        <v>69</v>
      </c>
      <c r="AA4" t="s">
        <v>64</v>
      </c>
      <c r="AB4" t="s">
        <v>51</v>
      </c>
      <c r="AI4">
        <v>216.50054627092629</v>
      </c>
      <c r="AJ4">
        <v>2426.554362163899</v>
      </c>
    </row>
    <row r="5" spans="1:36" x14ac:dyDescent="0.25">
      <c r="A5">
        <v>1</v>
      </c>
      <c r="C5" t="s">
        <v>36</v>
      </c>
      <c r="E5" t="s">
        <v>37</v>
      </c>
      <c r="F5" t="s">
        <v>38</v>
      </c>
      <c r="G5" s="2">
        <v>45838</v>
      </c>
      <c r="I5" t="s">
        <v>39</v>
      </c>
      <c r="J5" t="s">
        <v>40</v>
      </c>
      <c r="K5" t="s">
        <v>41</v>
      </c>
      <c r="L5" t="s">
        <v>42</v>
      </c>
      <c r="M5" t="s">
        <v>36</v>
      </c>
      <c r="N5" t="s">
        <v>43</v>
      </c>
      <c r="O5" t="s">
        <v>44</v>
      </c>
      <c r="P5" t="s">
        <v>45</v>
      </c>
      <c r="Q5">
        <v>8.9024415056037984</v>
      </c>
      <c r="R5" t="s">
        <v>46</v>
      </c>
      <c r="S5" t="s">
        <v>47</v>
      </c>
      <c r="V5" t="s">
        <v>46</v>
      </c>
      <c r="Y5" t="s">
        <v>48</v>
      </c>
      <c r="Z5" t="s">
        <v>49</v>
      </c>
      <c r="AA5" t="s">
        <v>50</v>
      </c>
      <c r="AB5" t="s">
        <v>51</v>
      </c>
      <c r="AI5">
        <v>785.18480685272937</v>
      </c>
      <c r="AJ5">
        <v>36027.046690035713</v>
      </c>
    </row>
    <row r="6" spans="1:36" x14ac:dyDescent="0.25">
      <c r="A6">
        <v>7</v>
      </c>
      <c r="C6" t="s">
        <v>36</v>
      </c>
      <c r="E6" t="s">
        <v>37</v>
      </c>
      <c r="F6" t="s">
        <v>38</v>
      </c>
      <c r="G6" s="2">
        <v>45838</v>
      </c>
      <c r="I6" t="s">
        <v>39</v>
      </c>
      <c r="J6" t="s">
        <v>40</v>
      </c>
      <c r="K6" t="s">
        <v>41</v>
      </c>
      <c r="L6" t="s">
        <v>42</v>
      </c>
      <c r="M6" t="s">
        <v>36</v>
      </c>
      <c r="N6" t="s">
        <v>43</v>
      </c>
      <c r="O6" t="s">
        <v>44</v>
      </c>
      <c r="P6" t="s">
        <v>45</v>
      </c>
      <c r="Q6">
        <v>48.433275930875674</v>
      </c>
      <c r="R6" t="s">
        <v>46</v>
      </c>
      <c r="S6" t="s">
        <v>47</v>
      </c>
      <c r="T6" t="s">
        <v>38</v>
      </c>
      <c r="V6" t="s">
        <v>46</v>
      </c>
      <c r="Y6" t="s">
        <v>48</v>
      </c>
      <c r="Z6" t="s">
        <v>49</v>
      </c>
      <c r="AA6" t="s">
        <v>54</v>
      </c>
      <c r="AB6" t="s">
        <v>51</v>
      </c>
      <c r="AI6">
        <v>1787.780211181454</v>
      </c>
      <c r="AJ6">
        <v>196003.29777114259</v>
      </c>
    </row>
    <row r="7" spans="1:36" x14ac:dyDescent="0.25">
      <c r="A7">
        <v>8</v>
      </c>
      <c r="C7" t="s">
        <v>36</v>
      </c>
      <c r="E7" t="s">
        <v>37</v>
      </c>
      <c r="F7" t="s">
        <v>38</v>
      </c>
      <c r="G7" s="2">
        <v>45838</v>
      </c>
      <c r="I7" t="s">
        <v>39</v>
      </c>
      <c r="J7" t="s">
        <v>40</v>
      </c>
      <c r="K7" t="s">
        <v>41</v>
      </c>
      <c r="L7" t="s">
        <v>42</v>
      </c>
      <c r="M7" t="s">
        <v>36</v>
      </c>
      <c r="N7" t="s">
        <v>43</v>
      </c>
      <c r="O7" t="s">
        <v>44</v>
      </c>
      <c r="P7" t="s">
        <v>45</v>
      </c>
      <c r="Q7">
        <v>32.227444855471859</v>
      </c>
      <c r="R7" t="s">
        <v>46</v>
      </c>
      <c r="S7" t="s">
        <v>47</v>
      </c>
      <c r="V7" t="s">
        <v>46</v>
      </c>
      <c r="Y7" t="s">
        <v>48</v>
      </c>
      <c r="Z7" t="s">
        <v>49</v>
      </c>
      <c r="AA7" t="s">
        <v>54</v>
      </c>
      <c r="AB7" t="s">
        <v>51</v>
      </c>
      <c r="AI7">
        <v>1479.6009788097069</v>
      </c>
      <c r="AJ7">
        <v>130420.3638718419</v>
      </c>
    </row>
    <row r="8" spans="1:36" x14ac:dyDescent="0.25">
      <c r="A8">
        <v>13</v>
      </c>
      <c r="C8" t="s">
        <v>36</v>
      </c>
      <c r="E8" t="s">
        <v>37</v>
      </c>
      <c r="F8" t="s">
        <v>38</v>
      </c>
      <c r="G8" s="2">
        <v>45838</v>
      </c>
      <c r="I8" t="s">
        <v>39</v>
      </c>
      <c r="J8" t="s">
        <v>40</v>
      </c>
      <c r="K8" t="s">
        <v>41</v>
      </c>
      <c r="L8" t="s">
        <v>42</v>
      </c>
      <c r="M8" t="s">
        <v>36</v>
      </c>
      <c r="N8" t="s">
        <v>43</v>
      </c>
      <c r="O8" t="s">
        <v>44</v>
      </c>
      <c r="P8" t="s">
        <v>45</v>
      </c>
      <c r="Q8">
        <v>8.6086988025098794</v>
      </c>
      <c r="R8" t="s">
        <v>46</v>
      </c>
      <c r="S8" t="s">
        <v>47</v>
      </c>
      <c r="V8" t="s">
        <v>60</v>
      </c>
      <c r="Y8" t="s">
        <v>48</v>
      </c>
      <c r="Z8" t="s">
        <v>49</v>
      </c>
      <c r="AA8" t="s">
        <v>61</v>
      </c>
      <c r="AB8" t="s">
        <v>51</v>
      </c>
      <c r="AI8">
        <v>986.45269319561328</v>
      </c>
      <c r="AJ8">
        <v>34838.307390534501</v>
      </c>
    </row>
    <row r="9" spans="1:36" x14ac:dyDescent="0.25">
      <c r="A9">
        <v>45</v>
      </c>
      <c r="C9" t="s">
        <v>36</v>
      </c>
      <c r="E9" t="s">
        <v>37</v>
      </c>
      <c r="F9" t="s">
        <v>38</v>
      </c>
      <c r="G9" s="2">
        <v>45838</v>
      </c>
      <c r="I9" t="s">
        <v>39</v>
      </c>
      <c r="J9" t="s">
        <v>40</v>
      </c>
      <c r="K9" t="s">
        <v>41</v>
      </c>
      <c r="L9" t="s">
        <v>42</v>
      </c>
      <c r="M9" t="s">
        <v>36</v>
      </c>
      <c r="N9" t="s">
        <v>43</v>
      </c>
      <c r="O9" t="s">
        <v>44</v>
      </c>
      <c r="P9" t="s">
        <v>45</v>
      </c>
      <c r="Q9">
        <v>18.74249787182162</v>
      </c>
      <c r="R9" t="s">
        <v>46</v>
      </c>
      <c r="S9" t="s">
        <v>47</v>
      </c>
      <c r="V9" t="s">
        <v>76</v>
      </c>
      <c r="AB9" t="s">
        <v>51</v>
      </c>
      <c r="AI9">
        <v>1234.131495312427</v>
      </c>
      <c r="AJ9">
        <v>75848.501278101365</v>
      </c>
    </row>
    <row r="10" spans="1:36" x14ac:dyDescent="0.25">
      <c r="A10">
        <v>136</v>
      </c>
      <c r="C10" t="s">
        <v>36</v>
      </c>
      <c r="E10" t="s">
        <v>37</v>
      </c>
      <c r="F10" t="s">
        <v>38</v>
      </c>
      <c r="G10" s="2">
        <v>45839</v>
      </c>
      <c r="I10" t="s">
        <v>39</v>
      </c>
      <c r="J10" t="s">
        <v>40</v>
      </c>
      <c r="K10" t="s">
        <v>41</v>
      </c>
      <c r="L10" t="s">
        <v>42</v>
      </c>
      <c r="M10" t="s">
        <v>36</v>
      </c>
      <c r="N10" t="s">
        <v>43</v>
      </c>
      <c r="O10" t="s">
        <v>44</v>
      </c>
      <c r="P10" t="s">
        <v>45</v>
      </c>
      <c r="Q10">
        <v>22.93839131424027</v>
      </c>
      <c r="R10" t="s">
        <v>46</v>
      </c>
      <c r="S10" t="s">
        <v>47</v>
      </c>
      <c r="V10" t="s">
        <v>71</v>
      </c>
      <c r="Y10" t="s">
        <v>120</v>
      </c>
      <c r="Z10" t="s">
        <v>69</v>
      </c>
      <c r="AB10" t="s">
        <v>51</v>
      </c>
      <c r="AI10">
        <v>1275.692272177557</v>
      </c>
      <c r="AJ10">
        <v>92828.747524176375</v>
      </c>
    </row>
    <row r="11" spans="1:36" x14ac:dyDescent="0.25">
      <c r="A11">
        <v>229</v>
      </c>
      <c r="C11" t="s">
        <v>36</v>
      </c>
      <c r="E11" t="s">
        <v>37</v>
      </c>
      <c r="F11" t="s">
        <v>38</v>
      </c>
      <c r="G11" s="2">
        <v>45839</v>
      </c>
      <c r="I11" t="s">
        <v>39</v>
      </c>
      <c r="J11" t="s">
        <v>40</v>
      </c>
      <c r="K11" t="s">
        <v>41</v>
      </c>
      <c r="L11" t="s">
        <v>42</v>
      </c>
      <c r="M11" t="s">
        <v>36</v>
      </c>
      <c r="N11" t="s">
        <v>43</v>
      </c>
      <c r="O11" t="s">
        <v>44</v>
      </c>
      <c r="P11" t="s">
        <v>45</v>
      </c>
      <c r="Q11">
        <v>26.35119118254546</v>
      </c>
      <c r="R11" t="s">
        <v>46</v>
      </c>
      <c r="S11" t="s">
        <v>47</v>
      </c>
      <c r="V11" t="s">
        <v>70</v>
      </c>
      <c r="Y11" t="s">
        <v>48</v>
      </c>
      <c r="Z11" t="s">
        <v>69</v>
      </c>
      <c r="AA11" t="s">
        <v>76</v>
      </c>
      <c r="AB11" t="s">
        <v>51</v>
      </c>
      <c r="AI11">
        <v>1667.210673197447</v>
      </c>
      <c r="AJ11">
        <v>106639.91383420309</v>
      </c>
    </row>
    <row r="12" spans="1:36" x14ac:dyDescent="0.25">
      <c r="A12">
        <v>230</v>
      </c>
      <c r="C12" t="s">
        <v>36</v>
      </c>
      <c r="E12" t="s">
        <v>37</v>
      </c>
      <c r="F12" t="s">
        <v>38</v>
      </c>
      <c r="G12" s="2">
        <v>45839</v>
      </c>
      <c r="I12" t="s">
        <v>72</v>
      </c>
      <c r="J12" t="s">
        <v>40</v>
      </c>
      <c r="K12" t="s">
        <v>41</v>
      </c>
      <c r="L12" t="s">
        <v>42</v>
      </c>
      <c r="M12" t="s">
        <v>36</v>
      </c>
      <c r="O12" t="s">
        <v>44</v>
      </c>
      <c r="P12" t="s">
        <v>45</v>
      </c>
      <c r="Q12">
        <v>10.73951466504194</v>
      </c>
      <c r="R12" t="s">
        <v>46</v>
      </c>
      <c r="S12" t="s">
        <v>47</v>
      </c>
      <c r="V12" t="s">
        <v>70</v>
      </c>
      <c r="Y12" t="s">
        <v>48</v>
      </c>
      <c r="Z12" t="s">
        <v>69</v>
      </c>
      <c r="AA12" t="s">
        <v>76</v>
      </c>
      <c r="AB12" t="s">
        <v>51</v>
      </c>
      <c r="AI12">
        <v>830.21403672300789</v>
      </c>
      <c r="AJ12">
        <v>43461.447741301068</v>
      </c>
    </row>
    <row r="13" spans="1:36" x14ac:dyDescent="0.25">
      <c r="A13">
        <v>231</v>
      </c>
      <c r="C13" t="s">
        <v>36</v>
      </c>
      <c r="E13" t="s">
        <v>37</v>
      </c>
      <c r="F13" t="s">
        <v>38</v>
      </c>
      <c r="G13" s="2">
        <v>45839</v>
      </c>
      <c r="I13" t="s">
        <v>39</v>
      </c>
      <c r="J13" t="s">
        <v>40</v>
      </c>
      <c r="K13" t="s">
        <v>41</v>
      </c>
      <c r="L13" t="s">
        <v>42</v>
      </c>
      <c r="M13" t="s">
        <v>36</v>
      </c>
      <c r="N13" t="s">
        <v>43</v>
      </c>
      <c r="O13" t="s">
        <v>44</v>
      </c>
      <c r="P13" t="s">
        <v>45</v>
      </c>
      <c r="Q13">
        <v>10.223619301414139</v>
      </c>
      <c r="R13" t="s">
        <v>46</v>
      </c>
      <c r="S13" t="s">
        <v>47</v>
      </c>
      <c r="V13" t="s">
        <v>71</v>
      </c>
      <c r="Y13" t="s">
        <v>120</v>
      </c>
      <c r="Z13" t="s">
        <v>69</v>
      </c>
      <c r="AA13" t="s">
        <v>139</v>
      </c>
      <c r="AB13" t="s">
        <v>51</v>
      </c>
      <c r="AI13">
        <v>816.823935775574</v>
      </c>
      <c r="AJ13">
        <v>41373.684924674621</v>
      </c>
    </row>
    <row r="14" spans="1:36" x14ac:dyDescent="0.25">
      <c r="A14">
        <v>232</v>
      </c>
      <c r="C14" t="s">
        <v>36</v>
      </c>
      <c r="E14" t="s">
        <v>37</v>
      </c>
      <c r="F14" t="s">
        <v>38</v>
      </c>
      <c r="G14" s="2">
        <v>45839</v>
      </c>
      <c r="I14" t="s">
        <v>39</v>
      </c>
      <c r="J14" t="s">
        <v>40</v>
      </c>
      <c r="K14" t="s">
        <v>41</v>
      </c>
      <c r="L14" t="s">
        <v>42</v>
      </c>
      <c r="M14" t="s">
        <v>36</v>
      </c>
      <c r="N14" t="s">
        <v>43</v>
      </c>
      <c r="O14" t="s">
        <v>44</v>
      </c>
      <c r="P14" t="s">
        <v>45</v>
      </c>
      <c r="Q14">
        <v>18.443240637932359</v>
      </c>
      <c r="R14" t="s">
        <v>46</v>
      </c>
      <c r="S14" t="s">
        <v>47</v>
      </c>
      <c r="V14" t="s">
        <v>71</v>
      </c>
      <c r="Y14" t="s">
        <v>120</v>
      </c>
      <c r="Z14" t="s">
        <v>69</v>
      </c>
      <c r="AA14" t="s">
        <v>139</v>
      </c>
      <c r="AB14" t="s">
        <v>51</v>
      </c>
      <c r="AI14">
        <v>1250.0051473584649</v>
      </c>
      <c r="AJ14">
        <v>74637.445374968185</v>
      </c>
    </row>
    <row r="15" spans="1:36" x14ac:dyDescent="0.25">
      <c r="A15">
        <v>257</v>
      </c>
      <c r="C15" t="s">
        <v>36</v>
      </c>
      <c r="E15" t="s">
        <v>37</v>
      </c>
      <c r="F15" t="s">
        <v>38</v>
      </c>
      <c r="G15" s="2">
        <v>45839</v>
      </c>
      <c r="I15" t="s">
        <v>39</v>
      </c>
      <c r="J15" t="s">
        <v>40</v>
      </c>
      <c r="K15" t="s">
        <v>41</v>
      </c>
      <c r="L15" t="s">
        <v>42</v>
      </c>
      <c r="M15" t="s">
        <v>36</v>
      </c>
      <c r="N15" t="s">
        <v>43</v>
      </c>
      <c r="O15" t="s">
        <v>44</v>
      </c>
      <c r="P15" t="s">
        <v>45</v>
      </c>
      <c r="Q15">
        <v>13.825141109876579</v>
      </c>
      <c r="R15" t="s">
        <v>46</v>
      </c>
      <c r="S15" t="s">
        <v>47</v>
      </c>
      <c r="V15" t="s">
        <v>71</v>
      </c>
      <c r="Y15" t="s">
        <v>120</v>
      </c>
      <c r="Z15" t="s">
        <v>69</v>
      </c>
      <c r="AA15" t="s">
        <v>124</v>
      </c>
      <c r="AB15" t="s">
        <v>51</v>
      </c>
      <c r="AI15">
        <v>1024.7713693880121</v>
      </c>
      <c r="AJ15">
        <v>55948.584885206052</v>
      </c>
    </row>
    <row r="16" spans="1:36" x14ac:dyDescent="0.25">
      <c r="A16">
        <v>258</v>
      </c>
      <c r="C16" t="s">
        <v>36</v>
      </c>
      <c r="E16" t="s">
        <v>37</v>
      </c>
      <c r="F16" t="s">
        <v>38</v>
      </c>
      <c r="G16" s="2">
        <v>45839</v>
      </c>
      <c r="I16" t="s">
        <v>39</v>
      </c>
      <c r="J16" t="s">
        <v>40</v>
      </c>
      <c r="K16" t="s">
        <v>41</v>
      </c>
      <c r="L16" t="s">
        <v>42</v>
      </c>
      <c r="M16" t="s">
        <v>36</v>
      </c>
      <c r="N16" t="s">
        <v>43</v>
      </c>
      <c r="O16" t="s">
        <v>44</v>
      </c>
      <c r="P16" t="s">
        <v>45</v>
      </c>
      <c r="Q16">
        <v>4.3914431596271797</v>
      </c>
      <c r="R16" t="s">
        <v>46</v>
      </c>
      <c r="S16" t="s">
        <v>47</v>
      </c>
      <c r="V16" t="s">
        <v>71</v>
      </c>
      <c r="Y16" t="s">
        <v>120</v>
      </c>
      <c r="Z16" t="s">
        <v>69</v>
      </c>
      <c r="AA16" t="s">
        <v>124</v>
      </c>
      <c r="AB16" t="s">
        <v>51</v>
      </c>
      <c r="AI16">
        <v>578.0828799134016</v>
      </c>
      <c r="AJ16">
        <v>17771.611040514879</v>
      </c>
    </row>
    <row r="17" spans="1:36" x14ac:dyDescent="0.25">
      <c r="A17">
        <v>259</v>
      </c>
      <c r="C17" t="s">
        <v>36</v>
      </c>
      <c r="E17" t="s">
        <v>37</v>
      </c>
      <c r="F17" t="s">
        <v>38</v>
      </c>
      <c r="G17" s="2">
        <v>45839</v>
      </c>
      <c r="I17" t="s">
        <v>39</v>
      </c>
      <c r="J17" t="s">
        <v>40</v>
      </c>
      <c r="K17" t="s">
        <v>41</v>
      </c>
      <c r="L17" t="s">
        <v>42</v>
      </c>
      <c r="M17" t="s">
        <v>36</v>
      </c>
      <c r="N17" t="s">
        <v>43</v>
      </c>
      <c r="O17" t="s">
        <v>44</v>
      </c>
      <c r="P17" t="s">
        <v>45</v>
      </c>
      <c r="Q17">
        <v>9.6778166549350733</v>
      </c>
      <c r="R17" t="s">
        <v>46</v>
      </c>
      <c r="S17" t="s">
        <v>47</v>
      </c>
      <c r="V17" t="s">
        <v>71</v>
      </c>
      <c r="Y17" t="s">
        <v>120</v>
      </c>
      <c r="Z17" t="s">
        <v>69</v>
      </c>
      <c r="AA17" t="s">
        <v>124</v>
      </c>
      <c r="AB17" t="s">
        <v>51</v>
      </c>
      <c r="AI17">
        <v>833.73675370603303</v>
      </c>
      <c r="AJ17">
        <v>39164.891144241599</v>
      </c>
    </row>
    <row r="18" spans="1:36" x14ac:dyDescent="0.25">
      <c r="A18">
        <v>260</v>
      </c>
      <c r="C18" t="s">
        <v>36</v>
      </c>
      <c r="E18" t="s">
        <v>37</v>
      </c>
      <c r="F18" t="s">
        <v>38</v>
      </c>
      <c r="G18" s="2">
        <v>45839</v>
      </c>
      <c r="I18" t="s">
        <v>39</v>
      </c>
      <c r="J18" t="s">
        <v>40</v>
      </c>
      <c r="K18" t="s">
        <v>41</v>
      </c>
      <c r="L18" t="s">
        <v>42</v>
      </c>
      <c r="M18" t="s">
        <v>36</v>
      </c>
      <c r="N18" t="s">
        <v>43</v>
      </c>
      <c r="O18" t="s">
        <v>44</v>
      </c>
      <c r="P18" t="s">
        <v>45</v>
      </c>
      <c r="Q18">
        <v>6.4914896895261984</v>
      </c>
      <c r="R18" t="s">
        <v>46</v>
      </c>
      <c r="S18" t="s">
        <v>47</v>
      </c>
      <c r="V18" t="s">
        <v>71</v>
      </c>
      <c r="Y18" t="s">
        <v>120</v>
      </c>
      <c r="Z18" t="s">
        <v>69</v>
      </c>
      <c r="AA18" t="s">
        <v>124</v>
      </c>
      <c r="AB18" t="s">
        <v>51</v>
      </c>
      <c r="AI18">
        <v>799.38939421752866</v>
      </c>
      <c r="AJ18">
        <v>26270.23182182468</v>
      </c>
    </row>
    <row r="19" spans="1:36" x14ac:dyDescent="0.25">
      <c r="A19">
        <v>276</v>
      </c>
      <c r="C19" t="s">
        <v>36</v>
      </c>
      <c r="E19" t="s">
        <v>37</v>
      </c>
      <c r="F19" t="s">
        <v>38</v>
      </c>
      <c r="G19" s="2">
        <v>45839</v>
      </c>
      <c r="I19" t="s">
        <v>39</v>
      </c>
      <c r="J19" t="s">
        <v>40</v>
      </c>
      <c r="K19" t="s">
        <v>41</v>
      </c>
      <c r="L19" t="s">
        <v>42</v>
      </c>
      <c r="M19" t="s">
        <v>36</v>
      </c>
      <c r="N19" t="s">
        <v>43</v>
      </c>
      <c r="O19" t="s">
        <v>44</v>
      </c>
      <c r="P19" t="s">
        <v>45</v>
      </c>
      <c r="Q19">
        <v>2.6116508422717271</v>
      </c>
      <c r="R19" t="s">
        <v>46</v>
      </c>
      <c r="S19" t="s">
        <v>47</v>
      </c>
      <c r="V19" t="s">
        <v>71</v>
      </c>
      <c r="Y19" t="s">
        <v>120</v>
      </c>
      <c r="Z19" t="s">
        <v>69</v>
      </c>
      <c r="AA19" t="s">
        <v>124</v>
      </c>
      <c r="AB19" t="s">
        <v>51</v>
      </c>
      <c r="AI19">
        <v>771.39418430655337</v>
      </c>
      <c r="AJ19">
        <v>10569.01826014447</v>
      </c>
    </row>
    <row r="20" spans="1:36" x14ac:dyDescent="0.25">
      <c r="A20">
        <v>283</v>
      </c>
      <c r="C20" t="s">
        <v>36</v>
      </c>
      <c r="E20" t="s">
        <v>37</v>
      </c>
      <c r="F20" t="s">
        <v>38</v>
      </c>
      <c r="G20" s="2">
        <v>45838</v>
      </c>
      <c r="I20" t="s">
        <v>39</v>
      </c>
      <c r="J20" t="s">
        <v>40</v>
      </c>
      <c r="K20" t="s">
        <v>41</v>
      </c>
      <c r="L20" t="s">
        <v>42</v>
      </c>
      <c r="M20" t="s">
        <v>36</v>
      </c>
      <c r="N20" t="s">
        <v>43</v>
      </c>
      <c r="O20" t="s">
        <v>44</v>
      </c>
      <c r="P20" t="s">
        <v>45</v>
      </c>
      <c r="Q20">
        <v>5.3034644312059918</v>
      </c>
      <c r="R20" t="s">
        <v>46</v>
      </c>
      <c r="S20" t="s">
        <v>47</v>
      </c>
      <c r="V20" t="s">
        <v>60</v>
      </c>
      <c r="Y20" t="s">
        <v>48</v>
      </c>
      <c r="Z20" t="s">
        <v>49</v>
      </c>
      <c r="AA20" t="s">
        <v>61</v>
      </c>
      <c r="AB20" t="s">
        <v>51</v>
      </c>
      <c r="AI20">
        <v>740.93294398065507</v>
      </c>
      <c r="AJ20">
        <v>21462.444944089861</v>
      </c>
    </row>
    <row r="21" spans="1:36" x14ac:dyDescent="0.25">
      <c r="A21">
        <v>291</v>
      </c>
      <c r="C21" t="s">
        <v>36</v>
      </c>
      <c r="E21" t="s">
        <v>37</v>
      </c>
      <c r="F21" t="s">
        <v>38</v>
      </c>
      <c r="G21" s="2">
        <v>45838</v>
      </c>
      <c r="I21" t="s">
        <v>39</v>
      </c>
      <c r="J21" t="s">
        <v>40</v>
      </c>
      <c r="K21" t="s">
        <v>41</v>
      </c>
      <c r="L21" t="s">
        <v>42</v>
      </c>
      <c r="M21" t="s">
        <v>36</v>
      </c>
      <c r="N21" t="s">
        <v>43</v>
      </c>
      <c r="O21" t="s">
        <v>44</v>
      </c>
      <c r="P21" t="s">
        <v>45</v>
      </c>
      <c r="Q21">
        <v>11.34298256452532</v>
      </c>
      <c r="R21" t="s">
        <v>46</v>
      </c>
      <c r="S21" t="s">
        <v>47</v>
      </c>
      <c r="V21" t="s">
        <v>73</v>
      </c>
      <c r="Y21" t="s">
        <v>48</v>
      </c>
      <c r="Z21" t="s">
        <v>69</v>
      </c>
      <c r="AA21" t="s">
        <v>71</v>
      </c>
      <c r="AB21" t="s">
        <v>51</v>
      </c>
      <c r="AI21">
        <v>1413.561956431347</v>
      </c>
      <c r="AJ21">
        <v>45903.605454658711</v>
      </c>
    </row>
    <row r="22" spans="1:36" x14ac:dyDescent="0.25">
      <c r="A22">
        <v>304</v>
      </c>
      <c r="C22" t="s">
        <v>36</v>
      </c>
      <c r="E22" t="s">
        <v>37</v>
      </c>
      <c r="F22" t="s">
        <v>38</v>
      </c>
      <c r="G22" s="2">
        <v>45839</v>
      </c>
      <c r="I22" t="s">
        <v>39</v>
      </c>
      <c r="J22" t="s">
        <v>40</v>
      </c>
      <c r="K22" t="s">
        <v>41</v>
      </c>
      <c r="L22" t="s">
        <v>42</v>
      </c>
      <c r="M22" t="s">
        <v>36</v>
      </c>
      <c r="N22" t="s">
        <v>43</v>
      </c>
      <c r="O22" t="s">
        <v>44</v>
      </c>
      <c r="P22" t="s">
        <v>45</v>
      </c>
      <c r="Q22">
        <v>9.2249779156421768E-2</v>
      </c>
      <c r="R22" t="s">
        <v>46</v>
      </c>
      <c r="S22" t="s">
        <v>47</v>
      </c>
      <c r="V22" t="s">
        <v>70</v>
      </c>
      <c r="Y22" t="s">
        <v>48</v>
      </c>
      <c r="Z22" t="s">
        <v>69</v>
      </c>
      <c r="AA22" t="s">
        <v>76</v>
      </c>
      <c r="AB22" t="s">
        <v>51</v>
      </c>
      <c r="AI22">
        <v>157.79966138743339</v>
      </c>
      <c r="AJ22">
        <v>373.32310453507188</v>
      </c>
    </row>
    <row r="23" spans="1:36" x14ac:dyDescent="0.25">
      <c r="A23">
        <v>305</v>
      </c>
      <c r="C23" t="s">
        <v>36</v>
      </c>
      <c r="E23" t="s">
        <v>37</v>
      </c>
      <c r="F23" t="s">
        <v>38</v>
      </c>
      <c r="G23" s="2">
        <v>45839</v>
      </c>
      <c r="I23" t="s">
        <v>39</v>
      </c>
      <c r="J23" t="s">
        <v>40</v>
      </c>
      <c r="K23" t="s">
        <v>41</v>
      </c>
      <c r="L23" t="s">
        <v>42</v>
      </c>
      <c r="M23" t="s">
        <v>36</v>
      </c>
      <c r="N23" t="s">
        <v>43</v>
      </c>
      <c r="O23" t="s">
        <v>44</v>
      </c>
      <c r="P23" t="s">
        <v>45</v>
      </c>
      <c r="Q23">
        <v>1.730578116068721</v>
      </c>
      <c r="R23" t="s">
        <v>46</v>
      </c>
      <c r="S23" t="s">
        <v>47</v>
      </c>
      <c r="V23" t="s">
        <v>70</v>
      </c>
      <c r="Y23" t="s">
        <v>120</v>
      </c>
      <c r="Z23" t="s">
        <v>69</v>
      </c>
      <c r="AA23" t="s">
        <v>139</v>
      </c>
      <c r="AB23" t="s">
        <v>51</v>
      </c>
      <c r="AI23">
        <v>416.03806832978768</v>
      </c>
      <c r="AJ23">
        <v>7003.4291771662893</v>
      </c>
    </row>
    <row r="24" spans="1:36" x14ac:dyDescent="0.25">
      <c r="A24">
        <v>306</v>
      </c>
      <c r="C24" t="s">
        <v>36</v>
      </c>
      <c r="E24" t="s">
        <v>37</v>
      </c>
      <c r="F24" t="s">
        <v>38</v>
      </c>
      <c r="G24" s="2">
        <v>45839</v>
      </c>
      <c r="I24" t="s">
        <v>39</v>
      </c>
      <c r="J24" t="s">
        <v>40</v>
      </c>
      <c r="K24" t="s">
        <v>41</v>
      </c>
      <c r="L24" t="s">
        <v>42</v>
      </c>
      <c r="M24" t="s">
        <v>36</v>
      </c>
      <c r="N24" t="s">
        <v>43</v>
      </c>
      <c r="O24" t="s">
        <v>44</v>
      </c>
      <c r="P24" t="s">
        <v>45</v>
      </c>
      <c r="Q24">
        <v>8.1086288050388582</v>
      </c>
      <c r="R24" t="s">
        <v>46</v>
      </c>
      <c r="S24" t="s">
        <v>47</v>
      </c>
      <c r="V24" t="s">
        <v>70</v>
      </c>
      <c r="Y24" t="s">
        <v>48</v>
      </c>
      <c r="Z24" t="s">
        <v>69</v>
      </c>
      <c r="AA24" t="s">
        <v>76</v>
      </c>
      <c r="AB24" t="s">
        <v>51</v>
      </c>
      <c r="AI24">
        <v>1045.6801753706111</v>
      </c>
      <c r="AJ24">
        <v>32814.587814749138</v>
      </c>
    </row>
    <row r="25" spans="1:36" x14ac:dyDescent="0.25">
      <c r="A25">
        <v>178</v>
      </c>
      <c r="C25" t="s">
        <v>36</v>
      </c>
      <c r="E25" t="s">
        <v>37</v>
      </c>
      <c r="F25" t="s">
        <v>38</v>
      </c>
      <c r="G25" s="2">
        <v>45838</v>
      </c>
      <c r="I25" t="s">
        <v>72</v>
      </c>
      <c r="J25" t="s">
        <v>40</v>
      </c>
      <c r="K25" t="s">
        <v>41</v>
      </c>
      <c r="L25" t="s">
        <v>42</v>
      </c>
      <c r="M25" t="s">
        <v>36</v>
      </c>
      <c r="O25" t="s">
        <v>134</v>
      </c>
      <c r="P25" t="s">
        <v>135</v>
      </c>
      <c r="Q25">
        <v>0.34033576098402091</v>
      </c>
      <c r="R25" t="s">
        <v>46</v>
      </c>
      <c r="S25" t="s">
        <v>47</v>
      </c>
      <c r="T25" t="s">
        <v>57</v>
      </c>
      <c r="V25" t="s">
        <v>46</v>
      </c>
      <c r="Y25" t="s">
        <v>48</v>
      </c>
      <c r="Z25" t="s">
        <v>49</v>
      </c>
      <c r="AA25" t="s">
        <v>54</v>
      </c>
      <c r="AB25" t="s">
        <v>51</v>
      </c>
      <c r="AD25" t="s">
        <v>57</v>
      </c>
      <c r="AI25">
        <v>158.4101653906678</v>
      </c>
      <c r="AJ25">
        <v>1377.2954692869439</v>
      </c>
    </row>
    <row r="26" spans="1:36" x14ac:dyDescent="0.25">
      <c r="A26">
        <v>218</v>
      </c>
      <c r="C26" t="s">
        <v>36</v>
      </c>
      <c r="E26" t="s">
        <v>37</v>
      </c>
      <c r="F26" t="s">
        <v>38</v>
      </c>
      <c r="G26" s="2">
        <v>45839</v>
      </c>
      <c r="I26" t="s">
        <v>39</v>
      </c>
      <c r="J26" t="s">
        <v>40</v>
      </c>
      <c r="K26" t="s">
        <v>41</v>
      </c>
      <c r="L26" t="s">
        <v>42</v>
      </c>
      <c r="M26" t="s">
        <v>36</v>
      </c>
      <c r="N26" t="s">
        <v>43</v>
      </c>
      <c r="O26" t="s">
        <v>134</v>
      </c>
      <c r="P26" t="s">
        <v>135</v>
      </c>
      <c r="Q26">
        <v>0.33359305322081639</v>
      </c>
      <c r="R26" t="s">
        <v>46</v>
      </c>
      <c r="S26" t="s">
        <v>47</v>
      </c>
      <c r="V26" t="s">
        <v>71</v>
      </c>
      <c r="Y26" t="s">
        <v>120</v>
      </c>
      <c r="Z26" t="s">
        <v>69</v>
      </c>
      <c r="AA26" t="s">
        <v>124</v>
      </c>
      <c r="AB26" t="s">
        <v>51</v>
      </c>
      <c r="AI26">
        <v>215.03014108457779</v>
      </c>
      <c r="AJ26">
        <v>1350.0085899236451</v>
      </c>
    </row>
    <row r="27" spans="1:36" x14ac:dyDescent="0.25">
      <c r="A27">
        <v>220</v>
      </c>
      <c r="C27" t="s">
        <v>36</v>
      </c>
      <c r="E27" t="s">
        <v>37</v>
      </c>
      <c r="F27" t="s">
        <v>38</v>
      </c>
      <c r="G27" s="2">
        <v>45839</v>
      </c>
      <c r="I27" t="s">
        <v>39</v>
      </c>
      <c r="J27" t="s">
        <v>40</v>
      </c>
      <c r="K27" t="s">
        <v>41</v>
      </c>
      <c r="L27" t="s">
        <v>42</v>
      </c>
      <c r="M27" t="s">
        <v>36</v>
      </c>
      <c r="N27" t="s">
        <v>43</v>
      </c>
      <c r="O27" t="s">
        <v>134</v>
      </c>
      <c r="P27" t="s">
        <v>135</v>
      </c>
      <c r="Q27">
        <v>2.2191495763561728</v>
      </c>
      <c r="R27" t="s">
        <v>46</v>
      </c>
      <c r="S27" t="s">
        <v>47</v>
      </c>
      <c r="V27" t="s">
        <v>71</v>
      </c>
      <c r="Y27" t="s">
        <v>120</v>
      </c>
      <c r="Z27" t="s">
        <v>69</v>
      </c>
      <c r="AA27" t="s">
        <v>124</v>
      </c>
      <c r="AB27" t="s">
        <v>51</v>
      </c>
      <c r="AI27">
        <v>611.09150689986927</v>
      </c>
      <c r="AJ27">
        <v>8980.6156377698462</v>
      </c>
    </row>
    <row r="28" spans="1:36" x14ac:dyDescent="0.25">
      <c r="A28">
        <v>2</v>
      </c>
      <c r="C28" t="s">
        <v>36</v>
      </c>
      <c r="E28" t="s">
        <v>37</v>
      </c>
      <c r="F28" t="s">
        <v>38</v>
      </c>
      <c r="G28" s="2">
        <v>45838</v>
      </c>
      <c r="I28" t="s">
        <v>39</v>
      </c>
      <c r="J28" t="s">
        <v>40</v>
      </c>
      <c r="K28" t="s">
        <v>41</v>
      </c>
      <c r="L28" t="s">
        <v>42</v>
      </c>
      <c r="M28" t="s">
        <v>36</v>
      </c>
      <c r="N28" t="s">
        <v>43</v>
      </c>
      <c r="O28" t="s">
        <v>52</v>
      </c>
      <c r="P28" t="s">
        <v>53</v>
      </c>
      <c r="Q28">
        <v>32.615800635641918</v>
      </c>
      <c r="R28" t="s">
        <v>46</v>
      </c>
      <c r="S28" t="s">
        <v>47</v>
      </c>
      <c r="V28" t="s">
        <v>46</v>
      </c>
      <c r="Y28" t="s">
        <v>48</v>
      </c>
      <c r="Z28" t="s">
        <v>49</v>
      </c>
      <c r="AA28" t="s">
        <v>54</v>
      </c>
      <c r="AB28" t="s">
        <v>51</v>
      </c>
      <c r="AI28">
        <v>1488.6522418550369</v>
      </c>
      <c r="AJ28">
        <v>131991.99024149851</v>
      </c>
    </row>
    <row r="29" spans="1:36" x14ac:dyDescent="0.25">
      <c r="A29">
        <v>16</v>
      </c>
      <c r="C29" t="s">
        <v>36</v>
      </c>
      <c r="E29" t="s">
        <v>37</v>
      </c>
      <c r="F29" t="s">
        <v>38</v>
      </c>
      <c r="G29" s="2">
        <v>45838</v>
      </c>
      <c r="I29" t="s">
        <v>39</v>
      </c>
      <c r="J29" t="s">
        <v>40</v>
      </c>
      <c r="K29" t="s">
        <v>41</v>
      </c>
      <c r="L29" t="s">
        <v>42</v>
      </c>
      <c r="M29" t="s">
        <v>36</v>
      </c>
      <c r="N29" t="s">
        <v>43</v>
      </c>
      <c r="O29" t="s">
        <v>52</v>
      </c>
      <c r="P29" t="s">
        <v>53</v>
      </c>
      <c r="Q29">
        <v>36.439709898692243</v>
      </c>
      <c r="R29" t="s">
        <v>46</v>
      </c>
      <c r="S29" t="s">
        <v>47</v>
      </c>
      <c r="V29" t="s">
        <v>64</v>
      </c>
      <c r="Y29" t="s">
        <v>48</v>
      </c>
      <c r="Z29" t="s">
        <v>69</v>
      </c>
      <c r="AA29" t="s">
        <v>71</v>
      </c>
      <c r="AB29" t="s">
        <v>51</v>
      </c>
      <c r="AI29">
        <v>1618.0892903128879</v>
      </c>
      <c r="AJ29">
        <v>147466.86390078129</v>
      </c>
    </row>
    <row r="30" spans="1:36" x14ac:dyDescent="0.25">
      <c r="A30">
        <v>36</v>
      </c>
      <c r="C30" t="s">
        <v>36</v>
      </c>
      <c r="E30" t="s">
        <v>37</v>
      </c>
      <c r="F30" t="s">
        <v>38</v>
      </c>
      <c r="G30" s="2">
        <v>45838</v>
      </c>
      <c r="I30" t="s">
        <v>39</v>
      </c>
      <c r="J30" t="s">
        <v>40</v>
      </c>
      <c r="K30" t="s">
        <v>41</v>
      </c>
      <c r="L30" t="s">
        <v>42</v>
      </c>
      <c r="M30" t="s">
        <v>36</v>
      </c>
      <c r="N30" t="s">
        <v>43</v>
      </c>
      <c r="O30" t="s">
        <v>52</v>
      </c>
      <c r="P30" t="s">
        <v>53</v>
      </c>
      <c r="Q30">
        <v>16.817689691525342</v>
      </c>
      <c r="R30" t="s">
        <v>46</v>
      </c>
      <c r="S30" t="s">
        <v>47</v>
      </c>
      <c r="V30" t="s">
        <v>76</v>
      </c>
      <c r="AB30" t="s">
        <v>51</v>
      </c>
      <c r="AI30">
        <v>1113.5764507654001</v>
      </c>
      <c r="AJ30">
        <v>68059.047773998464</v>
      </c>
    </row>
    <row r="31" spans="1:36" x14ac:dyDescent="0.25">
      <c r="A31">
        <v>42</v>
      </c>
      <c r="C31" t="s">
        <v>36</v>
      </c>
      <c r="E31" t="s">
        <v>37</v>
      </c>
      <c r="F31" t="s">
        <v>38</v>
      </c>
      <c r="G31" s="2">
        <v>45838</v>
      </c>
      <c r="I31" t="s">
        <v>39</v>
      </c>
      <c r="J31" t="s">
        <v>40</v>
      </c>
      <c r="K31" t="s">
        <v>41</v>
      </c>
      <c r="L31" t="s">
        <v>42</v>
      </c>
      <c r="M31" t="s">
        <v>36</v>
      </c>
      <c r="N31" t="s">
        <v>43</v>
      </c>
      <c r="O31" t="s">
        <v>52</v>
      </c>
      <c r="P31" t="s">
        <v>53</v>
      </c>
      <c r="Q31">
        <v>37.78643649590046</v>
      </c>
      <c r="R31" t="s">
        <v>46</v>
      </c>
      <c r="S31" t="s">
        <v>47</v>
      </c>
      <c r="V31" t="s">
        <v>75</v>
      </c>
      <c r="AB31" t="s">
        <v>51</v>
      </c>
      <c r="AI31">
        <v>1544.08531511194</v>
      </c>
      <c r="AJ31">
        <v>152916.89488001241</v>
      </c>
    </row>
    <row r="32" spans="1:36" x14ac:dyDescent="0.25">
      <c r="A32">
        <v>43</v>
      </c>
      <c r="C32" t="s">
        <v>36</v>
      </c>
      <c r="E32" t="s">
        <v>37</v>
      </c>
      <c r="F32" t="s">
        <v>38</v>
      </c>
      <c r="G32" s="2">
        <v>45838</v>
      </c>
      <c r="I32" t="s">
        <v>39</v>
      </c>
      <c r="J32" t="s">
        <v>40</v>
      </c>
      <c r="K32" t="s">
        <v>41</v>
      </c>
      <c r="L32" t="s">
        <v>42</v>
      </c>
      <c r="M32" t="s">
        <v>36</v>
      </c>
      <c r="N32" t="s">
        <v>43</v>
      </c>
      <c r="O32" t="s">
        <v>52</v>
      </c>
      <c r="P32" t="s">
        <v>53</v>
      </c>
      <c r="Q32">
        <v>36.404137036380547</v>
      </c>
      <c r="R32" t="s">
        <v>46</v>
      </c>
      <c r="S32" t="s">
        <v>47</v>
      </c>
      <c r="V32" t="s">
        <v>75</v>
      </c>
      <c r="AB32" t="s">
        <v>51</v>
      </c>
      <c r="AI32">
        <v>1506.175217756921</v>
      </c>
      <c r="AJ32">
        <v>147322.90505863729</v>
      </c>
    </row>
    <row r="33" spans="1:36" x14ac:dyDescent="0.25">
      <c r="A33">
        <v>52</v>
      </c>
      <c r="C33" t="s">
        <v>36</v>
      </c>
      <c r="E33" t="s">
        <v>37</v>
      </c>
      <c r="F33" t="s">
        <v>38</v>
      </c>
      <c r="G33" s="2">
        <v>45838</v>
      </c>
      <c r="I33" t="s">
        <v>39</v>
      </c>
      <c r="J33" t="s">
        <v>40</v>
      </c>
      <c r="K33" t="s">
        <v>41</v>
      </c>
      <c r="L33" t="s">
        <v>42</v>
      </c>
      <c r="M33" t="s">
        <v>36</v>
      </c>
      <c r="N33" t="s">
        <v>43</v>
      </c>
      <c r="O33" t="s">
        <v>52</v>
      </c>
      <c r="P33" t="s">
        <v>53</v>
      </c>
      <c r="Q33">
        <v>9.4668610105355349</v>
      </c>
      <c r="R33" t="s">
        <v>46</v>
      </c>
      <c r="S33" t="s">
        <v>47</v>
      </c>
      <c r="V33" t="s">
        <v>86</v>
      </c>
      <c r="AB33" t="s">
        <v>51</v>
      </c>
      <c r="AI33">
        <v>856.91571832815657</v>
      </c>
      <c r="AJ33">
        <v>38311.180525022733</v>
      </c>
    </row>
    <row r="34" spans="1:36" x14ac:dyDescent="0.25">
      <c r="A34">
        <v>53</v>
      </c>
      <c r="C34" t="s">
        <v>36</v>
      </c>
      <c r="E34" t="s">
        <v>37</v>
      </c>
      <c r="F34" t="s">
        <v>38</v>
      </c>
      <c r="G34" s="2">
        <v>45838</v>
      </c>
      <c r="I34" t="s">
        <v>39</v>
      </c>
      <c r="J34" t="s">
        <v>40</v>
      </c>
      <c r="K34" t="s">
        <v>41</v>
      </c>
      <c r="L34" t="s">
        <v>42</v>
      </c>
      <c r="M34" t="s">
        <v>36</v>
      </c>
      <c r="N34" t="s">
        <v>43</v>
      </c>
      <c r="O34" t="s">
        <v>52</v>
      </c>
      <c r="P34" t="s">
        <v>53</v>
      </c>
      <c r="Q34">
        <v>18.025186515132859</v>
      </c>
      <c r="R34" t="s">
        <v>46</v>
      </c>
      <c r="S34" t="s">
        <v>47</v>
      </c>
      <c r="V34" t="s">
        <v>86</v>
      </c>
      <c r="AB34" t="s">
        <v>51</v>
      </c>
      <c r="AI34">
        <v>1144.2856533405429</v>
      </c>
      <c r="AJ34">
        <v>72945.633595965861</v>
      </c>
    </row>
    <row r="35" spans="1:36" x14ac:dyDescent="0.25">
      <c r="A35">
        <v>225</v>
      </c>
      <c r="C35" t="s">
        <v>36</v>
      </c>
      <c r="E35" t="s">
        <v>37</v>
      </c>
      <c r="F35" t="s">
        <v>38</v>
      </c>
      <c r="G35" s="2">
        <v>45839</v>
      </c>
      <c r="I35" t="s">
        <v>39</v>
      </c>
      <c r="J35" t="s">
        <v>40</v>
      </c>
      <c r="K35" t="s">
        <v>41</v>
      </c>
      <c r="L35" t="s">
        <v>42</v>
      </c>
      <c r="M35" t="s">
        <v>36</v>
      </c>
      <c r="N35" t="s">
        <v>43</v>
      </c>
      <c r="O35" t="s">
        <v>52</v>
      </c>
      <c r="P35" t="s">
        <v>53</v>
      </c>
      <c r="Q35">
        <v>8.0509925771009687</v>
      </c>
      <c r="R35" t="s">
        <v>46</v>
      </c>
      <c r="S35" t="s">
        <v>47</v>
      </c>
      <c r="V35" t="s">
        <v>71</v>
      </c>
      <c r="Y35" t="s">
        <v>120</v>
      </c>
      <c r="Z35" t="s">
        <v>69</v>
      </c>
      <c r="AA35" t="s">
        <v>124</v>
      </c>
      <c r="AB35" t="s">
        <v>51</v>
      </c>
      <c r="AI35">
        <v>846.47492769076098</v>
      </c>
      <c r="AJ35">
        <v>32581.341342570831</v>
      </c>
    </row>
    <row r="36" spans="1:36" x14ac:dyDescent="0.25">
      <c r="A36">
        <v>234</v>
      </c>
      <c r="C36" t="s">
        <v>36</v>
      </c>
      <c r="E36" t="s">
        <v>37</v>
      </c>
      <c r="F36" t="s">
        <v>38</v>
      </c>
      <c r="G36" s="2">
        <v>45839</v>
      </c>
      <c r="I36" t="s">
        <v>39</v>
      </c>
      <c r="J36" t="s">
        <v>40</v>
      </c>
      <c r="K36" t="s">
        <v>41</v>
      </c>
      <c r="L36" t="s">
        <v>42</v>
      </c>
      <c r="M36" t="s">
        <v>36</v>
      </c>
      <c r="N36" t="s">
        <v>43</v>
      </c>
      <c r="O36" t="s">
        <v>52</v>
      </c>
      <c r="P36" t="s">
        <v>53</v>
      </c>
      <c r="Q36">
        <v>14.918414386800849</v>
      </c>
      <c r="R36" t="s">
        <v>46</v>
      </c>
      <c r="S36" t="s">
        <v>47</v>
      </c>
      <c r="V36" t="s">
        <v>71</v>
      </c>
      <c r="Y36" t="s">
        <v>120</v>
      </c>
      <c r="Z36" t="s">
        <v>69</v>
      </c>
      <c r="AA36" t="s">
        <v>124</v>
      </c>
      <c r="AB36" t="s">
        <v>51</v>
      </c>
      <c r="AI36">
        <v>973.66974756935861</v>
      </c>
      <c r="AJ36">
        <v>60372.92256469834</v>
      </c>
    </row>
    <row r="37" spans="1:36" x14ac:dyDescent="0.25">
      <c r="A37">
        <v>235</v>
      </c>
      <c r="C37" t="s">
        <v>36</v>
      </c>
      <c r="E37" t="s">
        <v>37</v>
      </c>
      <c r="F37" t="s">
        <v>38</v>
      </c>
      <c r="G37" s="2">
        <v>45839</v>
      </c>
      <c r="I37" t="s">
        <v>39</v>
      </c>
      <c r="J37" t="s">
        <v>40</v>
      </c>
      <c r="K37" t="s">
        <v>41</v>
      </c>
      <c r="L37" t="s">
        <v>42</v>
      </c>
      <c r="M37" t="s">
        <v>36</v>
      </c>
      <c r="N37" t="s">
        <v>43</v>
      </c>
      <c r="O37" t="s">
        <v>52</v>
      </c>
      <c r="P37" t="s">
        <v>53</v>
      </c>
      <c r="Q37">
        <v>7.7545822989534381</v>
      </c>
      <c r="R37" t="s">
        <v>46</v>
      </c>
      <c r="S37" t="s">
        <v>47</v>
      </c>
      <c r="V37" t="s">
        <v>71</v>
      </c>
      <c r="Y37" t="s">
        <v>120</v>
      </c>
      <c r="Z37" t="s">
        <v>69</v>
      </c>
      <c r="AA37" t="s">
        <v>124</v>
      </c>
      <c r="AB37" t="s">
        <v>51</v>
      </c>
      <c r="AI37">
        <v>758.61488417823125</v>
      </c>
      <c r="AJ37">
        <v>31381.806706650379</v>
      </c>
    </row>
    <row r="38" spans="1:36" x14ac:dyDescent="0.25">
      <c r="A38">
        <v>236</v>
      </c>
      <c r="C38" t="s">
        <v>36</v>
      </c>
      <c r="E38" t="s">
        <v>37</v>
      </c>
      <c r="F38" t="s">
        <v>38</v>
      </c>
      <c r="G38" s="2">
        <v>45839</v>
      </c>
      <c r="I38" t="s">
        <v>39</v>
      </c>
      <c r="J38" t="s">
        <v>40</v>
      </c>
      <c r="K38" t="s">
        <v>41</v>
      </c>
      <c r="L38" t="s">
        <v>42</v>
      </c>
      <c r="M38" t="s">
        <v>36</v>
      </c>
      <c r="N38" t="s">
        <v>43</v>
      </c>
      <c r="O38" t="s">
        <v>52</v>
      </c>
      <c r="P38" t="s">
        <v>53</v>
      </c>
      <c r="Q38">
        <v>3.3113953364693991</v>
      </c>
      <c r="R38" t="s">
        <v>46</v>
      </c>
      <c r="S38" t="s">
        <v>47</v>
      </c>
      <c r="V38" t="s">
        <v>71</v>
      </c>
      <c r="Y38" t="s">
        <v>120</v>
      </c>
      <c r="Z38" t="s">
        <v>69</v>
      </c>
      <c r="AA38" t="s">
        <v>124</v>
      </c>
      <c r="AB38" t="s">
        <v>51</v>
      </c>
      <c r="AI38">
        <v>480.65524425887509</v>
      </c>
      <c r="AJ38">
        <v>13400.795087623341</v>
      </c>
    </row>
    <row r="39" spans="1:36" x14ac:dyDescent="0.25">
      <c r="A39">
        <v>241</v>
      </c>
      <c r="C39" t="s">
        <v>36</v>
      </c>
      <c r="E39" t="s">
        <v>37</v>
      </c>
      <c r="F39" t="s">
        <v>38</v>
      </c>
      <c r="G39" s="2">
        <v>45839</v>
      </c>
      <c r="I39" t="s">
        <v>39</v>
      </c>
      <c r="J39" t="s">
        <v>40</v>
      </c>
      <c r="K39" t="s">
        <v>41</v>
      </c>
      <c r="L39" t="s">
        <v>42</v>
      </c>
      <c r="M39" t="s">
        <v>36</v>
      </c>
      <c r="N39" t="s">
        <v>43</v>
      </c>
      <c r="O39" t="s">
        <v>52</v>
      </c>
      <c r="P39" t="s">
        <v>53</v>
      </c>
      <c r="Q39">
        <v>15.224449717500001</v>
      </c>
      <c r="R39" t="s">
        <v>46</v>
      </c>
      <c r="S39" t="s">
        <v>47</v>
      </c>
      <c r="V39" t="s">
        <v>71</v>
      </c>
      <c r="Y39" t="s">
        <v>120</v>
      </c>
      <c r="Z39" t="s">
        <v>69</v>
      </c>
      <c r="AA39" t="s">
        <v>124</v>
      </c>
      <c r="AB39" t="s">
        <v>51</v>
      </c>
      <c r="AI39">
        <v>1076.4805368521349</v>
      </c>
      <c r="AJ39">
        <v>61611.408562158533</v>
      </c>
    </row>
    <row r="40" spans="1:36" x14ac:dyDescent="0.25">
      <c r="A40">
        <v>242</v>
      </c>
      <c r="C40" t="s">
        <v>36</v>
      </c>
      <c r="E40" t="s">
        <v>37</v>
      </c>
      <c r="F40" t="s">
        <v>38</v>
      </c>
      <c r="G40" s="2">
        <v>45839</v>
      </c>
      <c r="I40" t="s">
        <v>39</v>
      </c>
      <c r="J40" t="s">
        <v>40</v>
      </c>
      <c r="K40" t="s">
        <v>41</v>
      </c>
      <c r="L40" t="s">
        <v>42</v>
      </c>
      <c r="M40" t="s">
        <v>36</v>
      </c>
      <c r="N40" t="s">
        <v>43</v>
      </c>
      <c r="O40" t="s">
        <v>52</v>
      </c>
      <c r="P40" t="s">
        <v>53</v>
      </c>
      <c r="Q40">
        <v>6.6414484531606952</v>
      </c>
      <c r="R40" t="s">
        <v>46</v>
      </c>
      <c r="S40" t="s">
        <v>47</v>
      </c>
      <c r="V40" t="s">
        <v>71</v>
      </c>
      <c r="Y40" t="s">
        <v>120</v>
      </c>
      <c r="Z40" t="s">
        <v>69</v>
      </c>
      <c r="AA40" t="s">
        <v>124</v>
      </c>
      <c r="AB40" t="s">
        <v>51</v>
      </c>
      <c r="AI40">
        <v>743.2200840278831</v>
      </c>
      <c r="AJ40">
        <v>26877.09583498774</v>
      </c>
    </row>
    <row r="41" spans="1:36" x14ac:dyDescent="0.25">
      <c r="A41">
        <v>5</v>
      </c>
      <c r="C41" t="s">
        <v>36</v>
      </c>
      <c r="E41" t="s">
        <v>37</v>
      </c>
      <c r="F41" t="s">
        <v>38</v>
      </c>
      <c r="G41" s="2">
        <v>45838</v>
      </c>
      <c r="I41" t="s">
        <v>39</v>
      </c>
      <c r="J41" t="s">
        <v>40</v>
      </c>
      <c r="K41" t="s">
        <v>41</v>
      </c>
      <c r="L41" t="s">
        <v>42</v>
      </c>
      <c r="M41" t="s">
        <v>36</v>
      </c>
      <c r="N41" t="s">
        <v>43</v>
      </c>
      <c r="O41" t="s">
        <v>58</v>
      </c>
      <c r="P41" t="s">
        <v>59</v>
      </c>
      <c r="Q41">
        <v>47.615659985115343</v>
      </c>
      <c r="R41" t="s">
        <v>46</v>
      </c>
      <c r="S41" t="s">
        <v>47</v>
      </c>
      <c r="V41" t="s">
        <v>46</v>
      </c>
      <c r="Y41" t="s">
        <v>48</v>
      </c>
      <c r="Z41" t="s">
        <v>49</v>
      </c>
      <c r="AA41" t="s">
        <v>54</v>
      </c>
      <c r="AB41" t="s">
        <v>51</v>
      </c>
      <c r="AI41">
        <v>1755.7591999470401</v>
      </c>
      <c r="AJ41">
        <v>192694.5101948487</v>
      </c>
    </row>
    <row r="42" spans="1:36" x14ac:dyDescent="0.25">
      <c r="A42">
        <v>6</v>
      </c>
      <c r="C42" t="s">
        <v>36</v>
      </c>
      <c r="E42" t="s">
        <v>37</v>
      </c>
      <c r="F42" t="s">
        <v>38</v>
      </c>
      <c r="G42" s="2">
        <v>45838</v>
      </c>
      <c r="I42" t="s">
        <v>39</v>
      </c>
      <c r="J42" t="s">
        <v>40</v>
      </c>
      <c r="K42" t="s">
        <v>41</v>
      </c>
      <c r="L42" t="s">
        <v>42</v>
      </c>
      <c r="M42" t="s">
        <v>36</v>
      </c>
      <c r="N42" t="s">
        <v>43</v>
      </c>
      <c r="O42" t="s">
        <v>58</v>
      </c>
      <c r="P42" t="s">
        <v>59</v>
      </c>
      <c r="Q42">
        <v>8.5517097556433104</v>
      </c>
      <c r="R42" t="s">
        <v>46</v>
      </c>
      <c r="S42" t="s">
        <v>47</v>
      </c>
      <c r="T42" t="s">
        <v>38</v>
      </c>
      <c r="V42" t="s">
        <v>46</v>
      </c>
      <c r="Y42" t="s">
        <v>48</v>
      </c>
      <c r="Z42" t="s">
        <v>49</v>
      </c>
      <c r="AA42" t="s">
        <v>54</v>
      </c>
      <c r="AB42" t="s">
        <v>51</v>
      </c>
      <c r="AI42">
        <v>748.91577172751829</v>
      </c>
      <c r="AJ42">
        <v>34607.679977707347</v>
      </c>
    </row>
    <row r="43" spans="1:36" x14ac:dyDescent="0.25">
      <c r="A43">
        <v>9</v>
      </c>
      <c r="C43" t="s">
        <v>36</v>
      </c>
      <c r="E43" t="s">
        <v>37</v>
      </c>
      <c r="F43" t="s">
        <v>38</v>
      </c>
      <c r="G43" s="2">
        <v>45838</v>
      </c>
      <c r="I43" t="s">
        <v>39</v>
      </c>
      <c r="J43" t="s">
        <v>40</v>
      </c>
      <c r="K43" t="s">
        <v>41</v>
      </c>
      <c r="L43" t="s">
        <v>42</v>
      </c>
      <c r="M43" t="s">
        <v>36</v>
      </c>
      <c r="N43" t="s">
        <v>43</v>
      </c>
      <c r="O43" t="s">
        <v>58</v>
      </c>
      <c r="P43" t="s">
        <v>59</v>
      </c>
      <c r="Q43">
        <v>9.2245431512817309</v>
      </c>
      <c r="R43" t="s">
        <v>46</v>
      </c>
      <c r="S43" t="s">
        <v>47</v>
      </c>
      <c r="V43" t="s">
        <v>46</v>
      </c>
      <c r="Y43" t="s">
        <v>48</v>
      </c>
      <c r="Z43" t="s">
        <v>49</v>
      </c>
      <c r="AA43" t="s">
        <v>54</v>
      </c>
      <c r="AB43" t="s">
        <v>51</v>
      </c>
      <c r="AI43">
        <v>982.0223682634612</v>
      </c>
      <c r="AJ43">
        <v>37330.551017525147</v>
      </c>
    </row>
    <row r="44" spans="1:36" x14ac:dyDescent="0.25">
      <c r="A44">
        <v>37</v>
      </c>
      <c r="C44" t="s">
        <v>36</v>
      </c>
      <c r="E44" t="s">
        <v>37</v>
      </c>
      <c r="F44" t="s">
        <v>38</v>
      </c>
      <c r="G44" s="2">
        <v>45838</v>
      </c>
      <c r="I44" t="s">
        <v>39</v>
      </c>
      <c r="J44" t="s">
        <v>40</v>
      </c>
      <c r="K44" t="s">
        <v>41</v>
      </c>
      <c r="L44" t="s">
        <v>42</v>
      </c>
      <c r="M44" t="s">
        <v>36</v>
      </c>
      <c r="N44" t="s">
        <v>43</v>
      </c>
      <c r="O44" t="s">
        <v>58</v>
      </c>
      <c r="P44" t="s">
        <v>59</v>
      </c>
      <c r="Q44">
        <v>27.643710442610761</v>
      </c>
      <c r="R44" t="s">
        <v>46</v>
      </c>
      <c r="S44" t="s">
        <v>47</v>
      </c>
      <c r="V44" t="s">
        <v>76</v>
      </c>
      <c r="AB44" t="s">
        <v>51</v>
      </c>
      <c r="AI44">
        <v>1418.8356929179331</v>
      </c>
      <c r="AJ44">
        <v>111870.5746254963</v>
      </c>
    </row>
    <row r="45" spans="1:36" x14ac:dyDescent="0.25">
      <c r="A45">
        <v>44</v>
      </c>
      <c r="C45" t="s">
        <v>36</v>
      </c>
      <c r="E45" t="s">
        <v>37</v>
      </c>
      <c r="F45" t="s">
        <v>38</v>
      </c>
      <c r="G45" s="2">
        <v>45838</v>
      </c>
      <c r="I45" t="s">
        <v>39</v>
      </c>
      <c r="J45" t="s">
        <v>40</v>
      </c>
      <c r="K45" t="s">
        <v>41</v>
      </c>
      <c r="L45" t="s">
        <v>42</v>
      </c>
      <c r="M45" t="s">
        <v>36</v>
      </c>
      <c r="N45" t="s">
        <v>43</v>
      </c>
      <c r="O45" t="s">
        <v>58</v>
      </c>
      <c r="P45" t="s">
        <v>59</v>
      </c>
      <c r="Q45">
        <v>56.168202156456431</v>
      </c>
      <c r="R45" t="s">
        <v>46</v>
      </c>
      <c r="S45" t="s">
        <v>47</v>
      </c>
      <c r="V45" t="s">
        <v>75</v>
      </c>
      <c r="AB45" t="s">
        <v>51</v>
      </c>
      <c r="AI45">
        <v>1966.0789195073889</v>
      </c>
      <c r="AJ45">
        <v>227305.55885284339</v>
      </c>
    </row>
    <row r="46" spans="1:36" x14ac:dyDescent="0.25">
      <c r="A46">
        <v>54</v>
      </c>
      <c r="C46" t="s">
        <v>36</v>
      </c>
      <c r="E46" t="s">
        <v>37</v>
      </c>
      <c r="F46" t="s">
        <v>38</v>
      </c>
      <c r="G46" s="2">
        <v>45838</v>
      </c>
      <c r="I46" t="s">
        <v>39</v>
      </c>
      <c r="J46" t="s">
        <v>40</v>
      </c>
      <c r="K46" t="s">
        <v>41</v>
      </c>
      <c r="L46" t="s">
        <v>42</v>
      </c>
      <c r="M46" t="s">
        <v>36</v>
      </c>
      <c r="N46" t="s">
        <v>43</v>
      </c>
      <c r="O46" t="s">
        <v>58</v>
      </c>
      <c r="P46" t="s">
        <v>59</v>
      </c>
      <c r="Q46">
        <v>43.498075836807622</v>
      </c>
      <c r="R46" t="s">
        <v>46</v>
      </c>
      <c r="S46" t="s">
        <v>47</v>
      </c>
      <c r="V46" t="s">
        <v>86</v>
      </c>
      <c r="AB46" t="s">
        <v>51</v>
      </c>
      <c r="AI46">
        <v>1673.668627710741</v>
      </c>
      <c r="AJ46">
        <v>176031.1716862098</v>
      </c>
    </row>
    <row r="47" spans="1:36" x14ac:dyDescent="0.25">
      <c r="A47">
        <v>223</v>
      </c>
      <c r="C47" t="s">
        <v>36</v>
      </c>
      <c r="E47" t="s">
        <v>37</v>
      </c>
      <c r="F47" t="s">
        <v>38</v>
      </c>
      <c r="G47" s="2">
        <v>45839</v>
      </c>
      <c r="I47" t="s">
        <v>39</v>
      </c>
      <c r="J47" t="s">
        <v>40</v>
      </c>
      <c r="K47" t="s">
        <v>41</v>
      </c>
      <c r="L47" t="s">
        <v>42</v>
      </c>
      <c r="M47" t="s">
        <v>36</v>
      </c>
      <c r="N47" t="s">
        <v>43</v>
      </c>
      <c r="O47" t="s">
        <v>58</v>
      </c>
      <c r="P47" t="s">
        <v>59</v>
      </c>
      <c r="Q47">
        <v>19.91262346434161</v>
      </c>
      <c r="R47" t="s">
        <v>46</v>
      </c>
      <c r="S47" t="s">
        <v>47</v>
      </c>
      <c r="V47" t="s">
        <v>71</v>
      </c>
      <c r="Y47" t="s">
        <v>120</v>
      </c>
      <c r="Z47" t="s">
        <v>69</v>
      </c>
      <c r="AA47" t="s">
        <v>124</v>
      </c>
      <c r="AB47" t="s">
        <v>51</v>
      </c>
      <c r="AI47">
        <v>1198.199234067401</v>
      </c>
      <c r="AJ47">
        <v>80583.850488583412</v>
      </c>
    </row>
    <row r="48" spans="1:36" x14ac:dyDescent="0.25">
      <c r="A48">
        <v>224</v>
      </c>
      <c r="C48" t="s">
        <v>36</v>
      </c>
      <c r="E48" t="s">
        <v>37</v>
      </c>
      <c r="F48" t="s">
        <v>38</v>
      </c>
      <c r="G48" s="2">
        <v>45839</v>
      </c>
      <c r="I48" t="s">
        <v>39</v>
      </c>
      <c r="J48" t="s">
        <v>40</v>
      </c>
      <c r="K48" t="s">
        <v>41</v>
      </c>
      <c r="L48" t="s">
        <v>42</v>
      </c>
      <c r="M48" t="s">
        <v>36</v>
      </c>
      <c r="N48" t="s">
        <v>43</v>
      </c>
      <c r="O48" t="s">
        <v>58</v>
      </c>
      <c r="P48" t="s">
        <v>59</v>
      </c>
      <c r="Q48">
        <v>17.287799651590081</v>
      </c>
      <c r="R48" t="s">
        <v>46</v>
      </c>
      <c r="S48" t="s">
        <v>47</v>
      </c>
      <c r="V48" t="s">
        <v>71</v>
      </c>
      <c r="Y48" t="s">
        <v>120</v>
      </c>
      <c r="Z48" t="s">
        <v>69</v>
      </c>
      <c r="AA48" t="s">
        <v>124</v>
      </c>
      <c r="AB48" t="s">
        <v>51</v>
      </c>
      <c r="AI48">
        <v>1149.0678716094251</v>
      </c>
      <c r="AJ48">
        <v>69961.52289501355</v>
      </c>
    </row>
    <row r="49" spans="1:36" x14ac:dyDescent="0.25">
      <c r="A49">
        <v>226</v>
      </c>
      <c r="C49" t="s">
        <v>36</v>
      </c>
      <c r="E49" t="s">
        <v>37</v>
      </c>
      <c r="F49" t="s">
        <v>38</v>
      </c>
      <c r="G49" s="2">
        <v>45839</v>
      </c>
      <c r="I49" t="s">
        <v>39</v>
      </c>
      <c r="J49" t="s">
        <v>40</v>
      </c>
      <c r="K49" t="s">
        <v>41</v>
      </c>
      <c r="L49" t="s">
        <v>42</v>
      </c>
      <c r="M49" t="s">
        <v>36</v>
      </c>
      <c r="N49" t="s">
        <v>43</v>
      </c>
      <c r="O49" t="s">
        <v>58</v>
      </c>
      <c r="P49" t="s">
        <v>59</v>
      </c>
      <c r="Q49">
        <v>14.327912771106289</v>
      </c>
      <c r="R49" t="s">
        <v>46</v>
      </c>
      <c r="S49" t="s">
        <v>47</v>
      </c>
      <c r="V49" t="s">
        <v>71</v>
      </c>
      <c r="Y49" t="s">
        <v>120</v>
      </c>
      <c r="Z49" t="s">
        <v>69</v>
      </c>
      <c r="AA49" t="s">
        <v>124</v>
      </c>
      <c r="AB49" t="s">
        <v>51</v>
      </c>
      <c r="AI49">
        <v>1031.557510171114</v>
      </c>
      <c r="AJ49">
        <v>57983.237750057517</v>
      </c>
    </row>
    <row r="50" spans="1:36" x14ac:dyDescent="0.25">
      <c r="A50">
        <v>243</v>
      </c>
      <c r="C50" t="s">
        <v>36</v>
      </c>
      <c r="E50" t="s">
        <v>37</v>
      </c>
      <c r="F50" t="s">
        <v>38</v>
      </c>
      <c r="G50" s="2">
        <v>45839</v>
      </c>
      <c r="I50" t="s">
        <v>39</v>
      </c>
      <c r="J50" t="s">
        <v>40</v>
      </c>
      <c r="K50" t="s">
        <v>41</v>
      </c>
      <c r="L50" t="s">
        <v>42</v>
      </c>
      <c r="M50" t="s">
        <v>36</v>
      </c>
      <c r="N50" t="s">
        <v>43</v>
      </c>
      <c r="O50" t="s">
        <v>58</v>
      </c>
      <c r="P50" t="s">
        <v>59</v>
      </c>
      <c r="Q50">
        <v>11.41117670769296</v>
      </c>
      <c r="R50" t="s">
        <v>46</v>
      </c>
      <c r="S50" t="s">
        <v>47</v>
      </c>
      <c r="V50" t="s">
        <v>71</v>
      </c>
      <c r="Y50" t="s">
        <v>120</v>
      </c>
      <c r="Z50" t="s">
        <v>69</v>
      </c>
      <c r="AA50" t="s">
        <v>124</v>
      </c>
      <c r="AB50" t="s">
        <v>51</v>
      </c>
      <c r="AI50">
        <v>908.21399297588675</v>
      </c>
      <c r="AJ50">
        <v>46179.578464797691</v>
      </c>
    </row>
    <row r="51" spans="1:36" x14ac:dyDescent="0.25">
      <c r="A51">
        <v>249</v>
      </c>
      <c r="C51" t="s">
        <v>36</v>
      </c>
      <c r="E51" t="s">
        <v>37</v>
      </c>
      <c r="F51" t="s">
        <v>38</v>
      </c>
      <c r="G51" s="2">
        <v>45839</v>
      </c>
      <c r="I51" t="s">
        <v>39</v>
      </c>
      <c r="J51" t="s">
        <v>40</v>
      </c>
      <c r="K51" t="s">
        <v>41</v>
      </c>
      <c r="L51" t="s">
        <v>42</v>
      </c>
      <c r="M51" t="s">
        <v>36</v>
      </c>
      <c r="N51" t="s">
        <v>43</v>
      </c>
      <c r="O51" t="s">
        <v>58</v>
      </c>
      <c r="P51" t="s">
        <v>59</v>
      </c>
      <c r="Q51">
        <v>9.4281199419485642</v>
      </c>
      <c r="R51" t="s">
        <v>46</v>
      </c>
      <c r="S51" t="s">
        <v>47</v>
      </c>
      <c r="V51" t="s">
        <v>71</v>
      </c>
      <c r="Y51" t="s">
        <v>120</v>
      </c>
      <c r="Z51" t="s">
        <v>69</v>
      </c>
      <c r="AA51" t="s">
        <v>124</v>
      </c>
      <c r="AB51" t="s">
        <v>51</v>
      </c>
      <c r="AI51">
        <v>908.02720085158273</v>
      </c>
      <c r="AJ51">
        <v>38154.400355680868</v>
      </c>
    </row>
    <row r="52" spans="1:36" x14ac:dyDescent="0.25">
      <c r="A52">
        <v>250</v>
      </c>
      <c r="C52" t="s">
        <v>36</v>
      </c>
      <c r="E52" t="s">
        <v>37</v>
      </c>
      <c r="F52" t="s">
        <v>38</v>
      </c>
      <c r="G52" s="2">
        <v>45839</v>
      </c>
      <c r="I52" t="s">
        <v>39</v>
      </c>
      <c r="J52" t="s">
        <v>40</v>
      </c>
      <c r="K52" t="s">
        <v>41</v>
      </c>
      <c r="L52" t="s">
        <v>42</v>
      </c>
      <c r="M52" t="s">
        <v>36</v>
      </c>
      <c r="N52" t="s">
        <v>43</v>
      </c>
      <c r="O52" t="s">
        <v>58</v>
      </c>
      <c r="P52" t="s">
        <v>59</v>
      </c>
      <c r="Q52">
        <v>14.354131220836599</v>
      </c>
      <c r="R52" t="s">
        <v>46</v>
      </c>
      <c r="S52" t="s">
        <v>47</v>
      </c>
      <c r="V52" t="s">
        <v>71</v>
      </c>
      <c r="Y52" t="s">
        <v>120</v>
      </c>
      <c r="Z52" t="s">
        <v>69</v>
      </c>
      <c r="AA52" t="s">
        <v>124</v>
      </c>
      <c r="AB52" t="s">
        <v>51</v>
      </c>
      <c r="AI52">
        <v>1068.9081152552769</v>
      </c>
      <c r="AJ52">
        <v>58089.340476144498</v>
      </c>
    </row>
    <row r="53" spans="1:36" x14ac:dyDescent="0.25">
      <c r="A53">
        <v>284</v>
      </c>
      <c r="C53" t="s">
        <v>36</v>
      </c>
      <c r="E53" t="s">
        <v>37</v>
      </c>
      <c r="F53" t="s">
        <v>38</v>
      </c>
      <c r="G53" s="2">
        <v>45838</v>
      </c>
      <c r="I53" t="s">
        <v>39</v>
      </c>
      <c r="J53" t="s">
        <v>40</v>
      </c>
      <c r="K53" t="s">
        <v>41</v>
      </c>
      <c r="L53" t="s">
        <v>42</v>
      </c>
      <c r="M53" t="s">
        <v>36</v>
      </c>
      <c r="N53" t="s">
        <v>43</v>
      </c>
      <c r="O53" t="s">
        <v>58</v>
      </c>
      <c r="P53" t="s">
        <v>59</v>
      </c>
      <c r="Q53">
        <v>62.060916325771132</v>
      </c>
      <c r="R53" t="s">
        <v>46</v>
      </c>
      <c r="S53" t="s">
        <v>47</v>
      </c>
      <c r="V53" t="s">
        <v>64</v>
      </c>
      <c r="Y53" t="s">
        <v>48</v>
      </c>
      <c r="Z53" t="s">
        <v>69</v>
      </c>
      <c r="AA53" t="s">
        <v>70</v>
      </c>
      <c r="AB53" t="s">
        <v>51</v>
      </c>
      <c r="AI53">
        <v>2085.980102716479</v>
      </c>
      <c r="AJ53">
        <v>251152.62242246099</v>
      </c>
    </row>
    <row r="54" spans="1:36" x14ac:dyDescent="0.25">
      <c r="A54">
        <v>41</v>
      </c>
      <c r="C54" t="s">
        <v>36</v>
      </c>
      <c r="E54" t="s">
        <v>37</v>
      </c>
      <c r="F54" t="s">
        <v>38</v>
      </c>
      <c r="G54" s="2">
        <v>45838</v>
      </c>
      <c r="I54" t="s">
        <v>39</v>
      </c>
      <c r="J54" t="s">
        <v>40</v>
      </c>
      <c r="K54" t="s">
        <v>41</v>
      </c>
      <c r="L54" t="s">
        <v>42</v>
      </c>
      <c r="M54" t="s">
        <v>36</v>
      </c>
      <c r="N54" t="s">
        <v>43</v>
      </c>
      <c r="O54" t="s">
        <v>81</v>
      </c>
      <c r="P54" t="s">
        <v>82</v>
      </c>
      <c r="Q54">
        <v>20.94408480207538</v>
      </c>
      <c r="R54" t="s">
        <v>46</v>
      </c>
      <c r="S54" t="s">
        <v>47</v>
      </c>
      <c r="V54" t="s">
        <v>76</v>
      </c>
      <c r="AB54" t="s">
        <v>51</v>
      </c>
      <c r="AI54">
        <v>1227.9670035036329</v>
      </c>
      <c r="AJ54">
        <v>84758.043124402437</v>
      </c>
    </row>
    <row r="55" spans="1:36" x14ac:dyDescent="0.25">
      <c r="A55">
        <v>133</v>
      </c>
      <c r="C55" t="s">
        <v>36</v>
      </c>
      <c r="E55" t="s">
        <v>37</v>
      </c>
      <c r="F55" t="s">
        <v>38</v>
      </c>
      <c r="G55" s="2">
        <v>45839</v>
      </c>
      <c r="I55" t="s">
        <v>39</v>
      </c>
      <c r="J55" t="s">
        <v>40</v>
      </c>
      <c r="K55" t="s">
        <v>41</v>
      </c>
      <c r="L55" t="s">
        <v>42</v>
      </c>
      <c r="M55" t="s">
        <v>36</v>
      </c>
      <c r="N55" t="s">
        <v>43</v>
      </c>
      <c r="O55" t="s">
        <v>81</v>
      </c>
      <c r="P55" t="s">
        <v>82</v>
      </c>
      <c r="Q55">
        <v>21.208964251008009</v>
      </c>
      <c r="R55" t="s">
        <v>46</v>
      </c>
      <c r="S55" t="s">
        <v>47</v>
      </c>
      <c r="V55" t="s">
        <v>119</v>
      </c>
      <c r="Y55" t="s">
        <v>120</v>
      </c>
      <c r="Z55" t="s">
        <v>69</v>
      </c>
      <c r="AA55" t="s">
        <v>121</v>
      </c>
      <c r="AB55" t="s">
        <v>51</v>
      </c>
      <c r="AI55">
        <v>1214.278091668062</v>
      </c>
      <c r="AJ55">
        <v>85829.976511206492</v>
      </c>
    </row>
    <row r="56" spans="1:36" x14ac:dyDescent="0.25">
      <c r="A56">
        <v>134</v>
      </c>
      <c r="C56" t="s">
        <v>36</v>
      </c>
      <c r="E56" t="s">
        <v>37</v>
      </c>
      <c r="F56" t="s">
        <v>38</v>
      </c>
      <c r="G56" s="2">
        <v>45839</v>
      </c>
      <c r="I56" t="s">
        <v>39</v>
      </c>
      <c r="J56" t="s">
        <v>40</v>
      </c>
      <c r="K56" t="s">
        <v>41</v>
      </c>
      <c r="L56" t="s">
        <v>42</v>
      </c>
      <c r="M56" t="s">
        <v>36</v>
      </c>
      <c r="N56" t="s">
        <v>43</v>
      </c>
      <c r="O56" t="s">
        <v>81</v>
      </c>
      <c r="P56" t="s">
        <v>82</v>
      </c>
      <c r="Q56">
        <v>8.8114946243121679</v>
      </c>
      <c r="R56" t="s">
        <v>46</v>
      </c>
      <c r="S56" t="s">
        <v>47</v>
      </c>
      <c r="V56" t="s">
        <v>119</v>
      </c>
      <c r="Y56" t="s">
        <v>120</v>
      </c>
      <c r="Z56" t="s">
        <v>69</v>
      </c>
      <c r="AA56" t="s">
        <v>121</v>
      </c>
      <c r="AB56" t="s">
        <v>51</v>
      </c>
      <c r="AI56">
        <v>971.30746386264184</v>
      </c>
      <c r="AJ56">
        <v>35658.996247183117</v>
      </c>
    </row>
    <row r="57" spans="1:36" x14ac:dyDescent="0.25">
      <c r="A57">
        <v>135</v>
      </c>
      <c r="C57" t="s">
        <v>36</v>
      </c>
      <c r="E57" t="s">
        <v>37</v>
      </c>
      <c r="F57" t="s">
        <v>38</v>
      </c>
      <c r="G57" s="2">
        <v>45839</v>
      </c>
      <c r="I57" t="s">
        <v>39</v>
      </c>
      <c r="J57" t="s">
        <v>40</v>
      </c>
      <c r="K57" t="s">
        <v>41</v>
      </c>
      <c r="L57" t="s">
        <v>42</v>
      </c>
      <c r="M57" t="s">
        <v>36</v>
      </c>
      <c r="N57" t="s">
        <v>43</v>
      </c>
      <c r="O57" t="s">
        <v>81</v>
      </c>
      <c r="P57" t="s">
        <v>82</v>
      </c>
      <c r="Q57">
        <v>18.031947377134969</v>
      </c>
      <c r="R57" t="s">
        <v>46</v>
      </c>
      <c r="S57" t="s">
        <v>47</v>
      </c>
      <c r="V57" t="s">
        <v>119</v>
      </c>
      <c r="Y57" t="s">
        <v>120</v>
      </c>
      <c r="Z57" t="s">
        <v>69</v>
      </c>
      <c r="AA57" t="s">
        <v>121</v>
      </c>
      <c r="AB57" t="s">
        <v>51</v>
      </c>
      <c r="AI57">
        <v>1151.769168523633</v>
      </c>
      <c r="AJ57">
        <v>72972.993943221372</v>
      </c>
    </row>
    <row r="58" spans="1:36" x14ac:dyDescent="0.25">
      <c r="A58">
        <v>137</v>
      </c>
      <c r="C58" t="s">
        <v>36</v>
      </c>
      <c r="E58" t="s">
        <v>37</v>
      </c>
      <c r="F58" t="s">
        <v>38</v>
      </c>
      <c r="G58" s="2">
        <v>45839</v>
      </c>
      <c r="I58" t="s">
        <v>72</v>
      </c>
      <c r="J58" t="s">
        <v>40</v>
      </c>
      <c r="K58" t="s">
        <v>41</v>
      </c>
      <c r="L58" t="s">
        <v>42</v>
      </c>
      <c r="M58" t="s">
        <v>36</v>
      </c>
      <c r="O58" t="s">
        <v>81</v>
      </c>
      <c r="P58" t="s">
        <v>82</v>
      </c>
      <c r="Q58">
        <v>11.3279318465048</v>
      </c>
      <c r="R58" t="s">
        <v>46</v>
      </c>
      <c r="S58" t="s">
        <v>47</v>
      </c>
      <c r="V58" t="s">
        <v>119</v>
      </c>
      <c r="Y58" t="s">
        <v>120</v>
      </c>
      <c r="Z58" t="s">
        <v>69</v>
      </c>
      <c r="AA58" t="s">
        <v>121</v>
      </c>
      <c r="AB58" t="s">
        <v>51</v>
      </c>
      <c r="AI58">
        <v>963.25596982226136</v>
      </c>
      <c r="AJ58">
        <v>45842.697116142517</v>
      </c>
    </row>
    <row r="59" spans="1:36" x14ac:dyDescent="0.25">
      <c r="A59">
        <v>145</v>
      </c>
      <c r="C59" t="s">
        <v>36</v>
      </c>
      <c r="E59" t="s">
        <v>37</v>
      </c>
      <c r="F59" t="s">
        <v>38</v>
      </c>
      <c r="G59" s="2">
        <v>45839</v>
      </c>
      <c r="I59" t="s">
        <v>39</v>
      </c>
      <c r="J59" t="s">
        <v>40</v>
      </c>
      <c r="K59" t="s">
        <v>41</v>
      </c>
      <c r="L59" t="s">
        <v>42</v>
      </c>
      <c r="M59" t="s">
        <v>36</v>
      </c>
      <c r="N59" t="s">
        <v>43</v>
      </c>
      <c r="O59" t="s">
        <v>81</v>
      </c>
      <c r="P59" t="s">
        <v>82</v>
      </c>
      <c r="Q59">
        <v>7.8459462097225066</v>
      </c>
      <c r="R59" t="s">
        <v>46</v>
      </c>
      <c r="S59" t="s">
        <v>47</v>
      </c>
      <c r="V59" t="s">
        <v>71</v>
      </c>
      <c r="Y59" t="s">
        <v>120</v>
      </c>
      <c r="Z59" t="s">
        <v>69</v>
      </c>
      <c r="AA59" t="s">
        <v>124</v>
      </c>
      <c r="AB59" t="s">
        <v>51</v>
      </c>
      <c r="AI59">
        <v>1080.5209665506279</v>
      </c>
      <c r="AJ59">
        <v>31751.54481467271</v>
      </c>
    </row>
    <row r="60" spans="1:36" x14ac:dyDescent="0.25">
      <c r="A60">
        <v>251</v>
      </c>
      <c r="C60" t="s">
        <v>36</v>
      </c>
      <c r="E60" t="s">
        <v>37</v>
      </c>
      <c r="F60" t="s">
        <v>38</v>
      </c>
      <c r="G60" s="2">
        <v>45839</v>
      </c>
      <c r="I60" t="s">
        <v>39</v>
      </c>
      <c r="J60" t="s">
        <v>40</v>
      </c>
      <c r="K60" t="s">
        <v>41</v>
      </c>
      <c r="L60" t="s">
        <v>42</v>
      </c>
      <c r="M60" t="s">
        <v>36</v>
      </c>
      <c r="N60" t="s">
        <v>43</v>
      </c>
      <c r="O60" t="s">
        <v>81</v>
      </c>
      <c r="P60" t="s">
        <v>82</v>
      </c>
      <c r="Q60">
        <v>9.1915994046220888</v>
      </c>
      <c r="R60" t="s">
        <v>46</v>
      </c>
      <c r="S60" t="s">
        <v>47</v>
      </c>
      <c r="V60" t="s">
        <v>71</v>
      </c>
      <c r="Y60" t="s">
        <v>120</v>
      </c>
      <c r="Z60" t="s">
        <v>69</v>
      </c>
      <c r="AA60" t="s">
        <v>124</v>
      </c>
      <c r="AB60" t="s">
        <v>51</v>
      </c>
      <c r="AI60">
        <v>973.00360614682359</v>
      </c>
      <c r="AJ60">
        <v>37197.231871501608</v>
      </c>
    </row>
    <row r="61" spans="1:36" x14ac:dyDescent="0.25">
      <c r="A61">
        <v>292</v>
      </c>
      <c r="C61" t="s">
        <v>36</v>
      </c>
      <c r="E61" t="s">
        <v>37</v>
      </c>
      <c r="F61" t="s">
        <v>38</v>
      </c>
      <c r="G61" s="2">
        <v>45838</v>
      </c>
      <c r="I61" t="s">
        <v>39</v>
      </c>
      <c r="J61" t="s">
        <v>40</v>
      </c>
      <c r="K61" t="s">
        <v>41</v>
      </c>
      <c r="L61" t="s">
        <v>42</v>
      </c>
      <c r="M61" t="s">
        <v>36</v>
      </c>
      <c r="N61" t="s">
        <v>43</v>
      </c>
      <c r="O61" t="s">
        <v>81</v>
      </c>
      <c r="P61" t="s">
        <v>82</v>
      </c>
      <c r="Q61">
        <v>16.043121678629191</v>
      </c>
      <c r="R61" t="s">
        <v>46</v>
      </c>
      <c r="S61" t="s">
        <v>47</v>
      </c>
      <c r="V61" t="s">
        <v>76</v>
      </c>
      <c r="AB61" t="s">
        <v>51</v>
      </c>
      <c r="AI61">
        <v>1146.860587581546</v>
      </c>
      <c r="AJ61">
        <v>64924.469698124303</v>
      </c>
    </row>
    <row r="62" spans="1:36" x14ac:dyDescent="0.25">
      <c r="A62">
        <v>298</v>
      </c>
      <c r="C62" t="s">
        <v>36</v>
      </c>
      <c r="E62" t="s">
        <v>37</v>
      </c>
      <c r="F62" t="s">
        <v>38</v>
      </c>
      <c r="G62" s="2">
        <v>45839</v>
      </c>
      <c r="I62" t="s">
        <v>72</v>
      </c>
      <c r="J62" t="s">
        <v>40</v>
      </c>
      <c r="K62" t="s">
        <v>41</v>
      </c>
      <c r="L62" t="s">
        <v>42</v>
      </c>
      <c r="M62" t="s">
        <v>36</v>
      </c>
      <c r="O62" t="s">
        <v>81</v>
      </c>
      <c r="P62" t="s">
        <v>82</v>
      </c>
      <c r="Q62">
        <v>3.0683971785819151</v>
      </c>
      <c r="R62" t="s">
        <v>46</v>
      </c>
      <c r="S62" t="s">
        <v>47</v>
      </c>
      <c r="V62" t="s">
        <v>119</v>
      </c>
      <c r="Y62" t="s">
        <v>120</v>
      </c>
      <c r="Z62" t="s">
        <v>69</v>
      </c>
      <c r="AA62" t="s">
        <v>121</v>
      </c>
      <c r="AB62" t="s">
        <v>51</v>
      </c>
      <c r="AI62">
        <v>488.24487340989612</v>
      </c>
      <c r="AJ62">
        <v>12417.41249821858</v>
      </c>
    </row>
    <row r="63" spans="1:36" x14ac:dyDescent="0.25">
      <c r="A63" s="21">
        <v>315</v>
      </c>
      <c r="B63" s="21"/>
      <c r="C63" s="21" t="s">
        <v>36</v>
      </c>
      <c r="D63" s="21"/>
      <c r="E63" s="21" t="s">
        <v>37</v>
      </c>
      <c r="F63" s="21"/>
      <c r="G63" s="22">
        <v>45839</v>
      </c>
      <c r="H63" s="21"/>
      <c r="I63" s="21" t="s">
        <v>39</v>
      </c>
      <c r="J63" s="21" t="s">
        <v>40</v>
      </c>
      <c r="K63" s="21" t="s">
        <v>41</v>
      </c>
      <c r="L63" s="21" t="s">
        <v>42</v>
      </c>
      <c r="M63" s="21" t="s">
        <v>36</v>
      </c>
      <c r="N63" s="21" t="s">
        <v>43</v>
      </c>
      <c r="O63" s="21" t="s">
        <v>81</v>
      </c>
      <c r="P63" s="21" t="s">
        <v>82</v>
      </c>
      <c r="Q63" s="21">
        <v>2.5412084263310128</v>
      </c>
      <c r="R63" s="21" t="s">
        <v>46</v>
      </c>
      <c r="S63" s="21" t="s">
        <v>47</v>
      </c>
      <c r="T63" s="21"/>
      <c r="U63" s="21"/>
      <c r="V63" s="21" t="s">
        <v>86</v>
      </c>
      <c r="W63" s="21"/>
      <c r="X63" s="21"/>
      <c r="Y63" s="21"/>
      <c r="Z63" s="21"/>
      <c r="AA63" s="21"/>
      <c r="AB63" s="21" t="s">
        <v>51</v>
      </c>
      <c r="AC63" s="21"/>
      <c r="AD63" s="21"/>
      <c r="AE63" s="21"/>
      <c r="AF63" s="21"/>
      <c r="AG63" s="21"/>
      <c r="AH63" s="21"/>
      <c r="AI63" s="21">
        <v>672.77187855871171</v>
      </c>
      <c r="AJ63" s="21">
        <v>10283.94677650063</v>
      </c>
    </row>
    <row r="64" spans="1:36" x14ac:dyDescent="0.25">
      <c r="A64">
        <v>59</v>
      </c>
      <c r="B64" t="s">
        <v>98</v>
      </c>
      <c r="C64" t="s">
        <v>36</v>
      </c>
      <c r="E64" t="s">
        <v>37</v>
      </c>
      <c r="F64" t="s">
        <v>38</v>
      </c>
      <c r="G64" s="2">
        <v>45839</v>
      </c>
      <c r="H64">
        <v>0</v>
      </c>
      <c r="I64" t="s">
        <v>39</v>
      </c>
      <c r="J64" t="s">
        <v>40</v>
      </c>
      <c r="K64" t="s">
        <v>41</v>
      </c>
      <c r="L64" t="s">
        <v>91</v>
      </c>
      <c r="M64" t="s">
        <v>36</v>
      </c>
      <c r="N64" t="s">
        <v>95</v>
      </c>
      <c r="O64" t="s">
        <v>99</v>
      </c>
      <c r="P64" t="s">
        <v>100</v>
      </c>
      <c r="Q64">
        <v>1.1611198220278449</v>
      </c>
      <c r="R64" t="s">
        <v>46</v>
      </c>
      <c r="S64" t="s">
        <v>47</v>
      </c>
      <c r="V64" t="s">
        <v>86</v>
      </c>
      <c r="AB64" t="s">
        <v>51</v>
      </c>
      <c r="AD64" t="s">
        <v>93</v>
      </c>
      <c r="AI64">
        <v>277.30924832891731</v>
      </c>
      <c r="AJ64">
        <v>4698.9040045465536</v>
      </c>
    </row>
    <row r="65" spans="1:36" x14ac:dyDescent="0.25">
      <c r="A65">
        <v>66</v>
      </c>
      <c r="B65" t="s">
        <v>106</v>
      </c>
      <c r="C65" t="s">
        <v>36</v>
      </c>
      <c r="E65" t="s">
        <v>37</v>
      </c>
      <c r="F65" t="s">
        <v>38</v>
      </c>
      <c r="G65" s="2">
        <v>45839</v>
      </c>
      <c r="H65">
        <v>0</v>
      </c>
      <c r="I65" t="s">
        <v>39</v>
      </c>
      <c r="J65" t="s">
        <v>40</v>
      </c>
      <c r="K65" t="s">
        <v>41</v>
      </c>
      <c r="L65" t="s">
        <v>91</v>
      </c>
      <c r="M65" t="s">
        <v>36</v>
      </c>
      <c r="N65" t="s">
        <v>95</v>
      </c>
      <c r="O65" t="s">
        <v>99</v>
      </c>
      <c r="P65" t="s">
        <v>100</v>
      </c>
      <c r="Q65">
        <v>0.32858124640542491</v>
      </c>
      <c r="R65" t="s">
        <v>46</v>
      </c>
      <c r="S65" t="s">
        <v>47</v>
      </c>
      <c r="V65" t="s">
        <v>86</v>
      </c>
      <c r="AB65" t="s">
        <v>51</v>
      </c>
      <c r="AD65" t="s">
        <v>93</v>
      </c>
      <c r="AI65">
        <v>162.42458959726261</v>
      </c>
      <c r="AJ65">
        <v>1329.726446196456</v>
      </c>
    </row>
    <row r="66" spans="1:36" x14ac:dyDescent="0.25">
      <c r="A66">
        <v>67</v>
      </c>
      <c r="B66" t="s">
        <v>106</v>
      </c>
      <c r="C66" t="s">
        <v>36</v>
      </c>
      <c r="E66" t="s">
        <v>37</v>
      </c>
      <c r="F66" t="s">
        <v>38</v>
      </c>
      <c r="G66" s="2">
        <v>45839</v>
      </c>
      <c r="H66">
        <v>0</v>
      </c>
      <c r="I66" t="s">
        <v>39</v>
      </c>
      <c r="J66" t="s">
        <v>40</v>
      </c>
      <c r="K66" t="s">
        <v>41</v>
      </c>
      <c r="L66" t="s">
        <v>91</v>
      </c>
      <c r="M66" t="s">
        <v>36</v>
      </c>
      <c r="N66" t="s">
        <v>95</v>
      </c>
      <c r="O66" t="s">
        <v>99</v>
      </c>
      <c r="P66" t="s">
        <v>100</v>
      </c>
      <c r="Q66">
        <v>0.77245130534693018</v>
      </c>
      <c r="R66" t="s">
        <v>46</v>
      </c>
      <c r="S66" t="s">
        <v>47</v>
      </c>
      <c r="V66" t="s">
        <v>86</v>
      </c>
      <c r="AB66" t="s">
        <v>51</v>
      </c>
      <c r="AD66" t="s">
        <v>93</v>
      </c>
      <c r="AI66">
        <v>223.94287301087661</v>
      </c>
      <c r="AJ66">
        <v>3126.0120300701042</v>
      </c>
    </row>
    <row r="67" spans="1:36" x14ac:dyDescent="0.25">
      <c r="A67">
        <v>76</v>
      </c>
      <c r="B67" t="s">
        <v>98</v>
      </c>
      <c r="C67" t="s">
        <v>36</v>
      </c>
      <c r="E67" t="s">
        <v>37</v>
      </c>
      <c r="F67" t="s">
        <v>38</v>
      </c>
      <c r="G67" s="2">
        <v>45839</v>
      </c>
      <c r="H67">
        <v>0</v>
      </c>
      <c r="I67" t="s">
        <v>39</v>
      </c>
      <c r="J67" t="s">
        <v>40</v>
      </c>
      <c r="K67" t="s">
        <v>41</v>
      </c>
      <c r="L67" t="s">
        <v>91</v>
      </c>
      <c r="M67" t="s">
        <v>36</v>
      </c>
      <c r="N67" t="s">
        <v>95</v>
      </c>
      <c r="O67" t="s">
        <v>99</v>
      </c>
      <c r="P67" t="s">
        <v>100</v>
      </c>
      <c r="Q67">
        <v>1.0031308501082801</v>
      </c>
      <c r="R67" t="s">
        <v>46</v>
      </c>
      <c r="S67" t="s">
        <v>47</v>
      </c>
      <c r="V67" t="s">
        <v>86</v>
      </c>
      <c r="AB67" t="s">
        <v>51</v>
      </c>
      <c r="AD67" t="s">
        <v>93</v>
      </c>
      <c r="AI67">
        <v>256.32905417489718</v>
      </c>
      <c r="AJ67">
        <v>4059.542761423073</v>
      </c>
    </row>
    <row r="68" spans="1:36" x14ac:dyDescent="0.25">
      <c r="A68">
        <v>89</v>
      </c>
      <c r="B68" t="s">
        <v>103</v>
      </c>
      <c r="C68" t="s">
        <v>36</v>
      </c>
      <c r="E68" t="s">
        <v>37</v>
      </c>
      <c r="F68" t="s">
        <v>38</v>
      </c>
      <c r="G68" s="2">
        <v>45839</v>
      </c>
      <c r="H68">
        <v>0</v>
      </c>
      <c r="I68" t="s">
        <v>39</v>
      </c>
      <c r="J68" t="s">
        <v>40</v>
      </c>
      <c r="K68" t="s">
        <v>41</v>
      </c>
      <c r="L68" t="s">
        <v>91</v>
      </c>
      <c r="M68" t="s">
        <v>36</v>
      </c>
      <c r="N68" t="s">
        <v>95</v>
      </c>
      <c r="O68" t="s">
        <v>99</v>
      </c>
      <c r="P68" t="s">
        <v>100</v>
      </c>
      <c r="Q68">
        <v>1.0659547916662171</v>
      </c>
      <c r="R68" t="s">
        <v>46</v>
      </c>
      <c r="S68" t="s">
        <v>47</v>
      </c>
      <c r="V68" t="s">
        <v>86</v>
      </c>
      <c r="AB68" t="s">
        <v>51</v>
      </c>
      <c r="AD68" t="s">
        <v>93</v>
      </c>
      <c r="AI68">
        <v>265.24456907390629</v>
      </c>
      <c r="AJ68">
        <v>4313.7832497582276</v>
      </c>
    </row>
    <row r="69" spans="1:36" x14ac:dyDescent="0.25">
      <c r="A69">
        <v>92</v>
      </c>
      <c r="B69" t="s">
        <v>104</v>
      </c>
      <c r="C69" t="s">
        <v>36</v>
      </c>
      <c r="E69" t="s">
        <v>37</v>
      </c>
      <c r="F69" t="s">
        <v>38</v>
      </c>
      <c r="G69" s="2">
        <v>45839</v>
      </c>
      <c r="H69">
        <v>0</v>
      </c>
      <c r="I69" t="s">
        <v>39</v>
      </c>
      <c r="J69" t="s">
        <v>40</v>
      </c>
      <c r="K69" t="s">
        <v>41</v>
      </c>
      <c r="L69" t="s">
        <v>91</v>
      </c>
      <c r="M69" t="s">
        <v>36</v>
      </c>
      <c r="N69" t="s">
        <v>95</v>
      </c>
      <c r="O69" t="s">
        <v>99</v>
      </c>
      <c r="P69" t="s">
        <v>100</v>
      </c>
      <c r="Q69">
        <v>1.085392546348418</v>
      </c>
      <c r="R69" t="s">
        <v>46</v>
      </c>
      <c r="S69" t="s">
        <v>47</v>
      </c>
      <c r="V69" t="s">
        <v>86</v>
      </c>
      <c r="AB69" t="s">
        <v>51</v>
      </c>
      <c r="AD69" t="s">
        <v>93</v>
      </c>
      <c r="AI69">
        <v>267.82343118740158</v>
      </c>
      <c r="AJ69">
        <v>4392.445366779084</v>
      </c>
    </row>
    <row r="70" spans="1:36" x14ac:dyDescent="0.25">
      <c r="A70">
        <v>95</v>
      </c>
      <c r="B70" t="s">
        <v>105</v>
      </c>
      <c r="C70" t="s">
        <v>36</v>
      </c>
      <c r="E70" t="s">
        <v>37</v>
      </c>
      <c r="F70" t="s">
        <v>38</v>
      </c>
      <c r="G70" s="2">
        <v>45839</v>
      </c>
      <c r="H70">
        <v>0</v>
      </c>
      <c r="I70" t="s">
        <v>39</v>
      </c>
      <c r="J70" t="s">
        <v>40</v>
      </c>
      <c r="K70" t="s">
        <v>41</v>
      </c>
      <c r="L70" t="s">
        <v>91</v>
      </c>
      <c r="M70" t="s">
        <v>36</v>
      </c>
      <c r="N70" t="s">
        <v>95</v>
      </c>
      <c r="O70" t="s">
        <v>99</v>
      </c>
      <c r="P70" t="s">
        <v>100</v>
      </c>
      <c r="Q70">
        <v>1.0972420515156971</v>
      </c>
      <c r="R70" t="s">
        <v>46</v>
      </c>
      <c r="S70" t="s">
        <v>47</v>
      </c>
      <c r="V70" t="s">
        <v>86</v>
      </c>
      <c r="AB70" t="s">
        <v>51</v>
      </c>
      <c r="AD70" t="s">
        <v>93</v>
      </c>
      <c r="AI70">
        <v>268.83201577330738</v>
      </c>
      <c r="AJ70">
        <v>4440.3988046811073</v>
      </c>
    </row>
    <row r="71" spans="1:36" x14ac:dyDescent="0.25">
      <c r="A71">
        <v>97</v>
      </c>
      <c r="B71" t="s">
        <v>106</v>
      </c>
      <c r="C71" t="s">
        <v>36</v>
      </c>
      <c r="E71" t="s">
        <v>37</v>
      </c>
      <c r="F71" t="s">
        <v>38</v>
      </c>
      <c r="G71" s="2">
        <v>45839</v>
      </c>
      <c r="H71">
        <v>0</v>
      </c>
      <c r="I71" t="s">
        <v>39</v>
      </c>
      <c r="J71" t="s">
        <v>40</v>
      </c>
      <c r="K71" t="s">
        <v>41</v>
      </c>
      <c r="L71" t="s">
        <v>91</v>
      </c>
      <c r="M71" t="s">
        <v>36</v>
      </c>
      <c r="N71" t="s">
        <v>95</v>
      </c>
      <c r="O71" t="s">
        <v>99</v>
      </c>
      <c r="P71" t="s">
        <v>100</v>
      </c>
      <c r="Q71">
        <v>0.61049766714066156</v>
      </c>
      <c r="R71" t="s">
        <v>46</v>
      </c>
      <c r="S71" t="s">
        <v>47</v>
      </c>
      <c r="V71" t="s">
        <v>86</v>
      </c>
      <c r="AB71" t="s">
        <v>51</v>
      </c>
      <c r="AD71" t="s">
        <v>93</v>
      </c>
      <c r="AI71">
        <v>201.66529437952761</v>
      </c>
      <c r="AJ71">
        <v>2470.606287543671</v>
      </c>
    </row>
    <row r="72" spans="1:36" x14ac:dyDescent="0.25">
      <c r="A72">
        <v>98</v>
      </c>
      <c r="B72" t="s">
        <v>106</v>
      </c>
      <c r="C72" t="s">
        <v>36</v>
      </c>
      <c r="E72" t="s">
        <v>37</v>
      </c>
      <c r="F72" t="s">
        <v>38</v>
      </c>
      <c r="G72" s="2">
        <v>45839</v>
      </c>
      <c r="H72">
        <v>0</v>
      </c>
      <c r="I72" t="s">
        <v>39</v>
      </c>
      <c r="J72" t="s">
        <v>40</v>
      </c>
      <c r="K72" t="s">
        <v>41</v>
      </c>
      <c r="L72" t="s">
        <v>91</v>
      </c>
      <c r="M72" t="s">
        <v>36</v>
      </c>
      <c r="N72" t="s">
        <v>95</v>
      </c>
      <c r="O72" t="s">
        <v>99</v>
      </c>
      <c r="P72" t="s">
        <v>100</v>
      </c>
      <c r="Q72">
        <v>0.32606721709954117</v>
      </c>
      <c r="R72" t="s">
        <v>46</v>
      </c>
      <c r="S72" t="s">
        <v>47</v>
      </c>
      <c r="V72" t="s">
        <v>86</v>
      </c>
      <c r="AB72" t="s">
        <v>51</v>
      </c>
      <c r="AD72" t="s">
        <v>93</v>
      </c>
      <c r="AI72">
        <v>162.366961255815</v>
      </c>
      <c r="AJ72">
        <v>1319.552489858055</v>
      </c>
    </row>
    <row r="73" spans="1:36" x14ac:dyDescent="0.25">
      <c r="A73">
        <v>99</v>
      </c>
      <c r="B73" t="s">
        <v>106</v>
      </c>
      <c r="C73" t="s">
        <v>36</v>
      </c>
      <c r="E73" t="s">
        <v>37</v>
      </c>
      <c r="F73" t="s">
        <v>38</v>
      </c>
      <c r="G73" s="2">
        <v>45839</v>
      </c>
      <c r="H73">
        <v>0</v>
      </c>
      <c r="I73" t="s">
        <v>39</v>
      </c>
      <c r="J73" t="s">
        <v>40</v>
      </c>
      <c r="K73" t="s">
        <v>41</v>
      </c>
      <c r="L73" t="s">
        <v>91</v>
      </c>
      <c r="M73" t="s">
        <v>36</v>
      </c>
      <c r="N73" t="s">
        <v>95</v>
      </c>
      <c r="O73" t="s">
        <v>99</v>
      </c>
      <c r="P73" t="s">
        <v>100</v>
      </c>
      <c r="Q73">
        <v>0.75848046303644578</v>
      </c>
      <c r="R73" t="s">
        <v>46</v>
      </c>
      <c r="S73" t="s">
        <v>47</v>
      </c>
      <c r="V73" t="s">
        <v>86</v>
      </c>
      <c r="AB73" t="s">
        <v>51</v>
      </c>
      <c r="AD73" t="s">
        <v>93</v>
      </c>
      <c r="AI73">
        <v>221.96200007738031</v>
      </c>
      <c r="AJ73">
        <v>3069.4738109869322</v>
      </c>
    </row>
    <row r="74" spans="1:36" x14ac:dyDescent="0.25">
      <c r="A74">
        <v>100</v>
      </c>
      <c r="B74" t="s">
        <v>106</v>
      </c>
      <c r="C74" t="s">
        <v>36</v>
      </c>
      <c r="E74" t="s">
        <v>37</v>
      </c>
      <c r="F74" t="s">
        <v>38</v>
      </c>
      <c r="G74" s="2">
        <v>45839</v>
      </c>
      <c r="H74">
        <v>0</v>
      </c>
      <c r="I74" t="s">
        <v>39</v>
      </c>
      <c r="J74" t="s">
        <v>40</v>
      </c>
      <c r="K74" t="s">
        <v>41</v>
      </c>
      <c r="L74" t="s">
        <v>91</v>
      </c>
      <c r="M74" t="s">
        <v>36</v>
      </c>
      <c r="N74" t="s">
        <v>95</v>
      </c>
      <c r="O74" t="s">
        <v>99</v>
      </c>
      <c r="P74" t="s">
        <v>100</v>
      </c>
      <c r="Q74">
        <v>1.075310606837983</v>
      </c>
      <c r="R74" t="s">
        <v>46</v>
      </c>
      <c r="S74" t="s">
        <v>47</v>
      </c>
      <c r="V74" t="s">
        <v>86</v>
      </c>
      <c r="AB74" t="s">
        <v>51</v>
      </c>
      <c r="AD74" t="s">
        <v>93</v>
      </c>
      <c r="AI74">
        <v>266.03227315043921</v>
      </c>
      <c r="AJ74">
        <v>4351.6450419198954</v>
      </c>
    </row>
    <row r="75" spans="1:36" x14ac:dyDescent="0.25">
      <c r="A75">
        <v>101</v>
      </c>
      <c r="B75" t="s">
        <v>106</v>
      </c>
      <c r="C75" t="s">
        <v>36</v>
      </c>
      <c r="E75" t="s">
        <v>37</v>
      </c>
      <c r="F75" t="s">
        <v>38</v>
      </c>
      <c r="G75" s="2">
        <v>45839</v>
      </c>
      <c r="H75">
        <v>0</v>
      </c>
      <c r="I75" t="s">
        <v>39</v>
      </c>
      <c r="J75" t="s">
        <v>40</v>
      </c>
      <c r="K75" t="s">
        <v>41</v>
      </c>
      <c r="L75" t="s">
        <v>91</v>
      </c>
      <c r="M75" t="s">
        <v>36</v>
      </c>
      <c r="N75" t="s">
        <v>95</v>
      </c>
      <c r="O75" t="s">
        <v>99</v>
      </c>
      <c r="P75" t="s">
        <v>100</v>
      </c>
      <c r="Q75">
        <v>0.47594859651006782</v>
      </c>
      <c r="R75" t="s">
        <v>46</v>
      </c>
      <c r="S75" t="s">
        <v>47</v>
      </c>
      <c r="V75" t="s">
        <v>86</v>
      </c>
      <c r="AB75" t="s">
        <v>51</v>
      </c>
      <c r="AD75" t="s">
        <v>93</v>
      </c>
      <c r="AI75">
        <v>183.29294322308269</v>
      </c>
      <c r="AJ75">
        <v>1926.103338924685</v>
      </c>
    </row>
    <row r="76" spans="1:36" x14ac:dyDescent="0.25">
      <c r="A76">
        <v>174</v>
      </c>
      <c r="C76" t="s">
        <v>36</v>
      </c>
      <c r="E76" t="s">
        <v>37</v>
      </c>
      <c r="F76" t="s">
        <v>38</v>
      </c>
      <c r="G76" s="2">
        <v>45838</v>
      </c>
      <c r="I76" t="s">
        <v>39</v>
      </c>
      <c r="J76" t="s">
        <v>40</v>
      </c>
      <c r="K76" t="s">
        <v>41</v>
      </c>
      <c r="L76" t="s">
        <v>42</v>
      </c>
      <c r="M76" t="s">
        <v>36</v>
      </c>
      <c r="N76" t="s">
        <v>43</v>
      </c>
      <c r="O76" t="s">
        <v>99</v>
      </c>
      <c r="P76" t="s">
        <v>133</v>
      </c>
      <c r="Q76">
        <v>0.4947121630525193</v>
      </c>
      <c r="R76" t="s">
        <v>46</v>
      </c>
      <c r="S76" t="s">
        <v>47</v>
      </c>
      <c r="V76" t="s">
        <v>64</v>
      </c>
      <c r="AB76" t="s">
        <v>51</v>
      </c>
      <c r="AI76">
        <v>205.32728932580599</v>
      </c>
      <c r="AJ76">
        <v>2002.037102428885</v>
      </c>
    </row>
    <row r="77" spans="1:36" x14ac:dyDescent="0.25">
      <c r="A77">
        <v>159</v>
      </c>
      <c r="C77" t="s">
        <v>36</v>
      </c>
      <c r="E77" t="s">
        <v>37</v>
      </c>
      <c r="F77" t="s">
        <v>38</v>
      </c>
      <c r="G77" s="2">
        <v>45838</v>
      </c>
      <c r="I77" t="s">
        <v>72</v>
      </c>
      <c r="J77" t="s">
        <v>40</v>
      </c>
      <c r="K77" t="s">
        <v>41</v>
      </c>
      <c r="L77" t="s">
        <v>42</v>
      </c>
      <c r="M77" t="s">
        <v>36</v>
      </c>
      <c r="O77" t="s">
        <v>129</v>
      </c>
      <c r="P77" t="s">
        <v>130</v>
      </c>
      <c r="Q77">
        <v>0.47255644785755241</v>
      </c>
      <c r="R77" t="s">
        <v>46</v>
      </c>
      <c r="S77" t="s">
        <v>47</v>
      </c>
      <c r="T77" t="s">
        <v>57</v>
      </c>
      <c r="V77" t="s">
        <v>46</v>
      </c>
      <c r="Y77" t="s">
        <v>48</v>
      </c>
      <c r="Z77" t="s">
        <v>49</v>
      </c>
      <c r="AA77" t="s">
        <v>54</v>
      </c>
      <c r="AB77" t="s">
        <v>51</v>
      </c>
      <c r="AD77" t="s">
        <v>57</v>
      </c>
      <c r="AI77">
        <v>179.55210262442381</v>
      </c>
      <c r="AJ77">
        <v>1912.375745454199</v>
      </c>
    </row>
    <row r="78" spans="1:36" x14ac:dyDescent="0.25">
      <c r="A78">
        <v>55</v>
      </c>
      <c r="C78" t="s">
        <v>36</v>
      </c>
      <c r="E78" t="s">
        <v>37</v>
      </c>
      <c r="F78" t="s">
        <v>38</v>
      </c>
      <c r="G78" s="2">
        <v>45839</v>
      </c>
      <c r="I78" t="s">
        <v>39</v>
      </c>
      <c r="J78" t="s">
        <v>40</v>
      </c>
      <c r="K78" t="s">
        <v>41</v>
      </c>
      <c r="L78" t="s">
        <v>42</v>
      </c>
      <c r="M78" t="s">
        <v>36</v>
      </c>
      <c r="N78" t="s">
        <v>43</v>
      </c>
      <c r="O78" t="s">
        <v>87</v>
      </c>
      <c r="P78" t="s">
        <v>88</v>
      </c>
      <c r="Q78">
        <v>5.3796935140694666</v>
      </c>
      <c r="R78" t="s">
        <v>46</v>
      </c>
      <c r="S78" t="s">
        <v>47</v>
      </c>
      <c r="V78" t="s">
        <v>86</v>
      </c>
      <c r="AB78" t="s">
        <v>51</v>
      </c>
      <c r="AC78" t="s">
        <v>89</v>
      </c>
      <c r="AI78">
        <v>635.96399955736115</v>
      </c>
      <c r="AJ78">
        <v>21770.934331605891</v>
      </c>
    </row>
    <row r="79" spans="1:36" x14ac:dyDescent="0.25">
      <c r="A79">
        <v>115</v>
      </c>
      <c r="C79" t="s">
        <v>36</v>
      </c>
      <c r="E79" t="s">
        <v>37</v>
      </c>
      <c r="F79" t="s">
        <v>38</v>
      </c>
      <c r="G79" s="2">
        <v>45839</v>
      </c>
      <c r="I79" t="s">
        <v>39</v>
      </c>
      <c r="J79" t="s">
        <v>40</v>
      </c>
      <c r="K79" t="s">
        <v>41</v>
      </c>
      <c r="L79" t="s">
        <v>42</v>
      </c>
      <c r="M79" t="s">
        <v>36</v>
      </c>
      <c r="N79" t="s">
        <v>43</v>
      </c>
      <c r="O79" t="s">
        <v>113</v>
      </c>
      <c r="P79" t="s">
        <v>114</v>
      </c>
      <c r="Q79">
        <v>7.9520289708909724</v>
      </c>
      <c r="R79" t="s">
        <v>46</v>
      </c>
      <c r="S79" t="s">
        <v>47</v>
      </c>
      <c r="V79" t="s">
        <v>110</v>
      </c>
      <c r="Y79" t="s">
        <v>48</v>
      </c>
      <c r="Z79" t="s">
        <v>69</v>
      </c>
      <c r="AA79" t="s">
        <v>64</v>
      </c>
      <c r="AB79" t="s">
        <v>51</v>
      </c>
      <c r="AI79">
        <v>792.79885169820238</v>
      </c>
      <c r="AJ79">
        <v>32180.84823522521</v>
      </c>
    </row>
    <row r="80" spans="1:36" x14ac:dyDescent="0.25">
      <c r="A80">
        <v>116</v>
      </c>
      <c r="C80" t="s">
        <v>36</v>
      </c>
      <c r="E80" t="s">
        <v>37</v>
      </c>
      <c r="F80" t="s">
        <v>38</v>
      </c>
      <c r="G80" s="2">
        <v>45839</v>
      </c>
      <c r="I80" t="s">
        <v>39</v>
      </c>
      <c r="J80" t="s">
        <v>40</v>
      </c>
      <c r="K80" t="s">
        <v>41</v>
      </c>
      <c r="L80" t="s">
        <v>42</v>
      </c>
      <c r="M80" t="s">
        <v>36</v>
      </c>
      <c r="N80" t="s">
        <v>43</v>
      </c>
      <c r="O80" t="s">
        <v>113</v>
      </c>
      <c r="P80" t="s">
        <v>114</v>
      </c>
      <c r="Q80">
        <v>1.6297137988814601</v>
      </c>
      <c r="R80" t="s">
        <v>46</v>
      </c>
      <c r="S80" t="s">
        <v>47</v>
      </c>
      <c r="V80" t="s">
        <v>110</v>
      </c>
      <c r="Y80" t="s">
        <v>48</v>
      </c>
      <c r="Z80" t="s">
        <v>69</v>
      </c>
      <c r="AA80" t="s">
        <v>64</v>
      </c>
      <c r="AB80" t="s">
        <v>51</v>
      </c>
      <c r="AI80">
        <v>358.22074104995772</v>
      </c>
      <c r="AJ80">
        <v>6595.2441346274964</v>
      </c>
    </row>
    <row r="81" spans="1:36" x14ac:dyDescent="0.25">
      <c r="A81">
        <v>118</v>
      </c>
      <c r="C81" t="s">
        <v>36</v>
      </c>
      <c r="E81" t="s">
        <v>37</v>
      </c>
      <c r="F81" t="s">
        <v>38</v>
      </c>
      <c r="G81" s="2">
        <v>45839</v>
      </c>
      <c r="I81" t="s">
        <v>39</v>
      </c>
      <c r="J81" t="s">
        <v>40</v>
      </c>
      <c r="K81" t="s">
        <v>41</v>
      </c>
      <c r="L81" t="s">
        <v>42</v>
      </c>
      <c r="M81" t="s">
        <v>36</v>
      </c>
      <c r="N81" t="s">
        <v>43</v>
      </c>
      <c r="O81" t="s">
        <v>113</v>
      </c>
      <c r="P81" t="s">
        <v>114</v>
      </c>
      <c r="Q81">
        <v>3.268909838981803</v>
      </c>
      <c r="R81" t="s">
        <v>46</v>
      </c>
      <c r="S81" t="s">
        <v>47</v>
      </c>
      <c r="V81" t="s">
        <v>110</v>
      </c>
      <c r="Y81" t="s">
        <v>48</v>
      </c>
      <c r="Z81" t="s">
        <v>69</v>
      </c>
      <c r="AA81" t="s">
        <v>64</v>
      </c>
      <c r="AB81" t="s">
        <v>51</v>
      </c>
      <c r="AI81">
        <v>552.1700620243588</v>
      </c>
      <c r="AJ81">
        <v>13228.861691523911</v>
      </c>
    </row>
    <row r="82" spans="1:36" x14ac:dyDescent="0.25">
      <c r="A82">
        <v>119</v>
      </c>
      <c r="C82" t="s">
        <v>36</v>
      </c>
      <c r="E82" t="s">
        <v>37</v>
      </c>
      <c r="F82" t="s">
        <v>38</v>
      </c>
      <c r="G82" s="2">
        <v>45839</v>
      </c>
      <c r="I82" t="s">
        <v>39</v>
      </c>
      <c r="J82" t="s">
        <v>40</v>
      </c>
      <c r="K82" t="s">
        <v>41</v>
      </c>
      <c r="L82" t="s">
        <v>42</v>
      </c>
      <c r="M82" t="s">
        <v>36</v>
      </c>
      <c r="N82" t="s">
        <v>43</v>
      </c>
      <c r="O82" t="s">
        <v>113</v>
      </c>
      <c r="P82" t="s">
        <v>114</v>
      </c>
      <c r="Q82">
        <v>8.1175193792897868</v>
      </c>
      <c r="R82" t="s">
        <v>46</v>
      </c>
      <c r="S82" t="s">
        <v>47</v>
      </c>
      <c r="V82" t="s">
        <v>110</v>
      </c>
      <c r="Y82" t="s">
        <v>48</v>
      </c>
      <c r="Z82" t="s">
        <v>69</v>
      </c>
      <c r="AA82" t="s">
        <v>64</v>
      </c>
      <c r="AB82" t="s">
        <v>51</v>
      </c>
      <c r="AI82">
        <v>902.44806109758247</v>
      </c>
      <c r="AJ82">
        <v>32850.566836171267</v>
      </c>
    </row>
    <row r="83" spans="1:36" x14ac:dyDescent="0.25">
      <c r="A83">
        <v>138</v>
      </c>
      <c r="C83" t="s">
        <v>36</v>
      </c>
      <c r="E83" t="s">
        <v>37</v>
      </c>
      <c r="F83" t="s">
        <v>38</v>
      </c>
      <c r="G83" s="2">
        <v>45839</v>
      </c>
      <c r="I83" t="s">
        <v>39</v>
      </c>
      <c r="J83" t="s">
        <v>40</v>
      </c>
      <c r="K83" t="s">
        <v>41</v>
      </c>
      <c r="L83" t="s">
        <v>42</v>
      </c>
      <c r="M83" t="s">
        <v>36</v>
      </c>
      <c r="N83" t="s">
        <v>43</v>
      </c>
      <c r="O83" t="s">
        <v>113</v>
      </c>
      <c r="P83" t="s">
        <v>114</v>
      </c>
      <c r="Q83">
        <v>20.532894875671641</v>
      </c>
      <c r="R83" t="s">
        <v>46</v>
      </c>
      <c r="S83" t="s">
        <v>47</v>
      </c>
      <c r="V83" t="s">
        <v>119</v>
      </c>
      <c r="Y83" t="s">
        <v>120</v>
      </c>
      <c r="Z83" t="s">
        <v>69</v>
      </c>
      <c r="AA83" t="s">
        <v>121</v>
      </c>
      <c r="AB83" t="s">
        <v>51</v>
      </c>
      <c r="AI83">
        <v>1239.703389604535</v>
      </c>
      <c r="AJ83">
        <v>83094.009873782925</v>
      </c>
    </row>
    <row r="84" spans="1:36" x14ac:dyDescent="0.25">
      <c r="A84">
        <v>140</v>
      </c>
      <c r="C84" t="s">
        <v>36</v>
      </c>
      <c r="E84" t="s">
        <v>37</v>
      </c>
      <c r="F84" t="s">
        <v>38</v>
      </c>
      <c r="G84" s="2">
        <v>45839</v>
      </c>
      <c r="I84" t="s">
        <v>39</v>
      </c>
      <c r="J84" t="s">
        <v>40</v>
      </c>
      <c r="K84" t="s">
        <v>41</v>
      </c>
      <c r="L84" t="s">
        <v>42</v>
      </c>
      <c r="M84" t="s">
        <v>36</v>
      </c>
      <c r="N84" t="s">
        <v>43</v>
      </c>
      <c r="O84" t="s">
        <v>113</v>
      </c>
      <c r="P84" t="s">
        <v>114</v>
      </c>
      <c r="Q84">
        <v>6.4300640567677911</v>
      </c>
      <c r="R84" t="s">
        <v>46</v>
      </c>
      <c r="S84" t="s">
        <v>47</v>
      </c>
      <c r="V84" t="s">
        <v>71</v>
      </c>
      <c r="Y84" t="s">
        <v>120</v>
      </c>
      <c r="Z84" t="s">
        <v>69</v>
      </c>
      <c r="AA84" t="s">
        <v>124</v>
      </c>
      <c r="AB84" t="s">
        <v>51</v>
      </c>
      <c r="AI84">
        <v>941.98433452743711</v>
      </c>
      <c r="AJ84">
        <v>26021.650111070488</v>
      </c>
    </row>
    <row r="85" spans="1:36" x14ac:dyDescent="0.25">
      <c r="A85">
        <v>142</v>
      </c>
      <c r="C85" t="s">
        <v>36</v>
      </c>
      <c r="E85" t="s">
        <v>37</v>
      </c>
      <c r="G85" s="2">
        <v>45839</v>
      </c>
      <c r="I85" t="s">
        <v>39</v>
      </c>
      <c r="J85" t="s">
        <v>40</v>
      </c>
      <c r="K85" t="s">
        <v>41</v>
      </c>
      <c r="L85" t="s">
        <v>42</v>
      </c>
      <c r="M85" t="s">
        <v>36</v>
      </c>
      <c r="N85" t="s">
        <v>43</v>
      </c>
      <c r="O85" t="s">
        <v>113</v>
      </c>
      <c r="P85" t="s">
        <v>114</v>
      </c>
      <c r="Q85">
        <v>8.1515647725364619</v>
      </c>
      <c r="R85" t="s">
        <v>46</v>
      </c>
      <c r="S85" t="s">
        <v>47</v>
      </c>
      <c r="V85" t="s">
        <v>71</v>
      </c>
      <c r="AB85" t="s">
        <v>51</v>
      </c>
      <c r="AI85">
        <v>752.77408693645725</v>
      </c>
      <c r="AJ85">
        <v>32988.344205593647</v>
      </c>
    </row>
    <row r="86" spans="1:36" x14ac:dyDescent="0.25">
      <c r="A86">
        <v>182</v>
      </c>
      <c r="C86" t="s">
        <v>36</v>
      </c>
      <c r="E86" t="s">
        <v>37</v>
      </c>
      <c r="F86" t="s">
        <v>38</v>
      </c>
      <c r="G86" s="2">
        <v>45839</v>
      </c>
      <c r="I86" t="s">
        <v>39</v>
      </c>
      <c r="J86" t="s">
        <v>40</v>
      </c>
      <c r="K86" t="s">
        <v>41</v>
      </c>
      <c r="L86" t="s">
        <v>42</v>
      </c>
      <c r="M86" t="s">
        <v>36</v>
      </c>
      <c r="N86" t="s">
        <v>43</v>
      </c>
      <c r="O86" t="s">
        <v>113</v>
      </c>
      <c r="P86" t="s">
        <v>114</v>
      </c>
      <c r="Q86">
        <v>6.2250737209785481</v>
      </c>
      <c r="R86" t="s">
        <v>46</v>
      </c>
      <c r="S86" t="s">
        <v>47</v>
      </c>
      <c r="V86" t="s">
        <v>110</v>
      </c>
      <c r="Y86" t="s">
        <v>48</v>
      </c>
      <c r="Z86" t="s">
        <v>69</v>
      </c>
      <c r="AA86" t="s">
        <v>64</v>
      </c>
      <c r="AB86" t="s">
        <v>51</v>
      </c>
      <c r="AI86">
        <v>2041.311325774773</v>
      </c>
      <c r="AJ86">
        <v>25192.080335876071</v>
      </c>
    </row>
    <row r="87" spans="1:36" x14ac:dyDescent="0.25">
      <c r="A87">
        <v>200</v>
      </c>
      <c r="C87" t="s">
        <v>36</v>
      </c>
      <c r="E87" t="s">
        <v>37</v>
      </c>
      <c r="F87" t="s">
        <v>38</v>
      </c>
      <c r="G87" s="2">
        <v>45839</v>
      </c>
      <c r="I87" t="s">
        <v>39</v>
      </c>
      <c r="J87" t="s">
        <v>40</v>
      </c>
      <c r="K87" t="s">
        <v>41</v>
      </c>
      <c r="L87" t="s">
        <v>42</v>
      </c>
      <c r="M87" t="s">
        <v>36</v>
      </c>
      <c r="N87" t="s">
        <v>126</v>
      </c>
      <c r="O87" t="s">
        <v>113</v>
      </c>
      <c r="P87" t="s">
        <v>114</v>
      </c>
      <c r="Q87">
        <v>14.853811426915341</v>
      </c>
      <c r="R87" t="s">
        <v>46</v>
      </c>
      <c r="S87" t="s">
        <v>47</v>
      </c>
      <c r="V87" t="s">
        <v>110</v>
      </c>
      <c r="Y87" t="s">
        <v>48</v>
      </c>
      <c r="Z87" t="s">
        <v>69</v>
      </c>
      <c r="AA87" t="s">
        <v>64</v>
      </c>
      <c r="AB87" t="s">
        <v>51</v>
      </c>
      <c r="AI87">
        <v>995.47184261019675</v>
      </c>
      <c r="AJ87">
        <v>60111.48261582086</v>
      </c>
    </row>
    <row r="88" spans="1:36" x14ac:dyDescent="0.25">
      <c r="A88">
        <v>201</v>
      </c>
      <c r="C88" t="s">
        <v>36</v>
      </c>
      <c r="E88" t="s">
        <v>37</v>
      </c>
      <c r="F88" t="s">
        <v>38</v>
      </c>
      <c r="G88" s="2">
        <v>45839</v>
      </c>
      <c r="I88" t="s">
        <v>39</v>
      </c>
      <c r="J88" t="s">
        <v>40</v>
      </c>
      <c r="K88" t="s">
        <v>41</v>
      </c>
      <c r="L88" t="s">
        <v>42</v>
      </c>
      <c r="M88" t="s">
        <v>36</v>
      </c>
      <c r="N88" t="s">
        <v>126</v>
      </c>
      <c r="O88" t="s">
        <v>113</v>
      </c>
      <c r="P88" t="s">
        <v>114</v>
      </c>
      <c r="Q88">
        <v>4.3073361651121527</v>
      </c>
      <c r="R88" t="s">
        <v>46</v>
      </c>
      <c r="S88" t="s">
        <v>47</v>
      </c>
      <c r="V88" t="s">
        <v>110</v>
      </c>
      <c r="Y88" t="s">
        <v>48</v>
      </c>
      <c r="Z88" t="s">
        <v>69</v>
      </c>
      <c r="AA88" t="s">
        <v>64</v>
      </c>
      <c r="AB88" t="s">
        <v>51</v>
      </c>
      <c r="AI88">
        <v>615.28284878337229</v>
      </c>
      <c r="AJ88">
        <v>17431.24074811317</v>
      </c>
    </row>
    <row r="89" spans="1:36" x14ac:dyDescent="0.25">
      <c r="A89">
        <v>202</v>
      </c>
      <c r="C89" t="s">
        <v>36</v>
      </c>
      <c r="E89" t="s">
        <v>37</v>
      </c>
      <c r="F89" t="s">
        <v>38</v>
      </c>
      <c r="G89" s="2">
        <v>45839</v>
      </c>
      <c r="I89" t="s">
        <v>39</v>
      </c>
      <c r="J89" t="s">
        <v>40</v>
      </c>
      <c r="K89" t="s">
        <v>41</v>
      </c>
      <c r="L89" t="s">
        <v>42</v>
      </c>
      <c r="M89" t="s">
        <v>36</v>
      </c>
      <c r="N89" t="s">
        <v>126</v>
      </c>
      <c r="O89" t="s">
        <v>113</v>
      </c>
      <c r="P89" t="s">
        <v>114</v>
      </c>
      <c r="Q89">
        <v>13.63002333270604</v>
      </c>
      <c r="R89" t="s">
        <v>46</v>
      </c>
      <c r="S89" t="s">
        <v>47</v>
      </c>
      <c r="V89" t="s">
        <v>110</v>
      </c>
      <c r="Y89" t="s">
        <v>48</v>
      </c>
      <c r="Z89" t="s">
        <v>69</v>
      </c>
      <c r="AA89" t="s">
        <v>64</v>
      </c>
      <c r="AB89" t="s">
        <v>51</v>
      </c>
      <c r="AI89">
        <v>984.84519120437369</v>
      </c>
      <c r="AJ89">
        <v>55158.968097075063</v>
      </c>
    </row>
    <row r="90" spans="1:36" x14ac:dyDescent="0.25">
      <c r="A90">
        <v>204</v>
      </c>
      <c r="C90" t="s">
        <v>36</v>
      </c>
      <c r="E90" t="s">
        <v>37</v>
      </c>
      <c r="F90" t="s">
        <v>38</v>
      </c>
      <c r="G90" s="2">
        <v>45839</v>
      </c>
      <c r="I90" t="s">
        <v>39</v>
      </c>
      <c r="J90" t="s">
        <v>40</v>
      </c>
      <c r="K90" t="s">
        <v>41</v>
      </c>
      <c r="L90" t="s">
        <v>42</v>
      </c>
      <c r="M90" t="s">
        <v>36</v>
      </c>
      <c r="N90" t="s">
        <v>126</v>
      </c>
      <c r="O90" t="s">
        <v>113</v>
      </c>
      <c r="P90" t="s">
        <v>114</v>
      </c>
      <c r="Q90">
        <v>19.44761340060224</v>
      </c>
      <c r="R90" t="s">
        <v>46</v>
      </c>
      <c r="S90" t="s">
        <v>47</v>
      </c>
      <c r="V90" t="s">
        <v>110</v>
      </c>
      <c r="Y90" t="s">
        <v>48</v>
      </c>
      <c r="Z90" t="s">
        <v>69</v>
      </c>
      <c r="AA90" t="s">
        <v>64</v>
      </c>
      <c r="AB90" t="s">
        <v>51</v>
      </c>
      <c r="AI90">
        <v>1098.411080203339</v>
      </c>
      <c r="AJ90">
        <v>78702.013998320675</v>
      </c>
    </row>
    <row r="91" spans="1:36" x14ac:dyDescent="0.25">
      <c r="A91">
        <v>205</v>
      </c>
      <c r="C91" t="s">
        <v>36</v>
      </c>
      <c r="E91" t="s">
        <v>37</v>
      </c>
      <c r="F91" t="s">
        <v>38</v>
      </c>
      <c r="G91" s="2">
        <v>45839</v>
      </c>
      <c r="I91" t="s">
        <v>39</v>
      </c>
      <c r="J91" t="s">
        <v>40</v>
      </c>
      <c r="K91" t="s">
        <v>41</v>
      </c>
      <c r="L91" t="s">
        <v>42</v>
      </c>
      <c r="M91" t="s">
        <v>36</v>
      </c>
      <c r="N91" t="s">
        <v>126</v>
      </c>
      <c r="O91" t="s">
        <v>113</v>
      </c>
      <c r="P91" t="s">
        <v>114</v>
      </c>
      <c r="Q91">
        <v>3.0598279602673331</v>
      </c>
      <c r="R91" t="s">
        <v>46</v>
      </c>
      <c r="S91" t="s">
        <v>47</v>
      </c>
      <c r="V91" t="s">
        <v>110</v>
      </c>
      <c r="Y91" t="s">
        <v>48</v>
      </c>
      <c r="Z91" t="s">
        <v>69</v>
      </c>
      <c r="AA91" t="s">
        <v>64</v>
      </c>
      <c r="AB91" t="s">
        <v>51</v>
      </c>
      <c r="AI91">
        <v>570.08996318236632</v>
      </c>
      <c r="AJ91">
        <v>12382.73396333327</v>
      </c>
    </row>
    <row r="92" spans="1:36" x14ac:dyDescent="0.25">
      <c r="A92">
        <v>206</v>
      </c>
      <c r="C92" t="s">
        <v>36</v>
      </c>
      <c r="E92" t="s">
        <v>37</v>
      </c>
      <c r="F92" t="s">
        <v>38</v>
      </c>
      <c r="G92" s="2">
        <v>45839</v>
      </c>
      <c r="I92" t="s">
        <v>39</v>
      </c>
      <c r="J92" t="s">
        <v>40</v>
      </c>
      <c r="K92" t="s">
        <v>41</v>
      </c>
      <c r="L92" t="s">
        <v>42</v>
      </c>
      <c r="M92" t="s">
        <v>36</v>
      </c>
      <c r="N92" t="s">
        <v>126</v>
      </c>
      <c r="O92" t="s">
        <v>113</v>
      </c>
      <c r="P92" t="s">
        <v>114</v>
      </c>
      <c r="Q92">
        <v>4.4734660632551364</v>
      </c>
      <c r="R92" t="s">
        <v>46</v>
      </c>
      <c r="S92" t="s">
        <v>47</v>
      </c>
      <c r="V92" t="s">
        <v>110</v>
      </c>
      <c r="Y92" t="s">
        <v>48</v>
      </c>
      <c r="Z92" t="s">
        <v>69</v>
      </c>
      <c r="AA92" t="s">
        <v>64</v>
      </c>
      <c r="AB92" t="s">
        <v>51</v>
      </c>
      <c r="AI92">
        <v>642.74653856569216</v>
      </c>
      <c r="AJ92">
        <v>18103.54728258921</v>
      </c>
    </row>
    <row r="93" spans="1:36" x14ac:dyDescent="0.25">
      <c r="A93">
        <v>207</v>
      </c>
      <c r="C93" t="s">
        <v>36</v>
      </c>
      <c r="E93" t="s">
        <v>37</v>
      </c>
      <c r="F93" t="s">
        <v>38</v>
      </c>
      <c r="G93" s="2">
        <v>45839</v>
      </c>
      <c r="I93" t="s">
        <v>39</v>
      </c>
      <c r="J93" t="s">
        <v>40</v>
      </c>
      <c r="K93" t="s">
        <v>41</v>
      </c>
      <c r="L93" t="s">
        <v>42</v>
      </c>
      <c r="M93" t="s">
        <v>36</v>
      </c>
      <c r="N93" t="s">
        <v>126</v>
      </c>
      <c r="O93" t="s">
        <v>113</v>
      </c>
      <c r="P93" t="s">
        <v>114</v>
      </c>
      <c r="Q93">
        <v>4.3029460746196673</v>
      </c>
      <c r="R93" t="s">
        <v>46</v>
      </c>
      <c r="S93" t="s">
        <v>47</v>
      </c>
      <c r="V93" t="s">
        <v>110</v>
      </c>
      <c r="Y93" t="s">
        <v>48</v>
      </c>
      <c r="Z93" t="s">
        <v>69</v>
      </c>
      <c r="AA93" t="s">
        <v>64</v>
      </c>
      <c r="AB93" t="s">
        <v>51</v>
      </c>
      <c r="AI93">
        <v>586.63847125291795</v>
      </c>
      <c r="AJ93">
        <v>17413.474611144258</v>
      </c>
    </row>
    <row r="94" spans="1:36" x14ac:dyDescent="0.25">
      <c r="A94">
        <v>209</v>
      </c>
      <c r="C94" t="s">
        <v>36</v>
      </c>
      <c r="E94" t="s">
        <v>37</v>
      </c>
      <c r="F94" t="s">
        <v>38</v>
      </c>
      <c r="G94" s="2">
        <v>45839</v>
      </c>
      <c r="I94" t="s">
        <v>39</v>
      </c>
      <c r="J94" t="s">
        <v>40</v>
      </c>
      <c r="K94" t="s">
        <v>41</v>
      </c>
      <c r="L94" t="s">
        <v>42</v>
      </c>
      <c r="M94" t="s">
        <v>36</v>
      </c>
      <c r="N94" t="s">
        <v>126</v>
      </c>
      <c r="O94" t="s">
        <v>113</v>
      </c>
      <c r="P94" t="s">
        <v>114</v>
      </c>
      <c r="Q94">
        <v>26.267209922134729</v>
      </c>
      <c r="R94" t="s">
        <v>46</v>
      </c>
      <c r="S94" t="s">
        <v>47</v>
      </c>
      <c r="V94" t="s">
        <v>70</v>
      </c>
      <c r="Y94" t="s">
        <v>48</v>
      </c>
      <c r="Z94" t="s">
        <v>69</v>
      </c>
      <c r="AA94" t="s">
        <v>75</v>
      </c>
      <c r="AB94" t="s">
        <v>51</v>
      </c>
      <c r="AI94">
        <v>1334.2312906513559</v>
      </c>
      <c r="AJ94">
        <v>106300.05237170419</v>
      </c>
    </row>
    <row r="95" spans="1:36" x14ac:dyDescent="0.25">
      <c r="A95">
        <v>210</v>
      </c>
      <c r="C95" t="s">
        <v>36</v>
      </c>
      <c r="E95" t="s">
        <v>37</v>
      </c>
      <c r="F95" t="s">
        <v>38</v>
      </c>
      <c r="G95" s="2">
        <v>45839</v>
      </c>
      <c r="I95" t="s">
        <v>39</v>
      </c>
      <c r="J95" t="s">
        <v>40</v>
      </c>
      <c r="K95" t="s">
        <v>41</v>
      </c>
      <c r="L95" t="s">
        <v>42</v>
      </c>
      <c r="M95" t="s">
        <v>36</v>
      </c>
      <c r="N95" t="s">
        <v>126</v>
      </c>
      <c r="O95" t="s">
        <v>113</v>
      </c>
      <c r="P95" t="s">
        <v>114</v>
      </c>
      <c r="Q95">
        <v>6.1591818828760294</v>
      </c>
      <c r="R95" t="s">
        <v>46</v>
      </c>
      <c r="S95" t="s">
        <v>47</v>
      </c>
      <c r="V95" t="s">
        <v>70</v>
      </c>
      <c r="Y95" t="s">
        <v>48</v>
      </c>
      <c r="Z95" t="s">
        <v>69</v>
      </c>
      <c r="AA95" t="s">
        <v>75</v>
      </c>
      <c r="AB95" t="s">
        <v>51</v>
      </c>
      <c r="AI95">
        <v>740.84161144860536</v>
      </c>
      <c r="AJ95">
        <v>24925.42446104472</v>
      </c>
    </row>
    <row r="96" spans="1:36" x14ac:dyDescent="0.25">
      <c r="A96">
        <v>211</v>
      </c>
      <c r="C96" t="s">
        <v>36</v>
      </c>
      <c r="E96" t="s">
        <v>37</v>
      </c>
      <c r="F96" t="s">
        <v>38</v>
      </c>
      <c r="G96" s="2">
        <v>45839</v>
      </c>
      <c r="I96" t="s">
        <v>39</v>
      </c>
      <c r="J96" t="s">
        <v>40</v>
      </c>
      <c r="K96" t="s">
        <v>41</v>
      </c>
      <c r="L96" t="s">
        <v>42</v>
      </c>
      <c r="M96" t="s">
        <v>36</v>
      </c>
      <c r="N96" t="s">
        <v>126</v>
      </c>
      <c r="O96" t="s">
        <v>58</v>
      </c>
      <c r="P96" t="s">
        <v>114</v>
      </c>
      <c r="Q96">
        <v>6.1532808220642803</v>
      </c>
      <c r="R96" t="s">
        <v>46</v>
      </c>
      <c r="S96" t="s">
        <v>47</v>
      </c>
      <c r="V96" t="s">
        <v>70</v>
      </c>
      <c r="Y96" t="s">
        <v>48</v>
      </c>
      <c r="Z96" t="s">
        <v>69</v>
      </c>
      <c r="AA96" t="s">
        <v>75</v>
      </c>
      <c r="AB96" t="s">
        <v>51</v>
      </c>
      <c r="AI96">
        <v>687.84267532839897</v>
      </c>
      <c r="AJ96">
        <v>24901.54361967646</v>
      </c>
    </row>
    <row r="97" spans="1:36" x14ac:dyDescent="0.25">
      <c r="A97">
        <v>212</v>
      </c>
      <c r="C97" t="s">
        <v>36</v>
      </c>
      <c r="E97" t="s">
        <v>37</v>
      </c>
      <c r="F97" t="s">
        <v>38</v>
      </c>
      <c r="G97" s="2">
        <v>45839</v>
      </c>
      <c r="I97" t="s">
        <v>39</v>
      </c>
      <c r="J97" t="s">
        <v>40</v>
      </c>
      <c r="K97" t="s">
        <v>41</v>
      </c>
      <c r="L97" t="s">
        <v>42</v>
      </c>
      <c r="M97" t="s">
        <v>36</v>
      </c>
      <c r="N97" t="s">
        <v>126</v>
      </c>
      <c r="O97" t="s">
        <v>113</v>
      </c>
      <c r="P97" t="s">
        <v>114</v>
      </c>
      <c r="Q97">
        <v>1.2634040698233351</v>
      </c>
      <c r="R97" t="s">
        <v>46</v>
      </c>
      <c r="S97" t="s">
        <v>47</v>
      </c>
      <c r="V97" t="s">
        <v>70</v>
      </c>
      <c r="Y97" t="s">
        <v>48</v>
      </c>
      <c r="Z97" t="s">
        <v>69</v>
      </c>
      <c r="AA97" t="s">
        <v>75</v>
      </c>
      <c r="AB97" t="s">
        <v>51</v>
      </c>
      <c r="AI97">
        <v>271.34734392193951</v>
      </c>
      <c r="AJ97">
        <v>5112.8353253717096</v>
      </c>
    </row>
    <row r="98" spans="1:36" x14ac:dyDescent="0.25">
      <c r="A98">
        <v>213</v>
      </c>
      <c r="C98" t="s">
        <v>36</v>
      </c>
      <c r="E98" t="s">
        <v>37</v>
      </c>
      <c r="F98" t="s">
        <v>38</v>
      </c>
      <c r="G98" s="2">
        <v>45839</v>
      </c>
      <c r="I98" t="s">
        <v>39</v>
      </c>
      <c r="J98" t="s">
        <v>40</v>
      </c>
      <c r="K98" t="s">
        <v>41</v>
      </c>
      <c r="L98" t="s">
        <v>42</v>
      </c>
      <c r="M98" t="s">
        <v>36</v>
      </c>
      <c r="N98" t="s">
        <v>126</v>
      </c>
      <c r="O98" t="s">
        <v>113</v>
      </c>
      <c r="P98" t="s">
        <v>114</v>
      </c>
      <c r="Q98">
        <v>1.1392079624971261</v>
      </c>
      <c r="R98" t="s">
        <v>46</v>
      </c>
      <c r="S98" t="s">
        <v>47</v>
      </c>
      <c r="V98" t="s">
        <v>70</v>
      </c>
      <c r="Y98" t="s">
        <v>48</v>
      </c>
      <c r="Z98" t="s">
        <v>69</v>
      </c>
      <c r="AA98" t="s">
        <v>75</v>
      </c>
      <c r="AB98" t="s">
        <v>51</v>
      </c>
      <c r="AI98">
        <v>267.62499571502121</v>
      </c>
      <c r="AJ98">
        <v>4610.2295003802728</v>
      </c>
    </row>
    <row r="99" spans="1:36" x14ac:dyDescent="0.25">
      <c r="A99">
        <v>214</v>
      </c>
      <c r="C99" t="s">
        <v>36</v>
      </c>
      <c r="E99" t="s">
        <v>37</v>
      </c>
      <c r="F99" t="s">
        <v>38</v>
      </c>
      <c r="G99" s="2">
        <v>45839</v>
      </c>
      <c r="I99" t="s">
        <v>39</v>
      </c>
      <c r="J99" t="s">
        <v>40</v>
      </c>
      <c r="K99" t="s">
        <v>41</v>
      </c>
      <c r="L99" t="s">
        <v>42</v>
      </c>
      <c r="M99" t="s">
        <v>36</v>
      </c>
      <c r="N99" t="s">
        <v>126</v>
      </c>
      <c r="O99" t="s">
        <v>113</v>
      </c>
      <c r="P99" t="s">
        <v>114</v>
      </c>
      <c r="Q99">
        <v>1.259941443532073</v>
      </c>
      <c r="R99" t="s">
        <v>46</v>
      </c>
      <c r="S99" t="s">
        <v>47</v>
      </c>
      <c r="V99" t="s">
        <v>70</v>
      </c>
      <c r="Y99" t="s">
        <v>48</v>
      </c>
      <c r="Z99" t="s">
        <v>69</v>
      </c>
      <c r="AA99" t="s">
        <v>75</v>
      </c>
      <c r="AB99" t="s">
        <v>51</v>
      </c>
      <c r="AI99">
        <v>284.68958769415252</v>
      </c>
      <c r="AJ99">
        <v>5098.8225178753728</v>
      </c>
    </row>
    <row r="100" spans="1:36" x14ac:dyDescent="0.25">
      <c r="A100">
        <v>215</v>
      </c>
      <c r="C100" t="s">
        <v>36</v>
      </c>
      <c r="E100" t="s">
        <v>37</v>
      </c>
      <c r="F100" t="s">
        <v>38</v>
      </c>
      <c r="G100" s="2">
        <v>45839</v>
      </c>
      <c r="I100" t="s">
        <v>39</v>
      </c>
      <c r="J100" t="s">
        <v>40</v>
      </c>
      <c r="K100" t="s">
        <v>41</v>
      </c>
      <c r="L100" t="s">
        <v>42</v>
      </c>
      <c r="M100" t="s">
        <v>36</v>
      </c>
      <c r="N100" t="s">
        <v>126</v>
      </c>
      <c r="O100" t="s">
        <v>113</v>
      </c>
      <c r="P100" t="s">
        <v>114</v>
      </c>
      <c r="Q100">
        <v>5.9756705244967936</v>
      </c>
      <c r="R100" t="s">
        <v>46</v>
      </c>
      <c r="S100" t="s">
        <v>47</v>
      </c>
      <c r="V100" t="s">
        <v>70</v>
      </c>
      <c r="Y100" t="s">
        <v>48</v>
      </c>
      <c r="Z100" t="s">
        <v>69</v>
      </c>
      <c r="AA100" t="s">
        <v>75</v>
      </c>
      <c r="AB100" t="s">
        <v>51</v>
      </c>
      <c r="AI100">
        <v>690.55408291684978</v>
      </c>
      <c r="AJ100">
        <v>24182.777371218981</v>
      </c>
    </row>
    <row r="101" spans="1:36" x14ac:dyDescent="0.25">
      <c r="A101">
        <v>216</v>
      </c>
      <c r="C101" t="s">
        <v>36</v>
      </c>
      <c r="E101" t="s">
        <v>37</v>
      </c>
      <c r="F101" t="s">
        <v>38</v>
      </c>
      <c r="G101" s="2">
        <v>45839</v>
      </c>
      <c r="I101" t="s">
        <v>39</v>
      </c>
      <c r="J101" t="s">
        <v>40</v>
      </c>
      <c r="K101" t="s">
        <v>41</v>
      </c>
      <c r="L101" t="s">
        <v>42</v>
      </c>
      <c r="M101" t="s">
        <v>36</v>
      </c>
      <c r="N101" t="s">
        <v>126</v>
      </c>
      <c r="O101" t="s">
        <v>113</v>
      </c>
      <c r="P101" t="s">
        <v>114</v>
      </c>
      <c r="Q101">
        <v>16.910651505865388</v>
      </c>
      <c r="R101" t="s">
        <v>46</v>
      </c>
      <c r="S101" t="s">
        <v>47</v>
      </c>
      <c r="V101" t="s">
        <v>70</v>
      </c>
      <c r="Y101" t="s">
        <v>48</v>
      </c>
      <c r="Z101" t="s">
        <v>69</v>
      </c>
      <c r="AA101" t="s">
        <v>75</v>
      </c>
      <c r="AB101" t="s">
        <v>51</v>
      </c>
      <c r="AI101">
        <v>1212.451704361376</v>
      </c>
      <c r="AJ101">
        <v>68435.252394215422</v>
      </c>
    </row>
    <row r="102" spans="1:36" x14ac:dyDescent="0.25">
      <c r="A102">
        <v>217</v>
      </c>
      <c r="C102" t="s">
        <v>36</v>
      </c>
      <c r="E102" t="s">
        <v>37</v>
      </c>
      <c r="F102" t="s">
        <v>38</v>
      </c>
      <c r="G102" s="2">
        <v>45839</v>
      </c>
      <c r="I102" t="s">
        <v>39</v>
      </c>
      <c r="J102" t="s">
        <v>40</v>
      </c>
      <c r="K102" t="s">
        <v>41</v>
      </c>
      <c r="L102" t="s">
        <v>42</v>
      </c>
      <c r="M102" t="s">
        <v>36</v>
      </c>
      <c r="N102" t="s">
        <v>126</v>
      </c>
      <c r="O102" t="s">
        <v>113</v>
      </c>
      <c r="P102" t="s">
        <v>114</v>
      </c>
      <c r="Q102">
        <v>6.2588185748076892</v>
      </c>
      <c r="R102" t="s">
        <v>46</v>
      </c>
      <c r="S102" t="s">
        <v>47</v>
      </c>
      <c r="V102" t="s">
        <v>70</v>
      </c>
      <c r="Y102" t="s">
        <v>48</v>
      </c>
      <c r="Z102" t="s">
        <v>69</v>
      </c>
      <c r="AA102" t="s">
        <v>75</v>
      </c>
      <c r="AB102" t="s">
        <v>51</v>
      </c>
      <c r="AI102">
        <v>739.68853721470862</v>
      </c>
      <c r="AJ102">
        <v>25328.641460561441</v>
      </c>
    </row>
    <row r="103" spans="1:36" x14ac:dyDescent="0.25">
      <c r="A103">
        <v>318</v>
      </c>
      <c r="C103" t="s">
        <v>36</v>
      </c>
      <c r="E103" t="s">
        <v>37</v>
      </c>
      <c r="G103" s="2">
        <v>45839</v>
      </c>
      <c r="I103" t="s">
        <v>39</v>
      </c>
      <c r="J103" t="s">
        <v>40</v>
      </c>
      <c r="K103" t="s">
        <v>41</v>
      </c>
      <c r="L103" t="s">
        <v>42</v>
      </c>
      <c r="M103" t="s">
        <v>36</v>
      </c>
      <c r="N103" t="s">
        <v>126</v>
      </c>
      <c r="O103" t="s">
        <v>113</v>
      </c>
      <c r="P103" t="s">
        <v>114</v>
      </c>
      <c r="Q103">
        <v>16.641059108624489</v>
      </c>
      <c r="R103" t="s">
        <v>46</v>
      </c>
      <c r="S103" t="s">
        <v>47</v>
      </c>
      <c r="V103" t="s">
        <v>70</v>
      </c>
      <c r="AB103" t="s">
        <v>51</v>
      </c>
      <c r="AI103">
        <v>1127.4097202517701</v>
      </c>
      <c r="AJ103">
        <v>67344.246305990862</v>
      </c>
    </row>
    <row r="104" spans="1:36" x14ac:dyDescent="0.25">
      <c r="A104">
        <v>39</v>
      </c>
      <c r="C104" t="s">
        <v>36</v>
      </c>
      <c r="E104" t="s">
        <v>37</v>
      </c>
      <c r="F104" t="s">
        <v>38</v>
      </c>
      <c r="G104" s="2">
        <v>45838</v>
      </c>
      <c r="I104" t="s">
        <v>39</v>
      </c>
      <c r="J104" t="s">
        <v>40</v>
      </c>
      <c r="K104" t="s">
        <v>41</v>
      </c>
      <c r="L104" t="s">
        <v>42</v>
      </c>
      <c r="M104" t="s">
        <v>36</v>
      </c>
      <c r="N104" t="s">
        <v>43</v>
      </c>
      <c r="O104" t="s">
        <v>79</v>
      </c>
      <c r="P104" t="s">
        <v>80</v>
      </c>
      <c r="Q104">
        <v>7.4271287667495569</v>
      </c>
      <c r="R104" t="s">
        <v>46</v>
      </c>
      <c r="S104" t="s">
        <v>47</v>
      </c>
      <c r="V104" t="s">
        <v>76</v>
      </c>
      <c r="AB104" t="s">
        <v>51</v>
      </c>
      <c r="AI104">
        <v>911.72933095157509</v>
      </c>
      <c r="AJ104">
        <v>30056.64397616791</v>
      </c>
    </row>
    <row r="105" spans="1:36" x14ac:dyDescent="0.25">
      <c r="A105">
        <v>48</v>
      </c>
      <c r="C105" t="s">
        <v>36</v>
      </c>
      <c r="E105" t="s">
        <v>37</v>
      </c>
      <c r="F105" t="s">
        <v>38</v>
      </c>
      <c r="G105" s="2">
        <v>45838</v>
      </c>
      <c r="I105" t="s">
        <v>39</v>
      </c>
      <c r="J105" t="s">
        <v>40</v>
      </c>
      <c r="K105" t="s">
        <v>41</v>
      </c>
      <c r="L105" t="s">
        <v>42</v>
      </c>
      <c r="M105" t="s">
        <v>36</v>
      </c>
      <c r="N105" t="s">
        <v>43</v>
      </c>
      <c r="O105" t="s">
        <v>79</v>
      </c>
      <c r="P105" t="s">
        <v>80</v>
      </c>
      <c r="Q105">
        <v>22.19473580382731</v>
      </c>
      <c r="R105" t="s">
        <v>46</v>
      </c>
      <c r="S105" t="s">
        <v>47</v>
      </c>
      <c r="V105" t="s">
        <v>76</v>
      </c>
      <c r="AB105" t="s">
        <v>51</v>
      </c>
      <c r="AI105">
        <v>1513.2092103806001</v>
      </c>
      <c r="AJ105">
        <v>89819.268407904106</v>
      </c>
    </row>
    <row r="106" spans="1:36" x14ac:dyDescent="0.25">
      <c r="A106">
        <v>161</v>
      </c>
      <c r="C106" t="s">
        <v>36</v>
      </c>
      <c r="E106" t="s">
        <v>37</v>
      </c>
      <c r="F106" t="s">
        <v>38</v>
      </c>
      <c r="G106" s="2">
        <v>45839</v>
      </c>
      <c r="I106" t="s">
        <v>39</v>
      </c>
      <c r="J106" t="s">
        <v>40</v>
      </c>
      <c r="K106" t="s">
        <v>41</v>
      </c>
      <c r="L106" t="s">
        <v>42</v>
      </c>
      <c r="M106" t="s">
        <v>36</v>
      </c>
      <c r="N106" t="s">
        <v>126</v>
      </c>
      <c r="O106" t="s">
        <v>79</v>
      </c>
      <c r="P106" t="s">
        <v>80</v>
      </c>
      <c r="Q106">
        <v>9.3026386928937832</v>
      </c>
      <c r="R106" t="s">
        <v>46</v>
      </c>
      <c r="S106" t="s">
        <v>47</v>
      </c>
      <c r="V106" t="s">
        <v>70</v>
      </c>
      <c r="Y106" t="s">
        <v>48</v>
      </c>
      <c r="Z106" t="s">
        <v>69</v>
      </c>
      <c r="AA106" t="s">
        <v>76</v>
      </c>
      <c r="AB106" t="s">
        <v>51</v>
      </c>
      <c r="AI106">
        <v>780.23898022677872</v>
      </c>
      <c r="AJ106">
        <v>37646.593725828257</v>
      </c>
    </row>
    <row r="107" spans="1:36" x14ac:dyDescent="0.25">
      <c r="A107">
        <v>188</v>
      </c>
      <c r="C107" t="s">
        <v>36</v>
      </c>
      <c r="E107" t="s">
        <v>37</v>
      </c>
      <c r="F107" t="s">
        <v>38</v>
      </c>
      <c r="G107" s="2">
        <v>45839</v>
      </c>
      <c r="I107" t="s">
        <v>39</v>
      </c>
      <c r="J107" t="s">
        <v>40</v>
      </c>
      <c r="K107" t="s">
        <v>41</v>
      </c>
      <c r="L107" t="s">
        <v>42</v>
      </c>
      <c r="M107" t="s">
        <v>36</v>
      </c>
      <c r="N107" t="s">
        <v>43</v>
      </c>
      <c r="O107" t="s">
        <v>79</v>
      </c>
      <c r="P107" t="s">
        <v>80</v>
      </c>
      <c r="Q107">
        <v>4.587131783231043</v>
      </c>
      <c r="R107" t="s">
        <v>46</v>
      </c>
      <c r="S107" t="s">
        <v>47</v>
      </c>
      <c r="V107" t="s">
        <v>119</v>
      </c>
      <c r="Y107" t="s">
        <v>120</v>
      </c>
      <c r="Z107" t="s">
        <v>69</v>
      </c>
      <c r="AA107" t="s">
        <v>121</v>
      </c>
      <c r="AB107" t="s">
        <v>51</v>
      </c>
      <c r="AI107">
        <v>743.50196617959534</v>
      </c>
      <c r="AJ107">
        <v>18563.537971441339</v>
      </c>
    </row>
    <row r="108" spans="1:36" x14ac:dyDescent="0.25">
      <c r="A108">
        <v>189</v>
      </c>
      <c r="C108" t="s">
        <v>36</v>
      </c>
      <c r="E108" t="s">
        <v>37</v>
      </c>
      <c r="F108" t="s">
        <v>38</v>
      </c>
      <c r="G108" s="2">
        <v>45839</v>
      </c>
      <c r="I108" t="s">
        <v>39</v>
      </c>
      <c r="J108" t="s">
        <v>40</v>
      </c>
      <c r="K108" t="s">
        <v>41</v>
      </c>
      <c r="L108" t="s">
        <v>42</v>
      </c>
      <c r="M108" t="s">
        <v>36</v>
      </c>
      <c r="N108" t="s">
        <v>43</v>
      </c>
      <c r="O108" t="s">
        <v>79</v>
      </c>
      <c r="P108" t="s">
        <v>80</v>
      </c>
      <c r="Q108">
        <v>20.66828759718668</v>
      </c>
      <c r="R108" t="s">
        <v>46</v>
      </c>
      <c r="S108" t="s">
        <v>47</v>
      </c>
      <c r="V108" t="s">
        <v>86</v>
      </c>
      <c r="Y108" t="s">
        <v>48</v>
      </c>
      <c r="Z108" t="s">
        <v>69</v>
      </c>
      <c r="AA108" t="s">
        <v>73</v>
      </c>
      <c r="AB108" t="s">
        <v>51</v>
      </c>
      <c r="AI108">
        <v>3154.18736335011</v>
      </c>
      <c r="AJ108">
        <v>83641.926970058499</v>
      </c>
    </row>
    <row r="109" spans="1:36" x14ac:dyDescent="0.25">
      <c r="A109">
        <v>197</v>
      </c>
      <c r="C109" t="s">
        <v>36</v>
      </c>
      <c r="E109" t="s">
        <v>37</v>
      </c>
      <c r="F109" t="s">
        <v>38</v>
      </c>
      <c r="G109" s="2">
        <v>45839</v>
      </c>
      <c r="I109" t="s">
        <v>39</v>
      </c>
      <c r="J109" t="s">
        <v>40</v>
      </c>
      <c r="K109" t="s">
        <v>41</v>
      </c>
      <c r="L109" t="s">
        <v>42</v>
      </c>
      <c r="M109" t="s">
        <v>36</v>
      </c>
      <c r="N109" t="s">
        <v>126</v>
      </c>
      <c r="O109" t="s">
        <v>79</v>
      </c>
      <c r="P109" t="s">
        <v>80</v>
      </c>
      <c r="Q109">
        <v>0.90208567267164252</v>
      </c>
      <c r="R109" t="s">
        <v>46</v>
      </c>
      <c r="S109" t="s">
        <v>47</v>
      </c>
      <c r="V109" t="s">
        <v>110</v>
      </c>
      <c r="Y109" t="s">
        <v>48</v>
      </c>
      <c r="Z109" t="s">
        <v>69</v>
      </c>
      <c r="AA109" t="s">
        <v>64</v>
      </c>
      <c r="AB109" t="s">
        <v>51</v>
      </c>
      <c r="AI109">
        <v>289.99090791820919</v>
      </c>
      <c r="AJ109">
        <v>3650.62580049486</v>
      </c>
    </row>
    <row r="110" spans="1:36" x14ac:dyDescent="0.25">
      <c r="A110">
        <v>47</v>
      </c>
      <c r="C110" t="s">
        <v>36</v>
      </c>
      <c r="E110" t="s">
        <v>37</v>
      </c>
      <c r="F110" t="s">
        <v>38</v>
      </c>
      <c r="G110" s="2">
        <v>45838</v>
      </c>
      <c r="I110" t="s">
        <v>39</v>
      </c>
      <c r="J110" t="s">
        <v>40</v>
      </c>
      <c r="K110" t="s">
        <v>41</v>
      </c>
      <c r="L110" t="s">
        <v>42</v>
      </c>
      <c r="M110" t="s">
        <v>36</v>
      </c>
      <c r="N110" t="s">
        <v>43</v>
      </c>
      <c r="O110" t="s">
        <v>77</v>
      </c>
      <c r="P110" t="s">
        <v>78</v>
      </c>
      <c r="Q110">
        <v>17.37134387908317</v>
      </c>
      <c r="R110" t="s">
        <v>46</v>
      </c>
      <c r="S110" t="s">
        <v>47</v>
      </c>
      <c r="V110" t="s">
        <v>75</v>
      </c>
      <c r="AB110" t="s">
        <v>51</v>
      </c>
      <c r="AI110">
        <v>1162.892155058481</v>
      </c>
      <c r="AJ110">
        <v>70299.615740968409</v>
      </c>
    </row>
    <row r="111" spans="1:36" x14ac:dyDescent="0.25">
      <c r="A111">
        <v>129</v>
      </c>
      <c r="C111" t="s">
        <v>36</v>
      </c>
      <c r="E111" t="s">
        <v>37</v>
      </c>
      <c r="F111" t="s">
        <v>38</v>
      </c>
      <c r="G111" s="2">
        <v>45839</v>
      </c>
      <c r="I111" t="s">
        <v>39</v>
      </c>
      <c r="J111" t="s">
        <v>40</v>
      </c>
      <c r="K111" t="s">
        <v>41</v>
      </c>
      <c r="L111" t="s">
        <v>42</v>
      </c>
      <c r="M111" t="s">
        <v>36</v>
      </c>
      <c r="N111" t="s">
        <v>43</v>
      </c>
      <c r="O111" t="s">
        <v>77</v>
      </c>
      <c r="P111" t="s">
        <v>78</v>
      </c>
      <c r="Q111">
        <v>7.9705777189532938</v>
      </c>
      <c r="R111" t="s">
        <v>46</v>
      </c>
      <c r="S111" t="s">
        <v>47</v>
      </c>
      <c r="V111" t="s">
        <v>119</v>
      </c>
      <c r="Y111" t="s">
        <v>120</v>
      </c>
      <c r="Z111" t="s">
        <v>69</v>
      </c>
      <c r="AA111" t="s">
        <v>121</v>
      </c>
      <c r="AB111" t="s">
        <v>51</v>
      </c>
      <c r="AI111">
        <v>808.60756841093462</v>
      </c>
      <c r="AJ111">
        <v>32255.912655706081</v>
      </c>
    </row>
    <row r="112" spans="1:36" x14ac:dyDescent="0.25">
      <c r="A112">
        <v>273</v>
      </c>
      <c r="C112" t="s">
        <v>36</v>
      </c>
      <c r="E112" t="s">
        <v>37</v>
      </c>
      <c r="F112" t="s">
        <v>38</v>
      </c>
      <c r="G112" s="2">
        <v>45839</v>
      </c>
      <c r="I112" t="s">
        <v>39</v>
      </c>
      <c r="J112" t="s">
        <v>40</v>
      </c>
      <c r="K112" t="s">
        <v>41</v>
      </c>
      <c r="L112" t="s">
        <v>42</v>
      </c>
      <c r="M112" t="s">
        <v>36</v>
      </c>
      <c r="N112" t="s">
        <v>43</v>
      </c>
      <c r="O112" t="s">
        <v>77</v>
      </c>
      <c r="P112" t="s">
        <v>78</v>
      </c>
      <c r="Q112">
        <v>0.70333658668262178</v>
      </c>
      <c r="R112" t="s">
        <v>46</v>
      </c>
      <c r="S112" t="s">
        <v>47</v>
      </c>
      <c r="V112" t="s">
        <v>71</v>
      </c>
      <c r="Y112" t="s">
        <v>120</v>
      </c>
      <c r="Z112" t="s">
        <v>69</v>
      </c>
      <c r="AA112" t="s">
        <v>124</v>
      </c>
      <c r="AB112" t="s">
        <v>51</v>
      </c>
      <c r="AI112">
        <v>252.18210082324981</v>
      </c>
      <c r="AJ112">
        <v>2846.3135681683489</v>
      </c>
    </row>
    <row r="113" spans="1:36" x14ac:dyDescent="0.25">
      <c r="A113">
        <v>275</v>
      </c>
      <c r="C113" t="s">
        <v>36</v>
      </c>
      <c r="E113" t="s">
        <v>37</v>
      </c>
      <c r="F113" t="s">
        <v>38</v>
      </c>
      <c r="G113" s="2">
        <v>45839</v>
      </c>
      <c r="I113" t="s">
        <v>39</v>
      </c>
      <c r="J113" t="s">
        <v>40</v>
      </c>
      <c r="K113" t="s">
        <v>41</v>
      </c>
      <c r="L113" t="s">
        <v>42</v>
      </c>
      <c r="M113" t="s">
        <v>36</v>
      </c>
      <c r="N113" t="s">
        <v>43</v>
      </c>
      <c r="O113" t="s">
        <v>77</v>
      </c>
      <c r="P113" t="s">
        <v>78</v>
      </c>
      <c r="Q113">
        <v>0.48377007357863439</v>
      </c>
      <c r="R113" t="s">
        <v>46</v>
      </c>
      <c r="S113" t="s">
        <v>47</v>
      </c>
      <c r="V113" t="s">
        <v>71</v>
      </c>
      <c r="Y113" t="s">
        <v>120</v>
      </c>
      <c r="Z113" t="s">
        <v>69</v>
      </c>
      <c r="AA113" t="s">
        <v>124</v>
      </c>
      <c r="AB113" t="s">
        <v>51</v>
      </c>
      <c r="AI113">
        <v>219.11850756339291</v>
      </c>
      <c r="AJ113">
        <v>1957.7558602422271</v>
      </c>
    </row>
    <row r="114" spans="1:36" x14ac:dyDescent="0.25">
      <c r="A114">
        <v>14</v>
      </c>
      <c r="C114" t="s">
        <v>36</v>
      </c>
      <c r="E114" t="s">
        <v>37</v>
      </c>
      <c r="F114" t="s">
        <v>38</v>
      </c>
      <c r="G114" s="2">
        <v>45838</v>
      </c>
      <c r="I114" t="s">
        <v>39</v>
      </c>
      <c r="J114" t="s">
        <v>40</v>
      </c>
      <c r="K114" t="s">
        <v>41</v>
      </c>
      <c r="L114" t="s">
        <v>42</v>
      </c>
      <c r="M114" t="s">
        <v>36</v>
      </c>
      <c r="N114" t="s">
        <v>43</v>
      </c>
      <c r="O114" t="s">
        <v>67</v>
      </c>
      <c r="P114" t="s">
        <v>68</v>
      </c>
      <c r="Q114">
        <v>39.136150574570337</v>
      </c>
      <c r="R114" t="s">
        <v>46</v>
      </c>
      <c r="S114" t="s">
        <v>47</v>
      </c>
      <c r="V114" t="s">
        <v>64</v>
      </c>
      <c r="Y114" t="s">
        <v>48</v>
      </c>
      <c r="Z114" t="s">
        <v>69</v>
      </c>
      <c r="AA114" t="s">
        <v>70</v>
      </c>
      <c r="AB114" t="s">
        <v>51</v>
      </c>
      <c r="AI114">
        <v>1593.9093279417609</v>
      </c>
      <c r="AJ114">
        <v>158379.01581614319</v>
      </c>
    </row>
    <row r="115" spans="1:36" x14ac:dyDescent="0.25">
      <c r="A115">
        <v>50</v>
      </c>
      <c r="C115" t="s">
        <v>36</v>
      </c>
      <c r="E115" t="s">
        <v>37</v>
      </c>
      <c r="F115" t="s">
        <v>38</v>
      </c>
      <c r="G115" s="2">
        <v>45838</v>
      </c>
      <c r="I115" t="s">
        <v>39</v>
      </c>
      <c r="J115" t="s">
        <v>40</v>
      </c>
      <c r="K115" t="s">
        <v>41</v>
      </c>
      <c r="L115" t="s">
        <v>42</v>
      </c>
      <c r="M115" t="s">
        <v>36</v>
      </c>
      <c r="N115" t="s">
        <v>43</v>
      </c>
      <c r="O115" t="s">
        <v>67</v>
      </c>
      <c r="P115" t="s">
        <v>68</v>
      </c>
      <c r="Q115">
        <v>17.096429244277189</v>
      </c>
      <c r="R115" t="s">
        <v>46</v>
      </c>
      <c r="S115" t="s">
        <v>47</v>
      </c>
      <c r="T115" t="s">
        <v>85</v>
      </c>
      <c r="V115" t="s">
        <v>86</v>
      </c>
      <c r="AB115" t="s">
        <v>51</v>
      </c>
      <c r="AI115">
        <v>1056.2300985381289</v>
      </c>
      <c r="AJ115">
        <v>69187.071235318494</v>
      </c>
    </row>
    <row r="116" spans="1:36" x14ac:dyDescent="0.25">
      <c r="A116">
        <v>106</v>
      </c>
      <c r="C116" t="s">
        <v>36</v>
      </c>
      <c r="E116" t="s">
        <v>37</v>
      </c>
      <c r="F116" t="s">
        <v>38</v>
      </c>
      <c r="G116" s="2">
        <v>45839</v>
      </c>
      <c r="I116" t="s">
        <v>39</v>
      </c>
      <c r="J116" t="s">
        <v>40</v>
      </c>
      <c r="K116" t="s">
        <v>41</v>
      </c>
      <c r="L116" t="s">
        <v>42</v>
      </c>
      <c r="M116" t="s">
        <v>36</v>
      </c>
      <c r="N116" t="s">
        <v>43</v>
      </c>
      <c r="O116" t="s">
        <v>67</v>
      </c>
      <c r="P116" t="s">
        <v>68</v>
      </c>
      <c r="Q116">
        <v>7.1468522131981391</v>
      </c>
      <c r="R116" t="s">
        <v>46</v>
      </c>
      <c r="S116" t="s">
        <v>47</v>
      </c>
      <c r="V116" t="s">
        <v>86</v>
      </c>
      <c r="AB116" t="s">
        <v>51</v>
      </c>
      <c r="AI116">
        <v>1005.356391659139</v>
      </c>
      <c r="AJ116">
        <v>28922.400468410731</v>
      </c>
    </row>
    <row r="117" spans="1:36" x14ac:dyDescent="0.25">
      <c r="A117">
        <v>107</v>
      </c>
      <c r="C117" t="s">
        <v>36</v>
      </c>
      <c r="E117" t="s">
        <v>37</v>
      </c>
      <c r="G117" s="2">
        <v>45839</v>
      </c>
      <c r="I117" t="s">
        <v>39</v>
      </c>
      <c r="J117" t="s">
        <v>40</v>
      </c>
      <c r="K117" t="s">
        <v>41</v>
      </c>
      <c r="L117" t="s">
        <v>42</v>
      </c>
      <c r="M117" t="s">
        <v>36</v>
      </c>
      <c r="N117" t="s">
        <v>43</v>
      </c>
      <c r="O117" t="s">
        <v>67</v>
      </c>
      <c r="P117" t="s">
        <v>68</v>
      </c>
      <c r="Q117">
        <v>4.550758519964865</v>
      </c>
      <c r="R117" t="s">
        <v>46</v>
      </c>
      <c r="S117" t="s">
        <v>47</v>
      </c>
      <c r="V117" t="s">
        <v>86</v>
      </c>
      <c r="AB117" t="s">
        <v>51</v>
      </c>
      <c r="AI117">
        <v>841.43347718770065</v>
      </c>
      <c r="AJ117">
        <v>18416.340008597701</v>
      </c>
    </row>
    <row r="118" spans="1:36" x14ac:dyDescent="0.25">
      <c r="A118">
        <v>110</v>
      </c>
      <c r="C118" t="s">
        <v>36</v>
      </c>
      <c r="E118" t="s">
        <v>37</v>
      </c>
      <c r="F118" t="s">
        <v>38</v>
      </c>
      <c r="G118" s="2">
        <v>45839</v>
      </c>
      <c r="I118" t="s">
        <v>39</v>
      </c>
      <c r="J118" t="s">
        <v>40</v>
      </c>
      <c r="K118" t="s">
        <v>41</v>
      </c>
      <c r="L118" t="s">
        <v>42</v>
      </c>
      <c r="M118" t="s">
        <v>36</v>
      </c>
      <c r="N118" t="s">
        <v>43</v>
      </c>
      <c r="O118" t="s">
        <v>67</v>
      </c>
      <c r="P118" t="s">
        <v>68</v>
      </c>
      <c r="Q118">
        <v>1.6754268957786309</v>
      </c>
      <c r="R118" t="s">
        <v>46</v>
      </c>
      <c r="S118" t="s">
        <v>47</v>
      </c>
      <c r="V118" t="s">
        <v>86</v>
      </c>
      <c r="AB118" t="s">
        <v>51</v>
      </c>
      <c r="AI118">
        <v>436.36643955156791</v>
      </c>
      <c r="AJ118">
        <v>6780.239214373185</v>
      </c>
    </row>
    <row r="119" spans="1:36" x14ac:dyDescent="0.25">
      <c r="A119">
        <v>123</v>
      </c>
      <c r="C119" t="s">
        <v>36</v>
      </c>
      <c r="E119" t="s">
        <v>37</v>
      </c>
      <c r="F119" t="s">
        <v>38</v>
      </c>
      <c r="G119" s="2">
        <v>45839</v>
      </c>
      <c r="I119" t="s">
        <v>39</v>
      </c>
      <c r="J119" t="s">
        <v>40</v>
      </c>
      <c r="K119" t="s">
        <v>41</v>
      </c>
      <c r="L119" t="s">
        <v>42</v>
      </c>
      <c r="M119" t="s">
        <v>36</v>
      </c>
      <c r="N119" t="s">
        <v>43</v>
      </c>
      <c r="O119" t="s">
        <v>67</v>
      </c>
      <c r="P119" t="s">
        <v>68</v>
      </c>
      <c r="Q119">
        <v>2.464882885492909</v>
      </c>
      <c r="R119" t="s">
        <v>46</v>
      </c>
      <c r="S119" t="s">
        <v>47</v>
      </c>
      <c r="V119" t="s">
        <v>118</v>
      </c>
      <c r="AB119" t="s">
        <v>51</v>
      </c>
      <c r="AI119">
        <v>415.62186130122433</v>
      </c>
      <c r="AJ119">
        <v>9975.0670358490661</v>
      </c>
    </row>
    <row r="120" spans="1:36" x14ac:dyDescent="0.25">
      <c r="A120">
        <v>124</v>
      </c>
      <c r="C120" t="s">
        <v>36</v>
      </c>
      <c r="E120" t="s">
        <v>37</v>
      </c>
      <c r="F120" t="s">
        <v>38</v>
      </c>
      <c r="G120" s="2">
        <v>45839</v>
      </c>
      <c r="I120" t="s">
        <v>39</v>
      </c>
      <c r="J120" t="s">
        <v>40</v>
      </c>
      <c r="K120" t="s">
        <v>41</v>
      </c>
      <c r="L120" t="s">
        <v>42</v>
      </c>
      <c r="M120" t="s">
        <v>36</v>
      </c>
      <c r="N120" t="s">
        <v>43</v>
      </c>
      <c r="O120" t="s">
        <v>67</v>
      </c>
      <c r="P120" t="s">
        <v>68</v>
      </c>
      <c r="Q120">
        <v>0.86712798053894347</v>
      </c>
      <c r="R120" t="s">
        <v>46</v>
      </c>
      <c r="S120" t="s">
        <v>47</v>
      </c>
      <c r="V120" t="s">
        <v>118</v>
      </c>
      <c r="AB120" t="s">
        <v>51</v>
      </c>
      <c r="AI120">
        <v>313.41379981267681</v>
      </c>
      <c r="AJ120">
        <v>3509.1564736986229</v>
      </c>
    </row>
    <row r="121" spans="1:36" x14ac:dyDescent="0.25">
      <c r="A121">
        <v>125</v>
      </c>
      <c r="C121" t="s">
        <v>36</v>
      </c>
      <c r="E121" t="s">
        <v>37</v>
      </c>
      <c r="F121" t="s">
        <v>38</v>
      </c>
      <c r="G121" s="2">
        <v>45839</v>
      </c>
      <c r="I121" t="s">
        <v>39</v>
      </c>
      <c r="J121" t="s">
        <v>40</v>
      </c>
      <c r="K121" t="s">
        <v>41</v>
      </c>
      <c r="L121" t="s">
        <v>42</v>
      </c>
      <c r="M121" t="s">
        <v>36</v>
      </c>
      <c r="N121" t="s">
        <v>43</v>
      </c>
      <c r="O121" t="s">
        <v>67</v>
      </c>
      <c r="P121" t="s">
        <v>68</v>
      </c>
      <c r="Q121">
        <v>1.374116418090584</v>
      </c>
      <c r="R121" t="s">
        <v>46</v>
      </c>
      <c r="S121" t="s">
        <v>47</v>
      </c>
      <c r="V121" t="s">
        <v>118</v>
      </c>
      <c r="AB121" t="s">
        <v>51</v>
      </c>
      <c r="AI121">
        <v>291.02925557381701</v>
      </c>
      <c r="AJ121">
        <v>5560.874095149301</v>
      </c>
    </row>
    <row r="122" spans="1:36" x14ac:dyDescent="0.25">
      <c r="A122">
        <v>126</v>
      </c>
      <c r="C122" t="s">
        <v>36</v>
      </c>
      <c r="E122" t="s">
        <v>37</v>
      </c>
      <c r="F122" t="s">
        <v>38</v>
      </c>
      <c r="G122" s="2">
        <v>45839</v>
      </c>
      <c r="I122" t="s">
        <v>39</v>
      </c>
      <c r="J122" t="s">
        <v>40</v>
      </c>
      <c r="K122" t="s">
        <v>41</v>
      </c>
      <c r="L122" t="s">
        <v>42</v>
      </c>
      <c r="M122" t="s">
        <v>36</v>
      </c>
      <c r="N122" t="s">
        <v>43</v>
      </c>
      <c r="O122" t="s">
        <v>67</v>
      </c>
      <c r="P122" t="s">
        <v>68</v>
      </c>
      <c r="Q122">
        <v>1.4904803692243509</v>
      </c>
      <c r="R122" t="s">
        <v>46</v>
      </c>
      <c r="S122" t="s">
        <v>47</v>
      </c>
      <c r="V122" t="s">
        <v>118</v>
      </c>
      <c r="AB122" t="s">
        <v>51</v>
      </c>
      <c r="AI122">
        <v>291.14874610162542</v>
      </c>
      <c r="AJ122">
        <v>6031.784181769287</v>
      </c>
    </row>
    <row r="123" spans="1:36" x14ac:dyDescent="0.25">
      <c r="A123">
        <v>127</v>
      </c>
      <c r="C123" t="s">
        <v>36</v>
      </c>
      <c r="E123" t="s">
        <v>37</v>
      </c>
      <c r="F123" t="s">
        <v>38</v>
      </c>
      <c r="G123" s="2">
        <v>45839</v>
      </c>
      <c r="I123" t="s">
        <v>39</v>
      </c>
      <c r="J123" t="s">
        <v>40</v>
      </c>
      <c r="K123" t="s">
        <v>41</v>
      </c>
      <c r="L123" t="s">
        <v>42</v>
      </c>
      <c r="M123" t="s">
        <v>36</v>
      </c>
      <c r="N123" t="s">
        <v>43</v>
      </c>
      <c r="O123" t="s">
        <v>67</v>
      </c>
      <c r="P123" t="s">
        <v>68</v>
      </c>
      <c r="Q123">
        <v>1.1508441503971769</v>
      </c>
      <c r="R123" t="s">
        <v>46</v>
      </c>
      <c r="S123" t="s">
        <v>47</v>
      </c>
      <c r="V123" t="s">
        <v>119</v>
      </c>
      <c r="Y123" t="s">
        <v>120</v>
      </c>
      <c r="Z123" t="s">
        <v>69</v>
      </c>
      <c r="AA123" t="s">
        <v>121</v>
      </c>
      <c r="AB123" t="s">
        <v>51</v>
      </c>
      <c r="AI123">
        <v>287.57097337346119</v>
      </c>
      <c r="AJ123">
        <v>4657.3196704763386</v>
      </c>
    </row>
    <row r="124" spans="1:36" x14ac:dyDescent="0.25">
      <c r="A124">
        <v>181</v>
      </c>
      <c r="C124" t="s">
        <v>36</v>
      </c>
      <c r="E124" t="s">
        <v>37</v>
      </c>
      <c r="F124" t="s">
        <v>38</v>
      </c>
      <c r="G124" s="2">
        <v>45839</v>
      </c>
      <c r="I124" t="s">
        <v>39</v>
      </c>
      <c r="J124" t="s">
        <v>40</v>
      </c>
      <c r="K124" t="s">
        <v>41</v>
      </c>
      <c r="L124" t="s">
        <v>42</v>
      </c>
      <c r="M124" t="s">
        <v>36</v>
      </c>
      <c r="N124" t="s">
        <v>43</v>
      </c>
      <c r="O124" t="s">
        <v>67</v>
      </c>
      <c r="P124" t="s">
        <v>68</v>
      </c>
      <c r="Q124">
        <v>2.2697946744450759</v>
      </c>
      <c r="R124" t="s">
        <v>46</v>
      </c>
      <c r="S124" t="s">
        <v>47</v>
      </c>
      <c r="V124" t="s">
        <v>118</v>
      </c>
      <c r="AB124" t="s">
        <v>51</v>
      </c>
      <c r="AI124">
        <v>404.8252939781421</v>
      </c>
      <c r="AJ124">
        <v>9185.5698980502239</v>
      </c>
    </row>
    <row r="125" spans="1:36" x14ac:dyDescent="0.25">
      <c r="A125">
        <v>196</v>
      </c>
      <c r="C125" t="s">
        <v>36</v>
      </c>
      <c r="E125" t="s">
        <v>37</v>
      </c>
      <c r="F125" t="s">
        <v>38</v>
      </c>
      <c r="G125" s="2">
        <v>45839</v>
      </c>
      <c r="I125" t="s">
        <v>39</v>
      </c>
      <c r="J125" t="s">
        <v>40</v>
      </c>
      <c r="K125" t="s">
        <v>41</v>
      </c>
      <c r="L125" t="s">
        <v>42</v>
      </c>
      <c r="M125" t="s">
        <v>36</v>
      </c>
      <c r="N125" t="s">
        <v>126</v>
      </c>
      <c r="O125" t="s">
        <v>67</v>
      </c>
      <c r="P125" t="s">
        <v>68</v>
      </c>
      <c r="Q125">
        <v>0.66147205974626166</v>
      </c>
      <c r="R125" t="s">
        <v>46</v>
      </c>
      <c r="S125" t="s">
        <v>47</v>
      </c>
      <c r="V125" t="s">
        <v>61</v>
      </c>
      <c r="AB125" t="s">
        <v>51</v>
      </c>
      <c r="AI125">
        <v>235.9373748313773</v>
      </c>
      <c r="AJ125">
        <v>2676.893160784251</v>
      </c>
    </row>
    <row r="126" spans="1:36" x14ac:dyDescent="0.25">
      <c r="A126">
        <v>288</v>
      </c>
      <c r="C126" t="s">
        <v>36</v>
      </c>
      <c r="E126" t="s">
        <v>37</v>
      </c>
      <c r="F126" t="s">
        <v>38</v>
      </c>
      <c r="G126" s="2">
        <v>45839</v>
      </c>
      <c r="I126" t="s">
        <v>39</v>
      </c>
      <c r="J126" t="s">
        <v>40</v>
      </c>
      <c r="K126" t="s">
        <v>41</v>
      </c>
      <c r="L126" t="s">
        <v>42</v>
      </c>
      <c r="M126" t="s">
        <v>36</v>
      </c>
      <c r="N126" t="s">
        <v>43</v>
      </c>
      <c r="O126" t="s">
        <v>67</v>
      </c>
      <c r="P126" t="s">
        <v>68</v>
      </c>
      <c r="Q126">
        <v>1.587046142086449</v>
      </c>
      <c r="R126" t="s">
        <v>46</v>
      </c>
      <c r="S126" t="s">
        <v>47</v>
      </c>
      <c r="V126" t="s">
        <v>118</v>
      </c>
      <c r="AB126" t="s">
        <v>51</v>
      </c>
      <c r="AI126">
        <v>323.29363639443852</v>
      </c>
      <c r="AJ126">
        <v>6422.5735630162526</v>
      </c>
    </row>
    <row r="127" spans="1:36" x14ac:dyDescent="0.25">
      <c r="A127">
        <v>289</v>
      </c>
      <c r="C127" t="s">
        <v>36</v>
      </c>
      <c r="E127" t="s">
        <v>37</v>
      </c>
      <c r="F127" t="s">
        <v>38</v>
      </c>
      <c r="G127" s="2">
        <v>45839</v>
      </c>
      <c r="I127" t="s">
        <v>39</v>
      </c>
      <c r="J127" t="s">
        <v>40</v>
      </c>
      <c r="K127" t="s">
        <v>41</v>
      </c>
      <c r="L127" t="s">
        <v>42</v>
      </c>
      <c r="M127" t="s">
        <v>36</v>
      </c>
      <c r="N127" t="s">
        <v>43</v>
      </c>
      <c r="O127" t="s">
        <v>67</v>
      </c>
      <c r="P127" t="s">
        <v>68</v>
      </c>
      <c r="Q127">
        <v>1.679598593367355</v>
      </c>
      <c r="R127" t="s">
        <v>46</v>
      </c>
      <c r="S127" t="s">
        <v>47</v>
      </c>
      <c r="V127" t="s">
        <v>118</v>
      </c>
      <c r="AB127" t="s">
        <v>51</v>
      </c>
      <c r="AI127">
        <v>331.85792606819928</v>
      </c>
      <c r="AJ127">
        <v>6797.1215430816719</v>
      </c>
    </row>
    <row r="128" spans="1:36" x14ac:dyDescent="0.25">
      <c r="A128">
        <v>294</v>
      </c>
      <c r="C128" t="s">
        <v>36</v>
      </c>
      <c r="E128" t="s">
        <v>37</v>
      </c>
      <c r="G128" s="2">
        <v>45839</v>
      </c>
      <c r="I128" t="s">
        <v>39</v>
      </c>
      <c r="J128" t="s">
        <v>40</v>
      </c>
      <c r="K128" t="s">
        <v>41</v>
      </c>
      <c r="L128" t="s">
        <v>42</v>
      </c>
      <c r="M128" t="s">
        <v>36</v>
      </c>
      <c r="N128" t="s">
        <v>43</v>
      </c>
      <c r="O128" t="s">
        <v>67</v>
      </c>
      <c r="P128" t="s">
        <v>68</v>
      </c>
      <c r="Q128">
        <v>1.972622768495812</v>
      </c>
      <c r="R128" t="s">
        <v>46</v>
      </c>
      <c r="S128" t="s">
        <v>47</v>
      </c>
      <c r="V128" t="s">
        <v>118</v>
      </c>
      <c r="AB128" t="s">
        <v>51</v>
      </c>
      <c r="AI128">
        <v>360.99386509497509</v>
      </c>
      <c r="AJ128">
        <v>7982.9530514400176</v>
      </c>
    </row>
    <row r="129" spans="1:36" x14ac:dyDescent="0.25">
      <c r="A129">
        <v>297</v>
      </c>
      <c r="C129" t="s">
        <v>36</v>
      </c>
      <c r="E129" t="s">
        <v>37</v>
      </c>
      <c r="F129" t="s">
        <v>38</v>
      </c>
      <c r="G129" s="2">
        <v>45838</v>
      </c>
      <c r="I129" t="s">
        <v>39</v>
      </c>
      <c r="J129" t="s">
        <v>40</v>
      </c>
      <c r="K129" t="s">
        <v>41</v>
      </c>
      <c r="L129" t="s">
        <v>42</v>
      </c>
      <c r="M129" t="s">
        <v>36</v>
      </c>
      <c r="N129" t="s">
        <v>43</v>
      </c>
      <c r="O129" t="s">
        <v>67</v>
      </c>
      <c r="P129" t="s">
        <v>68</v>
      </c>
      <c r="Q129">
        <v>11.28616449752368</v>
      </c>
      <c r="R129" t="s">
        <v>46</v>
      </c>
      <c r="S129" t="s">
        <v>47</v>
      </c>
      <c r="T129" t="s">
        <v>85</v>
      </c>
      <c r="V129" t="s">
        <v>86</v>
      </c>
      <c r="AB129" t="s">
        <v>51</v>
      </c>
      <c r="AI129">
        <v>907.50775696626624</v>
      </c>
      <c r="AJ129">
        <v>45673.669975563767</v>
      </c>
    </row>
    <row r="130" spans="1:36" x14ac:dyDescent="0.25">
      <c r="A130">
        <v>109</v>
      </c>
      <c r="C130" t="s">
        <v>36</v>
      </c>
      <c r="E130" t="s">
        <v>37</v>
      </c>
      <c r="F130" t="s">
        <v>38</v>
      </c>
      <c r="G130" s="2">
        <v>45839</v>
      </c>
      <c r="I130" t="s">
        <v>39</v>
      </c>
      <c r="J130" t="s">
        <v>40</v>
      </c>
      <c r="K130" t="s">
        <v>41</v>
      </c>
      <c r="L130" t="s">
        <v>42</v>
      </c>
      <c r="M130" t="s">
        <v>36</v>
      </c>
      <c r="N130" t="s">
        <v>43</v>
      </c>
      <c r="O130" t="s">
        <v>111</v>
      </c>
      <c r="P130" t="s">
        <v>112</v>
      </c>
      <c r="Q130">
        <v>1.64068360493992</v>
      </c>
      <c r="R130" t="s">
        <v>46</v>
      </c>
      <c r="S130" t="s">
        <v>47</v>
      </c>
      <c r="V130" t="s">
        <v>86</v>
      </c>
      <c r="AB130" t="s">
        <v>51</v>
      </c>
      <c r="AI130">
        <v>528.15264271923104</v>
      </c>
      <c r="AJ130">
        <v>6639.6375423011104</v>
      </c>
    </row>
    <row r="131" spans="1:36" x14ac:dyDescent="0.25">
      <c r="A131">
        <v>255</v>
      </c>
      <c r="C131" t="s">
        <v>36</v>
      </c>
      <c r="E131" t="s">
        <v>37</v>
      </c>
      <c r="F131" t="s">
        <v>38</v>
      </c>
      <c r="G131" s="2">
        <v>45839</v>
      </c>
      <c r="I131" t="s">
        <v>39</v>
      </c>
      <c r="J131" t="s">
        <v>40</v>
      </c>
      <c r="K131" t="s">
        <v>41</v>
      </c>
      <c r="L131" t="s">
        <v>42</v>
      </c>
      <c r="M131" t="s">
        <v>36</v>
      </c>
      <c r="N131" t="s">
        <v>43</v>
      </c>
      <c r="O131" t="s">
        <v>111</v>
      </c>
      <c r="P131" t="s">
        <v>112</v>
      </c>
      <c r="Q131">
        <v>2.2540968094963851</v>
      </c>
      <c r="R131" t="s">
        <v>46</v>
      </c>
      <c r="S131" t="s">
        <v>47</v>
      </c>
      <c r="V131" t="s">
        <v>71</v>
      </c>
      <c r="Y131" t="s">
        <v>120</v>
      </c>
      <c r="Z131" t="s">
        <v>69</v>
      </c>
      <c r="AA131" t="s">
        <v>124</v>
      </c>
      <c r="AB131" t="s">
        <v>51</v>
      </c>
      <c r="AI131">
        <v>630.41310718301634</v>
      </c>
      <c r="AJ131">
        <v>9122.0426383558588</v>
      </c>
    </row>
    <row r="132" spans="1:36" x14ac:dyDescent="0.25">
      <c r="A132">
        <v>3</v>
      </c>
      <c r="C132" t="s">
        <v>36</v>
      </c>
      <c r="E132" t="s">
        <v>37</v>
      </c>
      <c r="F132" t="s">
        <v>38</v>
      </c>
      <c r="G132" s="2">
        <v>45838</v>
      </c>
      <c r="I132" t="s">
        <v>39</v>
      </c>
      <c r="J132" t="s">
        <v>40</v>
      </c>
      <c r="K132" t="s">
        <v>41</v>
      </c>
      <c r="L132" t="s">
        <v>42</v>
      </c>
      <c r="M132" t="s">
        <v>36</v>
      </c>
      <c r="N132" t="s">
        <v>43</v>
      </c>
      <c r="O132" t="s">
        <v>55</v>
      </c>
      <c r="P132" t="s">
        <v>56</v>
      </c>
      <c r="Q132">
        <v>4.5375133921447048</v>
      </c>
      <c r="R132" t="s">
        <v>46</v>
      </c>
      <c r="S132" t="s">
        <v>47</v>
      </c>
      <c r="T132" t="s">
        <v>57</v>
      </c>
      <c r="V132" t="s">
        <v>46</v>
      </c>
      <c r="Y132" t="s">
        <v>48</v>
      </c>
      <c r="Z132" t="s">
        <v>49</v>
      </c>
      <c r="AA132" t="s">
        <v>54</v>
      </c>
      <c r="AB132" t="s">
        <v>51</v>
      </c>
      <c r="AI132">
        <v>549.12262617731301</v>
      </c>
      <c r="AJ132">
        <v>18362.738663608008</v>
      </c>
    </row>
    <row r="133" spans="1:36" x14ac:dyDescent="0.25">
      <c r="A133">
        <v>4</v>
      </c>
      <c r="C133" t="s">
        <v>36</v>
      </c>
      <c r="E133" t="s">
        <v>37</v>
      </c>
      <c r="F133" t="s">
        <v>38</v>
      </c>
      <c r="G133" s="2">
        <v>45838</v>
      </c>
      <c r="I133" t="s">
        <v>39</v>
      </c>
      <c r="J133" t="s">
        <v>40</v>
      </c>
      <c r="K133" t="s">
        <v>41</v>
      </c>
      <c r="L133" t="s">
        <v>42</v>
      </c>
      <c r="M133" t="s">
        <v>36</v>
      </c>
      <c r="N133" t="s">
        <v>43</v>
      </c>
      <c r="O133" t="s">
        <v>55</v>
      </c>
      <c r="P133" t="s">
        <v>56</v>
      </c>
      <c r="Q133">
        <v>4.4202210866826688</v>
      </c>
      <c r="R133" t="s">
        <v>46</v>
      </c>
      <c r="S133" t="s">
        <v>47</v>
      </c>
      <c r="T133" t="s">
        <v>57</v>
      </c>
      <c r="V133" t="s">
        <v>46</v>
      </c>
      <c r="Y133" t="s">
        <v>48</v>
      </c>
      <c r="Z133" t="s">
        <v>49</v>
      </c>
      <c r="AA133" t="s">
        <v>54</v>
      </c>
      <c r="AB133" t="s">
        <v>51</v>
      </c>
      <c r="AI133">
        <v>567.4494202141251</v>
      </c>
      <c r="AJ133">
        <v>17888.07164528469</v>
      </c>
    </row>
    <row r="134" spans="1:36" x14ac:dyDescent="0.25">
      <c r="A134">
        <v>10</v>
      </c>
      <c r="C134" t="s">
        <v>36</v>
      </c>
      <c r="E134" t="s">
        <v>37</v>
      </c>
      <c r="F134" t="s">
        <v>38</v>
      </c>
      <c r="G134" s="2">
        <v>45838</v>
      </c>
      <c r="I134" t="s">
        <v>39</v>
      </c>
      <c r="J134" t="s">
        <v>40</v>
      </c>
      <c r="K134" t="s">
        <v>41</v>
      </c>
      <c r="L134" t="s">
        <v>42</v>
      </c>
      <c r="M134" t="s">
        <v>36</v>
      </c>
      <c r="N134" t="s">
        <v>43</v>
      </c>
      <c r="O134" t="s">
        <v>55</v>
      </c>
      <c r="P134" t="s">
        <v>56</v>
      </c>
      <c r="Q134">
        <v>12.58422554162347</v>
      </c>
      <c r="R134" t="s">
        <v>46</v>
      </c>
      <c r="S134" t="s">
        <v>47</v>
      </c>
      <c r="V134" t="s">
        <v>60</v>
      </c>
      <c r="Y134" t="s">
        <v>48</v>
      </c>
      <c r="Z134" t="s">
        <v>49</v>
      </c>
      <c r="AA134" t="s">
        <v>61</v>
      </c>
      <c r="AB134" t="s">
        <v>51</v>
      </c>
      <c r="AI134">
        <v>964.1770580194775</v>
      </c>
      <c r="AJ134">
        <v>50926.757660875999</v>
      </c>
    </row>
    <row r="135" spans="1:36" x14ac:dyDescent="0.25">
      <c r="A135">
        <v>192</v>
      </c>
      <c r="C135" t="s">
        <v>36</v>
      </c>
      <c r="E135" t="s">
        <v>37</v>
      </c>
      <c r="F135" t="s">
        <v>38</v>
      </c>
      <c r="G135" s="2">
        <v>45838</v>
      </c>
      <c r="H135">
        <v>4</v>
      </c>
      <c r="I135" t="s">
        <v>72</v>
      </c>
      <c r="J135" t="s">
        <v>40</v>
      </c>
      <c r="K135" t="s">
        <v>41</v>
      </c>
      <c r="L135" t="s">
        <v>42</v>
      </c>
      <c r="M135" t="s">
        <v>36</v>
      </c>
      <c r="O135" t="s">
        <v>55</v>
      </c>
      <c r="P135" t="s">
        <v>56</v>
      </c>
      <c r="Q135">
        <v>3.69119588700819</v>
      </c>
      <c r="R135" t="s">
        <v>46</v>
      </c>
      <c r="S135" t="s">
        <v>47</v>
      </c>
      <c r="V135" t="s">
        <v>73</v>
      </c>
      <c r="Y135" t="s">
        <v>48</v>
      </c>
      <c r="Z135" t="s">
        <v>69</v>
      </c>
      <c r="AA135" t="s">
        <v>71</v>
      </c>
      <c r="AB135" t="s">
        <v>51</v>
      </c>
      <c r="AD135" t="s">
        <v>128</v>
      </c>
      <c r="AI135">
        <v>609.84124573530278</v>
      </c>
      <c r="AJ135">
        <v>14937.79953281394</v>
      </c>
    </row>
    <row r="136" spans="1:36" x14ac:dyDescent="0.25">
      <c r="A136">
        <v>58</v>
      </c>
      <c r="B136" t="s">
        <v>94</v>
      </c>
      <c r="C136" t="s">
        <v>36</v>
      </c>
      <c r="E136" t="s">
        <v>37</v>
      </c>
      <c r="F136" t="s">
        <v>38</v>
      </c>
      <c r="G136" s="2">
        <v>45839</v>
      </c>
      <c r="H136">
        <v>0</v>
      </c>
      <c r="I136" t="s">
        <v>39</v>
      </c>
      <c r="J136" t="s">
        <v>40</v>
      </c>
      <c r="K136" t="s">
        <v>41</v>
      </c>
      <c r="L136" t="s">
        <v>91</v>
      </c>
      <c r="M136" t="s">
        <v>36</v>
      </c>
      <c r="N136" t="s">
        <v>95</v>
      </c>
      <c r="O136" t="s">
        <v>96</v>
      </c>
      <c r="P136" t="s">
        <v>97</v>
      </c>
      <c r="Q136">
        <v>1.133019665843727</v>
      </c>
      <c r="R136" t="s">
        <v>46</v>
      </c>
      <c r="S136" t="s">
        <v>47</v>
      </c>
      <c r="V136" t="s">
        <v>86</v>
      </c>
      <c r="AB136" t="s">
        <v>51</v>
      </c>
      <c r="AD136" t="s">
        <v>93</v>
      </c>
      <c r="AI136">
        <v>273.87800175656957</v>
      </c>
      <c r="AJ136">
        <v>4585.1862521518551</v>
      </c>
    </row>
    <row r="137" spans="1:36" x14ac:dyDescent="0.25">
      <c r="A137">
        <v>64</v>
      </c>
      <c r="B137" t="s">
        <v>104</v>
      </c>
      <c r="C137" t="s">
        <v>36</v>
      </c>
      <c r="E137" t="s">
        <v>37</v>
      </c>
      <c r="F137" t="s">
        <v>38</v>
      </c>
      <c r="G137" s="2">
        <v>45839</v>
      </c>
      <c r="H137">
        <v>0</v>
      </c>
      <c r="I137" t="s">
        <v>39</v>
      </c>
      <c r="J137" t="s">
        <v>40</v>
      </c>
      <c r="K137" t="s">
        <v>41</v>
      </c>
      <c r="L137" t="s">
        <v>91</v>
      </c>
      <c r="M137" t="s">
        <v>36</v>
      </c>
      <c r="N137" t="s">
        <v>95</v>
      </c>
      <c r="O137" t="s">
        <v>96</v>
      </c>
      <c r="P137" t="s">
        <v>97</v>
      </c>
      <c r="Q137">
        <v>1.116745314777819</v>
      </c>
      <c r="R137" t="s">
        <v>46</v>
      </c>
      <c r="S137" t="s">
        <v>47</v>
      </c>
      <c r="V137" t="s">
        <v>86</v>
      </c>
      <c r="AB137" t="s">
        <v>51</v>
      </c>
      <c r="AD137" t="s">
        <v>93</v>
      </c>
      <c r="AI137">
        <v>271.11534721429581</v>
      </c>
      <c r="AJ137">
        <v>4519.3260265797562</v>
      </c>
    </row>
    <row r="138" spans="1:36" x14ac:dyDescent="0.25">
      <c r="A138">
        <v>72</v>
      </c>
      <c r="B138" t="s">
        <v>94</v>
      </c>
      <c r="C138" t="s">
        <v>36</v>
      </c>
      <c r="E138" t="s">
        <v>37</v>
      </c>
      <c r="F138" t="s">
        <v>38</v>
      </c>
      <c r="G138" s="2">
        <v>45839</v>
      </c>
      <c r="H138">
        <v>0</v>
      </c>
      <c r="I138" t="s">
        <v>39</v>
      </c>
      <c r="J138" t="s">
        <v>40</v>
      </c>
      <c r="K138" t="s">
        <v>41</v>
      </c>
      <c r="L138" t="s">
        <v>91</v>
      </c>
      <c r="M138" t="s">
        <v>36</v>
      </c>
      <c r="N138" t="s">
        <v>95</v>
      </c>
      <c r="O138" t="s">
        <v>96</v>
      </c>
      <c r="P138" t="s">
        <v>97</v>
      </c>
      <c r="Q138">
        <v>1.9478041183083441</v>
      </c>
      <c r="R138" t="s">
        <v>46</v>
      </c>
      <c r="S138" t="s">
        <v>47</v>
      </c>
      <c r="V138" t="s">
        <v>86</v>
      </c>
      <c r="AB138" t="s">
        <v>51</v>
      </c>
      <c r="AD138" t="s">
        <v>93</v>
      </c>
      <c r="AI138">
        <v>366.32697647813922</v>
      </c>
      <c r="AJ138">
        <v>7882.5151357823042</v>
      </c>
    </row>
    <row r="139" spans="1:36" x14ac:dyDescent="0.25">
      <c r="A139">
        <v>73</v>
      </c>
      <c r="B139" t="s">
        <v>94</v>
      </c>
      <c r="C139" t="s">
        <v>36</v>
      </c>
      <c r="E139" t="s">
        <v>37</v>
      </c>
      <c r="F139" t="s">
        <v>38</v>
      </c>
      <c r="G139" s="2">
        <v>45839</v>
      </c>
      <c r="H139">
        <v>0</v>
      </c>
      <c r="I139" t="s">
        <v>39</v>
      </c>
      <c r="J139" t="s">
        <v>40</v>
      </c>
      <c r="K139" t="s">
        <v>41</v>
      </c>
      <c r="L139" t="s">
        <v>91</v>
      </c>
      <c r="M139" t="s">
        <v>36</v>
      </c>
      <c r="N139" t="s">
        <v>95</v>
      </c>
      <c r="O139" t="s">
        <v>96</v>
      </c>
      <c r="P139" t="s">
        <v>97</v>
      </c>
      <c r="Q139">
        <v>1.1129433771951289</v>
      </c>
      <c r="R139" t="s">
        <v>46</v>
      </c>
      <c r="S139" t="s">
        <v>47</v>
      </c>
      <c r="V139" t="s">
        <v>86</v>
      </c>
      <c r="AB139" t="s">
        <v>51</v>
      </c>
      <c r="AD139" t="s">
        <v>93</v>
      </c>
      <c r="AI139">
        <v>271.88620736506692</v>
      </c>
      <c r="AJ139">
        <v>4503.9400695119166</v>
      </c>
    </row>
    <row r="140" spans="1:36" x14ac:dyDescent="0.25">
      <c r="A140">
        <v>74</v>
      </c>
      <c r="B140" t="s">
        <v>98</v>
      </c>
      <c r="C140" t="s">
        <v>36</v>
      </c>
      <c r="E140" t="s">
        <v>37</v>
      </c>
      <c r="F140" t="s">
        <v>38</v>
      </c>
      <c r="G140" s="2">
        <v>45839</v>
      </c>
      <c r="H140">
        <v>0</v>
      </c>
      <c r="I140" t="s">
        <v>39</v>
      </c>
      <c r="J140" t="s">
        <v>40</v>
      </c>
      <c r="K140" t="s">
        <v>41</v>
      </c>
      <c r="L140" t="s">
        <v>91</v>
      </c>
      <c r="M140" t="s">
        <v>36</v>
      </c>
      <c r="N140" t="s">
        <v>95</v>
      </c>
      <c r="O140" t="s">
        <v>96</v>
      </c>
      <c r="P140" t="s">
        <v>97</v>
      </c>
      <c r="Q140">
        <v>1.107843352613429</v>
      </c>
      <c r="R140" t="s">
        <v>46</v>
      </c>
      <c r="S140" t="s">
        <v>47</v>
      </c>
      <c r="V140" t="s">
        <v>86</v>
      </c>
      <c r="AB140" t="s">
        <v>51</v>
      </c>
      <c r="AD140" t="s">
        <v>93</v>
      </c>
      <c r="AI140">
        <v>271.44298791137959</v>
      </c>
      <c r="AJ140">
        <v>4483.3009197225483</v>
      </c>
    </row>
    <row r="141" spans="1:36" x14ac:dyDescent="0.25">
      <c r="A141">
        <v>75</v>
      </c>
      <c r="B141" t="s">
        <v>98</v>
      </c>
      <c r="C141" t="s">
        <v>36</v>
      </c>
      <c r="E141" t="s">
        <v>37</v>
      </c>
      <c r="F141" t="s">
        <v>38</v>
      </c>
      <c r="G141" s="2">
        <v>45839</v>
      </c>
      <c r="H141">
        <v>0</v>
      </c>
      <c r="I141" t="s">
        <v>39</v>
      </c>
      <c r="J141" t="s">
        <v>40</v>
      </c>
      <c r="K141" t="s">
        <v>41</v>
      </c>
      <c r="L141" t="s">
        <v>91</v>
      </c>
      <c r="M141" t="s">
        <v>36</v>
      </c>
      <c r="N141" t="s">
        <v>95</v>
      </c>
      <c r="O141" t="s">
        <v>96</v>
      </c>
      <c r="P141" t="s">
        <v>97</v>
      </c>
      <c r="Q141">
        <v>1.020481658214532</v>
      </c>
      <c r="R141" t="s">
        <v>46</v>
      </c>
      <c r="S141" t="s">
        <v>47</v>
      </c>
      <c r="V141" t="s">
        <v>86</v>
      </c>
      <c r="AB141" t="s">
        <v>51</v>
      </c>
      <c r="AD141" t="s">
        <v>93</v>
      </c>
      <c r="AI141">
        <v>258.22387800029833</v>
      </c>
      <c r="AJ141">
        <v>4129.7592715074452</v>
      </c>
    </row>
    <row r="142" spans="1:36" x14ac:dyDescent="0.25">
      <c r="A142">
        <v>86</v>
      </c>
      <c r="B142" t="s">
        <v>102</v>
      </c>
      <c r="C142" t="s">
        <v>36</v>
      </c>
      <c r="E142" t="s">
        <v>37</v>
      </c>
      <c r="F142" t="s">
        <v>38</v>
      </c>
      <c r="G142" s="2">
        <v>45839</v>
      </c>
      <c r="H142">
        <v>0</v>
      </c>
      <c r="I142" t="s">
        <v>39</v>
      </c>
      <c r="J142" t="s">
        <v>40</v>
      </c>
      <c r="K142" t="s">
        <v>41</v>
      </c>
      <c r="L142" t="s">
        <v>91</v>
      </c>
      <c r="M142" t="s">
        <v>36</v>
      </c>
      <c r="N142" t="s">
        <v>95</v>
      </c>
      <c r="O142" t="s">
        <v>96</v>
      </c>
      <c r="P142" t="s">
        <v>97</v>
      </c>
      <c r="Q142">
        <v>1.0878960316710049</v>
      </c>
      <c r="R142" t="s">
        <v>46</v>
      </c>
      <c r="S142" t="s">
        <v>47</v>
      </c>
      <c r="V142" t="s">
        <v>86</v>
      </c>
      <c r="AB142" t="s">
        <v>51</v>
      </c>
      <c r="AD142" t="s">
        <v>93</v>
      </c>
      <c r="AI142">
        <v>267.93172012582562</v>
      </c>
      <c r="AJ142">
        <v>4402.5766529602824</v>
      </c>
    </row>
    <row r="143" spans="1:36" x14ac:dyDescent="0.25">
      <c r="A143">
        <v>87</v>
      </c>
      <c r="B143" t="s">
        <v>102</v>
      </c>
      <c r="C143" t="s">
        <v>36</v>
      </c>
      <c r="E143" t="s">
        <v>37</v>
      </c>
      <c r="F143" t="s">
        <v>38</v>
      </c>
      <c r="G143" s="2">
        <v>45839</v>
      </c>
      <c r="H143">
        <v>0</v>
      </c>
      <c r="I143" t="s">
        <v>39</v>
      </c>
      <c r="J143" t="s">
        <v>40</v>
      </c>
      <c r="K143" t="s">
        <v>41</v>
      </c>
      <c r="L143" t="s">
        <v>91</v>
      </c>
      <c r="M143" t="s">
        <v>36</v>
      </c>
      <c r="N143" t="s">
        <v>95</v>
      </c>
      <c r="O143" t="s">
        <v>96</v>
      </c>
      <c r="P143" t="s">
        <v>97</v>
      </c>
      <c r="Q143">
        <v>1.050013394243833</v>
      </c>
      <c r="R143" t="s">
        <v>46</v>
      </c>
      <c r="S143" t="s">
        <v>47</v>
      </c>
      <c r="V143" t="s">
        <v>86</v>
      </c>
      <c r="AB143" t="s">
        <v>51</v>
      </c>
      <c r="AD143" t="s">
        <v>93</v>
      </c>
      <c r="AI143">
        <v>263.00923505313028</v>
      </c>
      <c r="AJ143">
        <v>4249.2704451664604</v>
      </c>
    </row>
    <row r="144" spans="1:36" x14ac:dyDescent="0.25">
      <c r="A144">
        <v>88</v>
      </c>
      <c r="B144" t="s">
        <v>103</v>
      </c>
      <c r="C144" t="s">
        <v>36</v>
      </c>
      <c r="E144" t="s">
        <v>37</v>
      </c>
      <c r="F144" t="s">
        <v>38</v>
      </c>
      <c r="G144" s="2">
        <v>45839</v>
      </c>
      <c r="H144">
        <v>0</v>
      </c>
      <c r="I144" t="s">
        <v>39</v>
      </c>
      <c r="J144" t="s">
        <v>40</v>
      </c>
      <c r="K144" t="s">
        <v>41</v>
      </c>
      <c r="L144" t="s">
        <v>91</v>
      </c>
      <c r="M144" t="s">
        <v>36</v>
      </c>
      <c r="N144" t="s">
        <v>95</v>
      </c>
      <c r="O144" t="s">
        <v>96</v>
      </c>
      <c r="P144" t="s">
        <v>97</v>
      </c>
      <c r="Q144">
        <v>1.119272274340031</v>
      </c>
      <c r="R144" t="s">
        <v>46</v>
      </c>
      <c r="S144" t="s">
        <v>47</v>
      </c>
      <c r="V144" t="s">
        <v>86</v>
      </c>
      <c r="AB144" t="s">
        <v>51</v>
      </c>
      <c r="AD144" t="s">
        <v>93</v>
      </c>
      <c r="AI144">
        <v>270.19608882825747</v>
      </c>
      <c r="AJ144">
        <v>4529.5523100183291</v>
      </c>
    </row>
    <row r="145" spans="1:36" x14ac:dyDescent="0.25">
      <c r="A145">
        <v>91</v>
      </c>
      <c r="B145" t="s">
        <v>104</v>
      </c>
      <c r="C145" t="s">
        <v>36</v>
      </c>
      <c r="E145" t="s">
        <v>37</v>
      </c>
      <c r="F145" t="s">
        <v>38</v>
      </c>
      <c r="G145" s="2">
        <v>45839</v>
      </c>
      <c r="H145">
        <v>0</v>
      </c>
      <c r="I145" t="s">
        <v>39</v>
      </c>
      <c r="J145" t="s">
        <v>40</v>
      </c>
      <c r="K145" t="s">
        <v>41</v>
      </c>
      <c r="L145" t="s">
        <v>91</v>
      </c>
      <c r="M145" t="s">
        <v>36</v>
      </c>
      <c r="N145" t="s">
        <v>95</v>
      </c>
      <c r="O145" t="s">
        <v>96</v>
      </c>
      <c r="P145" t="s">
        <v>97</v>
      </c>
      <c r="Q145">
        <v>1.0746161820441571</v>
      </c>
      <c r="R145" t="s">
        <v>46</v>
      </c>
      <c r="S145" t="s">
        <v>47</v>
      </c>
      <c r="V145" t="s">
        <v>86</v>
      </c>
      <c r="AB145" t="s">
        <v>51</v>
      </c>
      <c r="AD145" t="s">
        <v>93</v>
      </c>
      <c r="AI145">
        <v>265.23634571466391</v>
      </c>
      <c r="AJ145">
        <v>4348.8347932421402</v>
      </c>
    </row>
    <row r="146" spans="1:36" x14ac:dyDescent="0.25">
      <c r="A146">
        <v>94</v>
      </c>
      <c r="B146" t="s">
        <v>105</v>
      </c>
      <c r="C146" t="s">
        <v>36</v>
      </c>
      <c r="E146" t="s">
        <v>37</v>
      </c>
      <c r="F146" t="s">
        <v>38</v>
      </c>
      <c r="G146" s="2">
        <v>45839</v>
      </c>
      <c r="H146">
        <v>0</v>
      </c>
      <c r="I146" t="s">
        <v>39</v>
      </c>
      <c r="J146" t="s">
        <v>40</v>
      </c>
      <c r="K146" t="s">
        <v>41</v>
      </c>
      <c r="L146" t="s">
        <v>91</v>
      </c>
      <c r="M146" t="s">
        <v>36</v>
      </c>
      <c r="N146" t="s">
        <v>95</v>
      </c>
      <c r="O146" t="s">
        <v>96</v>
      </c>
      <c r="P146" t="s">
        <v>97</v>
      </c>
      <c r="Q146">
        <v>1.0889513238699879</v>
      </c>
      <c r="R146" t="s">
        <v>46</v>
      </c>
      <c r="S146" t="s">
        <v>47</v>
      </c>
      <c r="V146" t="s">
        <v>86</v>
      </c>
      <c r="AB146" t="s">
        <v>51</v>
      </c>
      <c r="AD146" t="s">
        <v>93</v>
      </c>
      <c r="AI146">
        <v>267.55067555209177</v>
      </c>
      <c r="AJ146">
        <v>4406.8472860557604</v>
      </c>
    </row>
    <row r="147" spans="1:36" x14ac:dyDescent="0.25">
      <c r="A147">
        <v>96</v>
      </c>
      <c r="B147" t="s">
        <v>105</v>
      </c>
      <c r="C147" t="s">
        <v>36</v>
      </c>
      <c r="E147" t="s">
        <v>37</v>
      </c>
      <c r="F147" t="s">
        <v>38</v>
      </c>
      <c r="G147" s="2">
        <v>45839</v>
      </c>
      <c r="H147">
        <v>0</v>
      </c>
      <c r="I147" t="s">
        <v>39</v>
      </c>
      <c r="J147" t="s">
        <v>40</v>
      </c>
      <c r="K147" t="s">
        <v>41</v>
      </c>
      <c r="L147" t="s">
        <v>91</v>
      </c>
      <c r="M147" t="s">
        <v>36</v>
      </c>
      <c r="N147" t="s">
        <v>95</v>
      </c>
      <c r="O147" t="s">
        <v>96</v>
      </c>
      <c r="P147" t="s">
        <v>97</v>
      </c>
      <c r="Q147">
        <v>1.069269401600734</v>
      </c>
      <c r="R147" t="s">
        <v>46</v>
      </c>
      <c r="S147" t="s">
        <v>47</v>
      </c>
      <c r="V147" t="s">
        <v>86</v>
      </c>
      <c r="AB147" t="s">
        <v>51</v>
      </c>
      <c r="AD147" t="s">
        <v>93</v>
      </c>
      <c r="AI147">
        <v>264.9236615529037</v>
      </c>
      <c r="AJ147">
        <v>4327.1970539146414</v>
      </c>
    </row>
    <row r="148" spans="1:36" x14ac:dyDescent="0.25">
      <c r="A148">
        <v>130</v>
      </c>
      <c r="C148" t="s">
        <v>36</v>
      </c>
      <c r="E148" t="s">
        <v>37</v>
      </c>
      <c r="F148" t="s">
        <v>38</v>
      </c>
      <c r="G148" s="2">
        <v>45839</v>
      </c>
      <c r="I148" t="s">
        <v>39</v>
      </c>
      <c r="J148" t="s">
        <v>40</v>
      </c>
      <c r="K148" t="s">
        <v>41</v>
      </c>
      <c r="L148" t="s">
        <v>42</v>
      </c>
      <c r="M148" t="s">
        <v>36</v>
      </c>
      <c r="N148" t="s">
        <v>43</v>
      </c>
      <c r="O148" t="s">
        <v>122</v>
      </c>
      <c r="P148" t="s">
        <v>123</v>
      </c>
      <c r="Q148">
        <v>9.8435119582932771</v>
      </c>
      <c r="R148" t="s">
        <v>46</v>
      </c>
      <c r="S148" t="s">
        <v>47</v>
      </c>
      <c r="V148" t="s">
        <v>119</v>
      </c>
      <c r="Y148" t="s">
        <v>120</v>
      </c>
      <c r="Z148" t="s">
        <v>69</v>
      </c>
      <c r="AA148" t="s">
        <v>121</v>
      </c>
      <c r="AB148" t="s">
        <v>51</v>
      </c>
      <c r="AI148">
        <v>937.15238631746297</v>
      </c>
      <c r="AJ148">
        <v>39835.438928986718</v>
      </c>
    </row>
    <row r="149" spans="1:36" x14ac:dyDescent="0.25">
      <c r="A149">
        <v>244</v>
      </c>
      <c r="C149" t="s">
        <v>36</v>
      </c>
      <c r="E149" t="s">
        <v>37</v>
      </c>
      <c r="F149" t="s">
        <v>38</v>
      </c>
      <c r="G149" s="2">
        <v>45839</v>
      </c>
      <c r="I149" t="s">
        <v>39</v>
      </c>
      <c r="J149" t="s">
        <v>40</v>
      </c>
      <c r="K149" t="s">
        <v>41</v>
      </c>
      <c r="L149" t="s">
        <v>42</v>
      </c>
      <c r="M149" t="s">
        <v>36</v>
      </c>
      <c r="N149" t="s">
        <v>43</v>
      </c>
      <c r="O149" t="s">
        <v>122</v>
      </c>
      <c r="P149" t="s">
        <v>123</v>
      </c>
      <c r="Q149">
        <v>7.1840601371725699</v>
      </c>
      <c r="R149" t="s">
        <v>46</v>
      </c>
      <c r="S149" t="s">
        <v>47</v>
      </c>
      <c r="V149" t="s">
        <v>71</v>
      </c>
      <c r="Y149" t="s">
        <v>120</v>
      </c>
      <c r="Z149" t="s">
        <v>69</v>
      </c>
      <c r="AA149" t="s">
        <v>124</v>
      </c>
      <c r="AB149" t="s">
        <v>51</v>
      </c>
      <c r="AI149">
        <v>774.3649582204506</v>
      </c>
      <c r="AJ149">
        <v>29072.976196813132</v>
      </c>
    </row>
    <row r="150" spans="1:36" x14ac:dyDescent="0.25">
      <c r="A150">
        <v>12</v>
      </c>
      <c r="C150" t="s">
        <v>36</v>
      </c>
      <c r="E150" t="s">
        <v>37</v>
      </c>
      <c r="F150" t="s">
        <v>38</v>
      </c>
      <c r="G150" s="2">
        <v>45838</v>
      </c>
      <c r="I150" t="s">
        <v>39</v>
      </c>
      <c r="J150" t="s">
        <v>40</v>
      </c>
      <c r="K150" t="s">
        <v>41</v>
      </c>
      <c r="L150" t="s">
        <v>42</v>
      </c>
      <c r="M150" t="s">
        <v>36</v>
      </c>
      <c r="N150" t="s">
        <v>43</v>
      </c>
      <c r="O150" t="s">
        <v>58</v>
      </c>
      <c r="P150" t="s">
        <v>59</v>
      </c>
      <c r="Q150">
        <v>27.033271731380939</v>
      </c>
      <c r="R150" t="s">
        <v>60</v>
      </c>
      <c r="S150" t="s">
        <v>66</v>
      </c>
      <c r="V150" t="s">
        <v>60</v>
      </c>
      <c r="Y150" t="s">
        <v>48</v>
      </c>
      <c r="Z150" t="s">
        <v>49</v>
      </c>
      <c r="AA150" t="s">
        <v>61</v>
      </c>
      <c r="AB150" t="s">
        <v>51</v>
      </c>
      <c r="AI150">
        <v>1172.5031110864061</v>
      </c>
      <c r="AJ150">
        <v>109400.20692501339</v>
      </c>
    </row>
    <row r="151" spans="1:36" x14ac:dyDescent="0.25">
      <c r="A151">
        <v>193</v>
      </c>
      <c r="C151" t="s">
        <v>36</v>
      </c>
      <c r="E151" t="s">
        <v>37</v>
      </c>
      <c r="F151" t="s">
        <v>38</v>
      </c>
      <c r="G151" s="2">
        <v>45838</v>
      </c>
      <c r="I151" t="s">
        <v>39</v>
      </c>
      <c r="J151" t="s">
        <v>40</v>
      </c>
      <c r="K151" t="s">
        <v>41</v>
      </c>
      <c r="L151" t="s">
        <v>42</v>
      </c>
      <c r="M151" t="s">
        <v>36</v>
      </c>
      <c r="N151" t="s">
        <v>43</v>
      </c>
      <c r="O151" t="s">
        <v>58</v>
      </c>
      <c r="P151" t="s">
        <v>59</v>
      </c>
      <c r="Q151">
        <v>31.430590409389911</v>
      </c>
      <c r="R151" t="s">
        <v>60</v>
      </c>
      <c r="S151" t="s">
        <v>66</v>
      </c>
      <c r="V151" t="s">
        <v>73</v>
      </c>
      <c r="Y151" t="s">
        <v>48</v>
      </c>
      <c r="Z151" t="s">
        <v>69</v>
      </c>
      <c r="AA151" t="s">
        <v>71</v>
      </c>
      <c r="AB151" t="s">
        <v>51</v>
      </c>
      <c r="AI151">
        <v>1264.2733062167899</v>
      </c>
      <c r="AJ151">
        <v>127195.5954399364</v>
      </c>
    </row>
    <row r="152" spans="1:36" x14ac:dyDescent="0.25">
      <c r="A152">
        <v>103</v>
      </c>
      <c r="C152" t="s">
        <v>36</v>
      </c>
      <c r="E152" t="s">
        <v>37</v>
      </c>
      <c r="F152" t="s">
        <v>38</v>
      </c>
      <c r="G152" s="2">
        <v>45839</v>
      </c>
      <c r="I152" t="s">
        <v>39</v>
      </c>
      <c r="J152" t="s">
        <v>40</v>
      </c>
      <c r="K152" t="s">
        <v>41</v>
      </c>
      <c r="L152" t="s">
        <v>42</v>
      </c>
      <c r="M152" t="s">
        <v>36</v>
      </c>
      <c r="N152" t="s">
        <v>43</v>
      </c>
      <c r="O152" t="s">
        <v>81</v>
      </c>
      <c r="P152" t="s">
        <v>82</v>
      </c>
      <c r="Q152">
        <v>23.85508398272442</v>
      </c>
      <c r="R152" t="s">
        <v>60</v>
      </c>
      <c r="S152" t="s">
        <v>66</v>
      </c>
      <c r="V152" t="s">
        <v>86</v>
      </c>
      <c r="AB152" t="s">
        <v>51</v>
      </c>
      <c r="AC152" t="s">
        <v>89</v>
      </c>
      <c r="AI152">
        <v>1400.539669045548</v>
      </c>
      <c r="AJ152">
        <v>96538.485975937438</v>
      </c>
    </row>
    <row r="153" spans="1:36" x14ac:dyDescent="0.25">
      <c r="A153">
        <v>190</v>
      </c>
      <c r="C153" t="s">
        <v>36</v>
      </c>
      <c r="E153" t="s">
        <v>37</v>
      </c>
      <c r="F153" t="s">
        <v>38</v>
      </c>
      <c r="G153" s="2">
        <v>45839</v>
      </c>
      <c r="I153" t="s">
        <v>39</v>
      </c>
      <c r="J153" t="s">
        <v>40</v>
      </c>
      <c r="K153" t="s">
        <v>41</v>
      </c>
      <c r="L153" t="s">
        <v>42</v>
      </c>
      <c r="M153" t="s">
        <v>36</v>
      </c>
      <c r="N153" t="s">
        <v>43</v>
      </c>
      <c r="O153" t="s">
        <v>81</v>
      </c>
      <c r="P153" t="s">
        <v>82</v>
      </c>
      <c r="Q153">
        <v>31.209126942948711</v>
      </c>
      <c r="R153" t="s">
        <v>60</v>
      </c>
      <c r="S153" t="s">
        <v>66</v>
      </c>
      <c r="V153" t="s">
        <v>86</v>
      </c>
      <c r="Y153" t="s">
        <v>48</v>
      </c>
      <c r="Z153" t="s">
        <v>69</v>
      </c>
      <c r="AA153" t="s">
        <v>73</v>
      </c>
      <c r="AB153" t="s">
        <v>51</v>
      </c>
      <c r="AI153">
        <v>1259.811326638564</v>
      </c>
      <c r="AJ153">
        <v>126299.3610035077</v>
      </c>
    </row>
    <row r="154" spans="1:36" x14ac:dyDescent="0.25">
      <c r="A154">
        <v>120</v>
      </c>
      <c r="C154" t="s">
        <v>36</v>
      </c>
      <c r="E154" t="s">
        <v>37</v>
      </c>
      <c r="F154" t="s">
        <v>38</v>
      </c>
      <c r="G154" s="2">
        <v>45839</v>
      </c>
      <c r="I154" t="s">
        <v>39</v>
      </c>
      <c r="J154" t="s">
        <v>40</v>
      </c>
      <c r="K154" t="s">
        <v>41</v>
      </c>
      <c r="L154" t="s">
        <v>42</v>
      </c>
      <c r="M154" t="s">
        <v>36</v>
      </c>
      <c r="N154" t="s">
        <v>43</v>
      </c>
      <c r="O154" t="s">
        <v>87</v>
      </c>
      <c r="P154" t="s">
        <v>88</v>
      </c>
      <c r="Q154">
        <v>29.774464652388289</v>
      </c>
      <c r="R154" t="s">
        <v>60</v>
      </c>
      <c r="S154" t="s">
        <v>66</v>
      </c>
      <c r="V154" t="s">
        <v>110</v>
      </c>
      <c r="Y154" t="s">
        <v>48</v>
      </c>
      <c r="Z154" t="s">
        <v>69</v>
      </c>
      <c r="AA154" t="s">
        <v>64</v>
      </c>
      <c r="AB154" t="s">
        <v>51</v>
      </c>
      <c r="AI154">
        <v>1273.6218690890701</v>
      </c>
      <c r="AJ154">
        <v>120493.4654754192</v>
      </c>
    </row>
    <row r="155" spans="1:36" x14ac:dyDescent="0.25">
      <c r="A155">
        <v>121</v>
      </c>
      <c r="C155" t="s">
        <v>36</v>
      </c>
      <c r="E155" t="s">
        <v>37</v>
      </c>
      <c r="F155" t="s">
        <v>38</v>
      </c>
      <c r="G155" s="2">
        <v>45839</v>
      </c>
      <c r="I155" t="s">
        <v>39</v>
      </c>
      <c r="J155" t="s">
        <v>40</v>
      </c>
      <c r="K155" t="s">
        <v>41</v>
      </c>
      <c r="L155" t="s">
        <v>42</v>
      </c>
      <c r="M155" t="s">
        <v>36</v>
      </c>
      <c r="N155" t="s">
        <v>43</v>
      </c>
      <c r="O155" t="s">
        <v>87</v>
      </c>
      <c r="P155" t="s">
        <v>88</v>
      </c>
      <c r="Q155">
        <v>1.58729877475563</v>
      </c>
      <c r="R155" t="s">
        <v>60</v>
      </c>
      <c r="S155" t="s">
        <v>66</v>
      </c>
      <c r="V155" t="s">
        <v>110</v>
      </c>
      <c r="Y155" t="s">
        <v>48</v>
      </c>
      <c r="Z155" t="s">
        <v>69</v>
      </c>
      <c r="AA155" t="s">
        <v>64</v>
      </c>
      <c r="AB155" t="s">
        <v>51</v>
      </c>
      <c r="AI155">
        <v>404.49731822828778</v>
      </c>
      <c r="AJ155">
        <v>6423.5959352455166</v>
      </c>
    </row>
    <row r="156" spans="1:36" x14ac:dyDescent="0.25">
      <c r="A156">
        <v>131</v>
      </c>
      <c r="C156" t="s">
        <v>36</v>
      </c>
      <c r="E156" t="s">
        <v>37</v>
      </c>
      <c r="F156" t="s">
        <v>38</v>
      </c>
      <c r="G156" s="2">
        <v>45839</v>
      </c>
      <c r="I156" t="s">
        <v>39</v>
      </c>
      <c r="J156" t="s">
        <v>40</v>
      </c>
      <c r="K156" t="s">
        <v>41</v>
      </c>
      <c r="L156" t="s">
        <v>42</v>
      </c>
      <c r="M156" t="s">
        <v>36</v>
      </c>
      <c r="N156" t="s">
        <v>43</v>
      </c>
      <c r="O156" t="s">
        <v>113</v>
      </c>
      <c r="P156" t="s">
        <v>114</v>
      </c>
      <c r="Q156">
        <v>40.726142141352867</v>
      </c>
      <c r="R156" t="s">
        <v>60</v>
      </c>
      <c r="S156" t="s">
        <v>66</v>
      </c>
      <c r="V156" t="s">
        <v>119</v>
      </c>
      <c r="Y156" t="s">
        <v>120</v>
      </c>
      <c r="Z156" t="s">
        <v>69</v>
      </c>
      <c r="AA156" t="s">
        <v>121</v>
      </c>
      <c r="AB156" t="s">
        <v>51</v>
      </c>
      <c r="AI156">
        <v>1603.170768593264</v>
      </c>
      <c r="AJ156">
        <v>164813.5091376864</v>
      </c>
    </row>
    <row r="157" spans="1:36" x14ac:dyDescent="0.25">
      <c r="A157">
        <v>312</v>
      </c>
      <c r="C157" t="s">
        <v>36</v>
      </c>
      <c r="E157" t="s">
        <v>37</v>
      </c>
      <c r="F157" t="s">
        <v>38</v>
      </c>
      <c r="G157" s="2">
        <v>45839</v>
      </c>
      <c r="I157" t="s">
        <v>39</v>
      </c>
      <c r="J157" t="s">
        <v>40</v>
      </c>
      <c r="K157" t="s">
        <v>41</v>
      </c>
      <c r="L157" t="s">
        <v>42</v>
      </c>
      <c r="M157" t="s">
        <v>36</v>
      </c>
      <c r="N157" t="s">
        <v>126</v>
      </c>
      <c r="O157" t="s">
        <v>113</v>
      </c>
      <c r="P157" t="s">
        <v>114</v>
      </c>
      <c r="Q157">
        <v>0.41898055395124451</v>
      </c>
      <c r="R157" t="s">
        <v>60</v>
      </c>
      <c r="S157" t="s">
        <v>66</v>
      </c>
      <c r="V157" t="s">
        <v>110</v>
      </c>
      <c r="Y157" t="s">
        <v>48</v>
      </c>
      <c r="Z157" t="s">
        <v>69</v>
      </c>
      <c r="AA157" t="s">
        <v>64</v>
      </c>
      <c r="AB157" t="s">
        <v>51</v>
      </c>
      <c r="AI157">
        <v>183.55095582551581</v>
      </c>
      <c r="AJ157">
        <v>1695.5609278552331</v>
      </c>
    </row>
    <row r="158" spans="1:36" x14ac:dyDescent="0.25">
      <c r="A158">
        <v>277</v>
      </c>
      <c r="C158" t="s">
        <v>36</v>
      </c>
      <c r="E158" t="s">
        <v>37</v>
      </c>
      <c r="F158" t="s">
        <v>38</v>
      </c>
      <c r="G158" s="2">
        <v>45839</v>
      </c>
      <c r="I158" t="s">
        <v>39</v>
      </c>
      <c r="J158" t="s">
        <v>40</v>
      </c>
      <c r="K158" t="s">
        <v>41</v>
      </c>
      <c r="L158" t="s">
        <v>42</v>
      </c>
      <c r="M158" t="s">
        <v>36</v>
      </c>
      <c r="N158" t="s">
        <v>43</v>
      </c>
      <c r="O158" t="s">
        <v>79</v>
      </c>
      <c r="P158" t="s">
        <v>80</v>
      </c>
      <c r="Q158">
        <v>0.45820376277540759</v>
      </c>
      <c r="R158" t="s">
        <v>60</v>
      </c>
      <c r="S158" t="s">
        <v>66</v>
      </c>
      <c r="V158" t="s">
        <v>119</v>
      </c>
      <c r="Y158" t="s">
        <v>120</v>
      </c>
      <c r="Z158" t="s">
        <v>69</v>
      </c>
      <c r="AA158" t="s">
        <v>121</v>
      </c>
      <c r="AB158" t="s">
        <v>51</v>
      </c>
      <c r="AI158">
        <v>181.09207381512371</v>
      </c>
      <c r="AJ158">
        <v>1854.2922573171161</v>
      </c>
    </row>
    <row r="159" spans="1:36" x14ac:dyDescent="0.25">
      <c r="A159">
        <v>278</v>
      </c>
      <c r="C159" t="s">
        <v>36</v>
      </c>
      <c r="E159" t="s">
        <v>37</v>
      </c>
      <c r="F159" t="s">
        <v>38</v>
      </c>
      <c r="G159" s="2">
        <v>45839</v>
      </c>
      <c r="I159" t="s">
        <v>39</v>
      </c>
      <c r="J159" t="s">
        <v>40</v>
      </c>
      <c r="K159" t="s">
        <v>41</v>
      </c>
      <c r="L159" t="s">
        <v>42</v>
      </c>
      <c r="M159" t="s">
        <v>36</v>
      </c>
      <c r="N159" t="s">
        <v>43</v>
      </c>
      <c r="O159" t="s">
        <v>79</v>
      </c>
      <c r="P159" t="s">
        <v>80</v>
      </c>
      <c r="Q159">
        <v>2.5753744732718169</v>
      </c>
      <c r="R159" t="s">
        <v>60</v>
      </c>
      <c r="S159" t="s">
        <v>66</v>
      </c>
      <c r="V159" t="s">
        <v>119</v>
      </c>
      <c r="Y159" t="s">
        <v>120</v>
      </c>
      <c r="Z159" t="s">
        <v>69</v>
      </c>
      <c r="AA159" t="s">
        <v>121</v>
      </c>
      <c r="AB159" t="s">
        <v>51</v>
      </c>
      <c r="AI159">
        <v>447.5781678170336</v>
      </c>
      <c r="AJ159">
        <v>10422.212416053049</v>
      </c>
    </row>
    <row r="160" spans="1:36" x14ac:dyDescent="0.25">
      <c r="A160">
        <v>279</v>
      </c>
      <c r="C160" t="s">
        <v>36</v>
      </c>
      <c r="E160" t="s">
        <v>37</v>
      </c>
      <c r="F160" t="s">
        <v>38</v>
      </c>
      <c r="G160" s="2">
        <v>45839</v>
      </c>
      <c r="I160" t="s">
        <v>39</v>
      </c>
      <c r="J160" t="s">
        <v>40</v>
      </c>
      <c r="K160" t="s">
        <v>41</v>
      </c>
      <c r="L160" t="s">
        <v>42</v>
      </c>
      <c r="M160" t="s">
        <v>36</v>
      </c>
      <c r="N160" t="s">
        <v>43</v>
      </c>
      <c r="O160" t="s">
        <v>79</v>
      </c>
      <c r="P160" t="s">
        <v>80</v>
      </c>
      <c r="Q160">
        <v>0.51421741169694757</v>
      </c>
      <c r="R160" t="s">
        <v>60</v>
      </c>
      <c r="S160" t="s">
        <v>66</v>
      </c>
      <c r="V160" t="s">
        <v>119</v>
      </c>
      <c r="Y160" t="s">
        <v>120</v>
      </c>
      <c r="Z160" t="s">
        <v>69</v>
      </c>
      <c r="AA160" t="s">
        <v>121</v>
      </c>
      <c r="AB160" t="s">
        <v>51</v>
      </c>
      <c r="AI160">
        <v>217.82892742724351</v>
      </c>
      <c r="AJ160">
        <v>2080.9723589168088</v>
      </c>
    </row>
    <row r="161" spans="1:36" x14ac:dyDescent="0.25">
      <c r="A161">
        <v>112</v>
      </c>
      <c r="C161" t="s">
        <v>36</v>
      </c>
      <c r="E161" t="s">
        <v>37</v>
      </c>
      <c r="F161" t="s">
        <v>38</v>
      </c>
      <c r="G161" s="2">
        <v>45839</v>
      </c>
      <c r="I161" t="s">
        <v>39</v>
      </c>
      <c r="J161" t="s">
        <v>40</v>
      </c>
      <c r="K161" t="s">
        <v>41</v>
      </c>
      <c r="L161" t="s">
        <v>42</v>
      </c>
      <c r="M161" t="s">
        <v>36</v>
      </c>
      <c r="N161" t="s">
        <v>43</v>
      </c>
      <c r="O161" t="s">
        <v>67</v>
      </c>
      <c r="P161" t="s">
        <v>68</v>
      </c>
      <c r="Q161">
        <v>5.3680295731284229</v>
      </c>
      <c r="R161" t="s">
        <v>60</v>
      </c>
      <c r="S161" t="s">
        <v>66</v>
      </c>
      <c r="V161" t="s">
        <v>86</v>
      </c>
      <c r="AB161" t="s">
        <v>51</v>
      </c>
      <c r="AI161">
        <v>1006.268308230613</v>
      </c>
      <c r="AJ161">
        <v>21723.731848488391</v>
      </c>
    </row>
    <row r="162" spans="1:36" x14ac:dyDescent="0.25">
      <c r="A162">
        <v>63</v>
      </c>
      <c r="B162" t="s">
        <v>103</v>
      </c>
      <c r="C162" t="s">
        <v>36</v>
      </c>
      <c r="E162" t="s">
        <v>37</v>
      </c>
      <c r="F162" t="s">
        <v>38</v>
      </c>
      <c r="G162" s="2">
        <v>45839</v>
      </c>
      <c r="H162">
        <v>0</v>
      </c>
      <c r="I162" t="s">
        <v>39</v>
      </c>
      <c r="J162" t="s">
        <v>40</v>
      </c>
      <c r="K162" t="s">
        <v>41</v>
      </c>
      <c r="L162" t="s">
        <v>91</v>
      </c>
      <c r="M162" t="s">
        <v>36</v>
      </c>
      <c r="N162" t="s">
        <v>95</v>
      </c>
      <c r="O162" t="s">
        <v>96</v>
      </c>
      <c r="P162" t="s">
        <v>97</v>
      </c>
      <c r="Q162">
        <v>1.134957007208292</v>
      </c>
      <c r="R162" t="s">
        <v>60</v>
      </c>
      <c r="S162" t="s">
        <v>66</v>
      </c>
      <c r="V162" t="s">
        <v>86</v>
      </c>
      <c r="AB162" t="s">
        <v>51</v>
      </c>
      <c r="AD162" t="s">
        <v>93</v>
      </c>
      <c r="AI162">
        <v>272.41073259150198</v>
      </c>
      <c r="AJ162">
        <v>4593.0264258560919</v>
      </c>
    </row>
    <row r="163" spans="1:36" x14ac:dyDescent="0.25">
      <c r="A163">
        <v>77</v>
      </c>
      <c r="B163" t="s">
        <v>109</v>
      </c>
      <c r="C163" t="s">
        <v>36</v>
      </c>
      <c r="E163" t="s">
        <v>37</v>
      </c>
      <c r="F163" t="s">
        <v>38</v>
      </c>
      <c r="G163" s="2">
        <v>45839</v>
      </c>
      <c r="H163">
        <v>0</v>
      </c>
      <c r="I163" t="s">
        <v>39</v>
      </c>
      <c r="J163" t="s">
        <v>40</v>
      </c>
      <c r="K163" t="s">
        <v>41</v>
      </c>
      <c r="L163" t="s">
        <v>91</v>
      </c>
      <c r="M163" t="s">
        <v>36</v>
      </c>
      <c r="N163" t="s">
        <v>95</v>
      </c>
      <c r="O163" t="s">
        <v>96</v>
      </c>
      <c r="P163" t="s">
        <v>97</v>
      </c>
      <c r="Q163">
        <v>0.9617906549163191</v>
      </c>
      <c r="R163" t="s">
        <v>60</v>
      </c>
      <c r="S163" t="s">
        <v>66</v>
      </c>
      <c r="V163" t="s">
        <v>86</v>
      </c>
      <c r="AB163" t="s">
        <v>51</v>
      </c>
      <c r="AD163" t="s">
        <v>93</v>
      </c>
      <c r="AI163">
        <v>252.07328176366039</v>
      </c>
      <c r="AJ163">
        <v>3892.2442578138698</v>
      </c>
    </row>
    <row r="164" spans="1:36" x14ac:dyDescent="0.25">
      <c r="A164">
        <v>111</v>
      </c>
      <c r="C164" t="s">
        <v>36</v>
      </c>
      <c r="E164" t="s">
        <v>37</v>
      </c>
      <c r="F164" t="s">
        <v>38</v>
      </c>
      <c r="G164" s="2">
        <v>45839</v>
      </c>
      <c r="I164" t="s">
        <v>39</v>
      </c>
      <c r="J164" t="s">
        <v>40</v>
      </c>
      <c r="K164" t="s">
        <v>41</v>
      </c>
      <c r="L164" t="s">
        <v>42</v>
      </c>
      <c r="M164" t="s">
        <v>36</v>
      </c>
      <c r="N164" t="s">
        <v>43</v>
      </c>
      <c r="O164" t="s">
        <v>96</v>
      </c>
      <c r="P164" t="s">
        <v>97</v>
      </c>
      <c r="Q164">
        <v>0.41413377762584502</v>
      </c>
      <c r="R164" t="s">
        <v>60</v>
      </c>
      <c r="S164" t="s">
        <v>66</v>
      </c>
      <c r="V164" t="s">
        <v>86</v>
      </c>
      <c r="AB164" t="s">
        <v>51</v>
      </c>
      <c r="AI164">
        <v>283.28127375202951</v>
      </c>
      <c r="AJ164">
        <v>1675.946641497786</v>
      </c>
    </row>
    <row r="165" spans="1:36" x14ac:dyDescent="0.25">
      <c r="A165">
        <v>155</v>
      </c>
      <c r="C165" t="s">
        <v>36</v>
      </c>
      <c r="E165" t="s">
        <v>37</v>
      </c>
      <c r="F165" t="s">
        <v>38</v>
      </c>
      <c r="G165" s="2">
        <v>45838</v>
      </c>
      <c r="I165" t="s">
        <v>72</v>
      </c>
      <c r="J165" t="s">
        <v>40</v>
      </c>
      <c r="K165" t="s">
        <v>41</v>
      </c>
      <c r="L165" t="s">
        <v>42</v>
      </c>
      <c r="M165" t="s">
        <v>36</v>
      </c>
      <c r="O165" t="s">
        <v>96</v>
      </c>
      <c r="P165" t="s">
        <v>97</v>
      </c>
      <c r="Q165">
        <v>0.50435544877690319</v>
      </c>
      <c r="R165" t="s">
        <v>60</v>
      </c>
      <c r="S165" t="s">
        <v>66</v>
      </c>
      <c r="T165" t="s">
        <v>57</v>
      </c>
      <c r="V165" t="s">
        <v>46</v>
      </c>
      <c r="Y165" t="s">
        <v>48</v>
      </c>
      <c r="Z165" t="s">
        <v>49</v>
      </c>
      <c r="AA165" t="s">
        <v>54</v>
      </c>
      <c r="AB165" t="s">
        <v>51</v>
      </c>
      <c r="AD165" t="s">
        <v>57</v>
      </c>
      <c r="AI165">
        <v>195.9310576129588</v>
      </c>
      <c r="AJ165">
        <v>2041.0622512960861</v>
      </c>
    </row>
    <row r="166" spans="1:36" x14ac:dyDescent="0.25">
      <c r="A166">
        <v>156</v>
      </c>
      <c r="C166" t="s">
        <v>36</v>
      </c>
      <c r="E166" t="s">
        <v>37</v>
      </c>
      <c r="F166" t="s">
        <v>38</v>
      </c>
      <c r="G166" s="2">
        <v>45838</v>
      </c>
      <c r="I166" t="s">
        <v>72</v>
      </c>
      <c r="J166" t="s">
        <v>40</v>
      </c>
      <c r="K166" t="s">
        <v>41</v>
      </c>
      <c r="L166" t="s">
        <v>42</v>
      </c>
      <c r="M166" t="s">
        <v>36</v>
      </c>
      <c r="O166" t="s">
        <v>96</v>
      </c>
      <c r="P166" t="s">
        <v>97</v>
      </c>
      <c r="Q166">
        <v>2.323003341774768</v>
      </c>
      <c r="R166" t="s">
        <v>60</v>
      </c>
      <c r="S166" t="s">
        <v>66</v>
      </c>
      <c r="T166" t="s">
        <v>57</v>
      </c>
      <c r="V166" t="s">
        <v>46</v>
      </c>
      <c r="Y166" t="s">
        <v>48</v>
      </c>
      <c r="Z166" t="s">
        <v>49</v>
      </c>
      <c r="AA166" t="s">
        <v>54</v>
      </c>
      <c r="AB166" t="s">
        <v>51</v>
      </c>
      <c r="AD166" t="s">
        <v>57</v>
      </c>
      <c r="AI166">
        <v>390.45653803706369</v>
      </c>
      <c r="AJ166">
        <v>9400.8985964746626</v>
      </c>
    </row>
    <row r="167" spans="1:36" x14ac:dyDescent="0.25">
      <c r="A167">
        <v>158</v>
      </c>
      <c r="C167" t="s">
        <v>36</v>
      </c>
      <c r="E167" t="s">
        <v>37</v>
      </c>
      <c r="F167" t="s">
        <v>38</v>
      </c>
      <c r="G167" s="2">
        <v>45838</v>
      </c>
      <c r="I167" t="s">
        <v>72</v>
      </c>
      <c r="J167" t="s">
        <v>40</v>
      </c>
      <c r="K167" t="s">
        <v>41</v>
      </c>
      <c r="L167" t="s">
        <v>42</v>
      </c>
      <c r="M167" t="s">
        <v>36</v>
      </c>
      <c r="O167" t="s">
        <v>96</v>
      </c>
      <c r="P167" t="s">
        <v>97</v>
      </c>
      <c r="Q167">
        <v>2.1488305749406269</v>
      </c>
      <c r="R167" t="s">
        <v>60</v>
      </c>
      <c r="S167" t="s">
        <v>66</v>
      </c>
      <c r="T167" t="s">
        <v>57</v>
      </c>
      <c r="V167" t="s">
        <v>46</v>
      </c>
      <c r="Y167" t="s">
        <v>48</v>
      </c>
      <c r="Z167" t="s">
        <v>49</v>
      </c>
      <c r="AA167" t="s">
        <v>54</v>
      </c>
      <c r="AB167" t="s">
        <v>51</v>
      </c>
      <c r="AD167" t="s">
        <v>57</v>
      </c>
      <c r="AI167">
        <v>629.71499243305084</v>
      </c>
      <c r="AJ167">
        <v>8696.0435969875634</v>
      </c>
    </row>
    <row r="168" spans="1:36" x14ac:dyDescent="0.25">
      <c r="A168">
        <v>28</v>
      </c>
      <c r="C168" t="s">
        <v>36</v>
      </c>
      <c r="E168" t="s">
        <v>37</v>
      </c>
      <c r="F168" t="s">
        <v>38</v>
      </c>
      <c r="G168" s="2">
        <v>45838</v>
      </c>
      <c r="I168" t="s">
        <v>39</v>
      </c>
      <c r="J168" t="s">
        <v>40</v>
      </c>
      <c r="K168" t="s">
        <v>41</v>
      </c>
      <c r="L168" t="s">
        <v>42</v>
      </c>
      <c r="M168" t="s">
        <v>36</v>
      </c>
      <c r="N168" t="s">
        <v>43</v>
      </c>
      <c r="O168" t="s">
        <v>44</v>
      </c>
      <c r="P168" t="s">
        <v>45</v>
      </c>
      <c r="Q168">
        <v>44.869584780678757</v>
      </c>
      <c r="R168" t="s">
        <v>73</v>
      </c>
      <c r="S168" t="s">
        <v>74</v>
      </c>
      <c r="V168" t="s">
        <v>64</v>
      </c>
      <c r="AB168" t="s">
        <v>51</v>
      </c>
      <c r="AI168">
        <v>1739.7532728895831</v>
      </c>
      <c r="AJ168">
        <v>181581.49366535939</v>
      </c>
    </row>
    <row r="169" spans="1:36" x14ac:dyDescent="0.25">
      <c r="A169">
        <v>25</v>
      </c>
      <c r="C169" t="s">
        <v>36</v>
      </c>
      <c r="E169" t="s">
        <v>37</v>
      </c>
      <c r="F169" t="s">
        <v>38</v>
      </c>
      <c r="G169" s="2">
        <v>45838</v>
      </c>
      <c r="I169" t="s">
        <v>39</v>
      </c>
      <c r="J169" t="s">
        <v>40</v>
      </c>
      <c r="K169" t="s">
        <v>41</v>
      </c>
      <c r="L169" t="s">
        <v>42</v>
      </c>
      <c r="M169" t="s">
        <v>36</v>
      </c>
      <c r="N169" t="s">
        <v>43</v>
      </c>
      <c r="O169" t="s">
        <v>52</v>
      </c>
      <c r="P169" t="s">
        <v>53</v>
      </c>
      <c r="Q169">
        <v>20.12076194972347</v>
      </c>
      <c r="R169" t="s">
        <v>73</v>
      </c>
      <c r="S169" t="s">
        <v>74</v>
      </c>
      <c r="V169" t="s">
        <v>64</v>
      </c>
      <c r="AB169" t="s">
        <v>51</v>
      </c>
      <c r="AI169">
        <v>1201.4619241419091</v>
      </c>
      <c r="AJ169">
        <v>81426.16042413596</v>
      </c>
    </row>
    <row r="170" spans="1:36" x14ac:dyDescent="0.25">
      <c r="A170">
        <v>26</v>
      </c>
      <c r="C170" t="s">
        <v>36</v>
      </c>
      <c r="E170" t="s">
        <v>37</v>
      </c>
      <c r="F170" t="s">
        <v>38</v>
      </c>
      <c r="G170" s="2">
        <v>45838</v>
      </c>
      <c r="I170" t="s">
        <v>39</v>
      </c>
      <c r="J170" t="s">
        <v>40</v>
      </c>
      <c r="K170" t="s">
        <v>41</v>
      </c>
      <c r="L170" t="s">
        <v>42</v>
      </c>
      <c r="M170" t="s">
        <v>36</v>
      </c>
      <c r="N170" t="s">
        <v>43</v>
      </c>
      <c r="O170" t="s">
        <v>52</v>
      </c>
      <c r="P170" t="s">
        <v>53</v>
      </c>
      <c r="Q170">
        <v>31.477048954785289</v>
      </c>
      <c r="R170" t="s">
        <v>73</v>
      </c>
      <c r="S170" t="s">
        <v>74</v>
      </c>
      <c r="V170" t="s">
        <v>64</v>
      </c>
      <c r="AB170" t="s">
        <v>51</v>
      </c>
      <c r="AI170">
        <v>1468.232465682662</v>
      </c>
      <c r="AJ170">
        <v>127383.6072547915</v>
      </c>
    </row>
    <row r="171" spans="1:36" x14ac:dyDescent="0.25">
      <c r="A171">
        <v>30</v>
      </c>
      <c r="C171" t="s">
        <v>36</v>
      </c>
      <c r="E171" t="s">
        <v>37</v>
      </c>
      <c r="F171" t="s">
        <v>38</v>
      </c>
      <c r="G171" s="2">
        <v>45838</v>
      </c>
      <c r="I171" t="s">
        <v>39</v>
      </c>
      <c r="J171" t="s">
        <v>40</v>
      </c>
      <c r="K171" t="s">
        <v>41</v>
      </c>
      <c r="L171" t="s">
        <v>42</v>
      </c>
      <c r="M171" t="s">
        <v>36</v>
      </c>
      <c r="N171" t="s">
        <v>43</v>
      </c>
      <c r="O171" t="s">
        <v>52</v>
      </c>
      <c r="P171" t="s">
        <v>53</v>
      </c>
      <c r="Q171">
        <v>44.767297539325703</v>
      </c>
      <c r="R171" t="s">
        <v>73</v>
      </c>
      <c r="S171" t="s">
        <v>74</v>
      </c>
      <c r="T171" t="s">
        <v>57</v>
      </c>
      <c r="V171" t="s">
        <v>75</v>
      </c>
      <c r="AB171" t="s">
        <v>51</v>
      </c>
      <c r="AI171">
        <v>1948.8666392964151</v>
      </c>
      <c r="AJ171">
        <v>181167.55022998821</v>
      </c>
    </row>
    <row r="172" spans="1:36" x14ac:dyDescent="0.25">
      <c r="A172">
        <v>32</v>
      </c>
      <c r="C172" t="s">
        <v>36</v>
      </c>
      <c r="E172" t="s">
        <v>37</v>
      </c>
      <c r="F172" t="s">
        <v>38</v>
      </c>
      <c r="G172" s="2">
        <v>45838</v>
      </c>
      <c r="I172" t="s">
        <v>39</v>
      </c>
      <c r="J172" t="s">
        <v>40</v>
      </c>
      <c r="K172" t="s">
        <v>41</v>
      </c>
      <c r="L172" t="s">
        <v>42</v>
      </c>
      <c r="M172" t="s">
        <v>36</v>
      </c>
      <c r="N172" t="s">
        <v>43</v>
      </c>
      <c r="O172" t="s">
        <v>52</v>
      </c>
      <c r="P172" t="s">
        <v>53</v>
      </c>
      <c r="Q172">
        <v>10.82962076480519</v>
      </c>
      <c r="R172" t="s">
        <v>73</v>
      </c>
      <c r="S172" t="s">
        <v>74</v>
      </c>
      <c r="V172" t="s">
        <v>64</v>
      </c>
      <c r="AB172" t="s">
        <v>51</v>
      </c>
      <c r="AI172">
        <v>914.02223409757516</v>
      </c>
      <c r="AJ172">
        <v>43826.095648415561</v>
      </c>
    </row>
    <row r="173" spans="1:36" x14ac:dyDescent="0.25">
      <c r="A173">
        <v>33</v>
      </c>
      <c r="C173" t="s">
        <v>36</v>
      </c>
      <c r="E173" t="s">
        <v>37</v>
      </c>
      <c r="F173" t="s">
        <v>38</v>
      </c>
      <c r="G173" s="2">
        <v>45838</v>
      </c>
      <c r="I173" t="s">
        <v>39</v>
      </c>
      <c r="J173" t="s">
        <v>40</v>
      </c>
      <c r="K173" t="s">
        <v>41</v>
      </c>
      <c r="L173" t="s">
        <v>42</v>
      </c>
      <c r="M173" t="s">
        <v>36</v>
      </c>
      <c r="N173" t="s">
        <v>43</v>
      </c>
      <c r="O173" t="s">
        <v>52</v>
      </c>
      <c r="P173" t="s">
        <v>53</v>
      </c>
      <c r="Q173">
        <v>11.26319457881235</v>
      </c>
      <c r="R173" t="s">
        <v>73</v>
      </c>
      <c r="S173" t="s">
        <v>74</v>
      </c>
      <c r="V173" t="s">
        <v>64</v>
      </c>
      <c r="AB173" t="s">
        <v>51</v>
      </c>
      <c r="AI173">
        <v>897.91866654142279</v>
      </c>
      <c r="AJ173">
        <v>45580.71364067986</v>
      </c>
    </row>
    <row r="174" spans="1:36" x14ac:dyDescent="0.25">
      <c r="A174">
        <v>34</v>
      </c>
      <c r="C174" t="s">
        <v>36</v>
      </c>
      <c r="E174" t="s">
        <v>37</v>
      </c>
      <c r="F174" t="s">
        <v>38</v>
      </c>
      <c r="G174" s="2">
        <v>45838</v>
      </c>
      <c r="I174" t="s">
        <v>39</v>
      </c>
      <c r="J174" t="s">
        <v>40</v>
      </c>
      <c r="K174" t="s">
        <v>41</v>
      </c>
      <c r="L174" t="s">
        <v>42</v>
      </c>
      <c r="M174" t="s">
        <v>36</v>
      </c>
      <c r="N174" t="s">
        <v>43</v>
      </c>
      <c r="O174" t="s">
        <v>52</v>
      </c>
      <c r="P174" t="s">
        <v>53</v>
      </c>
      <c r="Q174">
        <v>6.9916953152474726</v>
      </c>
      <c r="R174" t="s">
        <v>73</v>
      </c>
      <c r="S174" t="s">
        <v>74</v>
      </c>
      <c r="V174" t="s">
        <v>75</v>
      </c>
      <c r="AB174" t="s">
        <v>51</v>
      </c>
      <c r="AI174">
        <v>673.52284914440611</v>
      </c>
      <c r="AJ174">
        <v>28294.50026786112</v>
      </c>
    </row>
    <row r="175" spans="1:36" x14ac:dyDescent="0.25">
      <c r="A175">
        <v>49</v>
      </c>
      <c r="C175" t="s">
        <v>36</v>
      </c>
      <c r="E175" t="s">
        <v>37</v>
      </c>
      <c r="F175" t="s">
        <v>38</v>
      </c>
      <c r="G175" s="2">
        <v>45838</v>
      </c>
      <c r="I175" t="s">
        <v>39</v>
      </c>
      <c r="J175" t="s">
        <v>40</v>
      </c>
      <c r="K175" t="s">
        <v>41</v>
      </c>
      <c r="L175" t="s">
        <v>42</v>
      </c>
      <c r="M175" t="s">
        <v>36</v>
      </c>
      <c r="N175" t="s">
        <v>43</v>
      </c>
      <c r="O175" t="s">
        <v>52</v>
      </c>
      <c r="P175" t="s">
        <v>53</v>
      </c>
      <c r="Q175">
        <v>9.9551776593983323</v>
      </c>
      <c r="R175" t="s">
        <v>73</v>
      </c>
      <c r="S175" t="s">
        <v>74</v>
      </c>
      <c r="V175" t="s">
        <v>76</v>
      </c>
      <c r="AB175" t="s">
        <v>51</v>
      </c>
      <c r="AI175">
        <v>837.98756759165849</v>
      </c>
      <c r="AJ175">
        <v>40287.335796251173</v>
      </c>
    </row>
    <row r="176" spans="1:36" x14ac:dyDescent="0.25">
      <c r="A176">
        <v>51</v>
      </c>
      <c r="C176" t="s">
        <v>36</v>
      </c>
      <c r="E176" t="s">
        <v>37</v>
      </c>
      <c r="F176" t="s">
        <v>38</v>
      </c>
      <c r="G176" s="2">
        <v>45838</v>
      </c>
      <c r="I176" t="s">
        <v>39</v>
      </c>
      <c r="J176" t="s">
        <v>40</v>
      </c>
      <c r="K176" t="s">
        <v>41</v>
      </c>
      <c r="L176" t="s">
        <v>42</v>
      </c>
      <c r="M176" t="s">
        <v>36</v>
      </c>
      <c r="N176" t="s">
        <v>43</v>
      </c>
      <c r="O176" t="s">
        <v>52</v>
      </c>
      <c r="P176" t="s">
        <v>53</v>
      </c>
      <c r="Q176">
        <v>18.008544275952861</v>
      </c>
      <c r="R176" t="s">
        <v>73</v>
      </c>
      <c r="S176" t="s">
        <v>74</v>
      </c>
      <c r="V176" t="s">
        <v>86</v>
      </c>
      <c r="AB176" t="s">
        <v>51</v>
      </c>
      <c r="AI176">
        <v>1116.420731237615</v>
      </c>
      <c r="AJ176">
        <v>72878.284574061385</v>
      </c>
    </row>
    <row r="177" spans="1:36" x14ac:dyDescent="0.25">
      <c r="A177">
        <v>191</v>
      </c>
      <c r="C177" t="s">
        <v>36</v>
      </c>
      <c r="E177" t="s">
        <v>37</v>
      </c>
      <c r="F177" t="s">
        <v>38</v>
      </c>
      <c r="G177" s="2">
        <v>45838</v>
      </c>
      <c r="I177" t="s">
        <v>39</v>
      </c>
      <c r="J177" t="s">
        <v>40</v>
      </c>
      <c r="K177" t="s">
        <v>41</v>
      </c>
      <c r="L177" t="s">
        <v>42</v>
      </c>
      <c r="M177" t="s">
        <v>36</v>
      </c>
      <c r="N177" t="s">
        <v>43</v>
      </c>
      <c r="O177" t="s">
        <v>52</v>
      </c>
      <c r="P177" t="s">
        <v>53</v>
      </c>
      <c r="Q177">
        <v>35.480575297169807</v>
      </c>
      <c r="R177" t="s">
        <v>73</v>
      </c>
      <c r="S177" t="s">
        <v>74</v>
      </c>
      <c r="V177" t="s">
        <v>86</v>
      </c>
      <c r="Y177" t="s">
        <v>48</v>
      </c>
      <c r="Z177" t="s">
        <v>69</v>
      </c>
      <c r="AA177" t="s">
        <v>60</v>
      </c>
      <c r="AB177" t="s">
        <v>51</v>
      </c>
      <c r="AI177">
        <v>1856.7610695598621</v>
      </c>
      <c r="AJ177">
        <v>143585.36835269749</v>
      </c>
    </row>
    <row r="178" spans="1:36" x14ac:dyDescent="0.25">
      <c r="A178">
        <v>24</v>
      </c>
      <c r="C178" t="s">
        <v>36</v>
      </c>
      <c r="E178" t="s">
        <v>37</v>
      </c>
      <c r="F178" t="s">
        <v>38</v>
      </c>
      <c r="G178" s="2">
        <v>45838</v>
      </c>
      <c r="I178" t="s">
        <v>72</v>
      </c>
      <c r="J178" t="s">
        <v>40</v>
      </c>
      <c r="K178" t="s">
        <v>41</v>
      </c>
      <c r="L178" t="s">
        <v>42</v>
      </c>
      <c r="M178" t="s">
        <v>36</v>
      </c>
      <c r="O178" t="s">
        <v>58</v>
      </c>
      <c r="P178" t="s">
        <v>59</v>
      </c>
      <c r="Q178">
        <v>18.709873370653408</v>
      </c>
      <c r="R178" t="s">
        <v>73</v>
      </c>
      <c r="S178" t="s">
        <v>74</v>
      </c>
      <c r="V178" t="s">
        <v>64</v>
      </c>
      <c r="AB178" t="s">
        <v>51</v>
      </c>
      <c r="AI178">
        <v>1248.145990492369</v>
      </c>
      <c r="AJ178">
        <v>75716.474077912935</v>
      </c>
    </row>
    <row r="179" spans="1:36" x14ac:dyDescent="0.25">
      <c r="A179">
        <v>29</v>
      </c>
      <c r="C179" t="s">
        <v>36</v>
      </c>
      <c r="E179" t="s">
        <v>37</v>
      </c>
      <c r="F179" t="s">
        <v>38</v>
      </c>
      <c r="G179" s="2">
        <v>45838</v>
      </c>
      <c r="I179" t="s">
        <v>39</v>
      </c>
      <c r="J179" t="s">
        <v>40</v>
      </c>
      <c r="K179" t="s">
        <v>41</v>
      </c>
      <c r="L179" t="s">
        <v>42</v>
      </c>
      <c r="M179" t="s">
        <v>36</v>
      </c>
      <c r="N179" t="s">
        <v>43</v>
      </c>
      <c r="O179" t="s">
        <v>58</v>
      </c>
      <c r="P179" t="s">
        <v>59</v>
      </c>
      <c r="Q179">
        <v>41.113708088466183</v>
      </c>
      <c r="R179" t="s">
        <v>73</v>
      </c>
      <c r="S179" t="s">
        <v>74</v>
      </c>
      <c r="V179" t="s">
        <v>75</v>
      </c>
      <c r="AB179" t="s">
        <v>51</v>
      </c>
      <c r="AI179">
        <v>1623.1631405669809</v>
      </c>
      <c r="AJ179">
        <v>166381.93915357921</v>
      </c>
    </row>
    <row r="180" spans="1:36" x14ac:dyDescent="0.25">
      <c r="A180">
        <v>35</v>
      </c>
      <c r="C180" t="s">
        <v>36</v>
      </c>
      <c r="E180" t="s">
        <v>37</v>
      </c>
      <c r="F180" t="s">
        <v>38</v>
      </c>
      <c r="G180" s="2">
        <v>45838</v>
      </c>
      <c r="I180" t="s">
        <v>39</v>
      </c>
      <c r="J180" t="s">
        <v>40</v>
      </c>
      <c r="K180" t="s">
        <v>41</v>
      </c>
      <c r="L180" t="s">
        <v>42</v>
      </c>
      <c r="M180" t="s">
        <v>36</v>
      </c>
      <c r="N180" t="s">
        <v>43</v>
      </c>
      <c r="O180" t="s">
        <v>58</v>
      </c>
      <c r="P180" t="s">
        <v>59</v>
      </c>
      <c r="Q180">
        <v>19.820299006261529</v>
      </c>
      <c r="R180" t="s">
        <v>73</v>
      </c>
      <c r="S180" t="s">
        <v>74</v>
      </c>
      <c r="V180" t="s">
        <v>76</v>
      </c>
      <c r="AB180" t="s">
        <v>51</v>
      </c>
      <c r="AI180">
        <v>1129.5848618688369</v>
      </c>
      <c r="AJ180">
        <v>80210.225167957644</v>
      </c>
    </row>
    <row r="181" spans="1:36" x14ac:dyDescent="0.25">
      <c r="A181">
        <v>40</v>
      </c>
      <c r="C181" t="s">
        <v>36</v>
      </c>
      <c r="E181" t="s">
        <v>37</v>
      </c>
      <c r="F181" t="s">
        <v>38</v>
      </c>
      <c r="G181" s="2">
        <v>45838</v>
      </c>
      <c r="I181" t="s">
        <v>39</v>
      </c>
      <c r="J181" t="s">
        <v>40</v>
      </c>
      <c r="K181" t="s">
        <v>41</v>
      </c>
      <c r="L181" t="s">
        <v>42</v>
      </c>
      <c r="M181" t="s">
        <v>36</v>
      </c>
      <c r="N181" t="s">
        <v>43</v>
      </c>
      <c r="O181" t="s">
        <v>58</v>
      </c>
      <c r="P181" t="s">
        <v>59</v>
      </c>
      <c r="Q181">
        <v>37.628816659501453</v>
      </c>
      <c r="R181" t="s">
        <v>73</v>
      </c>
      <c r="S181" t="s">
        <v>74</v>
      </c>
      <c r="V181" t="s">
        <v>76</v>
      </c>
      <c r="AB181" t="s">
        <v>51</v>
      </c>
      <c r="AI181">
        <v>1577.5332085370489</v>
      </c>
      <c r="AJ181">
        <v>152279.02748131641</v>
      </c>
    </row>
    <row r="182" spans="1:36" x14ac:dyDescent="0.25">
      <c r="A182">
        <v>313</v>
      </c>
      <c r="C182" t="s">
        <v>36</v>
      </c>
      <c r="E182" t="s">
        <v>37</v>
      </c>
      <c r="G182" s="2">
        <v>45838</v>
      </c>
      <c r="I182" t="s">
        <v>72</v>
      </c>
      <c r="J182" t="s">
        <v>40</v>
      </c>
      <c r="K182" t="s">
        <v>41</v>
      </c>
      <c r="L182" t="s">
        <v>42</v>
      </c>
      <c r="M182" t="s">
        <v>36</v>
      </c>
      <c r="O182" t="s">
        <v>146</v>
      </c>
      <c r="P182" t="s">
        <v>147</v>
      </c>
      <c r="Q182">
        <v>3.2092275681919483E-2</v>
      </c>
      <c r="R182" t="s">
        <v>73</v>
      </c>
      <c r="S182" t="s">
        <v>74</v>
      </c>
      <c r="V182" t="s">
        <v>46</v>
      </c>
      <c r="AB182" t="s">
        <v>51</v>
      </c>
      <c r="AI182">
        <v>46.626502732816427</v>
      </c>
      <c r="AJ182">
        <v>129.87335144569349</v>
      </c>
    </row>
    <row r="183" spans="1:36" x14ac:dyDescent="0.25">
      <c r="A183">
        <v>11</v>
      </c>
      <c r="C183" t="s">
        <v>36</v>
      </c>
      <c r="E183" t="s">
        <v>37</v>
      </c>
      <c r="F183" t="s">
        <v>38</v>
      </c>
      <c r="G183" s="2">
        <v>45838</v>
      </c>
      <c r="I183" t="s">
        <v>39</v>
      </c>
      <c r="J183" t="s">
        <v>40</v>
      </c>
      <c r="K183" t="s">
        <v>41</v>
      </c>
      <c r="L183" t="s">
        <v>42</v>
      </c>
      <c r="M183" t="s">
        <v>36</v>
      </c>
      <c r="N183" t="s">
        <v>43</v>
      </c>
      <c r="O183" t="s">
        <v>62</v>
      </c>
      <c r="P183" t="s">
        <v>63</v>
      </c>
      <c r="Q183">
        <v>2.0792022854548802</v>
      </c>
      <c r="R183" t="s">
        <v>64</v>
      </c>
      <c r="S183" t="s">
        <v>65</v>
      </c>
      <c r="V183" t="s">
        <v>60</v>
      </c>
      <c r="Y183" t="s">
        <v>48</v>
      </c>
      <c r="Z183" t="s">
        <v>49</v>
      </c>
      <c r="AA183" t="s">
        <v>61</v>
      </c>
      <c r="AB183" t="s">
        <v>51</v>
      </c>
      <c r="AI183">
        <v>645.02957166470139</v>
      </c>
      <c r="AJ183">
        <v>8414.2667793953005</v>
      </c>
    </row>
    <row r="184" spans="1:36" x14ac:dyDescent="0.25">
      <c r="A184">
        <v>15</v>
      </c>
      <c r="C184" t="s">
        <v>36</v>
      </c>
      <c r="E184" t="s">
        <v>37</v>
      </c>
      <c r="F184" t="s">
        <v>38</v>
      </c>
      <c r="G184" s="2">
        <v>45838</v>
      </c>
      <c r="I184" t="s">
        <v>39</v>
      </c>
      <c r="J184" t="s">
        <v>40</v>
      </c>
      <c r="K184" t="s">
        <v>41</v>
      </c>
      <c r="L184" t="s">
        <v>42</v>
      </c>
      <c r="M184" t="s">
        <v>36</v>
      </c>
      <c r="N184" t="s">
        <v>43</v>
      </c>
      <c r="O184" t="s">
        <v>62</v>
      </c>
      <c r="P184" t="s">
        <v>63</v>
      </c>
      <c r="Q184">
        <v>32.813983219516317</v>
      </c>
      <c r="R184" t="s">
        <v>64</v>
      </c>
      <c r="S184" t="s">
        <v>65</v>
      </c>
      <c r="V184" t="s">
        <v>64</v>
      </c>
      <c r="Y184" t="s">
        <v>48</v>
      </c>
      <c r="Z184" t="s">
        <v>69</v>
      </c>
      <c r="AA184" t="s">
        <v>70</v>
      </c>
      <c r="AB184" t="s">
        <v>51</v>
      </c>
      <c r="AI184">
        <v>1452.20018147107</v>
      </c>
      <c r="AJ184">
        <v>132794.00991193391</v>
      </c>
    </row>
    <row r="185" spans="1:36" x14ac:dyDescent="0.25">
      <c r="A185">
        <v>17</v>
      </c>
      <c r="C185" t="s">
        <v>36</v>
      </c>
      <c r="E185" t="s">
        <v>37</v>
      </c>
      <c r="F185" t="s">
        <v>38</v>
      </c>
      <c r="G185" s="2">
        <v>45838</v>
      </c>
      <c r="I185" t="s">
        <v>72</v>
      </c>
      <c r="J185" t="s">
        <v>40</v>
      </c>
      <c r="K185" t="s">
        <v>41</v>
      </c>
      <c r="L185" t="s">
        <v>42</v>
      </c>
      <c r="M185" t="s">
        <v>36</v>
      </c>
      <c r="O185" t="s">
        <v>62</v>
      </c>
      <c r="P185" t="s">
        <v>63</v>
      </c>
      <c r="Q185">
        <v>22.651039136911031</v>
      </c>
      <c r="R185" t="s">
        <v>64</v>
      </c>
      <c r="S185" t="s">
        <v>65</v>
      </c>
      <c r="V185" t="s">
        <v>64</v>
      </c>
      <c r="Y185" t="s">
        <v>48</v>
      </c>
      <c r="Z185" t="s">
        <v>69</v>
      </c>
      <c r="AA185" t="s">
        <v>70</v>
      </c>
      <c r="AB185" t="s">
        <v>51</v>
      </c>
      <c r="AI185">
        <v>1239.261680377439</v>
      </c>
      <c r="AJ185">
        <v>91665.869868354945</v>
      </c>
    </row>
    <row r="186" spans="1:36" x14ac:dyDescent="0.25">
      <c r="A186">
        <v>18</v>
      </c>
      <c r="C186" t="s">
        <v>36</v>
      </c>
      <c r="E186" t="s">
        <v>37</v>
      </c>
      <c r="F186" t="s">
        <v>38</v>
      </c>
      <c r="G186" s="2">
        <v>45838</v>
      </c>
      <c r="I186" t="s">
        <v>39</v>
      </c>
      <c r="J186" t="s">
        <v>40</v>
      </c>
      <c r="K186" t="s">
        <v>41</v>
      </c>
      <c r="L186" t="s">
        <v>42</v>
      </c>
      <c r="M186" t="s">
        <v>36</v>
      </c>
      <c r="N186" t="s">
        <v>43</v>
      </c>
      <c r="O186" t="s">
        <v>62</v>
      </c>
      <c r="P186" t="s">
        <v>63</v>
      </c>
      <c r="Q186">
        <v>37.33416628890113</v>
      </c>
      <c r="R186" t="s">
        <v>64</v>
      </c>
      <c r="S186" t="s">
        <v>65</v>
      </c>
      <c r="V186" t="s">
        <v>64</v>
      </c>
      <c r="Y186" t="s">
        <v>48</v>
      </c>
      <c r="Z186" t="s">
        <v>69</v>
      </c>
      <c r="AA186" t="s">
        <v>70</v>
      </c>
      <c r="AB186" t="s">
        <v>51</v>
      </c>
      <c r="AI186">
        <v>1623.215799566575</v>
      </c>
      <c r="AJ186">
        <v>151086.61496704459</v>
      </c>
    </row>
    <row r="187" spans="1:36" x14ac:dyDescent="0.25">
      <c r="A187">
        <v>19</v>
      </c>
      <c r="C187" t="s">
        <v>36</v>
      </c>
      <c r="E187" t="s">
        <v>37</v>
      </c>
      <c r="F187" t="s">
        <v>38</v>
      </c>
      <c r="G187" s="2">
        <v>45838</v>
      </c>
      <c r="I187" t="s">
        <v>39</v>
      </c>
      <c r="J187" t="s">
        <v>40</v>
      </c>
      <c r="K187" t="s">
        <v>41</v>
      </c>
      <c r="L187" t="s">
        <v>42</v>
      </c>
      <c r="M187" t="s">
        <v>36</v>
      </c>
      <c r="N187" t="s">
        <v>43</v>
      </c>
      <c r="O187" t="s">
        <v>62</v>
      </c>
      <c r="P187" t="s">
        <v>63</v>
      </c>
      <c r="Q187">
        <v>11.889706437499489</v>
      </c>
      <c r="R187" t="s">
        <v>64</v>
      </c>
      <c r="S187" t="s">
        <v>65</v>
      </c>
      <c r="V187" t="s">
        <v>64</v>
      </c>
      <c r="Y187" t="s">
        <v>48</v>
      </c>
      <c r="Z187" t="s">
        <v>69</v>
      </c>
      <c r="AA187" t="s">
        <v>70</v>
      </c>
      <c r="AB187" t="s">
        <v>51</v>
      </c>
      <c r="AI187">
        <v>977.90082598802883</v>
      </c>
      <c r="AJ187">
        <v>48116.127321362241</v>
      </c>
    </row>
    <row r="188" spans="1:36" x14ac:dyDescent="0.25">
      <c r="A188">
        <v>20</v>
      </c>
      <c r="C188" t="s">
        <v>36</v>
      </c>
      <c r="E188" t="s">
        <v>37</v>
      </c>
      <c r="F188" t="s">
        <v>38</v>
      </c>
      <c r="G188" s="2">
        <v>45838</v>
      </c>
      <c r="I188" t="s">
        <v>39</v>
      </c>
      <c r="J188" t="s">
        <v>40</v>
      </c>
      <c r="K188" t="s">
        <v>41</v>
      </c>
      <c r="L188" t="s">
        <v>42</v>
      </c>
      <c r="M188" t="s">
        <v>36</v>
      </c>
      <c r="N188" t="s">
        <v>43</v>
      </c>
      <c r="O188" t="s">
        <v>62</v>
      </c>
      <c r="P188" t="s">
        <v>63</v>
      </c>
      <c r="Q188">
        <v>15.94317594344585</v>
      </c>
      <c r="R188" t="s">
        <v>64</v>
      </c>
      <c r="S188" t="s">
        <v>65</v>
      </c>
      <c r="V188" t="s">
        <v>64</v>
      </c>
      <c r="AB188" t="s">
        <v>51</v>
      </c>
      <c r="AI188">
        <v>1228.524896071315</v>
      </c>
      <c r="AJ188">
        <v>64520.002039937113</v>
      </c>
    </row>
    <row r="189" spans="1:36" x14ac:dyDescent="0.25">
      <c r="A189">
        <v>21</v>
      </c>
      <c r="C189" t="s">
        <v>36</v>
      </c>
      <c r="E189" t="s">
        <v>37</v>
      </c>
      <c r="F189" t="s">
        <v>38</v>
      </c>
      <c r="G189" s="2">
        <v>45838</v>
      </c>
      <c r="I189" t="s">
        <v>39</v>
      </c>
      <c r="J189" t="s">
        <v>40</v>
      </c>
      <c r="K189" t="s">
        <v>41</v>
      </c>
      <c r="L189" t="s">
        <v>42</v>
      </c>
      <c r="M189" t="s">
        <v>36</v>
      </c>
      <c r="N189" t="s">
        <v>43</v>
      </c>
      <c r="O189" t="s">
        <v>62</v>
      </c>
      <c r="P189" t="s">
        <v>63</v>
      </c>
      <c r="Q189">
        <v>10.14972712004195</v>
      </c>
      <c r="R189" t="s">
        <v>64</v>
      </c>
      <c r="S189" t="s">
        <v>65</v>
      </c>
      <c r="V189" t="s">
        <v>60</v>
      </c>
      <c r="Y189" t="s">
        <v>48</v>
      </c>
      <c r="Z189" t="s">
        <v>49</v>
      </c>
      <c r="AA189" t="s">
        <v>61</v>
      </c>
      <c r="AB189" t="s">
        <v>51</v>
      </c>
      <c r="AI189">
        <v>948.35649549506184</v>
      </c>
      <c r="AJ189">
        <v>41074.652679795647</v>
      </c>
    </row>
    <row r="190" spans="1:36" x14ac:dyDescent="0.25">
      <c r="A190">
        <v>22</v>
      </c>
      <c r="C190" t="s">
        <v>36</v>
      </c>
      <c r="E190" t="s">
        <v>37</v>
      </c>
      <c r="F190" t="s">
        <v>38</v>
      </c>
      <c r="G190" s="2">
        <v>45838</v>
      </c>
      <c r="I190" t="s">
        <v>72</v>
      </c>
      <c r="J190" t="s">
        <v>40</v>
      </c>
      <c r="K190" t="s">
        <v>41</v>
      </c>
      <c r="L190" t="s">
        <v>42</v>
      </c>
      <c r="M190" t="s">
        <v>36</v>
      </c>
      <c r="O190" t="s">
        <v>62</v>
      </c>
      <c r="P190" t="s">
        <v>63</v>
      </c>
      <c r="Q190">
        <v>8.4362912885006089</v>
      </c>
      <c r="R190" t="s">
        <v>64</v>
      </c>
      <c r="S190" t="s">
        <v>65</v>
      </c>
      <c r="V190" t="s">
        <v>64</v>
      </c>
      <c r="AB190" t="s">
        <v>51</v>
      </c>
      <c r="AI190">
        <v>742.0606193665709</v>
      </c>
      <c r="AJ190">
        <v>34140.596144353884</v>
      </c>
    </row>
    <row r="191" spans="1:36" x14ac:dyDescent="0.25">
      <c r="A191">
        <v>23</v>
      </c>
      <c r="C191" t="s">
        <v>36</v>
      </c>
      <c r="E191" t="s">
        <v>37</v>
      </c>
      <c r="F191" t="s">
        <v>38</v>
      </c>
      <c r="G191" s="2">
        <v>45838</v>
      </c>
      <c r="I191" t="s">
        <v>72</v>
      </c>
      <c r="J191" t="s">
        <v>40</v>
      </c>
      <c r="K191" t="s">
        <v>41</v>
      </c>
      <c r="L191" t="s">
        <v>42</v>
      </c>
      <c r="M191" t="s">
        <v>36</v>
      </c>
      <c r="O191" t="s">
        <v>62</v>
      </c>
      <c r="P191" t="s">
        <v>63</v>
      </c>
      <c r="Q191">
        <v>10.96826097424252</v>
      </c>
      <c r="R191" t="s">
        <v>64</v>
      </c>
      <c r="S191" t="s">
        <v>65</v>
      </c>
      <c r="V191" t="s">
        <v>64</v>
      </c>
      <c r="AB191" t="s">
        <v>51</v>
      </c>
      <c r="AI191">
        <v>843.54127273170377</v>
      </c>
      <c r="AJ191">
        <v>44387.154914614737</v>
      </c>
    </row>
    <row r="192" spans="1:36" x14ac:dyDescent="0.25">
      <c r="A192">
        <v>27</v>
      </c>
      <c r="C192" t="s">
        <v>36</v>
      </c>
      <c r="E192" t="s">
        <v>37</v>
      </c>
      <c r="F192" t="s">
        <v>38</v>
      </c>
      <c r="G192" s="2">
        <v>45838</v>
      </c>
      <c r="I192" t="s">
        <v>39</v>
      </c>
      <c r="J192" t="s">
        <v>40</v>
      </c>
      <c r="K192" t="s">
        <v>41</v>
      </c>
      <c r="L192" t="s">
        <v>42</v>
      </c>
      <c r="M192" t="s">
        <v>36</v>
      </c>
      <c r="N192" t="s">
        <v>43</v>
      </c>
      <c r="O192" t="s">
        <v>62</v>
      </c>
      <c r="P192" t="s">
        <v>63</v>
      </c>
      <c r="Q192">
        <v>3.2982797014337621</v>
      </c>
      <c r="R192" t="s">
        <v>64</v>
      </c>
      <c r="S192" t="s">
        <v>65</v>
      </c>
      <c r="V192" t="s">
        <v>64</v>
      </c>
      <c r="AB192" t="s">
        <v>51</v>
      </c>
      <c r="AI192">
        <v>537.29956263357667</v>
      </c>
      <c r="AJ192">
        <v>13347.717783436519</v>
      </c>
    </row>
    <row r="193" spans="1:36" x14ac:dyDescent="0.25">
      <c r="A193">
        <v>31</v>
      </c>
      <c r="C193" t="s">
        <v>36</v>
      </c>
      <c r="E193" t="s">
        <v>37</v>
      </c>
      <c r="F193" t="s">
        <v>38</v>
      </c>
      <c r="G193" s="2">
        <v>45838</v>
      </c>
      <c r="I193" t="s">
        <v>39</v>
      </c>
      <c r="J193" t="s">
        <v>40</v>
      </c>
      <c r="K193" t="s">
        <v>41</v>
      </c>
      <c r="L193" t="s">
        <v>42</v>
      </c>
      <c r="M193" t="s">
        <v>36</v>
      </c>
      <c r="N193" t="s">
        <v>43</v>
      </c>
      <c r="O193" t="s">
        <v>62</v>
      </c>
      <c r="P193" t="s">
        <v>63</v>
      </c>
      <c r="Q193">
        <v>2.7611367732186092</v>
      </c>
      <c r="R193" t="s">
        <v>64</v>
      </c>
      <c r="S193" t="s">
        <v>65</v>
      </c>
      <c r="V193" t="s">
        <v>75</v>
      </c>
      <c r="AB193" t="s">
        <v>51</v>
      </c>
      <c r="AI193">
        <v>448.95324944089242</v>
      </c>
      <c r="AJ193">
        <v>11173.968779654961</v>
      </c>
    </row>
    <row r="194" spans="1:36" x14ac:dyDescent="0.25">
      <c r="A194">
        <v>56</v>
      </c>
      <c r="C194" t="s">
        <v>36</v>
      </c>
      <c r="E194" t="s">
        <v>37</v>
      </c>
      <c r="F194" t="s">
        <v>38</v>
      </c>
      <c r="G194" s="2">
        <v>45839</v>
      </c>
      <c r="I194" t="s">
        <v>39</v>
      </c>
      <c r="J194" t="s">
        <v>40</v>
      </c>
      <c r="K194" t="s">
        <v>41</v>
      </c>
      <c r="L194" t="s">
        <v>42</v>
      </c>
      <c r="M194" t="s">
        <v>36</v>
      </c>
      <c r="N194" t="s">
        <v>43</v>
      </c>
      <c r="O194" t="s">
        <v>62</v>
      </c>
      <c r="P194" t="s">
        <v>63</v>
      </c>
      <c r="Q194">
        <v>9.2008418755634693</v>
      </c>
      <c r="R194" t="s">
        <v>64</v>
      </c>
      <c r="S194" t="s">
        <v>65</v>
      </c>
      <c r="V194" t="s">
        <v>86</v>
      </c>
      <c r="AB194" t="s">
        <v>51</v>
      </c>
      <c r="AC194" t="s">
        <v>89</v>
      </c>
      <c r="AI194">
        <v>777.07566879517753</v>
      </c>
      <c r="AJ194">
        <v>37234.634974001841</v>
      </c>
    </row>
    <row r="195" spans="1:36" x14ac:dyDescent="0.25">
      <c r="A195">
        <v>57</v>
      </c>
      <c r="B195" t="s">
        <v>90</v>
      </c>
      <c r="C195" t="s">
        <v>36</v>
      </c>
      <c r="E195" t="s">
        <v>37</v>
      </c>
      <c r="F195" t="s">
        <v>38</v>
      </c>
      <c r="G195" s="2">
        <v>45839</v>
      </c>
      <c r="H195">
        <v>0</v>
      </c>
      <c r="I195" t="s">
        <v>39</v>
      </c>
      <c r="J195" t="s">
        <v>40</v>
      </c>
      <c r="K195" t="s">
        <v>41</v>
      </c>
      <c r="L195" t="s">
        <v>91</v>
      </c>
      <c r="M195" t="s">
        <v>36</v>
      </c>
      <c r="N195" t="s">
        <v>43</v>
      </c>
      <c r="O195" t="s">
        <v>62</v>
      </c>
      <c r="P195" t="s">
        <v>63</v>
      </c>
      <c r="Q195">
        <v>2.5715751099511919</v>
      </c>
      <c r="R195" t="s">
        <v>64</v>
      </c>
      <c r="S195" t="s">
        <v>65</v>
      </c>
      <c r="V195" t="s">
        <v>86</v>
      </c>
      <c r="AB195" t="s">
        <v>51</v>
      </c>
      <c r="AC195" t="s">
        <v>92</v>
      </c>
      <c r="AD195" t="s">
        <v>93</v>
      </c>
      <c r="AI195">
        <v>408.10542340511262</v>
      </c>
      <c r="AJ195">
        <v>10406.83687669585</v>
      </c>
    </row>
    <row r="196" spans="1:36" x14ac:dyDescent="0.25">
      <c r="A196">
        <v>60</v>
      </c>
      <c r="B196" t="s">
        <v>101</v>
      </c>
      <c r="C196" t="s">
        <v>36</v>
      </c>
      <c r="E196" t="s">
        <v>37</v>
      </c>
      <c r="F196" t="s">
        <v>38</v>
      </c>
      <c r="G196" s="2">
        <v>45839</v>
      </c>
      <c r="H196">
        <v>0</v>
      </c>
      <c r="I196" t="s">
        <v>39</v>
      </c>
      <c r="J196" t="s">
        <v>40</v>
      </c>
      <c r="K196" t="s">
        <v>41</v>
      </c>
      <c r="L196" t="s">
        <v>91</v>
      </c>
      <c r="M196" t="s">
        <v>36</v>
      </c>
      <c r="N196" t="s">
        <v>95</v>
      </c>
      <c r="O196" t="s">
        <v>62</v>
      </c>
      <c r="P196" t="s">
        <v>63</v>
      </c>
      <c r="Q196">
        <v>0.1029087794293831</v>
      </c>
      <c r="R196" t="s">
        <v>64</v>
      </c>
      <c r="S196" t="s">
        <v>65</v>
      </c>
      <c r="V196" t="s">
        <v>86</v>
      </c>
      <c r="AB196" t="s">
        <v>51</v>
      </c>
      <c r="AD196" t="s">
        <v>93</v>
      </c>
      <c r="AI196">
        <v>133.7221798975182</v>
      </c>
      <c r="AJ196">
        <v>416.4587207883614</v>
      </c>
    </row>
    <row r="197" spans="1:36" x14ac:dyDescent="0.25">
      <c r="A197">
        <v>61</v>
      </c>
      <c r="B197" t="s">
        <v>101</v>
      </c>
      <c r="C197" t="s">
        <v>36</v>
      </c>
      <c r="E197" t="s">
        <v>37</v>
      </c>
      <c r="F197" t="s">
        <v>38</v>
      </c>
      <c r="G197" s="2">
        <v>45839</v>
      </c>
      <c r="H197">
        <v>0</v>
      </c>
      <c r="I197" t="s">
        <v>39</v>
      </c>
      <c r="J197" t="s">
        <v>40</v>
      </c>
      <c r="K197" t="s">
        <v>41</v>
      </c>
      <c r="L197" t="s">
        <v>91</v>
      </c>
      <c r="M197" t="s">
        <v>36</v>
      </c>
      <c r="N197" t="s">
        <v>95</v>
      </c>
      <c r="O197" t="s">
        <v>62</v>
      </c>
      <c r="P197" t="s">
        <v>63</v>
      </c>
      <c r="Q197">
        <v>0.77526742651559821</v>
      </c>
      <c r="R197" t="s">
        <v>64</v>
      </c>
      <c r="S197" t="s">
        <v>65</v>
      </c>
      <c r="V197" t="s">
        <v>86</v>
      </c>
      <c r="AB197" t="s">
        <v>51</v>
      </c>
      <c r="AD197" t="s">
        <v>93</v>
      </c>
      <c r="AI197">
        <v>224.52032589474479</v>
      </c>
      <c r="AJ197">
        <v>3137.4085136936742</v>
      </c>
    </row>
    <row r="198" spans="1:36" x14ac:dyDescent="0.25">
      <c r="A198">
        <v>62</v>
      </c>
      <c r="B198" t="s">
        <v>102</v>
      </c>
      <c r="C198" t="s">
        <v>36</v>
      </c>
      <c r="E198" t="s">
        <v>37</v>
      </c>
      <c r="F198" t="s">
        <v>38</v>
      </c>
      <c r="G198" s="2">
        <v>45839</v>
      </c>
      <c r="H198">
        <v>0</v>
      </c>
      <c r="I198" t="s">
        <v>39</v>
      </c>
      <c r="J198" t="s">
        <v>40</v>
      </c>
      <c r="K198" t="s">
        <v>41</v>
      </c>
      <c r="L198" t="s">
        <v>91</v>
      </c>
      <c r="M198" t="s">
        <v>36</v>
      </c>
      <c r="N198" t="s">
        <v>95</v>
      </c>
      <c r="O198" t="s">
        <v>62</v>
      </c>
      <c r="P198" t="s">
        <v>63</v>
      </c>
      <c r="Q198">
        <v>1.100806322863759</v>
      </c>
      <c r="R198" t="s">
        <v>64</v>
      </c>
      <c r="S198" t="s">
        <v>65</v>
      </c>
      <c r="V198" t="s">
        <v>86</v>
      </c>
      <c r="AB198" t="s">
        <v>51</v>
      </c>
      <c r="AD198" t="s">
        <v>93</v>
      </c>
      <c r="AI198">
        <v>268.94077984898911</v>
      </c>
      <c r="AJ198">
        <v>4454.822956773739</v>
      </c>
    </row>
    <row r="199" spans="1:36" x14ac:dyDescent="0.25">
      <c r="A199">
        <v>65</v>
      </c>
      <c r="B199" t="s">
        <v>105</v>
      </c>
      <c r="C199" t="s">
        <v>36</v>
      </c>
      <c r="E199" t="s">
        <v>37</v>
      </c>
      <c r="F199" t="s">
        <v>38</v>
      </c>
      <c r="G199" s="2">
        <v>45839</v>
      </c>
      <c r="H199">
        <v>0</v>
      </c>
      <c r="I199" t="s">
        <v>39</v>
      </c>
      <c r="J199" t="s">
        <v>40</v>
      </c>
      <c r="K199" t="s">
        <v>41</v>
      </c>
      <c r="L199" t="s">
        <v>91</v>
      </c>
      <c r="M199" t="s">
        <v>36</v>
      </c>
      <c r="N199" t="s">
        <v>95</v>
      </c>
      <c r="O199" t="s">
        <v>62</v>
      </c>
      <c r="P199" t="s">
        <v>63</v>
      </c>
      <c r="Q199">
        <v>1.1057177961178739</v>
      </c>
      <c r="R199" t="s">
        <v>64</v>
      </c>
      <c r="S199" t="s">
        <v>65</v>
      </c>
      <c r="V199" t="s">
        <v>86</v>
      </c>
      <c r="AB199" t="s">
        <v>51</v>
      </c>
      <c r="AD199" t="s">
        <v>93</v>
      </c>
      <c r="AI199">
        <v>269.58310539782258</v>
      </c>
      <c r="AJ199">
        <v>4474.6990633599462</v>
      </c>
    </row>
    <row r="200" spans="1:36" s="21" customFormat="1" x14ac:dyDescent="0.25">
      <c r="A200">
        <v>68</v>
      </c>
      <c r="B200" t="s">
        <v>107</v>
      </c>
      <c r="C200" t="s">
        <v>36</v>
      </c>
      <c r="D200"/>
      <c r="E200" t="s">
        <v>37</v>
      </c>
      <c r="F200" t="s">
        <v>38</v>
      </c>
      <c r="G200" s="2">
        <v>45839</v>
      </c>
      <c r="H200">
        <v>0</v>
      </c>
      <c r="I200" t="s">
        <v>39</v>
      </c>
      <c r="J200" t="s">
        <v>40</v>
      </c>
      <c r="K200" t="s">
        <v>41</v>
      </c>
      <c r="L200" t="s">
        <v>91</v>
      </c>
      <c r="M200" t="s">
        <v>36</v>
      </c>
      <c r="N200" t="s">
        <v>95</v>
      </c>
      <c r="O200" t="s">
        <v>62</v>
      </c>
      <c r="P200" t="s">
        <v>63</v>
      </c>
      <c r="Q200">
        <v>2.1729037307057522</v>
      </c>
      <c r="R200" t="s">
        <v>64</v>
      </c>
      <c r="S200" t="s">
        <v>65</v>
      </c>
      <c r="T200"/>
      <c r="U200"/>
      <c r="V200" t="s">
        <v>86</v>
      </c>
      <c r="W200"/>
      <c r="X200"/>
      <c r="Y200"/>
      <c r="Z200"/>
      <c r="AA200"/>
      <c r="AB200" t="s">
        <v>51</v>
      </c>
      <c r="AC200"/>
      <c r="AD200" t="s">
        <v>93</v>
      </c>
      <c r="AE200"/>
      <c r="AF200"/>
      <c r="AG200"/>
      <c r="AH200"/>
      <c r="AI200">
        <v>385.93108600028091</v>
      </c>
      <c r="AJ200">
        <v>8793.464591686683</v>
      </c>
    </row>
    <row r="201" spans="1:36" x14ac:dyDescent="0.25">
      <c r="A201">
        <v>69</v>
      </c>
      <c r="B201" t="s">
        <v>108</v>
      </c>
      <c r="C201" t="s">
        <v>36</v>
      </c>
      <c r="E201" t="s">
        <v>37</v>
      </c>
      <c r="F201" t="s">
        <v>38</v>
      </c>
      <c r="G201" s="2">
        <v>45839</v>
      </c>
      <c r="H201">
        <v>0</v>
      </c>
      <c r="I201" t="s">
        <v>39</v>
      </c>
      <c r="J201" t="s">
        <v>40</v>
      </c>
      <c r="K201" t="s">
        <v>41</v>
      </c>
      <c r="L201" t="s">
        <v>91</v>
      </c>
      <c r="M201" t="s">
        <v>36</v>
      </c>
      <c r="N201" t="s">
        <v>95</v>
      </c>
      <c r="O201" t="s">
        <v>62</v>
      </c>
      <c r="P201" t="s">
        <v>63</v>
      </c>
      <c r="Q201">
        <v>0.67846442966943288</v>
      </c>
      <c r="R201" t="s">
        <v>64</v>
      </c>
      <c r="S201" t="s">
        <v>65</v>
      </c>
      <c r="V201" t="s">
        <v>86</v>
      </c>
      <c r="AB201" t="s">
        <v>51</v>
      </c>
      <c r="AD201" t="s">
        <v>93</v>
      </c>
      <c r="AI201">
        <v>268.71333815512992</v>
      </c>
      <c r="AJ201">
        <v>2745.659117203184</v>
      </c>
    </row>
    <row r="202" spans="1:36" x14ac:dyDescent="0.25">
      <c r="A202">
        <v>70</v>
      </c>
      <c r="B202" t="s">
        <v>109</v>
      </c>
      <c r="C202" t="s">
        <v>36</v>
      </c>
      <c r="E202" t="s">
        <v>37</v>
      </c>
      <c r="F202" t="s">
        <v>38</v>
      </c>
      <c r="G202" s="2">
        <v>45839</v>
      </c>
      <c r="H202">
        <v>0</v>
      </c>
      <c r="I202" t="s">
        <v>39</v>
      </c>
      <c r="J202" t="s">
        <v>40</v>
      </c>
      <c r="K202" t="s">
        <v>41</v>
      </c>
      <c r="L202" t="s">
        <v>91</v>
      </c>
      <c r="M202" t="s">
        <v>36</v>
      </c>
      <c r="N202" t="s">
        <v>95</v>
      </c>
      <c r="O202" t="s">
        <v>62</v>
      </c>
      <c r="P202" t="s">
        <v>63</v>
      </c>
      <c r="Q202">
        <v>0.28330329552746247</v>
      </c>
      <c r="R202" t="s">
        <v>64</v>
      </c>
      <c r="S202" t="s">
        <v>65</v>
      </c>
      <c r="V202" t="s">
        <v>86</v>
      </c>
      <c r="AB202" t="s">
        <v>51</v>
      </c>
      <c r="AD202" t="s">
        <v>93</v>
      </c>
      <c r="AI202">
        <v>155.89815646869431</v>
      </c>
      <c r="AJ202">
        <v>1146.4923469571991</v>
      </c>
    </row>
    <row r="203" spans="1:36" x14ac:dyDescent="0.25">
      <c r="A203">
        <v>71</v>
      </c>
      <c r="B203" t="s">
        <v>109</v>
      </c>
      <c r="C203" t="s">
        <v>36</v>
      </c>
      <c r="E203" t="s">
        <v>37</v>
      </c>
      <c r="F203" t="s">
        <v>38</v>
      </c>
      <c r="G203" s="2">
        <v>45839</v>
      </c>
      <c r="H203">
        <v>0</v>
      </c>
      <c r="I203" t="s">
        <v>39</v>
      </c>
      <c r="J203" t="s">
        <v>40</v>
      </c>
      <c r="K203" t="s">
        <v>41</v>
      </c>
      <c r="L203" t="s">
        <v>91</v>
      </c>
      <c r="M203" t="s">
        <v>36</v>
      </c>
      <c r="N203" t="s">
        <v>95</v>
      </c>
      <c r="O203" t="s">
        <v>62</v>
      </c>
      <c r="P203" t="s">
        <v>63</v>
      </c>
      <c r="Q203">
        <v>0.78661830698135771</v>
      </c>
      <c r="R203" t="s">
        <v>64</v>
      </c>
      <c r="S203" t="s">
        <v>65</v>
      </c>
      <c r="V203" t="s">
        <v>86</v>
      </c>
      <c r="AB203" t="s">
        <v>51</v>
      </c>
      <c r="AD203" t="s">
        <v>93</v>
      </c>
      <c r="AI203">
        <v>226.0856414773904</v>
      </c>
      <c r="AJ203">
        <v>3183.3440809485119</v>
      </c>
    </row>
    <row r="204" spans="1:36" x14ac:dyDescent="0.25">
      <c r="A204">
        <v>78</v>
      </c>
      <c r="B204" t="s">
        <v>109</v>
      </c>
      <c r="C204" t="s">
        <v>36</v>
      </c>
      <c r="E204" t="s">
        <v>37</v>
      </c>
      <c r="F204" t="s">
        <v>38</v>
      </c>
      <c r="G204" s="2">
        <v>45839</v>
      </c>
      <c r="H204">
        <v>0</v>
      </c>
      <c r="I204" t="s">
        <v>39</v>
      </c>
      <c r="J204" t="s">
        <v>40</v>
      </c>
      <c r="K204" t="s">
        <v>41</v>
      </c>
      <c r="L204" t="s">
        <v>91</v>
      </c>
      <c r="M204" t="s">
        <v>36</v>
      </c>
      <c r="N204" t="s">
        <v>95</v>
      </c>
      <c r="O204" t="s">
        <v>62</v>
      </c>
      <c r="P204" t="s">
        <v>63</v>
      </c>
      <c r="Q204">
        <v>0.28203551073289213</v>
      </c>
      <c r="R204" t="s">
        <v>64</v>
      </c>
      <c r="S204" t="s">
        <v>65</v>
      </c>
      <c r="V204" t="s">
        <v>86</v>
      </c>
      <c r="AB204" t="s">
        <v>51</v>
      </c>
      <c r="AD204" t="s">
        <v>93</v>
      </c>
      <c r="AI204">
        <v>153.11416807364091</v>
      </c>
      <c r="AJ204">
        <v>1141.361783396836</v>
      </c>
    </row>
    <row r="205" spans="1:36" x14ac:dyDescent="0.25">
      <c r="A205">
        <v>79</v>
      </c>
      <c r="B205" t="s">
        <v>109</v>
      </c>
      <c r="C205" t="s">
        <v>36</v>
      </c>
      <c r="E205" t="s">
        <v>37</v>
      </c>
      <c r="F205" t="s">
        <v>38</v>
      </c>
      <c r="G205" s="2">
        <v>45839</v>
      </c>
      <c r="H205">
        <v>0</v>
      </c>
      <c r="I205" t="s">
        <v>39</v>
      </c>
      <c r="J205" t="s">
        <v>40</v>
      </c>
      <c r="K205" t="s">
        <v>41</v>
      </c>
      <c r="L205" t="s">
        <v>91</v>
      </c>
      <c r="M205" t="s">
        <v>36</v>
      </c>
      <c r="N205" t="s">
        <v>95</v>
      </c>
      <c r="O205" t="s">
        <v>62</v>
      </c>
      <c r="P205" t="s">
        <v>63</v>
      </c>
      <c r="Q205">
        <v>0.74692053799143021</v>
      </c>
      <c r="R205" t="s">
        <v>64</v>
      </c>
      <c r="S205" t="s">
        <v>65</v>
      </c>
      <c r="V205" t="s">
        <v>86</v>
      </c>
      <c r="AB205" t="s">
        <v>51</v>
      </c>
      <c r="AD205" t="s">
        <v>93</v>
      </c>
      <c r="AI205">
        <v>220.05205788813589</v>
      </c>
      <c r="AJ205">
        <v>3022.69226695006</v>
      </c>
    </row>
    <row r="206" spans="1:36" x14ac:dyDescent="0.25">
      <c r="A206">
        <v>80</v>
      </c>
      <c r="B206" t="s">
        <v>109</v>
      </c>
      <c r="C206" t="s">
        <v>36</v>
      </c>
      <c r="E206" t="s">
        <v>37</v>
      </c>
      <c r="F206" t="s">
        <v>38</v>
      </c>
      <c r="G206" s="2">
        <v>45839</v>
      </c>
      <c r="H206">
        <v>0</v>
      </c>
      <c r="I206" t="s">
        <v>39</v>
      </c>
      <c r="J206" t="s">
        <v>40</v>
      </c>
      <c r="K206" t="s">
        <v>41</v>
      </c>
      <c r="L206" t="s">
        <v>91</v>
      </c>
      <c r="M206" t="s">
        <v>36</v>
      </c>
      <c r="N206" t="s">
        <v>95</v>
      </c>
      <c r="O206" t="s">
        <v>62</v>
      </c>
      <c r="P206" t="s">
        <v>63</v>
      </c>
      <c r="Q206">
        <v>0.41094746849751418</v>
      </c>
      <c r="R206" t="s">
        <v>64</v>
      </c>
      <c r="S206" t="s">
        <v>65</v>
      </c>
      <c r="V206" t="s">
        <v>86</v>
      </c>
      <c r="AB206" t="s">
        <v>51</v>
      </c>
      <c r="AD206" t="s">
        <v>93</v>
      </c>
      <c r="AI206">
        <v>196.1268729796634</v>
      </c>
      <c r="AJ206">
        <v>1663.052054359752</v>
      </c>
    </row>
    <row r="207" spans="1:36" x14ac:dyDescent="0.25">
      <c r="A207">
        <v>81</v>
      </c>
      <c r="B207" t="s">
        <v>101</v>
      </c>
      <c r="C207" t="s">
        <v>36</v>
      </c>
      <c r="E207" t="s">
        <v>37</v>
      </c>
      <c r="F207" t="s">
        <v>38</v>
      </c>
      <c r="G207" s="2">
        <v>45839</v>
      </c>
      <c r="H207">
        <v>0</v>
      </c>
      <c r="I207" t="s">
        <v>39</v>
      </c>
      <c r="J207" t="s">
        <v>40</v>
      </c>
      <c r="K207" t="s">
        <v>41</v>
      </c>
      <c r="L207" t="s">
        <v>91</v>
      </c>
      <c r="M207" t="s">
        <v>36</v>
      </c>
      <c r="N207" t="s">
        <v>95</v>
      </c>
      <c r="O207" t="s">
        <v>62</v>
      </c>
      <c r="P207" t="s">
        <v>63</v>
      </c>
      <c r="Q207">
        <v>8.7673101204266968E-2</v>
      </c>
      <c r="R207" t="s">
        <v>64</v>
      </c>
      <c r="S207" t="s">
        <v>65</v>
      </c>
      <c r="V207" t="s">
        <v>86</v>
      </c>
      <c r="AB207" t="s">
        <v>51</v>
      </c>
      <c r="AD207" t="s">
        <v>93</v>
      </c>
      <c r="AI207">
        <v>127.46137325357481</v>
      </c>
      <c r="AJ207">
        <v>354.80187188628128</v>
      </c>
    </row>
    <row r="208" spans="1:36" x14ac:dyDescent="0.25">
      <c r="A208">
        <v>82</v>
      </c>
      <c r="B208" t="s">
        <v>101</v>
      </c>
      <c r="C208" t="s">
        <v>36</v>
      </c>
      <c r="E208" t="s">
        <v>37</v>
      </c>
      <c r="F208" t="s">
        <v>38</v>
      </c>
      <c r="G208" s="2">
        <v>45839</v>
      </c>
      <c r="H208">
        <v>0</v>
      </c>
      <c r="I208" t="s">
        <v>39</v>
      </c>
      <c r="J208" t="s">
        <v>40</v>
      </c>
      <c r="K208" t="s">
        <v>41</v>
      </c>
      <c r="L208" t="s">
        <v>91</v>
      </c>
      <c r="M208" t="s">
        <v>36</v>
      </c>
      <c r="N208" t="s">
        <v>95</v>
      </c>
      <c r="O208" t="s">
        <v>62</v>
      </c>
      <c r="P208" t="s">
        <v>63</v>
      </c>
      <c r="Q208">
        <v>0.74861680387355645</v>
      </c>
      <c r="R208" t="s">
        <v>64</v>
      </c>
      <c r="S208" t="s">
        <v>65</v>
      </c>
      <c r="V208" t="s">
        <v>86</v>
      </c>
      <c r="AB208" t="s">
        <v>51</v>
      </c>
      <c r="AD208" t="s">
        <v>93</v>
      </c>
      <c r="AI208">
        <v>220.42323023690059</v>
      </c>
      <c r="AJ208">
        <v>3029.5568388874999</v>
      </c>
    </row>
    <row r="209" spans="1:36" x14ac:dyDescent="0.25">
      <c r="A209">
        <v>83</v>
      </c>
      <c r="B209" t="s">
        <v>101</v>
      </c>
      <c r="C209" t="s">
        <v>36</v>
      </c>
      <c r="E209" t="s">
        <v>37</v>
      </c>
      <c r="F209" t="s">
        <v>38</v>
      </c>
      <c r="G209" s="2">
        <v>45839</v>
      </c>
      <c r="H209">
        <v>0</v>
      </c>
      <c r="I209" t="s">
        <v>39</v>
      </c>
      <c r="J209" t="s">
        <v>40</v>
      </c>
      <c r="K209" t="s">
        <v>41</v>
      </c>
      <c r="L209" t="s">
        <v>91</v>
      </c>
      <c r="M209" t="s">
        <v>36</v>
      </c>
      <c r="N209" t="s">
        <v>95</v>
      </c>
      <c r="O209" t="s">
        <v>62</v>
      </c>
      <c r="P209" t="s">
        <v>63</v>
      </c>
      <c r="Q209">
        <v>0.85226753810221711</v>
      </c>
      <c r="R209" t="s">
        <v>64</v>
      </c>
      <c r="S209" t="s">
        <v>65</v>
      </c>
      <c r="V209" t="s">
        <v>86</v>
      </c>
      <c r="AB209" t="s">
        <v>51</v>
      </c>
      <c r="AD209" t="s">
        <v>93</v>
      </c>
      <c r="AI209">
        <v>235.0600202960938</v>
      </c>
      <c r="AJ209">
        <v>3449.018156230823</v>
      </c>
    </row>
    <row r="210" spans="1:36" x14ac:dyDescent="0.25">
      <c r="A210">
        <v>84</v>
      </c>
      <c r="B210" t="s">
        <v>101</v>
      </c>
      <c r="C210" t="s">
        <v>36</v>
      </c>
      <c r="E210" t="s">
        <v>37</v>
      </c>
      <c r="F210" t="s">
        <v>38</v>
      </c>
      <c r="G210" s="2">
        <v>45839</v>
      </c>
      <c r="H210">
        <v>0</v>
      </c>
      <c r="I210" t="s">
        <v>39</v>
      </c>
      <c r="J210" t="s">
        <v>40</v>
      </c>
      <c r="K210" t="s">
        <v>41</v>
      </c>
      <c r="L210" t="s">
        <v>91</v>
      </c>
      <c r="M210" t="s">
        <v>36</v>
      </c>
      <c r="N210" t="s">
        <v>95</v>
      </c>
      <c r="O210" t="s">
        <v>62</v>
      </c>
      <c r="P210" t="s">
        <v>63</v>
      </c>
      <c r="Q210">
        <v>0.79947595222876899</v>
      </c>
      <c r="R210" t="s">
        <v>64</v>
      </c>
      <c r="S210" t="s">
        <v>65</v>
      </c>
      <c r="V210" t="s">
        <v>86</v>
      </c>
      <c r="AB210" t="s">
        <v>51</v>
      </c>
      <c r="AD210" t="s">
        <v>93</v>
      </c>
      <c r="AI210">
        <v>227.5674247500763</v>
      </c>
      <c r="AJ210">
        <v>3235.3773333277409</v>
      </c>
    </row>
    <row r="211" spans="1:36" x14ac:dyDescent="0.25">
      <c r="A211">
        <v>85</v>
      </c>
      <c r="B211" t="s">
        <v>102</v>
      </c>
      <c r="C211" t="s">
        <v>36</v>
      </c>
      <c r="E211" t="s">
        <v>37</v>
      </c>
      <c r="F211" t="s">
        <v>38</v>
      </c>
      <c r="G211" s="2">
        <v>45839</v>
      </c>
      <c r="H211">
        <v>0</v>
      </c>
      <c r="I211" t="s">
        <v>39</v>
      </c>
      <c r="J211" t="s">
        <v>40</v>
      </c>
      <c r="K211" t="s">
        <v>41</v>
      </c>
      <c r="L211" t="s">
        <v>91</v>
      </c>
      <c r="M211" t="s">
        <v>36</v>
      </c>
      <c r="N211" t="s">
        <v>95</v>
      </c>
      <c r="O211" t="s">
        <v>62</v>
      </c>
      <c r="P211" t="s">
        <v>63</v>
      </c>
      <c r="Q211">
        <v>1.110805150171793</v>
      </c>
      <c r="R211" t="s">
        <v>64</v>
      </c>
      <c r="S211" t="s">
        <v>65</v>
      </c>
      <c r="V211" t="s">
        <v>86</v>
      </c>
      <c r="AB211" t="s">
        <v>51</v>
      </c>
      <c r="AD211" t="s">
        <v>93</v>
      </c>
      <c r="AI211">
        <v>269.95015404840058</v>
      </c>
      <c r="AJ211">
        <v>4495.2869371374854</v>
      </c>
    </row>
    <row r="212" spans="1:36" x14ac:dyDescent="0.25">
      <c r="A212">
        <v>90</v>
      </c>
      <c r="B212" t="s">
        <v>103</v>
      </c>
      <c r="C212" t="s">
        <v>36</v>
      </c>
      <c r="E212" t="s">
        <v>37</v>
      </c>
      <c r="F212" t="s">
        <v>38</v>
      </c>
      <c r="G212" s="2">
        <v>45839</v>
      </c>
      <c r="H212">
        <v>0</v>
      </c>
      <c r="I212" t="s">
        <v>39</v>
      </c>
      <c r="J212" t="s">
        <v>40</v>
      </c>
      <c r="K212" t="s">
        <v>41</v>
      </c>
      <c r="L212" t="s">
        <v>91</v>
      </c>
      <c r="M212" t="s">
        <v>36</v>
      </c>
      <c r="N212" t="s">
        <v>95</v>
      </c>
      <c r="O212" t="s">
        <v>62</v>
      </c>
      <c r="P212" t="s">
        <v>63</v>
      </c>
      <c r="Q212">
        <v>1.0262953730817139</v>
      </c>
      <c r="R212" t="s">
        <v>64</v>
      </c>
      <c r="S212" t="s">
        <v>65</v>
      </c>
      <c r="V212" t="s">
        <v>86</v>
      </c>
      <c r="AB212" t="s">
        <v>51</v>
      </c>
      <c r="AD212" t="s">
        <v>93</v>
      </c>
      <c r="AI212">
        <v>259.87226914806092</v>
      </c>
      <c r="AJ212">
        <v>4153.2866349650658</v>
      </c>
    </row>
    <row r="213" spans="1:36" x14ac:dyDescent="0.25">
      <c r="A213">
        <v>93</v>
      </c>
      <c r="B213" t="s">
        <v>104</v>
      </c>
      <c r="C213" t="s">
        <v>36</v>
      </c>
      <c r="E213" t="s">
        <v>37</v>
      </c>
      <c r="F213" t="s">
        <v>38</v>
      </c>
      <c r="G213" s="2">
        <v>45839</v>
      </c>
      <c r="H213">
        <v>0</v>
      </c>
      <c r="I213" t="s">
        <v>39</v>
      </c>
      <c r="J213" t="s">
        <v>40</v>
      </c>
      <c r="K213" t="s">
        <v>41</v>
      </c>
      <c r="L213" t="s">
        <v>91</v>
      </c>
      <c r="M213" t="s">
        <v>36</v>
      </c>
      <c r="N213" t="s">
        <v>95</v>
      </c>
      <c r="O213" t="s">
        <v>62</v>
      </c>
      <c r="P213" t="s">
        <v>63</v>
      </c>
      <c r="Q213">
        <v>1.045816748113048</v>
      </c>
      <c r="R213" t="s">
        <v>64</v>
      </c>
      <c r="S213" t="s">
        <v>65</v>
      </c>
      <c r="V213" t="s">
        <v>86</v>
      </c>
      <c r="AB213" t="s">
        <v>51</v>
      </c>
      <c r="AD213" t="s">
        <v>93</v>
      </c>
      <c r="AI213">
        <v>262.26289096898307</v>
      </c>
      <c r="AJ213">
        <v>4232.2871528864534</v>
      </c>
    </row>
    <row r="214" spans="1:36" x14ac:dyDescent="0.25">
      <c r="A214">
        <v>102</v>
      </c>
      <c r="C214" t="s">
        <v>36</v>
      </c>
      <c r="E214" t="s">
        <v>37</v>
      </c>
      <c r="F214" t="s">
        <v>38</v>
      </c>
      <c r="G214" s="2">
        <v>45839</v>
      </c>
      <c r="I214" t="s">
        <v>39</v>
      </c>
      <c r="J214" t="s">
        <v>40</v>
      </c>
      <c r="K214" t="s">
        <v>41</v>
      </c>
      <c r="L214" t="s">
        <v>42</v>
      </c>
      <c r="M214" t="s">
        <v>36</v>
      </c>
      <c r="N214" t="s">
        <v>43</v>
      </c>
      <c r="O214" t="s">
        <v>62</v>
      </c>
      <c r="P214" t="s">
        <v>63</v>
      </c>
      <c r="Q214">
        <v>12.069566529362319</v>
      </c>
      <c r="R214" t="s">
        <v>64</v>
      </c>
      <c r="S214" t="s">
        <v>65</v>
      </c>
      <c r="V214" t="s">
        <v>86</v>
      </c>
      <c r="AB214" t="s">
        <v>51</v>
      </c>
      <c r="AC214" t="s">
        <v>89</v>
      </c>
      <c r="AI214">
        <v>2602.73559530579</v>
      </c>
      <c r="AJ214">
        <v>48843.998200731403</v>
      </c>
    </row>
    <row r="215" spans="1:36" x14ac:dyDescent="0.25">
      <c r="A215">
        <v>104</v>
      </c>
      <c r="C215" t="s">
        <v>36</v>
      </c>
      <c r="E215" t="s">
        <v>37</v>
      </c>
      <c r="F215" t="s">
        <v>38</v>
      </c>
      <c r="G215" s="2">
        <v>45839</v>
      </c>
      <c r="I215" t="s">
        <v>39</v>
      </c>
      <c r="J215" t="s">
        <v>40</v>
      </c>
      <c r="K215" t="s">
        <v>41</v>
      </c>
      <c r="L215" t="s">
        <v>42</v>
      </c>
      <c r="M215" t="s">
        <v>36</v>
      </c>
      <c r="N215" t="s">
        <v>43</v>
      </c>
      <c r="O215" t="s">
        <v>62</v>
      </c>
      <c r="P215" t="s">
        <v>63</v>
      </c>
      <c r="Q215">
        <v>2.7148742286858281</v>
      </c>
      <c r="R215" t="s">
        <v>64</v>
      </c>
      <c r="S215" t="s">
        <v>65</v>
      </c>
      <c r="V215" t="s">
        <v>86</v>
      </c>
      <c r="AB215" t="s">
        <v>51</v>
      </c>
      <c r="AI215">
        <v>455.1193508213658</v>
      </c>
      <c r="AJ215">
        <v>10986.750155322159</v>
      </c>
    </row>
    <row r="216" spans="1:36" x14ac:dyDescent="0.25">
      <c r="A216">
        <v>105</v>
      </c>
      <c r="C216" t="s">
        <v>36</v>
      </c>
      <c r="E216" t="s">
        <v>37</v>
      </c>
      <c r="F216" t="s">
        <v>38</v>
      </c>
      <c r="G216" s="2">
        <v>45839</v>
      </c>
      <c r="I216" t="s">
        <v>39</v>
      </c>
      <c r="J216" t="s">
        <v>40</v>
      </c>
      <c r="K216" t="s">
        <v>41</v>
      </c>
      <c r="L216" t="s">
        <v>42</v>
      </c>
      <c r="M216" t="s">
        <v>36</v>
      </c>
      <c r="N216" t="s">
        <v>43</v>
      </c>
      <c r="O216" t="s">
        <v>62</v>
      </c>
      <c r="P216" t="s">
        <v>63</v>
      </c>
      <c r="Q216">
        <v>3.16891903104634</v>
      </c>
      <c r="R216" t="s">
        <v>64</v>
      </c>
      <c r="S216" t="s">
        <v>65</v>
      </c>
      <c r="V216" t="s">
        <v>110</v>
      </c>
      <c r="Y216" t="s">
        <v>48</v>
      </c>
      <c r="Z216" t="s">
        <v>69</v>
      </c>
      <c r="AA216" t="s">
        <v>64</v>
      </c>
      <c r="AB216" t="s">
        <v>51</v>
      </c>
      <c r="AI216">
        <v>628.12120360959079</v>
      </c>
      <c r="AJ216">
        <v>12824.21162965069</v>
      </c>
    </row>
    <row r="217" spans="1:36" x14ac:dyDescent="0.25">
      <c r="A217">
        <v>108</v>
      </c>
      <c r="C217" t="s">
        <v>36</v>
      </c>
      <c r="E217" t="s">
        <v>37</v>
      </c>
      <c r="F217" t="s">
        <v>38</v>
      </c>
      <c r="G217" s="2">
        <v>45838</v>
      </c>
      <c r="I217" t="s">
        <v>72</v>
      </c>
      <c r="J217" t="s">
        <v>40</v>
      </c>
      <c r="K217" t="s">
        <v>41</v>
      </c>
      <c r="L217" t="s">
        <v>42</v>
      </c>
      <c r="M217" t="s">
        <v>36</v>
      </c>
      <c r="O217" t="s">
        <v>62</v>
      </c>
      <c r="P217" t="s">
        <v>63</v>
      </c>
      <c r="Q217">
        <v>4.9633665321863614</v>
      </c>
      <c r="R217" t="s">
        <v>64</v>
      </c>
      <c r="S217" t="s">
        <v>65</v>
      </c>
      <c r="V217" t="s">
        <v>64</v>
      </c>
      <c r="AB217" t="s">
        <v>51</v>
      </c>
      <c r="AI217">
        <v>702.96046278661629</v>
      </c>
      <c r="AJ217">
        <v>20086.112071871539</v>
      </c>
    </row>
    <row r="218" spans="1:36" x14ac:dyDescent="0.25">
      <c r="A218">
        <v>113</v>
      </c>
      <c r="C218" t="s">
        <v>36</v>
      </c>
      <c r="E218" t="s">
        <v>37</v>
      </c>
      <c r="F218" t="s">
        <v>38</v>
      </c>
      <c r="G218" s="2">
        <v>45839</v>
      </c>
      <c r="I218" t="s">
        <v>39</v>
      </c>
      <c r="J218" t="s">
        <v>40</v>
      </c>
      <c r="K218" t="s">
        <v>41</v>
      </c>
      <c r="L218" t="s">
        <v>42</v>
      </c>
      <c r="M218" t="s">
        <v>36</v>
      </c>
      <c r="N218" t="s">
        <v>43</v>
      </c>
      <c r="O218" t="s">
        <v>62</v>
      </c>
      <c r="P218" t="s">
        <v>63</v>
      </c>
      <c r="Q218">
        <v>2.561511278045514</v>
      </c>
      <c r="R218" t="s">
        <v>64</v>
      </c>
      <c r="S218" t="s">
        <v>65</v>
      </c>
      <c r="V218" t="s">
        <v>110</v>
      </c>
      <c r="Y218" t="s">
        <v>48</v>
      </c>
      <c r="Z218" t="s">
        <v>69</v>
      </c>
      <c r="AA218" t="s">
        <v>64</v>
      </c>
      <c r="AB218" t="s">
        <v>51</v>
      </c>
      <c r="AI218">
        <v>1823.283428393795</v>
      </c>
      <c r="AJ218">
        <v>10366.109831006381</v>
      </c>
    </row>
    <row r="219" spans="1:36" x14ac:dyDescent="0.25">
      <c r="A219">
        <v>114</v>
      </c>
      <c r="C219" t="s">
        <v>36</v>
      </c>
      <c r="E219" t="s">
        <v>37</v>
      </c>
      <c r="F219" t="s">
        <v>38</v>
      </c>
      <c r="G219" s="2">
        <v>45839</v>
      </c>
      <c r="I219" t="s">
        <v>39</v>
      </c>
      <c r="J219" t="s">
        <v>40</v>
      </c>
      <c r="K219" t="s">
        <v>41</v>
      </c>
      <c r="L219" t="s">
        <v>42</v>
      </c>
      <c r="M219" t="s">
        <v>36</v>
      </c>
      <c r="N219" t="s">
        <v>43</v>
      </c>
      <c r="O219" t="s">
        <v>62</v>
      </c>
      <c r="P219" t="s">
        <v>63</v>
      </c>
      <c r="Q219">
        <v>13.22775158905867</v>
      </c>
      <c r="R219" t="s">
        <v>64</v>
      </c>
      <c r="S219" t="s">
        <v>65</v>
      </c>
      <c r="V219" t="s">
        <v>110</v>
      </c>
      <c r="Y219" t="s">
        <v>48</v>
      </c>
      <c r="Z219" t="s">
        <v>69</v>
      </c>
      <c r="AB219" t="s">
        <v>51</v>
      </c>
      <c r="AI219">
        <v>944.69539654244716</v>
      </c>
      <c r="AJ219">
        <v>53531.025595982152</v>
      </c>
    </row>
    <row r="220" spans="1:36" x14ac:dyDescent="0.25">
      <c r="A220">
        <v>122</v>
      </c>
      <c r="C220" t="s">
        <v>36</v>
      </c>
      <c r="E220" t="s">
        <v>37</v>
      </c>
      <c r="G220" s="2">
        <v>45839</v>
      </c>
      <c r="I220" t="s">
        <v>39</v>
      </c>
      <c r="J220" t="s">
        <v>40</v>
      </c>
      <c r="K220" t="s">
        <v>41</v>
      </c>
      <c r="L220" t="s">
        <v>42</v>
      </c>
      <c r="M220" t="s">
        <v>36</v>
      </c>
      <c r="N220" t="s">
        <v>43</v>
      </c>
      <c r="O220" t="s">
        <v>62</v>
      </c>
      <c r="P220" t="s">
        <v>63</v>
      </c>
      <c r="Q220">
        <v>3.2608051186937321</v>
      </c>
      <c r="R220" t="s">
        <v>64</v>
      </c>
      <c r="S220" t="s">
        <v>65</v>
      </c>
      <c r="V220" t="s">
        <v>118</v>
      </c>
      <c r="AB220" t="s">
        <v>51</v>
      </c>
      <c r="AI220">
        <v>450.89950138715648</v>
      </c>
      <c r="AJ220">
        <v>13196.062920979421</v>
      </c>
    </row>
    <row r="221" spans="1:36" x14ac:dyDescent="0.25">
      <c r="A221">
        <v>128</v>
      </c>
      <c r="C221" t="s">
        <v>36</v>
      </c>
      <c r="E221" t="s">
        <v>37</v>
      </c>
      <c r="F221" t="s">
        <v>38</v>
      </c>
      <c r="G221" s="2">
        <v>45839</v>
      </c>
      <c r="I221" t="s">
        <v>39</v>
      </c>
      <c r="J221" t="s">
        <v>40</v>
      </c>
      <c r="K221" t="s">
        <v>41</v>
      </c>
      <c r="L221" t="s">
        <v>42</v>
      </c>
      <c r="M221" t="s">
        <v>36</v>
      </c>
      <c r="N221" t="s">
        <v>43</v>
      </c>
      <c r="O221" t="s">
        <v>62</v>
      </c>
      <c r="P221" t="s">
        <v>63</v>
      </c>
      <c r="Q221">
        <v>0.77149369811632662</v>
      </c>
      <c r="R221" t="s">
        <v>64</v>
      </c>
      <c r="S221" t="s">
        <v>65</v>
      </c>
      <c r="V221" t="s">
        <v>119</v>
      </c>
      <c r="Y221" t="s">
        <v>120</v>
      </c>
      <c r="Z221" t="s">
        <v>69</v>
      </c>
      <c r="AA221" t="s">
        <v>121</v>
      </c>
      <c r="AB221" t="s">
        <v>51</v>
      </c>
      <c r="AI221">
        <v>240.18492600013391</v>
      </c>
      <c r="AJ221">
        <v>3122.1367155975572</v>
      </c>
    </row>
    <row r="222" spans="1:36" x14ac:dyDescent="0.25">
      <c r="A222">
        <v>132</v>
      </c>
      <c r="C222" t="s">
        <v>36</v>
      </c>
      <c r="E222" t="s">
        <v>37</v>
      </c>
      <c r="F222" t="s">
        <v>38</v>
      </c>
      <c r="G222" s="2">
        <v>45839</v>
      </c>
      <c r="I222" t="s">
        <v>39</v>
      </c>
      <c r="J222" t="s">
        <v>40</v>
      </c>
      <c r="K222" t="s">
        <v>41</v>
      </c>
      <c r="L222" t="s">
        <v>42</v>
      </c>
      <c r="M222" t="s">
        <v>36</v>
      </c>
      <c r="N222" t="s">
        <v>43</v>
      </c>
      <c r="O222" t="s">
        <v>62</v>
      </c>
      <c r="P222" t="s">
        <v>63</v>
      </c>
      <c r="Q222">
        <v>11.59811232416936</v>
      </c>
      <c r="R222" t="s">
        <v>64</v>
      </c>
      <c r="S222" t="s">
        <v>65</v>
      </c>
      <c r="V222" t="s">
        <v>119</v>
      </c>
      <c r="Y222" t="s">
        <v>120</v>
      </c>
      <c r="Z222" t="s">
        <v>69</v>
      </c>
      <c r="AA222" t="s">
        <v>121</v>
      </c>
      <c r="AB222" t="s">
        <v>51</v>
      </c>
      <c r="AI222">
        <v>939.22696638300704</v>
      </c>
      <c r="AJ222">
        <v>46936.083090925968</v>
      </c>
    </row>
    <row r="223" spans="1:36" x14ac:dyDescent="0.25">
      <c r="A223">
        <v>139</v>
      </c>
      <c r="C223" t="s">
        <v>36</v>
      </c>
      <c r="E223" t="s">
        <v>37</v>
      </c>
      <c r="F223" t="s">
        <v>38</v>
      </c>
      <c r="G223" s="2">
        <v>45839</v>
      </c>
      <c r="I223" t="s">
        <v>39</v>
      </c>
      <c r="J223" t="s">
        <v>40</v>
      </c>
      <c r="K223" t="s">
        <v>41</v>
      </c>
      <c r="L223" t="s">
        <v>42</v>
      </c>
      <c r="M223" t="s">
        <v>36</v>
      </c>
      <c r="N223" t="s">
        <v>43</v>
      </c>
      <c r="O223" t="s">
        <v>62</v>
      </c>
      <c r="P223" t="s">
        <v>63</v>
      </c>
      <c r="Q223">
        <v>18.557467020706522</v>
      </c>
      <c r="R223" t="s">
        <v>64</v>
      </c>
      <c r="S223" t="s">
        <v>65</v>
      </c>
      <c r="V223" t="s">
        <v>119</v>
      </c>
      <c r="Y223" t="s">
        <v>120</v>
      </c>
      <c r="Z223" t="s">
        <v>69</v>
      </c>
      <c r="AA223" t="s">
        <v>121</v>
      </c>
      <c r="AB223" t="s">
        <v>51</v>
      </c>
      <c r="AI223">
        <v>1203.715526866752</v>
      </c>
      <c r="AJ223">
        <v>75099.704994741958</v>
      </c>
    </row>
    <row r="224" spans="1:36" x14ac:dyDescent="0.25">
      <c r="A224">
        <v>141</v>
      </c>
      <c r="C224" t="s">
        <v>36</v>
      </c>
      <c r="E224" t="s">
        <v>37</v>
      </c>
      <c r="F224" t="s">
        <v>38</v>
      </c>
      <c r="G224" s="2">
        <v>45839</v>
      </c>
      <c r="I224" t="s">
        <v>39</v>
      </c>
      <c r="J224" t="s">
        <v>40</v>
      </c>
      <c r="K224" t="s">
        <v>41</v>
      </c>
      <c r="L224" t="s">
        <v>42</v>
      </c>
      <c r="M224" t="s">
        <v>36</v>
      </c>
      <c r="N224" t="s">
        <v>43</v>
      </c>
      <c r="O224" t="s">
        <v>62</v>
      </c>
      <c r="P224" t="s">
        <v>63</v>
      </c>
      <c r="Q224">
        <v>1.432757369021872</v>
      </c>
      <c r="R224" t="s">
        <v>64</v>
      </c>
      <c r="S224" t="s">
        <v>65</v>
      </c>
      <c r="V224" t="s">
        <v>71</v>
      </c>
      <c r="Y224" t="s">
        <v>120</v>
      </c>
      <c r="Z224" t="s">
        <v>69</v>
      </c>
      <c r="AA224" t="s">
        <v>124</v>
      </c>
      <c r="AB224" t="s">
        <v>51</v>
      </c>
      <c r="AI224">
        <v>303.65910126924189</v>
      </c>
      <c r="AJ224">
        <v>5798.1865532901074</v>
      </c>
    </row>
    <row r="225" spans="1:36" x14ac:dyDescent="0.25">
      <c r="A225">
        <v>143</v>
      </c>
      <c r="C225" t="s">
        <v>36</v>
      </c>
      <c r="E225" t="s">
        <v>37</v>
      </c>
      <c r="F225" t="s">
        <v>38</v>
      </c>
      <c r="G225" s="2">
        <v>45839</v>
      </c>
      <c r="I225" t="s">
        <v>39</v>
      </c>
      <c r="J225" t="s">
        <v>40</v>
      </c>
      <c r="K225" t="s">
        <v>41</v>
      </c>
      <c r="L225" t="s">
        <v>42</v>
      </c>
      <c r="M225" t="s">
        <v>36</v>
      </c>
      <c r="N225" t="s">
        <v>43</v>
      </c>
      <c r="O225" t="s">
        <v>62</v>
      </c>
      <c r="P225" t="s">
        <v>63</v>
      </c>
      <c r="Q225">
        <v>10.468654558377141</v>
      </c>
      <c r="R225" t="s">
        <v>64</v>
      </c>
      <c r="S225" t="s">
        <v>65</v>
      </c>
      <c r="V225" t="s">
        <v>110</v>
      </c>
      <c r="Y225" t="s">
        <v>48</v>
      </c>
      <c r="Z225" t="s">
        <v>69</v>
      </c>
      <c r="AA225" t="s">
        <v>64</v>
      </c>
      <c r="AB225" t="s">
        <v>51</v>
      </c>
      <c r="AI225">
        <v>1194.0458915579991</v>
      </c>
      <c r="AJ225">
        <v>42365.311394531687</v>
      </c>
    </row>
    <row r="226" spans="1:36" x14ac:dyDescent="0.25">
      <c r="A226">
        <v>144</v>
      </c>
      <c r="C226" t="s">
        <v>36</v>
      </c>
      <c r="E226" t="s">
        <v>37</v>
      </c>
      <c r="F226" t="s">
        <v>38</v>
      </c>
      <c r="G226" s="2">
        <v>45839</v>
      </c>
      <c r="I226" t="s">
        <v>72</v>
      </c>
      <c r="J226" t="s">
        <v>40</v>
      </c>
      <c r="K226" t="s">
        <v>41</v>
      </c>
      <c r="L226" t="s">
        <v>42</v>
      </c>
      <c r="M226" t="s">
        <v>36</v>
      </c>
      <c r="O226" t="s">
        <v>62</v>
      </c>
      <c r="P226" t="s">
        <v>63</v>
      </c>
      <c r="Q226">
        <v>0.81668533028783785</v>
      </c>
      <c r="R226" t="s">
        <v>64</v>
      </c>
      <c r="S226" t="s">
        <v>65</v>
      </c>
      <c r="V226" t="s">
        <v>119</v>
      </c>
      <c r="Y226" t="s">
        <v>120</v>
      </c>
      <c r="Z226" t="s">
        <v>69</v>
      </c>
      <c r="AA226" t="s">
        <v>121</v>
      </c>
      <c r="AB226" t="s">
        <v>51</v>
      </c>
      <c r="AI226">
        <v>290.51263040455098</v>
      </c>
      <c r="AJ226">
        <v>3305.021494027957</v>
      </c>
    </row>
    <row r="227" spans="1:36" x14ac:dyDescent="0.25">
      <c r="A227">
        <v>146</v>
      </c>
      <c r="C227" t="s">
        <v>36</v>
      </c>
      <c r="E227" t="s">
        <v>37</v>
      </c>
      <c r="F227" t="s">
        <v>38</v>
      </c>
      <c r="G227" s="2">
        <v>45839</v>
      </c>
      <c r="I227" t="s">
        <v>72</v>
      </c>
      <c r="J227" t="s">
        <v>40</v>
      </c>
      <c r="K227" t="s">
        <v>41</v>
      </c>
      <c r="L227" t="s">
        <v>42</v>
      </c>
      <c r="M227" t="s">
        <v>36</v>
      </c>
      <c r="O227" t="s">
        <v>62</v>
      </c>
      <c r="P227" t="s">
        <v>63</v>
      </c>
      <c r="Q227">
        <v>21.923024597723241</v>
      </c>
      <c r="R227" t="s">
        <v>64</v>
      </c>
      <c r="S227" t="s">
        <v>65</v>
      </c>
      <c r="V227" t="s">
        <v>125</v>
      </c>
      <c r="Y227" t="s">
        <v>48</v>
      </c>
      <c r="Z227" t="s">
        <v>69</v>
      </c>
      <c r="AB227" t="s">
        <v>51</v>
      </c>
      <c r="AI227">
        <v>2939.261852183</v>
      </c>
      <c r="AJ227">
        <v>88719.68777012566</v>
      </c>
    </row>
    <row r="228" spans="1:36" x14ac:dyDescent="0.25">
      <c r="A228">
        <v>147</v>
      </c>
      <c r="C228" t="s">
        <v>36</v>
      </c>
      <c r="E228" t="s">
        <v>37</v>
      </c>
      <c r="F228" t="s">
        <v>38</v>
      </c>
      <c r="G228" s="2">
        <v>45839</v>
      </c>
      <c r="I228" t="s">
        <v>39</v>
      </c>
      <c r="J228" t="s">
        <v>40</v>
      </c>
      <c r="K228" t="s">
        <v>41</v>
      </c>
      <c r="L228" t="s">
        <v>42</v>
      </c>
      <c r="M228" t="s">
        <v>36</v>
      </c>
      <c r="N228" t="s">
        <v>126</v>
      </c>
      <c r="O228" t="s">
        <v>62</v>
      </c>
      <c r="P228" t="s">
        <v>63</v>
      </c>
      <c r="Q228">
        <v>15.869417880075041</v>
      </c>
      <c r="R228" t="s">
        <v>64</v>
      </c>
      <c r="S228" t="s">
        <v>65</v>
      </c>
      <c r="V228" t="s">
        <v>110</v>
      </c>
      <c r="Y228" t="s">
        <v>48</v>
      </c>
      <c r="Z228" t="s">
        <v>69</v>
      </c>
      <c r="AA228" t="s">
        <v>64</v>
      </c>
      <c r="AB228" t="s">
        <v>51</v>
      </c>
      <c r="AI228">
        <v>1006.163117262518</v>
      </c>
      <c r="AJ228">
        <v>64221.512553524401</v>
      </c>
    </row>
    <row r="229" spans="1:36" x14ac:dyDescent="0.25">
      <c r="A229">
        <v>148</v>
      </c>
      <c r="C229" t="s">
        <v>36</v>
      </c>
      <c r="E229" t="s">
        <v>37</v>
      </c>
      <c r="F229" t="s">
        <v>38</v>
      </c>
      <c r="G229" s="2">
        <v>45839</v>
      </c>
      <c r="I229" t="s">
        <v>39</v>
      </c>
      <c r="J229" t="s">
        <v>40</v>
      </c>
      <c r="K229" t="s">
        <v>41</v>
      </c>
      <c r="L229" t="s">
        <v>42</v>
      </c>
      <c r="M229" t="s">
        <v>36</v>
      </c>
      <c r="N229" t="s">
        <v>126</v>
      </c>
      <c r="O229" t="s">
        <v>62</v>
      </c>
      <c r="P229" t="s">
        <v>63</v>
      </c>
      <c r="Q229">
        <v>9.6414840286440384</v>
      </c>
      <c r="R229" t="s">
        <v>64</v>
      </c>
      <c r="S229" t="s">
        <v>65</v>
      </c>
      <c r="V229" t="s">
        <v>110</v>
      </c>
      <c r="Y229" t="s">
        <v>48</v>
      </c>
      <c r="Z229" t="s">
        <v>69</v>
      </c>
      <c r="AA229" t="s">
        <v>64</v>
      </c>
      <c r="AB229" t="s">
        <v>51</v>
      </c>
      <c r="AI229">
        <v>921.82001447338564</v>
      </c>
      <c r="AJ229">
        <v>39017.857634059612</v>
      </c>
    </row>
    <row r="230" spans="1:36" x14ac:dyDescent="0.25">
      <c r="A230">
        <v>149</v>
      </c>
      <c r="C230" t="s">
        <v>36</v>
      </c>
      <c r="E230" t="s">
        <v>37</v>
      </c>
      <c r="F230" t="s">
        <v>38</v>
      </c>
      <c r="G230" s="2">
        <v>45839</v>
      </c>
      <c r="I230" t="s">
        <v>39</v>
      </c>
      <c r="J230" t="s">
        <v>40</v>
      </c>
      <c r="K230" t="s">
        <v>41</v>
      </c>
      <c r="L230" t="s">
        <v>42</v>
      </c>
      <c r="M230" t="s">
        <v>36</v>
      </c>
      <c r="N230" t="s">
        <v>126</v>
      </c>
      <c r="O230" t="s">
        <v>62</v>
      </c>
      <c r="P230" t="s">
        <v>63</v>
      </c>
      <c r="Q230">
        <v>4.6415400511258484</v>
      </c>
      <c r="R230" t="s">
        <v>64</v>
      </c>
      <c r="S230" t="s">
        <v>65</v>
      </c>
      <c r="V230" t="s">
        <v>86</v>
      </c>
      <c r="AB230" t="s">
        <v>51</v>
      </c>
      <c r="AI230">
        <v>844.12941801894556</v>
      </c>
      <c r="AJ230">
        <v>18783.72130053553</v>
      </c>
    </row>
    <row r="231" spans="1:36" x14ac:dyDescent="0.25">
      <c r="A231">
        <v>150</v>
      </c>
      <c r="C231" t="s">
        <v>36</v>
      </c>
      <c r="E231" t="s">
        <v>37</v>
      </c>
      <c r="F231" t="s">
        <v>38</v>
      </c>
      <c r="G231" s="2">
        <v>45839</v>
      </c>
      <c r="I231" t="s">
        <v>39</v>
      </c>
      <c r="J231" t="s">
        <v>40</v>
      </c>
      <c r="K231" t="s">
        <v>41</v>
      </c>
      <c r="L231" t="s">
        <v>42</v>
      </c>
      <c r="M231" t="s">
        <v>36</v>
      </c>
      <c r="N231" t="s">
        <v>126</v>
      </c>
      <c r="O231" t="s">
        <v>62</v>
      </c>
      <c r="P231" t="s">
        <v>63</v>
      </c>
      <c r="Q231">
        <v>5.6900827918440449</v>
      </c>
      <c r="R231" t="s">
        <v>64</v>
      </c>
      <c r="S231" t="s">
        <v>65</v>
      </c>
      <c r="V231" t="s">
        <v>86</v>
      </c>
      <c r="AB231" t="s">
        <v>51</v>
      </c>
      <c r="AI231">
        <v>642.21082752795382</v>
      </c>
      <c r="AJ231">
        <v>23027.040198230479</v>
      </c>
    </row>
    <row r="232" spans="1:36" x14ac:dyDescent="0.25">
      <c r="A232">
        <v>151</v>
      </c>
      <c r="C232" t="s">
        <v>36</v>
      </c>
      <c r="E232" t="s">
        <v>37</v>
      </c>
      <c r="F232" t="s">
        <v>38</v>
      </c>
      <c r="G232" s="2">
        <v>45839</v>
      </c>
      <c r="I232" t="s">
        <v>39</v>
      </c>
      <c r="J232" t="s">
        <v>40</v>
      </c>
      <c r="K232" t="s">
        <v>41</v>
      </c>
      <c r="L232" t="s">
        <v>42</v>
      </c>
      <c r="M232" t="s">
        <v>36</v>
      </c>
      <c r="N232" t="s">
        <v>126</v>
      </c>
      <c r="O232" t="s">
        <v>62</v>
      </c>
      <c r="P232" t="s">
        <v>63</v>
      </c>
      <c r="Q232">
        <v>3.88708067559064</v>
      </c>
      <c r="R232" t="s">
        <v>64</v>
      </c>
      <c r="S232" t="s">
        <v>65</v>
      </c>
      <c r="V232" t="s">
        <v>86</v>
      </c>
      <c r="AB232" t="s">
        <v>51</v>
      </c>
      <c r="AI232">
        <v>510.42660779578421</v>
      </c>
      <c r="AJ232">
        <v>15730.52031841926</v>
      </c>
    </row>
    <row r="233" spans="1:36" x14ac:dyDescent="0.25">
      <c r="A233">
        <v>152</v>
      </c>
      <c r="C233" t="s">
        <v>36</v>
      </c>
      <c r="E233" t="s">
        <v>37</v>
      </c>
      <c r="F233" t="s">
        <v>38</v>
      </c>
      <c r="G233" s="2">
        <v>45839</v>
      </c>
      <c r="I233" t="s">
        <v>39</v>
      </c>
      <c r="J233" t="s">
        <v>40</v>
      </c>
      <c r="K233" t="s">
        <v>41</v>
      </c>
      <c r="L233" t="s">
        <v>42</v>
      </c>
      <c r="M233" t="s">
        <v>36</v>
      </c>
      <c r="N233" t="s">
        <v>126</v>
      </c>
      <c r="O233" t="s">
        <v>62</v>
      </c>
      <c r="P233" t="s">
        <v>63</v>
      </c>
      <c r="Q233">
        <v>4.9569195295539643</v>
      </c>
      <c r="R233" t="s">
        <v>64</v>
      </c>
      <c r="S233" t="s">
        <v>65</v>
      </c>
      <c r="V233" t="s">
        <v>86</v>
      </c>
      <c r="AB233" t="s">
        <v>51</v>
      </c>
      <c r="AI233">
        <v>606.37377080032843</v>
      </c>
      <c r="AJ233">
        <v>20060.021873502701</v>
      </c>
    </row>
    <row r="234" spans="1:36" x14ac:dyDescent="0.25">
      <c r="A234">
        <v>153</v>
      </c>
      <c r="C234" t="s">
        <v>36</v>
      </c>
      <c r="E234" t="s">
        <v>37</v>
      </c>
      <c r="F234" t="s">
        <v>38</v>
      </c>
      <c r="G234" s="2">
        <v>45839</v>
      </c>
      <c r="I234" t="s">
        <v>39</v>
      </c>
      <c r="J234" t="s">
        <v>40</v>
      </c>
      <c r="K234" t="s">
        <v>41</v>
      </c>
      <c r="L234" t="s">
        <v>42</v>
      </c>
      <c r="M234" t="s">
        <v>36</v>
      </c>
      <c r="N234" t="s">
        <v>126</v>
      </c>
      <c r="O234" t="s">
        <v>62</v>
      </c>
      <c r="P234" t="s">
        <v>63</v>
      </c>
      <c r="Q234">
        <v>2.9079813349853301</v>
      </c>
      <c r="R234" t="s">
        <v>64</v>
      </c>
      <c r="S234" t="s">
        <v>65</v>
      </c>
      <c r="V234" t="s">
        <v>61</v>
      </c>
      <c r="AB234" t="s">
        <v>51</v>
      </c>
      <c r="AI234">
        <v>511.22427288935052</v>
      </c>
      <c r="AJ234">
        <v>11768.23001457769</v>
      </c>
    </row>
    <row r="235" spans="1:36" x14ac:dyDescent="0.25">
      <c r="A235">
        <v>154</v>
      </c>
      <c r="C235" t="s">
        <v>36</v>
      </c>
      <c r="E235" t="s">
        <v>37</v>
      </c>
      <c r="F235" t="s">
        <v>38</v>
      </c>
      <c r="G235" s="2">
        <v>45838</v>
      </c>
      <c r="I235" t="s">
        <v>72</v>
      </c>
      <c r="J235" t="s">
        <v>40</v>
      </c>
      <c r="K235" t="s">
        <v>41</v>
      </c>
      <c r="L235" t="s">
        <v>42</v>
      </c>
      <c r="M235" t="s">
        <v>36</v>
      </c>
      <c r="O235" t="s">
        <v>62</v>
      </c>
      <c r="P235" t="s">
        <v>63</v>
      </c>
      <c r="Q235">
        <v>1.6368426087093639</v>
      </c>
      <c r="R235" t="s">
        <v>64</v>
      </c>
      <c r="S235" t="s">
        <v>65</v>
      </c>
      <c r="T235" t="s">
        <v>57</v>
      </c>
      <c r="V235" t="s">
        <v>46</v>
      </c>
      <c r="Y235" t="s">
        <v>48</v>
      </c>
      <c r="Z235" t="s">
        <v>49</v>
      </c>
      <c r="AA235" t="s">
        <v>54</v>
      </c>
      <c r="AB235" t="s">
        <v>51</v>
      </c>
      <c r="AC235" t="s">
        <v>127</v>
      </c>
      <c r="AD235" t="s">
        <v>128</v>
      </c>
      <c r="AI235">
        <v>348.73425341741648</v>
      </c>
      <c r="AJ235">
        <v>6624.0935198610432</v>
      </c>
    </row>
    <row r="236" spans="1:36" x14ac:dyDescent="0.25">
      <c r="A236">
        <v>157</v>
      </c>
      <c r="C236" t="s">
        <v>36</v>
      </c>
      <c r="E236" t="s">
        <v>37</v>
      </c>
      <c r="F236" t="s">
        <v>38</v>
      </c>
      <c r="G236" s="2">
        <v>45838</v>
      </c>
      <c r="I236" t="s">
        <v>72</v>
      </c>
      <c r="J236" t="s">
        <v>40</v>
      </c>
      <c r="K236" t="s">
        <v>41</v>
      </c>
      <c r="L236" t="s">
        <v>42</v>
      </c>
      <c r="M236" t="s">
        <v>36</v>
      </c>
      <c r="O236" t="s">
        <v>62</v>
      </c>
      <c r="P236" t="s">
        <v>63</v>
      </c>
      <c r="Q236">
        <v>0.80798263427221051</v>
      </c>
      <c r="R236" t="s">
        <v>64</v>
      </c>
      <c r="S236" t="s">
        <v>65</v>
      </c>
      <c r="T236" t="s">
        <v>57</v>
      </c>
      <c r="V236" t="s">
        <v>46</v>
      </c>
      <c r="Y236" t="s">
        <v>48</v>
      </c>
      <c r="Z236" t="s">
        <v>49</v>
      </c>
      <c r="AA236" t="s">
        <v>54</v>
      </c>
      <c r="AB236" t="s">
        <v>51</v>
      </c>
      <c r="AD236" t="s">
        <v>57</v>
      </c>
      <c r="AI236">
        <v>277.32968060611148</v>
      </c>
      <c r="AJ236">
        <v>3269.802791890254</v>
      </c>
    </row>
    <row r="237" spans="1:36" x14ac:dyDescent="0.25">
      <c r="A237">
        <v>160</v>
      </c>
      <c r="C237" t="s">
        <v>36</v>
      </c>
      <c r="E237" t="s">
        <v>37</v>
      </c>
      <c r="F237" t="s">
        <v>38</v>
      </c>
      <c r="G237" s="2">
        <v>45838</v>
      </c>
      <c r="I237" t="s">
        <v>39</v>
      </c>
      <c r="J237" t="s">
        <v>40</v>
      </c>
      <c r="K237" t="s">
        <v>41</v>
      </c>
      <c r="L237" t="s">
        <v>42</v>
      </c>
      <c r="M237" t="s">
        <v>36</v>
      </c>
      <c r="N237" t="s">
        <v>43</v>
      </c>
      <c r="O237" t="s">
        <v>62</v>
      </c>
      <c r="P237" t="s">
        <v>63</v>
      </c>
      <c r="Q237">
        <v>26.090071672073261</v>
      </c>
      <c r="R237" t="s">
        <v>64</v>
      </c>
      <c r="S237" t="s">
        <v>65</v>
      </c>
      <c r="V237" t="s">
        <v>75</v>
      </c>
      <c r="AB237" t="s">
        <v>51</v>
      </c>
      <c r="AI237">
        <v>1843.0032658205671</v>
      </c>
      <c r="AJ237">
        <v>105583.19643936941</v>
      </c>
    </row>
    <row r="238" spans="1:36" x14ac:dyDescent="0.25">
      <c r="A238">
        <v>162</v>
      </c>
      <c r="C238" t="s">
        <v>36</v>
      </c>
      <c r="E238" t="s">
        <v>37</v>
      </c>
      <c r="F238" t="s">
        <v>38</v>
      </c>
      <c r="G238" s="2">
        <v>45839</v>
      </c>
      <c r="I238" t="s">
        <v>39</v>
      </c>
      <c r="J238" t="s">
        <v>40</v>
      </c>
      <c r="K238" t="s">
        <v>41</v>
      </c>
      <c r="L238" t="s">
        <v>42</v>
      </c>
      <c r="M238" t="s">
        <v>36</v>
      </c>
      <c r="N238" t="s">
        <v>126</v>
      </c>
      <c r="O238" t="s">
        <v>62</v>
      </c>
      <c r="P238" t="s">
        <v>63</v>
      </c>
      <c r="Q238">
        <v>0.68517043640964692</v>
      </c>
      <c r="R238" t="s">
        <v>64</v>
      </c>
      <c r="S238" t="s">
        <v>65</v>
      </c>
      <c r="V238" t="s">
        <v>70</v>
      </c>
      <c r="Y238" t="s">
        <v>48</v>
      </c>
      <c r="Z238" t="s">
        <v>69</v>
      </c>
      <c r="AA238" t="s">
        <v>76</v>
      </c>
      <c r="AB238" t="s">
        <v>51</v>
      </c>
      <c r="AI238">
        <v>208.53246335151309</v>
      </c>
      <c r="AJ238">
        <v>2772.797472201788</v>
      </c>
    </row>
    <row r="239" spans="1:36" x14ac:dyDescent="0.25">
      <c r="A239">
        <v>163</v>
      </c>
      <c r="C239" t="s">
        <v>36</v>
      </c>
      <c r="E239" t="s">
        <v>37</v>
      </c>
      <c r="F239" t="s">
        <v>38</v>
      </c>
      <c r="G239" s="2">
        <v>45839</v>
      </c>
      <c r="I239" t="s">
        <v>39</v>
      </c>
      <c r="J239" t="s">
        <v>40</v>
      </c>
      <c r="K239" t="s">
        <v>41</v>
      </c>
      <c r="L239" t="s">
        <v>42</v>
      </c>
      <c r="M239" t="s">
        <v>36</v>
      </c>
      <c r="N239" t="s">
        <v>126</v>
      </c>
      <c r="O239" t="s">
        <v>62</v>
      </c>
      <c r="P239" t="s">
        <v>63</v>
      </c>
      <c r="Q239">
        <v>1.2944952474029261</v>
      </c>
      <c r="R239" t="s">
        <v>64</v>
      </c>
      <c r="S239" t="s">
        <v>65</v>
      </c>
      <c r="V239" t="s">
        <v>70</v>
      </c>
      <c r="Y239" t="s">
        <v>48</v>
      </c>
      <c r="Z239" t="s">
        <v>69</v>
      </c>
      <c r="AA239" t="s">
        <v>76</v>
      </c>
      <c r="AB239" t="s">
        <v>51</v>
      </c>
      <c r="AI239">
        <v>343.62332259670552</v>
      </c>
      <c r="AJ239">
        <v>5238.6573603272927</v>
      </c>
    </row>
    <row r="240" spans="1:36" x14ac:dyDescent="0.25">
      <c r="A240">
        <v>164</v>
      </c>
      <c r="C240" t="s">
        <v>36</v>
      </c>
      <c r="E240" t="s">
        <v>37</v>
      </c>
      <c r="F240" t="s">
        <v>38</v>
      </c>
      <c r="G240" s="2">
        <v>45839</v>
      </c>
      <c r="I240" t="s">
        <v>39</v>
      </c>
      <c r="J240" t="s">
        <v>40</v>
      </c>
      <c r="K240" t="s">
        <v>41</v>
      </c>
      <c r="L240" t="s">
        <v>42</v>
      </c>
      <c r="M240" t="s">
        <v>36</v>
      </c>
      <c r="N240" t="s">
        <v>126</v>
      </c>
      <c r="O240" t="s">
        <v>62</v>
      </c>
      <c r="P240" t="s">
        <v>63</v>
      </c>
      <c r="Q240">
        <v>4.9898643374169422</v>
      </c>
      <c r="R240" t="s">
        <v>64</v>
      </c>
      <c r="S240" t="s">
        <v>65</v>
      </c>
      <c r="V240" t="s">
        <v>70</v>
      </c>
      <c r="Y240" t="s">
        <v>48</v>
      </c>
      <c r="Z240" t="s">
        <v>69</v>
      </c>
      <c r="AA240" t="s">
        <v>76</v>
      </c>
      <c r="AB240" t="s">
        <v>51</v>
      </c>
      <c r="AI240">
        <v>562.38199054002985</v>
      </c>
      <c r="AJ240">
        <v>20193.345314080951</v>
      </c>
    </row>
    <row r="241" spans="1:36" x14ac:dyDescent="0.25">
      <c r="A241">
        <v>165</v>
      </c>
      <c r="C241" t="s">
        <v>36</v>
      </c>
      <c r="E241" t="s">
        <v>37</v>
      </c>
      <c r="F241" t="s">
        <v>38</v>
      </c>
      <c r="G241" s="2">
        <v>45839</v>
      </c>
      <c r="I241" t="s">
        <v>39</v>
      </c>
      <c r="J241" t="s">
        <v>40</v>
      </c>
      <c r="K241" t="s">
        <v>41</v>
      </c>
      <c r="L241" t="s">
        <v>42</v>
      </c>
      <c r="M241" t="s">
        <v>36</v>
      </c>
      <c r="N241" t="s">
        <v>126</v>
      </c>
      <c r="O241" t="s">
        <v>62</v>
      </c>
      <c r="P241" t="s">
        <v>63</v>
      </c>
      <c r="Q241">
        <v>5.2816923748463509</v>
      </c>
      <c r="R241" t="s">
        <v>64</v>
      </c>
      <c r="S241" t="s">
        <v>65</v>
      </c>
      <c r="V241" t="s">
        <v>70</v>
      </c>
      <c r="Y241" t="s">
        <v>48</v>
      </c>
      <c r="Z241" t="s">
        <v>69</v>
      </c>
      <c r="AA241" t="s">
        <v>76</v>
      </c>
      <c r="AB241" t="s">
        <v>51</v>
      </c>
      <c r="AI241">
        <v>618.15588696545421</v>
      </c>
      <c r="AJ241">
        <v>21374.336205547392</v>
      </c>
    </row>
    <row r="242" spans="1:36" x14ac:dyDescent="0.25">
      <c r="A242">
        <v>166</v>
      </c>
      <c r="C242" t="s">
        <v>36</v>
      </c>
      <c r="E242" t="s">
        <v>37</v>
      </c>
      <c r="F242" t="s">
        <v>38</v>
      </c>
      <c r="G242" s="2">
        <v>45839</v>
      </c>
      <c r="I242" t="s">
        <v>39</v>
      </c>
      <c r="J242" t="s">
        <v>40</v>
      </c>
      <c r="K242" t="s">
        <v>41</v>
      </c>
      <c r="L242" t="s">
        <v>42</v>
      </c>
      <c r="M242" t="s">
        <v>36</v>
      </c>
      <c r="N242" t="s">
        <v>43</v>
      </c>
      <c r="O242" t="s">
        <v>62</v>
      </c>
      <c r="P242" t="s">
        <v>63</v>
      </c>
      <c r="Q242">
        <v>9.1382423639211208</v>
      </c>
      <c r="R242" t="s">
        <v>64</v>
      </c>
      <c r="S242" t="s">
        <v>65</v>
      </c>
      <c r="T242" t="s">
        <v>57</v>
      </c>
      <c r="V242" t="s">
        <v>119</v>
      </c>
      <c r="Y242" t="s">
        <v>120</v>
      </c>
      <c r="Z242" t="s">
        <v>69</v>
      </c>
      <c r="AA242" t="s">
        <v>121</v>
      </c>
      <c r="AB242" t="s">
        <v>51</v>
      </c>
      <c r="AD242" t="s">
        <v>57</v>
      </c>
      <c r="AI242">
        <v>837.24559775963667</v>
      </c>
      <c r="AJ242">
        <v>36981.302724944922</v>
      </c>
    </row>
    <row r="243" spans="1:36" x14ac:dyDescent="0.25">
      <c r="A243">
        <v>167</v>
      </c>
      <c r="C243" t="s">
        <v>36</v>
      </c>
      <c r="E243" t="s">
        <v>37</v>
      </c>
      <c r="F243" t="s">
        <v>38</v>
      </c>
      <c r="G243" s="2">
        <v>45839</v>
      </c>
      <c r="I243" t="s">
        <v>39</v>
      </c>
      <c r="J243" t="s">
        <v>40</v>
      </c>
      <c r="K243" t="s">
        <v>41</v>
      </c>
      <c r="L243" t="s">
        <v>42</v>
      </c>
      <c r="M243" t="s">
        <v>36</v>
      </c>
      <c r="N243" t="s">
        <v>43</v>
      </c>
      <c r="O243" t="s">
        <v>62</v>
      </c>
      <c r="P243" t="s">
        <v>63</v>
      </c>
      <c r="Q243">
        <v>2.6275166103006109</v>
      </c>
      <c r="R243" t="s">
        <v>64</v>
      </c>
      <c r="S243" t="s">
        <v>65</v>
      </c>
      <c r="T243" t="s">
        <v>57</v>
      </c>
      <c r="V243" t="s">
        <v>119</v>
      </c>
      <c r="Y243" t="s">
        <v>120</v>
      </c>
      <c r="Z243" t="s">
        <v>69</v>
      </c>
      <c r="AA243" t="s">
        <v>121</v>
      </c>
      <c r="AB243" t="s">
        <v>51</v>
      </c>
      <c r="AD243" t="s">
        <v>57</v>
      </c>
      <c r="AI243">
        <v>479.32136803106812</v>
      </c>
      <c r="AJ243">
        <v>10633.22500221518</v>
      </c>
    </row>
    <row r="244" spans="1:36" x14ac:dyDescent="0.25">
      <c r="A244">
        <v>168</v>
      </c>
      <c r="C244" t="s">
        <v>36</v>
      </c>
      <c r="E244" t="s">
        <v>37</v>
      </c>
      <c r="F244" t="s">
        <v>38</v>
      </c>
      <c r="G244" s="2">
        <v>45839</v>
      </c>
      <c r="I244" t="s">
        <v>39</v>
      </c>
      <c r="J244" t="s">
        <v>40</v>
      </c>
      <c r="K244" t="s">
        <v>41</v>
      </c>
      <c r="L244" t="s">
        <v>42</v>
      </c>
      <c r="M244" t="s">
        <v>36</v>
      </c>
      <c r="N244" t="s">
        <v>43</v>
      </c>
      <c r="O244" t="s">
        <v>62</v>
      </c>
      <c r="P244" t="s">
        <v>63</v>
      </c>
      <c r="Q244">
        <v>1.9865303047378751</v>
      </c>
      <c r="R244" t="s">
        <v>64</v>
      </c>
      <c r="S244" t="s">
        <v>65</v>
      </c>
      <c r="T244" t="s">
        <v>57</v>
      </c>
      <c r="V244" t="s">
        <v>119</v>
      </c>
      <c r="Y244" t="s">
        <v>120</v>
      </c>
      <c r="Z244" t="s">
        <v>69</v>
      </c>
      <c r="AA244" t="s">
        <v>121</v>
      </c>
      <c r="AB244" t="s">
        <v>51</v>
      </c>
      <c r="AD244" t="s">
        <v>57</v>
      </c>
      <c r="AI244">
        <v>369.22283422829901</v>
      </c>
      <c r="AJ244">
        <v>8039.2350789288566</v>
      </c>
    </row>
    <row r="245" spans="1:36" x14ac:dyDescent="0.25">
      <c r="A245">
        <v>169</v>
      </c>
      <c r="C245" t="s">
        <v>36</v>
      </c>
      <c r="E245" t="s">
        <v>37</v>
      </c>
      <c r="F245" t="s">
        <v>38</v>
      </c>
      <c r="G245" s="2">
        <v>45839</v>
      </c>
      <c r="I245" t="s">
        <v>39</v>
      </c>
      <c r="J245" t="s">
        <v>40</v>
      </c>
      <c r="K245" t="s">
        <v>41</v>
      </c>
      <c r="L245" t="s">
        <v>42</v>
      </c>
      <c r="M245" t="s">
        <v>36</v>
      </c>
      <c r="N245" t="s">
        <v>43</v>
      </c>
      <c r="O245" t="s">
        <v>62</v>
      </c>
      <c r="P245" t="s">
        <v>63</v>
      </c>
      <c r="Q245">
        <v>8.2934163844350905</v>
      </c>
      <c r="R245" t="s">
        <v>64</v>
      </c>
      <c r="S245" t="s">
        <v>65</v>
      </c>
      <c r="V245" t="s">
        <v>119</v>
      </c>
      <c r="Y245" t="s">
        <v>120</v>
      </c>
      <c r="Z245" t="s">
        <v>69</v>
      </c>
      <c r="AA245" t="s">
        <v>121</v>
      </c>
      <c r="AB245" t="s">
        <v>51</v>
      </c>
      <c r="AI245">
        <v>1050.470016852026</v>
      </c>
      <c r="AJ245">
        <v>33562.399608452717</v>
      </c>
    </row>
    <row r="246" spans="1:36" x14ac:dyDescent="0.25">
      <c r="A246">
        <v>170</v>
      </c>
      <c r="C246" t="s">
        <v>36</v>
      </c>
      <c r="E246" t="s">
        <v>37</v>
      </c>
      <c r="F246" t="s">
        <v>38</v>
      </c>
      <c r="G246" s="2">
        <v>45838</v>
      </c>
      <c r="I246" t="s">
        <v>39</v>
      </c>
      <c r="J246" t="s">
        <v>40</v>
      </c>
      <c r="K246" t="s">
        <v>41</v>
      </c>
      <c r="L246" t="s">
        <v>42</v>
      </c>
      <c r="M246" t="s">
        <v>36</v>
      </c>
      <c r="N246" t="s">
        <v>43</v>
      </c>
      <c r="O246" t="s">
        <v>62</v>
      </c>
      <c r="P246" t="s">
        <v>63</v>
      </c>
      <c r="Q246">
        <v>0.39068598806650062</v>
      </c>
      <c r="R246" t="s">
        <v>64</v>
      </c>
      <c r="S246" t="s">
        <v>65</v>
      </c>
      <c r="T246" t="s">
        <v>57</v>
      </c>
      <c r="V246" t="s">
        <v>86</v>
      </c>
      <c r="AB246" t="s">
        <v>51</v>
      </c>
      <c r="AD246" t="s">
        <v>57</v>
      </c>
      <c r="AI246">
        <v>183.20327782124789</v>
      </c>
      <c r="AJ246">
        <v>1581.0564241679799</v>
      </c>
    </row>
    <row r="247" spans="1:36" x14ac:dyDescent="0.25">
      <c r="A247">
        <v>171</v>
      </c>
      <c r="C247" t="s">
        <v>36</v>
      </c>
      <c r="E247" t="s">
        <v>37</v>
      </c>
      <c r="F247" t="s">
        <v>38</v>
      </c>
      <c r="G247" s="2">
        <v>45838</v>
      </c>
      <c r="I247" t="s">
        <v>39</v>
      </c>
      <c r="J247" t="s">
        <v>40</v>
      </c>
      <c r="K247" t="s">
        <v>41</v>
      </c>
      <c r="L247" t="s">
        <v>42</v>
      </c>
      <c r="M247" t="s">
        <v>36</v>
      </c>
      <c r="N247" t="s">
        <v>43</v>
      </c>
      <c r="O247" t="s">
        <v>62</v>
      </c>
      <c r="P247" t="s">
        <v>63</v>
      </c>
      <c r="Q247">
        <v>2.3776010991342762</v>
      </c>
      <c r="R247" t="s">
        <v>64</v>
      </c>
      <c r="S247" t="s">
        <v>65</v>
      </c>
      <c r="T247" t="s">
        <v>57</v>
      </c>
      <c r="V247" t="s">
        <v>86</v>
      </c>
      <c r="AB247" t="s">
        <v>51</v>
      </c>
      <c r="AD247" t="s">
        <v>57</v>
      </c>
      <c r="AI247">
        <v>436.38709311209487</v>
      </c>
      <c r="AJ247">
        <v>9621.8487652934164</v>
      </c>
    </row>
    <row r="248" spans="1:36" x14ac:dyDescent="0.25">
      <c r="A248">
        <v>172</v>
      </c>
      <c r="C248" t="s">
        <v>36</v>
      </c>
      <c r="E248" t="s">
        <v>37</v>
      </c>
      <c r="F248" t="s">
        <v>38</v>
      </c>
      <c r="G248" s="2">
        <v>45838</v>
      </c>
      <c r="I248" t="s">
        <v>72</v>
      </c>
      <c r="J248" t="s">
        <v>40</v>
      </c>
      <c r="K248" t="s">
        <v>41</v>
      </c>
      <c r="L248" t="s">
        <v>42</v>
      </c>
      <c r="M248" t="s">
        <v>36</v>
      </c>
      <c r="O248" t="s">
        <v>62</v>
      </c>
      <c r="P248" t="s">
        <v>63</v>
      </c>
      <c r="Q248">
        <v>2.83398928138502</v>
      </c>
      <c r="R248" t="s">
        <v>64</v>
      </c>
      <c r="S248" t="s">
        <v>65</v>
      </c>
      <c r="V248" t="s">
        <v>46</v>
      </c>
      <c r="Y248" t="s">
        <v>48</v>
      </c>
      <c r="Z248" t="s">
        <v>49</v>
      </c>
      <c r="AA248" t="s">
        <v>54</v>
      </c>
      <c r="AB248" t="s">
        <v>51</v>
      </c>
      <c r="AI248">
        <v>538.73650434126785</v>
      </c>
      <c r="AJ248">
        <v>11468.793599514251</v>
      </c>
    </row>
    <row r="249" spans="1:36" x14ac:dyDescent="0.25">
      <c r="A249">
        <v>173</v>
      </c>
      <c r="B249" t="s">
        <v>131</v>
      </c>
      <c r="C249" t="s">
        <v>36</v>
      </c>
      <c r="E249" t="s">
        <v>37</v>
      </c>
      <c r="F249" t="s">
        <v>38</v>
      </c>
      <c r="G249" s="2">
        <v>45838</v>
      </c>
      <c r="H249">
        <v>0</v>
      </c>
      <c r="I249" t="s">
        <v>39</v>
      </c>
      <c r="J249" t="s">
        <v>40</v>
      </c>
      <c r="K249" t="s">
        <v>41</v>
      </c>
      <c r="L249" t="s">
        <v>91</v>
      </c>
      <c r="M249" t="s">
        <v>36</v>
      </c>
      <c r="N249" t="s">
        <v>43</v>
      </c>
      <c r="O249" t="s">
        <v>62</v>
      </c>
      <c r="P249" t="s">
        <v>63</v>
      </c>
      <c r="Q249">
        <v>0.4017456074707566</v>
      </c>
      <c r="R249" t="s">
        <v>64</v>
      </c>
      <c r="S249" t="s">
        <v>65</v>
      </c>
      <c r="T249" t="s">
        <v>57</v>
      </c>
      <c r="V249" t="s">
        <v>64</v>
      </c>
      <c r="Y249" t="s">
        <v>48</v>
      </c>
      <c r="Z249" t="s">
        <v>69</v>
      </c>
      <c r="AA249" t="s">
        <v>70</v>
      </c>
      <c r="AB249" t="s">
        <v>51</v>
      </c>
      <c r="AD249" t="s">
        <v>132</v>
      </c>
      <c r="AI249">
        <v>167.76369365866279</v>
      </c>
      <c r="AJ249">
        <v>1625.8132950106969</v>
      </c>
    </row>
    <row r="250" spans="1:36" x14ac:dyDescent="0.25">
      <c r="A250">
        <v>175</v>
      </c>
      <c r="C250" t="s">
        <v>36</v>
      </c>
      <c r="E250" t="s">
        <v>37</v>
      </c>
      <c r="F250" t="s">
        <v>38</v>
      </c>
      <c r="G250" s="2">
        <v>45839</v>
      </c>
      <c r="I250" t="s">
        <v>72</v>
      </c>
      <c r="J250" t="s">
        <v>40</v>
      </c>
      <c r="K250" t="s">
        <v>41</v>
      </c>
      <c r="L250" t="s">
        <v>42</v>
      </c>
      <c r="M250" t="s">
        <v>36</v>
      </c>
      <c r="O250" t="s">
        <v>62</v>
      </c>
      <c r="P250" t="s">
        <v>63</v>
      </c>
      <c r="Q250">
        <v>22.33512039593889</v>
      </c>
      <c r="R250" t="s">
        <v>64</v>
      </c>
      <c r="S250" t="s">
        <v>65</v>
      </c>
      <c r="V250" t="s">
        <v>70</v>
      </c>
      <c r="Y250" t="s">
        <v>48</v>
      </c>
      <c r="Z250" t="s">
        <v>69</v>
      </c>
      <c r="AA250" t="s">
        <v>76</v>
      </c>
      <c r="AB250" t="s">
        <v>51</v>
      </c>
      <c r="AI250">
        <v>1618.928685742939</v>
      </c>
      <c r="AJ250">
        <v>90387.386968568841</v>
      </c>
    </row>
    <row r="251" spans="1:36" x14ac:dyDescent="0.25">
      <c r="A251">
        <v>176</v>
      </c>
      <c r="C251" t="s">
        <v>36</v>
      </c>
      <c r="E251" t="s">
        <v>37</v>
      </c>
      <c r="F251" t="s">
        <v>38</v>
      </c>
      <c r="G251" s="2">
        <v>45839</v>
      </c>
      <c r="I251" t="s">
        <v>72</v>
      </c>
      <c r="J251" t="s">
        <v>40</v>
      </c>
      <c r="K251" t="s">
        <v>41</v>
      </c>
      <c r="L251" t="s">
        <v>42</v>
      </c>
      <c r="M251" t="s">
        <v>36</v>
      </c>
      <c r="O251" t="s">
        <v>62</v>
      </c>
      <c r="P251" t="s">
        <v>63</v>
      </c>
      <c r="Q251">
        <v>178.4008728467077</v>
      </c>
      <c r="R251" t="s">
        <v>64</v>
      </c>
      <c r="S251" t="s">
        <v>65</v>
      </c>
      <c r="V251" t="s">
        <v>70</v>
      </c>
      <c r="Y251" t="s">
        <v>48</v>
      </c>
      <c r="Z251" t="s">
        <v>69</v>
      </c>
      <c r="AB251" t="s">
        <v>51</v>
      </c>
      <c r="AI251">
        <v>3016.922343913543</v>
      </c>
      <c r="AJ251">
        <v>721965.60590100056</v>
      </c>
    </row>
    <row r="252" spans="1:36" x14ac:dyDescent="0.25">
      <c r="A252">
        <v>177</v>
      </c>
      <c r="C252" t="s">
        <v>36</v>
      </c>
      <c r="E252" t="s">
        <v>37</v>
      </c>
      <c r="F252" t="s">
        <v>38</v>
      </c>
      <c r="G252" s="2">
        <v>45839</v>
      </c>
      <c r="I252" t="s">
        <v>39</v>
      </c>
      <c r="J252" t="s">
        <v>40</v>
      </c>
      <c r="K252" t="s">
        <v>41</v>
      </c>
      <c r="L252" t="s">
        <v>42</v>
      </c>
      <c r="M252" t="s">
        <v>36</v>
      </c>
      <c r="N252" t="s">
        <v>126</v>
      </c>
      <c r="O252" t="s">
        <v>62</v>
      </c>
      <c r="P252" t="s">
        <v>63</v>
      </c>
      <c r="Q252">
        <v>1.6003505965145799</v>
      </c>
      <c r="R252" t="s">
        <v>64</v>
      </c>
      <c r="S252" t="s">
        <v>65</v>
      </c>
      <c r="V252" t="s">
        <v>61</v>
      </c>
      <c r="AB252" t="s">
        <v>51</v>
      </c>
      <c r="AI252">
        <v>335.51594276267377</v>
      </c>
      <c r="AJ252">
        <v>6476.4149952307744</v>
      </c>
    </row>
    <row r="253" spans="1:36" x14ac:dyDescent="0.25">
      <c r="A253">
        <v>179</v>
      </c>
      <c r="C253" t="s">
        <v>36</v>
      </c>
      <c r="E253" t="s">
        <v>37</v>
      </c>
      <c r="F253" t="s">
        <v>38</v>
      </c>
      <c r="G253" s="2">
        <v>45838</v>
      </c>
      <c r="I253" t="s">
        <v>39</v>
      </c>
      <c r="J253" t="s">
        <v>40</v>
      </c>
      <c r="K253" t="s">
        <v>41</v>
      </c>
      <c r="L253" t="s">
        <v>42</v>
      </c>
      <c r="M253" t="s">
        <v>36</v>
      </c>
      <c r="N253" t="s">
        <v>43</v>
      </c>
      <c r="O253" t="s">
        <v>62</v>
      </c>
      <c r="P253" t="s">
        <v>63</v>
      </c>
      <c r="Q253">
        <v>9.0196116715572288</v>
      </c>
      <c r="R253" t="s">
        <v>64</v>
      </c>
      <c r="S253" t="s">
        <v>65</v>
      </c>
      <c r="V253" t="s">
        <v>64</v>
      </c>
      <c r="AB253" t="s">
        <v>51</v>
      </c>
      <c r="AI253">
        <v>784.29306921510829</v>
      </c>
      <c r="AJ253">
        <v>36501.219425327057</v>
      </c>
    </row>
    <row r="254" spans="1:36" x14ac:dyDescent="0.25">
      <c r="A254">
        <v>180</v>
      </c>
      <c r="C254" t="s">
        <v>36</v>
      </c>
      <c r="E254" t="s">
        <v>37</v>
      </c>
      <c r="F254" t="s">
        <v>38</v>
      </c>
      <c r="G254" s="2">
        <v>45838</v>
      </c>
      <c r="I254" t="s">
        <v>39</v>
      </c>
      <c r="J254" t="s">
        <v>40</v>
      </c>
      <c r="K254" t="s">
        <v>41</v>
      </c>
      <c r="L254" t="s">
        <v>42</v>
      </c>
      <c r="M254" t="s">
        <v>36</v>
      </c>
      <c r="N254" t="s">
        <v>43</v>
      </c>
      <c r="O254" t="s">
        <v>62</v>
      </c>
      <c r="P254" t="s">
        <v>63</v>
      </c>
      <c r="Q254">
        <v>0.8581900931282137</v>
      </c>
      <c r="R254" t="s">
        <v>64</v>
      </c>
      <c r="S254" t="s">
        <v>65</v>
      </c>
      <c r="T254" t="s">
        <v>136</v>
      </c>
      <c r="V254" t="s">
        <v>75</v>
      </c>
      <c r="AB254" t="s">
        <v>51</v>
      </c>
      <c r="AI254">
        <v>289.18602291788159</v>
      </c>
      <c r="AJ254">
        <v>3472.9859819460012</v>
      </c>
    </row>
    <row r="255" spans="1:36" x14ac:dyDescent="0.25">
      <c r="A255">
        <v>184</v>
      </c>
      <c r="C255" t="s">
        <v>36</v>
      </c>
      <c r="E255" t="s">
        <v>37</v>
      </c>
      <c r="F255" t="s">
        <v>38</v>
      </c>
      <c r="G255" s="2">
        <v>45839</v>
      </c>
      <c r="I255" t="s">
        <v>72</v>
      </c>
      <c r="J255" t="s">
        <v>40</v>
      </c>
      <c r="K255" t="s">
        <v>41</v>
      </c>
      <c r="L255" t="s">
        <v>42</v>
      </c>
      <c r="M255" t="s">
        <v>36</v>
      </c>
      <c r="O255" t="s">
        <v>62</v>
      </c>
      <c r="P255" t="s">
        <v>63</v>
      </c>
      <c r="Q255">
        <v>11.487504728884019</v>
      </c>
      <c r="R255" t="s">
        <v>64</v>
      </c>
      <c r="S255" t="s">
        <v>65</v>
      </c>
      <c r="V255" t="s">
        <v>70</v>
      </c>
      <c r="Y255" t="s">
        <v>48</v>
      </c>
      <c r="Z255" t="s">
        <v>69</v>
      </c>
      <c r="AA255" t="s">
        <v>75</v>
      </c>
      <c r="AB255" t="s">
        <v>51</v>
      </c>
      <c r="AI255">
        <v>1321.321876041382</v>
      </c>
      <c r="AJ255">
        <v>46488.468243121693</v>
      </c>
    </row>
    <row r="256" spans="1:36" x14ac:dyDescent="0.25">
      <c r="A256">
        <v>185</v>
      </c>
      <c r="C256" t="s">
        <v>36</v>
      </c>
      <c r="E256" t="s">
        <v>37</v>
      </c>
      <c r="F256" t="s">
        <v>38</v>
      </c>
      <c r="G256" s="2">
        <v>45839</v>
      </c>
      <c r="I256" t="s">
        <v>72</v>
      </c>
      <c r="J256" t="s">
        <v>40</v>
      </c>
      <c r="K256" t="s">
        <v>41</v>
      </c>
      <c r="L256" t="s">
        <v>42</v>
      </c>
      <c r="M256" t="s">
        <v>36</v>
      </c>
      <c r="O256" t="s">
        <v>62</v>
      </c>
      <c r="P256" t="s">
        <v>63</v>
      </c>
      <c r="Q256">
        <v>3.142643374144078</v>
      </c>
      <c r="R256" t="s">
        <v>64</v>
      </c>
      <c r="S256" t="s">
        <v>65</v>
      </c>
      <c r="V256" t="s">
        <v>70</v>
      </c>
      <c r="Y256" t="s">
        <v>48</v>
      </c>
      <c r="Z256" t="s">
        <v>69</v>
      </c>
      <c r="AA256" t="s">
        <v>76</v>
      </c>
      <c r="AB256" t="s">
        <v>51</v>
      </c>
      <c r="AI256">
        <v>1535.7277369413839</v>
      </c>
      <c r="AJ256">
        <v>12717.87739342647</v>
      </c>
    </row>
    <row r="257" spans="1:36" x14ac:dyDescent="0.25">
      <c r="A257">
        <v>186</v>
      </c>
      <c r="C257" t="s">
        <v>36</v>
      </c>
      <c r="E257" t="s">
        <v>37</v>
      </c>
      <c r="F257" t="s">
        <v>38</v>
      </c>
      <c r="G257" s="2">
        <v>45839</v>
      </c>
      <c r="I257" t="s">
        <v>72</v>
      </c>
      <c r="J257" t="s">
        <v>40</v>
      </c>
      <c r="K257" t="s">
        <v>41</v>
      </c>
      <c r="L257" t="s">
        <v>42</v>
      </c>
      <c r="M257" t="s">
        <v>36</v>
      </c>
      <c r="O257" t="s">
        <v>62</v>
      </c>
      <c r="P257" t="s">
        <v>63</v>
      </c>
      <c r="Q257">
        <v>20.270448342359401</v>
      </c>
      <c r="R257" t="s">
        <v>64</v>
      </c>
      <c r="S257" t="s">
        <v>65</v>
      </c>
      <c r="V257" t="s">
        <v>70</v>
      </c>
      <c r="Y257" t="s">
        <v>48</v>
      </c>
      <c r="Z257" t="s">
        <v>69</v>
      </c>
      <c r="AA257" t="s">
        <v>75</v>
      </c>
      <c r="AB257" t="s">
        <v>51</v>
      </c>
      <c r="AI257">
        <v>1190.241592972508</v>
      </c>
      <c r="AJ257">
        <v>82031.922186565207</v>
      </c>
    </row>
    <row r="258" spans="1:36" x14ac:dyDescent="0.25">
      <c r="A258">
        <v>187</v>
      </c>
      <c r="C258" t="s">
        <v>36</v>
      </c>
      <c r="E258" t="s">
        <v>37</v>
      </c>
      <c r="F258" t="s">
        <v>38</v>
      </c>
      <c r="G258" s="2">
        <v>45839</v>
      </c>
      <c r="I258" t="s">
        <v>39</v>
      </c>
      <c r="J258" t="s">
        <v>40</v>
      </c>
      <c r="K258" t="s">
        <v>41</v>
      </c>
      <c r="L258" t="s">
        <v>42</v>
      </c>
      <c r="M258" t="s">
        <v>36</v>
      </c>
      <c r="N258" t="s">
        <v>126</v>
      </c>
      <c r="O258" t="s">
        <v>62</v>
      </c>
      <c r="P258" t="s">
        <v>63</v>
      </c>
      <c r="Q258">
        <v>1.418745859248806</v>
      </c>
      <c r="R258" t="s">
        <v>64</v>
      </c>
      <c r="S258" t="s">
        <v>65</v>
      </c>
      <c r="V258" t="s">
        <v>86</v>
      </c>
      <c r="AB258" t="s">
        <v>51</v>
      </c>
      <c r="AI258">
        <v>338.05165880337353</v>
      </c>
      <c r="AJ258">
        <v>5741.4837581665024</v>
      </c>
    </row>
    <row r="259" spans="1:36" x14ac:dyDescent="0.25">
      <c r="A259">
        <v>194</v>
      </c>
      <c r="C259" t="s">
        <v>36</v>
      </c>
      <c r="E259" t="s">
        <v>37</v>
      </c>
      <c r="F259" t="s">
        <v>38</v>
      </c>
      <c r="G259" s="2">
        <v>45839</v>
      </c>
      <c r="I259" t="s">
        <v>39</v>
      </c>
      <c r="J259" t="s">
        <v>40</v>
      </c>
      <c r="K259" t="s">
        <v>41</v>
      </c>
      <c r="L259" t="s">
        <v>42</v>
      </c>
      <c r="M259" t="s">
        <v>36</v>
      </c>
      <c r="N259" t="s">
        <v>126</v>
      </c>
      <c r="O259" t="s">
        <v>62</v>
      </c>
      <c r="P259" t="s">
        <v>63</v>
      </c>
      <c r="Q259">
        <v>6.4525342506901469</v>
      </c>
      <c r="R259" t="s">
        <v>64</v>
      </c>
      <c r="S259" t="s">
        <v>65</v>
      </c>
      <c r="V259" t="s">
        <v>61</v>
      </c>
      <c r="AB259" t="s">
        <v>51</v>
      </c>
      <c r="AI259">
        <v>1315.6713409579661</v>
      </c>
      <c r="AJ259">
        <v>26112.58412339343</v>
      </c>
    </row>
    <row r="260" spans="1:36" x14ac:dyDescent="0.25">
      <c r="A260">
        <v>195</v>
      </c>
      <c r="C260" t="s">
        <v>36</v>
      </c>
      <c r="E260" t="s">
        <v>37</v>
      </c>
      <c r="F260" t="s">
        <v>38</v>
      </c>
      <c r="G260" s="2">
        <v>45839</v>
      </c>
      <c r="I260" t="s">
        <v>39</v>
      </c>
      <c r="J260" t="s">
        <v>40</v>
      </c>
      <c r="K260" t="s">
        <v>41</v>
      </c>
      <c r="L260" t="s">
        <v>42</v>
      </c>
      <c r="M260" t="s">
        <v>36</v>
      </c>
      <c r="N260" t="s">
        <v>126</v>
      </c>
      <c r="O260" t="s">
        <v>62</v>
      </c>
      <c r="P260" t="s">
        <v>63</v>
      </c>
      <c r="Q260">
        <v>15.78250758546177</v>
      </c>
      <c r="R260" t="s">
        <v>64</v>
      </c>
      <c r="S260" t="s">
        <v>65</v>
      </c>
      <c r="V260" t="s">
        <v>61</v>
      </c>
      <c r="AB260" t="s">
        <v>51</v>
      </c>
      <c r="AI260">
        <v>1014.013131463011</v>
      </c>
      <c r="AJ260">
        <v>63869.797662737867</v>
      </c>
    </row>
    <row r="261" spans="1:36" x14ac:dyDescent="0.25">
      <c r="A261">
        <v>198</v>
      </c>
      <c r="C261" t="s">
        <v>36</v>
      </c>
      <c r="E261" t="s">
        <v>37</v>
      </c>
      <c r="F261" t="s">
        <v>38</v>
      </c>
      <c r="G261" s="2">
        <v>45839</v>
      </c>
      <c r="I261" t="s">
        <v>39</v>
      </c>
      <c r="J261" t="s">
        <v>40</v>
      </c>
      <c r="K261" t="s">
        <v>41</v>
      </c>
      <c r="L261" t="s">
        <v>42</v>
      </c>
      <c r="M261" t="s">
        <v>36</v>
      </c>
      <c r="N261" t="s">
        <v>126</v>
      </c>
      <c r="O261" t="s">
        <v>62</v>
      </c>
      <c r="P261" t="s">
        <v>63</v>
      </c>
      <c r="Q261">
        <v>1.660984209609186</v>
      </c>
      <c r="R261" t="s">
        <v>64</v>
      </c>
      <c r="S261" t="s">
        <v>65</v>
      </c>
      <c r="V261" t="s">
        <v>110</v>
      </c>
      <c r="Y261" t="s">
        <v>48</v>
      </c>
      <c r="Z261" t="s">
        <v>69</v>
      </c>
      <c r="AA261" t="s">
        <v>64</v>
      </c>
      <c r="AB261" t="s">
        <v>51</v>
      </c>
      <c r="AI261">
        <v>330.31875789867058</v>
      </c>
      <c r="AJ261">
        <v>6721.7915033010477</v>
      </c>
    </row>
    <row r="262" spans="1:36" x14ac:dyDescent="0.25">
      <c r="A262">
        <v>199</v>
      </c>
      <c r="C262" t="s">
        <v>36</v>
      </c>
      <c r="E262" t="s">
        <v>37</v>
      </c>
      <c r="F262" t="s">
        <v>38</v>
      </c>
      <c r="G262" s="2">
        <v>45839</v>
      </c>
      <c r="I262" t="s">
        <v>39</v>
      </c>
      <c r="J262" t="s">
        <v>40</v>
      </c>
      <c r="K262" t="s">
        <v>41</v>
      </c>
      <c r="L262" t="s">
        <v>42</v>
      </c>
      <c r="M262" t="s">
        <v>36</v>
      </c>
      <c r="N262" t="s">
        <v>126</v>
      </c>
      <c r="O262" t="s">
        <v>62</v>
      </c>
      <c r="P262" t="s">
        <v>63</v>
      </c>
      <c r="Q262">
        <v>1.55577989491599</v>
      </c>
      <c r="R262" t="s">
        <v>64</v>
      </c>
      <c r="S262" t="s">
        <v>65</v>
      </c>
      <c r="V262" t="s">
        <v>110</v>
      </c>
      <c r="Y262" t="s">
        <v>48</v>
      </c>
      <c r="Z262" t="s">
        <v>69</v>
      </c>
      <c r="AA262" t="s">
        <v>64</v>
      </c>
      <c r="AB262" t="s">
        <v>51</v>
      </c>
      <c r="AI262">
        <v>317.96372029983257</v>
      </c>
      <c r="AJ262">
        <v>6296.0430437285631</v>
      </c>
    </row>
    <row r="263" spans="1:36" x14ac:dyDescent="0.25">
      <c r="A263">
        <v>208</v>
      </c>
      <c r="C263" t="s">
        <v>36</v>
      </c>
      <c r="E263" t="s">
        <v>37</v>
      </c>
      <c r="G263" s="2">
        <v>45839</v>
      </c>
      <c r="I263" t="s">
        <v>39</v>
      </c>
      <c r="J263" t="s">
        <v>40</v>
      </c>
      <c r="K263" t="s">
        <v>41</v>
      </c>
      <c r="L263" t="s">
        <v>42</v>
      </c>
      <c r="M263" t="s">
        <v>36</v>
      </c>
      <c r="N263" t="s">
        <v>126</v>
      </c>
      <c r="O263" t="s">
        <v>62</v>
      </c>
      <c r="P263" t="s">
        <v>63</v>
      </c>
      <c r="Q263">
        <v>16.976750262510318</v>
      </c>
      <c r="R263" t="s">
        <v>64</v>
      </c>
      <c r="S263" t="s">
        <v>65</v>
      </c>
      <c r="V263" t="s">
        <v>70</v>
      </c>
      <c r="AB263" t="s">
        <v>51</v>
      </c>
      <c r="AI263">
        <v>1200.342271111429</v>
      </c>
      <c r="AJ263">
        <v>68702.745642028516</v>
      </c>
    </row>
    <row r="264" spans="1:36" x14ac:dyDescent="0.25">
      <c r="A264">
        <v>219</v>
      </c>
      <c r="C264" t="s">
        <v>36</v>
      </c>
      <c r="E264" t="s">
        <v>37</v>
      </c>
      <c r="F264" t="s">
        <v>38</v>
      </c>
      <c r="G264" s="2">
        <v>45839</v>
      </c>
      <c r="I264" t="s">
        <v>39</v>
      </c>
      <c r="J264" t="s">
        <v>40</v>
      </c>
      <c r="K264" t="s">
        <v>41</v>
      </c>
      <c r="L264" t="s">
        <v>42</v>
      </c>
      <c r="M264" t="s">
        <v>36</v>
      </c>
      <c r="N264" t="s">
        <v>43</v>
      </c>
      <c r="O264" t="s">
        <v>62</v>
      </c>
      <c r="P264" t="s">
        <v>63</v>
      </c>
      <c r="Q264">
        <v>1.6142221304094491</v>
      </c>
      <c r="R264" t="s">
        <v>64</v>
      </c>
      <c r="S264" t="s">
        <v>65</v>
      </c>
      <c r="V264" t="s">
        <v>71</v>
      </c>
      <c r="Y264" t="s">
        <v>120</v>
      </c>
      <c r="Z264" t="s">
        <v>69</v>
      </c>
      <c r="AA264" t="s">
        <v>124</v>
      </c>
      <c r="AB264" t="s">
        <v>51</v>
      </c>
      <c r="AI264">
        <v>332.95476645823248</v>
      </c>
      <c r="AJ264">
        <v>6532.5513258068631</v>
      </c>
    </row>
    <row r="265" spans="1:36" x14ac:dyDescent="0.25">
      <c r="A265">
        <v>221</v>
      </c>
      <c r="C265" t="s">
        <v>36</v>
      </c>
      <c r="E265" t="s">
        <v>37</v>
      </c>
      <c r="F265" t="s">
        <v>38</v>
      </c>
      <c r="G265" s="2">
        <v>45839</v>
      </c>
      <c r="I265" t="s">
        <v>39</v>
      </c>
      <c r="J265" t="s">
        <v>40</v>
      </c>
      <c r="K265" t="s">
        <v>41</v>
      </c>
      <c r="L265" t="s">
        <v>42</v>
      </c>
      <c r="M265" t="s">
        <v>36</v>
      </c>
      <c r="N265" t="s">
        <v>43</v>
      </c>
      <c r="O265" t="s">
        <v>62</v>
      </c>
      <c r="P265" t="s">
        <v>63</v>
      </c>
      <c r="Q265">
        <v>7.6672311222630949</v>
      </c>
      <c r="R265" t="s">
        <v>64</v>
      </c>
      <c r="S265" t="s">
        <v>65</v>
      </c>
      <c r="V265" t="s">
        <v>71</v>
      </c>
      <c r="Y265" t="s">
        <v>120</v>
      </c>
      <c r="Z265" t="s">
        <v>69</v>
      </c>
      <c r="AA265" t="s">
        <v>124</v>
      </c>
      <c r="AB265" t="s">
        <v>51</v>
      </c>
      <c r="AI265">
        <v>754.5393706897629</v>
      </c>
      <c r="AJ265">
        <v>31028.307622261938</v>
      </c>
    </row>
    <row r="266" spans="1:36" x14ac:dyDescent="0.25">
      <c r="A266">
        <v>222</v>
      </c>
      <c r="C266" t="s">
        <v>36</v>
      </c>
      <c r="E266" t="s">
        <v>37</v>
      </c>
      <c r="F266" t="s">
        <v>38</v>
      </c>
      <c r="G266" s="2">
        <v>45839</v>
      </c>
      <c r="I266" t="s">
        <v>39</v>
      </c>
      <c r="J266" t="s">
        <v>40</v>
      </c>
      <c r="K266" t="s">
        <v>41</v>
      </c>
      <c r="L266" t="s">
        <v>42</v>
      </c>
      <c r="M266" t="s">
        <v>36</v>
      </c>
      <c r="N266" t="s">
        <v>43</v>
      </c>
      <c r="O266" t="s">
        <v>62</v>
      </c>
      <c r="P266" t="s">
        <v>63</v>
      </c>
      <c r="Q266">
        <v>2.4150047437836371</v>
      </c>
      <c r="R266" t="s">
        <v>64</v>
      </c>
      <c r="S266" t="s">
        <v>65</v>
      </c>
      <c r="V266" t="s">
        <v>71</v>
      </c>
      <c r="Y266" t="s">
        <v>120</v>
      </c>
      <c r="Z266" t="s">
        <v>69</v>
      </c>
      <c r="AA266" t="s">
        <v>124</v>
      </c>
      <c r="AB266" t="s">
        <v>51</v>
      </c>
      <c r="AI266">
        <v>387.24391529242178</v>
      </c>
      <c r="AJ266">
        <v>9773.2165503343876</v>
      </c>
    </row>
    <row r="267" spans="1:36" x14ac:dyDescent="0.25">
      <c r="A267">
        <v>227</v>
      </c>
      <c r="C267" t="s">
        <v>36</v>
      </c>
      <c r="E267" t="s">
        <v>37</v>
      </c>
      <c r="F267" t="s">
        <v>38</v>
      </c>
      <c r="G267" s="2">
        <v>45839</v>
      </c>
      <c r="I267" t="s">
        <v>72</v>
      </c>
      <c r="J267" t="s">
        <v>40</v>
      </c>
      <c r="K267" t="s">
        <v>41</v>
      </c>
      <c r="L267" t="s">
        <v>42</v>
      </c>
      <c r="M267" t="s">
        <v>36</v>
      </c>
      <c r="O267" t="s">
        <v>62</v>
      </c>
      <c r="P267" t="s">
        <v>63</v>
      </c>
      <c r="Q267">
        <v>3.880546775560977</v>
      </c>
      <c r="R267" t="s">
        <v>64</v>
      </c>
      <c r="S267" t="s">
        <v>65</v>
      </c>
      <c r="V267" t="s">
        <v>71</v>
      </c>
      <c r="Y267" t="s">
        <v>120</v>
      </c>
      <c r="Z267" t="s">
        <v>69</v>
      </c>
      <c r="AA267" t="s">
        <v>124</v>
      </c>
      <c r="AB267" t="s">
        <v>51</v>
      </c>
      <c r="AI267">
        <v>571.83132030128627</v>
      </c>
      <c r="AJ267">
        <v>15704.078457353569</v>
      </c>
    </row>
    <row r="268" spans="1:36" x14ac:dyDescent="0.25">
      <c r="A268">
        <v>228</v>
      </c>
      <c r="C268" t="s">
        <v>36</v>
      </c>
      <c r="E268" t="s">
        <v>37</v>
      </c>
      <c r="F268" t="s">
        <v>38</v>
      </c>
      <c r="G268" s="2">
        <v>45839</v>
      </c>
      <c r="I268" t="s">
        <v>39</v>
      </c>
      <c r="J268" t="s">
        <v>40</v>
      </c>
      <c r="K268" t="s">
        <v>41</v>
      </c>
      <c r="L268" t="s">
        <v>42</v>
      </c>
      <c r="M268" t="s">
        <v>36</v>
      </c>
      <c r="N268" t="s">
        <v>43</v>
      </c>
      <c r="O268" t="s">
        <v>62</v>
      </c>
      <c r="P268" t="s">
        <v>63</v>
      </c>
      <c r="Q268">
        <v>19.706568765609688</v>
      </c>
      <c r="R268" t="s">
        <v>64</v>
      </c>
      <c r="S268" t="s">
        <v>65</v>
      </c>
      <c r="V268" t="s">
        <v>71</v>
      </c>
      <c r="Y268" t="s">
        <v>120</v>
      </c>
      <c r="Z268" t="s">
        <v>69</v>
      </c>
      <c r="AA268" t="s">
        <v>124</v>
      </c>
      <c r="AB268" t="s">
        <v>51</v>
      </c>
      <c r="AI268">
        <v>1397.091477815741</v>
      </c>
      <c r="AJ268">
        <v>79749.97337214931</v>
      </c>
    </row>
    <row r="269" spans="1:36" x14ac:dyDescent="0.25">
      <c r="A269">
        <v>233</v>
      </c>
      <c r="C269" t="s">
        <v>36</v>
      </c>
      <c r="E269" t="s">
        <v>37</v>
      </c>
      <c r="F269" t="s">
        <v>38</v>
      </c>
      <c r="G269" s="2">
        <v>45839</v>
      </c>
      <c r="I269" t="s">
        <v>39</v>
      </c>
      <c r="J269" t="s">
        <v>40</v>
      </c>
      <c r="K269" t="s">
        <v>41</v>
      </c>
      <c r="L269" t="s">
        <v>42</v>
      </c>
      <c r="M269" t="s">
        <v>36</v>
      </c>
      <c r="N269" t="s">
        <v>43</v>
      </c>
      <c r="O269" t="s">
        <v>62</v>
      </c>
      <c r="P269" t="s">
        <v>63</v>
      </c>
      <c r="Q269">
        <v>11.304270141987811</v>
      </c>
      <c r="R269" t="s">
        <v>64</v>
      </c>
      <c r="S269" t="s">
        <v>65</v>
      </c>
      <c r="V269" t="s">
        <v>71</v>
      </c>
      <c r="Y269" t="s">
        <v>120</v>
      </c>
      <c r="Z269" t="s">
        <v>69</v>
      </c>
      <c r="AA269" t="s">
        <v>124</v>
      </c>
      <c r="AB269" t="s">
        <v>51</v>
      </c>
      <c r="AI269">
        <v>900.68744535328096</v>
      </c>
      <c r="AJ269">
        <v>45746.941212229787</v>
      </c>
    </row>
    <row r="270" spans="1:36" x14ac:dyDescent="0.25">
      <c r="A270">
        <v>237</v>
      </c>
      <c r="C270" t="s">
        <v>36</v>
      </c>
      <c r="E270" t="s">
        <v>37</v>
      </c>
      <c r="F270" t="s">
        <v>38</v>
      </c>
      <c r="G270" s="2">
        <v>45839</v>
      </c>
      <c r="I270" t="s">
        <v>39</v>
      </c>
      <c r="J270" t="s">
        <v>40</v>
      </c>
      <c r="K270" t="s">
        <v>41</v>
      </c>
      <c r="L270" t="s">
        <v>42</v>
      </c>
      <c r="M270" t="s">
        <v>36</v>
      </c>
      <c r="N270" t="s">
        <v>43</v>
      </c>
      <c r="O270" t="s">
        <v>62</v>
      </c>
      <c r="P270" t="s">
        <v>63</v>
      </c>
      <c r="Q270">
        <v>0.80945320975986079</v>
      </c>
      <c r="R270" t="s">
        <v>64</v>
      </c>
      <c r="S270" t="s">
        <v>65</v>
      </c>
      <c r="V270" t="s">
        <v>71</v>
      </c>
      <c r="Y270" t="s">
        <v>120</v>
      </c>
      <c r="Z270" t="s">
        <v>69</v>
      </c>
      <c r="AA270" t="s">
        <v>124</v>
      </c>
      <c r="AB270" t="s">
        <v>51</v>
      </c>
      <c r="AI270">
        <v>223.86002687917599</v>
      </c>
      <c r="AJ270">
        <v>3275.7540235519782</v>
      </c>
    </row>
    <row r="271" spans="1:36" x14ac:dyDescent="0.25">
      <c r="A271">
        <v>238</v>
      </c>
      <c r="C271" t="s">
        <v>36</v>
      </c>
      <c r="E271" t="s">
        <v>37</v>
      </c>
      <c r="F271" t="s">
        <v>38</v>
      </c>
      <c r="G271" s="2">
        <v>45839</v>
      </c>
      <c r="I271" t="s">
        <v>39</v>
      </c>
      <c r="J271" t="s">
        <v>40</v>
      </c>
      <c r="K271" t="s">
        <v>41</v>
      </c>
      <c r="L271" t="s">
        <v>42</v>
      </c>
      <c r="M271" t="s">
        <v>36</v>
      </c>
      <c r="N271" t="s">
        <v>43</v>
      </c>
      <c r="O271" t="s">
        <v>62</v>
      </c>
      <c r="P271" t="s">
        <v>63</v>
      </c>
      <c r="Q271">
        <v>0.2525366706733978</v>
      </c>
      <c r="R271" t="s">
        <v>64</v>
      </c>
      <c r="S271" t="s">
        <v>65</v>
      </c>
      <c r="V271" t="s">
        <v>71</v>
      </c>
      <c r="Y271" t="s">
        <v>120</v>
      </c>
      <c r="Z271" t="s">
        <v>69</v>
      </c>
      <c r="AA271" t="s">
        <v>124</v>
      </c>
      <c r="AB271" t="s">
        <v>51</v>
      </c>
      <c r="AI271">
        <v>130.8670657955997</v>
      </c>
      <c r="AJ271">
        <v>1021.983735537008</v>
      </c>
    </row>
    <row r="272" spans="1:36" x14ac:dyDescent="0.25">
      <c r="A272">
        <v>239</v>
      </c>
      <c r="C272" t="s">
        <v>36</v>
      </c>
      <c r="E272" t="s">
        <v>37</v>
      </c>
      <c r="F272" t="s">
        <v>38</v>
      </c>
      <c r="G272" s="2">
        <v>45839</v>
      </c>
      <c r="I272" t="s">
        <v>39</v>
      </c>
      <c r="J272" t="s">
        <v>40</v>
      </c>
      <c r="K272" t="s">
        <v>41</v>
      </c>
      <c r="L272" t="s">
        <v>42</v>
      </c>
      <c r="M272" t="s">
        <v>36</v>
      </c>
      <c r="N272" t="s">
        <v>43</v>
      </c>
      <c r="O272" t="s">
        <v>62</v>
      </c>
      <c r="P272" t="s">
        <v>63</v>
      </c>
      <c r="Q272">
        <v>0.30595326905848541</v>
      </c>
      <c r="R272" t="s">
        <v>64</v>
      </c>
      <c r="S272" t="s">
        <v>65</v>
      </c>
      <c r="V272" t="s">
        <v>71</v>
      </c>
      <c r="Y272" t="s">
        <v>120</v>
      </c>
      <c r="Z272" t="s">
        <v>69</v>
      </c>
      <c r="AA272" t="s">
        <v>124</v>
      </c>
      <c r="AB272" t="s">
        <v>51</v>
      </c>
      <c r="AI272">
        <v>142.77876089974981</v>
      </c>
      <c r="AJ272">
        <v>1238.1539044542719</v>
      </c>
    </row>
    <row r="273" spans="1:36" x14ac:dyDescent="0.25">
      <c r="A273">
        <v>240</v>
      </c>
      <c r="C273" t="s">
        <v>36</v>
      </c>
      <c r="E273" t="s">
        <v>37</v>
      </c>
      <c r="F273" t="s">
        <v>38</v>
      </c>
      <c r="G273" s="2">
        <v>45839</v>
      </c>
      <c r="I273" t="s">
        <v>39</v>
      </c>
      <c r="J273" t="s">
        <v>40</v>
      </c>
      <c r="K273" t="s">
        <v>41</v>
      </c>
      <c r="L273" t="s">
        <v>42</v>
      </c>
      <c r="M273" t="s">
        <v>36</v>
      </c>
      <c r="N273" t="s">
        <v>43</v>
      </c>
      <c r="O273" t="s">
        <v>62</v>
      </c>
      <c r="P273" t="s">
        <v>63</v>
      </c>
      <c r="Q273">
        <v>1.1539978460183979</v>
      </c>
      <c r="R273" t="s">
        <v>64</v>
      </c>
      <c r="S273" t="s">
        <v>65</v>
      </c>
      <c r="V273" t="s">
        <v>71</v>
      </c>
      <c r="Y273" t="s">
        <v>120</v>
      </c>
      <c r="Z273" t="s">
        <v>69</v>
      </c>
      <c r="AA273" t="s">
        <v>124</v>
      </c>
      <c r="AB273" t="s">
        <v>51</v>
      </c>
      <c r="AI273">
        <v>327.88405937827753</v>
      </c>
      <c r="AJ273">
        <v>4670.0822749057388</v>
      </c>
    </row>
    <row r="274" spans="1:36" x14ac:dyDescent="0.25">
      <c r="A274">
        <v>245</v>
      </c>
      <c r="C274" t="s">
        <v>36</v>
      </c>
      <c r="E274" t="s">
        <v>37</v>
      </c>
      <c r="F274" t="s">
        <v>38</v>
      </c>
      <c r="G274" s="2">
        <v>45839</v>
      </c>
      <c r="I274" t="s">
        <v>39</v>
      </c>
      <c r="J274" t="s">
        <v>40</v>
      </c>
      <c r="K274" t="s">
        <v>41</v>
      </c>
      <c r="L274" t="s">
        <v>42</v>
      </c>
      <c r="M274" t="s">
        <v>36</v>
      </c>
      <c r="N274" t="s">
        <v>43</v>
      </c>
      <c r="O274" t="s">
        <v>62</v>
      </c>
      <c r="P274" t="s">
        <v>63</v>
      </c>
      <c r="Q274">
        <v>2.030846153232146</v>
      </c>
      <c r="R274" t="s">
        <v>64</v>
      </c>
      <c r="S274" t="s">
        <v>65</v>
      </c>
      <c r="T274" t="s">
        <v>140</v>
      </c>
      <c r="V274" t="s">
        <v>71</v>
      </c>
      <c r="Y274" t="s">
        <v>120</v>
      </c>
      <c r="Z274" t="s">
        <v>69</v>
      </c>
      <c r="AA274" t="s">
        <v>124</v>
      </c>
      <c r="AB274" t="s">
        <v>51</v>
      </c>
      <c r="AI274">
        <v>377.86419584027988</v>
      </c>
      <c r="AJ274">
        <v>8218.5756723836621</v>
      </c>
    </row>
    <row r="275" spans="1:36" x14ac:dyDescent="0.25">
      <c r="A275">
        <v>246</v>
      </c>
      <c r="C275" t="s">
        <v>36</v>
      </c>
      <c r="E275" t="s">
        <v>37</v>
      </c>
      <c r="F275" t="s">
        <v>38</v>
      </c>
      <c r="G275" s="2">
        <v>45839</v>
      </c>
      <c r="I275" t="s">
        <v>39</v>
      </c>
      <c r="J275" t="s">
        <v>40</v>
      </c>
      <c r="K275" t="s">
        <v>41</v>
      </c>
      <c r="L275" t="s">
        <v>42</v>
      </c>
      <c r="M275" t="s">
        <v>36</v>
      </c>
      <c r="N275" t="s">
        <v>43</v>
      </c>
      <c r="O275" t="s">
        <v>62</v>
      </c>
      <c r="P275" t="s">
        <v>63</v>
      </c>
      <c r="Q275">
        <v>0.70273654774986294</v>
      </c>
      <c r="R275" t="s">
        <v>64</v>
      </c>
      <c r="S275" t="s">
        <v>65</v>
      </c>
      <c r="V275" t="s">
        <v>71</v>
      </c>
      <c r="Y275" t="s">
        <v>120</v>
      </c>
      <c r="Z275" t="s">
        <v>69</v>
      </c>
      <c r="AA275" t="s">
        <v>124</v>
      </c>
      <c r="AB275" t="s">
        <v>51</v>
      </c>
      <c r="AI275">
        <v>282.16588713409737</v>
      </c>
      <c r="AJ275">
        <v>2843.8852870465098</v>
      </c>
    </row>
    <row r="276" spans="1:36" x14ac:dyDescent="0.25">
      <c r="A276">
        <v>247</v>
      </c>
      <c r="C276" t="s">
        <v>36</v>
      </c>
      <c r="E276" t="s">
        <v>37</v>
      </c>
      <c r="F276" t="s">
        <v>38</v>
      </c>
      <c r="G276" s="2">
        <v>45839</v>
      </c>
      <c r="I276" t="s">
        <v>39</v>
      </c>
      <c r="J276" t="s">
        <v>40</v>
      </c>
      <c r="K276" t="s">
        <v>41</v>
      </c>
      <c r="L276" t="s">
        <v>42</v>
      </c>
      <c r="M276" t="s">
        <v>36</v>
      </c>
      <c r="N276" t="s">
        <v>43</v>
      </c>
      <c r="O276" t="s">
        <v>62</v>
      </c>
      <c r="P276" t="s">
        <v>63</v>
      </c>
      <c r="Q276">
        <v>6.9095462223075197</v>
      </c>
      <c r="R276" t="s">
        <v>64</v>
      </c>
      <c r="S276" t="s">
        <v>65</v>
      </c>
      <c r="T276" t="s">
        <v>140</v>
      </c>
      <c r="V276" t="s">
        <v>71</v>
      </c>
      <c r="Y276" t="s">
        <v>120</v>
      </c>
      <c r="Z276" t="s">
        <v>69</v>
      </c>
      <c r="AA276" t="s">
        <v>124</v>
      </c>
      <c r="AB276" t="s">
        <v>51</v>
      </c>
      <c r="AI276">
        <v>690.7341773236983</v>
      </c>
      <c r="AJ276">
        <v>27962.053353716408</v>
      </c>
    </row>
    <row r="277" spans="1:36" x14ac:dyDescent="0.25">
      <c r="A277">
        <v>252</v>
      </c>
      <c r="C277" t="s">
        <v>36</v>
      </c>
      <c r="E277" t="s">
        <v>37</v>
      </c>
      <c r="F277" t="s">
        <v>38</v>
      </c>
      <c r="G277" s="2">
        <v>45839</v>
      </c>
      <c r="I277" t="s">
        <v>39</v>
      </c>
      <c r="J277" t="s">
        <v>40</v>
      </c>
      <c r="K277" t="s">
        <v>41</v>
      </c>
      <c r="L277" t="s">
        <v>42</v>
      </c>
      <c r="M277" t="s">
        <v>36</v>
      </c>
      <c r="N277" t="s">
        <v>43</v>
      </c>
      <c r="O277" t="s">
        <v>62</v>
      </c>
      <c r="P277" t="s">
        <v>63</v>
      </c>
      <c r="Q277">
        <v>5.6428683420348804</v>
      </c>
      <c r="R277" t="s">
        <v>64</v>
      </c>
      <c r="S277" t="s">
        <v>65</v>
      </c>
      <c r="V277" t="s">
        <v>71</v>
      </c>
      <c r="Y277" t="s">
        <v>120</v>
      </c>
      <c r="Z277" t="s">
        <v>69</v>
      </c>
      <c r="AA277" t="s">
        <v>124</v>
      </c>
      <c r="AB277" t="s">
        <v>51</v>
      </c>
      <c r="AI277">
        <v>662.63240038571007</v>
      </c>
      <c r="AJ277">
        <v>22835.969334507488</v>
      </c>
    </row>
    <row r="278" spans="1:36" x14ac:dyDescent="0.25">
      <c r="A278">
        <v>253</v>
      </c>
      <c r="C278" t="s">
        <v>36</v>
      </c>
      <c r="E278" t="s">
        <v>37</v>
      </c>
      <c r="F278" t="s">
        <v>38</v>
      </c>
      <c r="G278" s="2">
        <v>45839</v>
      </c>
      <c r="I278" t="s">
        <v>39</v>
      </c>
      <c r="J278" t="s">
        <v>40</v>
      </c>
      <c r="K278" t="s">
        <v>41</v>
      </c>
      <c r="L278" t="s">
        <v>42</v>
      </c>
      <c r="M278" t="s">
        <v>36</v>
      </c>
      <c r="N278" t="s">
        <v>43</v>
      </c>
      <c r="O278" t="s">
        <v>62</v>
      </c>
      <c r="P278" t="s">
        <v>63</v>
      </c>
      <c r="Q278">
        <v>1.3236605478447161</v>
      </c>
      <c r="R278" t="s">
        <v>64</v>
      </c>
      <c r="S278" t="s">
        <v>65</v>
      </c>
      <c r="V278" t="s">
        <v>71</v>
      </c>
      <c r="Y278" t="s">
        <v>120</v>
      </c>
      <c r="Z278" t="s">
        <v>69</v>
      </c>
      <c r="AA278" t="s">
        <v>124</v>
      </c>
      <c r="AB278" t="s">
        <v>51</v>
      </c>
      <c r="AI278">
        <v>448.84522863130297</v>
      </c>
      <c r="AJ278">
        <v>5356.6856158439286</v>
      </c>
    </row>
    <row r="279" spans="1:36" x14ac:dyDescent="0.25">
      <c r="A279">
        <v>254</v>
      </c>
      <c r="C279" t="s">
        <v>36</v>
      </c>
      <c r="E279" t="s">
        <v>37</v>
      </c>
      <c r="F279" t="s">
        <v>38</v>
      </c>
      <c r="G279" s="2">
        <v>45839</v>
      </c>
      <c r="I279" t="s">
        <v>39</v>
      </c>
      <c r="J279" t="s">
        <v>40</v>
      </c>
      <c r="K279" t="s">
        <v>41</v>
      </c>
      <c r="L279" t="s">
        <v>42</v>
      </c>
      <c r="M279" t="s">
        <v>36</v>
      </c>
      <c r="N279" t="s">
        <v>43</v>
      </c>
      <c r="O279" t="s">
        <v>62</v>
      </c>
      <c r="P279" t="s">
        <v>63</v>
      </c>
      <c r="Q279">
        <v>3.8341813881639881</v>
      </c>
      <c r="R279" t="s">
        <v>64</v>
      </c>
      <c r="S279" t="s">
        <v>65</v>
      </c>
      <c r="V279" t="s">
        <v>71</v>
      </c>
      <c r="Y279" t="s">
        <v>120</v>
      </c>
      <c r="Z279" t="s">
        <v>69</v>
      </c>
      <c r="AA279" t="s">
        <v>124</v>
      </c>
      <c r="AB279" t="s">
        <v>51</v>
      </c>
      <c r="AI279">
        <v>554.75730239241216</v>
      </c>
      <c r="AJ279">
        <v>15516.44364105048</v>
      </c>
    </row>
    <row r="280" spans="1:36" x14ac:dyDescent="0.25">
      <c r="A280">
        <v>256</v>
      </c>
      <c r="C280" t="s">
        <v>36</v>
      </c>
      <c r="E280" t="s">
        <v>37</v>
      </c>
      <c r="F280" t="s">
        <v>38</v>
      </c>
      <c r="G280" s="2">
        <v>45839</v>
      </c>
      <c r="I280" t="s">
        <v>39</v>
      </c>
      <c r="J280" t="s">
        <v>40</v>
      </c>
      <c r="K280" t="s">
        <v>41</v>
      </c>
      <c r="L280" t="s">
        <v>42</v>
      </c>
      <c r="M280" t="s">
        <v>36</v>
      </c>
      <c r="N280" t="s">
        <v>43</v>
      </c>
      <c r="O280" t="s">
        <v>62</v>
      </c>
      <c r="P280" t="s">
        <v>63</v>
      </c>
      <c r="Q280">
        <v>1.209251169382515</v>
      </c>
      <c r="R280" t="s">
        <v>64</v>
      </c>
      <c r="S280" t="s">
        <v>65</v>
      </c>
      <c r="V280" t="s">
        <v>71</v>
      </c>
      <c r="Y280" t="s">
        <v>120</v>
      </c>
      <c r="Z280" t="s">
        <v>69</v>
      </c>
      <c r="AA280" t="s">
        <v>124</v>
      </c>
      <c r="AB280" t="s">
        <v>51</v>
      </c>
      <c r="AI280">
        <v>282.83393023702553</v>
      </c>
      <c r="AJ280">
        <v>4893.685435832509</v>
      </c>
    </row>
    <row r="281" spans="1:36" x14ac:dyDescent="0.25">
      <c r="A281">
        <v>261</v>
      </c>
      <c r="C281" t="s">
        <v>36</v>
      </c>
      <c r="E281" t="s">
        <v>37</v>
      </c>
      <c r="F281" t="s">
        <v>38</v>
      </c>
      <c r="G281" s="2">
        <v>45839</v>
      </c>
      <c r="I281" t="s">
        <v>39</v>
      </c>
      <c r="J281" t="s">
        <v>40</v>
      </c>
      <c r="K281" t="s">
        <v>41</v>
      </c>
      <c r="L281" t="s">
        <v>42</v>
      </c>
      <c r="M281" t="s">
        <v>36</v>
      </c>
      <c r="N281" t="s">
        <v>43</v>
      </c>
      <c r="O281" t="s">
        <v>62</v>
      </c>
      <c r="P281" t="s">
        <v>63</v>
      </c>
      <c r="Q281">
        <v>1.111017482311792</v>
      </c>
      <c r="R281" t="s">
        <v>64</v>
      </c>
      <c r="S281" t="s">
        <v>65</v>
      </c>
      <c r="V281" t="s">
        <v>71</v>
      </c>
      <c r="Y281" t="s">
        <v>120</v>
      </c>
      <c r="Z281" t="s">
        <v>69</v>
      </c>
      <c r="AA281" t="s">
        <v>124</v>
      </c>
      <c r="AB281" t="s">
        <v>51</v>
      </c>
      <c r="AI281">
        <v>324.9758187540308</v>
      </c>
      <c r="AJ281">
        <v>4496.1462182590403</v>
      </c>
    </row>
    <row r="282" spans="1:36" x14ac:dyDescent="0.25">
      <c r="A282">
        <v>262</v>
      </c>
      <c r="C282" t="s">
        <v>36</v>
      </c>
      <c r="E282" t="s">
        <v>37</v>
      </c>
      <c r="F282" t="s">
        <v>38</v>
      </c>
      <c r="G282" s="2">
        <v>45839</v>
      </c>
      <c r="I282" t="s">
        <v>39</v>
      </c>
      <c r="J282" t="s">
        <v>40</v>
      </c>
      <c r="K282" t="s">
        <v>41</v>
      </c>
      <c r="L282" t="s">
        <v>42</v>
      </c>
      <c r="M282" t="s">
        <v>36</v>
      </c>
      <c r="N282" t="s">
        <v>43</v>
      </c>
      <c r="O282" t="s">
        <v>62</v>
      </c>
      <c r="P282" t="s">
        <v>63</v>
      </c>
      <c r="Q282">
        <v>0.30736540133619522</v>
      </c>
      <c r="R282" t="s">
        <v>64</v>
      </c>
      <c r="S282" t="s">
        <v>65</v>
      </c>
      <c r="V282" t="s">
        <v>71</v>
      </c>
      <c r="Y282" t="s">
        <v>120</v>
      </c>
      <c r="Z282" t="s">
        <v>69</v>
      </c>
      <c r="AA282" t="s">
        <v>124</v>
      </c>
      <c r="AB282" t="s">
        <v>51</v>
      </c>
      <c r="AI282">
        <v>143.44675567698289</v>
      </c>
      <c r="AJ282">
        <v>1243.868623890455</v>
      </c>
    </row>
    <row r="283" spans="1:36" x14ac:dyDescent="0.25">
      <c r="A283">
        <v>263</v>
      </c>
      <c r="C283" t="s">
        <v>36</v>
      </c>
      <c r="E283" t="s">
        <v>37</v>
      </c>
      <c r="F283" t="s">
        <v>38</v>
      </c>
      <c r="G283" s="2">
        <v>45839</v>
      </c>
      <c r="I283" t="s">
        <v>39</v>
      </c>
      <c r="J283" t="s">
        <v>40</v>
      </c>
      <c r="K283" t="s">
        <v>41</v>
      </c>
      <c r="L283" t="s">
        <v>42</v>
      </c>
      <c r="M283" t="s">
        <v>36</v>
      </c>
      <c r="N283" t="s">
        <v>43</v>
      </c>
      <c r="O283" t="s">
        <v>62</v>
      </c>
      <c r="P283" t="s">
        <v>63</v>
      </c>
      <c r="Q283">
        <v>0.1500292744310861</v>
      </c>
      <c r="R283" t="s">
        <v>64</v>
      </c>
      <c r="S283" t="s">
        <v>65</v>
      </c>
      <c r="V283" t="s">
        <v>71</v>
      </c>
      <c r="Y283" t="s">
        <v>120</v>
      </c>
      <c r="Z283" t="s">
        <v>69</v>
      </c>
      <c r="AA283" t="s">
        <v>124</v>
      </c>
      <c r="AB283" t="s">
        <v>51</v>
      </c>
      <c r="AI283">
        <v>115.0575797153883</v>
      </c>
      <c r="AJ283">
        <v>607.14936137446966</v>
      </c>
    </row>
    <row r="284" spans="1:36" x14ac:dyDescent="0.25">
      <c r="A284">
        <v>264</v>
      </c>
      <c r="C284" t="s">
        <v>36</v>
      </c>
      <c r="E284" t="s">
        <v>37</v>
      </c>
      <c r="F284" t="s">
        <v>38</v>
      </c>
      <c r="G284" s="2">
        <v>45839</v>
      </c>
      <c r="I284" t="s">
        <v>39</v>
      </c>
      <c r="J284" t="s">
        <v>40</v>
      </c>
      <c r="K284" t="s">
        <v>41</v>
      </c>
      <c r="L284" t="s">
        <v>42</v>
      </c>
      <c r="M284" t="s">
        <v>36</v>
      </c>
      <c r="N284" t="s">
        <v>43</v>
      </c>
      <c r="O284" t="s">
        <v>62</v>
      </c>
      <c r="P284" t="s">
        <v>63</v>
      </c>
      <c r="Q284">
        <v>0.87236870588870341</v>
      </c>
      <c r="R284" t="s">
        <v>64</v>
      </c>
      <c r="S284" t="s">
        <v>65</v>
      </c>
      <c r="V284" t="s">
        <v>71</v>
      </c>
      <c r="Y284" t="s">
        <v>120</v>
      </c>
      <c r="Z284" t="s">
        <v>69</v>
      </c>
      <c r="AA284" t="s">
        <v>124</v>
      </c>
      <c r="AB284" t="s">
        <v>51</v>
      </c>
      <c r="AI284">
        <v>243.49110743725041</v>
      </c>
      <c r="AJ284">
        <v>3530.365021572441</v>
      </c>
    </row>
    <row r="285" spans="1:36" x14ac:dyDescent="0.25">
      <c r="A285">
        <v>265</v>
      </c>
      <c r="C285" t="s">
        <v>36</v>
      </c>
      <c r="E285" t="s">
        <v>37</v>
      </c>
      <c r="F285" t="s">
        <v>38</v>
      </c>
      <c r="G285" s="2">
        <v>45839</v>
      </c>
      <c r="I285" t="s">
        <v>39</v>
      </c>
      <c r="J285" t="s">
        <v>40</v>
      </c>
      <c r="K285" t="s">
        <v>41</v>
      </c>
      <c r="L285" t="s">
        <v>42</v>
      </c>
      <c r="M285" t="s">
        <v>36</v>
      </c>
      <c r="N285" t="s">
        <v>43</v>
      </c>
      <c r="O285" t="s">
        <v>62</v>
      </c>
      <c r="P285" t="s">
        <v>63</v>
      </c>
      <c r="Q285">
        <v>0.68042611001155251</v>
      </c>
      <c r="R285" t="s">
        <v>64</v>
      </c>
      <c r="S285" t="s">
        <v>65</v>
      </c>
      <c r="V285" t="s">
        <v>71</v>
      </c>
      <c r="Y285" t="s">
        <v>120</v>
      </c>
      <c r="Z285" t="s">
        <v>69</v>
      </c>
      <c r="AA285" t="s">
        <v>124</v>
      </c>
      <c r="AB285" t="s">
        <v>51</v>
      </c>
      <c r="AI285">
        <v>247.33156897779159</v>
      </c>
      <c r="AJ285">
        <v>2753.597787649036</v>
      </c>
    </row>
    <row r="286" spans="1:36" x14ac:dyDescent="0.25">
      <c r="A286">
        <v>266</v>
      </c>
      <c r="C286" t="s">
        <v>36</v>
      </c>
      <c r="E286" t="s">
        <v>37</v>
      </c>
      <c r="F286" t="s">
        <v>38</v>
      </c>
      <c r="G286" s="2">
        <v>45839</v>
      </c>
      <c r="I286" t="s">
        <v>39</v>
      </c>
      <c r="J286" t="s">
        <v>40</v>
      </c>
      <c r="K286" t="s">
        <v>41</v>
      </c>
      <c r="L286" t="s">
        <v>42</v>
      </c>
      <c r="M286" t="s">
        <v>36</v>
      </c>
      <c r="N286" t="s">
        <v>43</v>
      </c>
      <c r="O286" t="s">
        <v>62</v>
      </c>
      <c r="P286" t="s">
        <v>63</v>
      </c>
      <c r="Q286">
        <v>0.64052650189379079</v>
      </c>
      <c r="R286" t="s">
        <v>64</v>
      </c>
      <c r="S286" t="s">
        <v>65</v>
      </c>
      <c r="V286" t="s">
        <v>71</v>
      </c>
      <c r="Y286" t="s">
        <v>120</v>
      </c>
      <c r="Z286" t="s">
        <v>69</v>
      </c>
      <c r="AA286" t="s">
        <v>124</v>
      </c>
      <c r="AB286" t="s">
        <v>51</v>
      </c>
      <c r="AI286">
        <v>232.89087374416289</v>
      </c>
      <c r="AJ286">
        <v>2592.1291564125499</v>
      </c>
    </row>
    <row r="287" spans="1:36" x14ac:dyDescent="0.25">
      <c r="A287">
        <v>267</v>
      </c>
      <c r="C287" t="s">
        <v>36</v>
      </c>
      <c r="E287" t="s">
        <v>37</v>
      </c>
      <c r="F287" t="s">
        <v>38</v>
      </c>
      <c r="G287" s="2">
        <v>45839</v>
      </c>
      <c r="I287" t="s">
        <v>39</v>
      </c>
      <c r="J287" t="s">
        <v>40</v>
      </c>
      <c r="K287" t="s">
        <v>41</v>
      </c>
      <c r="L287" t="s">
        <v>42</v>
      </c>
      <c r="M287" t="s">
        <v>36</v>
      </c>
      <c r="N287" t="s">
        <v>43</v>
      </c>
      <c r="O287" t="s">
        <v>62</v>
      </c>
      <c r="P287" t="s">
        <v>63</v>
      </c>
      <c r="Q287">
        <v>0.17253250435255249</v>
      </c>
      <c r="R287" t="s">
        <v>64</v>
      </c>
      <c r="S287" t="s">
        <v>65</v>
      </c>
      <c r="V287" t="s">
        <v>71</v>
      </c>
      <c r="Y287" t="s">
        <v>120</v>
      </c>
      <c r="Z287" t="s">
        <v>69</v>
      </c>
      <c r="AA287" t="s">
        <v>124</v>
      </c>
      <c r="AB287" t="s">
        <v>51</v>
      </c>
      <c r="AI287">
        <v>110.06671419385709</v>
      </c>
      <c r="AJ287">
        <v>698.21706617735504</v>
      </c>
    </row>
    <row r="288" spans="1:36" x14ac:dyDescent="0.25">
      <c r="A288">
        <v>268</v>
      </c>
      <c r="C288" t="s">
        <v>36</v>
      </c>
      <c r="E288" t="s">
        <v>37</v>
      </c>
      <c r="F288" t="s">
        <v>38</v>
      </c>
      <c r="G288" s="2">
        <v>45839</v>
      </c>
      <c r="I288" t="s">
        <v>39</v>
      </c>
      <c r="J288" t="s">
        <v>40</v>
      </c>
      <c r="K288" t="s">
        <v>41</v>
      </c>
      <c r="L288" t="s">
        <v>42</v>
      </c>
      <c r="M288" t="s">
        <v>36</v>
      </c>
      <c r="N288" t="s">
        <v>43</v>
      </c>
      <c r="O288" t="s">
        <v>62</v>
      </c>
      <c r="P288" t="s">
        <v>63</v>
      </c>
      <c r="Q288">
        <v>0.2482955834324154</v>
      </c>
      <c r="R288" t="s">
        <v>64</v>
      </c>
      <c r="S288" t="s">
        <v>65</v>
      </c>
      <c r="V288" t="s">
        <v>71</v>
      </c>
      <c r="Y288" t="s">
        <v>120</v>
      </c>
      <c r="Z288" t="s">
        <v>69</v>
      </c>
      <c r="AA288" t="s">
        <v>124</v>
      </c>
      <c r="AB288" t="s">
        <v>51</v>
      </c>
      <c r="AI288">
        <v>138.941442168733</v>
      </c>
      <c r="AJ288">
        <v>1004.820595745389</v>
      </c>
    </row>
    <row r="289" spans="1:36" x14ac:dyDescent="0.25">
      <c r="A289">
        <v>269</v>
      </c>
      <c r="C289" t="s">
        <v>36</v>
      </c>
      <c r="E289" t="s">
        <v>37</v>
      </c>
      <c r="F289" t="s">
        <v>38</v>
      </c>
      <c r="G289" s="2">
        <v>45839</v>
      </c>
      <c r="I289" t="s">
        <v>39</v>
      </c>
      <c r="J289" t="s">
        <v>40</v>
      </c>
      <c r="K289" t="s">
        <v>41</v>
      </c>
      <c r="L289" t="s">
        <v>42</v>
      </c>
      <c r="M289" t="s">
        <v>36</v>
      </c>
      <c r="N289" t="s">
        <v>43</v>
      </c>
      <c r="O289" t="s">
        <v>62</v>
      </c>
      <c r="P289" t="s">
        <v>63</v>
      </c>
      <c r="Q289">
        <v>1.6662872497217991</v>
      </c>
      <c r="R289" t="s">
        <v>64</v>
      </c>
      <c r="S289" t="s">
        <v>65</v>
      </c>
      <c r="V289" t="s">
        <v>71</v>
      </c>
      <c r="Y289" t="s">
        <v>120</v>
      </c>
      <c r="Z289" t="s">
        <v>69</v>
      </c>
      <c r="AA289" t="s">
        <v>124</v>
      </c>
      <c r="AB289" t="s">
        <v>51</v>
      </c>
      <c r="AI289">
        <v>342.81914981116148</v>
      </c>
      <c r="AJ289">
        <v>6743.2522310818467</v>
      </c>
    </row>
    <row r="290" spans="1:36" x14ac:dyDescent="0.25">
      <c r="A290">
        <v>270</v>
      </c>
      <c r="C290" t="s">
        <v>36</v>
      </c>
      <c r="E290" t="s">
        <v>37</v>
      </c>
      <c r="F290" t="s">
        <v>38</v>
      </c>
      <c r="G290" s="2">
        <v>45839</v>
      </c>
      <c r="I290" t="s">
        <v>39</v>
      </c>
      <c r="J290" t="s">
        <v>40</v>
      </c>
      <c r="K290" t="s">
        <v>41</v>
      </c>
      <c r="L290" t="s">
        <v>42</v>
      </c>
      <c r="M290" t="s">
        <v>36</v>
      </c>
      <c r="N290" t="s">
        <v>43</v>
      </c>
      <c r="O290" t="s">
        <v>62</v>
      </c>
      <c r="P290" t="s">
        <v>63</v>
      </c>
      <c r="Q290">
        <v>0.70947766495239106</v>
      </c>
      <c r="R290" t="s">
        <v>64</v>
      </c>
      <c r="S290" t="s">
        <v>65</v>
      </c>
      <c r="V290" t="s">
        <v>71</v>
      </c>
      <c r="Y290" t="s">
        <v>120</v>
      </c>
      <c r="Z290" t="s">
        <v>69</v>
      </c>
      <c r="AA290" t="s">
        <v>124</v>
      </c>
      <c r="AB290" t="s">
        <v>51</v>
      </c>
      <c r="AI290">
        <v>232.34308722271069</v>
      </c>
      <c r="AJ290">
        <v>2871.1657296133731</v>
      </c>
    </row>
    <row r="291" spans="1:36" x14ac:dyDescent="0.25">
      <c r="A291">
        <v>271</v>
      </c>
      <c r="B291" t="s">
        <v>143</v>
      </c>
      <c r="C291" t="s">
        <v>36</v>
      </c>
      <c r="E291" t="s">
        <v>37</v>
      </c>
      <c r="F291" t="s">
        <v>38</v>
      </c>
      <c r="G291" s="2">
        <v>45838</v>
      </c>
      <c r="H291">
        <v>7.4</v>
      </c>
      <c r="I291" t="s">
        <v>39</v>
      </c>
      <c r="J291" t="s">
        <v>40</v>
      </c>
      <c r="K291" t="s">
        <v>41</v>
      </c>
      <c r="L291" t="s">
        <v>42</v>
      </c>
      <c r="M291" t="s">
        <v>36</v>
      </c>
      <c r="N291" t="s">
        <v>43</v>
      </c>
      <c r="O291" t="s">
        <v>62</v>
      </c>
      <c r="P291" t="s">
        <v>63</v>
      </c>
      <c r="Q291">
        <v>5.0475496169195297</v>
      </c>
      <c r="R291" t="s">
        <v>64</v>
      </c>
      <c r="S291" t="s">
        <v>65</v>
      </c>
      <c r="V291" t="s">
        <v>71</v>
      </c>
      <c r="Y291" t="s">
        <v>120</v>
      </c>
      <c r="Z291" t="s">
        <v>69</v>
      </c>
      <c r="AA291" t="s">
        <v>124</v>
      </c>
      <c r="AB291" t="s">
        <v>51</v>
      </c>
      <c r="AC291" t="s">
        <v>144</v>
      </c>
      <c r="AD291" t="s">
        <v>145</v>
      </c>
      <c r="AI291">
        <v>598.09497402766601</v>
      </c>
      <c r="AJ291">
        <v>20426.79029169292</v>
      </c>
    </row>
    <row r="292" spans="1:36" x14ac:dyDescent="0.25">
      <c r="A292">
        <v>272</v>
      </c>
      <c r="C292" t="s">
        <v>36</v>
      </c>
      <c r="E292" t="s">
        <v>37</v>
      </c>
      <c r="F292" t="s">
        <v>38</v>
      </c>
      <c r="G292" s="2">
        <v>45839</v>
      </c>
      <c r="I292" t="s">
        <v>39</v>
      </c>
      <c r="J292" t="s">
        <v>40</v>
      </c>
      <c r="K292" t="s">
        <v>41</v>
      </c>
      <c r="L292" t="s">
        <v>42</v>
      </c>
      <c r="M292" t="s">
        <v>36</v>
      </c>
      <c r="N292" t="s">
        <v>43</v>
      </c>
      <c r="O292" t="s">
        <v>62</v>
      </c>
      <c r="P292" t="s">
        <v>63</v>
      </c>
      <c r="Q292">
        <v>0.48692483078454718</v>
      </c>
      <c r="R292" t="s">
        <v>64</v>
      </c>
      <c r="S292" t="s">
        <v>65</v>
      </c>
      <c r="V292" t="s">
        <v>71</v>
      </c>
      <c r="Y292" t="s">
        <v>120</v>
      </c>
      <c r="Z292" t="s">
        <v>69</v>
      </c>
      <c r="AA292" t="s">
        <v>124</v>
      </c>
      <c r="AB292" t="s">
        <v>51</v>
      </c>
      <c r="AI292">
        <v>197.4910814845509</v>
      </c>
      <c r="AJ292">
        <v>1970.522760769639</v>
      </c>
    </row>
    <row r="293" spans="1:36" x14ac:dyDescent="0.25">
      <c r="A293">
        <v>274</v>
      </c>
      <c r="C293" t="s">
        <v>36</v>
      </c>
      <c r="E293" t="s">
        <v>37</v>
      </c>
      <c r="F293" t="s">
        <v>38</v>
      </c>
      <c r="G293" s="2">
        <v>45838</v>
      </c>
      <c r="I293" t="s">
        <v>39</v>
      </c>
      <c r="J293" t="s">
        <v>40</v>
      </c>
      <c r="K293" t="s">
        <v>41</v>
      </c>
      <c r="L293" t="s">
        <v>42</v>
      </c>
      <c r="M293" t="s">
        <v>36</v>
      </c>
      <c r="N293" t="s">
        <v>43</v>
      </c>
      <c r="O293" t="s">
        <v>62</v>
      </c>
      <c r="P293" t="s">
        <v>63</v>
      </c>
      <c r="Q293">
        <v>0.35775556349129578</v>
      </c>
      <c r="R293" t="s">
        <v>64</v>
      </c>
      <c r="S293" t="s">
        <v>65</v>
      </c>
      <c r="V293" t="s">
        <v>71</v>
      </c>
      <c r="Y293" t="s">
        <v>120</v>
      </c>
      <c r="Z293" t="s">
        <v>69</v>
      </c>
      <c r="AA293" t="s">
        <v>139</v>
      </c>
      <c r="AB293" t="s">
        <v>51</v>
      </c>
      <c r="AI293">
        <v>175.92358873803221</v>
      </c>
      <c r="AJ293">
        <v>1447.791190923054</v>
      </c>
    </row>
    <row r="294" spans="1:36" x14ac:dyDescent="0.25">
      <c r="A294">
        <v>280</v>
      </c>
      <c r="C294" t="s">
        <v>36</v>
      </c>
      <c r="E294" t="s">
        <v>37</v>
      </c>
      <c r="F294" t="s">
        <v>38</v>
      </c>
      <c r="G294" s="2">
        <v>45839</v>
      </c>
      <c r="I294" t="s">
        <v>39</v>
      </c>
      <c r="J294" t="s">
        <v>40</v>
      </c>
      <c r="K294" t="s">
        <v>41</v>
      </c>
      <c r="L294" t="s">
        <v>42</v>
      </c>
      <c r="M294" t="s">
        <v>36</v>
      </c>
      <c r="N294" t="s">
        <v>43</v>
      </c>
      <c r="O294" t="s">
        <v>62</v>
      </c>
      <c r="P294" t="s">
        <v>63</v>
      </c>
      <c r="Q294">
        <v>0.39146396338998118</v>
      </c>
      <c r="R294" t="s">
        <v>64</v>
      </c>
      <c r="S294" t="s">
        <v>65</v>
      </c>
      <c r="V294" t="s">
        <v>119</v>
      </c>
      <c r="Y294" t="s">
        <v>120</v>
      </c>
      <c r="Z294" t="s">
        <v>69</v>
      </c>
      <c r="AA294" t="s">
        <v>121</v>
      </c>
      <c r="AB294" t="s">
        <v>51</v>
      </c>
      <c r="AI294">
        <v>164.84106568797699</v>
      </c>
      <c r="AJ294">
        <v>1584.204791195732</v>
      </c>
    </row>
    <row r="295" spans="1:36" x14ac:dyDescent="0.25">
      <c r="A295">
        <v>285</v>
      </c>
      <c r="C295" t="s">
        <v>36</v>
      </c>
      <c r="E295" t="s">
        <v>37</v>
      </c>
      <c r="F295" t="s">
        <v>38</v>
      </c>
      <c r="G295" s="2">
        <v>45838</v>
      </c>
      <c r="I295" t="s">
        <v>39</v>
      </c>
      <c r="J295" t="s">
        <v>40</v>
      </c>
      <c r="K295" t="s">
        <v>41</v>
      </c>
      <c r="L295" t="s">
        <v>42</v>
      </c>
      <c r="M295" t="s">
        <v>36</v>
      </c>
      <c r="N295" t="s">
        <v>43</v>
      </c>
      <c r="O295" t="s">
        <v>62</v>
      </c>
      <c r="P295" t="s">
        <v>63</v>
      </c>
      <c r="Q295">
        <v>21.055074847737799</v>
      </c>
      <c r="R295" t="s">
        <v>64</v>
      </c>
      <c r="S295" t="s">
        <v>65</v>
      </c>
      <c r="V295" t="s">
        <v>76</v>
      </c>
      <c r="AB295" t="s">
        <v>51</v>
      </c>
      <c r="AI295">
        <v>1456.403101032633</v>
      </c>
      <c r="AJ295">
        <v>85207.205700162362</v>
      </c>
    </row>
    <row r="296" spans="1:36" x14ac:dyDescent="0.25">
      <c r="A296">
        <v>286</v>
      </c>
      <c r="C296" t="s">
        <v>36</v>
      </c>
      <c r="E296" t="s">
        <v>37</v>
      </c>
      <c r="F296" t="s">
        <v>38</v>
      </c>
      <c r="G296" s="2">
        <v>45838</v>
      </c>
      <c r="I296" t="s">
        <v>39</v>
      </c>
      <c r="J296" t="s">
        <v>40</v>
      </c>
      <c r="K296" t="s">
        <v>41</v>
      </c>
      <c r="L296" t="s">
        <v>42</v>
      </c>
      <c r="M296" t="s">
        <v>36</v>
      </c>
      <c r="N296" t="s">
        <v>43</v>
      </c>
      <c r="O296" t="s">
        <v>62</v>
      </c>
      <c r="P296" t="s">
        <v>63</v>
      </c>
      <c r="Q296">
        <v>1.9806441318782171</v>
      </c>
      <c r="R296" t="s">
        <v>64</v>
      </c>
      <c r="S296" t="s">
        <v>65</v>
      </c>
      <c r="V296" t="s">
        <v>60</v>
      </c>
      <c r="Y296" t="s">
        <v>48</v>
      </c>
      <c r="Z296" t="s">
        <v>49</v>
      </c>
      <c r="AA296" t="s">
        <v>61</v>
      </c>
      <c r="AB296" t="s">
        <v>51</v>
      </c>
      <c r="AI296">
        <v>665.54406103001656</v>
      </c>
      <c r="AJ296">
        <v>8015.4144872061224</v>
      </c>
    </row>
    <row r="297" spans="1:36" x14ac:dyDescent="0.25">
      <c r="A297">
        <v>290</v>
      </c>
      <c r="C297" t="s">
        <v>36</v>
      </c>
      <c r="E297" t="s">
        <v>37</v>
      </c>
      <c r="F297" t="s">
        <v>38</v>
      </c>
      <c r="G297" s="2">
        <v>45838</v>
      </c>
      <c r="I297" t="s">
        <v>39</v>
      </c>
      <c r="J297" t="s">
        <v>40</v>
      </c>
      <c r="K297" t="s">
        <v>41</v>
      </c>
      <c r="L297" t="s">
        <v>42</v>
      </c>
      <c r="M297" t="s">
        <v>36</v>
      </c>
      <c r="N297" t="s">
        <v>43</v>
      </c>
      <c r="O297" t="s">
        <v>62</v>
      </c>
      <c r="P297" t="s">
        <v>63</v>
      </c>
      <c r="Q297">
        <v>2.1681089923721268</v>
      </c>
      <c r="R297" t="s">
        <v>64</v>
      </c>
      <c r="S297" t="s">
        <v>65</v>
      </c>
      <c r="V297" t="s">
        <v>73</v>
      </c>
      <c r="Y297" t="s">
        <v>48</v>
      </c>
      <c r="Z297" t="s">
        <v>69</v>
      </c>
      <c r="AA297" t="s">
        <v>71</v>
      </c>
      <c r="AB297" t="s">
        <v>51</v>
      </c>
      <c r="AI297">
        <v>687.04272860348919</v>
      </c>
      <c r="AJ297">
        <v>8774.0608964528237</v>
      </c>
    </row>
    <row r="298" spans="1:36" x14ac:dyDescent="0.25">
      <c r="A298">
        <v>293</v>
      </c>
      <c r="C298" t="s">
        <v>36</v>
      </c>
      <c r="E298" t="s">
        <v>37</v>
      </c>
      <c r="F298" t="s">
        <v>38</v>
      </c>
      <c r="G298" s="2">
        <v>45839</v>
      </c>
      <c r="I298" t="s">
        <v>39</v>
      </c>
      <c r="J298" t="s">
        <v>40</v>
      </c>
      <c r="K298" t="s">
        <v>41</v>
      </c>
      <c r="L298" t="s">
        <v>42</v>
      </c>
      <c r="M298" t="s">
        <v>36</v>
      </c>
      <c r="N298" t="s">
        <v>43</v>
      </c>
      <c r="O298" t="s">
        <v>62</v>
      </c>
      <c r="P298" t="s">
        <v>63</v>
      </c>
      <c r="Q298">
        <v>0.40245004616940538</v>
      </c>
      <c r="R298" t="s">
        <v>64</v>
      </c>
      <c r="S298" t="s">
        <v>65</v>
      </c>
      <c r="V298" t="s">
        <v>71</v>
      </c>
      <c r="Y298" t="s">
        <v>120</v>
      </c>
      <c r="Z298" t="s">
        <v>69</v>
      </c>
      <c r="AA298" t="s">
        <v>124</v>
      </c>
      <c r="AB298" t="s">
        <v>51</v>
      </c>
      <c r="AI298">
        <v>162.32490578576451</v>
      </c>
      <c r="AJ298">
        <v>1628.6640686855951</v>
      </c>
    </row>
    <row r="299" spans="1:36" x14ac:dyDescent="0.25">
      <c r="A299">
        <v>295</v>
      </c>
      <c r="C299" t="s">
        <v>36</v>
      </c>
      <c r="E299" t="s">
        <v>37</v>
      </c>
      <c r="F299" t="s">
        <v>38</v>
      </c>
      <c r="G299" s="2">
        <v>45839</v>
      </c>
      <c r="I299" t="s">
        <v>72</v>
      </c>
      <c r="J299" t="s">
        <v>40</v>
      </c>
      <c r="K299" t="s">
        <v>41</v>
      </c>
      <c r="L299" t="s">
        <v>42</v>
      </c>
      <c r="M299" t="s">
        <v>36</v>
      </c>
      <c r="O299" t="s">
        <v>62</v>
      </c>
      <c r="P299" t="s">
        <v>63</v>
      </c>
      <c r="Q299">
        <v>4.7402802047258552</v>
      </c>
      <c r="R299" t="s">
        <v>64</v>
      </c>
      <c r="S299" t="s">
        <v>65</v>
      </c>
      <c r="V299" t="s">
        <v>71</v>
      </c>
      <c r="Y299" t="s">
        <v>120</v>
      </c>
      <c r="Z299" t="s">
        <v>69</v>
      </c>
      <c r="AA299" t="s">
        <v>124</v>
      </c>
      <c r="AB299" t="s">
        <v>51</v>
      </c>
      <c r="AI299">
        <v>634.54856867771878</v>
      </c>
      <c r="AJ299">
        <v>19183.310123634179</v>
      </c>
    </row>
    <row r="300" spans="1:36" x14ac:dyDescent="0.25">
      <c r="A300">
        <v>300</v>
      </c>
      <c r="C300" t="s">
        <v>36</v>
      </c>
      <c r="E300" t="s">
        <v>37</v>
      </c>
      <c r="F300" t="s">
        <v>38</v>
      </c>
      <c r="G300" s="2">
        <v>45838</v>
      </c>
      <c r="I300" t="s">
        <v>39</v>
      </c>
      <c r="J300" t="s">
        <v>40</v>
      </c>
      <c r="K300" t="s">
        <v>41</v>
      </c>
      <c r="L300" t="s">
        <v>42</v>
      </c>
      <c r="M300" t="s">
        <v>36</v>
      </c>
      <c r="N300" t="s">
        <v>43</v>
      </c>
      <c r="O300" t="s">
        <v>62</v>
      </c>
      <c r="P300" t="s">
        <v>63</v>
      </c>
      <c r="Q300">
        <v>2.3292403170810401</v>
      </c>
      <c r="R300" t="s">
        <v>64</v>
      </c>
      <c r="S300" t="s">
        <v>65</v>
      </c>
      <c r="V300" t="s">
        <v>73</v>
      </c>
      <c r="Y300" t="s">
        <v>48</v>
      </c>
      <c r="Z300" t="s">
        <v>69</v>
      </c>
      <c r="AA300" t="s">
        <v>71</v>
      </c>
      <c r="AB300" t="s">
        <v>51</v>
      </c>
      <c r="AI300">
        <v>999.77090506687978</v>
      </c>
      <c r="AJ300">
        <v>9426.1388410100772</v>
      </c>
    </row>
    <row r="301" spans="1:36" x14ac:dyDescent="0.25">
      <c r="A301">
        <v>303</v>
      </c>
      <c r="C301" t="s">
        <v>36</v>
      </c>
      <c r="E301" t="s">
        <v>37</v>
      </c>
      <c r="F301" t="s">
        <v>38</v>
      </c>
      <c r="G301" s="2">
        <v>45838</v>
      </c>
      <c r="I301" t="s">
        <v>72</v>
      </c>
      <c r="J301" t="s">
        <v>40</v>
      </c>
      <c r="K301" t="s">
        <v>41</v>
      </c>
      <c r="L301" t="s">
        <v>42</v>
      </c>
      <c r="M301" t="s">
        <v>36</v>
      </c>
      <c r="O301" t="s">
        <v>62</v>
      </c>
      <c r="P301" t="s">
        <v>63</v>
      </c>
      <c r="Q301">
        <v>4.5395254325294427</v>
      </c>
      <c r="R301" t="s">
        <v>64</v>
      </c>
      <c r="S301" t="s">
        <v>65</v>
      </c>
      <c r="V301" t="s">
        <v>64</v>
      </c>
      <c r="Y301" t="s">
        <v>48</v>
      </c>
      <c r="Z301" t="s">
        <v>69</v>
      </c>
      <c r="AA301" t="s">
        <v>70</v>
      </c>
      <c r="AB301" t="s">
        <v>51</v>
      </c>
      <c r="AI301">
        <v>823.81805910668379</v>
      </c>
      <c r="AJ301">
        <v>18370.881134730971</v>
      </c>
    </row>
    <row r="302" spans="1:36" x14ac:dyDescent="0.25">
      <c r="A302">
        <v>307</v>
      </c>
      <c r="C302" t="s">
        <v>36</v>
      </c>
      <c r="E302" t="s">
        <v>37</v>
      </c>
      <c r="F302" t="s">
        <v>38</v>
      </c>
      <c r="G302" s="2">
        <v>45839</v>
      </c>
      <c r="I302" t="s">
        <v>72</v>
      </c>
      <c r="J302" t="s">
        <v>40</v>
      </c>
      <c r="K302" t="s">
        <v>41</v>
      </c>
      <c r="L302" t="s">
        <v>42</v>
      </c>
      <c r="M302" t="s">
        <v>36</v>
      </c>
      <c r="O302" t="s">
        <v>62</v>
      </c>
      <c r="P302" t="s">
        <v>63</v>
      </c>
      <c r="Q302">
        <v>0.2754693259308878</v>
      </c>
      <c r="R302" t="s">
        <v>64</v>
      </c>
      <c r="S302" t="s">
        <v>65</v>
      </c>
      <c r="V302" t="s">
        <v>71</v>
      </c>
      <c r="Y302" t="s">
        <v>120</v>
      </c>
      <c r="Z302" t="s">
        <v>69</v>
      </c>
      <c r="AA302" t="s">
        <v>124</v>
      </c>
      <c r="AB302" t="s">
        <v>51</v>
      </c>
      <c r="AI302">
        <v>250.7268714160183</v>
      </c>
      <c r="AJ302">
        <v>1114.7892699702329</v>
      </c>
    </row>
    <row r="303" spans="1:36" x14ac:dyDescent="0.25">
      <c r="A303">
        <v>308</v>
      </c>
      <c r="C303" t="s">
        <v>36</v>
      </c>
      <c r="E303" t="s">
        <v>37</v>
      </c>
      <c r="F303" t="s">
        <v>38</v>
      </c>
      <c r="G303" s="2">
        <v>45839</v>
      </c>
      <c r="I303" t="s">
        <v>72</v>
      </c>
      <c r="J303" t="s">
        <v>40</v>
      </c>
      <c r="K303" t="s">
        <v>41</v>
      </c>
      <c r="L303" t="s">
        <v>42</v>
      </c>
      <c r="M303" t="s">
        <v>36</v>
      </c>
      <c r="O303" t="s">
        <v>62</v>
      </c>
      <c r="P303" t="s">
        <v>63</v>
      </c>
      <c r="Q303">
        <v>1.1168873979514149</v>
      </c>
      <c r="R303" t="s">
        <v>64</v>
      </c>
      <c r="S303" t="s">
        <v>65</v>
      </c>
      <c r="V303" t="s">
        <v>71</v>
      </c>
      <c r="Y303" t="s">
        <v>120</v>
      </c>
      <c r="Z303" t="s">
        <v>69</v>
      </c>
      <c r="AA303" t="s">
        <v>124</v>
      </c>
      <c r="AB303" t="s">
        <v>51</v>
      </c>
      <c r="AI303">
        <v>332.12400036094499</v>
      </c>
      <c r="AJ303">
        <v>4519.901019083306</v>
      </c>
    </row>
    <row r="304" spans="1:36" x14ac:dyDescent="0.25">
      <c r="A304">
        <v>316</v>
      </c>
      <c r="C304" t="s">
        <v>36</v>
      </c>
      <c r="E304" t="s">
        <v>37</v>
      </c>
      <c r="G304" s="2">
        <v>45839</v>
      </c>
      <c r="I304" t="s">
        <v>39</v>
      </c>
      <c r="J304" t="s">
        <v>40</v>
      </c>
      <c r="K304" t="s">
        <v>41</v>
      </c>
      <c r="L304" t="s">
        <v>42</v>
      </c>
      <c r="M304" t="s">
        <v>36</v>
      </c>
      <c r="N304" t="s">
        <v>43</v>
      </c>
      <c r="O304" t="s">
        <v>62</v>
      </c>
      <c r="P304" t="s">
        <v>63</v>
      </c>
      <c r="Q304">
        <v>2.6133385034960162</v>
      </c>
      <c r="R304" t="s">
        <v>64</v>
      </c>
      <c r="S304" t="s">
        <v>65</v>
      </c>
      <c r="V304" t="s">
        <v>71</v>
      </c>
      <c r="AB304" t="s">
        <v>51</v>
      </c>
      <c r="AI304">
        <v>428.89307574888909</v>
      </c>
      <c r="AJ304">
        <v>10575.848010127789</v>
      </c>
    </row>
    <row r="305" spans="1:36" x14ac:dyDescent="0.25">
      <c r="A305">
        <v>38</v>
      </c>
      <c r="C305" t="s">
        <v>36</v>
      </c>
      <c r="E305" t="s">
        <v>37</v>
      </c>
      <c r="F305" t="s">
        <v>38</v>
      </c>
      <c r="G305" s="2">
        <v>45838</v>
      </c>
      <c r="I305" t="s">
        <v>39</v>
      </c>
      <c r="J305" t="s">
        <v>40</v>
      </c>
      <c r="K305" t="s">
        <v>41</v>
      </c>
      <c r="L305" t="s">
        <v>42</v>
      </c>
      <c r="M305" t="s">
        <v>36</v>
      </c>
      <c r="N305" t="s">
        <v>43</v>
      </c>
      <c r="O305" t="s">
        <v>77</v>
      </c>
      <c r="P305" t="s">
        <v>78</v>
      </c>
      <c r="Q305">
        <v>5.1116247866766464</v>
      </c>
      <c r="R305" t="s">
        <v>64</v>
      </c>
      <c r="S305" t="s">
        <v>65</v>
      </c>
      <c r="V305" t="s">
        <v>76</v>
      </c>
      <c r="AB305" t="s">
        <v>51</v>
      </c>
      <c r="AI305">
        <v>767.19203789435733</v>
      </c>
      <c r="AJ305">
        <v>20686.09434115604</v>
      </c>
    </row>
    <row r="306" spans="1:36" x14ac:dyDescent="0.25">
      <c r="A306">
        <v>46</v>
      </c>
      <c r="C306" t="s">
        <v>36</v>
      </c>
      <c r="E306" t="s">
        <v>37</v>
      </c>
      <c r="F306" t="s">
        <v>38</v>
      </c>
      <c r="G306" s="2">
        <v>45838</v>
      </c>
      <c r="I306" t="s">
        <v>39</v>
      </c>
      <c r="J306" t="s">
        <v>40</v>
      </c>
      <c r="K306" t="s">
        <v>41</v>
      </c>
      <c r="L306" t="s">
        <v>42</v>
      </c>
      <c r="M306" t="s">
        <v>36</v>
      </c>
      <c r="N306" t="s">
        <v>43</v>
      </c>
      <c r="O306" t="s">
        <v>67</v>
      </c>
      <c r="P306" t="s">
        <v>68</v>
      </c>
      <c r="Q306">
        <v>11.004529068922411</v>
      </c>
      <c r="R306" t="s">
        <v>75</v>
      </c>
      <c r="S306" t="s">
        <v>83</v>
      </c>
      <c r="T306" t="s">
        <v>84</v>
      </c>
      <c r="V306" t="s">
        <v>75</v>
      </c>
      <c r="AB306" t="s">
        <v>51</v>
      </c>
      <c r="AI306">
        <v>1042.046933275722</v>
      </c>
      <c r="AJ306">
        <v>44533.92727358712</v>
      </c>
    </row>
  </sheetData>
  <autoFilter ref="A1:AJ306" xr:uid="{00000000-0001-0000-0000-000000000000}"/>
  <sortState xmlns:xlrd2="http://schemas.microsoft.com/office/spreadsheetml/2017/richdata2" ref="A2:AJ307">
    <sortCondition ref="R1:R307"/>
  </sortState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74"/>
  <sheetViews>
    <sheetView workbookViewId="0">
      <pane ySplit="1" topLeftCell="A2" activePane="bottomLeft" state="frozen"/>
      <selection pane="bottomLeft" activeCell="H191" sqref="H191"/>
    </sheetView>
  </sheetViews>
  <sheetFormatPr defaultRowHeight="15" x14ac:dyDescent="0.25"/>
  <cols>
    <col min="16" max="16" width="48" bestFit="1" customWidth="1"/>
  </cols>
  <sheetData>
    <row r="1" spans="1:3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>
        <v>1</v>
      </c>
      <c r="B2" t="s">
        <v>148</v>
      </c>
      <c r="C2" t="s">
        <v>149</v>
      </c>
      <c r="E2" t="s">
        <v>37</v>
      </c>
      <c r="G2" s="2">
        <v>45819</v>
      </c>
      <c r="H2">
        <v>0</v>
      </c>
      <c r="I2" t="s">
        <v>72</v>
      </c>
      <c r="J2" t="s">
        <v>150</v>
      </c>
      <c r="K2" t="s">
        <v>151</v>
      </c>
      <c r="L2" t="s">
        <v>152</v>
      </c>
      <c r="M2" t="s">
        <v>149</v>
      </c>
      <c r="O2" t="s">
        <v>62</v>
      </c>
      <c r="P2" t="s">
        <v>63</v>
      </c>
      <c r="Q2">
        <v>36.181704256286977</v>
      </c>
      <c r="R2" t="s">
        <v>64</v>
      </c>
      <c r="S2" t="s">
        <v>65</v>
      </c>
      <c r="V2" t="s">
        <v>46</v>
      </c>
      <c r="X2" t="s">
        <v>57</v>
      </c>
      <c r="Y2" t="s">
        <v>153</v>
      </c>
      <c r="Z2" t="s">
        <v>154</v>
      </c>
      <c r="AA2" t="s">
        <v>70</v>
      </c>
      <c r="AB2" t="s">
        <v>51</v>
      </c>
      <c r="AC2" t="s">
        <v>155</v>
      </c>
      <c r="AD2" t="s">
        <v>156</v>
      </c>
      <c r="AI2">
        <v>2712.0971988427118</v>
      </c>
      <c r="AJ2">
        <v>146422.7479333384</v>
      </c>
    </row>
    <row r="3" spans="1:36" x14ac:dyDescent="0.25">
      <c r="A3">
        <v>2</v>
      </c>
      <c r="B3" t="s">
        <v>157</v>
      </c>
      <c r="C3" t="s">
        <v>149</v>
      </c>
      <c r="E3" t="s">
        <v>37</v>
      </c>
      <c r="G3" s="2">
        <v>45819</v>
      </c>
      <c r="H3">
        <v>0</v>
      </c>
      <c r="I3" t="s">
        <v>72</v>
      </c>
      <c r="J3" t="s">
        <v>150</v>
      </c>
      <c r="K3" t="s">
        <v>151</v>
      </c>
      <c r="L3" t="s">
        <v>152</v>
      </c>
      <c r="M3" t="s">
        <v>149</v>
      </c>
      <c r="O3" t="s">
        <v>62</v>
      </c>
      <c r="P3" t="s">
        <v>63</v>
      </c>
      <c r="Q3">
        <v>2.4911964860761211</v>
      </c>
      <c r="R3" t="s">
        <v>64</v>
      </c>
      <c r="S3" t="s">
        <v>65</v>
      </c>
      <c r="T3" t="s">
        <v>57</v>
      </c>
      <c r="V3" t="s">
        <v>46</v>
      </c>
      <c r="X3" t="s">
        <v>57</v>
      </c>
      <c r="Y3" t="s">
        <v>153</v>
      </c>
      <c r="Z3" t="s">
        <v>154</v>
      </c>
      <c r="AA3" t="s">
        <v>70</v>
      </c>
      <c r="AB3" t="s">
        <v>51</v>
      </c>
      <c r="AC3" t="s">
        <v>158</v>
      </c>
      <c r="AD3" t="s">
        <v>159</v>
      </c>
      <c r="AI3">
        <v>458.66838826262011</v>
      </c>
      <c r="AJ3">
        <v>10081.55482531644</v>
      </c>
    </row>
    <row r="4" spans="1:36" x14ac:dyDescent="0.25">
      <c r="A4">
        <v>3</v>
      </c>
      <c r="B4" t="s">
        <v>160</v>
      </c>
      <c r="C4" t="s">
        <v>149</v>
      </c>
      <c r="E4" t="s">
        <v>37</v>
      </c>
      <c r="G4" s="2">
        <v>45819</v>
      </c>
      <c r="H4">
        <v>0</v>
      </c>
      <c r="I4" t="s">
        <v>72</v>
      </c>
      <c r="J4" t="s">
        <v>150</v>
      </c>
      <c r="K4" t="s">
        <v>151</v>
      </c>
      <c r="L4" t="s">
        <v>152</v>
      </c>
      <c r="M4" t="s">
        <v>149</v>
      </c>
      <c r="O4" t="s">
        <v>62</v>
      </c>
      <c r="P4" t="s">
        <v>63</v>
      </c>
      <c r="Q4">
        <v>4.2400641717694949</v>
      </c>
      <c r="R4" t="s">
        <v>64</v>
      </c>
      <c r="S4" t="s">
        <v>65</v>
      </c>
      <c r="V4" t="s">
        <v>60</v>
      </c>
      <c r="X4" t="s">
        <v>57</v>
      </c>
      <c r="Y4" t="s">
        <v>153</v>
      </c>
      <c r="Z4" t="s">
        <v>154</v>
      </c>
      <c r="AA4" t="s">
        <v>70</v>
      </c>
      <c r="AB4" t="s">
        <v>51</v>
      </c>
      <c r="AC4" t="s">
        <v>155</v>
      </c>
      <c r="AD4" t="s">
        <v>156</v>
      </c>
      <c r="AI4">
        <v>554.30175829897098</v>
      </c>
      <c r="AJ4">
        <v>17158.99956084312</v>
      </c>
    </row>
    <row r="5" spans="1:36" x14ac:dyDescent="0.25">
      <c r="A5">
        <v>4</v>
      </c>
      <c r="B5" t="s">
        <v>161</v>
      </c>
      <c r="C5" t="s">
        <v>149</v>
      </c>
      <c r="E5" t="s">
        <v>37</v>
      </c>
      <c r="G5" s="2">
        <v>45819</v>
      </c>
      <c r="H5">
        <v>0</v>
      </c>
      <c r="I5" t="s">
        <v>72</v>
      </c>
      <c r="J5" t="s">
        <v>150</v>
      </c>
      <c r="K5" t="s">
        <v>151</v>
      </c>
      <c r="L5" t="s">
        <v>152</v>
      </c>
      <c r="M5" t="s">
        <v>149</v>
      </c>
      <c r="O5" t="s">
        <v>62</v>
      </c>
      <c r="P5" t="s">
        <v>63</v>
      </c>
      <c r="Q5">
        <v>0.96811345928720038</v>
      </c>
      <c r="R5" t="s">
        <v>64</v>
      </c>
      <c r="S5" t="s">
        <v>65</v>
      </c>
      <c r="V5" t="s">
        <v>60</v>
      </c>
      <c r="X5" t="s">
        <v>57</v>
      </c>
      <c r="Y5" t="s">
        <v>153</v>
      </c>
      <c r="Z5" t="s">
        <v>154</v>
      </c>
      <c r="AA5" t="s">
        <v>70</v>
      </c>
      <c r="AB5" t="s">
        <v>51</v>
      </c>
      <c r="AC5" t="s">
        <v>155</v>
      </c>
      <c r="AD5" t="s">
        <v>156</v>
      </c>
      <c r="AI5">
        <v>349.86621152956292</v>
      </c>
      <c r="AJ5">
        <v>3917.8318416399829</v>
      </c>
    </row>
    <row r="6" spans="1:36" x14ac:dyDescent="0.25">
      <c r="A6">
        <v>5</v>
      </c>
      <c r="B6" t="s">
        <v>162</v>
      </c>
      <c r="C6" t="s">
        <v>149</v>
      </c>
      <c r="E6" t="s">
        <v>37</v>
      </c>
      <c r="G6" s="2">
        <v>45819</v>
      </c>
      <c r="H6">
        <v>0</v>
      </c>
      <c r="I6" t="s">
        <v>72</v>
      </c>
      <c r="J6" t="s">
        <v>150</v>
      </c>
      <c r="K6" t="s">
        <v>151</v>
      </c>
      <c r="L6" t="s">
        <v>152</v>
      </c>
      <c r="M6" t="s">
        <v>149</v>
      </c>
      <c r="O6" t="s">
        <v>62</v>
      </c>
      <c r="P6" t="s">
        <v>63</v>
      </c>
      <c r="Q6">
        <v>2.4860369115637742</v>
      </c>
      <c r="R6" t="s">
        <v>64</v>
      </c>
      <c r="S6" t="s">
        <v>65</v>
      </c>
      <c r="T6" t="s">
        <v>57</v>
      </c>
      <c r="V6" t="s">
        <v>60</v>
      </c>
      <c r="W6" t="s">
        <v>38</v>
      </c>
      <c r="X6" t="s">
        <v>57</v>
      </c>
      <c r="Y6" t="s">
        <v>163</v>
      </c>
      <c r="Z6" t="s">
        <v>154</v>
      </c>
      <c r="AA6" t="s">
        <v>70</v>
      </c>
      <c r="AB6" t="s">
        <v>51</v>
      </c>
      <c r="AC6" t="s">
        <v>155</v>
      </c>
      <c r="AD6" t="s">
        <v>156</v>
      </c>
      <c r="AI6">
        <v>499.72936852243862</v>
      </c>
      <c r="AJ6">
        <v>10060.67468454381</v>
      </c>
    </row>
    <row r="7" spans="1:36" x14ac:dyDescent="0.25">
      <c r="A7">
        <v>6</v>
      </c>
      <c r="B7" t="s">
        <v>164</v>
      </c>
      <c r="C7" t="s">
        <v>149</v>
      </c>
      <c r="E7" t="s">
        <v>37</v>
      </c>
      <c r="G7" s="2">
        <v>45819</v>
      </c>
      <c r="H7">
        <v>0</v>
      </c>
      <c r="I7" t="s">
        <v>72</v>
      </c>
      <c r="J7" t="s">
        <v>150</v>
      </c>
      <c r="K7" t="s">
        <v>151</v>
      </c>
      <c r="L7" t="s">
        <v>152</v>
      </c>
      <c r="M7" t="s">
        <v>149</v>
      </c>
      <c r="O7" t="s">
        <v>62</v>
      </c>
      <c r="P7" t="s">
        <v>63</v>
      </c>
      <c r="Q7">
        <v>3.8738959521534819</v>
      </c>
      <c r="R7" t="s">
        <v>64</v>
      </c>
      <c r="S7" t="s">
        <v>65</v>
      </c>
      <c r="V7" t="s">
        <v>60</v>
      </c>
      <c r="X7" t="s">
        <v>57</v>
      </c>
      <c r="Y7" t="s">
        <v>153</v>
      </c>
      <c r="Z7" t="s">
        <v>154</v>
      </c>
      <c r="AA7" t="s">
        <v>70</v>
      </c>
      <c r="AB7" t="s">
        <v>51</v>
      </c>
      <c r="AC7" t="s">
        <v>155</v>
      </c>
      <c r="AD7" t="s">
        <v>156</v>
      </c>
      <c r="AI7">
        <v>526.69440646178623</v>
      </c>
      <c r="AJ7">
        <v>15677.163422272661</v>
      </c>
    </row>
    <row r="8" spans="1:36" x14ac:dyDescent="0.25">
      <c r="A8">
        <v>7</v>
      </c>
      <c r="B8" t="s">
        <v>165</v>
      </c>
      <c r="C8" t="s">
        <v>149</v>
      </c>
      <c r="E8" t="s">
        <v>37</v>
      </c>
      <c r="G8" s="2">
        <v>45819</v>
      </c>
      <c r="H8">
        <v>0</v>
      </c>
      <c r="I8" t="s">
        <v>72</v>
      </c>
      <c r="J8" t="s">
        <v>150</v>
      </c>
      <c r="K8" t="s">
        <v>151</v>
      </c>
      <c r="L8" t="s">
        <v>152</v>
      </c>
      <c r="M8" t="s">
        <v>149</v>
      </c>
      <c r="O8" t="s">
        <v>62</v>
      </c>
      <c r="P8" t="s">
        <v>63</v>
      </c>
      <c r="Q8">
        <v>10.60672239838075</v>
      </c>
      <c r="R8" t="s">
        <v>64</v>
      </c>
      <c r="S8" t="s">
        <v>65</v>
      </c>
      <c r="V8" t="s">
        <v>60</v>
      </c>
      <c r="X8" t="s">
        <v>57</v>
      </c>
      <c r="Y8" t="s">
        <v>153</v>
      </c>
      <c r="Z8" t="s">
        <v>154</v>
      </c>
      <c r="AA8" t="s">
        <v>71</v>
      </c>
      <c r="AB8" t="s">
        <v>51</v>
      </c>
      <c r="AC8" t="s">
        <v>155</v>
      </c>
      <c r="AD8" t="s">
        <v>156</v>
      </c>
      <c r="AI8">
        <v>862.2317103283749</v>
      </c>
      <c r="AJ8">
        <v>42924.054354546788</v>
      </c>
    </row>
    <row r="9" spans="1:36" x14ac:dyDescent="0.25">
      <c r="A9">
        <v>8</v>
      </c>
      <c r="B9" t="s">
        <v>166</v>
      </c>
      <c r="C9" t="s">
        <v>149</v>
      </c>
      <c r="E9" t="s">
        <v>37</v>
      </c>
      <c r="G9" s="2">
        <v>45819</v>
      </c>
      <c r="H9">
        <v>0</v>
      </c>
      <c r="I9" t="s">
        <v>72</v>
      </c>
      <c r="J9" t="s">
        <v>150</v>
      </c>
      <c r="K9" t="s">
        <v>151</v>
      </c>
      <c r="L9" t="s">
        <v>152</v>
      </c>
      <c r="M9" t="s">
        <v>149</v>
      </c>
      <c r="O9" t="s">
        <v>62</v>
      </c>
      <c r="P9" t="s">
        <v>63</v>
      </c>
      <c r="Q9">
        <v>39.515881250588357</v>
      </c>
      <c r="R9" t="s">
        <v>64</v>
      </c>
      <c r="S9" t="s">
        <v>65</v>
      </c>
      <c r="V9" t="s">
        <v>60</v>
      </c>
      <c r="X9" t="s">
        <v>57</v>
      </c>
      <c r="Y9" t="s">
        <v>153</v>
      </c>
      <c r="Z9" t="s">
        <v>154</v>
      </c>
      <c r="AA9" t="s">
        <v>71</v>
      </c>
      <c r="AB9" t="s">
        <v>51</v>
      </c>
      <c r="AC9" t="s">
        <v>155</v>
      </c>
      <c r="AD9" t="s">
        <v>156</v>
      </c>
      <c r="AI9">
        <v>1822.193766645298</v>
      </c>
      <c r="AJ9">
        <v>159915.73748804949</v>
      </c>
    </row>
    <row r="10" spans="1:36" x14ac:dyDescent="0.25">
      <c r="A10">
        <v>9</v>
      </c>
      <c r="B10" t="s">
        <v>167</v>
      </c>
      <c r="C10" t="s">
        <v>149</v>
      </c>
      <c r="E10" t="s">
        <v>37</v>
      </c>
      <c r="G10" s="2">
        <v>45819</v>
      </c>
      <c r="H10">
        <v>0</v>
      </c>
      <c r="I10" t="s">
        <v>72</v>
      </c>
      <c r="J10" t="s">
        <v>150</v>
      </c>
      <c r="K10" t="s">
        <v>151</v>
      </c>
      <c r="L10" t="s">
        <v>152</v>
      </c>
      <c r="M10" t="s">
        <v>149</v>
      </c>
      <c r="O10" t="s">
        <v>62</v>
      </c>
      <c r="P10" t="s">
        <v>63</v>
      </c>
      <c r="Q10">
        <v>9.4226596235240976</v>
      </c>
      <c r="R10" t="s">
        <v>64</v>
      </c>
      <c r="S10" t="s">
        <v>65</v>
      </c>
      <c r="V10" t="s">
        <v>60</v>
      </c>
      <c r="X10" t="s">
        <v>57</v>
      </c>
      <c r="Y10" t="s">
        <v>153</v>
      </c>
      <c r="Z10" t="s">
        <v>154</v>
      </c>
      <c r="AA10" t="s">
        <v>71</v>
      </c>
      <c r="AB10" t="s">
        <v>51</v>
      </c>
      <c r="AC10" t="s">
        <v>155</v>
      </c>
      <c r="AD10" t="s">
        <v>156</v>
      </c>
      <c r="AI10">
        <v>1131.724524578259</v>
      </c>
      <c r="AJ10">
        <v>38132.3031426077</v>
      </c>
    </row>
    <row r="11" spans="1:36" x14ac:dyDescent="0.25">
      <c r="A11">
        <v>10</v>
      </c>
      <c r="B11" t="s">
        <v>168</v>
      </c>
      <c r="C11" t="s">
        <v>149</v>
      </c>
      <c r="E11" t="s">
        <v>37</v>
      </c>
      <c r="G11" s="2">
        <v>45819</v>
      </c>
      <c r="H11">
        <v>0</v>
      </c>
      <c r="I11" t="s">
        <v>72</v>
      </c>
      <c r="J11" t="s">
        <v>150</v>
      </c>
      <c r="K11" t="s">
        <v>151</v>
      </c>
      <c r="L11" t="s">
        <v>152</v>
      </c>
      <c r="M11" t="s">
        <v>149</v>
      </c>
      <c r="O11" t="s">
        <v>62</v>
      </c>
      <c r="P11" t="s">
        <v>63</v>
      </c>
      <c r="Q11">
        <v>0.1197435833385942</v>
      </c>
      <c r="R11" t="s">
        <v>64</v>
      </c>
      <c r="S11" t="s">
        <v>65</v>
      </c>
      <c r="V11" t="s">
        <v>60</v>
      </c>
      <c r="X11" t="s">
        <v>57</v>
      </c>
      <c r="Y11" t="s">
        <v>153</v>
      </c>
      <c r="Z11" t="s">
        <v>154</v>
      </c>
      <c r="AA11" t="s">
        <v>71</v>
      </c>
      <c r="AB11" t="s">
        <v>51</v>
      </c>
      <c r="AC11" t="s">
        <v>155</v>
      </c>
      <c r="AD11" t="s">
        <v>156</v>
      </c>
      <c r="AI11">
        <v>83.421426452205722</v>
      </c>
      <c r="AJ11">
        <v>484.58702762115149</v>
      </c>
    </row>
    <row r="12" spans="1:36" x14ac:dyDescent="0.25">
      <c r="A12">
        <v>11</v>
      </c>
      <c r="B12" t="s">
        <v>169</v>
      </c>
      <c r="C12" t="s">
        <v>149</v>
      </c>
      <c r="E12" t="s">
        <v>37</v>
      </c>
      <c r="G12" s="2">
        <v>45819</v>
      </c>
      <c r="H12">
        <v>0</v>
      </c>
      <c r="I12" t="s">
        <v>72</v>
      </c>
      <c r="J12" t="s">
        <v>150</v>
      </c>
      <c r="K12" t="s">
        <v>151</v>
      </c>
      <c r="L12" t="s">
        <v>152</v>
      </c>
      <c r="M12" t="s">
        <v>149</v>
      </c>
      <c r="O12" t="s">
        <v>62</v>
      </c>
      <c r="P12" t="s">
        <v>63</v>
      </c>
      <c r="Q12">
        <v>9.749459766763649E-2</v>
      </c>
      <c r="R12" t="s">
        <v>64</v>
      </c>
      <c r="S12" t="s">
        <v>65</v>
      </c>
      <c r="V12" t="s">
        <v>60</v>
      </c>
      <c r="X12" t="s">
        <v>57</v>
      </c>
      <c r="Y12" t="s">
        <v>153</v>
      </c>
      <c r="Z12" t="s">
        <v>154</v>
      </c>
      <c r="AA12" t="s">
        <v>71</v>
      </c>
      <c r="AB12" t="s">
        <v>51</v>
      </c>
      <c r="AC12" t="s">
        <v>155</v>
      </c>
      <c r="AD12" t="s">
        <v>156</v>
      </c>
      <c r="AI12">
        <v>129.6784100002227</v>
      </c>
      <c r="AJ12">
        <v>394.54821691186822</v>
      </c>
    </row>
    <row r="13" spans="1:36" x14ac:dyDescent="0.25">
      <c r="A13">
        <v>12</v>
      </c>
      <c r="B13" t="s">
        <v>170</v>
      </c>
      <c r="C13" t="s">
        <v>149</v>
      </c>
      <c r="E13" t="s">
        <v>37</v>
      </c>
      <c r="G13" s="2">
        <v>45819</v>
      </c>
      <c r="H13">
        <v>0</v>
      </c>
      <c r="I13" t="s">
        <v>72</v>
      </c>
      <c r="J13" t="s">
        <v>150</v>
      </c>
      <c r="K13" t="s">
        <v>151</v>
      </c>
      <c r="L13" t="s">
        <v>152</v>
      </c>
      <c r="M13" t="s">
        <v>149</v>
      </c>
      <c r="O13" t="s">
        <v>62</v>
      </c>
      <c r="P13" t="s">
        <v>63</v>
      </c>
      <c r="Q13">
        <v>44.840628215963093</v>
      </c>
      <c r="R13" t="s">
        <v>64</v>
      </c>
      <c r="S13" t="s">
        <v>65</v>
      </c>
      <c r="V13" t="s">
        <v>73</v>
      </c>
      <c r="X13" t="s">
        <v>57</v>
      </c>
      <c r="Y13" t="s">
        <v>153</v>
      </c>
      <c r="Z13" t="s">
        <v>154</v>
      </c>
      <c r="AA13" t="s">
        <v>71</v>
      </c>
      <c r="AB13" t="s">
        <v>51</v>
      </c>
      <c r="AC13" t="s">
        <v>171</v>
      </c>
      <c r="AD13" t="s">
        <v>156</v>
      </c>
      <c r="AI13">
        <v>2988.577809349883</v>
      </c>
      <c r="AJ13">
        <v>181464.31013673561</v>
      </c>
    </row>
    <row r="14" spans="1:36" x14ac:dyDescent="0.25">
      <c r="A14">
        <v>13</v>
      </c>
      <c r="B14" t="s">
        <v>172</v>
      </c>
      <c r="C14" t="s">
        <v>149</v>
      </c>
      <c r="E14" t="s">
        <v>37</v>
      </c>
      <c r="G14" s="2">
        <v>45819</v>
      </c>
      <c r="H14">
        <v>0</v>
      </c>
      <c r="I14" t="s">
        <v>72</v>
      </c>
      <c r="J14" t="s">
        <v>150</v>
      </c>
      <c r="K14" t="s">
        <v>151</v>
      </c>
      <c r="L14" t="s">
        <v>152</v>
      </c>
      <c r="M14" t="s">
        <v>149</v>
      </c>
      <c r="O14" t="s">
        <v>62</v>
      </c>
      <c r="P14" t="s">
        <v>63</v>
      </c>
      <c r="Q14">
        <v>9.0248871063512634E-2</v>
      </c>
      <c r="R14" t="s">
        <v>64</v>
      </c>
      <c r="S14" t="s">
        <v>65</v>
      </c>
      <c r="T14" t="s">
        <v>57</v>
      </c>
      <c r="V14" t="s">
        <v>73</v>
      </c>
      <c r="X14" t="s">
        <v>57</v>
      </c>
      <c r="Y14" t="s">
        <v>153</v>
      </c>
      <c r="Z14" t="s">
        <v>154</v>
      </c>
      <c r="AA14" t="s">
        <v>71</v>
      </c>
      <c r="AB14" t="s">
        <v>51</v>
      </c>
      <c r="AC14" t="s">
        <v>171</v>
      </c>
      <c r="AD14" t="s">
        <v>159</v>
      </c>
      <c r="AI14">
        <v>110.048662891623</v>
      </c>
      <c r="AJ14">
        <v>365.22568437900219</v>
      </c>
    </row>
    <row r="15" spans="1:36" x14ac:dyDescent="0.25">
      <c r="A15">
        <v>14</v>
      </c>
      <c r="B15" t="s">
        <v>173</v>
      </c>
      <c r="C15" t="s">
        <v>149</v>
      </c>
      <c r="E15" t="s">
        <v>37</v>
      </c>
      <c r="G15" s="2">
        <v>45819</v>
      </c>
      <c r="H15">
        <v>0</v>
      </c>
      <c r="I15" t="s">
        <v>72</v>
      </c>
      <c r="J15" t="s">
        <v>150</v>
      </c>
      <c r="K15" t="s">
        <v>151</v>
      </c>
      <c r="L15" t="s">
        <v>152</v>
      </c>
      <c r="M15" t="s">
        <v>149</v>
      </c>
      <c r="O15" t="s">
        <v>62</v>
      </c>
      <c r="P15" t="s">
        <v>63</v>
      </c>
      <c r="Q15">
        <v>0.83197255227451494</v>
      </c>
      <c r="R15" t="s">
        <v>64</v>
      </c>
      <c r="S15" t="s">
        <v>65</v>
      </c>
      <c r="T15" t="s">
        <v>57</v>
      </c>
      <c r="V15" t="s">
        <v>73</v>
      </c>
      <c r="X15" t="s">
        <v>57</v>
      </c>
      <c r="Y15" t="s">
        <v>153</v>
      </c>
      <c r="Z15" t="s">
        <v>154</v>
      </c>
      <c r="AA15" t="s">
        <v>71</v>
      </c>
      <c r="AB15" t="s">
        <v>51</v>
      </c>
      <c r="AC15" t="s">
        <v>171</v>
      </c>
      <c r="AD15" t="s">
        <v>159</v>
      </c>
      <c r="AI15">
        <v>608.6169226722858</v>
      </c>
      <c r="AJ15">
        <v>3366.8869339669091</v>
      </c>
    </row>
    <row r="16" spans="1:36" x14ac:dyDescent="0.25">
      <c r="A16">
        <v>15</v>
      </c>
      <c r="B16" t="s">
        <v>174</v>
      </c>
      <c r="C16" t="s">
        <v>149</v>
      </c>
      <c r="E16" t="s">
        <v>37</v>
      </c>
      <c r="G16" s="2">
        <v>45819</v>
      </c>
      <c r="H16">
        <v>0</v>
      </c>
      <c r="I16" t="s">
        <v>72</v>
      </c>
      <c r="J16" t="s">
        <v>150</v>
      </c>
      <c r="K16" t="s">
        <v>151</v>
      </c>
      <c r="L16" t="s">
        <v>152</v>
      </c>
      <c r="M16" t="s">
        <v>149</v>
      </c>
      <c r="O16" t="s">
        <v>62</v>
      </c>
      <c r="P16" t="s">
        <v>63</v>
      </c>
      <c r="Q16">
        <v>22.195609663039651</v>
      </c>
      <c r="R16" t="s">
        <v>64</v>
      </c>
      <c r="S16" t="s">
        <v>65</v>
      </c>
      <c r="T16" t="s">
        <v>57</v>
      </c>
      <c r="V16" t="s">
        <v>73</v>
      </c>
      <c r="X16" t="s">
        <v>175</v>
      </c>
      <c r="Y16" t="s">
        <v>153</v>
      </c>
      <c r="Z16" t="s">
        <v>154</v>
      </c>
      <c r="AA16" t="s">
        <v>71</v>
      </c>
      <c r="AB16" t="s">
        <v>51</v>
      </c>
      <c r="AC16" t="s">
        <v>171</v>
      </c>
      <c r="AD16" t="s">
        <v>156</v>
      </c>
      <c r="AI16">
        <v>1285.375953250151</v>
      </c>
      <c r="AJ16">
        <v>89822.804804815416</v>
      </c>
    </row>
    <row r="17" spans="1:36" x14ac:dyDescent="0.25">
      <c r="A17">
        <v>16</v>
      </c>
      <c r="B17" t="s">
        <v>176</v>
      </c>
      <c r="C17" t="s">
        <v>149</v>
      </c>
      <c r="E17" t="s">
        <v>37</v>
      </c>
      <c r="G17" s="2">
        <v>45819</v>
      </c>
      <c r="H17">
        <v>0</v>
      </c>
      <c r="I17" t="s">
        <v>72</v>
      </c>
      <c r="J17" t="s">
        <v>150</v>
      </c>
      <c r="K17" t="s">
        <v>151</v>
      </c>
      <c r="L17" t="s">
        <v>152</v>
      </c>
      <c r="M17" t="s">
        <v>149</v>
      </c>
      <c r="O17" t="s">
        <v>62</v>
      </c>
      <c r="P17" t="s">
        <v>63</v>
      </c>
      <c r="Q17">
        <v>1.844329313838067</v>
      </c>
      <c r="R17" t="s">
        <v>64</v>
      </c>
      <c r="S17" t="s">
        <v>65</v>
      </c>
      <c r="T17" t="s">
        <v>57</v>
      </c>
      <c r="V17" t="s">
        <v>73</v>
      </c>
      <c r="X17" t="s">
        <v>175</v>
      </c>
      <c r="Y17" t="s">
        <v>153</v>
      </c>
      <c r="Z17" t="s">
        <v>154</v>
      </c>
      <c r="AA17" t="s">
        <v>71</v>
      </c>
      <c r="AB17" t="s">
        <v>51</v>
      </c>
      <c r="AC17" t="s">
        <v>171</v>
      </c>
      <c r="AD17" t="s">
        <v>156</v>
      </c>
      <c r="AI17">
        <v>394.83974051886918</v>
      </c>
      <c r="AJ17">
        <v>7463.765783759447</v>
      </c>
    </row>
    <row r="18" spans="1:36" x14ac:dyDescent="0.25">
      <c r="A18">
        <v>17</v>
      </c>
      <c r="B18" t="s">
        <v>177</v>
      </c>
      <c r="C18" t="s">
        <v>149</v>
      </c>
      <c r="E18" t="s">
        <v>37</v>
      </c>
      <c r="G18" s="2">
        <v>45819</v>
      </c>
      <c r="H18">
        <v>0</v>
      </c>
      <c r="I18" t="s">
        <v>72</v>
      </c>
      <c r="J18" t="s">
        <v>150</v>
      </c>
      <c r="K18" t="s">
        <v>151</v>
      </c>
      <c r="L18" t="s">
        <v>152</v>
      </c>
      <c r="M18" t="s">
        <v>149</v>
      </c>
      <c r="O18" t="s">
        <v>62</v>
      </c>
      <c r="P18" t="s">
        <v>63</v>
      </c>
      <c r="Q18">
        <v>3.5364988962758011</v>
      </c>
      <c r="R18" t="s">
        <v>64</v>
      </c>
      <c r="S18" t="s">
        <v>65</v>
      </c>
      <c r="V18" t="s">
        <v>73</v>
      </c>
      <c r="X18" t="s">
        <v>57</v>
      </c>
      <c r="Y18" t="s">
        <v>153</v>
      </c>
      <c r="Z18" t="s">
        <v>69</v>
      </c>
      <c r="AA18" t="s">
        <v>54</v>
      </c>
      <c r="AB18" t="s">
        <v>51</v>
      </c>
      <c r="AC18" t="s">
        <v>171</v>
      </c>
      <c r="AD18" t="s">
        <v>156</v>
      </c>
      <c r="AI18">
        <v>713.73786555235426</v>
      </c>
      <c r="AJ18">
        <v>14311.760518189059</v>
      </c>
    </row>
    <row r="19" spans="1:36" x14ac:dyDescent="0.25">
      <c r="A19">
        <v>18</v>
      </c>
      <c r="B19" t="s">
        <v>178</v>
      </c>
      <c r="C19" t="s">
        <v>149</v>
      </c>
      <c r="E19" t="s">
        <v>37</v>
      </c>
      <c r="G19" s="2">
        <v>45819</v>
      </c>
      <c r="H19">
        <v>0</v>
      </c>
      <c r="I19" t="s">
        <v>72</v>
      </c>
      <c r="J19" t="s">
        <v>150</v>
      </c>
      <c r="K19" t="s">
        <v>151</v>
      </c>
      <c r="L19" t="s">
        <v>152</v>
      </c>
      <c r="M19" t="s">
        <v>149</v>
      </c>
      <c r="O19" t="s">
        <v>62</v>
      </c>
      <c r="P19" t="s">
        <v>63</v>
      </c>
      <c r="Q19">
        <v>5.6817791826998114</v>
      </c>
      <c r="R19" t="s">
        <v>64</v>
      </c>
      <c r="S19" t="s">
        <v>65</v>
      </c>
      <c r="V19" t="s">
        <v>73</v>
      </c>
      <c r="X19" t="s">
        <v>57</v>
      </c>
      <c r="Y19" t="s">
        <v>153</v>
      </c>
      <c r="Z19" t="s">
        <v>154</v>
      </c>
      <c r="AA19" t="s">
        <v>71</v>
      </c>
      <c r="AB19" t="s">
        <v>51</v>
      </c>
      <c r="AC19" t="s">
        <v>171</v>
      </c>
      <c r="AD19" t="s">
        <v>156</v>
      </c>
      <c r="AI19">
        <v>842.39994858048112</v>
      </c>
      <c r="AJ19">
        <v>22993.43654982157</v>
      </c>
    </row>
    <row r="20" spans="1:36" x14ac:dyDescent="0.25">
      <c r="A20">
        <v>19</v>
      </c>
      <c r="B20" t="s">
        <v>179</v>
      </c>
      <c r="C20" t="s">
        <v>149</v>
      </c>
      <c r="E20" t="s">
        <v>37</v>
      </c>
      <c r="G20" s="2">
        <v>45819</v>
      </c>
      <c r="H20">
        <v>0</v>
      </c>
      <c r="I20" t="s">
        <v>72</v>
      </c>
      <c r="J20" t="s">
        <v>150</v>
      </c>
      <c r="K20" t="s">
        <v>151</v>
      </c>
      <c r="L20" t="s">
        <v>152</v>
      </c>
      <c r="M20" t="s">
        <v>149</v>
      </c>
      <c r="O20" t="s">
        <v>62</v>
      </c>
      <c r="P20" t="s">
        <v>63</v>
      </c>
      <c r="Q20">
        <v>0.44074036933291277</v>
      </c>
      <c r="R20" t="s">
        <v>64</v>
      </c>
      <c r="S20" t="s">
        <v>65</v>
      </c>
      <c r="V20" t="s">
        <v>73</v>
      </c>
      <c r="X20" t="s">
        <v>57</v>
      </c>
      <c r="Y20" t="s">
        <v>153</v>
      </c>
      <c r="Z20" t="s">
        <v>154</v>
      </c>
      <c r="AA20" t="s">
        <v>180</v>
      </c>
      <c r="AB20" t="s">
        <v>51</v>
      </c>
      <c r="AC20" t="s">
        <v>171</v>
      </c>
      <c r="AD20" t="s">
        <v>156</v>
      </c>
      <c r="AI20">
        <v>228.38411771024369</v>
      </c>
      <c r="AJ20">
        <v>1783.6201287192259</v>
      </c>
    </row>
    <row r="21" spans="1:36" x14ac:dyDescent="0.25">
      <c r="A21">
        <v>20</v>
      </c>
      <c r="B21" t="s">
        <v>181</v>
      </c>
      <c r="C21" t="s">
        <v>149</v>
      </c>
      <c r="E21" t="s">
        <v>37</v>
      </c>
      <c r="G21" s="2">
        <v>45819</v>
      </c>
      <c r="H21">
        <v>0</v>
      </c>
      <c r="I21" t="s">
        <v>72</v>
      </c>
      <c r="J21" t="s">
        <v>150</v>
      </c>
      <c r="K21" t="s">
        <v>151</v>
      </c>
      <c r="L21" t="s">
        <v>152</v>
      </c>
      <c r="M21" t="s">
        <v>149</v>
      </c>
      <c r="O21" t="s">
        <v>62</v>
      </c>
      <c r="P21" t="s">
        <v>63</v>
      </c>
      <c r="Q21">
        <v>2.1257265769387721</v>
      </c>
      <c r="R21" t="s">
        <v>64</v>
      </c>
      <c r="S21" t="s">
        <v>65</v>
      </c>
      <c r="V21" t="s">
        <v>73</v>
      </c>
      <c r="X21" t="s">
        <v>57</v>
      </c>
      <c r="Y21" t="s">
        <v>153</v>
      </c>
      <c r="Z21" t="s">
        <v>154</v>
      </c>
      <c r="AA21" t="s">
        <v>182</v>
      </c>
      <c r="AB21" t="s">
        <v>51</v>
      </c>
      <c r="AC21" t="s">
        <v>171</v>
      </c>
      <c r="AD21" t="s">
        <v>156</v>
      </c>
      <c r="AI21">
        <v>403.15271066688558</v>
      </c>
      <c r="AJ21">
        <v>8602.5446602952688</v>
      </c>
    </row>
    <row r="22" spans="1:36" x14ac:dyDescent="0.25">
      <c r="A22">
        <v>21</v>
      </c>
      <c r="B22" t="s">
        <v>183</v>
      </c>
      <c r="C22" t="s">
        <v>149</v>
      </c>
      <c r="E22" t="s">
        <v>37</v>
      </c>
      <c r="G22" s="2">
        <v>45819</v>
      </c>
      <c r="H22">
        <v>0</v>
      </c>
      <c r="I22" t="s">
        <v>72</v>
      </c>
      <c r="J22" t="s">
        <v>150</v>
      </c>
      <c r="K22" t="s">
        <v>151</v>
      </c>
      <c r="L22" t="s">
        <v>152</v>
      </c>
      <c r="M22" t="s">
        <v>149</v>
      </c>
      <c r="O22" t="s">
        <v>141</v>
      </c>
      <c r="P22" t="s">
        <v>142</v>
      </c>
      <c r="Q22">
        <v>2.9315943703981509E-2</v>
      </c>
      <c r="S22" t="s">
        <v>38</v>
      </c>
      <c r="T22" t="s">
        <v>184</v>
      </c>
      <c r="V22" t="s">
        <v>73</v>
      </c>
      <c r="X22" t="s">
        <v>57</v>
      </c>
      <c r="Y22" t="s">
        <v>153</v>
      </c>
      <c r="Z22" t="s">
        <v>154</v>
      </c>
      <c r="AA22" t="s">
        <v>182</v>
      </c>
      <c r="AB22" t="s">
        <v>51</v>
      </c>
      <c r="AC22" t="s">
        <v>57</v>
      </c>
      <c r="AD22" t="s">
        <v>159</v>
      </c>
      <c r="AI22">
        <v>44.096815449473212</v>
      </c>
      <c r="AJ22">
        <v>118.63788960825831</v>
      </c>
    </row>
    <row r="23" spans="1:36" x14ac:dyDescent="0.25">
      <c r="A23">
        <v>22</v>
      </c>
      <c r="B23" t="s">
        <v>185</v>
      </c>
      <c r="C23" t="s">
        <v>149</v>
      </c>
      <c r="E23" t="s">
        <v>37</v>
      </c>
      <c r="G23" s="2">
        <v>45819</v>
      </c>
      <c r="H23">
        <v>0</v>
      </c>
      <c r="I23" t="s">
        <v>72</v>
      </c>
      <c r="J23" t="s">
        <v>150</v>
      </c>
      <c r="K23" t="s">
        <v>151</v>
      </c>
      <c r="L23" t="s">
        <v>152</v>
      </c>
      <c r="M23" t="s">
        <v>149</v>
      </c>
      <c r="O23" t="s">
        <v>62</v>
      </c>
      <c r="P23" t="s">
        <v>63</v>
      </c>
      <c r="Q23">
        <v>3.032284683898792</v>
      </c>
      <c r="R23" t="s">
        <v>64</v>
      </c>
      <c r="S23" t="s">
        <v>65</v>
      </c>
      <c r="V23" t="s">
        <v>73</v>
      </c>
      <c r="X23" t="s">
        <v>57</v>
      </c>
      <c r="Y23" t="s">
        <v>153</v>
      </c>
      <c r="Z23" t="s">
        <v>154</v>
      </c>
      <c r="AA23" t="s">
        <v>182</v>
      </c>
      <c r="AB23" t="s">
        <v>51</v>
      </c>
      <c r="AC23" t="s">
        <v>171</v>
      </c>
      <c r="AD23" t="s">
        <v>156</v>
      </c>
      <c r="AI23">
        <v>486.40816825784981</v>
      </c>
      <c r="AJ23">
        <v>12271.26983261123</v>
      </c>
    </row>
    <row r="24" spans="1:36" x14ac:dyDescent="0.25">
      <c r="A24">
        <v>23</v>
      </c>
      <c r="B24" t="s">
        <v>186</v>
      </c>
      <c r="C24" t="s">
        <v>149</v>
      </c>
      <c r="E24" t="s">
        <v>37</v>
      </c>
      <c r="G24" s="2">
        <v>45819</v>
      </c>
      <c r="H24">
        <v>0</v>
      </c>
      <c r="I24" t="s">
        <v>72</v>
      </c>
      <c r="J24" t="s">
        <v>150</v>
      </c>
      <c r="K24" t="s">
        <v>151</v>
      </c>
      <c r="L24" t="s">
        <v>152</v>
      </c>
      <c r="M24" t="s">
        <v>149</v>
      </c>
      <c r="O24" t="s">
        <v>62</v>
      </c>
      <c r="P24" t="s">
        <v>63</v>
      </c>
      <c r="Q24">
        <v>7.3465962211325699</v>
      </c>
      <c r="R24" t="s">
        <v>64</v>
      </c>
      <c r="S24" t="s">
        <v>65</v>
      </c>
      <c r="V24" t="s">
        <v>73</v>
      </c>
      <c r="X24" t="s">
        <v>57</v>
      </c>
      <c r="Y24" t="s">
        <v>153</v>
      </c>
      <c r="Z24" t="s">
        <v>154</v>
      </c>
      <c r="AA24" t="s">
        <v>182</v>
      </c>
      <c r="AB24" t="s">
        <v>51</v>
      </c>
      <c r="AC24" t="s">
        <v>171</v>
      </c>
      <c r="AD24" t="s">
        <v>156</v>
      </c>
      <c r="AI24">
        <v>682.81316136425994</v>
      </c>
      <c r="AJ24">
        <v>29730.739023107079</v>
      </c>
    </row>
    <row r="25" spans="1:36" x14ac:dyDescent="0.25">
      <c r="A25">
        <v>24</v>
      </c>
      <c r="B25" t="s">
        <v>187</v>
      </c>
      <c r="C25" t="s">
        <v>149</v>
      </c>
      <c r="E25" t="s">
        <v>37</v>
      </c>
      <c r="G25" s="2">
        <v>45819</v>
      </c>
      <c r="H25">
        <v>0</v>
      </c>
      <c r="I25" t="s">
        <v>72</v>
      </c>
      <c r="J25" t="s">
        <v>150</v>
      </c>
      <c r="K25" t="s">
        <v>151</v>
      </c>
      <c r="L25" t="s">
        <v>152</v>
      </c>
      <c r="M25" t="s">
        <v>149</v>
      </c>
      <c r="O25" t="s">
        <v>115</v>
      </c>
      <c r="P25" t="s">
        <v>137</v>
      </c>
      <c r="Q25">
        <v>0.38382202520129932</v>
      </c>
      <c r="S25" t="s">
        <v>38</v>
      </c>
      <c r="T25" t="s">
        <v>188</v>
      </c>
      <c r="V25" t="s">
        <v>73</v>
      </c>
      <c r="X25" t="s">
        <v>57</v>
      </c>
      <c r="Y25" t="s">
        <v>153</v>
      </c>
      <c r="Z25" t="s">
        <v>154</v>
      </c>
      <c r="AA25" t="s">
        <v>182</v>
      </c>
      <c r="AB25" t="s">
        <v>51</v>
      </c>
      <c r="AC25" t="s">
        <v>57</v>
      </c>
      <c r="AD25" t="s">
        <v>159</v>
      </c>
      <c r="AI25">
        <v>148.6770704919571</v>
      </c>
      <c r="AJ25">
        <v>1553.278840853603</v>
      </c>
    </row>
    <row r="26" spans="1:36" x14ac:dyDescent="0.25">
      <c r="A26">
        <v>25</v>
      </c>
      <c r="B26" t="s">
        <v>189</v>
      </c>
      <c r="C26" t="s">
        <v>149</v>
      </c>
      <c r="E26" t="s">
        <v>37</v>
      </c>
      <c r="G26" s="2">
        <v>45819</v>
      </c>
      <c r="H26">
        <v>0</v>
      </c>
      <c r="I26" t="s">
        <v>72</v>
      </c>
      <c r="J26" t="s">
        <v>150</v>
      </c>
      <c r="K26" t="s">
        <v>151</v>
      </c>
      <c r="L26" t="s">
        <v>152</v>
      </c>
      <c r="M26" t="s">
        <v>149</v>
      </c>
      <c r="O26" t="s">
        <v>62</v>
      </c>
      <c r="P26" t="s">
        <v>63</v>
      </c>
      <c r="Q26">
        <v>0.73781320519534499</v>
      </c>
      <c r="R26" t="s">
        <v>64</v>
      </c>
      <c r="S26" t="s">
        <v>65</v>
      </c>
      <c r="V26" t="s">
        <v>73</v>
      </c>
      <c r="X26" t="s">
        <v>57</v>
      </c>
      <c r="Y26" t="s">
        <v>153</v>
      </c>
      <c r="Z26" t="s">
        <v>154</v>
      </c>
      <c r="AA26" t="s">
        <v>182</v>
      </c>
      <c r="AB26" t="s">
        <v>51</v>
      </c>
      <c r="AC26" t="s">
        <v>171</v>
      </c>
      <c r="AD26" t="s">
        <v>156</v>
      </c>
      <c r="AI26">
        <v>245.75291637039069</v>
      </c>
      <c r="AJ26">
        <v>2985.8360513085731</v>
      </c>
    </row>
    <row r="27" spans="1:36" x14ac:dyDescent="0.25">
      <c r="A27">
        <v>26</v>
      </c>
      <c r="B27" t="s">
        <v>190</v>
      </c>
      <c r="C27" t="s">
        <v>149</v>
      </c>
      <c r="E27" t="s">
        <v>37</v>
      </c>
      <c r="G27" s="2">
        <v>45819</v>
      </c>
      <c r="H27">
        <v>0</v>
      </c>
      <c r="I27" t="s">
        <v>72</v>
      </c>
      <c r="J27" t="s">
        <v>150</v>
      </c>
      <c r="K27" t="s">
        <v>151</v>
      </c>
      <c r="L27" t="s">
        <v>152</v>
      </c>
      <c r="M27" t="s">
        <v>149</v>
      </c>
      <c r="O27" t="s">
        <v>62</v>
      </c>
      <c r="P27" t="s">
        <v>63</v>
      </c>
      <c r="Q27">
        <v>0.63779236381644722</v>
      </c>
      <c r="R27" t="s">
        <v>64</v>
      </c>
      <c r="S27" t="s">
        <v>65</v>
      </c>
      <c r="V27" t="s">
        <v>73</v>
      </c>
      <c r="X27" t="s">
        <v>57</v>
      </c>
      <c r="AB27" t="s">
        <v>51</v>
      </c>
      <c r="AC27" t="s">
        <v>171</v>
      </c>
      <c r="AD27" t="s">
        <v>156</v>
      </c>
      <c r="AI27">
        <v>220.20228241750459</v>
      </c>
      <c r="AJ27">
        <v>2581.064447915734</v>
      </c>
    </row>
    <row r="28" spans="1:36" x14ac:dyDescent="0.25">
      <c r="A28">
        <v>30</v>
      </c>
      <c r="B28" t="s">
        <v>191</v>
      </c>
      <c r="C28" t="s">
        <v>149</v>
      </c>
      <c r="E28" t="s">
        <v>37</v>
      </c>
      <c r="G28" s="2">
        <v>45819</v>
      </c>
      <c r="H28">
        <v>0</v>
      </c>
      <c r="I28" t="s">
        <v>72</v>
      </c>
      <c r="J28" t="s">
        <v>150</v>
      </c>
      <c r="K28" t="s">
        <v>151</v>
      </c>
      <c r="L28" t="s">
        <v>152</v>
      </c>
      <c r="M28" t="s">
        <v>149</v>
      </c>
      <c r="O28" t="s">
        <v>55</v>
      </c>
      <c r="P28" t="s">
        <v>56</v>
      </c>
      <c r="Q28">
        <v>52.409159560495198</v>
      </c>
      <c r="R28" t="s">
        <v>60</v>
      </c>
      <c r="S28" t="s">
        <v>66</v>
      </c>
      <c r="T28" t="s">
        <v>192</v>
      </c>
      <c r="V28" t="s">
        <v>193</v>
      </c>
      <c r="X28" t="s">
        <v>57</v>
      </c>
      <c r="AB28" t="s">
        <v>51</v>
      </c>
      <c r="AC28" t="s">
        <v>57</v>
      </c>
      <c r="AD28" t="s">
        <v>159</v>
      </c>
      <c r="AI28">
        <v>1632.577507432379</v>
      </c>
      <c r="AJ28">
        <v>212093.1923318973</v>
      </c>
    </row>
    <row r="29" spans="1:36" x14ac:dyDescent="0.25">
      <c r="A29">
        <v>31</v>
      </c>
      <c r="B29" t="s">
        <v>194</v>
      </c>
      <c r="C29" t="s">
        <v>149</v>
      </c>
      <c r="E29" t="s">
        <v>37</v>
      </c>
      <c r="G29" s="2">
        <v>45819</v>
      </c>
      <c r="H29">
        <v>0</v>
      </c>
      <c r="I29" t="s">
        <v>72</v>
      </c>
      <c r="J29" t="s">
        <v>150</v>
      </c>
      <c r="K29" t="s">
        <v>151</v>
      </c>
      <c r="L29" t="s">
        <v>152</v>
      </c>
      <c r="M29" t="s">
        <v>149</v>
      </c>
      <c r="O29" t="s">
        <v>62</v>
      </c>
      <c r="P29" t="s">
        <v>63</v>
      </c>
      <c r="Q29">
        <v>32.01019617079006</v>
      </c>
      <c r="R29" t="s">
        <v>64</v>
      </c>
      <c r="S29" t="s">
        <v>65</v>
      </c>
      <c r="T29" t="s">
        <v>57</v>
      </c>
      <c r="V29" t="s">
        <v>193</v>
      </c>
      <c r="X29" t="s">
        <v>57</v>
      </c>
      <c r="AB29" t="s">
        <v>51</v>
      </c>
      <c r="AC29" t="s">
        <v>57</v>
      </c>
      <c r="AD29" t="s">
        <v>159</v>
      </c>
      <c r="AI29">
        <v>1649.3858115128569</v>
      </c>
      <c r="AJ29">
        <v>129541.186120272</v>
      </c>
    </row>
    <row r="30" spans="1:36" x14ac:dyDescent="0.25">
      <c r="A30">
        <v>32</v>
      </c>
      <c r="B30" t="s">
        <v>195</v>
      </c>
      <c r="C30" t="s">
        <v>149</v>
      </c>
      <c r="E30" t="s">
        <v>37</v>
      </c>
      <c r="G30" s="2">
        <v>45819</v>
      </c>
      <c r="H30">
        <v>0</v>
      </c>
      <c r="I30" t="s">
        <v>72</v>
      </c>
      <c r="J30" t="s">
        <v>150</v>
      </c>
      <c r="K30" t="s">
        <v>151</v>
      </c>
      <c r="L30" t="s">
        <v>152</v>
      </c>
      <c r="M30" t="s">
        <v>149</v>
      </c>
      <c r="O30" t="s">
        <v>62</v>
      </c>
      <c r="P30" t="s">
        <v>63</v>
      </c>
      <c r="Q30">
        <v>30.957418425556931</v>
      </c>
      <c r="R30" t="s">
        <v>64</v>
      </c>
      <c r="S30" t="s">
        <v>65</v>
      </c>
      <c r="T30" t="s">
        <v>57</v>
      </c>
      <c r="V30" t="s">
        <v>193</v>
      </c>
      <c r="X30" t="s">
        <v>57</v>
      </c>
      <c r="AB30" t="s">
        <v>51</v>
      </c>
      <c r="AC30" t="s">
        <v>57</v>
      </c>
      <c r="AD30" t="s">
        <v>159</v>
      </c>
      <c r="AI30">
        <v>1463.70545350712</v>
      </c>
      <c r="AJ30">
        <v>125280.72869880281</v>
      </c>
    </row>
    <row r="31" spans="1:36" x14ac:dyDescent="0.25">
      <c r="A31">
        <v>33</v>
      </c>
      <c r="B31" t="s">
        <v>196</v>
      </c>
      <c r="C31" t="s">
        <v>149</v>
      </c>
      <c r="E31" t="s">
        <v>37</v>
      </c>
      <c r="G31" s="2">
        <v>45819</v>
      </c>
      <c r="H31">
        <v>0</v>
      </c>
      <c r="I31" t="s">
        <v>72</v>
      </c>
      <c r="J31" t="s">
        <v>150</v>
      </c>
      <c r="K31" t="s">
        <v>151</v>
      </c>
      <c r="L31" t="s">
        <v>152</v>
      </c>
      <c r="M31" t="s">
        <v>149</v>
      </c>
      <c r="O31" t="s">
        <v>62</v>
      </c>
      <c r="P31" t="s">
        <v>63</v>
      </c>
      <c r="Q31">
        <v>13.99245213864652</v>
      </c>
      <c r="R31" t="s">
        <v>64</v>
      </c>
      <c r="S31" t="s">
        <v>65</v>
      </c>
      <c r="T31" t="s">
        <v>57</v>
      </c>
      <c r="V31" t="s">
        <v>193</v>
      </c>
      <c r="X31" t="s">
        <v>57</v>
      </c>
      <c r="AB31" t="s">
        <v>51</v>
      </c>
      <c r="AC31" t="s">
        <v>57</v>
      </c>
      <c r="AD31" t="s">
        <v>159</v>
      </c>
      <c r="AI31">
        <v>961.90610594290331</v>
      </c>
      <c r="AJ31">
        <v>56625.671304864998</v>
      </c>
    </row>
    <row r="32" spans="1:36" x14ac:dyDescent="0.25">
      <c r="A32">
        <v>34</v>
      </c>
      <c r="B32" t="s">
        <v>197</v>
      </c>
      <c r="C32" t="s">
        <v>149</v>
      </c>
      <c r="E32" t="s">
        <v>37</v>
      </c>
      <c r="G32" s="2">
        <v>45819</v>
      </c>
      <c r="H32">
        <v>0</v>
      </c>
      <c r="I32" t="s">
        <v>72</v>
      </c>
      <c r="J32" t="s">
        <v>150</v>
      </c>
      <c r="K32" t="s">
        <v>151</v>
      </c>
      <c r="L32" t="s">
        <v>152</v>
      </c>
      <c r="M32" t="s">
        <v>149</v>
      </c>
      <c r="O32" t="s">
        <v>62</v>
      </c>
      <c r="P32" t="s">
        <v>63</v>
      </c>
      <c r="Q32">
        <v>9.9720880552151083</v>
      </c>
      <c r="R32" t="s">
        <v>64</v>
      </c>
      <c r="S32" t="s">
        <v>65</v>
      </c>
      <c r="T32" t="s">
        <v>57</v>
      </c>
      <c r="V32" t="s">
        <v>193</v>
      </c>
      <c r="X32" t="s">
        <v>57</v>
      </c>
      <c r="AB32" t="s">
        <v>51</v>
      </c>
      <c r="AC32" t="s">
        <v>57</v>
      </c>
      <c r="AD32" t="s">
        <v>159</v>
      </c>
      <c r="AI32">
        <v>876.8967105880904</v>
      </c>
      <c r="AJ32">
        <v>40355.770013904221</v>
      </c>
    </row>
    <row r="33" spans="1:36" x14ac:dyDescent="0.25">
      <c r="A33">
        <v>35</v>
      </c>
      <c r="B33" t="s">
        <v>198</v>
      </c>
      <c r="C33" t="s">
        <v>149</v>
      </c>
      <c r="E33" t="s">
        <v>37</v>
      </c>
      <c r="G33" s="2">
        <v>45819</v>
      </c>
      <c r="H33">
        <v>0</v>
      </c>
      <c r="I33" t="s">
        <v>72</v>
      </c>
      <c r="J33" t="s">
        <v>150</v>
      </c>
      <c r="K33" t="s">
        <v>151</v>
      </c>
      <c r="L33" t="s">
        <v>152</v>
      </c>
      <c r="M33" t="s">
        <v>149</v>
      </c>
      <c r="O33" t="s">
        <v>62</v>
      </c>
      <c r="P33" t="s">
        <v>63</v>
      </c>
      <c r="Q33">
        <v>89.115456764151801</v>
      </c>
      <c r="R33" t="s">
        <v>64</v>
      </c>
      <c r="S33" t="s">
        <v>65</v>
      </c>
      <c r="T33" t="s">
        <v>57</v>
      </c>
      <c r="V33" t="s">
        <v>193</v>
      </c>
      <c r="X33" t="s">
        <v>57</v>
      </c>
      <c r="AB33" t="s">
        <v>51</v>
      </c>
      <c r="AC33" t="s">
        <v>57</v>
      </c>
      <c r="AD33" t="s">
        <v>159</v>
      </c>
      <c r="AI33">
        <v>2667.3894167450512</v>
      </c>
      <c r="AJ33">
        <v>360638.90109527903</v>
      </c>
    </row>
    <row r="34" spans="1:36" x14ac:dyDescent="0.25">
      <c r="A34">
        <v>36</v>
      </c>
      <c r="B34" t="s">
        <v>199</v>
      </c>
      <c r="C34" t="s">
        <v>149</v>
      </c>
      <c r="E34" t="s">
        <v>37</v>
      </c>
      <c r="G34" s="2">
        <v>45819</v>
      </c>
      <c r="H34">
        <v>0</v>
      </c>
      <c r="I34" t="s">
        <v>72</v>
      </c>
      <c r="J34" t="s">
        <v>150</v>
      </c>
      <c r="K34" t="s">
        <v>151</v>
      </c>
      <c r="L34" t="s">
        <v>152</v>
      </c>
      <c r="M34" t="s">
        <v>149</v>
      </c>
      <c r="O34" t="s">
        <v>62</v>
      </c>
      <c r="P34" t="s">
        <v>63</v>
      </c>
      <c r="Q34">
        <v>20.732667445773409</v>
      </c>
      <c r="R34" t="s">
        <v>64</v>
      </c>
      <c r="S34" t="s">
        <v>65</v>
      </c>
      <c r="T34" t="s">
        <v>57</v>
      </c>
      <c r="V34" t="s">
        <v>64</v>
      </c>
      <c r="X34" t="s">
        <v>200</v>
      </c>
      <c r="AB34" t="s">
        <v>51</v>
      </c>
      <c r="AC34" t="s">
        <v>201</v>
      </c>
      <c r="AD34" t="s">
        <v>202</v>
      </c>
      <c r="AI34">
        <v>1397.8363528496909</v>
      </c>
      <c r="AJ34">
        <v>83902.464015931953</v>
      </c>
    </row>
    <row r="35" spans="1:36" x14ac:dyDescent="0.25">
      <c r="A35">
        <v>37</v>
      </c>
      <c r="B35" t="s">
        <v>203</v>
      </c>
      <c r="C35" t="s">
        <v>149</v>
      </c>
      <c r="E35" t="s">
        <v>37</v>
      </c>
      <c r="G35" s="2">
        <v>45819</v>
      </c>
      <c r="H35">
        <v>0</v>
      </c>
      <c r="I35" t="s">
        <v>72</v>
      </c>
      <c r="J35" t="s">
        <v>150</v>
      </c>
      <c r="K35" t="s">
        <v>151</v>
      </c>
      <c r="L35" t="s">
        <v>152</v>
      </c>
      <c r="M35" t="s">
        <v>149</v>
      </c>
      <c r="O35" t="s">
        <v>62</v>
      </c>
      <c r="P35" t="s">
        <v>63</v>
      </c>
      <c r="Q35">
        <v>17.465261329572819</v>
      </c>
      <c r="R35" t="s">
        <v>64</v>
      </c>
      <c r="S35" t="s">
        <v>65</v>
      </c>
      <c r="T35" t="s">
        <v>57</v>
      </c>
      <c r="V35" t="s">
        <v>64</v>
      </c>
      <c r="X35" t="s">
        <v>200</v>
      </c>
      <c r="AB35" t="s">
        <v>51</v>
      </c>
      <c r="AC35" t="s">
        <v>201</v>
      </c>
      <c r="AD35" t="s">
        <v>202</v>
      </c>
      <c r="AI35">
        <v>1384.0076190587961</v>
      </c>
      <c r="AJ35">
        <v>70679.68769894421</v>
      </c>
    </row>
    <row r="36" spans="1:36" x14ac:dyDescent="0.25">
      <c r="A36">
        <v>38</v>
      </c>
      <c r="B36" t="s">
        <v>204</v>
      </c>
      <c r="C36" t="s">
        <v>149</v>
      </c>
      <c r="E36" t="s">
        <v>37</v>
      </c>
      <c r="G36" s="2">
        <v>45819</v>
      </c>
      <c r="H36">
        <v>0</v>
      </c>
      <c r="I36" t="s">
        <v>72</v>
      </c>
      <c r="J36" t="s">
        <v>150</v>
      </c>
      <c r="K36" t="s">
        <v>151</v>
      </c>
      <c r="L36" t="s">
        <v>152</v>
      </c>
      <c r="M36" t="s">
        <v>149</v>
      </c>
      <c r="O36" t="s">
        <v>62</v>
      </c>
      <c r="P36" t="s">
        <v>63</v>
      </c>
      <c r="Q36">
        <v>7.8160873430610964</v>
      </c>
      <c r="R36" t="s">
        <v>64</v>
      </c>
      <c r="S36" t="s">
        <v>65</v>
      </c>
      <c r="T36" t="s">
        <v>57</v>
      </c>
      <c r="V36" t="s">
        <v>64</v>
      </c>
      <c r="X36" t="s">
        <v>200</v>
      </c>
      <c r="AB36" t="s">
        <v>51</v>
      </c>
      <c r="AC36" t="s">
        <v>201</v>
      </c>
      <c r="AD36" t="s">
        <v>202</v>
      </c>
      <c r="AI36">
        <v>1187.186514051142</v>
      </c>
      <c r="AJ36">
        <v>31630.709785018771</v>
      </c>
    </row>
    <row r="37" spans="1:36" x14ac:dyDescent="0.25">
      <c r="A37">
        <v>39</v>
      </c>
      <c r="B37" t="s">
        <v>205</v>
      </c>
      <c r="C37" t="s">
        <v>149</v>
      </c>
      <c r="E37" t="s">
        <v>37</v>
      </c>
      <c r="G37" s="2">
        <v>45819</v>
      </c>
      <c r="H37">
        <v>0</v>
      </c>
      <c r="I37" t="s">
        <v>72</v>
      </c>
      <c r="J37" t="s">
        <v>150</v>
      </c>
      <c r="K37" t="s">
        <v>151</v>
      </c>
      <c r="L37" t="s">
        <v>152</v>
      </c>
      <c r="M37" t="s">
        <v>149</v>
      </c>
      <c r="O37" t="s">
        <v>62</v>
      </c>
      <c r="P37" t="s">
        <v>63</v>
      </c>
      <c r="Q37">
        <v>24.044314215993069</v>
      </c>
      <c r="R37" t="s">
        <v>64</v>
      </c>
      <c r="S37" t="s">
        <v>65</v>
      </c>
      <c r="T37" t="s">
        <v>57</v>
      </c>
      <c r="V37" t="s">
        <v>64</v>
      </c>
      <c r="X37" t="s">
        <v>200</v>
      </c>
      <c r="AB37" t="s">
        <v>51</v>
      </c>
      <c r="AC37" t="s">
        <v>201</v>
      </c>
      <c r="AD37" t="s">
        <v>202</v>
      </c>
      <c r="AI37">
        <v>1487.5094451218681</v>
      </c>
      <c r="AJ37">
        <v>97304.276623912461</v>
      </c>
    </row>
    <row r="38" spans="1:36" x14ac:dyDescent="0.25">
      <c r="A38">
        <v>40</v>
      </c>
      <c r="B38" t="s">
        <v>206</v>
      </c>
      <c r="C38" t="s">
        <v>149</v>
      </c>
      <c r="E38" t="s">
        <v>37</v>
      </c>
      <c r="G38" s="2">
        <v>45819</v>
      </c>
      <c r="H38">
        <v>0</v>
      </c>
      <c r="I38" t="s">
        <v>72</v>
      </c>
      <c r="J38" t="s">
        <v>150</v>
      </c>
      <c r="K38" t="s">
        <v>151</v>
      </c>
      <c r="L38" t="s">
        <v>152</v>
      </c>
      <c r="M38" t="s">
        <v>149</v>
      </c>
      <c r="O38" t="s">
        <v>62</v>
      </c>
      <c r="P38" t="s">
        <v>63</v>
      </c>
      <c r="Q38">
        <v>0.20757823591550781</v>
      </c>
      <c r="R38" t="s">
        <v>64</v>
      </c>
      <c r="S38" t="s">
        <v>65</v>
      </c>
      <c r="T38" t="s">
        <v>57</v>
      </c>
      <c r="V38" t="s">
        <v>64</v>
      </c>
      <c r="X38" t="s">
        <v>200</v>
      </c>
      <c r="AB38" t="s">
        <v>51</v>
      </c>
      <c r="AC38" t="s">
        <v>201</v>
      </c>
      <c r="AD38" t="s">
        <v>202</v>
      </c>
      <c r="AI38">
        <v>131.76866499520511</v>
      </c>
      <c r="AJ38">
        <v>840.042677332484</v>
      </c>
    </row>
    <row r="39" spans="1:36" x14ac:dyDescent="0.25">
      <c r="A39">
        <v>41</v>
      </c>
      <c r="B39" t="s">
        <v>207</v>
      </c>
      <c r="C39" t="s">
        <v>149</v>
      </c>
      <c r="E39" t="s">
        <v>37</v>
      </c>
      <c r="G39" s="2">
        <v>45819</v>
      </c>
      <c r="H39">
        <v>0</v>
      </c>
      <c r="I39" t="s">
        <v>72</v>
      </c>
      <c r="J39" t="s">
        <v>150</v>
      </c>
      <c r="K39" t="s">
        <v>151</v>
      </c>
      <c r="L39" t="s">
        <v>152</v>
      </c>
      <c r="M39" t="s">
        <v>149</v>
      </c>
      <c r="O39" t="s">
        <v>62</v>
      </c>
      <c r="P39" t="s">
        <v>63</v>
      </c>
      <c r="Q39">
        <v>1.79120208407229</v>
      </c>
      <c r="R39" t="s">
        <v>64</v>
      </c>
      <c r="S39" t="s">
        <v>65</v>
      </c>
      <c r="T39" t="s">
        <v>57</v>
      </c>
      <c r="V39" t="s">
        <v>64</v>
      </c>
      <c r="X39" t="s">
        <v>200</v>
      </c>
      <c r="AB39" t="s">
        <v>51</v>
      </c>
      <c r="AC39" t="s">
        <v>201</v>
      </c>
      <c r="AD39" t="s">
        <v>202</v>
      </c>
      <c r="AI39">
        <v>374.43590166535262</v>
      </c>
      <c r="AJ39">
        <v>7248.7666527818292</v>
      </c>
    </row>
    <row r="40" spans="1:36" x14ac:dyDescent="0.25">
      <c r="A40">
        <v>42</v>
      </c>
      <c r="B40" t="s">
        <v>208</v>
      </c>
      <c r="C40" t="s">
        <v>149</v>
      </c>
      <c r="E40" t="s">
        <v>37</v>
      </c>
      <c r="G40" s="2">
        <v>45819</v>
      </c>
      <c r="H40">
        <v>0</v>
      </c>
      <c r="I40" t="s">
        <v>72</v>
      </c>
      <c r="J40" t="s">
        <v>150</v>
      </c>
      <c r="K40" t="s">
        <v>151</v>
      </c>
      <c r="L40" t="s">
        <v>152</v>
      </c>
      <c r="M40" t="s">
        <v>149</v>
      </c>
      <c r="O40" t="s">
        <v>62</v>
      </c>
      <c r="P40" t="s">
        <v>63</v>
      </c>
      <c r="Q40">
        <v>0.23997425538331249</v>
      </c>
      <c r="R40" t="s">
        <v>64</v>
      </c>
      <c r="S40" t="s">
        <v>65</v>
      </c>
      <c r="T40" t="s">
        <v>57</v>
      </c>
      <c r="V40" t="s">
        <v>64</v>
      </c>
      <c r="X40" t="s">
        <v>57</v>
      </c>
      <c r="AB40" t="s">
        <v>51</v>
      </c>
      <c r="AC40" t="s">
        <v>57</v>
      </c>
      <c r="AD40" t="s">
        <v>159</v>
      </c>
      <c r="AI40">
        <v>119.5564736722793</v>
      </c>
      <c r="AJ40">
        <v>971.14524118569614</v>
      </c>
    </row>
    <row r="41" spans="1:36" x14ac:dyDescent="0.25">
      <c r="A41">
        <v>43</v>
      </c>
      <c r="B41" t="s">
        <v>209</v>
      </c>
      <c r="C41" t="s">
        <v>149</v>
      </c>
      <c r="E41" t="s">
        <v>37</v>
      </c>
      <c r="G41" s="2">
        <v>45819</v>
      </c>
      <c r="H41">
        <v>0</v>
      </c>
      <c r="I41" t="s">
        <v>72</v>
      </c>
      <c r="J41" t="s">
        <v>150</v>
      </c>
      <c r="K41" t="s">
        <v>151</v>
      </c>
      <c r="L41" t="s">
        <v>152</v>
      </c>
      <c r="M41" t="s">
        <v>149</v>
      </c>
      <c r="O41" t="s">
        <v>62</v>
      </c>
      <c r="P41" t="s">
        <v>63</v>
      </c>
      <c r="Q41">
        <v>0.44703654113662361</v>
      </c>
      <c r="R41" t="s">
        <v>64</v>
      </c>
      <c r="S41" t="s">
        <v>65</v>
      </c>
      <c r="T41" t="s">
        <v>57</v>
      </c>
      <c r="V41" t="s">
        <v>64</v>
      </c>
      <c r="X41" t="s">
        <v>200</v>
      </c>
      <c r="AB41" t="s">
        <v>51</v>
      </c>
      <c r="AC41" t="s">
        <v>201</v>
      </c>
      <c r="AD41" t="s">
        <v>202</v>
      </c>
      <c r="AI41">
        <v>199.1513599478466</v>
      </c>
      <c r="AJ41">
        <v>1809.0999339387261</v>
      </c>
    </row>
    <row r="42" spans="1:36" x14ac:dyDescent="0.25">
      <c r="A42">
        <v>44</v>
      </c>
      <c r="B42" t="s">
        <v>210</v>
      </c>
      <c r="C42" t="s">
        <v>149</v>
      </c>
      <c r="E42" t="s">
        <v>37</v>
      </c>
      <c r="G42" s="2">
        <v>45819</v>
      </c>
      <c r="H42">
        <v>0</v>
      </c>
      <c r="I42" t="s">
        <v>72</v>
      </c>
      <c r="J42" t="s">
        <v>150</v>
      </c>
      <c r="K42" t="s">
        <v>151</v>
      </c>
      <c r="L42" t="s">
        <v>152</v>
      </c>
      <c r="M42" t="s">
        <v>149</v>
      </c>
      <c r="O42" t="s">
        <v>62</v>
      </c>
      <c r="P42" t="s">
        <v>63</v>
      </c>
      <c r="Q42">
        <v>18.488831365544659</v>
      </c>
      <c r="R42" t="s">
        <v>64</v>
      </c>
      <c r="S42" t="s">
        <v>65</v>
      </c>
      <c r="T42" t="s">
        <v>57</v>
      </c>
      <c r="V42" t="s">
        <v>64</v>
      </c>
      <c r="X42" t="s">
        <v>200</v>
      </c>
      <c r="AB42" t="s">
        <v>51</v>
      </c>
      <c r="AC42" t="s">
        <v>201</v>
      </c>
      <c r="AD42" t="s">
        <v>202</v>
      </c>
      <c r="AI42">
        <v>1106.670783403451</v>
      </c>
      <c r="AJ42">
        <v>74821.94524180665</v>
      </c>
    </row>
    <row r="43" spans="1:36" x14ac:dyDescent="0.25">
      <c r="A43">
        <v>45</v>
      </c>
      <c r="B43" t="s">
        <v>211</v>
      </c>
      <c r="C43" t="s">
        <v>149</v>
      </c>
      <c r="E43" t="s">
        <v>37</v>
      </c>
      <c r="G43" s="2">
        <v>45819</v>
      </c>
      <c r="H43">
        <v>0</v>
      </c>
      <c r="I43" t="s">
        <v>72</v>
      </c>
      <c r="J43" t="s">
        <v>150</v>
      </c>
      <c r="K43" t="s">
        <v>151</v>
      </c>
      <c r="L43" t="s">
        <v>152</v>
      </c>
      <c r="M43" t="s">
        <v>149</v>
      </c>
      <c r="O43" t="s">
        <v>62</v>
      </c>
      <c r="P43" t="s">
        <v>63</v>
      </c>
      <c r="Q43">
        <v>2.8399447059487368</v>
      </c>
      <c r="R43" t="s">
        <v>64</v>
      </c>
      <c r="S43" t="s">
        <v>65</v>
      </c>
      <c r="T43" t="s">
        <v>57</v>
      </c>
      <c r="V43" t="s">
        <v>64</v>
      </c>
      <c r="X43" t="s">
        <v>200</v>
      </c>
      <c r="AB43" t="s">
        <v>51</v>
      </c>
      <c r="AC43" t="s">
        <v>201</v>
      </c>
      <c r="AD43" t="s">
        <v>202</v>
      </c>
      <c r="AI43">
        <v>519.13381968486556</v>
      </c>
      <c r="AJ43">
        <v>11492.89444406133</v>
      </c>
    </row>
    <row r="44" spans="1:36" x14ac:dyDescent="0.25">
      <c r="A44">
        <v>46</v>
      </c>
      <c r="B44" t="s">
        <v>212</v>
      </c>
      <c r="C44" t="s">
        <v>149</v>
      </c>
      <c r="E44" t="s">
        <v>37</v>
      </c>
      <c r="G44" s="2">
        <v>45819</v>
      </c>
      <c r="H44">
        <v>0</v>
      </c>
      <c r="I44" t="s">
        <v>72</v>
      </c>
      <c r="J44" t="s">
        <v>150</v>
      </c>
      <c r="K44" t="s">
        <v>151</v>
      </c>
      <c r="L44" t="s">
        <v>152</v>
      </c>
      <c r="M44" t="s">
        <v>149</v>
      </c>
      <c r="O44" t="s">
        <v>62</v>
      </c>
      <c r="P44" t="s">
        <v>63</v>
      </c>
      <c r="Q44">
        <v>8.3129344415492756</v>
      </c>
      <c r="R44" t="s">
        <v>64</v>
      </c>
      <c r="S44" t="s">
        <v>65</v>
      </c>
      <c r="T44" t="s">
        <v>57</v>
      </c>
      <c r="V44" t="s">
        <v>64</v>
      </c>
      <c r="X44" t="s">
        <v>200</v>
      </c>
      <c r="AB44" t="s">
        <v>51</v>
      </c>
      <c r="AC44" t="s">
        <v>213</v>
      </c>
      <c r="AD44" t="s">
        <v>202</v>
      </c>
      <c r="AI44">
        <v>797.15374812544803</v>
      </c>
      <c r="AJ44">
        <v>33641.38669918607</v>
      </c>
    </row>
    <row r="45" spans="1:36" x14ac:dyDescent="0.25">
      <c r="A45">
        <v>47</v>
      </c>
      <c r="B45" t="s">
        <v>214</v>
      </c>
      <c r="C45" t="s">
        <v>149</v>
      </c>
      <c r="E45" t="s">
        <v>37</v>
      </c>
      <c r="G45" s="2">
        <v>45819</v>
      </c>
      <c r="H45">
        <v>0</v>
      </c>
      <c r="I45" t="s">
        <v>72</v>
      </c>
      <c r="J45" t="s">
        <v>150</v>
      </c>
      <c r="K45" t="s">
        <v>151</v>
      </c>
      <c r="L45" t="s">
        <v>152</v>
      </c>
      <c r="M45" t="s">
        <v>149</v>
      </c>
      <c r="O45" t="s">
        <v>62</v>
      </c>
      <c r="P45" t="s">
        <v>63</v>
      </c>
      <c r="Q45">
        <v>0.79433023331515884</v>
      </c>
      <c r="R45" t="s">
        <v>64</v>
      </c>
      <c r="S45" t="s">
        <v>65</v>
      </c>
      <c r="V45" t="s">
        <v>75</v>
      </c>
      <c r="X45" t="s">
        <v>57</v>
      </c>
      <c r="AB45" t="s">
        <v>51</v>
      </c>
      <c r="AC45" t="s">
        <v>57</v>
      </c>
      <c r="AD45" t="s">
        <v>159</v>
      </c>
      <c r="AI45">
        <v>227.3840403265732</v>
      </c>
      <c r="AJ45">
        <v>3214.5532643981401</v>
      </c>
    </row>
    <row r="46" spans="1:36" x14ac:dyDescent="0.25">
      <c r="A46">
        <v>48</v>
      </c>
      <c r="B46" t="s">
        <v>215</v>
      </c>
      <c r="C46" t="s">
        <v>149</v>
      </c>
      <c r="E46" t="s">
        <v>37</v>
      </c>
      <c r="G46" s="2">
        <v>45819</v>
      </c>
      <c r="H46">
        <v>0</v>
      </c>
      <c r="I46" t="s">
        <v>72</v>
      </c>
      <c r="J46" t="s">
        <v>150</v>
      </c>
      <c r="K46" t="s">
        <v>151</v>
      </c>
      <c r="L46" t="s">
        <v>152</v>
      </c>
      <c r="M46" t="s">
        <v>149</v>
      </c>
      <c r="O46" t="s">
        <v>62</v>
      </c>
      <c r="P46" t="s">
        <v>63</v>
      </c>
      <c r="Q46">
        <v>9.4869422163348371</v>
      </c>
      <c r="R46" t="s">
        <v>64</v>
      </c>
      <c r="S46" t="s">
        <v>65</v>
      </c>
      <c r="V46" t="s">
        <v>76</v>
      </c>
      <c r="X46" t="s">
        <v>57</v>
      </c>
      <c r="AB46" t="s">
        <v>51</v>
      </c>
      <c r="AC46" t="s">
        <v>216</v>
      </c>
      <c r="AD46" t="s">
        <v>159</v>
      </c>
      <c r="AI46">
        <v>915.71359175068096</v>
      </c>
      <c r="AJ46">
        <v>38392.446606745179</v>
      </c>
    </row>
    <row r="47" spans="1:36" x14ac:dyDescent="0.25">
      <c r="A47">
        <v>49</v>
      </c>
      <c r="B47" t="s">
        <v>217</v>
      </c>
      <c r="C47" t="s">
        <v>149</v>
      </c>
      <c r="E47" t="s">
        <v>37</v>
      </c>
      <c r="G47" s="2">
        <v>45819</v>
      </c>
      <c r="H47">
        <v>0</v>
      </c>
      <c r="I47" t="s">
        <v>72</v>
      </c>
      <c r="J47" t="s">
        <v>150</v>
      </c>
      <c r="K47" t="s">
        <v>151</v>
      </c>
      <c r="L47" t="s">
        <v>152</v>
      </c>
      <c r="M47" t="s">
        <v>149</v>
      </c>
      <c r="O47" t="s">
        <v>62</v>
      </c>
      <c r="P47" t="s">
        <v>63</v>
      </c>
      <c r="Q47">
        <v>36.223893416117448</v>
      </c>
      <c r="R47" t="s">
        <v>64</v>
      </c>
      <c r="S47" t="s">
        <v>65</v>
      </c>
      <c r="V47" t="s">
        <v>76</v>
      </c>
      <c r="X47" t="s">
        <v>57</v>
      </c>
      <c r="AB47" t="s">
        <v>51</v>
      </c>
      <c r="AC47" t="s">
        <v>218</v>
      </c>
      <c r="AD47" t="s">
        <v>159</v>
      </c>
      <c r="AI47">
        <v>1908.285679544246</v>
      </c>
      <c r="AJ47">
        <v>146593.48208869001</v>
      </c>
    </row>
    <row r="48" spans="1:36" x14ac:dyDescent="0.25">
      <c r="A48">
        <v>50</v>
      </c>
      <c r="B48" t="s">
        <v>219</v>
      </c>
      <c r="C48" t="s">
        <v>149</v>
      </c>
      <c r="E48" t="s">
        <v>37</v>
      </c>
      <c r="G48" s="2">
        <v>45819</v>
      </c>
      <c r="H48">
        <v>0</v>
      </c>
      <c r="I48" t="s">
        <v>72</v>
      </c>
      <c r="J48" t="s">
        <v>150</v>
      </c>
      <c r="K48" t="s">
        <v>151</v>
      </c>
      <c r="L48" t="s">
        <v>152</v>
      </c>
      <c r="M48" t="s">
        <v>149</v>
      </c>
      <c r="O48" t="s">
        <v>62</v>
      </c>
      <c r="P48" t="s">
        <v>63</v>
      </c>
      <c r="Q48">
        <v>0.29974335936414948</v>
      </c>
      <c r="R48" t="s">
        <v>64</v>
      </c>
      <c r="S48" t="s">
        <v>65</v>
      </c>
      <c r="V48" t="s">
        <v>76</v>
      </c>
      <c r="X48" t="s">
        <v>57</v>
      </c>
      <c r="AB48" t="s">
        <v>51</v>
      </c>
      <c r="AC48" t="s">
        <v>216</v>
      </c>
      <c r="AD48" t="s">
        <v>159</v>
      </c>
      <c r="AI48">
        <v>152.7779796596044</v>
      </c>
      <c r="AJ48">
        <v>1213.023191002472</v>
      </c>
    </row>
    <row r="49" spans="1:36" x14ac:dyDescent="0.25">
      <c r="A49">
        <v>51</v>
      </c>
      <c r="B49" t="s">
        <v>220</v>
      </c>
      <c r="C49" t="s">
        <v>149</v>
      </c>
      <c r="E49" t="s">
        <v>37</v>
      </c>
      <c r="G49" s="2">
        <v>45819</v>
      </c>
      <c r="H49">
        <v>0</v>
      </c>
      <c r="I49" t="s">
        <v>72</v>
      </c>
      <c r="J49" t="s">
        <v>150</v>
      </c>
      <c r="K49" t="s">
        <v>151</v>
      </c>
      <c r="L49" t="s">
        <v>152</v>
      </c>
      <c r="M49" t="s">
        <v>149</v>
      </c>
      <c r="O49" t="s">
        <v>62</v>
      </c>
      <c r="P49" t="s">
        <v>63</v>
      </c>
      <c r="Q49">
        <v>2.8513802603388911</v>
      </c>
      <c r="R49" t="s">
        <v>64</v>
      </c>
      <c r="S49" t="s">
        <v>65</v>
      </c>
      <c r="V49" t="s">
        <v>76</v>
      </c>
      <c r="X49" t="s">
        <v>57</v>
      </c>
      <c r="AB49" t="s">
        <v>51</v>
      </c>
      <c r="AC49" t="s">
        <v>216</v>
      </c>
      <c r="AD49" t="s">
        <v>159</v>
      </c>
      <c r="AI49">
        <v>807.05599188604572</v>
      </c>
      <c r="AJ49">
        <v>11539.172675901569</v>
      </c>
    </row>
    <row r="50" spans="1:36" x14ac:dyDescent="0.25">
      <c r="A50">
        <v>52</v>
      </c>
      <c r="B50" t="s">
        <v>221</v>
      </c>
      <c r="C50" t="s">
        <v>149</v>
      </c>
      <c r="E50" t="s">
        <v>37</v>
      </c>
      <c r="G50" s="2">
        <v>45819</v>
      </c>
      <c r="H50">
        <v>0</v>
      </c>
      <c r="I50" t="s">
        <v>72</v>
      </c>
      <c r="J50" t="s">
        <v>150</v>
      </c>
      <c r="K50" t="s">
        <v>151</v>
      </c>
      <c r="L50" t="s">
        <v>152</v>
      </c>
      <c r="M50" t="s">
        <v>149</v>
      </c>
      <c r="O50" t="s">
        <v>62</v>
      </c>
      <c r="P50" t="s">
        <v>63</v>
      </c>
      <c r="Q50">
        <v>2.0127077102153672</v>
      </c>
      <c r="R50" t="s">
        <v>64</v>
      </c>
      <c r="S50" t="s">
        <v>65</v>
      </c>
      <c r="T50" t="s">
        <v>57</v>
      </c>
      <c r="V50" t="s">
        <v>61</v>
      </c>
      <c r="X50" t="s">
        <v>222</v>
      </c>
      <c r="AB50" t="s">
        <v>51</v>
      </c>
      <c r="AC50" t="s">
        <v>223</v>
      </c>
      <c r="AD50" t="s">
        <v>224</v>
      </c>
      <c r="AI50">
        <v>527.64281493660201</v>
      </c>
      <c r="AJ50">
        <v>8145.1717041532929</v>
      </c>
    </row>
    <row r="51" spans="1:36" x14ac:dyDescent="0.25">
      <c r="A51">
        <v>53</v>
      </c>
      <c r="B51" t="s">
        <v>225</v>
      </c>
      <c r="C51" t="s">
        <v>149</v>
      </c>
      <c r="E51" t="s">
        <v>37</v>
      </c>
      <c r="G51" s="2">
        <v>45819</v>
      </c>
      <c r="H51">
        <v>0</v>
      </c>
      <c r="I51" t="s">
        <v>72</v>
      </c>
      <c r="J51" t="s">
        <v>150</v>
      </c>
      <c r="K51" t="s">
        <v>151</v>
      </c>
      <c r="L51" t="s">
        <v>152</v>
      </c>
      <c r="M51" t="s">
        <v>149</v>
      </c>
      <c r="O51" t="s">
        <v>62</v>
      </c>
      <c r="P51" t="s">
        <v>63</v>
      </c>
      <c r="Q51">
        <v>17.654752755920789</v>
      </c>
      <c r="R51" t="s">
        <v>64</v>
      </c>
      <c r="S51" t="s">
        <v>65</v>
      </c>
      <c r="T51" t="s">
        <v>57</v>
      </c>
      <c r="V51" t="s">
        <v>61</v>
      </c>
      <c r="X51" t="s">
        <v>222</v>
      </c>
      <c r="AB51" t="s">
        <v>51</v>
      </c>
      <c r="AC51" t="s">
        <v>223</v>
      </c>
      <c r="AD51" t="s">
        <v>224</v>
      </c>
      <c r="AI51">
        <v>1151.686452081686</v>
      </c>
      <c r="AJ51">
        <v>71446.535362037816</v>
      </c>
    </row>
    <row r="52" spans="1:36" x14ac:dyDescent="0.25">
      <c r="A52">
        <v>54</v>
      </c>
      <c r="B52" t="s">
        <v>226</v>
      </c>
      <c r="C52" t="s">
        <v>149</v>
      </c>
      <c r="E52" t="s">
        <v>37</v>
      </c>
      <c r="G52" s="2">
        <v>45819</v>
      </c>
      <c r="H52">
        <v>0</v>
      </c>
      <c r="I52" t="s">
        <v>72</v>
      </c>
      <c r="J52" t="s">
        <v>150</v>
      </c>
      <c r="K52" t="s">
        <v>151</v>
      </c>
      <c r="L52" t="s">
        <v>152</v>
      </c>
      <c r="M52" t="s">
        <v>149</v>
      </c>
      <c r="O52" t="s">
        <v>62</v>
      </c>
      <c r="P52" t="s">
        <v>63</v>
      </c>
      <c r="Q52">
        <v>0.38943096009740041</v>
      </c>
      <c r="R52" t="s">
        <v>64</v>
      </c>
      <c r="S52" t="s">
        <v>65</v>
      </c>
      <c r="T52" t="s">
        <v>57</v>
      </c>
      <c r="V52" t="s">
        <v>61</v>
      </c>
      <c r="X52" t="s">
        <v>222</v>
      </c>
      <c r="AB52" t="s">
        <v>51</v>
      </c>
      <c r="AC52" t="s">
        <v>223</v>
      </c>
      <c r="AD52" t="s">
        <v>224</v>
      </c>
      <c r="AI52">
        <v>161.39995258315361</v>
      </c>
      <c r="AJ52">
        <v>1575.9774858552021</v>
      </c>
    </row>
    <row r="53" spans="1:36" x14ac:dyDescent="0.25">
      <c r="A53">
        <v>55</v>
      </c>
      <c r="B53" t="s">
        <v>227</v>
      </c>
      <c r="C53" t="s">
        <v>149</v>
      </c>
      <c r="E53" t="s">
        <v>37</v>
      </c>
      <c r="G53" s="2">
        <v>45819</v>
      </c>
      <c r="H53">
        <v>0</v>
      </c>
      <c r="I53" t="s">
        <v>72</v>
      </c>
      <c r="J53" t="s">
        <v>150</v>
      </c>
      <c r="K53" t="s">
        <v>151</v>
      </c>
      <c r="L53" t="s">
        <v>152</v>
      </c>
      <c r="M53" t="s">
        <v>149</v>
      </c>
      <c r="O53" t="s">
        <v>62</v>
      </c>
      <c r="P53" t="s">
        <v>63</v>
      </c>
      <c r="Q53">
        <v>16.745444257062751</v>
      </c>
      <c r="R53" t="s">
        <v>64</v>
      </c>
      <c r="S53" t="s">
        <v>65</v>
      </c>
      <c r="T53" t="s">
        <v>57</v>
      </c>
      <c r="V53" t="s">
        <v>61</v>
      </c>
      <c r="X53" t="s">
        <v>222</v>
      </c>
      <c r="AB53" t="s">
        <v>51</v>
      </c>
      <c r="AC53" t="s">
        <v>223</v>
      </c>
      <c r="AD53" t="s">
        <v>224</v>
      </c>
      <c r="AI53">
        <v>1130.4740279121829</v>
      </c>
      <c r="AJ53">
        <v>67766.679704083333</v>
      </c>
    </row>
    <row r="54" spans="1:36" x14ac:dyDescent="0.25">
      <c r="A54">
        <v>56</v>
      </c>
      <c r="B54" t="s">
        <v>228</v>
      </c>
      <c r="C54" t="s">
        <v>149</v>
      </c>
      <c r="E54" t="s">
        <v>37</v>
      </c>
      <c r="G54" s="2">
        <v>45819</v>
      </c>
      <c r="H54">
        <v>0</v>
      </c>
      <c r="I54" t="s">
        <v>72</v>
      </c>
      <c r="J54" t="s">
        <v>150</v>
      </c>
      <c r="K54" t="s">
        <v>151</v>
      </c>
      <c r="L54" t="s">
        <v>152</v>
      </c>
      <c r="M54" t="s">
        <v>149</v>
      </c>
      <c r="O54" t="s">
        <v>62</v>
      </c>
      <c r="P54" t="s">
        <v>63</v>
      </c>
      <c r="Q54">
        <v>2.592855638510335</v>
      </c>
      <c r="R54" t="s">
        <v>64</v>
      </c>
      <c r="S54" t="s">
        <v>65</v>
      </c>
      <c r="T54" t="s">
        <v>57</v>
      </c>
      <c r="V54" t="s">
        <v>61</v>
      </c>
      <c r="X54" t="s">
        <v>222</v>
      </c>
      <c r="AB54" t="s">
        <v>51</v>
      </c>
      <c r="AC54" t="s">
        <v>223</v>
      </c>
      <c r="AD54" t="s">
        <v>224</v>
      </c>
      <c r="AI54">
        <v>868.20328576148381</v>
      </c>
      <c r="AJ54">
        <v>10492.956464845491</v>
      </c>
    </row>
    <row r="55" spans="1:36" x14ac:dyDescent="0.25">
      <c r="A55">
        <v>57</v>
      </c>
      <c r="B55" t="s">
        <v>229</v>
      </c>
      <c r="C55" t="s">
        <v>149</v>
      </c>
      <c r="E55" t="s">
        <v>37</v>
      </c>
      <c r="G55" s="2">
        <v>45819</v>
      </c>
      <c r="H55">
        <v>0</v>
      </c>
      <c r="I55" t="s">
        <v>72</v>
      </c>
      <c r="J55" t="s">
        <v>150</v>
      </c>
      <c r="K55" t="s">
        <v>151</v>
      </c>
      <c r="L55" t="s">
        <v>152</v>
      </c>
      <c r="M55" t="s">
        <v>149</v>
      </c>
      <c r="O55" t="s">
        <v>62</v>
      </c>
      <c r="P55" t="s">
        <v>63</v>
      </c>
      <c r="Q55">
        <v>51.953226136370191</v>
      </c>
      <c r="R55" t="s">
        <v>64</v>
      </c>
      <c r="S55" t="s">
        <v>65</v>
      </c>
      <c r="T55" t="s">
        <v>57</v>
      </c>
      <c r="V55" t="s">
        <v>61</v>
      </c>
      <c r="X55" t="s">
        <v>230</v>
      </c>
      <c r="AB55" t="s">
        <v>51</v>
      </c>
      <c r="AC55" t="s">
        <v>231</v>
      </c>
      <c r="AD55" t="s">
        <v>232</v>
      </c>
      <c r="AI55">
        <v>2103.88299655234</v>
      </c>
      <c r="AJ55">
        <v>210248.08784587961</v>
      </c>
    </row>
    <row r="56" spans="1:36" x14ac:dyDescent="0.25">
      <c r="A56">
        <v>58</v>
      </c>
      <c r="B56" t="s">
        <v>233</v>
      </c>
      <c r="C56" t="s">
        <v>149</v>
      </c>
      <c r="E56" t="s">
        <v>37</v>
      </c>
      <c r="G56" s="2">
        <v>45819</v>
      </c>
      <c r="H56">
        <v>0</v>
      </c>
      <c r="I56" t="s">
        <v>72</v>
      </c>
      <c r="J56" t="s">
        <v>150</v>
      </c>
      <c r="K56" t="s">
        <v>151</v>
      </c>
      <c r="L56" t="s">
        <v>152</v>
      </c>
      <c r="M56" t="s">
        <v>149</v>
      </c>
      <c r="O56" t="s">
        <v>62</v>
      </c>
      <c r="P56" t="s">
        <v>63</v>
      </c>
      <c r="Q56">
        <v>7.3579957458113414</v>
      </c>
      <c r="R56" t="s">
        <v>64</v>
      </c>
      <c r="S56" t="s">
        <v>65</v>
      </c>
      <c r="T56" t="s">
        <v>57</v>
      </c>
      <c r="V56" t="s">
        <v>61</v>
      </c>
      <c r="X56" t="s">
        <v>234</v>
      </c>
      <c r="AB56" t="s">
        <v>51</v>
      </c>
      <c r="AC56" t="s">
        <v>235</v>
      </c>
      <c r="AD56" t="s">
        <v>236</v>
      </c>
      <c r="AI56">
        <v>776.31517786460176</v>
      </c>
      <c r="AJ56">
        <v>29776.87144729518</v>
      </c>
    </row>
    <row r="57" spans="1:36" x14ac:dyDescent="0.25">
      <c r="A57">
        <v>59</v>
      </c>
      <c r="B57" t="s">
        <v>237</v>
      </c>
      <c r="C57" t="s">
        <v>149</v>
      </c>
      <c r="E57" t="s">
        <v>37</v>
      </c>
      <c r="G57" s="2">
        <v>45819</v>
      </c>
      <c r="H57">
        <v>0</v>
      </c>
      <c r="I57" t="s">
        <v>72</v>
      </c>
      <c r="J57" t="s">
        <v>150</v>
      </c>
      <c r="K57" t="s">
        <v>151</v>
      </c>
      <c r="L57" t="s">
        <v>152</v>
      </c>
      <c r="M57" t="s">
        <v>149</v>
      </c>
      <c r="O57" t="s">
        <v>62</v>
      </c>
      <c r="P57" t="s">
        <v>63</v>
      </c>
      <c r="Q57">
        <v>34.838202061212421</v>
      </c>
      <c r="R57" t="s">
        <v>64</v>
      </c>
      <c r="S57" t="s">
        <v>65</v>
      </c>
      <c r="T57" t="s">
        <v>57</v>
      </c>
      <c r="V57" t="s">
        <v>61</v>
      </c>
      <c r="X57" t="s">
        <v>238</v>
      </c>
      <c r="AB57" t="s">
        <v>51</v>
      </c>
      <c r="AC57" t="s">
        <v>239</v>
      </c>
      <c r="AD57" t="s">
        <v>236</v>
      </c>
      <c r="AI57">
        <v>1616.261066617531</v>
      </c>
      <c r="AJ57">
        <v>140985.76569878531</v>
      </c>
    </row>
    <row r="58" spans="1:36" x14ac:dyDescent="0.25">
      <c r="A58">
        <v>60</v>
      </c>
      <c r="B58" t="s">
        <v>240</v>
      </c>
      <c r="C58" t="s">
        <v>149</v>
      </c>
      <c r="E58" t="s">
        <v>37</v>
      </c>
      <c r="G58" s="2">
        <v>45819</v>
      </c>
      <c r="H58">
        <v>0</v>
      </c>
      <c r="I58" t="s">
        <v>72</v>
      </c>
      <c r="J58" t="s">
        <v>150</v>
      </c>
      <c r="K58" t="s">
        <v>151</v>
      </c>
      <c r="L58" t="s">
        <v>152</v>
      </c>
      <c r="M58" t="s">
        <v>149</v>
      </c>
      <c r="O58" t="s">
        <v>141</v>
      </c>
      <c r="P58" t="s">
        <v>142</v>
      </c>
      <c r="Q58">
        <v>0.86556914216076719</v>
      </c>
      <c r="S58" t="s">
        <v>38</v>
      </c>
      <c r="V58" t="s">
        <v>61</v>
      </c>
      <c r="X58" t="s">
        <v>57</v>
      </c>
      <c r="AB58" t="s">
        <v>51</v>
      </c>
      <c r="AC58" t="s">
        <v>239</v>
      </c>
      <c r="AD58" t="s">
        <v>236</v>
      </c>
      <c r="AI58">
        <v>227.93434041098911</v>
      </c>
      <c r="AJ58">
        <v>3502.8480533627612</v>
      </c>
    </row>
    <row r="59" spans="1:36" x14ac:dyDescent="0.25">
      <c r="A59">
        <v>61</v>
      </c>
      <c r="B59" t="s">
        <v>241</v>
      </c>
      <c r="C59" t="s">
        <v>149</v>
      </c>
      <c r="E59" t="s">
        <v>37</v>
      </c>
      <c r="G59" s="2">
        <v>45819</v>
      </c>
      <c r="H59">
        <v>0</v>
      </c>
      <c r="I59" t="s">
        <v>72</v>
      </c>
      <c r="J59" t="s">
        <v>150</v>
      </c>
      <c r="K59" t="s">
        <v>151</v>
      </c>
      <c r="L59" t="s">
        <v>152</v>
      </c>
      <c r="M59" t="s">
        <v>149</v>
      </c>
      <c r="O59" t="s">
        <v>62</v>
      </c>
      <c r="P59" t="s">
        <v>63</v>
      </c>
      <c r="Q59">
        <v>3.7486625414208099</v>
      </c>
      <c r="R59" t="s">
        <v>64</v>
      </c>
      <c r="S59" t="s">
        <v>65</v>
      </c>
      <c r="V59" t="s">
        <v>61</v>
      </c>
      <c r="X59" t="s">
        <v>230</v>
      </c>
      <c r="AB59" t="s">
        <v>51</v>
      </c>
      <c r="AC59" t="s">
        <v>231</v>
      </c>
      <c r="AD59" t="s">
        <v>232</v>
      </c>
      <c r="AI59">
        <v>691.42243530597932</v>
      </c>
      <c r="AJ59">
        <v>15170.35976253748</v>
      </c>
    </row>
    <row r="60" spans="1:36" x14ac:dyDescent="0.25">
      <c r="A60">
        <v>62</v>
      </c>
      <c r="B60" t="s">
        <v>242</v>
      </c>
      <c r="C60" t="s">
        <v>149</v>
      </c>
      <c r="E60" t="s">
        <v>37</v>
      </c>
      <c r="G60" s="2">
        <v>45819</v>
      </c>
      <c r="H60">
        <v>0</v>
      </c>
      <c r="I60" t="s">
        <v>72</v>
      </c>
      <c r="J60" t="s">
        <v>150</v>
      </c>
      <c r="K60" t="s">
        <v>151</v>
      </c>
      <c r="L60" t="s">
        <v>152</v>
      </c>
      <c r="M60" t="s">
        <v>149</v>
      </c>
      <c r="O60" t="s">
        <v>62</v>
      </c>
      <c r="P60" t="s">
        <v>63</v>
      </c>
      <c r="Q60">
        <v>0.8431049963930205</v>
      </c>
      <c r="R60" t="s">
        <v>64</v>
      </c>
      <c r="S60" t="s">
        <v>65</v>
      </c>
      <c r="T60" t="s">
        <v>57</v>
      </c>
      <c r="V60" t="s">
        <v>61</v>
      </c>
      <c r="X60" t="s">
        <v>243</v>
      </c>
      <c r="AB60" t="s">
        <v>51</v>
      </c>
      <c r="AC60" t="s">
        <v>244</v>
      </c>
      <c r="AD60" t="s">
        <v>245</v>
      </c>
      <c r="AI60">
        <v>284.49804068334799</v>
      </c>
      <c r="AJ60">
        <v>3411.9385171510439</v>
      </c>
    </row>
    <row r="61" spans="1:36" x14ac:dyDescent="0.25">
      <c r="A61">
        <v>63</v>
      </c>
      <c r="B61" t="s">
        <v>246</v>
      </c>
      <c r="C61" t="s">
        <v>149</v>
      </c>
      <c r="E61" t="s">
        <v>37</v>
      </c>
      <c r="G61" s="2">
        <v>45819</v>
      </c>
      <c r="H61">
        <v>0</v>
      </c>
      <c r="I61" t="s">
        <v>72</v>
      </c>
      <c r="J61" t="s">
        <v>150</v>
      </c>
      <c r="K61" t="s">
        <v>151</v>
      </c>
      <c r="L61" t="s">
        <v>152</v>
      </c>
      <c r="M61" t="s">
        <v>149</v>
      </c>
      <c r="O61" t="s">
        <v>62</v>
      </c>
      <c r="P61" t="s">
        <v>63</v>
      </c>
      <c r="Q61">
        <v>2.4921016856585592</v>
      </c>
      <c r="R61" t="s">
        <v>64</v>
      </c>
      <c r="S61" t="s">
        <v>65</v>
      </c>
      <c r="T61" t="s">
        <v>57</v>
      </c>
      <c r="V61" t="s">
        <v>61</v>
      </c>
      <c r="X61" t="s">
        <v>234</v>
      </c>
      <c r="AB61" t="s">
        <v>51</v>
      </c>
      <c r="AC61" t="s">
        <v>57</v>
      </c>
      <c r="AD61" t="s">
        <v>236</v>
      </c>
      <c r="AI61">
        <v>494.78049103459642</v>
      </c>
      <c r="AJ61">
        <v>10085.218052713069</v>
      </c>
    </row>
    <row r="62" spans="1:36" x14ac:dyDescent="0.25">
      <c r="A62">
        <v>64</v>
      </c>
      <c r="B62" t="s">
        <v>247</v>
      </c>
      <c r="C62" t="s">
        <v>149</v>
      </c>
      <c r="E62" t="s">
        <v>37</v>
      </c>
      <c r="G62" s="2">
        <v>45819</v>
      </c>
      <c r="H62">
        <v>0</v>
      </c>
      <c r="I62" t="s">
        <v>72</v>
      </c>
      <c r="J62" t="s">
        <v>150</v>
      </c>
      <c r="K62" t="s">
        <v>151</v>
      </c>
      <c r="L62" t="s">
        <v>152</v>
      </c>
      <c r="M62" t="s">
        <v>149</v>
      </c>
      <c r="O62" t="s">
        <v>62</v>
      </c>
      <c r="P62" t="s">
        <v>63</v>
      </c>
      <c r="Q62">
        <v>1.2841178652883121</v>
      </c>
      <c r="R62" t="s">
        <v>64</v>
      </c>
      <c r="S62" t="s">
        <v>65</v>
      </c>
      <c r="V62" t="s">
        <v>61</v>
      </c>
      <c r="X62" t="s">
        <v>57</v>
      </c>
      <c r="AB62" t="s">
        <v>51</v>
      </c>
      <c r="AC62" t="s">
        <v>57</v>
      </c>
      <c r="AD62" t="s">
        <v>159</v>
      </c>
      <c r="AI62">
        <v>386.71441385988612</v>
      </c>
      <c r="AJ62">
        <v>5196.6614168854649</v>
      </c>
    </row>
    <row r="63" spans="1:36" x14ac:dyDescent="0.25">
      <c r="A63">
        <v>65</v>
      </c>
      <c r="B63" t="s">
        <v>248</v>
      </c>
      <c r="C63" t="s">
        <v>149</v>
      </c>
      <c r="E63" t="s">
        <v>37</v>
      </c>
      <c r="G63" s="2">
        <v>45819</v>
      </c>
      <c r="H63">
        <v>0</v>
      </c>
      <c r="I63" t="s">
        <v>72</v>
      </c>
      <c r="J63" t="s">
        <v>150</v>
      </c>
      <c r="K63" t="s">
        <v>151</v>
      </c>
      <c r="L63" t="s">
        <v>152</v>
      </c>
      <c r="M63" t="s">
        <v>149</v>
      </c>
      <c r="O63" t="s">
        <v>62</v>
      </c>
      <c r="P63" t="s">
        <v>63</v>
      </c>
      <c r="Q63">
        <v>0.40315196443129869</v>
      </c>
      <c r="R63" t="s">
        <v>64</v>
      </c>
      <c r="S63" t="s">
        <v>65</v>
      </c>
      <c r="T63" t="s">
        <v>57</v>
      </c>
      <c r="V63" t="s">
        <v>61</v>
      </c>
      <c r="X63" t="s">
        <v>249</v>
      </c>
      <c r="AB63" t="s">
        <v>51</v>
      </c>
      <c r="AC63" t="s">
        <v>57</v>
      </c>
      <c r="AD63" t="s">
        <v>250</v>
      </c>
      <c r="AI63">
        <v>246.5225948704973</v>
      </c>
      <c r="AJ63">
        <v>1631.504642474021</v>
      </c>
    </row>
    <row r="64" spans="1:36" x14ac:dyDescent="0.25">
      <c r="A64">
        <v>66</v>
      </c>
      <c r="B64" t="s">
        <v>251</v>
      </c>
      <c r="C64" t="s">
        <v>149</v>
      </c>
      <c r="E64" t="s">
        <v>37</v>
      </c>
      <c r="G64" s="2">
        <v>45819</v>
      </c>
      <c r="H64">
        <v>0</v>
      </c>
      <c r="I64" t="s">
        <v>72</v>
      </c>
      <c r="J64" t="s">
        <v>150</v>
      </c>
      <c r="K64" t="s">
        <v>151</v>
      </c>
      <c r="L64" t="s">
        <v>152</v>
      </c>
      <c r="M64" t="s">
        <v>149</v>
      </c>
      <c r="O64" t="s">
        <v>62</v>
      </c>
      <c r="P64" t="s">
        <v>63</v>
      </c>
      <c r="Q64">
        <v>0.58560351657925691</v>
      </c>
      <c r="R64" t="s">
        <v>64</v>
      </c>
      <c r="S64" t="s">
        <v>65</v>
      </c>
      <c r="T64" t="s">
        <v>57</v>
      </c>
      <c r="V64" t="s">
        <v>61</v>
      </c>
      <c r="X64" t="s">
        <v>57</v>
      </c>
      <c r="AB64" t="s">
        <v>51</v>
      </c>
      <c r="AC64" t="s">
        <v>231</v>
      </c>
      <c r="AD64" t="s">
        <v>232</v>
      </c>
      <c r="AI64">
        <v>192.38362850136079</v>
      </c>
      <c r="AJ64">
        <v>2369.8628314906368</v>
      </c>
    </row>
    <row r="65" spans="1:36" x14ac:dyDescent="0.25">
      <c r="A65">
        <v>67</v>
      </c>
      <c r="B65" t="s">
        <v>252</v>
      </c>
      <c r="C65" t="s">
        <v>149</v>
      </c>
      <c r="E65" t="s">
        <v>37</v>
      </c>
      <c r="G65" s="2">
        <v>45819</v>
      </c>
      <c r="H65">
        <v>0</v>
      </c>
      <c r="I65" t="s">
        <v>72</v>
      </c>
      <c r="J65" t="s">
        <v>150</v>
      </c>
      <c r="K65" t="s">
        <v>151</v>
      </c>
      <c r="L65" t="s">
        <v>152</v>
      </c>
      <c r="M65" t="s">
        <v>149</v>
      </c>
      <c r="O65" t="s">
        <v>62</v>
      </c>
      <c r="P65" t="s">
        <v>63</v>
      </c>
      <c r="Q65">
        <v>1.541014229383453</v>
      </c>
      <c r="R65" t="s">
        <v>64</v>
      </c>
      <c r="S65" t="s">
        <v>65</v>
      </c>
      <c r="V65" t="s">
        <v>61</v>
      </c>
      <c r="X65" t="s">
        <v>230</v>
      </c>
      <c r="AB65" t="s">
        <v>51</v>
      </c>
      <c r="AC65" t="s">
        <v>231</v>
      </c>
      <c r="AD65" t="s">
        <v>232</v>
      </c>
      <c r="AI65">
        <v>500.95660218804318</v>
      </c>
      <c r="AJ65">
        <v>6236.2882763183716</v>
      </c>
    </row>
    <row r="66" spans="1:36" x14ac:dyDescent="0.25">
      <c r="A66">
        <v>68</v>
      </c>
      <c r="B66" t="s">
        <v>253</v>
      </c>
      <c r="C66" t="s">
        <v>149</v>
      </c>
      <c r="E66" t="s">
        <v>37</v>
      </c>
      <c r="G66" s="2">
        <v>45819</v>
      </c>
      <c r="H66">
        <v>0</v>
      </c>
      <c r="I66" t="s">
        <v>72</v>
      </c>
      <c r="J66" t="s">
        <v>150</v>
      </c>
      <c r="K66" t="s">
        <v>151</v>
      </c>
      <c r="L66" t="s">
        <v>152</v>
      </c>
      <c r="M66" t="s">
        <v>149</v>
      </c>
      <c r="O66" t="s">
        <v>62</v>
      </c>
      <c r="P66" t="s">
        <v>63</v>
      </c>
      <c r="Q66">
        <v>40.069454371443783</v>
      </c>
      <c r="R66" t="s">
        <v>64</v>
      </c>
      <c r="S66" t="s">
        <v>65</v>
      </c>
      <c r="T66" t="s">
        <v>57</v>
      </c>
      <c r="V66" t="s">
        <v>86</v>
      </c>
      <c r="X66" t="s">
        <v>57</v>
      </c>
      <c r="AB66" t="s">
        <v>51</v>
      </c>
      <c r="AC66" t="s">
        <v>57</v>
      </c>
      <c r="AD66" t="s">
        <v>159</v>
      </c>
      <c r="AI66">
        <v>1609.305337317428</v>
      </c>
      <c r="AJ66">
        <v>162155.97738840189</v>
      </c>
    </row>
    <row r="67" spans="1:36" x14ac:dyDescent="0.25">
      <c r="A67">
        <v>69</v>
      </c>
      <c r="B67" t="s">
        <v>254</v>
      </c>
      <c r="C67" t="s">
        <v>149</v>
      </c>
      <c r="E67" t="s">
        <v>37</v>
      </c>
      <c r="G67" s="2">
        <v>45819</v>
      </c>
      <c r="H67">
        <v>0</v>
      </c>
      <c r="I67" t="s">
        <v>72</v>
      </c>
      <c r="J67" t="s">
        <v>150</v>
      </c>
      <c r="K67" t="s">
        <v>151</v>
      </c>
      <c r="L67" t="s">
        <v>152</v>
      </c>
      <c r="M67" t="s">
        <v>149</v>
      </c>
      <c r="O67" t="s">
        <v>62</v>
      </c>
      <c r="P67" t="s">
        <v>63</v>
      </c>
      <c r="Q67">
        <v>0.23377010758270281</v>
      </c>
      <c r="R67" t="s">
        <v>64</v>
      </c>
      <c r="S67" t="s">
        <v>65</v>
      </c>
      <c r="T67" t="s">
        <v>57</v>
      </c>
      <c r="V67" t="s">
        <v>61</v>
      </c>
      <c r="X67" t="s">
        <v>234</v>
      </c>
      <c r="AB67" t="s">
        <v>51</v>
      </c>
      <c r="AC67" t="s">
        <v>57</v>
      </c>
      <c r="AD67" t="s">
        <v>236</v>
      </c>
      <c r="AI67">
        <v>144.80381418146911</v>
      </c>
      <c r="AJ67">
        <v>946.03784538379705</v>
      </c>
    </row>
    <row r="68" spans="1:36" x14ac:dyDescent="0.25">
      <c r="A68">
        <v>70</v>
      </c>
      <c r="B68" t="s">
        <v>255</v>
      </c>
      <c r="C68" t="s">
        <v>149</v>
      </c>
      <c r="E68" t="s">
        <v>37</v>
      </c>
      <c r="G68" s="2">
        <v>45819</v>
      </c>
      <c r="H68">
        <v>0</v>
      </c>
      <c r="I68" t="s">
        <v>72</v>
      </c>
      <c r="J68" t="s">
        <v>150</v>
      </c>
      <c r="K68" t="s">
        <v>151</v>
      </c>
      <c r="L68" t="s">
        <v>152</v>
      </c>
      <c r="M68" t="s">
        <v>149</v>
      </c>
      <c r="O68" t="s">
        <v>62</v>
      </c>
      <c r="P68" t="s">
        <v>63</v>
      </c>
      <c r="Q68">
        <v>10.763121435770589</v>
      </c>
      <c r="R68" t="s">
        <v>64</v>
      </c>
      <c r="S68" t="s">
        <v>65</v>
      </c>
      <c r="T68" t="s">
        <v>57</v>
      </c>
      <c r="V68" t="s">
        <v>86</v>
      </c>
      <c r="X68" t="s">
        <v>234</v>
      </c>
      <c r="AB68" t="s">
        <v>51</v>
      </c>
      <c r="AC68" t="s">
        <v>235</v>
      </c>
      <c r="AD68" t="s">
        <v>236</v>
      </c>
      <c r="AI68">
        <v>989.43179034775494</v>
      </c>
      <c r="AJ68">
        <v>43556.981335170443</v>
      </c>
    </row>
    <row r="69" spans="1:36" x14ac:dyDescent="0.25">
      <c r="A69">
        <v>71</v>
      </c>
      <c r="B69" t="s">
        <v>256</v>
      </c>
      <c r="C69" t="s">
        <v>149</v>
      </c>
      <c r="E69" t="s">
        <v>37</v>
      </c>
      <c r="G69" s="2">
        <v>45819</v>
      </c>
      <c r="H69">
        <v>0</v>
      </c>
      <c r="I69" t="s">
        <v>72</v>
      </c>
      <c r="J69" t="s">
        <v>150</v>
      </c>
      <c r="K69" t="s">
        <v>151</v>
      </c>
      <c r="L69" t="s">
        <v>152</v>
      </c>
      <c r="M69" t="s">
        <v>149</v>
      </c>
      <c r="O69" t="s">
        <v>62</v>
      </c>
      <c r="P69" t="s">
        <v>63</v>
      </c>
      <c r="Q69">
        <v>50.482145990957861</v>
      </c>
      <c r="R69" t="s">
        <v>64</v>
      </c>
      <c r="S69" t="s">
        <v>65</v>
      </c>
      <c r="T69" t="s">
        <v>57</v>
      </c>
      <c r="V69" t="s">
        <v>86</v>
      </c>
      <c r="X69" t="s">
        <v>234</v>
      </c>
      <c r="AB69" t="s">
        <v>51</v>
      </c>
      <c r="AC69" t="s">
        <v>235</v>
      </c>
      <c r="AD69" t="s">
        <v>236</v>
      </c>
      <c r="AI69">
        <v>2193.7795888708079</v>
      </c>
      <c r="AJ69">
        <v>204294.81389848061</v>
      </c>
    </row>
    <row r="70" spans="1:36" x14ac:dyDescent="0.25">
      <c r="A70">
        <v>72</v>
      </c>
      <c r="B70" t="s">
        <v>257</v>
      </c>
      <c r="C70" t="s">
        <v>149</v>
      </c>
      <c r="E70" t="s">
        <v>37</v>
      </c>
      <c r="G70" s="2">
        <v>45819</v>
      </c>
      <c r="H70">
        <v>0</v>
      </c>
      <c r="I70" t="s">
        <v>72</v>
      </c>
      <c r="J70" t="s">
        <v>150</v>
      </c>
      <c r="K70" t="s">
        <v>151</v>
      </c>
      <c r="L70" t="s">
        <v>152</v>
      </c>
      <c r="M70" t="s">
        <v>149</v>
      </c>
      <c r="O70" t="s">
        <v>62</v>
      </c>
      <c r="P70" t="s">
        <v>63</v>
      </c>
      <c r="Q70">
        <v>11.41423733301048</v>
      </c>
      <c r="R70" t="s">
        <v>64</v>
      </c>
      <c r="S70" t="s">
        <v>65</v>
      </c>
      <c r="T70" t="s">
        <v>57</v>
      </c>
      <c r="V70" t="s">
        <v>86</v>
      </c>
      <c r="X70" t="s">
        <v>258</v>
      </c>
      <c r="AB70" t="s">
        <v>51</v>
      </c>
      <c r="AC70" t="s">
        <v>259</v>
      </c>
      <c r="AD70" t="s">
        <v>260</v>
      </c>
      <c r="AI70">
        <v>1029.132002225994</v>
      </c>
      <c r="AJ70">
        <v>46191.964425564249</v>
      </c>
    </row>
    <row r="71" spans="1:36" x14ac:dyDescent="0.25">
      <c r="A71">
        <v>73</v>
      </c>
      <c r="B71" t="s">
        <v>261</v>
      </c>
      <c r="C71" t="s">
        <v>149</v>
      </c>
      <c r="E71" t="s">
        <v>37</v>
      </c>
      <c r="G71" s="2">
        <v>45819</v>
      </c>
      <c r="H71">
        <v>0</v>
      </c>
      <c r="I71" t="s">
        <v>72</v>
      </c>
      <c r="J71" t="s">
        <v>150</v>
      </c>
      <c r="K71" t="s">
        <v>151</v>
      </c>
      <c r="L71" t="s">
        <v>152</v>
      </c>
      <c r="M71" t="s">
        <v>149</v>
      </c>
      <c r="O71" t="s">
        <v>62</v>
      </c>
      <c r="P71" t="s">
        <v>63</v>
      </c>
      <c r="Q71">
        <v>36.842220132651477</v>
      </c>
      <c r="R71" t="s">
        <v>64</v>
      </c>
      <c r="S71" t="s">
        <v>65</v>
      </c>
      <c r="T71" t="s">
        <v>57</v>
      </c>
      <c r="V71" t="s">
        <v>86</v>
      </c>
      <c r="X71" t="s">
        <v>258</v>
      </c>
      <c r="AB71" t="s">
        <v>51</v>
      </c>
      <c r="AC71" t="s">
        <v>259</v>
      </c>
      <c r="AD71" t="s">
        <v>260</v>
      </c>
      <c r="AI71">
        <v>2092.603547666788</v>
      </c>
      <c r="AJ71">
        <v>149095.77154178501</v>
      </c>
    </row>
    <row r="72" spans="1:36" x14ac:dyDescent="0.25">
      <c r="A72">
        <v>74</v>
      </c>
      <c r="B72" t="s">
        <v>262</v>
      </c>
      <c r="C72" t="s">
        <v>149</v>
      </c>
      <c r="E72" t="s">
        <v>37</v>
      </c>
      <c r="G72" s="2">
        <v>45819</v>
      </c>
      <c r="H72">
        <v>0</v>
      </c>
      <c r="I72" t="s">
        <v>72</v>
      </c>
      <c r="J72" t="s">
        <v>150</v>
      </c>
      <c r="K72" t="s">
        <v>151</v>
      </c>
      <c r="L72" t="s">
        <v>152</v>
      </c>
      <c r="M72" t="s">
        <v>149</v>
      </c>
      <c r="O72" t="s">
        <v>62</v>
      </c>
      <c r="P72" t="s">
        <v>63</v>
      </c>
      <c r="Q72">
        <v>33.406532545492347</v>
      </c>
      <c r="R72" t="s">
        <v>64</v>
      </c>
      <c r="S72" t="s">
        <v>65</v>
      </c>
      <c r="T72" t="s">
        <v>57</v>
      </c>
      <c r="V72" t="s">
        <v>86</v>
      </c>
      <c r="X72" t="s">
        <v>258</v>
      </c>
      <c r="AB72" t="s">
        <v>51</v>
      </c>
      <c r="AC72" t="s">
        <v>259</v>
      </c>
      <c r="AD72" t="s">
        <v>260</v>
      </c>
      <c r="AI72">
        <v>1939.35063399248</v>
      </c>
      <c r="AJ72">
        <v>135191.98154922569</v>
      </c>
    </row>
    <row r="73" spans="1:36" x14ac:dyDescent="0.25">
      <c r="A73">
        <v>75</v>
      </c>
      <c r="B73" t="s">
        <v>263</v>
      </c>
      <c r="C73" t="s">
        <v>149</v>
      </c>
      <c r="E73" t="s">
        <v>37</v>
      </c>
      <c r="G73" s="2">
        <v>45819</v>
      </c>
      <c r="H73">
        <v>0</v>
      </c>
      <c r="I73" t="s">
        <v>72</v>
      </c>
      <c r="J73" t="s">
        <v>150</v>
      </c>
      <c r="K73" t="s">
        <v>151</v>
      </c>
      <c r="L73" t="s">
        <v>152</v>
      </c>
      <c r="M73" t="s">
        <v>149</v>
      </c>
      <c r="O73" t="s">
        <v>62</v>
      </c>
      <c r="P73" t="s">
        <v>63</v>
      </c>
      <c r="Q73">
        <v>4.2772343447122809</v>
      </c>
      <c r="R73" t="s">
        <v>64</v>
      </c>
      <c r="S73" t="s">
        <v>65</v>
      </c>
      <c r="T73" t="s">
        <v>57</v>
      </c>
      <c r="V73" t="s">
        <v>86</v>
      </c>
      <c r="X73" t="s">
        <v>264</v>
      </c>
      <c r="AB73" t="s">
        <v>51</v>
      </c>
      <c r="AC73" t="s">
        <v>265</v>
      </c>
      <c r="AD73" t="s">
        <v>232</v>
      </c>
      <c r="AI73">
        <v>545.8555428894224</v>
      </c>
      <c r="AJ73">
        <v>17309.422515629569</v>
      </c>
    </row>
    <row r="74" spans="1:36" x14ac:dyDescent="0.25">
      <c r="A74">
        <v>76</v>
      </c>
      <c r="B74" t="s">
        <v>266</v>
      </c>
      <c r="C74" t="s">
        <v>149</v>
      </c>
      <c r="E74" t="s">
        <v>37</v>
      </c>
      <c r="G74" s="2">
        <v>45819</v>
      </c>
      <c r="H74">
        <v>0</v>
      </c>
      <c r="I74" t="s">
        <v>72</v>
      </c>
      <c r="J74" t="s">
        <v>150</v>
      </c>
      <c r="K74" t="s">
        <v>151</v>
      </c>
      <c r="L74" t="s">
        <v>152</v>
      </c>
      <c r="M74" t="s">
        <v>149</v>
      </c>
      <c r="O74" t="s">
        <v>62</v>
      </c>
      <c r="P74" t="s">
        <v>63</v>
      </c>
      <c r="Q74">
        <v>5.7443554924971716</v>
      </c>
      <c r="R74" t="s">
        <v>64</v>
      </c>
      <c r="S74" t="s">
        <v>65</v>
      </c>
      <c r="T74" t="s">
        <v>57</v>
      </c>
      <c r="V74" t="s">
        <v>86</v>
      </c>
      <c r="X74" t="s">
        <v>264</v>
      </c>
      <c r="AB74" t="s">
        <v>51</v>
      </c>
      <c r="AC74" t="s">
        <v>265</v>
      </c>
      <c r="AD74" t="s">
        <v>232</v>
      </c>
      <c r="AI74">
        <v>768.31099626331104</v>
      </c>
      <c r="AJ74">
        <v>23246.67490396752</v>
      </c>
    </row>
    <row r="75" spans="1:36" x14ac:dyDescent="0.25">
      <c r="A75">
        <v>77</v>
      </c>
      <c r="B75" t="s">
        <v>267</v>
      </c>
      <c r="C75" t="s">
        <v>149</v>
      </c>
      <c r="E75" t="s">
        <v>37</v>
      </c>
      <c r="G75" s="2">
        <v>45819</v>
      </c>
      <c r="H75">
        <v>0</v>
      </c>
      <c r="I75" t="s">
        <v>72</v>
      </c>
      <c r="J75" t="s">
        <v>150</v>
      </c>
      <c r="K75" t="s">
        <v>151</v>
      </c>
      <c r="L75" t="s">
        <v>152</v>
      </c>
      <c r="M75" t="s">
        <v>149</v>
      </c>
      <c r="O75" t="s">
        <v>62</v>
      </c>
      <c r="P75" t="s">
        <v>63</v>
      </c>
      <c r="Q75">
        <v>41.257745365921018</v>
      </c>
      <c r="R75" t="s">
        <v>64</v>
      </c>
      <c r="S75" t="s">
        <v>65</v>
      </c>
      <c r="T75" t="s">
        <v>57</v>
      </c>
      <c r="V75" t="s">
        <v>86</v>
      </c>
      <c r="X75" t="s">
        <v>234</v>
      </c>
      <c r="AB75" t="s">
        <v>51</v>
      </c>
      <c r="AC75" t="s">
        <v>235</v>
      </c>
      <c r="AD75" t="s">
        <v>236</v>
      </c>
      <c r="AI75">
        <v>1765.0977807783579</v>
      </c>
      <c r="AJ75">
        <v>166964.8396665121</v>
      </c>
    </row>
    <row r="76" spans="1:36" x14ac:dyDescent="0.25">
      <c r="A76">
        <v>78</v>
      </c>
      <c r="B76" t="s">
        <v>268</v>
      </c>
      <c r="C76" t="s">
        <v>149</v>
      </c>
      <c r="E76" t="s">
        <v>37</v>
      </c>
      <c r="G76" s="2">
        <v>45819</v>
      </c>
      <c r="H76">
        <v>0</v>
      </c>
      <c r="I76" t="s">
        <v>72</v>
      </c>
      <c r="J76" t="s">
        <v>150</v>
      </c>
      <c r="K76" t="s">
        <v>151</v>
      </c>
      <c r="L76" t="s">
        <v>152</v>
      </c>
      <c r="M76" t="s">
        <v>149</v>
      </c>
      <c r="O76" t="s">
        <v>62</v>
      </c>
      <c r="P76" t="s">
        <v>63</v>
      </c>
      <c r="Q76">
        <v>9.9955854395242696</v>
      </c>
      <c r="R76" t="s">
        <v>64</v>
      </c>
      <c r="S76" t="s">
        <v>65</v>
      </c>
      <c r="T76" t="s">
        <v>57</v>
      </c>
      <c r="V76" t="s">
        <v>86</v>
      </c>
      <c r="X76" t="s">
        <v>234</v>
      </c>
      <c r="AB76" t="s">
        <v>51</v>
      </c>
      <c r="AC76" t="s">
        <v>235</v>
      </c>
      <c r="AD76" t="s">
        <v>236</v>
      </c>
      <c r="AI76">
        <v>1129.1151703636949</v>
      </c>
      <c r="AJ76">
        <v>40450.860934868651</v>
      </c>
    </row>
    <row r="77" spans="1:36" x14ac:dyDescent="0.25">
      <c r="A77">
        <v>79</v>
      </c>
      <c r="B77" t="s">
        <v>269</v>
      </c>
      <c r="C77" t="s">
        <v>149</v>
      </c>
      <c r="E77" t="s">
        <v>37</v>
      </c>
      <c r="G77" s="2">
        <v>45819</v>
      </c>
      <c r="H77">
        <v>0</v>
      </c>
      <c r="I77" t="s">
        <v>72</v>
      </c>
      <c r="J77" t="s">
        <v>150</v>
      </c>
      <c r="K77" t="s">
        <v>151</v>
      </c>
      <c r="L77" t="s">
        <v>152</v>
      </c>
      <c r="M77" t="s">
        <v>149</v>
      </c>
      <c r="O77" t="s">
        <v>62</v>
      </c>
      <c r="P77" t="s">
        <v>63</v>
      </c>
      <c r="Q77">
        <v>4.7663960445369176</v>
      </c>
      <c r="R77" t="s">
        <v>64</v>
      </c>
      <c r="S77" t="s">
        <v>65</v>
      </c>
      <c r="T77" t="s">
        <v>57</v>
      </c>
      <c r="V77" t="s">
        <v>86</v>
      </c>
      <c r="X77" t="s">
        <v>258</v>
      </c>
      <c r="AB77" t="s">
        <v>51</v>
      </c>
      <c r="AC77" t="s">
        <v>259</v>
      </c>
      <c r="AD77" t="s">
        <v>260</v>
      </c>
      <c r="AI77">
        <v>582.52042009882155</v>
      </c>
      <c r="AJ77">
        <v>19288.997600449431</v>
      </c>
    </row>
    <row r="78" spans="1:36" x14ac:dyDescent="0.25">
      <c r="A78">
        <v>80</v>
      </c>
      <c r="B78" t="s">
        <v>270</v>
      </c>
      <c r="C78" t="s">
        <v>149</v>
      </c>
      <c r="E78" t="s">
        <v>37</v>
      </c>
      <c r="G78" s="2">
        <v>45819</v>
      </c>
      <c r="H78">
        <v>0</v>
      </c>
      <c r="I78" t="s">
        <v>72</v>
      </c>
      <c r="J78" t="s">
        <v>150</v>
      </c>
      <c r="K78" t="s">
        <v>151</v>
      </c>
      <c r="L78" t="s">
        <v>152</v>
      </c>
      <c r="M78" t="s">
        <v>149</v>
      </c>
      <c r="O78" t="s">
        <v>62</v>
      </c>
      <c r="P78" t="s">
        <v>63</v>
      </c>
      <c r="Q78">
        <v>6.5134696378214647</v>
      </c>
      <c r="R78" t="s">
        <v>64</v>
      </c>
      <c r="S78" t="s">
        <v>65</v>
      </c>
      <c r="T78" t="s">
        <v>57</v>
      </c>
      <c r="V78" t="s">
        <v>86</v>
      </c>
      <c r="X78" t="s">
        <v>264</v>
      </c>
      <c r="AB78" t="s">
        <v>51</v>
      </c>
      <c r="AC78" t="s">
        <v>265</v>
      </c>
      <c r="AD78" t="s">
        <v>232</v>
      </c>
      <c r="AI78">
        <v>791.1783143247269</v>
      </c>
      <c r="AJ78">
        <v>26359.181872547251</v>
      </c>
    </row>
    <row r="79" spans="1:36" x14ac:dyDescent="0.25">
      <c r="A79">
        <v>81</v>
      </c>
      <c r="B79" t="s">
        <v>271</v>
      </c>
      <c r="C79" t="s">
        <v>149</v>
      </c>
      <c r="E79" t="s">
        <v>37</v>
      </c>
      <c r="G79" s="2">
        <v>45819</v>
      </c>
      <c r="H79">
        <v>0</v>
      </c>
      <c r="I79" t="s">
        <v>72</v>
      </c>
      <c r="J79" t="s">
        <v>150</v>
      </c>
      <c r="K79" t="s">
        <v>151</v>
      </c>
      <c r="L79" t="s">
        <v>152</v>
      </c>
      <c r="M79" t="s">
        <v>149</v>
      </c>
      <c r="O79" t="s">
        <v>62</v>
      </c>
      <c r="P79" t="s">
        <v>63</v>
      </c>
      <c r="Q79">
        <v>43.342744031198961</v>
      </c>
      <c r="R79" t="s">
        <v>64</v>
      </c>
      <c r="S79" t="s">
        <v>65</v>
      </c>
      <c r="V79" t="s">
        <v>86</v>
      </c>
      <c r="X79" t="s">
        <v>272</v>
      </c>
      <c r="AB79" t="s">
        <v>51</v>
      </c>
      <c r="AC79" t="s">
        <v>273</v>
      </c>
      <c r="AD79" t="s">
        <v>236</v>
      </c>
      <c r="AI79">
        <v>1675.295452983016</v>
      </c>
      <c r="AJ79">
        <v>175402.56365664981</v>
      </c>
    </row>
    <row r="80" spans="1:36" x14ac:dyDescent="0.25">
      <c r="A80">
        <v>82</v>
      </c>
      <c r="B80" t="s">
        <v>274</v>
      </c>
      <c r="C80" t="s">
        <v>149</v>
      </c>
      <c r="E80" t="s">
        <v>37</v>
      </c>
      <c r="G80" s="2">
        <v>45819</v>
      </c>
      <c r="H80">
        <v>0</v>
      </c>
      <c r="I80" t="s">
        <v>72</v>
      </c>
      <c r="J80" t="s">
        <v>150</v>
      </c>
      <c r="K80" t="s">
        <v>151</v>
      </c>
      <c r="L80" t="s">
        <v>152</v>
      </c>
      <c r="M80" t="s">
        <v>149</v>
      </c>
      <c r="O80" t="s">
        <v>62</v>
      </c>
      <c r="P80" t="s">
        <v>63</v>
      </c>
      <c r="Q80">
        <v>18.37712394244053</v>
      </c>
      <c r="R80" t="s">
        <v>64</v>
      </c>
      <c r="S80" t="s">
        <v>65</v>
      </c>
      <c r="T80" t="s">
        <v>57</v>
      </c>
      <c r="V80" t="s">
        <v>86</v>
      </c>
      <c r="X80" t="s">
        <v>234</v>
      </c>
      <c r="AB80" t="s">
        <v>51</v>
      </c>
      <c r="AC80" t="s">
        <v>235</v>
      </c>
      <c r="AD80" t="s">
        <v>236</v>
      </c>
      <c r="AI80">
        <v>1197.49744916589</v>
      </c>
      <c r="AJ80">
        <v>74369.87953092689</v>
      </c>
    </row>
    <row r="81" spans="1:36" x14ac:dyDescent="0.25">
      <c r="A81">
        <v>83</v>
      </c>
      <c r="B81" t="s">
        <v>275</v>
      </c>
      <c r="C81" t="s">
        <v>149</v>
      </c>
      <c r="E81" t="s">
        <v>37</v>
      </c>
      <c r="G81" s="2">
        <v>45819</v>
      </c>
      <c r="H81">
        <v>0</v>
      </c>
      <c r="I81" t="s">
        <v>72</v>
      </c>
      <c r="J81" t="s">
        <v>150</v>
      </c>
      <c r="K81" t="s">
        <v>151</v>
      </c>
      <c r="L81" t="s">
        <v>152</v>
      </c>
      <c r="M81" t="s">
        <v>149</v>
      </c>
      <c r="O81" t="s">
        <v>62</v>
      </c>
      <c r="P81" t="s">
        <v>63</v>
      </c>
      <c r="Q81">
        <v>1.6721964489913539</v>
      </c>
      <c r="R81" t="s">
        <v>64</v>
      </c>
      <c r="S81" t="s">
        <v>65</v>
      </c>
      <c r="T81" t="s">
        <v>57</v>
      </c>
      <c r="V81" t="s">
        <v>86</v>
      </c>
      <c r="X81" t="s">
        <v>264</v>
      </c>
      <c r="AB81" t="s">
        <v>51</v>
      </c>
      <c r="AC81" t="s">
        <v>265</v>
      </c>
      <c r="AD81" t="s">
        <v>232</v>
      </c>
      <c r="AI81">
        <v>794.40278335168557</v>
      </c>
      <c r="AJ81">
        <v>6767.1660077520983</v>
      </c>
    </row>
    <row r="82" spans="1:36" x14ac:dyDescent="0.25">
      <c r="A82">
        <v>84</v>
      </c>
      <c r="B82" t="s">
        <v>276</v>
      </c>
      <c r="C82" t="s">
        <v>149</v>
      </c>
      <c r="E82" t="s">
        <v>37</v>
      </c>
      <c r="G82" s="2">
        <v>45819</v>
      </c>
      <c r="H82">
        <v>0</v>
      </c>
      <c r="I82" t="s">
        <v>72</v>
      </c>
      <c r="J82" t="s">
        <v>150</v>
      </c>
      <c r="K82" t="s">
        <v>151</v>
      </c>
      <c r="L82" t="s">
        <v>152</v>
      </c>
      <c r="M82" t="s">
        <v>149</v>
      </c>
      <c r="O82" t="s">
        <v>62</v>
      </c>
      <c r="P82" t="s">
        <v>63</v>
      </c>
      <c r="Q82">
        <v>58.639688015602907</v>
      </c>
      <c r="R82" t="s">
        <v>64</v>
      </c>
      <c r="S82" t="s">
        <v>65</v>
      </c>
      <c r="T82" t="s">
        <v>57</v>
      </c>
      <c r="V82" t="s">
        <v>86</v>
      </c>
      <c r="X82" t="s">
        <v>264</v>
      </c>
      <c r="AB82" t="s">
        <v>51</v>
      </c>
      <c r="AC82" t="s">
        <v>265</v>
      </c>
      <c r="AD82" t="s">
        <v>232</v>
      </c>
      <c r="AI82">
        <v>2970.0561742724062</v>
      </c>
      <c r="AJ82">
        <v>237307.34728191479</v>
      </c>
    </row>
    <row r="83" spans="1:36" x14ac:dyDescent="0.25">
      <c r="A83">
        <v>85</v>
      </c>
      <c r="B83" t="s">
        <v>277</v>
      </c>
      <c r="C83" t="s">
        <v>149</v>
      </c>
      <c r="E83" t="s">
        <v>37</v>
      </c>
      <c r="G83" s="2">
        <v>45819</v>
      </c>
      <c r="H83">
        <v>0</v>
      </c>
      <c r="I83" t="s">
        <v>72</v>
      </c>
      <c r="J83" t="s">
        <v>150</v>
      </c>
      <c r="K83" t="s">
        <v>151</v>
      </c>
      <c r="L83" t="s">
        <v>152</v>
      </c>
      <c r="M83" t="s">
        <v>149</v>
      </c>
      <c r="O83" t="s">
        <v>62</v>
      </c>
      <c r="P83" t="s">
        <v>63</v>
      </c>
      <c r="Q83">
        <v>0.20145103498740571</v>
      </c>
      <c r="R83" t="s">
        <v>64</v>
      </c>
      <c r="S83" t="s">
        <v>65</v>
      </c>
      <c r="T83" t="s">
        <v>57</v>
      </c>
      <c r="V83" t="s">
        <v>86</v>
      </c>
      <c r="X83" t="s">
        <v>264</v>
      </c>
      <c r="AB83" t="s">
        <v>51</v>
      </c>
      <c r="AC83" t="s">
        <v>265</v>
      </c>
      <c r="AD83" t="s">
        <v>232</v>
      </c>
      <c r="AI83">
        <v>343.28797707633578</v>
      </c>
      <c r="AJ83">
        <v>815.24667572135183</v>
      </c>
    </row>
    <row r="84" spans="1:36" x14ac:dyDescent="0.25">
      <c r="A84">
        <v>86</v>
      </c>
      <c r="B84" t="s">
        <v>278</v>
      </c>
      <c r="C84" t="s">
        <v>149</v>
      </c>
      <c r="E84" t="s">
        <v>37</v>
      </c>
      <c r="G84" s="2">
        <v>45819</v>
      </c>
      <c r="H84">
        <v>0</v>
      </c>
      <c r="I84" t="s">
        <v>72</v>
      </c>
      <c r="J84" t="s">
        <v>150</v>
      </c>
      <c r="K84" t="s">
        <v>151</v>
      </c>
      <c r="L84" t="s">
        <v>152</v>
      </c>
      <c r="M84" t="s">
        <v>149</v>
      </c>
      <c r="O84" t="s">
        <v>67</v>
      </c>
      <c r="P84" t="s">
        <v>68</v>
      </c>
      <c r="Q84">
        <v>8.8011554244807666</v>
      </c>
      <c r="R84" t="s">
        <v>60</v>
      </c>
      <c r="S84" t="s">
        <v>66</v>
      </c>
      <c r="T84" t="s">
        <v>57</v>
      </c>
      <c r="V84" t="s">
        <v>86</v>
      </c>
      <c r="X84" t="s">
        <v>57</v>
      </c>
      <c r="AB84" t="s">
        <v>51</v>
      </c>
      <c r="AC84" t="s">
        <v>57</v>
      </c>
      <c r="AD84" t="s">
        <v>159</v>
      </c>
      <c r="AI84">
        <v>781.28721146491239</v>
      </c>
      <c r="AJ84">
        <v>35617.15482257741</v>
      </c>
    </row>
    <row r="85" spans="1:36" x14ac:dyDescent="0.25">
      <c r="A85">
        <v>87</v>
      </c>
      <c r="B85" t="s">
        <v>279</v>
      </c>
      <c r="C85" t="s">
        <v>149</v>
      </c>
      <c r="E85" t="s">
        <v>37</v>
      </c>
      <c r="G85" s="2">
        <v>45819</v>
      </c>
      <c r="H85">
        <v>0</v>
      </c>
      <c r="I85" t="s">
        <v>72</v>
      </c>
      <c r="J85" t="s">
        <v>150</v>
      </c>
      <c r="K85" t="s">
        <v>151</v>
      </c>
      <c r="L85" t="s">
        <v>152</v>
      </c>
      <c r="M85" t="s">
        <v>149</v>
      </c>
      <c r="O85" t="s">
        <v>62</v>
      </c>
      <c r="P85" t="s">
        <v>63</v>
      </c>
      <c r="Q85">
        <v>0.95775295477968114</v>
      </c>
      <c r="R85" t="s">
        <v>64</v>
      </c>
      <c r="S85" t="s">
        <v>65</v>
      </c>
      <c r="T85" t="s">
        <v>57</v>
      </c>
      <c r="V85" t="s">
        <v>86</v>
      </c>
      <c r="X85" t="s">
        <v>280</v>
      </c>
      <c r="AB85" t="s">
        <v>51</v>
      </c>
      <c r="AC85" t="s">
        <v>57</v>
      </c>
      <c r="AD85" t="s">
        <v>236</v>
      </c>
      <c r="AI85">
        <v>248.21586695359289</v>
      </c>
      <c r="AJ85">
        <v>3875.9041997240251</v>
      </c>
    </row>
    <row r="86" spans="1:36" x14ac:dyDescent="0.25">
      <c r="A86">
        <v>88</v>
      </c>
      <c r="B86" t="s">
        <v>281</v>
      </c>
      <c r="C86" t="s">
        <v>149</v>
      </c>
      <c r="E86" t="s">
        <v>37</v>
      </c>
      <c r="G86" s="2">
        <v>45819</v>
      </c>
      <c r="H86">
        <v>0</v>
      </c>
      <c r="I86" t="s">
        <v>72</v>
      </c>
      <c r="J86" t="s">
        <v>150</v>
      </c>
      <c r="K86" t="s">
        <v>151</v>
      </c>
      <c r="L86" t="s">
        <v>152</v>
      </c>
      <c r="M86" t="s">
        <v>149</v>
      </c>
      <c r="O86" t="s">
        <v>62</v>
      </c>
      <c r="P86" t="s">
        <v>63</v>
      </c>
      <c r="Q86">
        <v>54.465130729013417</v>
      </c>
      <c r="R86" t="s">
        <v>64</v>
      </c>
      <c r="S86" t="s">
        <v>65</v>
      </c>
      <c r="T86" t="s">
        <v>57</v>
      </c>
      <c r="V86" t="s">
        <v>86</v>
      </c>
      <c r="X86" t="s">
        <v>272</v>
      </c>
      <c r="AB86" t="s">
        <v>51</v>
      </c>
      <c r="AC86" t="s">
        <v>273</v>
      </c>
      <c r="AD86" t="s">
        <v>236</v>
      </c>
      <c r="AI86">
        <v>2149.3505659383118</v>
      </c>
      <c r="AJ86">
        <v>220413.44574046481</v>
      </c>
    </row>
    <row r="87" spans="1:36" x14ac:dyDescent="0.25">
      <c r="A87">
        <v>89</v>
      </c>
      <c r="B87" t="s">
        <v>282</v>
      </c>
      <c r="C87" t="s">
        <v>149</v>
      </c>
      <c r="E87" t="s">
        <v>37</v>
      </c>
      <c r="G87" s="2">
        <v>45819</v>
      </c>
      <c r="H87">
        <v>0</v>
      </c>
      <c r="I87" t="s">
        <v>72</v>
      </c>
      <c r="J87" t="s">
        <v>150</v>
      </c>
      <c r="K87" t="s">
        <v>151</v>
      </c>
      <c r="L87" t="s">
        <v>152</v>
      </c>
      <c r="M87" t="s">
        <v>149</v>
      </c>
      <c r="O87" t="s">
        <v>62</v>
      </c>
      <c r="P87" t="s">
        <v>63</v>
      </c>
      <c r="Q87">
        <v>1.2589307568975601</v>
      </c>
      <c r="R87" t="s">
        <v>64</v>
      </c>
      <c r="S87" t="s">
        <v>65</v>
      </c>
      <c r="T87" t="s">
        <v>57</v>
      </c>
      <c r="V87" t="s">
        <v>86</v>
      </c>
      <c r="X87" t="s">
        <v>264</v>
      </c>
      <c r="AB87" t="s">
        <v>51</v>
      </c>
      <c r="AC87" t="s">
        <v>265</v>
      </c>
      <c r="AD87" t="s">
        <v>232</v>
      </c>
      <c r="AI87">
        <v>498.48760913128149</v>
      </c>
      <c r="AJ87">
        <v>5094.7323978169952</v>
      </c>
    </row>
    <row r="88" spans="1:36" x14ac:dyDescent="0.25">
      <c r="A88">
        <v>90</v>
      </c>
      <c r="B88" t="s">
        <v>283</v>
      </c>
      <c r="C88" t="s">
        <v>149</v>
      </c>
      <c r="E88" t="s">
        <v>37</v>
      </c>
      <c r="G88" s="2">
        <v>45819</v>
      </c>
      <c r="H88">
        <v>0</v>
      </c>
      <c r="I88" t="s">
        <v>72</v>
      </c>
      <c r="J88" t="s">
        <v>150</v>
      </c>
      <c r="K88" t="s">
        <v>151</v>
      </c>
      <c r="L88" t="s">
        <v>152</v>
      </c>
      <c r="M88" t="s">
        <v>149</v>
      </c>
      <c r="O88" t="s">
        <v>62</v>
      </c>
      <c r="P88" t="s">
        <v>63</v>
      </c>
      <c r="Q88">
        <v>67.91262393657054</v>
      </c>
      <c r="R88" t="s">
        <v>64</v>
      </c>
      <c r="S88" t="s">
        <v>65</v>
      </c>
      <c r="T88" t="s">
        <v>57</v>
      </c>
      <c r="V88" t="s">
        <v>86</v>
      </c>
      <c r="X88" t="s">
        <v>284</v>
      </c>
      <c r="AB88" t="s">
        <v>51</v>
      </c>
      <c r="AC88" t="s">
        <v>235</v>
      </c>
      <c r="AD88" t="s">
        <v>236</v>
      </c>
      <c r="AI88">
        <v>2260.8002260880921</v>
      </c>
      <c r="AJ88">
        <v>274833.73767359782</v>
      </c>
    </row>
    <row r="89" spans="1:36" x14ac:dyDescent="0.25">
      <c r="A89">
        <v>91</v>
      </c>
      <c r="B89" t="s">
        <v>285</v>
      </c>
      <c r="C89" t="s">
        <v>149</v>
      </c>
      <c r="E89" t="s">
        <v>37</v>
      </c>
      <c r="G89" s="2">
        <v>45819</v>
      </c>
      <c r="H89">
        <v>0</v>
      </c>
      <c r="I89" t="s">
        <v>72</v>
      </c>
      <c r="J89" t="s">
        <v>150</v>
      </c>
      <c r="K89" t="s">
        <v>151</v>
      </c>
      <c r="L89" t="s">
        <v>152</v>
      </c>
      <c r="M89" t="s">
        <v>149</v>
      </c>
      <c r="O89" t="s">
        <v>62</v>
      </c>
      <c r="P89" t="s">
        <v>63</v>
      </c>
      <c r="Q89">
        <v>31.237770381237979</v>
      </c>
      <c r="R89" t="s">
        <v>64</v>
      </c>
      <c r="S89" t="s">
        <v>65</v>
      </c>
      <c r="T89" t="s">
        <v>57</v>
      </c>
      <c r="V89" t="s">
        <v>86</v>
      </c>
      <c r="X89" t="s">
        <v>284</v>
      </c>
      <c r="AB89" t="s">
        <v>51</v>
      </c>
      <c r="AC89" t="s">
        <v>235</v>
      </c>
      <c r="AD89" t="s">
        <v>236</v>
      </c>
      <c r="AI89">
        <v>1672.2765844401199</v>
      </c>
      <c r="AJ89">
        <v>126415.27734937309</v>
      </c>
    </row>
    <row r="90" spans="1:36" x14ac:dyDescent="0.25">
      <c r="A90">
        <v>92</v>
      </c>
      <c r="B90" t="s">
        <v>286</v>
      </c>
      <c r="C90" t="s">
        <v>149</v>
      </c>
      <c r="E90" t="s">
        <v>37</v>
      </c>
      <c r="G90" s="2">
        <v>45819</v>
      </c>
      <c r="H90">
        <v>0</v>
      </c>
      <c r="I90" t="s">
        <v>72</v>
      </c>
      <c r="J90" t="s">
        <v>150</v>
      </c>
      <c r="K90" t="s">
        <v>151</v>
      </c>
      <c r="L90" t="s">
        <v>152</v>
      </c>
      <c r="M90" t="s">
        <v>149</v>
      </c>
      <c r="O90" t="s">
        <v>62</v>
      </c>
      <c r="P90" t="s">
        <v>63</v>
      </c>
      <c r="Q90">
        <v>9.005201615673684</v>
      </c>
      <c r="R90" t="s">
        <v>64</v>
      </c>
      <c r="S90" t="s">
        <v>65</v>
      </c>
      <c r="T90" t="s">
        <v>57</v>
      </c>
      <c r="V90" t="s">
        <v>86</v>
      </c>
      <c r="X90" t="s">
        <v>57</v>
      </c>
      <c r="AB90" t="s">
        <v>51</v>
      </c>
      <c r="AC90" t="s">
        <v>57</v>
      </c>
      <c r="AD90" t="s">
        <v>159</v>
      </c>
      <c r="AI90">
        <v>925.9089142479877</v>
      </c>
      <c r="AJ90">
        <v>36442.903764865187</v>
      </c>
    </row>
    <row r="91" spans="1:36" x14ac:dyDescent="0.25">
      <c r="A91">
        <v>93</v>
      </c>
      <c r="B91" t="s">
        <v>287</v>
      </c>
      <c r="C91" t="s">
        <v>149</v>
      </c>
      <c r="E91" t="s">
        <v>37</v>
      </c>
      <c r="G91" s="2">
        <v>45819</v>
      </c>
      <c r="H91">
        <v>0</v>
      </c>
      <c r="I91" t="s">
        <v>72</v>
      </c>
      <c r="J91" t="s">
        <v>150</v>
      </c>
      <c r="K91" t="s">
        <v>151</v>
      </c>
      <c r="L91" t="s">
        <v>152</v>
      </c>
      <c r="M91" t="s">
        <v>149</v>
      </c>
      <c r="O91" t="s">
        <v>62</v>
      </c>
      <c r="P91" t="s">
        <v>63</v>
      </c>
      <c r="Q91">
        <v>16.78507755359318</v>
      </c>
      <c r="R91" t="s">
        <v>64</v>
      </c>
      <c r="S91" t="s">
        <v>65</v>
      </c>
      <c r="T91" t="s">
        <v>57</v>
      </c>
      <c r="V91" t="s">
        <v>86</v>
      </c>
      <c r="X91" t="s">
        <v>288</v>
      </c>
      <c r="AB91" t="s">
        <v>51</v>
      </c>
      <c r="AC91" t="s">
        <v>289</v>
      </c>
      <c r="AD91" t="s">
        <v>260</v>
      </c>
      <c r="AI91">
        <v>1262.8359543361171</v>
      </c>
      <c r="AJ91">
        <v>67927.070606251335</v>
      </c>
    </row>
    <row r="92" spans="1:36" x14ac:dyDescent="0.25">
      <c r="A92">
        <v>94</v>
      </c>
      <c r="B92" t="s">
        <v>290</v>
      </c>
      <c r="C92" t="s">
        <v>149</v>
      </c>
      <c r="E92" t="s">
        <v>37</v>
      </c>
      <c r="G92" s="2">
        <v>45819</v>
      </c>
      <c r="H92">
        <v>0</v>
      </c>
      <c r="I92" t="s">
        <v>72</v>
      </c>
      <c r="J92" t="s">
        <v>150</v>
      </c>
      <c r="K92" t="s">
        <v>151</v>
      </c>
      <c r="L92" t="s">
        <v>152</v>
      </c>
      <c r="M92" t="s">
        <v>149</v>
      </c>
      <c r="O92" t="s">
        <v>62</v>
      </c>
      <c r="P92" t="s">
        <v>63</v>
      </c>
      <c r="Q92">
        <v>12.22126192762107</v>
      </c>
      <c r="R92" t="s">
        <v>64</v>
      </c>
      <c r="S92" t="s">
        <v>65</v>
      </c>
      <c r="T92" t="s">
        <v>57</v>
      </c>
      <c r="V92" t="s">
        <v>86</v>
      </c>
      <c r="X92" t="s">
        <v>288</v>
      </c>
      <c r="AB92" t="s">
        <v>51</v>
      </c>
      <c r="AC92" t="s">
        <v>289</v>
      </c>
      <c r="AD92" t="s">
        <v>260</v>
      </c>
      <c r="AI92">
        <v>1192.3481398732181</v>
      </c>
      <c r="AJ92">
        <v>49457.890152988723</v>
      </c>
    </row>
    <row r="93" spans="1:36" x14ac:dyDescent="0.25">
      <c r="A93">
        <v>95</v>
      </c>
      <c r="B93" t="s">
        <v>291</v>
      </c>
      <c r="C93" t="s">
        <v>149</v>
      </c>
      <c r="E93" t="s">
        <v>37</v>
      </c>
      <c r="G93" s="2">
        <v>45819</v>
      </c>
      <c r="H93">
        <v>0</v>
      </c>
      <c r="I93" t="s">
        <v>72</v>
      </c>
      <c r="J93" t="s">
        <v>150</v>
      </c>
      <c r="K93" t="s">
        <v>151</v>
      </c>
      <c r="L93" t="s">
        <v>152</v>
      </c>
      <c r="M93" t="s">
        <v>149</v>
      </c>
      <c r="O93" t="s">
        <v>62</v>
      </c>
      <c r="P93" t="s">
        <v>63</v>
      </c>
      <c r="Q93">
        <v>59.300742216039303</v>
      </c>
      <c r="R93" t="s">
        <v>64</v>
      </c>
      <c r="S93" t="s">
        <v>65</v>
      </c>
      <c r="V93" t="s">
        <v>86</v>
      </c>
      <c r="X93" t="s">
        <v>272</v>
      </c>
      <c r="AB93" t="s">
        <v>51</v>
      </c>
      <c r="AC93" t="s">
        <v>273</v>
      </c>
      <c r="AD93" t="s">
        <v>236</v>
      </c>
      <c r="AI93">
        <v>2192.9737359601731</v>
      </c>
      <c r="AJ93">
        <v>239982.54941930319</v>
      </c>
    </row>
    <row r="94" spans="1:36" x14ac:dyDescent="0.25">
      <c r="A94">
        <v>96</v>
      </c>
      <c r="B94" t="s">
        <v>292</v>
      </c>
      <c r="C94" t="s">
        <v>149</v>
      </c>
      <c r="E94" t="s">
        <v>37</v>
      </c>
      <c r="G94" s="2">
        <v>45819</v>
      </c>
      <c r="H94">
        <v>0</v>
      </c>
      <c r="I94" t="s">
        <v>72</v>
      </c>
      <c r="J94" t="s">
        <v>150</v>
      </c>
      <c r="K94" t="s">
        <v>151</v>
      </c>
      <c r="L94" t="s">
        <v>152</v>
      </c>
      <c r="M94" t="s">
        <v>149</v>
      </c>
      <c r="O94" t="s">
        <v>62</v>
      </c>
      <c r="P94" t="s">
        <v>63</v>
      </c>
      <c r="Q94">
        <v>64.959319310494507</v>
      </c>
      <c r="R94" t="s">
        <v>64</v>
      </c>
      <c r="S94" t="s">
        <v>65</v>
      </c>
      <c r="T94" t="s">
        <v>57</v>
      </c>
      <c r="V94" t="s">
        <v>86</v>
      </c>
      <c r="X94" t="s">
        <v>288</v>
      </c>
      <c r="AB94" t="s">
        <v>51</v>
      </c>
      <c r="AC94" t="s">
        <v>289</v>
      </c>
      <c r="AD94" t="s">
        <v>260</v>
      </c>
      <c r="AI94">
        <v>2012.7466084857399</v>
      </c>
      <c r="AJ94">
        <v>262882.09007371578</v>
      </c>
    </row>
    <row r="95" spans="1:36" x14ac:dyDescent="0.25">
      <c r="A95">
        <v>97</v>
      </c>
      <c r="B95" t="s">
        <v>293</v>
      </c>
      <c r="C95" t="s">
        <v>149</v>
      </c>
      <c r="E95" t="s">
        <v>37</v>
      </c>
      <c r="G95" s="2">
        <v>45819</v>
      </c>
      <c r="H95">
        <v>0</v>
      </c>
      <c r="I95" t="s">
        <v>72</v>
      </c>
      <c r="J95" t="s">
        <v>150</v>
      </c>
      <c r="K95" t="s">
        <v>151</v>
      </c>
      <c r="L95" t="s">
        <v>152</v>
      </c>
      <c r="M95" t="s">
        <v>149</v>
      </c>
      <c r="O95" t="s">
        <v>62</v>
      </c>
      <c r="P95" t="s">
        <v>63</v>
      </c>
      <c r="Q95">
        <v>5.6700954965051578</v>
      </c>
      <c r="R95" t="s">
        <v>64</v>
      </c>
      <c r="S95" t="s">
        <v>65</v>
      </c>
      <c r="T95" t="s">
        <v>57</v>
      </c>
      <c r="V95" t="s">
        <v>86</v>
      </c>
      <c r="X95" t="s">
        <v>284</v>
      </c>
      <c r="AB95" t="s">
        <v>51</v>
      </c>
      <c r="AC95" t="s">
        <v>235</v>
      </c>
      <c r="AD95" t="s">
        <v>236</v>
      </c>
      <c r="AI95">
        <v>874.74247226131877</v>
      </c>
      <c r="AJ95">
        <v>22946.15416017807</v>
      </c>
    </row>
    <row r="96" spans="1:36" x14ac:dyDescent="0.25">
      <c r="A96">
        <v>98</v>
      </c>
      <c r="B96" t="s">
        <v>294</v>
      </c>
      <c r="C96" t="s">
        <v>149</v>
      </c>
      <c r="E96" t="s">
        <v>37</v>
      </c>
      <c r="G96" s="2">
        <v>45819</v>
      </c>
      <c r="H96">
        <v>0</v>
      </c>
      <c r="I96" t="s">
        <v>72</v>
      </c>
      <c r="J96" t="s">
        <v>150</v>
      </c>
      <c r="K96" t="s">
        <v>151</v>
      </c>
      <c r="L96" t="s">
        <v>152</v>
      </c>
      <c r="M96" t="s">
        <v>149</v>
      </c>
      <c r="O96" t="s">
        <v>62</v>
      </c>
      <c r="P96" t="s">
        <v>63</v>
      </c>
      <c r="Q96">
        <v>37.261812359664447</v>
      </c>
      <c r="R96" t="s">
        <v>64</v>
      </c>
      <c r="S96" t="s">
        <v>65</v>
      </c>
      <c r="T96" t="s">
        <v>57</v>
      </c>
      <c r="V96" t="s">
        <v>86</v>
      </c>
      <c r="X96" t="s">
        <v>284</v>
      </c>
      <c r="AB96" t="s">
        <v>51</v>
      </c>
      <c r="AC96" t="s">
        <v>235</v>
      </c>
      <c r="AD96" t="s">
        <v>236</v>
      </c>
      <c r="AI96">
        <v>1585.306521202682</v>
      </c>
      <c r="AJ96">
        <v>150793.80783259991</v>
      </c>
    </row>
    <row r="97" spans="1:36" x14ac:dyDescent="0.25">
      <c r="A97">
        <v>99</v>
      </c>
      <c r="B97" t="s">
        <v>295</v>
      </c>
      <c r="C97" t="s">
        <v>149</v>
      </c>
      <c r="E97" t="s">
        <v>37</v>
      </c>
      <c r="G97" s="2">
        <v>45819</v>
      </c>
      <c r="H97">
        <v>0</v>
      </c>
      <c r="I97" t="s">
        <v>72</v>
      </c>
      <c r="J97" t="s">
        <v>150</v>
      </c>
      <c r="K97" t="s">
        <v>151</v>
      </c>
      <c r="L97" t="s">
        <v>152</v>
      </c>
      <c r="M97" t="s">
        <v>149</v>
      </c>
      <c r="O97" t="s">
        <v>62</v>
      </c>
      <c r="P97" t="s">
        <v>63</v>
      </c>
      <c r="Q97">
        <v>5.0774115378022451</v>
      </c>
      <c r="R97" t="s">
        <v>64</v>
      </c>
      <c r="S97" t="s">
        <v>65</v>
      </c>
      <c r="T97" t="s">
        <v>57</v>
      </c>
      <c r="V97" t="s">
        <v>86</v>
      </c>
      <c r="X97" t="s">
        <v>57</v>
      </c>
      <c r="AB97" t="s">
        <v>51</v>
      </c>
      <c r="AC97" t="s">
        <v>57</v>
      </c>
      <c r="AD97" t="s">
        <v>159</v>
      </c>
      <c r="AI97">
        <v>669.31086536533087</v>
      </c>
      <c r="AJ97">
        <v>20547.63768139141</v>
      </c>
    </row>
    <row r="98" spans="1:36" x14ac:dyDescent="0.25">
      <c r="A98">
        <v>100</v>
      </c>
      <c r="B98" t="s">
        <v>296</v>
      </c>
      <c r="C98" t="s">
        <v>149</v>
      </c>
      <c r="E98" t="s">
        <v>37</v>
      </c>
      <c r="G98" s="2">
        <v>45819</v>
      </c>
      <c r="H98">
        <v>0</v>
      </c>
      <c r="I98" t="s">
        <v>72</v>
      </c>
      <c r="J98" t="s">
        <v>150</v>
      </c>
      <c r="K98" t="s">
        <v>151</v>
      </c>
      <c r="L98" t="s">
        <v>152</v>
      </c>
      <c r="M98" t="s">
        <v>149</v>
      </c>
      <c r="O98" t="s">
        <v>62</v>
      </c>
      <c r="P98" t="s">
        <v>63</v>
      </c>
      <c r="Q98">
        <v>35.995556031254722</v>
      </c>
      <c r="R98" t="s">
        <v>64</v>
      </c>
      <c r="S98" t="s">
        <v>65</v>
      </c>
      <c r="V98" t="s">
        <v>86</v>
      </c>
      <c r="X98" t="s">
        <v>297</v>
      </c>
      <c r="AB98" t="s">
        <v>51</v>
      </c>
      <c r="AC98" t="s">
        <v>57</v>
      </c>
      <c r="AD98" t="s">
        <v>159</v>
      </c>
      <c r="AI98">
        <v>1982.8710961764109</v>
      </c>
      <c r="AJ98">
        <v>145669.4297800787</v>
      </c>
    </row>
    <row r="99" spans="1:36" x14ac:dyDescent="0.25">
      <c r="A99">
        <v>101</v>
      </c>
      <c r="B99" t="s">
        <v>298</v>
      </c>
      <c r="C99" t="s">
        <v>149</v>
      </c>
      <c r="E99" t="s">
        <v>37</v>
      </c>
      <c r="G99" s="2">
        <v>45819</v>
      </c>
      <c r="H99">
        <v>0</v>
      </c>
      <c r="I99" t="s">
        <v>72</v>
      </c>
      <c r="J99" t="s">
        <v>150</v>
      </c>
      <c r="K99" t="s">
        <v>151</v>
      </c>
      <c r="L99" t="s">
        <v>152</v>
      </c>
      <c r="M99" t="s">
        <v>149</v>
      </c>
      <c r="O99" t="s">
        <v>62</v>
      </c>
      <c r="P99" t="s">
        <v>63</v>
      </c>
      <c r="Q99">
        <v>1.1759727143638741</v>
      </c>
      <c r="R99" t="s">
        <v>64</v>
      </c>
      <c r="S99" t="s">
        <v>65</v>
      </c>
      <c r="T99" t="s">
        <v>57</v>
      </c>
      <c r="V99" t="s">
        <v>86</v>
      </c>
      <c r="X99" t="s">
        <v>57</v>
      </c>
      <c r="AB99" t="s">
        <v>51</v>
      </c>
      <c r="AC99" t="s">
        <v>57</v>
      </c>
      <c r="AD99" t="s">
        <v>159</v>
      </c>
      <c r="AI99">
        <v>267.28690510308019</v>
      </c>
      <c r="AJ99">
        <v>4759.0117677186372</v>
      </c>
    </row>
    <row r="100" spans="1:36" x14ac:dyDescent="0.25">
      <c r="A100">
        <v>102</v>
      </c>
      <c r="B100" t="s">
        <v>299</v>
      </c>
      <c r="C100" t="s">
        <v>149</v>
      </c>
      <c r="E100" t="s">
        <v>37</v>
      </c>
      <c r="G100" s="2">
        <v>45819</v>
      </c>
      <c r="H100">
        <v>0</v>
      </c>
      <c r="I100" t="s">
        <v>72</v>
      </c>
      <c r="J100" t="s">
        <v>150</v>
      </c>
      <c r="K100" t="s">
        <v>151</v>
      </c>
      <c r="L100" t="s">
        <v>152</v>
      </c>
      <c r="M100" t="s">
        <v>149</v>
      </c>
      <c r="O100" t="s">
        <v>62</v>
      </c>
      <c r="P100" t="s">
        <v>63</v>
      </c>
      <c r="Q100">
        <v>0.97269165161075954</v>
      </c>
      <c r="R100" t="s">
        <v>64</v>
      </c>
      <c r="S100" t="s">
        <v>65</v>
      </c>
      <c r="T100" t="s">
        <v>57</v>
      </c>
      <c r="V100" t="s">
        <v>86</v>
      </c>
      <c r="X100" t="s">
        <v>284</v>
      </c>
      <c r="AB100" t="s">
        <v>51</v>
      </c>
      <c r="AC100" t="s">
        <v>57</v>
      </c>
      <c r="AD100" t="s">
        <v>236</v>
      </c>
      <c r="AI100">
        <v>263.69717214126263</v>
      </c>
      <c r="AJ100">
        <v>3936.3592027569312</v>
      </c>
    </row>
    <row r="101" spans="1:36" x14ac:dyDescent="0.25">
      <c r="A101">
        <v>103</v>
      </c>
      <c r="B101" t="s">
        <v>300</v>
      </c>
      <c r="C101" t="s">
        <v>149</v>
      </c>
      <c r="E101" t="s">
        <v>37</v>
      </c>
      <c r="G101" s="2">
        <v>45819</v>
      </c>
      <c r="H101">
        <v>0</v>
      </c>
      <c r="I101" t="s">
        <v>72</v>
      </c>
      <c r="J101" t="s">
        <v>150</v>
      </c>
      <c r="K101" t="s">
        <v>151</v>
      </c>
      <c r="L101" t="s">
        <v>152</v>
      </c>
      <c r="M101" t="s">
        <v>149</v>
      </c>
      <c r="O101" t="s">
        <v>62</v>
      </c>
      <c r="P101" t="s">
        <v>63</v>
      </c>
      <c r="Q101">
        <v>17.233243025306528</v>
      </c>
      <c r="R101" t="s">
        <v>64</v>
      </c>
      <c r="S101" t="s">
        <v>65</v>
      </c>
      <c r="V101" t="s">
        <v>118</v>
      </c>
      <c r="X101" t="s">
        <v>297</v>
      </c>
      <c r="AB101" t="s">
        <v>51</v>
      </c>
      <c r="AC101" t="s">
        <v>57</v>
      </c>
      <c r="AD101" t="s">
        <v>236</v>
      </c>
      <c r="AI101">
        <v>2203.0652207850871</v>
      </c>
      <c r="AJ101">
        <v>69740.739178419477</v>
      </c>
    </row>
    <row r="102" spans="1:36" x14ac:dyDescent="0.25">
      <c r="A102">
        <v>104</v>
      </c>
      <c r="B102" t="s">
        <v>301</v>
      </c>
      <c r="C102" t="s">
        <v>149</v>
      </c>
      <c r="E102" t="s">
        <v>37</v>
      </c>
      <c r="G102" s="2">
        <v>45819</v>
      </c>
      <c r="H102">
        <v>0</v>
      </c>
      <c r="I102" t="s">
        <v>72</v>
      </c>
      <c r="J102" t="s">
        <v>150</v>
      </c>
      <c r="K102" t="s">
        <v>151</v>
      </c>
      <c r="L102" t="s">
        <v>152</v>
      </c>
      <c r="M102" t="s">
        <v>149</v>
      </c>
      <c r="O102" t="s">
        <v>141</v>
      </c>
      <c r="P102" t="s">
        <v>142</v>
      </c>
      <c r="Q102">
        <v>0.32360082917881289</v>
      </c>
      <c r="S102" t="s">
        <v>38</v>
      </c>
      <c r="T102" t="s">
        <v>57</v>
      </c>
      <c r="V102" t="s">
        <v>86</v>
      </c>
      <c r="X102" t="s">
        <v>288</v>
      </c>
      <c r="AB102" t="s">
        <v>51</v>
      </c>
      <c r="AC102" t="s">
        <v>289</v>
      </c>
      <c r="AD102" t="s">
        <v>260</v>
      </c>
      <c r="AI102">
        <v>142.6577812268664</v>
      </c>
      <c r="AJ102">
        <v>1309.5713321363339</v>
      </c>
    </row>
    <row r="103" spans="1:36" x14ac:dyDescent="0.25">
      <c r="A103">
        <v>105</v>
      </c>
      <c r="B103" t="s">
        <v>302</v>
      </c>
      <c r="C103" t="s">
        <v>149</v>
      </c>
      <c r="E103" t="s">
        <v>37</v>
      </c>
      <c r="G103" s="2">
        <v>45819</v>
      </c>
      <c r="H103">
        <v>0</v>
      </c>
      <c r="I103" t="s">
        <v>72</v>
      </c>
      <c r="J103" t="s">
        <v>150</v>
      </c>
      <c r="K103" t="s">
        <v>151</v>
      </c>
      <c r="L103" t="s">
        <v>152</v>
      </c>
      <c r="M103" t="s">
        <v>149</v>
      </c>
      <c r="O103" t="s">
        <v>62</v>
      </c>
      <c r="P103" t="s">
        <v>63</v>
      </c>
      <c r="Q103">
        <v>7.248715042222118</v>
      </c>
      <c r="R103" t="s">
        <v>64</v>
      </c>
      <c r="S103" t="s">
        <v>65</v>
      </c>
      <c r="T103" t="s">
        <v>57</v>
      </c>
      <c r="V103" t="s">
        <v>118</v>
      </c>
      <c r="X103" t="s">
        <v>303</v>
      </c>
      <c r="AB103" t="s">
        <v>51</v>
      </c>
      <c r="AC103" t="s">
        <v>304</v>
      </c>
      <c r="AD103" t="s">
        <v>224</v>
      </c>
      <c r="AI103">
        <v>708.90460103576038</v>
      </c>
      <c r="AJ103">
        <v>29334.626361152172</v>
      </c>
    </row>
    <row r="104" spans="1:36" x14ac:dyDescent="0.25">
      <c r="A104">
        <v>106</v>
      </c>
      <c r="B104" t="s">
        <v>305</v>
      </c>
      <c r="C104" t="s">
        <v>149</v>
      </c>
      <c r="E104" t="s">
        <v>37</v>
      </c>
      <c r="G104" s="2">
        <v>45819</v>
      </c>
      <c r="H104">
        <v>0</v>
      </c>
      <c r="I104" t="s">
        <v>72</v>
      </c>
      <c r="J104" t="s">
        <v>150</v>
      </c>
      <c r="K104" t="s">
        <v>151</v>
      </c>
      <c r="L104" t="s">
        <v>152</v>
      </c>
      <c r="M104" t="s">
        <v>149</v>
      </c>
      <c r="O104" t="s">
        <v>62</v>
      </c>
      <c r="P104" t="s">
        <v>63</v>
      </c>
      <c r="Q104">
        <v>8.009259949627852</v>
      </c>
      <c r="R104" t="s">
        <v>64</v>
      </c>
      <c r="S104" t="s">
        <v>65</v>
      </c>
      <c r="T104" t="s">
        <v>57</v>
      </c>
      <c r="V104" t="s">
        <v>118</v>
      </c>
      <c r="X104" t="s">
        <v>303</v>
      </c>
      <c r="AB104" t="s">
        <v>51</v>
      </c>
      <c r="AC104" t="s">
        <v>304</v>
      </c>
      <c r="AD104" t="s">
        <v>224</v>
      </c>
      <c r="AI104">
        <v>1022.521862422806</v>
      </c>
      <c r="AJ104">
        <v>32412.45471551178</v>
      </c>
    </row>
    <row r="105" spans="1:36" x14ac:dyDescent="0.25">
      <c r="A105">
        <v>107</v>
      </c>
      <c r="B105" t="s">
        <v>306</v>
      </c>
      <c r="C105" t="s">
        <v>149</v>
      </c>
      <c r="E105" t="s">
        <v>37</v>
      </c>
      <c r="G105" s="2">
        <v>45819</v>
      </c>
      <c r="H105">
        <v>0</v>
      </c>
      <c r="I105" t="s">
        <v>72</v>
      </c>
      <c r="J105" t="s">
        <v>150</v>
      </c>
      <c r="K105" t="s">
        <v>151</v>
      </c>
      <c r="L105" t="s">
        <v>152</v>
      </c>
      <c r="M105" t="s">
        <v>149</v>
      </c>
      <c r="O105" t="s">
        <v>62</v>
      </c>
      <c r="P105" t="s">
        <v>63</v>
      </c>
      <c r="Q105">
        <v>8.580267057998558</v>
      </c>
      <c r="R105" t="s">
        <v>64</v>
      </c>
      <c r="S105" t="s">
        <v>65</v>
      </c>
      <c r="T105" t="s">
        <v>57</v>
      </c>
      <c r="V105" t="s">
        <v>118</v>
      </c>
      <c r="X105" t="s">
        <v>57</v>
      </c>
      <c r="AB105" t="s">
        <v>51</v>
      </c>
      <c r="AC105" t="s">
        <v>57</v>
      </c>
      <c r="AD105" t="s">
        <v>159</v>
      </c>
      <c r="AI105">
        <v>1032.3891680045431</v>
      </c>
      <c r="AJ105">
        <v>34723.247742420703</v>
      </c>
    </row>
    <row r="106" spans="1:36" x14ac:dyDescent="0.25">
      <c r="A106">
        <v>108</v>
      </c>
      <c r="B106" t="s">
        <v>307</v>
      </c>
      <c r="C106" t="s">
        <v>149</v>
      </c>
      <c r="E106" t="s">
        <v>37</v>
      </c>
      <c r="G106" s="2">
        <v>45819</v>
      </c>
      <c r="H106">
        <v>0</v>
      </c>
      <c r="I106" t="s">
        <v>72</v>
      </c>
      <c r="J106" t="s">
        <v>150</v>
      </c>
      <c r="K106" t="s">
        <v>151</v>
      </c>
      <c r="L106" t="s">
        <v>152</v>
      </c>
      <c r="M106" t="s">
        <v>149</v>
      </c>
      <c r="O106" t="s">
        <v>62</v>
      </c>
      <c r="P106" t="s">
        <v>63</v>
      </c>
      <c r="Q106">
        <v>18.791781886887641</v>
      </c>
      <c r="R106" t="s">
        <v>64</v>
      </c>
      <c r="S106" t="s">
        <v>65</v>
      </c>
      <c r="T106" t="s">
        <v>57</v>
      </c>
      <c r="V106" t="s">
        <v>118</v>
      </c>
      <c r="X106" t="s">
        <v>303</v>
      </c>
      <c r="AB106" t="s">
        <v>51</v>
      </c>
      <c r="AC106" t="s">
        <v>304</v>
      </c>
      <c r="AD106" t="s">
        <v>224</v>
      </c>
      <c r="AI106">
        <v>1152.013086933971</v>
      </c>
      <c r="AJ106">
        <v>76047.947408776687</v>
      </c>
    </row>
    <row r="107" spans="1:36" x14ac:dyDescent="0.25">
      <c r="A107">
        <v>109</v>
      </c>
      <c r="B107" t="s">
        <v>308</v>
      </c>
      <c r="C107" t="s">
        <v>149</v>
      </c>
      <c r="E107" t="s">
        <v>37</v>
      </c>
      <c r="G107" s="2">
        <v>45819</v>
      </c>
      <c r="H107">
        <v>0</v>
      </c>
      <c r="I107" t="s">
        <v>72</v>
      </c>
      <c r="J107" t="s">
        <v>150</v>
      </c>
      <c r="K107" t="s">
        <v>151</v>
      </c>
      <c r="L107" t="s">
        <v>152</v>
      </c>
      <c r="M107" t="s">
        <v>149</v>
      </c>
      <c r="O107" t="s">
        <v>62</v>
      </c>
      <c r="P107" t="s">
        <v>63</v>
      </c>
      <c r="Q107">
        <v>13.251597069923569</v>
      </c>
      <c r="R107" t="s">
        <v>64</v>
      </c>
      <c r="S107" t="s">
        <v>65</v>
      </c>
      <c r="T107" t="s">
        <v>57</v>
      </c>
      <c r="V107" t="s">
        <v>118</v>
      </c>
      <c r="X107" t="s">
        <v>303</v>
      </c>
      <c r="AB107" t="s">
        <v>51</v>
      </c>
      <c r="AC107" t="s">
        <v>304</v>
      </c>
      <c r="AD107" t="s">
        <v>224</v>
      </c>
      <c r="AI107">
        <v>929.81449708793252</v>
      </c>
      <c r="AJ107">
        <v>53627.525219363582</v>
      </c>
    </row>
    <row r="108" spans="1:36" x14ac:dyDescent="0.25">
      <c r="A108">
        <v>110</v>
      </c>
      <c r="B108" t="s">
        <v>309</v>
      </c>
      <c r="C108" t="s">
        <v>149</v>
      </c>
      <c r="E108" t="s">
        <v>37</v>
      </c>
      <c r="G108" s="2">
        <v>45819</v>
      </c>
      <c r="H108">
        <v>0</v>
      </c>
      <c r="I108" t="s">
        <v>72</v>
      </c>
      <c r="J108" t="s">
        <v>150</v>
      </c>
      <c r="K108" t="s">
        <v>151</v>
      </c>
      <c r="L108" t="s">
        <v>152</v>
      </c>
      <c r="M108" t="s">
        <v>149</v>
      </c>
      <c r="O108" t="s">
        <v>62</v>
      </c>
      <c r="P108" t="s">
        <v>63</v>
      </c>
      <c r="Q108">
        <v>1.24971412044471</v>
      </c>
      <c r="R108" t="s">
        <v>64</v>
      </c>
      <c r="S108" t="s">
        <v>65</v>
      </c>
      <c r="T108" t="s">
        <v>57</v>
      </c>
      <c r="V108" t="s">
        <v>118</v>
      </c>
      <c r="X108" t="s">
        <v>310</v>
      </c>
      <c r="AB108" t="s">
        <v>51</v>
      </c>
      <c r="AC108" t="s">
        <v>273</v>
      </c>
      <c r="AD108" t="s">
        <v>236</v>
      </c>
      <c r="AI108">
        <v>1127.164489323882</v>
      </c>
      <c r="AJ108">
        <v>5057.4338442007866</v>
      </c>
    </row>
    <row r="109" spans="1:36" x14ac:dyDescent="0.25">
      <c r="A109">
        <v>111</v>
      </c>
      <c r="B109" t="s">
        <v>311</v>
      </c>
      <c r="C109" t="s">
        <v>149</v>
      </c>
      <c r="E109" t="s">
        <v>37</v>
      </c>
      <c r="G109" s="2">
        <v>45819</v>
      </c>
      <c r="H109">
        <v>0</v>
      </c>
      <c r="I109" t="s">
        <v>72</v>
      </c>
      <c r="J109" t="s">
        <v>150</v>
      </c>
      <c r="K109" t="s">
        <v>151</v>
      </c>
      <c r="L109" t="s">
        <v>152</v>
      </c>
      <c r="M109" t="s">
        <v>149</v>
      </c>
      <c r="O109" t="s">
        <v>62</v>
      </c>
      <c r="P109" t="s">
        <v>63</v>
      </c>
      <c r="Q109">
        <v>10.2589111585098</v>
      </c>
      <c r="R109" t="s">
        <v>64</v>
      </c>
      <c r="S109" t="s">
        <v>65</v>
      </c>
      <c r="T109" t="s">
        <v>57</v>
      </c>
      <c r="V109" t="s">
        <v>118</v>
      </c>
      <c r="X109" t="s">
        <v>303</v>
      </c>
      <c r="AB109" t="s">
        <v>51</v>
      </c>
      <c r="AC109" t="s">
        <v>304</v>
      </c>
      <c r="AD109" t="s">
        <v>224</v>
      </c>
      <c r="AI109">
        <v>1257.887721360923</v>
      </c>
      <c r="AJ109">
        <v>41516.506574506653</v>
      </c>
    </row>
    <row r="110" spans="1:36" x14ac:dyDescent="0.25">
      <c r="A110">
        <v>112</v>
      </c>
      <c r="B110" t="s">
        <v>312</v>
      </c>
      <c r="C110" t="s">
        <v>149</v>
      </c>
      <c r="E110" t="s">
        <v>37</v>
      </c>
      <c r="G110" s="2">
        <v>45819</v>
      </c>
      <c r="H110">
        <v>0</v>
      </c>
      <c r="I110" t="s">
        <v>72</v>
      </c>
      <c r="J110" t="s">
        <v>150</v>
      </c>
      <c r="K110" t="s">
        <v>151</v>
      </c>
      <c r="L110" t="s">
        <v>152</v>
      </c>
      <c r="M110" t="s">
        <v>149</v>
      </c>
      <c r="O110" t="s">
        <v>62</v>
      </c>
      <c r="P110" t="s">
        <v>63</v>
      </c>
      <c r="Q110">
        <v>12.47294654555972</v>
      </c>
      <c r="R110" t="s">
        <v>64</v>
      </c>
      <c r="S110" t="s">
        <v>65</v>
      </c>
      <c r="T110" t="s">
        <v>57</v>
      </c>
      <c r="V110" t="s">
        <v>118</v>
      </c>
      <c r="X110" t="s">
        <v>303</v>
      </c>
      <c r="AB110" t="s">
        <v>51</v>
      </c>
      <c r="AC110" t="s">
        <v>304</v>
      </c>
      <c r="AD110" t="s">
        <v>224</v>
      </c>
      <c r="AI110">
        <v>947.5465071229097</v>
      </c>
      <c r="AJ110">
        <v>50476.425739651277</v>
      </c>
    </row>
    <row r="111" spans="1:36" x14ac:dyDescent="0.25">
      <c r="A111">
        <v>113</v>
      </c>
      <c r="B111" t="s">
        <v>313</v>
      </c>
      <c r="C111" t="s">
        <v>149</v>
      </c>
      <c r="E111" t="s">
        <v>37</v>
      </c>
      <c r="G111" s="2">
        <v>45819</v>
      </c>
      <c r="H111">
        <v>0</v>
      </c>
      <c r="I111" t="s">
        <v>72</v>
      </c>
      <c r="J111" t="s">
        <v>150</v>
      </c>
      <c r="K111" t="s">
        <v>151</v>
      </c>
      <c r="L111" t="s">
        <v>152</v>
      </c>
      <c r="M111" t="s">
        <v>149</v>
      </c>
      <c r="O111" t="s">
        <v>62</v>
      </c>
      <c r="P111" t="s">
        <v>63</v>
      </c>
      <c r="Q111">
        <v>18.749087589050561</v>
      </c>
      <c r="R111" t="s">
        <v>64</v>
      </c>
      <c r="S111" t="s">
        <v>65</v>
      </c>
      <c r="V111" t="s">
        <v>118</v>
      </c>
      <c r="X111" t="s">
        <v>297</v>
      </c>
      <c r="AB111" t="s">
        <v>51</v>
      </c>
      <c r="AC111" t="s">
        <v>57</v>
      </c>
      <c r="AD111" t="s">
        <v>236</v>
      </c>
      <c r="AI111">
        <v>2257.5366095091822</v>
      </c>
      <c r="AJ111">
        <v>75875.169024261981</v>
      </c>
    </row>
    <row r="112" spans="1:36" x14ac:dyDescent="0.25">
      <c r="A112">
        <v>114</v>
      </c>
      <c r="B112" t="s">
        <v>314</v>
      </c>
      <c r="C112" t="s">
        <v>149</v>
      </c>
      <c r="E112" t="s">
        <v>37</v>
      </c>
      <c r="G112" s="2">
        <v>45819</v>
      </c>
      <c r="H112">
        <v>0</v>
      </c>
      <c r="I112" t="s">
        <v>72</v>
      </c>
      <c r="J112" t="s">
        <v>150</v>
      </c>
      <c r="K112" t="s">
        <v>151</v>
      </c>
      <c r="L112" t="s">
        <v>152</v>
      </c>
      <c r="M112" t="s">
        <v>149</v>
      </c>
      <c r="O112" t="s">
        <v>62</v>
      </c>
      <c r="P112" t="s">
        <v>63</v>
      </c>
      <c r="Q112">
        <v>0.9877295102884206</v>
      </c>
      <c r="R112" t="s">
        <v>64</v>
      </c>
      <c r="S112" t="s">
        <v>65</v>
      </c>
      <c r="T112" t="s">
        <v>57</v>
      </c>
      <c r="V112" t="s">
        <v>118</v>
      </c>
      <c r="X112" t="s">
        <v>303</v>
      </c>
      <c r="AB112" t="s">
        <v>51</v>
      </c>
      <c r="AC112" t="s">
        <v>304</v>
      </c>
      <c r="AD112" t="s">
        <v>224</v>
      </c>
      <c r="AI112">
        <v>379.61680749450289</v>
      </c>
      <c r="AJ112">
        <v>3997.215501150718</v>
      </c>
    </row>
    <row r="113" spans="1:36" x14ac:dyDescent="0.25">
      <c r="A113">
        <v>115</v>
      </c>
      <c r="B113" t="s">
        <v>315</v>
      </c>
      <c r="C113" t="s">
        <v>149</v>
      </c>
      <c r="E113" t="s">
        <v>37</v>
      </c>
      <c r="G113" s="2">
        <v>45819</v>
      </c>
      <c r="H113">
        <v>0</v>
      </c>
      <c r="I113" t="s">
        <v>72</v>
      </c>
      <c r="J113" t="s">
        <v>150</v>
      </c>
      <c r="K113" t="s">
        <v>151</v>
      </c>
      <c r="L113" t="s">
        <v>152</v>
      </c>
      <c r="M113" t="s">
        <v>149</v>
      </c>
      <c r="O113" t="s">
        <v>62</v>
      </c>
      <c r="P113" t="s">
        <v>63</v>
      </c>
      <c r="Q113">
        <v>17.276910684653441</v>
      </c>
      <c r="R113" t="s">
        <v>64</v>
      </c>
      <c r="S113" t="s">
        <v>65</v>
      </c>
      <c r="T113" t="s">
        <v>57</v>
      </c>
      <c r="V113" t="s">
        <v>118</v>
      </c>
      <c r="X113" t="s">
        <v>316</v>
      </c>
      <c r="AB113" t="s">
        <v>51</v>
      </c>
      <c r="AC113" t="s">
        <v>289</v>
      </c>
      <c r="AD113" t="s">
        <v>317</v>
      </c>
      <c r="AI113">
        <v>2298.489733932845</v>
      </c>
      <c r="AJ113">
        <v>69917.45663296782</v>
      </c>
    </row>
    <row r="114" spans="1:36" x14ac:dyDescent="0.25">
      <c r="A114">
        <v>117</v>
      </c>
      <c r="B114" t="s">
        <v>318</v>
      </c>
      <c r="C114" t="s">
        <v>149</v>
      </c>
      <c r="E114" t="s">
        <v>37</v>
      </c>
      <c r="G114" s="2">
        <v>45819</v>
      </c>
      <c r="H114">
        <v>0</v>
      </c>
      <c r="I114" t="s">
        <v>72</v>
      </c>
      <c r="J114" t="s">
        <v>150</v>
      </c>
      <c r="K114" t="s">
        <v>151</v>
      </c>
      <c r="L114" t="s">
        <v>152</v>
      </c>
      <c r="M114" t="s">
        <v>149</v>
      </c>
      <c r="O114" t="s">
        <v>62</v>
      </c>
      <c r="P114" t="s">
        <v>63</v>
      </c>
      <c r="Q114">
        <v>3.455382092405491</v>
      </c>
      <c r="R114" t="s">
        <v>64</v>
      </c>
      <c r="S114" t="s">
        <v>65</v>
      </c>
      <c r="T114" t="s">
        <v>57</v>
      </c>
      <c r="V114" t="s">
        <v>118</v>
      </c>
      <c r="X114" t="s">
        <v>303</v>
      </c>
      <c r="AB114" t="s">
        <v>51</v>
      </c>
      <c r="AC114" t="s">
        <v>304</v>
      </c>
      <c r="AD114" t="s">
        <v>224</v>
      </c>
      <c r="AI114">
        <v>635.24207636032213</v>
      </c>
      <c r="AJ114">
        <v>13983.49114640576</v>
      </c>
    </row>
    <row r="115" spans="1:36" x14ac:dyDescent="0.25">
      <c r="A115">
        <v>118</v>
      </c>
      <c r="B115" t="s">
        <v>319</v>
      </c>
      <c r="C115" t="s">
        <v>149</v>
      </c>
      <c r="E115" t="s">
        <v>37</v>
      </c>
      <c r="G115" s="2">
        <v>45819</v>
      </c>
      <c r="H115">
        <v>0</v>
      </c>
      <c r="I115" t="s">
        <v>72</v>
      </c>
      <c r="J115" t="s">
        <v>150</v>
      </c>
      <c r="K115" t="s">
        <v>151</v>
      </c>
      <c r="L115" t="s">
        <v>152</v>
      </c>
      <c r="M115" t="s">
        <v>149</v>
      </c>
      <c r="O115" t="s">
        <v>62</v>
      </c>
      <c r="P115" t="s">
        <v>63</v>
      </c>
      <c r="Q115">
        <v>5.4366940325557902</v>
      </c>
      <c r="R115" t="s">
        <v>64</v>
      </c>
      <c r="S115" t="s">
        <v>65</v>
      </c>
      <c r="T115" t="s">
        <v>57</v>
      </c>
      <c r="V115" t="s">
        <v>118</v>
      </c>
      <c r="X115" t="s">
        <v>303</v>
      </c>
      <c r="AB115" t="s">
        <v>51</v>
      </c>
      <c r="AC115" t="s">
        <v>304</v>
      </c>
      <c r="AD115" t="s">
        <v>224</v>
      </c>
      <c r="AI115">
        <v>920.26895005026699</v>
      </c>
      <c r="AJ115">
        <v>22001.608168616822</v>
      </c>
    </row>
    <row r="116" spans="1:36" x14ac:dyDescent="0.25">
      <c r="A116">
        <v>119</v>
      </c>
      <c r="B116" t="s">
        <v>320</v>
      </c>
      <c r="C116" t="s">
        <v>149</v>
      </c>
      <c r="E116" t="s">
        <v>37</v>
      </c>
      <c r="G116" s="2">
        <v>45819</v>
      </c>
      <c r="H116">
        <v>0</v>
      </c>
      <c r="I116" t="s">
        <v>72</v>
      </c>
      <c r="J116" t="s">
        <v>150</v>
      </c>
      <c r="K116" t="s">
        <v>151</v>
      </c>
      <c r="L116" t="s">
        <v>152</v>
      </c>
      <c r="M116" t="s">
        <v>149</v>
      </c>
      <c r="O116" t="s">
        <v>62</v>
      </c>
      <c r="P116" t="s">
        <v>63</v>
      </c>
      <c r="Q116">
        <v>0.54483448449636029</v>
      </c>
      <c r="R116" t="s">
        <v>64</v>
      </c>
      <c r="S116" t="s">
        <v>65</v>
      </c>
      <c r="T116" t="s">
        <v>57</v>
      </c>
      <c r="V116" t="s">
        <v>118</v>
      </c>
      <c r="X116" t="s">
        <v>303</v>
      </c>
      <c r="AB116" t="s">
        <v>51</v>
      </c>
      <c r="AC116" t="s">
        <v>304</v>
      </c>
      <c r="AD116" t="s">
        <v>224</v>
      </c>
      <c r="AI116">
        <v>342.11375213675927</v>
      </c>
      <c r="AJ116">
        <v>2204.8757522232781</v>
      </c>
    </row>
    <row r="117" spans="1:36" x14ac:dyDescent="0.25">
      <c r="A117">
        <v>120</v>
      </c>
      <c r="B117" t="s">
        <v>321</v>
      </c>
      <c r="C117" t="s">
        <v>149</v>
      </c>
      <c r="E117" t="s">
        <v>37</v>
      </c>
      <c r="G117" s="2">
        <v>45819</v>
      </c>
      <c r="H117">
        <v>0</v>
      </c>
      <c r="I117" t="s">
        <v>72</v>
      </c>
      <c r="J117" t="s">
        <v>150</v>
      </c>
      <c r="K117" t="s">
        <v>151</v>
      </c>
      <c r="L117" t="s">
        <v>152</v>
      </c>
      <c r="M117" t="s">
        <v>149</v>
      </c>
      <c r="O117" t="s">
        <v>62</v>
      </c>
      <c r="P117" t="s">
        <v>63</v>
      </c>
      <c r="Q117">
        <v>7.6326027122660474</v>
      </c>
      <c r="R117" t="s">
        <v>64</v>
      </c>
      <c r="S117" t="s">
        <v>65</v>
      </c>
      <c r="T117" t="s">
        <v>57</v>
      </c>
      <c r="V117" t="s">
        <v>118</v>
      </c>
      <c r="X117" t="s">
        <v>322</v>
      </c>
      <c r="AB117" t="s">
        <v>51</v>
      </c>
      <c r="AC117" t="s">
        <v>57</v>
      </c>
      <c r="AD117" t="s">
        <v>317</v>
      </c>
      <c r="AI117">
        <v>951.02093686573812</v>
      </c>
      <c r="AJ117">
        <v>30888.170858321391</v>
      </c>
    </row>
    <row r="118" spans="1:36" x14ac:dyDescent="0.25">
      <c r="A118">
        <v>121</v>
      </c>
      <c r="B118" t="s">
        <v>323</v>
      </c>
      <c r="C118" t="s">
        <v>149</v>
      </c>
      <c r="E118" t="s">
        <v>37</v>
      </c>
      <c r="G118" s="2">
        <v>45819</v>
      </c>
      <c r="H118">
        <v>0</v>
      </c>
      <c r="I118" t="s">
        <v>72</v>
      </c>
      <c r="J118" t="s">
        <v>150</v>
      </c>
      <c r="K118" t="s">
        <v>151</v>
      </c>
      <c r="L118" t="s">
        <v>152</v>
      </c>
      <c r="M118" t="s">
        <v>149</v>
      </c>
      <c r="O118" t="s">
        <v>62</v>
      </c>
      <c r="P118" t="s">
        <v>63</v>
      </c>
      <c r="Q118">
        <v>9.2567111369963833</v>
      </c>
      <c r="R118" t="s">
        <v>64</v>
      </c>
      <c r="S118" t="s">
        <v>65</v>
      </c>
      <c r="T118" t="s">
        <v>57</v>
      </c>
      <c r="V118" t="s">
        <v>118</v>
      </c>
      <c r="X118" t="s">
        <v>322</v>
      </c>
      <c r="AB118" t="s">
        <v>51</v>
      </c>
      <c r="AC118" t="s">
        <v>57</v>
      </c>
      <c r="AD118" t="s">
        <v>317</v>
      </c>
      <c r="AI118">
        <v>1338.875938488475</v>
      </c>
      <c r="AJ118">
        <v>37460.730757828613</v>
      </c>
    </row>
    <row r="119" spans="1:36" x14ac:dyDescent="0.25">
      <c r="A119">
        <v>122</v>
      </c>
      <c r="B119" t="s">
        <v>324</v>
      </c>
      <c r="C119" t="s">
        <v>149</v>
      </c>
      <c r="E119" t="s">
        <v>37</v>
      </c>
      <c r="G119" s="2">
        <v>45819</v>
      </c>
      <c r="H119">
        <v>0</v>
      </c>
      <c r="I119" t="s">
        <v>72</v>
      </c>
      <c r="J119" t="s">
        <v>150</v>
      </c>
      <c r="K119" t="s">
        <v>151</v>
      </c>
      <c r="L119" t="s">
        <v>152</v>
      </c>
      <c r="M119" t="s">
        <v>149</v>
      </c>
      <c r="O119" t="s">
        <v>62</v>
      </c>
      <c r="P119" t="s">
        <v>63</v>
      </c>
      <c r="Q119">
        <v>44.89938038205463</v>
      </c>
      <c r="R119" t="s">
        <v>64</v>
      </c>
      <c r="S119" t="s">
        <v>65</v>
      </c>
      <c r="T119" t="s">
        <v>57</v>
      </c>
      <c r="V119" t="s">
        <v>110</v>
      </c>
      <c r="X119" t="s">
        <v>325</v>
      </c>
      <c r="AB119" t="s">
        <v>51</v>
      </c>
      <c r="AC119" t="s">
        <v>326</v>
      </c>
      <c r="AD119" t="s">
        <v>260</v>
      </c>
      <c r="AI119">
        <v>1709.9902457807491</v>
      </c>
      <c r="AJ119">
        <v>181702.07266846221</v>
      </c>
    </row>
    <row r="120" spans="1:36" x14ac:dyDescent="0.25">
      <c r="A120">
        <v>123</v>
      </c>
      <c r="B120" t="s">
        <v>327</v>
      </c>
      <c r="C120" t="s">
        <v>149</v>
      </c>
      <c r="E120" t="s">
        <v>37</v>
      </c>
      <c r="G120" s="2">
        <v>45819</v>
      </c>
      <c r="H120">
        <v>0</v>
      </c>
      <c r="I120" t="s">
        <v>72</v>
      </c>
      <c r="J120" t="s">
        <v>150</v>
      </c>
      <c r="K120" t="s">
        <v>151</v>
      </c>
      <c r="L120" t="s">
        <v>152</v>
      </c>
      <c r="M120" t="s">
        <v>149</v>
      </c>
      <c r="O120" t="s">
        <v>62</v>
      </c>
      <c r="P120" t="s">
        <v>63</v>
      </c>
      <c r="Q120">
        <v>34.397907757860452</v>
      </c>
      <c r="R120" t="s">
        <v>64</v>
      </c>
      <c r="S120" t="s">
        <v>65</v>
      </c>
      <c r="T120" t="s">
        <v>57</v>
      </c>
      <c r="V120" t="s">
        <v>110</v>
      </c>
      <c r="X120" t="s">
        <v>325</v>
      </c>
      <c r="AB120" t="s">
        <v>51</v>
      </c>
      <c r="AC120" t="s">
        <v>326</v>
      </c>
      <c r="AD120" t="s">
        <v>260</v>
      </c>
      <c r="AI120">
        <v>1492.955381055722</v>
      </c>
      <c r="AJ120">
        <v>139203.95074226649</v>
      </c>
    </row>
    <row r="121" spans="1:36" x14ac:dyDescent="0.25">
      <c r="A121">
        <v>124</v>
      </c>
      <c r="B121" t="s">
        <v>328</v>
      </c>
      <c r="C121" t="s">
        <v>149</v>
      </c>
      <c r="E121" t="s">
        <v>37</v>
      </c>
      <c r="G121" s="2">
        <v>45819</v>
      </c>
      <c r="H121">
        <v>0</v>
      </c>
      <c r="I121" t="s">
        <v>72</v>
      </c>
      <c r="J121" t="s">
        <v>150</v>
      </c>
      <c r="K121" t="s">
        <v>151</v>
      </c>
      <c r="L121" t="s">
        <v>152</v>
      </c>
      <c r="M121" t="s">
        <v>149</v>
      </c>
      <c r="O121" t="s">
        <v>141</v>
      </c>
      <c r="P121" t="s">
        <v>142</v>
      </c>
      <c r="Q121">
        <v>0.80674251602671465</v>
      </c>
      <c r="S121" t="s">
        <v>38</v>
      </c>
      <c r="V121" t="s">
        <v>110</v>
      </c>
      <c r="X121" t="s">
        <v>57</v>
      </c>
      <c r="AB121" t="s">
        <v>51</v>
      </c>
      <c r="AC121" t="s">
        <v>57</v>
      </c>
      <c r="AD121" t="s">
        <v>159</v>
      </c>
      <c r="AI121">
        <v>220.00442624522901</v>
      </c>
      <c r="AJ121">
        <v>3264.784191329551</v>
      </c>
    </row>
    <row r="122" spans="1:36" x14ac:dyDescent="0.25">
      <c r="A122">
        <v>125</v>
      </c>
      <c r="B122" t="s">
        <v>329</v>
      </c>
      <c r="C122" t="s">
        <v>149</v>
      </c>
      <c r="E122" t="s">
        <v>37</v>
      </c>
      <c r="G122" s="2">
        <v>45819</v>
      </c>
      <c r="H122">
        <v>0</v>
      </c>
      <c r="I122" t="s">
        <v>72</v>
      </c>
      <c r="J122" t="s">
        <v>150</v>
      </c>
      <c r="K122" t="s">
        <v>151</v>
      </c>
      <c r="L122" t="s">
        <v>152</v>
      </c>
      <c r="M122" t="s">
        <v>149</v>
      </c>
      <c r="O122" t="s">
        <v>141</v>
      </c>
      <c r="P122" t="s">
        <v>142</v>
      </c>
      <c r="Q122">
        <v>1.724510210318281</v>
      </c>
      <c r="S122" t="s">
        <v>38</v>
      </c>
      <c r="V122" t="s">
        <v>110</v>
      </c>
      <c r="X122" t="s">
        <v>57</v>
      </c>
      <c r="AB122" t="s">
        <v>51</v>
      </c>
      <c r="AC122" t="s">
        <v>57</v>
      </c>
      <c r="AD122" t="s">
        <v>159</v>
      </c>
      <c r="AI122">
        <v>348.55398489091141</v>
      </c>
      <c r="AJ122">
        <v>6978.8731355855389</v>
      </c>
    </row>
    <row r="123" spans="1:36" x14ac:dyDescent="0.25">
      <c r="A123">
        <v>126</v>
      </c>
      <c r="B123" t="s">
        <v>330</v>
      </c>
      <c r="C123" t="s">
        <v>149</v>
      </c>
      <c r="E123" t="s">
        <v>37</v>
      </c>
      <c r="G123" s="2">
        <v>45819</v>
      </c>
      <c r="H123">
        <v>0</v>
      </c>
      <c r="I123" t="s">
        <v>72</v>
      </c>
      <c r="J123" t="s">
        <v>150</v>
      </c>
      <c r="K123" t="s">
        <v>151</v>
      </c>
      <c r="L123" t="s">
        <v>152</v>
      </c>
      <c r="M123" t="s">
        <v>149</v>
      </c>
      <c r="O123" t="s">
        <v>141</v>
      </c>
      <c r="P123" t="s">
        <v>142</v>
      </c>
      <c r="Q123">
        <v>0.68444697001244426</v>
      </c>
      <c r="S123" t="s">
        <v>38</v>
      </c>
      <c r="V123" t="s">
        <v>110</v>
      </c>
      <c r="X123" t="s">
        <v>331</v>
      </c>
      <c r="AB123" t="s">
        <v>51</v>
      </c>
      <c r="AC123" t="s">
        <v>57</v>
      </c>
      <c r="AD123" t="s">
        <v>260</v>
      </c>
      <c r="AI123">
        <v>194.59828970264769</v>
      </c>
      <c r="AJ123">
        <v>2769.8696958547839</v>
      </c>
    </row>
    <row r="124" spans="1:36" x14ac:dyDescent="0.25">
      <c r="A124">
        <v>127</v>
      </c>
      <c r="B124" t="s">
        <v>332</v>
      </c>
      <c r="C124" t="s">
        <v>149</v>
      </c>
      <c r="E124" t="s">
        <v>37</v>
      </c>
      <c r="G124" s="2">
        <v>45819</v>
      </c>
      <c r="H124">
        <v>0</v>
      </c>
      <c r="I124" t="s">
        <v>72</v>
      </c>
      <c r="J124" t="s">
        <v>150</v>
      </c>
      <c r="K124" t="s">
        <v>151</v>
      </c>
      <c r="L124" t="s">
        <v>152</v>
      </c>
      <c r="M124" t="s">
        <v>149</v>
      </c>
      <c r="O124" t="s">
        <v>62</v>
      </c>
      <c r="P124" t="s">
        <v>63</v>
      </c>
      <c r="Q124">
        <v>0.69648982173037599</v>
      </c>
      <c r="R124" t="s">
        <v>64</v>
      </c>
      <c r="S124" t="s">
        <v>65</v>
      </c>
      <c r="T124" t="s">
        <v>57</v>
      </c>
      <c r="V124" t="s">
        <v>110</v>
      </c>
      <c r="X124" t="s">
        <v>325</v>
      </c>
      <c r="AB124" t="s">
        <v>51</v>
      </c>
      <c r="AC124" t="s">
        <v>326</v>
      </c>
      <c r="AD124" t="s">
        <v>260</v>
      </c>
      <c r="AI124">
        <v>505.98150655369523</v>
      </c>
      <c r="AJ124">
        <v>2818.605582616859</v>
      </c>
    </row>
    <row r="125" spans="1:36" x14ac:dyDescent="0.25">
      <c r="A125">
        <v>128</v>
      </c>
      <c r="B125" t="s">
        <v>333</v>
      </c>
      <c r="C125" t="s">
        <v>149</v>
      </c>
      <c r="E125" t="s">
        <v>37</v>
      </c>
      <c r="G125" s="2">
        <v>45819</v>
      </c>
      <c r="H125">
        <v>0</v>
      </c>
      <c r="I125" t="s">
        <v>72</v>
      </c>
      <c r="J125" t="s">
        <v>150</v>
      </c>
      <c r="K125" t="s">
        <v>151</v>
      </c>
      <c r="L125" t="s">
        <v>152</v>
      </c>
      <c r="M125" t="s">
        <v>149</v>
      </c>
      <c r="O125" t="s">
        <v>62</v>
      </c>
      <c r="P125" t="s">
        <v>63</v>
      </c>
      <c r="Q125">
        <v>1.5966051052508921</v>
      </c>
      <c r="R125" t="s">
        <v>64</v>
      </c>
      <c r="S125" t="s">
        <v>65</v>
      </c>
      <c r="T125" t="s">
        <v>57</v>
      </c>
      <c r="V125" t="s">
        <v>110</v>
      </c>
      <c r="X125" t="s">
        <v>325</v>
      </c>
      <c r="AB125" t="s">
        <v>51</v>
      </c>
      <c r="AC125" t="s">
        <v>326</v>
      </c>
      <c r="AD125" t="s">
        <v>260</v>
      </c>
      <c r="AI125">
        <v>1327.187867653312</v>
      </c>
      <c r="AJ125">
        <v>6461.2574692252319</v>
      </c>
    </row>
    <row r="126" spans="1:36" x14ac:dyDescent="0.25">
      <c r="A126">
        <v>129</v>
      </c>
      <c r="B126" t="s">
        <v>334</v>
      </c>
      <c r="C126" t="s">
        <v>149</v>
      </c>
      <c r="E126" t="s">
        <v>37</v>
      </c>
      <c r="G126" s="2">
        <v>45819</v>
      </c>
      <c r="H126">
        <v>0</v>
      </c>
      <c r="I126" t="s">
        <v>72</v>
      </c>
      <c r="J126" t="s">
        <v>150</v>
      </c>
      <c r="K126" t="s">
        <v>151</v>
      </c>
      <c r="L126" t="s">
        <v>152</v>
      </c>
      <c r="M126" t="s">
        <v>149</v>
      </c>
      <c r="O126" t="s">
        <v>62</v>
      </c>
      <c r="P126" t="s">
        <v>63</v>
      </c>
      <c r="Q126">
        <v>0.27182091435632899</v>
      </c>
      <c r="R126" t="s">
        <v>64</v>
      </c>
      <c r="S126" t="s">
        <v>65</v>
      </c>
      <c r="T126" t="s">
        <v>57</v>
      </c>
      <c r="V126" t="s">
        <v>110</v>
      </c>
      <c r="X126" t="s">
        <v>325</v>
      </c>
      <c r="AB126" t="s">
        <v>51</v>
      </c>
      <c r="AC126" t="s">
        <v>326</v>
      </c>
      <c r="AD126" t="s">
        <v>260</v>
      </c>
      <c r="AI126">
        <v>368.0225248647933</v>
      </c>
      <c r="AJ126">
        <v>1100.0246130996029</v>
      </c>
    </row>
    <row r="127" spans="1:36" x14ac:dyDescent="0.25">
      <c r="A127">
        <v>130</v>
      </c>
      <c r="B127" t="s">
        <v>335</v>
      </c>
      <c r="C127" t="s">
        <v>149</v>
      </c>
      <c r="E127" t="s">
        <v>37</v>
      </c>
      <c r="G127" s="2">
        <v>45819</v>
      </c>
      <c r="H127">
        <v>0</v>
      </c>
      <c r="I127" t="s">
        <v>72</v>
      </c>
      <c r="J127" t="s">
        <v>150</v>
      </c>
      <c r="K127" t="s">
        <v>151</v>
      </c>
      <c r="L127" t="s">
        <v>152</v>
      </c>
      <c r="M127" t="s">
        <v>149</v>
      </c>
      <c r="O127" t="s">
        <v>141</v>
      </c>
      <c r="P127" t="s">
        <v>142</v>
      </c>
      <c r="Q127">
        <v>1.130462453750982</v>
      </c>
      <c r="S127" t="s">
        <v>38</v>
      </c>
      <c r="T127" t="s">
        <v>57</v>
      </c>
      <c r="V127" t="s">
        <v>110</v>
      </c>
      <c r="X127" t="s">
        <v>336</v>
      </c>
      <c r="AB127" t="s">
        <v>51</v>
      </c>
      <c r="AC127" t="s">
        <v>57</v>
      </c>
      <c r="AD127" t="s">
        <v>156</v>
      </c>
      <c r="AI127">
        <v>255.68331548967339</v>
      </c>
      <c r="AJ127">
        <v>4574.8375405760853</v>
      </c>
    </row>
    <row r="128" spans="1:36" x14ac:dyDescent="0.25">
      <c r="A128">
        <v>131</v>
      </c>
      <c r="B128" t="s">
        <v>337</v>
      </c>
      <c r="C128" t="s">
        <v>149</v>
      </c>
      <c r="E128" t="s">
        <v>37</v>
      </c>
      <c r="G128" s="2">
        <v>45819</v>
      </c>
      <c r="H128">
        <v>0</v>
      </c>
      <c r="I128" t="s">
        <v>72</v>
      </c>
      <c r="J128" t="s">
        <v>150</v>
      </c>
      <c r="K128" t="s">
        <v>151</v>
      </c>
      <c r="L128" t="s">
        <v>152</v>
      </c>
      <c r="M128" t="s">
        <v>149</v>
      </c>
      <c r="O128" t="s">
        <v>62</v>
      </c>
      <c r="P128" t="s">
        <v>63</v>
      </c>
      <c r="Q128">
        <v>1.9177461037939421</v>
      </c>
      <c r="R128" t="s">
        <v>64</v>
      </c>
      <c r="S128" t="s">
        <v>65</v>
      </c>
      <c r="T128" t="s">
        <v>57</v>
      </c>
      <c r="V128" t="s">
        <v>73</v>
      </c>
      <c r="X128" t="s">
        <v>175</v>
      </c>
      <c r="AB128" t="s">
        <v>51</v>
      </c>
      <c r="AC128" t="s">
        <v>57</v>
      </c>
      <c r="AD128" t="s">
        <v>159</v>
      </c>
      <c r="AI128">
        <v>591.55345911745837</v>
      </c>
      <c r="AJ128">
        <v>7760.8741801367678</v>
      </c>
    </row>
    <row r="129" spans="1:36" x14ac:dyDescent="0.25">
      <c r="A129">
        <v>132</v>
      </c>
      <c r="B129" t="s">
        <v>338</v>
      </c>
      <c r="C129" t="s">
        <v>149</v>
      </c>
      <c r="E129" t="s">
        <v>37</v>
      </c>
      <c r="G129" s="2">
        <v>45819</v>
      </c>
      <c r="H129">
        <v>0</v>
      </c>
      <c r="I129" t="s">
        <v>72</v>
      </c>
      <c r="J129" t="s">
        <v>150</v>
      </c>
      <c r="K129" t="s">
        <v>151</v>
      </c>
      <c r="L129" t="s">
        <v>152</v>
      </c>
      <c r="M129" t="s">
        <v>149</v>
      </c>
      <c r="O129" t="s">
        <v>62</v>
      </c>
      <c r="P129" t="s">
        <v>63</v>
      </c>
      <c r="Q129">
        <v>0.89258437812223079</v>
      </c>
      <c r="R129" t="s">
        <v>64</v>
      </c>
      <c r="S129" t="s">
        <v>65</v>
      </c>
      <c r="T129" t="s">
        <v>57</v>
      </c>
      <c r="V129" t="s">
        <v>60</v>
      </c>
      <c r="X129" t="s">
        <v>57</v>
      </c>
      <c r="Y129" t="s">
        <v>153</v>
      </c>
      <c r="Z129" t="s">
        <v>154</v>
      </c>
      <c r="AA129" t="s">
        <v>70</v>
      </c>
      <c r="AB129" t="s">
        <v>51</v>
      </c>
      <c r="AC129" t="s">
        <v>57</v>
      </c>
      <c r="AD129" t="s">
        <v>159</v>
      </c>
      <c r="AI129">
        <v>261.26384700357067</v>
      </c>
      <c r="AJ129">
        <v>3612.1752718244979</v>
      </c>
    </row>
    <row r="130" spans="1:36" x14ac:dyDescent="0.25">
      <c r="A130">
        <v>133</v>
      </c>
      <c r="B130" t="s">
        <v>339</v>
      </c>
      <c r="C130" t="s">
        <v>149</v>
      </c>
      <c r="E130" t="s">
        <v>37</v>
      </c>
      <c r="G130" s="2">
        <v>45819</v>
      </c>
      <c r="H130">
        <v>0</v>
      </c>
      <c r="I130" t="s">
        <v>72</v>
      </c>
      <c r="J130" t="s">
        <v>150</v>
      </c>
      <c r="K130" t="s">
        <v>151</v>
      </c>
      <c r="L130" t="s">
        <v>152</v>
      </c>
      <c r="M130" t="s">
        <v>149</v>
      </c>
      <c r="O130" t="s">
        <v>62</v>
      </c>
      <c r="P130" t="s">
        <v>63</v>
      </c>
      <c r="Q130">
        <v>11.247129166742869</v>
      </c>
      <c r="R130" t="s">
        <v>64</v>
      </c>
      <c r="S130" t="s">
        <v>65</v>
      </c>
      <c r="T130" t="s">
        <v>57</v>
      </c>
      <c r="V130" t="s">
        <v>60</v>
      </c>
      <c r="X130" t="s">
        <v>57</v>
      </c>
      <c r="Y130" t="s">
        <v>153</v>
      </c>
      <c r="Z130" t="s">
        <v>154</v>
      </c>
      <c r="AA130" t="s">
        <v>70</v>
      </c>
      <c r="AB130" t="s">
        <v>51</v>
      </c>
      <c r="AC130" t="s">
        <v>57</v>
      </c>
      <c r="AD130" t="s">
        <v>159</v>
      </c>
      <c r="AI130">
        <v>1142.302569282351</v>
      </c>
      <c r="AJ130">
        <v>45515.698964609539</v>
      </c>
    </row>
    <row r="131" spans="1:36" x14ac:dyDescent="0.25">
      <c r="A131">
        <v>134</v>
      </c>
      <c r="B131" t="s">
        <v>340</v>
      </c>
      <c r="C131" t="s">
        <v>149</v>
      </c>
      <c r="E131" t="s">
        <v>37</v>
      </c>
      <c r="G131" s="2">
        <v>45819</v>
      </c>
      <c r="H131">
        <v>0</v>
      </c>
      <c r="I131" t="s">
        <v>72</v>
      </c>
      <c r="J131" t="s">
        <v>150</v>
      </c>
      <c r="K131" t="s">
        <v>151</v>
      </c>
      <c r="L131" t="s">
        <v>152</v>
      </c>
      <c r="M131" t="s">
        <v>149</v>
      </c>
      <c r="O131" t="s">
        <v>62</v>
      </c>
      <c r="P131" t="s">
        <v>63</v>
      </c>
      <c r="Q131">
        <v>6.1278271249714606</v>
      </c>
      <c r="R131" t="s">
        <v>64</v>
      </c>
      <c r="S131" t="s">
        <v>65</v>
      </c>
      <c r="T131" t="s">
        <v>57</v>
      </c>
      <c r="V131" t="s">
        <v>73</v>
      </c>
      <c r="X131" t="s">
        <v>57</v>
      </c>
      <c r="AB131" t="s">
        <v>51</v>
      </c>
      <c r="AC131" t="s">
        <v>57</v>
      </c>
      <c r="AD131" t="s">
        <v>159</v>
      </c>
      <c r="AI131">
        <v>683.12609831246243</v>
      </c>
      <c r="AJ131">
        <v>24798.535750091491</v>
      </c>
    </row>
    <row r="132" spans="1:36" x14ac:dyDescent="0.25">
      <c r="A132">
        <v>135</v>
      </c>
      <c r="B132" t="s">
        <v>341</v>
      </c>
      <c r="C132" t="s">
        <v>149</v>
      </c>
      <c r="E132" t="s">
        <v>37</v>
      </c>
      <c r="G132" s="2">
        <v>45819</v>
      </c>
      <c r="H132">
        <v>0</v>
      </c>
      <c r="I132" t="s">
        <v>72</v>
      </c>
      <c r="J132" t="s">
        <v>150</v>
      </c>
      <c r="K132" t="s">
        <v>151</v>
      </c>
      <c r="L132" t="s">
        <v>152</v>
      </c>
      <c r="M132" t="s">
        <v>149</v>
      </c>
      <c r="O132" t="s">
        <v>62</v>
      </c>
      <c r="P132" t="s">
        <v>63</v>
      </c>
      <c r="Q132">
        <v>3.7971732769374071</v>
      </c>
      <c r="R132" t="s">
        <v>64</v>
      </c>
      <c r="S132" t="s">
        <v>65</v>
      </c>
      <c r="T132" t="s">
        <v>57</v>
      </c>
      <c r="V132" t="s">
        <v>73</v>
      </c>
      <c r="X132" t="s">
        <v>57</v>
      </c>
      <c r="AB132" t="s">
        <v>51</v>
      </c>
      <c r="AC132" t="s">
        <v>57</v>
      </c>
      <c r="AD132" t="s">
        <v>159</v>
      </c>
      <c r="AI132">
        <v>500.45215408493277</v>
      </c>
      <c r="AJ132">
        <v>15366.676529384449</v>
      </c>
    </row>
    <row r="133" spans="1:36" x14ac:dyDescent="0.25">
      <c r="A133">
        <v>136</v>
      </c>
      <c r="B133" t="s">
        <v>342</v>
      </c>
      <c r="C133" t="s">
        <v>149</v>
      </c>
      <c r="E133" t="s">
        <v>37</v>
      </c>
      <c r="G133" s="2">
        <v>45819</v>
      </c>
      <c r="H133">
        <v>0</v>
      </c>
      <c r="I133" t="s">
        <v>72</v>
      </c>
      <c r="J133" t="s">
        <v>150</v>
      </c>
      <c r="K133" t="s">
        <v>151</v>
      </c>
      <c r="L133" t="s">
        <v>152</v>
      </c>
      <c r="M133" t="s">
        <v>149</v>
      </c>
      <c r="O133" t="s">
        <v>62</v>
      </c>
      <c r="P133" t="s">
        <v>63</v>
      </c>
      <c r="Q133">
        <v>2.8891140958230781</v>
      </c>
      <c r="R133" t="s">
        <v>64</v>
      </c>
      <c r="S133" t="s">
        <v>65</v>
      </c>
      <c r="T133" t="s">
        <v>57</v>
      </c>
      <c r="V133" t="s">
        <v>73</v>
      </c>
      <c r="X133" t="s">
        <v>57</v>
      </c>
      <c r="AB133" t="s">
        <v>51</v>
      </c>
      <c r="AC133" t="s">
        <v>57</v>
      </c>
      <c r="AD133" t="s">
        <v>159</v>
      </c>
      <c r="AI133">
        <v>771.72976692159602</v>
      </c>
      <c r="AJ133">
        <v>11691.87670118803</v>
      </c>
    </row>
    <row r="134" spans="1:36" x14ac:dyDescent="0.25">
      <c r="A134">
        <v>137</v>
      </c>
      <c r="B134" t="s">
        <v>343</v>
      </c>
      <c r="C134" t="s">
        <v>149</v>
      </c>
      <c r="E134" t="s">
        <v>37</v>
      </c>
      <c r="G134" s="2">
        <v>45819</v>
      </c>
      <c r="H134">
        <v>0</v>
      </c>
      <c r="I134" t="s">
        <v>72</v>
      </c>
      <c r="J134" t="s">
        <v>150</v>
      </c>
      <c r="K134" t="s">
        <v>151</v>
      </c>
      <c r="L134" t="s">
        <v>152</v>
      </c>
      <c r="M134" t="s">
        <v>149</v>
      </c>
      <c r="O134" t="s">
        <v>62</v>
      </c>
      <c r="P134" t="s">
        <v>63</v>
      </c>
      <c r="Q134">
        <v>22.898146087995251</v>
      </c>
      <c r="R134" t="s">
        <v>64</v>
      </c>
      <c r="S134" t="s">
        <v>65</v>
      </c>
      <c r="T134" t="s">
        <v>57</v>
      </c>
      <c r="V134" t="s">
        <v>193</v>
      </c>
      <c r="X134" t="s">
        <v>57</v>
      </c>
      <c r="AB134" t="s">
        <v>51</v>
      </c>
      <c r="AC134" t="s">
        <v>57</v>
      </c>
      <c r="AD134" t="s">
        <v>159</v>
      </c>
      <c r="AI134">
        <v>1302.5433760482979</v>
      </c>
      <c r="AJ134">
        <v>92665.880220407213</v>
      </c>
    </row>
    <row r="135" spans="1:36" x14ac:dyDescent="0.25">
      <c r="A135">
        <v>138</v>
      </c>
      <c r="B135" t="s">
        <v>344</v>
      </c>
      <c r="C135" t="s">
        <v>149</v>
      </c>
      <c r="E135" t="s">
        <v>37</v>
      </c>
      <c r="G135" s="2">
        <v>45819</v>
      </c>
      <c r="H135">
        <v>0</v>
      </c>
      <c r="I135" t="s">
        <v>72</v>
      </c>
      <c r="J135" t="s">
        <v>150</v>
      </c>
      <c r="K135" t="s">
        <v>151</v>
      </c>
      <c r="L135" t="s">
        <v>152</v>
      </c>
      <c r="M135" t="s">
        <v>149</v>
      </c>
      <c r="O135" t="s">
        <v>62</v>
      </c>
      <c r="P135" t="s">
        <v>63</v>
      </c>
      <c r="Q135">
        <v>16.28032290071679</v>
      </c>
      <c r="R135" t="s">
        <v>64</v>
      </c>
      <c r="S135" t="s">
        <v>65</v>
      </c>
      <c r="T135" t="s">
        <v>57</v>
      </c>
      <c r="V135" t="s">
        <v>193</v>
      </c>
      <c r="X135" t="s">
        <v>57</v>
      </c>
      <c r="AB135" t="s">
        <v>51</v>
      </c>
      <c r="AC135" t="s">
        <v>57</v>
      </c>
      <c r="AD135" t="s">
        <v>159</v>
      </c>
      <c r="AI135">
        <v>1445.678767175863</v>
      </c>
      <c r="AJ135">
        <v>65884.392826819298</v>
      </c>
    </row>
    <row r="136" spans="1:36" x14ac:dyDescent="0.25">
      <c r="A136">
        <v>139</v>
      </c>
      <c r="B136" t="s">
        <v>345</v>
      </c>
      <c r="C136" t="s">
        <v>149</v>
      </c>
      <c r="E136" t="s">
        <v>37</v>
      </c>
      <c r="G136" s="2">
        <v>45819</v>
      </c>
      <c r="H136">
        <v>0</v>
      </c>
      <c r="I136" t="s">
        <v>72</v>
      </c>
      <c r="J136" t="s">
        <v>150</v>
      </c>
      <c r="K136" t="s">
        <v>151</v>
      </c>
      <c r="L136" t="s">
        <v>152</v>
      </c>
      <c r="M136" t="s">
        <v>149</v>
      </c>
      <c r="O136" t="s">
        <v>62</v>
      </c>
      <c r="P136" t="s">
        <v>63</v>
      </c>
      <c r="Q136">
        <v>0.57965883469050683</v>
      </c>
      <c r="R136" t="s">
        <v>64</v>
      </c>
      <c r="S136" t="s">
        <v>65</v>
      </c>
      <c r="T136" t="s">
        <v>57</v>
      </c>
      <c r="V136" t="s">
        <v>118</v>
      </c>
      <c r="X136" t="s">
        <v>322</v>
      </c>
      <c r="AB136" t="s">
        <v>51</v>
      </c>
      <c r="AC136" t="s">
        <v>57</v>
      </c>
      <c r="AD136" t="s">
        <v>317</v>
      </c>
      <c r="AI136">
        <v>565.65535712062831</v>
      </c>
      <c r="AJ136">
        <v>2345.8054611806392</v>
      </c>
    </row>
    <row r="137" spans="1:36" x14ac:dyDescent="0.25">
      <c r="A137">
        <v>140</v>
      </c>
      <c r="B137" t="s">
        <v>346</v>
      </c>
      <c r="C137" t="s">
        <v>149</v>
      </c>
      <c r="E137" t="s">
        <v>37</v>
      </c>
      <c r="G137" s="2">
        <v>45819</v>
      </c>
      <c r="H137">
        <v>0</v>
      </c>
      <c r="I137" t="s">
        <v>72</v>
      </c>
      <c r="J137" t="s">
        <v>150</v>
      </c>
      <c r="K137" t="s">
        <v>151</v>
      </c>
      <c r="L137" t="s">
        <v>152</v>
      </c>
      <c r="M137" t="s">
        <v>149</v>
      </c>
      <c r="O137" t="s">
        <v>62</v>
      </c>
      <c r="P137" t="s">
        <v>63</v>
      </c>
      <c r="Q137">
        <v>1.4786534735890471</v>
      </c>
      <c r="R137" t="s">
        <v>64</v>
      </c>
      <c r="S137" t="s">
        <v>65</v>
      </c>
      <c r="T137" t="s">
        <v>57</v>
      </c>
      <c r="V137" t="s">
        <v>118</v>
      </c>
      <c r="X137" t="s">
        <v>322</v>
      </c>
      <c r="AB137" t="s">
        <v>51</v>
      </c>
      <c r="AC137" t="s">
        <v>57</v>
      </c>
      <c r="AD137" t="s">
        <v>317</v>
      </c>
      <c r="AI137">
        <v>589.5182438243155</v>
      </c>
      <c r="AJ137">
        <v>5983.9222417629344</v>
      </c>
    </row>
    <row r="138" spans="1:36" x14ac:dyDescent="0.25">
      <c r="A138">
        <v>141</v>
      </c>
      <c r="B138" t="s">
        <v>347</v>
      </c>
      <c r="C138" t="s">
        <v>149</v>
      </c>
      <c r="E138" t="s">
        <v>37</v>
      </c>
      <c r="G138" s="2">
        <v>45819</v>
      </c>
      <c r="H138">
        <v>0</v>
      </c>
      <c r="I138" t="s">
        <v>72</v>
      </c>
      <c r="J138" t="s">
        <v>150</v>
      </c>
      <c r="K138" t="s">
        <v>151</v>
      </c>
      <c r="L138" t="s">
        <v>152</v>
      </c>
      <c r="M138" t="s">
        <v>149</v>
      </c>
      <c r="O138" t="s">
        <v>62</v>
      </c>
      <c r="P138" t="s">
        <v>63</v>
      </c>
      <c r="Q138">
        <v>4.9997202611514062</v>
      </c>
      <c r="R138" t="s">
        <v>64</v>
      </c>
      <c r="S138" t="s">
        <v>65</v>
      </c>
      <c r="T138" t="s">
        <v>57</v>
      </c>
      <c r="V138" t="s">
        <v>61</v>
      </c>
      <c r="X138" t="s">
        <v>222</v>
      </c>
      <c r="AB138" t="s">
        <v>51</v>
      </c>
      <c r="AC138" t="s">
        <v>223</v>
      </c>
      <c r="AD138" t="s">
        <v>224</v>
      </c>
      <c r="AI138">
        <v>1341.398452992132</v>
      </c>
      <c r="AJ138">
        <v>20233.230981886969</v>
      </c>
    </row>
    <row r="139" spans="1:36" x14ac:dyDescent="0.25">
      <c r="A139">
        <v>142</v>
      </c>
      <c r="B139" t="s">
        <v>348</v>
      </c>
      <c r="C139" t="s">
        <v>149</v>
      </c>
      <c r="E139" t="s">
        <v>37</v>
      </c>
      <c r="G139" s="2">
        <v>45819</v>
      </c>
      <c r="H139">
        <v>0</v>
      </c>
      <c r="I139" t="s">
        <v>72</v>
      </c>
      <c r="J139" t="s">
        <v>150</v>
      </c>
      <c r="K139" t="s">
        <v>151</v>
      </c>
      <c r="L139" t="s">
        <v>152</v>
      </c>
      <c r="M139" t="s">
        <v>149</v>
      </c>
      <c r="O139" t="s">
        <v>113</v>
      </c>
      <c r="P139" t="s">
        <v>114</v>
      </c>
      <c r="Q139">
        <v>30.42733844404551</v>
      </c>
      <c r="R139" t="s">
        <v>60</v>
      </c>
      <c r="S139" t="s">
        <v>66</v>
      </c>
      <c r="V139" t="s">
        <v>61</v>
      </c>
      <c r="AB139" t="s">
        <v>51</v>
      </c>
      <c r="AD139" t="s">
        <v>159</v>
      </c>
      <c r="AI139">
        <v>1243.9321182012111</v>
      </c>
      <c r="AJ139">
        <v>123135.5625405816</v>
      </c>
    </row>
    <row r="140" spans="1:36" x14ac:dyDescent="0.25">
      <c r="A140">
        <v>143</v>
      </c>
      <c r="B140" t="s">
        <v>349</v>
      </c>
      <c r="C140" t="s">
        <v>149</v>
      </c>
      <c r="E140" t="s">
        <v>37</v>
      </c>
      <c r="G140" s="2">
        <v>45819</v>
      </c>
      <c r="H140">
        <v>0</v>
      </c>
      <c r="I140" t="s">
        <v>72</v>
      </c>
      <c r="J140" t="s">
        <v>150</v>
      </c>
      <c r="K140" t="s">
        <v>151</v>
      </c>
      <c r="L140" t="s">
        <v>152</v>
      </c>
      <c r="M140" t="s">
        <v>149</v>
      </c>
      <c r="O140" t="s">
        <v>44</v>
      </c>
      <c r="P140" t="s">
        <v>45</v>
      </c>
      <c r="Q140">
        <v>30.673384327805969</v>
      </c>
      <c r="R140" t="s">
        <v>60</v>
      </c>
      <c r="S140" t="s">
        <v>66</v>
      </c>
      <c r="V140" t="s">
        <v>61</v>
      </c>
      <c r="AB140" t="s">
        <v>51</v>
      </c>
      <c r="AD140" t="s">
        <v>159</v>
      </c>
      <c r="AI140">
        <v>1248.9514223320739</v>
      </c>
      <c r="AJ140">
        <v>124131.2788883441</v>
      </c>
    </row>
    <row r="141" spans="1:36" x14ac:dyDescent="0.25">
      <c r="A141">
        <v>144</v>
      </c>
      <c r="B141" t="s">
        <v>350</v>
      </c>
      <c r="C141" t="s">
        <v>149</v>
      </c>
      <c r="E141" t="s">
        <v>37</v>
      </c>
      <c r="G141" s="2">
        <v>45819</v>
      </c>
      <c r="H141">
        <v>0</v>
      </c>
      <c r="I141" t="s">
        <v>72</v>
      </c>
      <c r="J141" t="s">
        <v>150</v>
      </c>
      <c r="K141" t="s">
        <v>151</v>
      </c>
      <c r="L141" t="s">
        <v>152</v>
      </c>
      <c r="M141" t="s">
        <v>149</v>
      </c>
      <c r="O141" t="s">
        <v>62</v>
      </c>
      <c r="P141" t="s">
        <v>63</v>
      </c>
      <c r="Q141">
        <v>136.37705810256659</v>
      </c>
      <c r="R141" t="s">
        <v>64</v>
      </c>
      <c r="S141" t="s">
        <v>65</v>
      </c>
      <c r="V141" t="s">
        <v>193</v>
      </c>
      <c r="X141" t="s">
        <v>351</v>
      </c>
      <c r="AB141" t="s">
        <v>51</v>
      </c>
      <c r="AC141" t="s">
        <v>352</v>
      </c>
      <c r="AD141" t="s">
        <v>159</v>
      </c>
      <c r="AI141">
        <v>2633.5123397775892</v>
      </c>
      <c r="AJ141">
        <v>551900.58105050598</v>
      </c>
    </row>
    <row r="142" spans="1:36" x14ac:dyDescent="0.25">
      <c r="A142">
        <v>145</v>
      </c>
      <c r="B142" t="s">
        <v>353</v>
      </c>
      <c r="C142" t="s">
        <v>149</v>
      </c>
      <c r="E142" t="s">
        <v>37</v>
      </c>
      <c r="G142" s="2">
        <v>45819</v>
      </c>
      <c r="H142">
        <v>0</v>
      </c>
      <c r="I142" t="s">
        <v>72</v>
      </c>
      <c r="J142" t="s">
        <v>150</v>
      </c>
      <c r="K142" t="s">
        <v>151</v>
      </c>
      <c r="L142" t="s">
        <v>152</v>
      </c>
      <c r="M142" t="s">
        <v>149</v>
      </c>
      <c r="O142" t="s">
        <v>62</v>
      </c>
      <c r="P142" t="s">
        <v>63</v>
      </c>
      <c r="Q142">
        <v>141.91473363400559</v>
      </c>
      <c r="R142" t="s">
        <v>64</v>
      </c>
      <c r="S142" t="s">
        <v>65</v>
      </c>
      <c r="V142" t="s">
        <v>193</v>
      </c>
      <c r="X142" t="s">
        <v>351</v>
      </c>
      <c r="AB142" t="s">
        <v>51</v>
      </c>
      <c r="AC142" t="s">
        <v>352</v>
      </c>
      <c r="AD142" t="s">
        <v>159</v>
      </c>
      <c r="AI142">
        <v>2686.4480210605311</v>
      </c>
      <c r="AJ142">
        <v>574310.84848105733</v>
      </c>
    </row>
    <row r="143" spans="1:36" x14ac:dyDescent="0.25">
      <c r="A143">
        <v>146</v>
      </c>
      <c r="C143" t="s">
        <v>149</v>
      </c>
      <c r="E143" t="s">
        <v>37</v>
      </c>
      <c r="G143" s="2">
        <v>45819</v>
      </c>
      <c r="I143" t="s">
        <v>72</v>
      </c>
      <c r="J143" t="s">
        <v>150</v>
      </c>
      <c r="K143" t="s">
        <v>151</v>
      </c>
      <c r="L143" t="s">
        <v>152</v>
      </c>
      <c r="M143" t="s">
        <v>149</v>
      </c>
      <c r="O143" t="s">
        <v>113</v>
      </c>
      <c r="P143" t="s">
        <v>114</v>
      </c>
      <c r="Q143">
        <v>120.31647525462181</v>
      </c>
      <c r="R143" t="s">
        <v>60</v>
      </c>
      <c r="S143" t="s">
        <v>66</v>
      </c>
      <c r="V143" t="s">
        <v>118</v>
      </c>
      <c r="AB143" t="s">
        <v>51</v>
      </c>
      <c r="AI143">
        <v>2473.587337560627</v>
      </c>
      <c r="AJ143">
        <v>486905.44822454231</v>
      </c>
    </row>
    <row r="144" spans="1:36" x14ac:dyDescent="0.25">
      <c r="A144">
        <v>147</v>
      </c>
      <c r="C144" t="s">
        <v>149</v>
      </c>
      <c r="E144" t="s">
        <v>37</v>
      </c>
      <c r="G144" s="2">
        <v>45819</v>
      </c>
      <c r="I144" t="s">
        <v>72</v>
      </c>
      <c r="J144" t="s">
        <v>150</v>
      </c>
      <c r="K144" t="s">
        <v>151</v>
      </c>
      <c r="L144" t="s">
        <v>152</v>
      </c>
      <c r="M144" t="s">
        <v>149</v>
      </c>
      <c r="O144" t="s">
        <v>81</v>
      </c>
      <c r="P144" t="s">
        <v>82</v>
      </c>
      <c r="Q144">
        <v>119.0500545990988</v>
      </c>
      <c r="R144" t="s">
        <v>60</v>
      </c>
      <c r="S144" t="s">
        <v>66</v>
      </c>
      <c r="V144" t="s">
        <v>118</v>
      </c>
      <c r="AB144" t="s">
        <v>51</v>
      </c>
      <c r="AI144">
        <v>2460.5347235897411</v>
      </c>
      <c r="AJ144">
        <v>481780.40516112722</v>
      </c>
    </row>
    <row r="145" spans="1:36" x14ac:dyDescent="0.25">
      <c r="A145">
        <v>148</v>
      </c>
      <c r="C145" t="s">
        <v>149</v>
      </c>
      <c r="E145" t="s">
        <v>37</v>
      </c>
      <c r="G145" s="2">
        <v>45819</v>
      </c>
      <c r="I145" t="s">
        <v>72</v>
      </c>
      <c r="J145" t="s">
        <v>150</v>
      </c>
      <c r="K145" t="s">
        <v>151</v>
      </c>
      <c r="L145" t="s">
        <v>152</v>
      </c>
      <c r="M145" t="s">
        <v>149</v>
      </c>
      <c r="O145" t="s">
        <v>44</v>
      </c>
      <c r="P145" t="s">
        <v>45</v>
      </c>
      <c r="Q145">
        <v>125.7233659679659</v>
      </c>
      <c r="R145" t="s">
        <v>60</v>
      </c>
      <c r="S145" t="s">
        <v>66</v>
      </c>
      <c r="V145" t="s">
        <v>64</v>
      </c>
      <c r="AB145" t="s">
        <v>51</v>
      </c>
      <c r="AI145">
        <v>2528.5567120337701</v>
      </c>
      <c r="AJ145">
        <v>508786.44615695789</v>
      </c>
    </row>
    <row r="146" spans="1:36" x14ac:dyDescent="0.25">
      <c r="A146">
        <v>149</v>
      </c>
      <c r="C146" t="s">
        <v>149</v>
      </c>
      <c r="E146" t="s">
        <v>37</v>
      </c>
      <c r="G146" s="2">
        <v>45819</v>
      </c>
      <c r="I146" t="s">
        <v>72</v>
      </c>
      <c r="J146" t="s">
        <v>150</v>
      </c>
      <c r="K146" t="s">
        <v>151</v>
      </c>
      <c r="L146" t="s">
        <v>152</v>
      </c>
      <c r="M146" t="s">
        <v>149</v>
      </c>
      <c r="O146" t="s">
        <v>113</v>
      </c>
      <c r="P146" t="s">
        <v>114</v>
      </c>
      <c r="Q146">
        <v>43.343795642506777</v>
      </c>
      <c r="R146" t="s">
        <v>60</v>
      </c>
      <c r="S146" t="s">
        <v>66</v>
      </c>
      <c r="V146" t="s">
        <v>73</v>
      </c>
      <c r="AB146" t="s">
        <v>51</v>
      </c>
      <c r="AI146">
        <v>1484.663968979695</v>
      </c>
      <c r="AJ146">
        <v>175406.8193936476</v>
      </c>
    </row>
    <row r="147" spans="1:36" x14ac:dyDescent="0.25">
      <c r="A147">
        <v>150</v>
      </c>
      <c r="B147" t="s">
        <v>242</v>
      </c>
      <c r="C147" t="s">
        <v>149</v>
      </c>
      <c r="E147" t="s">
        <v>37</v>
      </c>
      <c r="G147" s="2">
        <v>45819</v>
      </c>
      <c r="H147">
        <v>0</v>
      </c>
      <c r="I147" t="s">
        <v>72</v>
      </c>
      <c r="J147" t="s">
        <v>150</v>
      </c>
      <c r="K147" t="s">
        <v>151</v>
      </c>
      <c r="L147" t="s">
        <v>152</v>
      </c>
      <c r="M147" t="s">
        <v>149</v>
      </c>
      <c r="O147" t="s">
        <v>129</v>
      </c>
      <c r="P147" t="s">
        <v>130</v>
      </c>
      <c r="Q147">
        <v>0.26217608318449948</v>
      </c>
      <c r="R147" t="s">
        <v>73</v>
      </c>
      <c r="S147" t="s">
        <v>74</v>
      </c>
      <c r="T147" t="s">
        <v>57</v>
      </c>
      <c r="V147" t="s">
        <v>61</v>
      </c>
      <c r="X147" t="s">
        <v>243</v>
      </c>
      <c r="AB147" t="s">
        <v>51</v>
      </c>
      <c r="AC147" t="s">
        <v>244</v>
      </c>
      <c r="AD147" t="s">
        <v>245</v>
      </c>
      <c r="AI147">
        <v>130.32283613073429</v>
      </c>
      <c r="AJ147">
        <v>1060.993210003465</v>
      </c>
    </row>
    <row r="148" spans="1:36" x14ac:dyDescent="0.25">
      <c r="A148">
        <v>151</v>
      </c>
      <c r="B148" t="s">
        <v>333</v>
      </c>
      <c r="C148" t="s">
        <v>149</v>
      </c>
      <c r="E148" t="s">
        <v>37</v>
      </c>
      <c r="G148" s="2">
        <v>45819</v>
      </c>
      <c r="H148">
        <v>0</v>
      </c>
      <c r="I148" t="s">
        <v>72</v>
      </c>
      <c r="J148" t="s">
        <v>150</v>
      </c>
      <c r="K148" t="s">
        <v>151</v>
      </c>
      <c r="L148" t="s">
        <v>152</v>
      </c>
      <c r="M148" t="s">
        <v>149</v>
      </c>
      <c r="O148" t="s">
        <v>62</v>
      </c>
      <c r="P148" t="s">
        <v>63</v>
      </c>
      <c r="Q148">
        <v>17.783873842745049</v>
      </c>
      <c r="R148" t="s">
        <v>64</v>
      </c>
      <c r="S148" t="s">
        <v>65</v>
      </c>
      <c r="T148" t="s">
        <v>57</v>
      </c>
      <c r="V148" t="s">
        <v>110</v>
      </c>
      <c r="X148" t="s">
        <v>325</v>
      </c>
      <c r="AB148" t="s">
        <v>51</v>
      </c>
      <c r="AC148" t="s">
        <v>326</v>
      </c>
      <c r="AD148" t="s">
        <v>260</v>
      </c>
      <c r="AI148">
        <v>1127.811175331198</v>
      </c>
      <c r="AJ148">
        <v>71969.071951664111</v>
      </c>
    </row>
    <row r="149" spans="1:36" x14ac:dyDescent="0.25">
      <c r="A149">
        <v>152</v>
      </c>
      <c r="C149" t="s">
        <v>149</v>
      </c>
      <c r="E149" t="s">
        <v>37</v>
      </c>
      <c r="G149" s="2">
        <v>45819</v>
      </c>
      <c r="I149" t="s">
        <v>72</v>
      </c>
      <c r="J149" t="s">
        <v>150</v>
      </c>
      <c r="K149" t="s">
        <v>151</v>
      </c>
      <c r="L149" t="s">
        <v>152</v>
      </c>
      <c r="M149" t="s">
        <v>149</v>
      </c>
      <c r="O149" t="s">
        <v>62</v>
      </c>
      <c r="P149" t="s">
        <v>63</v>
      </c>
      <c r="Q149">
        <v>58.341181438930597</v>
      </c>
      <c r="R149" t="s">
        <v>64</v>
      </c>
      <c r="S149" t="s">
        <v>65</v>
      </c>
      <c r="V149" t="s">
        <v>110</v>
      </c>
      <c r="AB149" t="s">
        <v>51</v>
      </c>
      <c r="AI149">
        <v>1992.153309599254</v>
      </c>
      <c r="AJ149">
        <v>236099.32919291241</v>
      </c>
    </row>
    <row r="150" spans="1:36" x14ac:dyDescent="0.25">
      <c r="A150">
        <v>153</v>
      </c>
      <c r="B150" t="s">
        <v>354</v>
      </c>
      <c r="C150" t="s">
        <v>149</v>
      </c>
      <c r="E150" t="s">
        <v>37</v>
      </c>
      <c r="G150" s="2">
        <v>45819</v>
      </c>
      <c r="H150">
        <v>0</v>
      </c>
      <c r="I150" t="s">
        <v>72</v>
      </c>
      <c r="J150" t="s">
        <v>150</v>
      </c>
      <c r="K150" t="s">
        <v>151</v>
      </c>
      <c r="L150" t="s">
        <v>152</v>
      </c>
      <c r="M150" t="s">
        <v>149</v>
      </c>
      <c r="O150" t="s">
        <v>62</v>
      </c>
      <c r="P150" t="s">
        <v>63</v>
      </c>
      <c r="Q150">
        <v>96.042738308678693</v>
      </c>
      <c r="R150" t="s">
        <v>64</v>
      </c>
      <c r="S150" t="s">
        <v>65</v>
      </c>
      <c r="V150" t="s">
        <v>75</v>
      </c>
      <c r="X150" t="s">
        <v>355</v>
      </c>
      <c r="AB150" t="s">
        <v>51</v>
      </c>
      <c r="AC150" t="s">
        <v>231</v>
      </c>
      <c r="AD150" t="s">
        <v>224</v>
      </c>
      <c r="AI150">
        <v>3584.2217398211228</v>
      </c>
      <c r="AJ150">
        <v>388672.7270387123</v>
      </c>
    </row>
    <row r="151" spans="1:36" x14ac:dyDescent="0.25">
      <c r="A151">
        <v>154</v>
      </c>
      <c r="B151" t="s">
        <v>356</v>
      </c>
      <c r="C151" t="s">
        <v>149</v>
      </c>
      <c r="E151" t="s">
        <v>37</v>
      </c>
      <c r="G151" s="2">
        <v>45819</v>
      </c>
      <c r="H151">
        <v>0</v>
      </c>
      <c r="I151" t="s">
        <v>72</v>
      </c>
      <c r="J151" t="s">
        <v>150</v>
      </c>
      <c r="K151" t="s">
        <v>151</v>
      </c>
      <c r="L151" t="s">
        <v>152</v>
      </c>
      <c r="M151" t="s">
        <v>149</v>
      </c>
      <c r="O151" t="s">
        <v>141</v>
      </c>
      <c r="P151" t="s">
        <v>142</v>
      </c>
      <c r="Q151">
        <v>0.54272128621168836</v>
      </c>
      <c r="S151" t="s">
        <v>38</v>
      </c>
      <c r="T151" t="s">
        <v>57</v>
      </c>
      <c r="V151" t="s">
        <v>75</v>
      </c>
      <c r="X151" t="s">
        <v>357</v>
      </c>
      <c r="AB151" t="s">
        <v>51</v>
      </c>
      <c r="AC151" t="s">
        <v>231</v>
      </c>
      <c r="AD151" t="s">
        <v>236</v>
      </c>
      <c r="AI151">
        <v>191.3805665747154</v>
      </c>
      <c r="AJ151">
        <v>2196.323907965806</v>
      </c>
    </row>
    <row r="152" spans="1:36" x14ac:dyDescent="0.25">
      <c r="A152">
        <v>155</v>
      </c>
      <c r="B152" t="s">
        <v>358</v>
      </c>
      <c r="C152" t="s">
        <v>149</v>
      </c>
      <c r="E152" t="s">
        <v>37</v>
      </c>
      <c r="G152" s="2">
        <v>45819</v>
      </c>
      <c r="H152">
        <v>0</v>
      </c>
      <c r="I152" t="s">
        <v>72</v>
      </c>
      <c r="J152" t="s">
        <v>150</v>
      </c>
      <c r="K152" t="s">
        <v>151</v>
      </c>
      <c r="L152" t="s">
        <v>152</v>
      </c>
      <c r="M152" t="s">
        <v>149</v>
      </c>
      <c r="O152" t="s">
        <v>62</v>
      </c>
      <c r="P152" t="s">
        <v>63</v>
      </c>
      <c r="Q152">
        <v>16.7089147165821</v>
      </c>
      <c r="R152" t="s">
        <v>64</v>
      </c>
      <c r="S152" t="s">
        <v>65</v>
      </c>
      <c r="T152" t="s">
        <v>57</v>
      </c>
      <c r="V152" t="s">
        <v>118</v>
      </c>
      <c r="X152" t="s">
        <v>359</v>
      </c>
      <c r="AB152" t="s">
        <v>51</v>
      </c>
      <c r="AC152" t="s">
        <v>289</v>
      </c>
      <c r="AD152" t="s">
        <v>317</v>
      </c>
      <c r="AI152">
        <v>2050.257968024338</v>
      </c>
      <c r="AJ152">
        <v>67618.849307260884</v>
      </c>
    </row>
    <row r="153" spans="1:36" x14ac:dyDescent="0.25">
      <c r="A153">
        <v>156</v>
      </c>
      <c r="B153" t="s">
        <v>360</v>
      </c>
      <c r="C153" t="s">
        <v>149</v>
      </c>
      <c r="E153" t="s">
        <v>37</v>
      </c>
      <c r="G153" s="2">
        <v>45819</v>
      </c>
      <c r="H153">
        <v>0</v>
      </c>
      <c r="I153" t="s">
        <v>72</v>
      </c>
      <c r="J153" t="s">
        <v>150</v>
      </c>
      <c r="K153" t="s">
        <v>151</v>
      </c>
      <c r="L153" t="s">
        <v>152</v>
      </c>
      <c r="M153" t="s">
        <v>149</v>
      </c>
      <c r="O153" t="s">
        <v>62</v>
      </c>
      <c r="P153" t="s">
        <v>63</v>
      </c>
      <c r="Q153">
        <v>3.9513318419625798</v>
      </c>
      <c r="R153" t="s">
        <v>64</v>
      </c>
      <c r="S153" t="s">
        <v>65</v>
      </c>
      <c r="T153" t="s">
        <v>57</v>
      </c>
      <c r="V153" t="s">
        <v>118</v>
      </c>
      <c r="X153" t="s">
        <v>359</v>
      </c>
      <c r="AB153" t="s">
        <v>51</v>
      </c>
      <c r="AC153" t="s">
        <v>289</v>
      </c>
      <c r="AD153" t="s">
        <v>317</v>
      </c>
      <c r="AI153">
        <v>1293.5740835822189</v>
      </c>
      <c r="AJ153">
        <v>15990.536603762341</v>
      </c>
    </row>
    <row r="154" spans="1:36" x14ac:dyDescent="0.25">
      <c r="A154">
        <v>157</v>
      </c>
      <c r="B154" t="s">
        <v>361</v>
      </c>
      <c r="C154" t="s">
        <v>149</v>
      </c>
      <c r="E154" t="s">
        <v>37</v>
      </c>
      <c r="G154" s="2">
        <v>45819</v>
      </c>
      <c r="H154">
        <v>0</v>
      </c>
      <c r="I154" t="s">
        <v>72</v>
      </c>
      <c r="J154" t="s">
        <v>150</v>
      </c>
      <c r="K154" t="s">
        <v>151</v>
      </c>
      <c r="L154" t="s">
        <v>152</v>
      </c>
      <c r="M154" t="s">
        <v>149</v>
      </c>
      <c r="O154" t="s">
        <v>62</v>
      </c>
      <c r="P154" t="s">
        <v>63</v>
      </c>
      <c r="Q154">
        <v>19.671440363165569</v>
      </c>
      <c r="R154" t="s">
        <v>64</v>
      </c>
      <c r="S154" t="s">
        <v>65</v>
      </c>
      <c r="T154" t="s">
        <v>57</v>
      </c>
      <c r="V154" t="s">
        <v>118</v>
      </c>
      <c r="X154" t="s">
        <v>359</v>
      </c>
      <c r="AB154" t="s">
        <v>51</v>
      </c>
      <c r="AC154" t="s">
        <v>289</v>
      </c>
      <c r="AD154" t="s">
        <v>317</v>
      </c>
      <c r="AI154">
        <v>2339.3026384064501</v>
      </c>
      <c r="AJ154">
        <v>79607.813202469537</v>
      </c>
    </row>
    <row r="155" spans="1:36" x14ac:dyDescent="0.25">
      <c r="A155">
        <v>158</v>
      </c>
      <c r="B155" t="s">
        <v>362</v>
      </c>
      <c r="C155" t="s">
        <v>149</v>
      </c>
      <c r="E155" t="s">
        <v>37</v>
      </c>
      <c r="G155" s="2">
        <v>45819</v>
      </c>
      <c r="H155">
        <v>0</v>
      </c>
      <c r="I155" t="s">
        <v>72</v>
      </c>
      <c r="J155" t="s">
        <v>150</v>
      </c>
      <c r="K155" t="s">
        <v>151</v>
      </c>
      <c r="L155" t="s">
        <v>152</v>
      </c>
      <c r="M155" t="s">
        <v>149</v>
      </c>
      <c r="O155" t="s">
        <v>141</v>
      </c>
      <c r="P155" t="s">
        <v>142</v>
      </c>
      <c r="Q155">
        <v>0.94006741240727953</v>
      </c>
      <c r="S155" t="s">
        <v>38</v>
      </c>
      <c r="T155" t="s">
        <v>57</v>
      </c>
      <c r="V155" t="s">
        <v>118</v>
      </c>
      <c r="X155" t="s">
        <v>363</v>
      </c>
      <c r="AB155" t="s">
        <v>51</v>
      </c>
      <c r="AC155" t="s">
        <v>57</v>
      </c>
      <c r="AD155" t="s">
        <v>317</v>
      </c>
      <c r="AI155">
        <v>246.32519606356979</v>
      </c>
      <c r="AJ155">
        <v>3804.333062706382</v>
      </c>
    </row>
    <row r="156" spans="1:36" x14ac:dyDescent="0.25">
      <c r="A156">
        <v>159</v>
      </c>
      <c r="C156" t="s">
        <v>149</v>
      </c>
      <c r="E156" t="s">
        <v>37</v>
      </c>
      <c r="G156" s="2">
        <v>45819</v>
      </c>
      <c r="I156" t="s">
        <v>72</v>
      </c>
      <c r="J156" t="s">
        <v>150</v>
      </c>
      <c r="K156" t="s">
        <v>151</v>
      </c>
      <c r="L156" t="s">
        <v>152</v>
      </c>
      <c r="M156" t="s">
        <v>149</v>
      </c>
      <c r="O156" t="s">
        <v>55</v>
      </c>
      <c r="P156" t="s">
        <v>56</v>
      </c>
      <c r="Q156">
        <v>114.22295469882761</v>
      </c>
      <c r="R156" t="s">
        <v>60</v>
      </c>
      <c r="S156" t="s">
        <v>66</v>
      </c>
      <c r="V156" t="s">
        <v>118</v>
      </c>
      <c r="AB156" t="s">
        <v>51</v>
      </c>
      <c r="AI156">
        <v>2410.1351350223599</v>
      </c>
      <c r="AJ156">
        <v>462245.7467895929</v>
      </c>
    </row>
    <row r="157" spans="1:36" x14ac:dyDescent="0.25">
      <c r="A157">
        <v>160</v>
      </c>
      <c r="B157" t="s">
        <v>364</v>
      </c>
      <c r="C157" t="s">
        <v>149</v>
      </c>
      <c r="E157" t="s">
        <v>37</v>
      </c>
      <c r="G157" s="2">
        <v>45819</v>
      </c>
      <c r="H157">
        <v>0</v>
      </c>
      <c r="I157" t="s">
        <v>72</v>
      </c>
      <c r="J157" t="s">
        <v>150</v>
      </c>
      <c r="K157" t="s">
        <v>151</v>
      </c>
      <c r="L157" t="s">
        <v>152</v>
      </c>
      <c r="M157" t="s">
        <v>149</v>
      </c>
      <c r="O157" t="s">
        <v>141</v>
      </c>
      <c r="P157" t="s">
        <v>142</v>
      </c>
      <c r="Q157">
        <v>0.93585829260535514</v>
      </c>
      <c r="S157" t="s">
        <v>38</v>
      </c>
      <c r="T157" t="s">
        <v>365</v>
      </c>
      <c r="V157" t="s">
        <v>118</v>
      </c>
      <c r="X157" t="s">
        <v>57</v>
      </c>
      <c r="AB157" t="s">
        <v>51</v>
      </c>
      <c r="AC157" t="s">
        <v>57</v>
      </c>
      <c r="AD157" t="s">
        <v>159</v>
      </c>
      <c r="AI157">
        <v>236.0163239690408</v>
      </c>
      <c r="AJ157">
        <v>3787.2992910682951</v>
      </c>
    </row>
    <row r="158" spans="1:36" x14ac:dyDescent="0.25">
      <c r="A158">
        <v>161</v>
      </c>
      <c r="B158" t="s">
        <v>366</v>
      </c>
      <c r="C158" t="s">
        <v>149</v>
      </c>
      <c r="E158" t="s">
        <v>37</v>
      </c>
      <c r="G158" s="2">
        <v>45819</v>
      </c>
      <c r="H158">
        <v>0</v>
      </c>
      <c r="I158" t="s">
        <v>72</v>
      </c>
      <c r="J158" t="s">
        <v>150</v>
      </c>
      <c r="K158" t="s">
        <v>151</v>
      </c>
      <c r="L158" t="s">
        <v>152</v>
      </c>
      <c r="M158" t="s">
        <v>149</v>
      </c>
      <c r="O158" t="s">
        <v>62</v>
      </c>
      <c r="P158" t="s">
        <v>63</v>
      </c>
      <c r="Q158">
        <v>20.841462467946581</v>
      </c>
      <c r="R158" t="s">
        <v>64</v>
      </c>
      <c r="S158" t="s">
        <v>65</v>
      </c>
      <c r="T158" t="s">
        <v>57</v>
      </c>
      <c r="V158" t="s">
        <v>118</v>
      </c>
      <c r="X158" t="s">
        <v>367</v>
      </c>
      <c r="AB158" t="s">
        <v>51</v>
      </c>
      <c r="AC158" t="s">
        <v>57</v>
      </c>
      <c r="AD158" t="s">
        <v>224</v>
      </c>
      <c r="AI158">
        <v>1273.7781556497971</v>
      </c>
      <c r="AJ158">
        <v>84342.743611255224</v>
      </c>
    </row>
    <row r="159" spans="1:36" x14ac:dyDescent="0.25">
      <c r="A159">
        <v>162</v>
      </c>
      <c r="B159" t="s">
        <v>368</v>
      </c>
      <c r="C159" t="s">
        <v>149</v>
      </c>
      <c r="E159" t="s">
        <v>37</v>
      </c>
      <c r="G159" s="2">
        <v>45819</v>
      </c>
      <c r="H159">
        <v>0</v>
      </c>
      <c r="I159" t="s">
        <v>72</v>
      </c>
      <c r="J159" t="s">
        <v>150</v>
      </c>
      <c r="K159" t="s">
        <v>151</v>
      </c>
      <c r="L159" t="s">
        <v>152</v>
      </c>
      <c r="M159" t="s">
        <v>149</v>
      </c>
      <c r="O159" t="s">
        <v>141</v>
      </c>
      <c r="P159" t="s">
        <v>142</v>
      </c>
      <c r="Q159">
        <v>1.0120035695106731</v>
      </c>
      <c r="S159" t="s">
        <v>38</v>
      </c>
      <c r="T159" t="s">
        <v>369</v>
      </c>
      <c r="V159" t="s">
        <v>118</v>
      </c>
      <c r="X159" t="s">
        <v>367</v>
      </c>
      <c r="AB159" t="s">
        <v>51</v>
      </c>
      <c r="AC159" t="s">
        <v>57</v>
      </c>
      <c r="AD159" t="s">
        <v>224</v>
      </c>
      <c r="AI159">
        <v>241.05685792928321</v>
      </c>
      <c r="AJ159">
        <v>4095.4495265477181</v>
      </c>
    </row>
    <row r="160" spans="1:36" x14ac:dyDescent="0.25">
      <c r="A160">
        <v>163</v>
      </c>
      <c r="B160" t="s">
        <v>370</v>
      </c>
      <c r="C160" t="s">
        <v>149</v>
      </c>
      <c r="E160" t="s">
        <v>37</v>
      </c>
      <c r="G160" s="2">
        <v>45819</v>
      </c>
      <c r="H160">
        <v>0</v>
      </c>
      <c r="I160" t="s">
        <v>72</v>
      </c>
      <c r="J160" t="s">
        <v>150</v>
      </c>
      <c r="K160" t="s">
        <v>151</v>
      </c>
      <c r="L160" t="s">
        <v>152</v>
      </c>
      <c r="M160" t="s">
        <v>149</v>
      </c>
      <c r="O160" t="s">
        <v>62</v>
      </c>
      <c r="P160" t="s">
        <v>63</v>
      </c>
      <c r="Q160">
        <v>11.14583213755974</v>
      </c>
      <c r="R160" t="s">
        <v>64</v>
      </c>
      <c r="S160" t="s">
        <v>65</v>
      </c>
      <c r="T160" t="s">
        <v>57</v>
      </c>
      <c r="V160" t="s">
        <v>118</v>
      </c>
      <c r="X160" t="s">
        <v>367</v>
      </c>
      <c r="AB160" t="s">
        <v>51</v>
      </c>
      <c r="AC160" t="s">
        <v>57</v>
      </c>
      <c r="AD160" t="s">
        <v>224</v>
      </c>
      <c r="AI160">
        <v>1538.3250280425809</v>
      </c>
      <c r="AJ160">
        <v>45105.762791746703</v>
      </c>
    </row>
    <row r="161" spans="1:36" x14ac:dyDescent="0.25">
      <c r="A161">
        <v>164</v>
      </c>
      <c r="B161" t="s">
        <v>371</v>
      </c>
      <c r="C161" t="s">
        <v>149</v>
      </c>
      <c r="E161" t="s">
        <v>37</v>
      </c>
      <c r="G161" s="2">
        <v>45819</v>
      </c>
      <c r="H161">
        <v>0</v>
      </c>
      <c r="I161" t="s">
        <v>72</v>
      </c>
      <c r="J161" t="s">
        <v>150</v>
      </c>
      <c r="K161" t="s">
        <v>151</v>
      </c>
      <c r="L161" t="s">
        <v>152</v>
      </c>
      <c r="M161" t="s">
        <v>149</v>
      </c>
      <c r="O161" t="s">
        <v>62</v>
      </c>
      <c r="P161" t="s">
        <v>63</v>
      </c>
      <c r="Q161">
        <v>0.33275798291997999</v>
      </c>
      <c r="R161" t="s">
        <v>64</v>
      </c>
      <c r="S161" t="s">
        <v>65</v>
      </c>
      <c r="T161" t="s">
        <v>372</v>
      </c>
      <c r="V161" t="s">
        <v>118</v>
      </c>
      <c r="X161" t="s">
        <v>57</v>
      </c>
      <c r="AB161" t="s">
        <v>51</v>
      </c>
      <c r="AC161" t="s">
        <v>57</v>
      </c>
      <c r="AD161" t="s">
        <v>159</v>
      </c>
      <c r="AI161">
        <v>225.5316623922653</v>
      </c>
      <c r="AJ161">
        <v>1346.629166795871</v>
      </c>
    </row>
    <row r="162" spans="1:36" x14ac:dyDescent="0.25">
      <c r="A162">
        <v>165</v>
      </c>
      <c r="B162" t="s">
        <v>373</v>
      </c>
      <c r="C162" t="s">
        <v>149</v>
      </c>
      <c r="E162" t="s">
        <v>37</v>
      </c>
      <c r="G162" s="2">
        <v>45819</v>
      </c>
      <c r="H162">
        <v>0</v>
      </c>
      <c r="I162" t="s">
        <v>72</v>
      </c>
      <c r="J162" t="s">
        <v>150</v>
      </c>
      <c r="K162" t="s">
        <v>151</v>
      </c>
      <c r="L162" t="s">
        <v>152</v>
      </c>
      <c r="M162" t="s">
        <v>149</v>
      </c>
      <c r="O162" t="s">
        <v>62</v>
      </c>
      <c r="P162" t="s">
        <v>63</v>
      </c>
      <c r="Q162">
        <v>4.9123540804737624</v>
      </c>
      <c r="R162" t="s">
        <v>64</v>
      </c>
      <c r="S162" t="s">
        <v>65</v>
      </c>
      <c r="T162" t="s">
        <v>57</v>
      </c>
      <c r="V162" t="s">
        <v>118</v>
      </c>
      <c r="X162" t="s">
        <v>367</v>
      </c>
      <c r="AB162" t="s">
        <v>51</v>
      </c>
      <c r="AC162" t="s">
        <v>57</v>
      </c>
      <c r="AD162" t="s">
        <v>224</v>
      </c>
      <c r="AI162">
        <v>603.14559739313313</v>
      </c>
      <c r="AJ162">
        <v>19879.671178273289</v>
      </c>
    </row>
    <row r="163" spans="1:36" x14ac:dyDescent="0.25">
      <c r="A163">
        <v>166</v>
      </c>
      <c r="B163" t="s">
        <v>366</v>
      </c>
      <c r="C163" t="s">
        <v>149</v>
      </c>
      <c r="E163" t="s">
        <v>37</v>
      </c>
      <c r="G163" s="2">
        <v>45819</v>
      </c>
      <c r="H163">
        <v>0</v>
      </c>
      <c r="I163" t="s">
        <v>72</v>
      </c>
      <c r="J163" t="s">
        <v>150</v>
      </c>
      <c r="K163" t="s">
        <v>151</v>
      </c>
      <c r="L163" t="s">
        <v>152</v>
      </c>
      <c r="M163" t="s">
        <v>149</v>
      </c>
      <c r="O163" t="s">
        <v>62</v>
      </c>
      <c r="P163" t="s">
        <v>63</v>
      </c>
      <c r="Q163">
        <v>7.481077524907743</v>
      </c>
      <c r="R163" t="s">
        <v>64</v>
      </c>
      <c r="S163" t="s">
        <v>65</v>
      </c>
      <c r="T163" t="s">
        <v>57</v>
      </c>
      <c r="V163" t="s">
        <v>118</v>
      </c>
      <c r="X163" t="s">
        <v>367</v>
      </c>
      <c r="AB163" t="s">
        <v>51</v>
      </c>
      <c r="AC163" t="s">
        <v>57</v>
      </c>
      <c r="AD163" t="s">
        <v>224</v>
      </c>
      <c r="AI163">
        <v>1267.9890550211919</v>
      </c>
      <c r="AJ163">
        <v>30274.967727895011</v>
      </c>
    </row>
    <row r="164" spans="1:36" x14ac:dyDescent="0.25">
      <c r="A164">
        <v>167</v>
      </c>
      <c r="B164" t="s">
        <v>374</v>
      </c>
      <c r="C164" t="s">
        <v>149</v>
      </c>
      <c r="E164" t="s">
        <v>37</v>
      </c>
      <c r="G164" s="2">
        <v>45819</v>
      </c>
      <c r="H164">
        <v>0</v>
      </c>
      <c r="I164" t="s">
        <v>72</v>
      </c>
      <c r="J164" t="s">
        <v>150</v>
      </c>
      <c r="K164" t="s">
        <v>151</v>
      </c>
      <c r="L164" t="s">
        <v>152</v>
      </c>
      <c r="M164" t="s">
        <v>149</v>
      </c>
      <c r="O164" t="s">
        <v>62</v>
      </c>
      <c r="P164" t="s">
        <v>63</v>
      </c>
      <c r="Q164">
        <v>2.9104535763429018</v>
      </c>
      <c r="R164" t="s">
        <v>64</v>
      </c>
      <c r="S164" t="s">
        <v>65</v>
      </c>
      <c r="T164" t="s">
        <v>57</v>
      </c>
      <c r="V164" t="s">
        <v>118</v>
      </c>
      <c r="X164" t="s">
        <v>367</v>
      </c>
      <c r="AB164" t="s">
        <v>51</v>
      </c>
      <c r="AC164" t="s">
        <v>57</v>
      </c>
      <c r="AD164" t="s">
        <v>224</v>
      </c>
      <c r="AI164">
        <v>487.55597095204092</v>
      </c>
      <c r="AJ164">
        <v>11778.234860412649</v>
      </c>
    </row>
    <row r="165" spans="1:36" x14ac:dyDescent="0.25">
      <c r="A165">
        <v>168</v>
      </c>
      <c r="C165" t="s">
        <v>149</v>
      </c>
      <c r="E165" t="s">
        <v>37</v>
      </c>
      <c r="G165" s="2">
        <v>45819</v>
      </c>
      <c r="I165" t="s">
        <v>72</v>
      </c>
      <c r="J165" t="s">
        <v>150</v>
      </c>
      <c r="K165" t="s">
        <v>151</v>
      </c>
      <c r="L165" t="s">
        <v>152</v>
      </c>
      <c r="M165" t="s">
        <v>149</v>
      </c>
      <c r="O165" t="s">
        <v>62</v>
      </c>
      <c r="P165" t="s">
        <v>63</v>
      </c>
      <c r="Q165">
        <v>57.493438590893383</v>
      </c>
      <c r="R165" t="s">
        <v>64</v>
      </c>
      <c r="S165" t="s">
        <v>65</v>
      </c>
      <c r="V165" t="s">
        <v>110</v>
      </c>
      <c r="AB165" t="s">
        <v>51</v>
      </c>
      <c r="AI165">
        <v>2007.395993559438</v>
      </c>
      <c r="AJ165">
        <v>232668.62188097369</v>
      </c>
    </row>
    <row r="166" spans="1:36" x14ac:dyDescent="0.25">
      <c r="A166">
        <v>169</v>
      </c>
      <c r="C166" t="s">
        <v>149</v>
      </c>
      <c r="E166" t="s">
        <v>37</v>
      </c>
      <c r="G166" s="2">
        <v>45819</v>
      </c>
      <c r="I166" t="s">
        <v>72</v>
      </c>
      <c r="J166" t="s">
        <v>150</v>
      </c>
      <c r="K166" t="s">
        <v>151</v>
      </c>
      <c r="L166" t="s">
        <v>152</v>
      </c>
      <c r="M166" t="s">
        <v>149</v>
      </c>
      <c r="O166" t="s">
        <v>55</v>
      </c>
      <c r="P166" t="s">
        <v>56</v>
      </c>
      <c r="Q166">
        <v>35.320374616818967</v>
      </c>
      <c r="R166" t="s">
        <v>60</v>
      </c>
      <c r="S166" t="s">
        <v>66</v>
      </c>
      <c r="V166" t="s">
        <v>64</v>
      </c>
      <c r="AB166" t="s">
        <v>51</v>
      </c>
      <c r="AI166">
        <v>1550.9881248334079</v>
      </c>
      <c r="AJ166">
        <v>142937.05660730251</v>
      </c>
    </row>
    <row r="167" spans="1:36" x14ac:dyDescent="0.25">
      <c r="A167">
        <v>170</v>
      </c>
      <c r="C167" t="s">
        <v>149</v>
      </c>
      <c r="E167" t="s">
        <v>37</v>
      </c>
      <c r="G167" s="2">
        <v>45819</v>
      </c>
      <c r="I167" t="s">
        <v>72</v>
      </c>
      <c r="J167" t="s">
        <v>150</v>
      </c>
      <c r="K167" t="s">
        <v>151</v>
      </c>
      <c r="L167" t="s">
        <v>152</v>
      </c>
      <c r="M167" t="s">
        <v>149</v>
      </c>
      <c r="O167" t="s">
        <v>62</v>
      </c>
      <c r="P167" t="s">
        <v>63</v>
      </c>
      <c r="Q167">
        <v>57.979418977397387</v>
      </c>
      <c r="R167" t="s">
        <v>64</v>
      </c>
      <c r="S167" t="s">
        <v>65</v>
      </c>
      <c r="V167" t="s">
        <v>110</v>
      </c>
      <c r="AB167" t="s">
        <v>51</v>
      </c>
      <c r="AI167">
        <v>1988.371229252404</v>
      </c>
      <c r="AJ167">
        <v>234635.32259605289</v>
      </c>
    </row>
    <row r="168" spans="1:36" x14ac:dyDescent="0.25">
      <c r="A168">
        <v>171</v>
      </c>
      <c r="B168" t="s">
        <v>366</v>
      </c>
      <c r="C168" t="s">
        <v>149</v>
      </c>
      <c r="E168" t="s">
        <v>37</v>
      </c>
      <c r="G168" s="2">
        <v>45819</v>
      </c>
      <c r="H168">
        <v>0</v>
      </c>
      <c r="I168" t="s">
        <v>72</v>
      </c>
      <c r="J168" t="s">
        <v>150</v>
      </c>
      <c r="K168" t="s">
        <v>151</v>
      </c>
      <c r="L168" t="s">
        <v>152</v>
      </c>
      <c r="M168" t="s">
        <v>149</v>
      </c>
      <c r="O168" t="s">
        <v>62</v>
      </c>
      <c r="P168" t="s">
        <v>63</v>
      </c>
      <c r="Q168">
        <v>26.264402979872521</v>
      </c>
      <c r="R168" t="s">
        <v>64</v>
      </c>
      <c r="S168" t="s">
        <v>65</v>
      </c>
      <c r="T168" t="s">
        <v>57</v>
      </c>
      <c r="V168" t="s">
        <v>118</v>
      </c>
      <c r="X168" t="s">
        <v>367</v>
      </c>
      <c r="AB168" t="s">
        <v>51</v>
      </c>
      <c r="AC168" t="s">
        <v>57</v>
      </c>
      <c r="AD168" t="s">
        <v>224</v>
      </c>
      <c r="AI168">
        <v>1372.9453073693339</v>
      </c>
      <c r="AJ168">
        <v>106288.6930339458</v>
      </c>
    </row>
    <row r="169" spans="1:36" x14ac:dyDescent="0.25">
      <c r="A169">
        <v>172</v>
      </c>
      <c r="B169" t="s">
        <v>366</v>
      </c>
      <c r="C169" t="s">
        <v>149</v>
      </c>
      <c r="E169" t="s">
        <v>37</v>
      </c>
      <c r="G169" s="2">
        <v>45819</v>
      </c>
      <c r="H169">
        <v>0</v>
      </c>
      <c r="I169" t="s">
        <v>72</v>
      </c>
      <c r="J169" t="s">
        <v>150</v>
      </c>
      <c r="K169" t="s">
        <v>151</v>
      </c>
      <c r="L169" t="s">
        <v>152</v>
      </c>
      <c r="M169" t="s">
        <v>149</v>
      </c>
      <c r="O169" t="s">
        <v>62</v>
      </c>
      <c r="P169" t="s">
        <v>63</v>
      </c>
      <c r="Q169">
        <v>19.6886700869848</v>
      </c>
      <c r="R169" t="s">
        <v>64</v>
      </c>
      <c r="S169" t="s">
        <v>65</v>
      </c>
      <c r="T169" t="s">
        <v>57</v>
      </c>
      <c r="V169" t="s">
        <v>118</v>
      </c>
      <c r="X169" t="s">
        <v>367</v>
      </c>
      <c r="AB169" t="s">
        <v>51</v>
      </c>
      <c r="AC169" t="s">
        <v>57</v>
      </c>
      <c r="AD169" t="s">
        <v>224</v>
      </c>
      <c r="AI169">
        <v>1304.2156821147171</v>
      </c>
      <c r="AJ169">
        <v>79677.539699869303</v>
      </c>
    </row>
    <row r="170" spans="1:36" x14ac:dyDescent="0.25">
      <c r="A170">
        <v>173</v>
      </c>
      <c r="B170" t="s">
        <v>197</v>
      </c>
      <c r="C170" t="s">
        <v>149</v>
      </c>
      <c r="E170" t="s">
        <v>37</v>
      </c>
      <c r="G170" s="2">
        <v>45819</v>
      </c>
      <c r="H170">
        <v>0</v>
      </c>
      <c r="I170" t="s">
        <v>72</v>
      </c>
      <c r="J170" t="s">
        <v>150</v>
      </c>
      <c r="K170" t="s">
        <v>151</v>
      </c>
      <c r="L170" t="s">
        <v>152</v>
      </c>
      <c r="M170" t="s">
        <v>149</v>
      </c>
      <c r="O170" t="s">
        <v>62</v>
      </c>
      <c r="P170" t="s">
        <v>63</v>
      </c>
      <c r="Q170">
        <v>6.8830344081709276</v>
      </c>
      <c r="R170" t="s">
        <v>64</v>
      </c>
      <c r="S170" t="s">
        <v>65</v>
      </c>
      <c r="T170" t="s">
        <v>57</v>
      </c>
      <c r="V170" t="s">
        <v>193</v>
      </c>
      <c r="X170" t="s">
        <v>57</v>
      </c>
      <c r="AB170" t="s">
        <v>51</v>
      </c>
      <c r="AC170" t="s">
        <v>57</v>
      </c>
      <c r="AD170" t="s">
        <v>159</v>
      </c>
      <c r="AI170">
        <v>791.86115456399193</v>
      </c>
      <c r="AJ170">
        <v>27854.76341924896</v>
      </c>
    </row>
    <row r="171" spans="1:36" x14ac:dyDescent="0.25">
      <c r="A171">
        <v>174</v>
      </c>
      <c r="C171" t="s">
        <v>149</v>
      </c>
      <c r="E171" t="s">
        <v>37</v>
      </c>
      <c r="G171" s="2">
        <v>45819</v>
      </c>
      <c r="I171" t="s">
        <v>72</v>
      </c>
      <c r="J171" t="s">
        <v>150</v>
      </c>
      <c r="K171" t="s">
        <v>151</v>
      </c>
      <c r="L171" t="s">
        <v>152</v>
      </c>
      <c r="M171" t="s">
        <v>149</v>
      </c>
      <c r="O171" t="s">
        <v>62</v>
      </c>
      <c r="P171" t="s">
        <v>63</v>
      </c>
      <c r="Q171">
        <v>0.3709989626472987</v>
      </c>
      <c r="R171" t="s">
        <v>64</v>
      </c>
      <c r="S171" t="s">
        <v>65</v>
      </c>
      <c r="V171" t="s">
        <v>193</v>
      </c>
      <c r="AB171" t="s">
        <v>51</v>
      </c>
      <c r="AI171">
        <v>277.63603791352938</v>
      </c>
      <c r="AJ171">
        <v>1501.385540229114</v>
      </c>
    </row>
    <row r="172" spans="1:36" x14ac:dyDescent="0.25">
      <c r="A172">
        <v>178</v>
      </c>
      <c r="C172" t="s">
        <v>149</v>
      </c>
      <c r="E172" t="s">
        <v>37</v>
      </c>
      <c r="G172" s="2">
        <v>45819</v>
      </c>
      <c r="I172" t="s">
        <v>72</v>
      </c>
      <c r="J172" t="s">
        <v>150</v>
      </c>
      <c r="K172" t="s">
        <v>151</v>
      </c>
      <c r="L172" t="s">
        <v>152</v>
      </c>
      <c r="M172" t="s">
        <v>149</v>
      </c>
      <c r="O172" t="s">
        <v>62</v>
      </c>
      <c r="P172" t="s">
        <v>63</v>
      </c>
      <c r="Q172">
        <v>111.8478747620848</v>
      </c>
      <c r="R172" t="s">
        <v>64</v>
      </c>
      <c r="S172" t="s">
        <v>65</v>
      </c>
      <c r="V172" t="s">
        <v>118</v>
      </c>
      <c r="AB172" t="s">
        <v>51</v>
      </c>
      <c r="AD172" t="s">
        <v>236</v>
      </c>
      <c r="AI172">
        <v>2384.9460924609461</v>
      </c>
      <c r="AJ172">
        <v>452634.10084732668</v>
      </c>
    </row>
    <row r="173" spans="1:36" x14ac:dyDescent="0.25">
      <c r="A173">
        <v>180</v>
      </c>
      <c r="C173" t="s">
        <v>149</v>
      </c>
      <c r="E173" t="s">
        <v>37</v>
      </c>
      <c r="G173" s="2">
        <v>45819</v>
      </c>
      <c r="I173" t="s">
        <v>72</v>
      </c>
      <c r="J173" t="s">
        <v>150</v>
      </c>
      <c r="K173" t="s">
        <v>151</v>
      </c>
      <c r="L173" t="s">
        <v>152</v>
      </c>
      <c r="M173" t="s">
        <v>149</v>
      </c>
      <c r="O173" t="s">
        <v>62</v>
      </c>
      <c r="P173" t="s">
        <v>63</v>
      </c>
      <c r="Q173">
        <v>4.955233249735004</v>
      </c>
      <c r="R173" t="s">
        <v>64</v>
      </c>
      <c r="S173" t="s">
        <v>65</v>
      </c>
      <c r="V173" t="s">
        <v>64</v>
      </c>
      <c r="AB173" t="s">
        <v>51</v>
      </c>
      <c r="AI173">
        <v>738.95667429634057</v>
      </c>
      <c r="AJ173">
        <v>20053.19771389076</v>
      </c>
    </row>
    <row r="174" spans="1:36" x14ac:dyDescent="0.25">
      <c r="A174">
        <v>181</v>
      </c>
      <c r="C174" t="s">
        <v>149</v>
      </c>
      <c r="E174" t="s">
        <v>37</v>
      </c>
      <c r="G174" s="2">
        <v>45819</v>
      </c>
      <c r="I174" t="s">
        <v>72</v>
      </c>
      <c r="J174" t="s">
        <v>150</v>
      </c>
      <c r="K174" t="s">
        <v>151</v>
      </c>
      <c r="L174" t="s">
        <v>152</v>
      </c>
      <c r="M174" t="s">
        <v>149</v>
      </c>
      <c r="O174" t="s">
        <v>67</v>
      </c>
      <c r="P174" t="s">
        <v>68</v>
      </c>
      <c r="Q174">
        <v>0.44021573298094202</v>
      </c>
      <c r="R174" t="s">
        <v>73</v>
      </c>
      <c r="S174" t="s">
        <v>74</v>
      </c>
      <c r="V174" t="s">
        <v>86</v>
      </c>
      <c r="AB174" t="s">
        <v>51</v>
      </c>
      <c r="AI174">
        <v>268.50725544790038</v>
      </c>
      <c r="AJ174">
        <v>1781.496992236292</v>
      </c>
    </row>
  </sheetData>
  <autoFilter ref="A1:AJ174" xr:uid="{00000000-0001-0000-01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523B-6228-49F5-9D80-1E6A3D02E03A}">
  <dimension ref="A1:AK480"/>
  <sheetViews>
    <sheetView workbookViewId="0">
      <selection activeCell="O1" sqref="O1"/>
    </sheetView>
  </sheetViews>
  <sheetFormatPr defaultRowHeight="15" x14ac:dyDescent="0.25"/>
  <cols>
    <col min="15" max="16" width="48.85546875" bestFit="1" customWidth="1"/>
  </cols>
  <sheetData>
    <row r="1" spans="1:37" s="3" customFormat="1" x14ac:dyDescent="0.25">
      <c r="A1" s="3" t="str" cm="1">
        <f t="array" ref="A1:AK480">_xlfn._xlws.FILTER(_xlfn.VSTACK(VV_IA_2025:SS_IA_2025!A1:AK2000),_xlfn.VSTACK(VV_IA_2025:SS_IA_2025!A1:A2000)&lt;&gt;"")</f>
        <v>OBJECTID</v>
      </c>
      <c r="B1" s="3" t="str">
        <v>Field_ID</v>
      </c>
      <c r="C1" s="3" t="str">
        <v>Basin</v>
      </c>
      <c r="D1" s="3" t="str">
        <v>Sub_Basin</v>
      </c>
      <c r="E1" s="3" t="str">
        <v>Inspector_1</v>
      </c>
      <c r="F1" s="3" t="str">
        <v>Inspector_2</v>
      </c>
      <c r="G1" s="3" t="str">
        <v>Inspection_Date</v>
      </c>
      <c r="H1" s="3" t="str">
        <v>Water_Righted_Acreage</v>
      </c>
      <c r="I1" s="3" t="str">
        <v>Decree</v>
      </c>
      <c r="J1" s="3" t="str">
        <v>System</v>
      </c>
      <c r="K1" s="3" t="str">
        <v>SysCode</v>
      </c>
      <c r="L1" s="3" t="str">
        <v>Unit</v>
      </c>
      <c r="M1" s="3" t="str">
        <v>UCode</v>
      </c>
      <c r="N1" s="3" t="str">
        <v>Ditch</v>
      </c>
      <c r="O1" s="3" t="str">
        <v>Crop_Code</v>
      </c>
      <c r="P1" s="3" t="str">
        <v>Crop_Type</v>
      </c>
      <c r="Q1" s="3" t="str">
        <v>Computed_Acreage</v>
      </c>
      <c r="R1" s="3" t="str">
        <v>Irr_Code</v>
      </c>
      <c r="S1" s="3" t="str">
        <v>Irr_Method</v>
      </c>
      <c r="T1" s="3" t="str">
        <v>Remarks</v>
      </c>
      <c r="U1" s="3" t="str">
        <v>Season</v>
      </c>
      <c r="V1" s="3" t="str">
        <v>Mapsheet</v>
      </c>
      <c r="W1" s="3" t="str">
        <v>Sections</v>
      </c>
      <c r="X1" s="3" t="str">
        <v>File_nbr</v>
      </c>
      <c r="Y1" s="3" t="str">
        <v>Tws</v>
      </c>
      <c r="Z1" s="3" t="str">
        <v>Rng</v>
      </c>
      <c r="AA1" s="3" t="str">
        <v>Sec</v>
      </c>
      <c r="AB1" s="3" t="str">
        <v>County</v>
      </c>
      <c r="AC1" s="3" t="str">
        <v>Owner</v>
      </c>
      <c r="AD1" s="3" t="str">
        <v>Priority</v>
      </c>
      <c r="AE1" s="3" t="str">
        <v>No_Adjudicated_Water_Right</v>
      </c>
      <c r="AF1" s="3" t="str">
        <v>Subfile</v>
      </c>
      <c r="AG1" s="3" t="str">
        <v>PLSS QQQ</v>
      </c>
      <c r="AH1" s="3" t="str">
        <v>Pla_rec_nbr</v>
      </c>
      <c r="AI1" s="3" t="str">
        <v>Shape_Length</v>
      </c>
      <c r="AJ1" s="3" t="str">
        <v>Shape_Area</v>
      </c>
      <c r="AK1" s="3">
        <v>0</v>
      </c>
    </row>
    <row r="2" spans="1:37" x14ac:dyDescent="0.25">
      <c r="A2">
        <v>248</v>
      </c>
      <c r="B2">
        <v>0</v>
      </c>
      <c r="C2" t="str">
        <v>VV</v>
      </c>
      <c r="D2">
        <v>0</v>
      </c>
      <c r="E2" t="str">
        <v>MM</v>
      </c>
      <c r="F2" t="str">
        <v>&lt;Null&gt;</v>
      </c>
      <c r="G2">
        <v>45839</v>
      </c>
      <c r="H2">
        <v>0</v>
      </c>
      <c r="I2" t="str">
        <v>Globe Equity Decree</v>
      </c>
      <c r="J2" t="str">
        <v>Gila River</v>
      </c>
      <c r="K2" t="str">
        <v>GR</v>
      </c>
      <c r="L2" t="str">
        <v>Virden Valey</v>
      </c>
      <c r="M2" t="str">
        <v>VV</v>
      </c>
      <c r="N2" t="str">
        <v>Sunset Canal</v>
      </c>
      <c r="O2" t="str">
        <v>RD</v>
      </c>
      <c r="P2" t="str">
        <v>Reservoir Dry</v>
      </c>
      <c r="Q2">
        <v>0.37265839440589649</v>
      </c>
      <c r="R2">
        <v>0</v>
      </c>
      <c r="S2" t="str">
        <v>&lt;Null&gt;</v>
      </c>
      <c r="T2">
        <v>0</v>
      </c>
      <c r="U2">
        <v>0</v>
      </c>
      <c r="V2" t="str">
        <v>13</v>
      </c>
      <c r="W2">
        <v>0</v>
      </c>
      <c r="X2">
        <v>0</v>
      </c>
      <c r="Y2" t="str">
        <v>T18S</v>
      </c>
      <c r="Z2" t="str">
        <v>R21W</v>
      </c>
      <c r="AA2" t="str">
        <v>32</v>
      </c>
      <c r="AB2" t="str">
        <v>HI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177.21535573307281</v>
      </c>
      <c r="AJ2">
        <v>1508.1010491609391</v>
      </c>
      <c r="AK2">
        <v>0</v>
      </c>
    </row>
    <row r="3" spans="1:37" x14ac:dyDescent="0.25">
      <c r="A3">
        <v>203</v>
      </c>
      <c r="B3">
        <v>0</v>
      </c>
      <c r="C3" t="str">
        <v>VV</v>
      </c>
      <c r="D3">
        <v>0</v>
      </c>
      <c r="E3" t="str">
        <v>MM</v>
      </c>
      <c r="F3" t="str">
        <v>&lt;Null&gt;</v>
      </c>
      <c r="G3">
        <v>45839</v>
      </c>
      <c r="H3">
        <v>0</v>
      </c>
      <c r="I3" t="str">
        <v>Globe Equity Decree</v>
      </c>
      <c r="J3" t="str">
        <v>Gila River</v>
      </c>
      <c r="K3" t="str">
        <v>GR</v>
      </c>
      <c r="L3" t="str">
        <v>Virden Valey</v>
      </c>
      <c r="M3" t="str">
        <v>VV</v>
      </c>
      <c r="N3" t="str">
        <v>New Modell</v>
      </c>
      <c r="O3" t="str">
        <v>RW</v>
      </c>
      <c r="P3" t="str">
        <v>Reservoir Retaining water (note volume in remarks)</v>
      </c>
      <c r="Q3">
        <v>0.96094632609354813</v>
      </c>
      <c r="R3">
        <v>0</v>
      </c>
      <c r="S3" t="str">
        <v>&lt;Null&gt;</v>
      </c>
      <c r="T3" t="str">
        <v xml:space="preserve">50% full </v>
      </c>
      <c r="U3">
        <v>0</v>
      </c>
      <c r="V3" t="str">
        <v>10</v>
      </c>
      <c r="W3">
        <v>0</v>
      </c>
      <c r="X3">
        <v>0</v>
      </c>
      <c r="Y3" t="str">
        <v>T19S</v>
      </c>
      <c r="Z3" t="str">
        <v>R21W</v>
      </c>
      <c r="AA3" t="str">
        <v>4</v>
      </c>
      <c r="AB3" t="str">
        <v>HI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337.56254341067751</v>
      </c>
      <c r="AJ3">
        <v>3888.8273666272712</v>
      </c>
      <c r="AK3">
        <v>0</v>
      </c>
    </row>
    <row r="4" spans="1:37" x14ac:dyDescent="0.25">
      <c r="A4">
        <v>117</v>
      </c>
      <c r="B4">
        <v>0</v>
      </c>
      <c r="C4" t="str">
        <v>VV</v>
      </c>
      <c r="D4">
        <v>0</v>
      </c>
      <c r="E4" t="str">
        <v>MM</v>
      </c>
      <c r="F4" t="str">
        <v>&lt;Null&gt;</v>
      </c>
      <c r="G4">
        <v>45839</v>
      </c>
      <c r="H4">
        <v>0</v>
      </c>
      <c r="I4" t="str">
        <v>Globe Equity Decree</v>
      </c>
      <c r="J4" t="str">
        <v>Gila River</v>
      </c>
      <c r="K4" t="str">
        <v>GR</v>
      </c>
      <c r="L4" t="str">
        <v>Virden Valey</v>
      </c>
      <c r="M4" t="str">
        <v>VV</v>
      </c>
      <c r="N4" t="str">
        <v>Sunset Canal</v>
      </c>
      <c r="O4" t="str">
        <v>STW</v>
      </c>
      <c r="P4" t="str">
        <v>Stock Tank Retaining water (note volume in remarks)</v>
      </c>
      <c r="Q4">
        <v>0.59961224285715753</v>
      </c>
      <c r="R4">
        <v>0</v>
      </c>
      <c r="S4" t="str">
        <v>&lt;Null&gt;</v>
      </c>
      <c r="T4" t="str">
        <v>75% full</v>
      </c>
      <c r="U4">
        <v>0</v>
      </c>
      <c r="V4" t="str">
        <v>10</v>
      </c>
      <c r="W4">
        <v>0</v>
      </c>
      <c r="X4">
        <v>0</v>
      </c>
      <c r="Y4" t="str">
        <v>T19S</v>
      </c>
      <c r="Z4" t="str">
        <v>R21W</v>
      </c>
      <c r="AA4" t="str">
        <v>4</v>
      </c>
      <c r="AB4" t="str">
        <v>HI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216.50054627092629</v>
      </c>
      <c r="AJ4">
        <v>2426.554362163899</v>
      </c>
      <c r="AK4">
        <v>0</v>
      </c>
    </row>
    <row r="5" spans="1:37" x14ac:dyDescent="0.25">
      <c r="A5">
        <v>1</v>
      </c>
      <c r="B5">
        <v>0</v>
      </c>
      <c r="C5" t="str">
        <v>VV</v>
      </c>
      <c r="D5">
        <v>0</v>
      </c>
      <c r="E5" t="str">
        <v>MM</v>
      </c>
      <c r="F5" t="str">
        <v>&lt;Null&gt;</v>
      </c>
      <c r="G5">
        <v>45838</v>
      </c>
      <c r="H5">
        <v>0</v>
      </c>
      <c r="I5" t="str">
        <v>Globe Equity Decree</v>
      </c>
      <c r="J5" t="str">
        <v>Gila River</v>
      </c>
      <c r="K5" t="str">
        <v>GR</v>
      </c>
      <c r="L5" t="str">
        <v>Virden Valey</v>
      </c>
      <c r="M5" t="str">
        <v>VV</v>
      </c>
      <c r="N5" t="str">
        <v>Sunset Canal</v>
      </c>
      <c r="O5" t="str">
        <v>AL</v>
      </c>
      <c r="P5" t="str">
        <v>Alfalfa</v>
      </c>
      <c r="Q5">
        <v>8.9024415056037984</v>
      </c>
      <c r="R5" t="str">
        <v>1</v>
      </c>
      <c r="S5" t="str">
        <v>Flood irrigated</v>
      </c>
      <c r="T5">
        <v>0</v>
      </c>
      <c r="U5">
        <v>0</v>
      </c>
      <c r="V5" t="str">
        <v>1</v>
      </c>
      <c r="W5">
        <v>0</v>
      </c>
      <c r="X5">
        <v>0</v>
      </c>
      <c r="Y5" t="str">
        <v>T19S</v>
      </c>
      <c r="Z5" t="str">
        <v>R20W</v>
      </c>
      <c r="AA5" t="str">
        <v>17</v>
      </c>
      <c r="AB5" t="str">
        <v>HI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785.18480685272937</v>
      </c>
      <c r="AJ5">
        <v>36027.046690035713</v>
      </c>
      <c r="AK5">
        <v>0</v>
      </c>
    </row>
    <row r="6" spans="1:37" x14ac:dyDescent="0.25">
      <c r="A6">
        <v>7</v>
      </c>
      <c r="B6">
        <v>0</v>
      </c>
      <c r="C6" t="str">
        <v>VV</v>
      </c>
      <c r="D6">
        <v>0</v>
      </c>
      <c r="E6" t="str">
        <v>MM</v>
      </c>
      <c r="F6" t="str">
        <v>&lt;Null&gt;</v>
      </c>
      <c r="G6">
        <v>45838</v>
      </c>
      <c r="H6">
        <v>0</v>
      </c>
      <c r="I6" t="str">
        <v>Globe Equity Decree</v>
      </c>
      <c r="J6" t="str">
        <v>Gila River</v>
      </c>
      <c r="K6" t="str">
        <v>GR</v>
      </c>
      <c r="L6" t="str">
        <v>Virden Valey</v>
      </c>
      <c r="M6" t="str">
        <v>VV</v>
      </c>
      <c r="N6" t="str">
        <v>Sunset Canal</v>
      </c>
      <c r="O6" t="str">
        <v>AL</v>
      </c>
      <c r="P6" t="str">
        <v>Alfalfa</v>
      </c>
      <c r="Q6">
        <v>48.433275930875674</v>
      </c>
      <c r="R6" t="str">
        <v>1</v>
      </c>
      <c r="S6" t="str">
        <v>Flood irrigated</v>
      </c>
      <c r="T6" t="str">
        <v>&lt;Null&gt;</v>
      </c>
      <c r="U6">
        <v>0</v>
      </c>
      <c r="V6" t="str">
        <v>1</v>
      </c>
      <c r="W6">
        <v>0</v>
      </c>
      <c r="X6">
        <v>0</v>
      </c>
      <c r="Y6" t="str">
        <v>T19S</v>
      </c>
      <c r="Z6" t="str">
        <v>R20W</v>
      </c>
      <c r="AA6" t="str">
        <v>18</v>
      </c>
      <c r="AB6" t="str">
        <v>HI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1787.780211181454</v>
      </c>
      <c r="AJ6">
        <v>196003.29777114259</v>
      </c>
      <c r="AK6">
        <v>0</v>
      </c>
    </row>
    <row r="7" spans="1:37" x14ac:dyDescent="0.25">
      <c r="A7">
        <v>8</v>
      </c>
      <c r="B7">
        <v>0</v>
      </c>
      <c r="C7" t="str">
        <v>VV</v>
      </c>
      <c r="D7">
        <v>0</v>
      </c>
      <c r="E7" t="str">
        <v>MM</v>
      </c>
      <c r="F7" t="str">
        <v>&lt;Null&gt;</v>
      </c>
      <c r="G7">
        <v>45838</v>
      </c>
      <c r="H7">
        <v>0</v>
      </c>
      <c r="I7" t="str">
        <v>Globe Equity Decree</v>
      </c>
      <c r="J7" t="str">
        <v>Gila River</v>
      </c>
      <c r="K7" t="str">
        <v>GR</v>
      </c>
      <c r="L7" t="str">
        <v>Virden Valey</v>
      </c>
      <c r="M7" t="str">
        <v>VV</v>
      </c>
      <c r="N7" t="str">
        <v>Sunset Canal</v>
      </c>
      <c r="O7" t="str">
        <v>AL</v>
      </c>
      <c r="P7" t="str">
        <v>Alfalfa</v>
      </c>
      <c r="Q7">
        <v>32.227444855471859</v>
      </c>
      <c r="R7" t="str">
        <v>1</v>
      </c>
      <c r="S7" t="str">
        <v>Flood irrigated</v>
      </c>
      <c r="T7">
        <v>0</v>
      </c>
      <c r="U7">
        <v>0</v>
      </c>
      <c r="V7" t="str">
        <v>1</v>
      </c>
      <c r="W7">
        <v>0</v>
      </c>
      <c r="X7">
        <v>0</v>
      </c>
      <c r="Y7" t="str">
        <v>T19S</v>
      </c>
      <c r="Z7" t="str">
        <v>R20W</v>
      </c>
      <c r="AA7" t="str">
        <v>18</v>
      </c>
      <c r="AB7" t="str">
        <v>HI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1479.6009788097069</v>
      </c>
      <c r="AJ7">
        <v>130420.3638718419</v>
      </c>
      <c r="AK7">
        <v>0</v>
      </c>
    </row>
    <row r="8" spans="1:37" x14ac:dyDescent="0.25">
      <c r="A8">
        <v>13</v>
      </c>
      <c r="B8">
        <v>0</v>
      </c>
      <c r="C8" t="str">
        <v>VV</v>
      </c>
      <c r="D8">
        <v>0</v>
      </c>
      <c r="E8" t="str">
        <v>MM</v>
      </c>
      <c r="F8" t="str">
        <v>&lt;Null&gt;</v>
      </c>
      <c r="G8">
        <v>45838</v>
      </c>
      <c r="H8">
        <v>0</v>
      </c>
      <c r="I8" t="str">
        <v>Globe Equity Decree</v>
      </c>
      <c r="J8" t="str">
        <v>Gila River</v>
      </c>
      <c r="K8" t="str">
        <v>GR</v>
      </c>
      <c r="L8" t="str">
        <v>Virden Valey</v>
      </c>
      <c r="M8" t="str">
        <v>VV</v>
      </c>
      <c r="N8" t="str">
        <v>Sunset Canal</v>
      </c>
      <c r="O8" t="str">
        <v>AL</v>
      </c>
      <c r="P8" t="str">
        <v>Alfalfa</v>
      </c>
      <c r="Q8">
        <v>8.6086988025098794</v>
      </c>
      <c r="R8" t="str">
        <v>1</v>
      </c>
      <c r="S8" t="str">
        <v>Flood irrigated</v>
      </c>
      <c r="T8">
        <v>0</v>
      </c>
      <c r="U8">
        <v>0</v>
      </c>
      <c r="V8" t="str">
        <v>2</v>
      </c>
      <c r="W8">
        <v>0</v>
      </c>
      <c r="X8">
        <v>0</v>
      </c>
      <c r="Y8" t="str">
        <v>T19S</v>
      </c>
      <c r="Z8" t="str">
        <v>R20W</v>
      </c>
      <c r="AA8" t="str">
        <v>7</v>
      </c>
      <c r="AB8" t="str">
        <v>HI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986.45269319561328</v>
      </c>
      <c r="AJ8">
        <v>34838.307390534501</v>
      </c>
      <c r="AK8">
        <v>0</v>
      </c>
    </row>
    <row r="9" spans="1:37" x14ac:dyDescent="0.25">
      <c r="A9">
        <v>45</v>
      </c>
      <c r="B9">
        <v>0</v>
      </c>
      <c r="C9" t="str">
        <v>VV</v>
      </c>
      <c r="D9">
        <v>0</v>
      </c>
      <c r="E9" t="str">
        <v>MM</v>
      </c>
      <c r="F9" t="str">
        <v>&lt;Null&gt;</v>
      </c>
      <c r="G9">
        <v>45838</v>
      </c>
      <c r="H9">
        <v>0</v>
      </c>
      <c r="I9" t="str">
        <v>Globe Equity Decree</v>
      </c>
      <c r="J9" t="str">
        <v>Gila River</v>
      </c>
      <c r="K9" t="str">
        <v>GR</v>
      </c>
      <c r="L9" t="str">
        <v>Virden Valey</v>
      </c>
      <c r="M9" t="str">
        <v>VV</v>
      </c>
      <c r="N9" t="str">
        <v>Sunset Canal</v>
      </c>
      <c r="O9" t="str">
        <v>AL</v>
      </c>
      <c r="P9" t="str">
        <v>Alfalfa</v>
      </c>
      <c r="Q9">
        <v>18.74249787182162</v>
      </c>
      <c r="R9" t="str">
        <v>1</v>
      </c>
      <c r="S9" t="str">
        <v>Flood irrigated</v>
      </c>
      <c r="T9">
        <v>0</v>
      </c>
      <c r="U9">
        <v>0</v>
      </c>
      <c r="V9" t="str">
        <v>6</v>
      </c>
      <c r="W9">
        <v>0</v>
      </c>
      <c r="X9">
        <v>0</v>
      </c>
      <c r="Y9">
        <v>0</v>
      </c>
      <c r="Z9">
        <v>0</v>
      </c>
      <c r="AA9">
        <v>0</v>
      </c>
      <c r="AB9" t="str">
        <v>HI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1234.131495312427</v>
      </c>
      <c r="AJ9">
        <v>75848.501278101365</v>
      </c>
      <c r="AK9">
        <v>0</v>
      </c>
    </row>
    <row r="10" spans="1:37" x14ac:dyDescent="0.25">
      <c r="A10">
        <v>136</v>
      </c>
      <c r="B10">
        <v>0</v>
      </c>
      <c r="C10" t="str">
        <v>VV</v>
      </c>
      <c r="D10">
        <v>0</v>
      </c>
      <c r="E10" t="str">
        <v>MM</v>
      </c>
      <c r="F10" t="str">
        <v>&lt;Null&gt;</v>
      </c>
      <c r="G10">
        <v>45839</v>
      </c>
      <c r="H10">
        <v>0</v>
      </c>
      <c r="I10" t="str">
        <v>Globe Equity Decree</v>
      </c>
      <c r="J10" t="str">
        <v>Gila River</v>
      </c>
      <c r="K10" t="str">
        <v>GR</v>
      </c>
      <c r="L10" t="str">
        <v>Virden Valey</v>
      </c>
      <c r="M10" t="str">
        <v>VV</v>
      </c>
      <c r="N10" t="str">
        <v>Sunset Canal</v>
      </c>
      <c r="O10" t="str">
        <v>AL</v>
      </c>
      <c r="P10" t="str">
        <v>Alfalfa</v>
      </c>
      <c r="Q10">
        <v>22.93839131424027</v>
      </c>
      <c r="R10" t="str">
        <v>1</v>
      </c>
      <c r="S10" t="str">
        <v>Flood irrigated</v>
      </c>
      <c r="T10">
        <v>0</v>
      </c>
      <c r="U10">
        <v>0</v>
      </c>
      <c r="V10" t="str">
        <v>13</v>
      </c>
      <c r="W10">
        <v>0</v>
      </c>
      <c r="X10">
        <v>0</v>
      </c>
      <c r="Y10" t="str">
        <v>T18S</v>
      </c>
      <c r="Z10" t="str">
        <v>R21W</v>
      </c>
      <c r="AA10">
        <v>0</v>
      </c>
      <c r="AB10" t="str">
        <v>HI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1275.692272177557</v>
      </c>
      <c r="AJ10">
        <v>92828.747524176375</v>
      </c>
      <c r="AK10">
        <v>0</v>
      </c>
    </row>
    <row r="11" spans="1:37" x14ac:dyDescent="0.25">
      <c r="A11">
        <v>229</v>
      </c>
      <c r="B11">
        <v>0</v>
      </c>
      <c r="C11" t="str">
        <v>VV</v>
      </c>
      <c r="D11">
        <v>0</v>
      </c>
      <c r="E11" t="str">
        <v>MM</v>
      </c>
      <c r="F11" t="str">
        <v>&lt;Null&gt;</v>
      </c>
      <c r="G11">
        <v>45839</v>
      </c>
      <c r="H11">
        <v>0</v>
      </c>
      <c r="I11" t="str">
        <v>Globe Equity Decree</v>
      </c>
      <c r="J11" t="str">
        <v>Gila River</v>
      </c>
      <c r="K11" t="str">
        <v>GR</v>
      </c>
      <c r="L11" t="str">
        <v>Virden Valey</v>
      </c>
      <c r="M11" t="str">
        <v>VV</v>
      </c>
      <c r="N11" t="str">
        <v>Sunset Canal</v>
      </c>
      <c r="O11" t="str">
        <v>AL</v>
      </c>
      <c r="P11" t="str">
        <v>Alfalfa</v>
      </c>
      <c r="Q11">
        <v>26.35119118254546</v>
      </c>
      <c r="R11" t="str">
        <v>1</v>
      </c>
      <c r="S11" t="str">
        <v>Flood irrigated</v>
      </c>
      <c r="T11">
        <v>0</v>
      </c>
      <c r="U11">
        <v>0</v>
      </c>
      <c r="V11" t="str">
        <v>12</v>
      </c>
      <c r="W11">
        <v>0</v>
      </c>
      <c r="X11">
        <v>0</v>
      </c>
      <c r="Y11" t="str">
        <v>T19S</v>
      </c>
      <c r="Z11" t="str">
        <v>R21W</v>
      </c>
      <c r="AA11" t="str">
        <v>6</v>
      </c>
      <c r="AB11" t="str">
        <v>HI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1667.210673197447</v>
      </c>
      <c r="AJ11">
        <v>106639.91383420309</v>
      </c>
      <c r="AK11">
        <v>0</v>
      </c>
    </row>
    <row r="12" spans="1:37" x14ac:dyDescent="0.25">
      <c r="A12">
        <v>230</v>
      </c>
      <c r="B12">
        <v>0</v>
      </c>
      <c r="C12" t="str">
        <v>VV</v>
      </c>
      <c r="D12">
        <v>0</v>
      </c>
      <c r="E12" t="str">
        <v>MM</v>
      </c>
      <c r="F12" t="str">
        <v>&lt;Null&gt;</v>
      </c>
      <c r="G12">
        <v>45839</v>
      </c>
      <c r="H12">
        <v>0</v>
      </c>
      <c r="I12" t="str">
        <v>Arizona v California</v>
      </c>
      <c r="J12" t="str">
        <v>Gila River</v>
      </c>
      <c r="K12" t="str">
        <v>GR</v>
      </c>
      <c r="L12" t="str">
        <v>Virden Valey</v>
      </c>
      <c r="M12" t="str">
        <v>VV</v>
      </c>
      <c r="N12">
        <v>0</v>
      </c>
      <c r="O12" t="str">
        <v>AL</v>
      </c>
      <c r="P12" t="str">
        <v>Alfalfa</v>
      </c>
      <c r="Q12">
        <v>10.73951466504194</v>
      </c>
      <c r="R12" t="str">
        <v>1</v>
      </c>
      <c r="S12" t="str">
        <v>Flood irrigated</v>
      </c>
      <c r="T12">
        <v>0</v>
      </c>
      <c r="U12">
        <v>0</v>
      </c>
      <c r="V12" t="str">
        <v>12</v>
      </c>
      <c r="W12">
        <v>0</v>
      </c>
      <c r="X12">
        <v>0</v>
      </c>
      <c r="Y12" t="str">
        <v>T19S</v>
      </c>
      <c r="Z12" t="str">
        <v>R21W</v>
      </c>
      <c r="AA12" t="str">
        <v>6</v>
      </c>
      <c r="AB12" t="str">
        <v>HI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830.21403672300789</v>
      </c>
      <c r="AJ12">
        <v>43461.447741301068</v>
      </c>
      <c r="AK12">
        <v>0</v>
      </c>
    </row>
    <row r="13" spans="1:37" x14ac:dyDescent="0.25">
      <c r="A13">
        <v>231</v>
      </c>
      <c r="B13">
        <v>0</v>
      </c>
      <c r="C13" t="str">
        <v>VV</v>
      </c>
      <c r="D13">
        <v>0</v>
      </c>
      <c r="E13" t="str">
        <v>MM</v>
      </c>
      <c r="F13" t="str">
        <v>&lt;Null&gt;</v>
      </c>
      <c r="G13">
        <v>45839</v>
      </c>
      <c r="H13">
        <v>0</v>
      </c>
      <c r="I13" t="str">
        <v>Globe Equity Decree</v>
      </c>
      <c r="J13" t="str">
        <v>Gila River</v>
      </c>
      <c r="K13" t="str">
        <v>GR</v>
      </c>
      <c r="L13" t="str">
        <v>Virden Valey</v>
      </c>
      <c r="M13" t="str">
        <v>VV</v>
      </c>
      <c r="N13" t="str">
        <v>Sunset Canal</v>
      </c>
      <c r="O13" t="str">
        <v>AL</v>
      </c>
      <c r="P13" t="str">
        <v>Alfalfa</v>
      </c>
      <c r="Q13">
        <v>10.223619301414139</v>
      </c>
      <c r="R13" t="str">
        <v>1</v>
      </c>
      <c r="S13" t="str">
        <v>Flood irrigated</v>
      </c>
      <c r="T13">
        <v>0</v>
      </c>
      <c r="U13">
        <v>0</v>
      </c>
      <c r="V13" t="str">
        <v>13</v>
      </c>
      <c r="W13">
        <v>0</v>
      </c>
      <c r="X13">
        <v>0</v>
      </c>
      <c r="Y13" t="str">
        <v>T18S</v>
      </c>
      <c r="Z13" t="str">
        <v>R21W</v>
      </c>
      <c r="AA13" t="str">
        <v>31</v>
      </c>
      <c r="AB13" t="str">
        <v>HI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816.823935775574</v>
      </c>
      <c r="AJ13">
        <v>41373.684924674621</v>
      </c>
      <c r="AK13">
        <v>0</v>
      </c>
    </row>
    <row r="14" spans="1:37" x14ac:dyDescent="0.25">
      <c r="A14">
        <v>232</v>
      </c>
      <c r="B14">
        <v>0</v>
      </c>
      <c r="C14" t="str">
        <v>VV</v>
      </c>
      <c r="D14">
        <v>0</v>
      </c>
      <c r="E14" t="str">
        <v>MM</v>
      </c>
      <c r="F14" t="str">
        <v>&lt;Null&gt;</v>
      </c>
      <c r="G14">
        <v>45839</v>
      </c>
      <c r="H14">
        <v>0</v>
      </c>
      <c r="I14" t="str">
        <v>Globe Equity Decree</v>
      </c>
      <c r="J14" t="str">
        <v>Gila River</v>
      </c>
      <c r="K14" t="str">
        <v>GR</v>
      </c>
      <c r="L14" t="str">
        <v>Virden Valey</v>
      </c>
      <c r="M14" t="str">
        <v>VV</v>
      </c>
      <c r="N14" t="str">
        <v>Sunset Canal</v>
      </c>
      <c r="O14" t="str">
        <v>AL</v>
      </c>
      <c r="P14" t="str">
        <v>Alfalfa</v>
      </c>
      <c r="Q14">
        <v>18.443240637932359</v>
      </c>
      <c r="R14" t="str">
        <v>1</v>
      </c>
      <c r="S14" t="str">
        <v>Flood irrigated</v>
      </c>
      <c r="T14">
        <v>0</v>
      </c>
      <c r="U14">
        <v>0</v>
      </c>
      <c r="V14" t="str">
        <v>13</v>
      </c>
      <c r="W14">
        <v>0</v>
      </c>
      <c r="X14">
        <v>0</v>
      </c>
      <c r="Y14" t="str">
        <v>T18S</v>
      </c>
      <c r="Z14" t="str">
        <v>R21W</v>
      </c>
      <c r="AA14" t="str">
        <v>31</v>
      </c>
      <c r="AB14" t="str">
        <v>HI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1250.0051473584649</v>
      </c>
      <c r="AJ14">
        <v>74637.445374968185</v>
      </c>
      <c r="AK14">
        <v>0</v>
      </c>
    </row>
    <row r="15" spans="1:37" x14ac:dyDescent="0.25">
      <c r="A15">
        <v>257</v>
      </c>
      <c r="B15">
        <v>0</v>
      </c>
      <c r="C15" t="str">
        <v>VV</v>
      </c>
      <c r="D15">
        <v>0</v>
      </c>
      <c r="E15" t="str">
        <v>MM</v>
      </c>
      <c r="F15" t="str">
        <v>&lt;Null&gt;</v>
      </c>
      <c r="G15">
        <v>45839</v>
      </c>
      <c r="H15">
        <v>0</v>
      </c>
      <c r="I15" t="str">
        <v>Globe Equity Decree</v>
      </c>
      <c r="J15" t="str">
        <v>Gila River</v>
      </c>
      <c r="K15" t="str">
        <v>GR</v>
      </c>
      <c r="L15" t="str">
        <v>Virden Valey</v>
      </c>
      <c r="M15" t="str">
        <v>VV</v>
      </c>
      <c r="N15" t="str">
        <v>Sunset Canal</v>
      </c>
      <c r="O15" t="str">
        <v>AL</v>
      </c>
      <c r="P15" t="str">
        <v>Alfalfa</v>
      </c>
      <c r="Q15">
        <v>13.825141109876579</v>
      </c>
      <c r="R15" t="str">
        <v>1</v>
      </c>
      <c r="S15" t="str">
        <v>Flood irrigated</v>
      </c>
      <c r="T15">
        <v>0</v>
      </c>
      <c r="U15">
        <v>0</v>
      </c>
      <c r="V15" t="str">
        <v>13</v>
      </c>
      <c r="W15">
        <v>0</v>
      </c>
      <c r="X15">
        <v>0</v>
      </c>
      <c r="Y15" t="str">
        <v>T18S</v>
      </c>
      <c r="Z15" t="str">
        <v>R21W</v>
      </c>
      <c r="AA15" t="str">
        <v>32</v>
      </c>
      <c r="AB15" t="str">
        <v>HI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1024.7713693880121</v>
      </c>
      <c r="AJ15">
        <v>55948.584885206052</v>
      </c>
      <c r="AK15">
        <v>0</v>
      </c>
    </row>
    <row r="16" spans="1:37" x14ac:dyDescent="0.25">
      <c r="A16">
        <v>258</v>
      </c>
      <c r="B16">
        <v>0</v>
      </c>
      <c r="C16" t="str">
        <v>VV</v>
      </c>
      <c r="D16">
        <v>0</v>
      </c>
      <c r="E16" t="str">
        <v>MM</v>
      </c>
      <c r="F16" t="str">
        <v>&lt;Null&gt;</v>
      </c>
      <c r="G16">
        <v>45839</v>
      </c>
      <c r="H16">
        <v>0</v>
      </c>
      <c r="I16" t="str">
        <v>Globe Equity Decree</v>
      </c>
      <c r="J16" t="str">
        <v>Gila River</v>
      </c>
      <c r="K16" t="str">
        <v>GR</v>
      </c>
      <c r="L16" t="str">
        <v>Virden Valey</v>
      </c>
      <c r="M16" t="str">
        <v>VV</v>
      </c>
      <c r="N16" t="str">
        <v>Sunset Canal</v>
      </c>
      <c r="O16" t="str">
        <v>AL</v>
      </c>
      <c r="P16" t="str">
        <v>Alfalfa</v>
      </c>
      <c r="Q16">
        <v>4.3914431596271797</v>
      </c>
      <c r="R16" t="str">
        <v>1</v>
      </c>
      <c r="S16" t="str">
        <v>Flood irrigated</v>
      </c>
      <c r="T16">
        <v>0</v>
      </c>
      <c r="U16">
        <v>0</v>
      </c>
      <c r="V16" t="str">
        <v>13</v>
      </c>
      <c r="W16">
        <v>0</v>
      </c>
      <c r="X16">
        <v>0</v>
      </c>
      <c r="Y16" t="str">
        <v>T18S</v>
      </c>
      <c r="Z16" t="str">
        <v>R21W</v>
      </c>
      <c r="AA16" t="str">
        <v>32</v>
      </c>
      <c r="AB16" t="str">
        <v>HI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578.0828799134016</v>
      </c>
      <c r="AJ16">
        <v>17771.611040514879</v>
      </c>
      <c r="AK16">
        <v>0</v>
      </c>
    </row>
    <row r="17" spans="1:37" x14ac:dyDescent="0.25">
      <c r="A17">
        <v>259</v>
      </c>
      <c r="B17">
        <v>0</v>
      </c>
      <c r="C17" t="str">
        <v>VV</v>
      </c>
      <c r="D17">
        <v>0</v>
      </c>
      <c r="E17" t="str">
        <v>MM</v>
      </c>
      <c r="F17" t="str">
        <v>&lt;Null&gt;</v>
      </c>
      <c r="G17">
        <v>45839</v>
      </c>
      <c r="H17">
        <v>0</v>
      </c>
      <c r="I17" t="str">
        <v>Globe Equity Decree</v>
      </c>
      <c r="J17" t="str">
        <v>Gila River</v>
      </c>
      <c r="K17" t="str">
        <v>GR</v>
      </c>
      <c r="L17" t="str">
        <v>Virden Valey</v>
      </c>
      <c r="M17" t="str">
        <v>VV</v>
      </c>
      <c r="N17" t="str">
        <v>Sunset Canal</v>
      </c>
      <c r="O17" t="str">
        <v>AL</v>
      </c>
      <c r="P17" t="str">
        <v>Alfalfa</v>
      </c>
      <c r="Q17">
        <v>9.6778166549350733</v>
      </c>
      <c r="R17" t="str">
        <v>1</v>
      </c>
      <c r="S17" t="str">
        <v>Flood irrigated</v>
      </c>
      <c r="T17">
        <v>0</v>
      </c>
      <c r="U17">
        <v>0</v>
      </c>
      <c r="V17" t="str">
        <v>13</v>
      </c>
      <c r="W17">
        <v>0</v>
      </c>
      <c r="X17">
        <v>0</v>
      </c>
      <c r="Y17" t="str">
        <v>T18S</v>
      </c>
      <c r="Z17" t="str">
        <v>R21W</v>
      </c>
      <c r="AA17" t="str">
        <v>32</v>
      </c>
      <c r="AB17" t="str">
        <v>HI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833.73675370603303</v>
      </c>
      <c r="AJ17">
        <v>39164.891144241599</v>
      </c>
      <c r="AK17">
        <v>0</v>
      </c>
    </row>
    <row r="18" spans="1:37" x14ac:dyDescent="0.25">
      <c r="A18">
        <v>260</v>
      </c>
      <c r="B18">
        <v>0</v>
      </c>
      <c r="C18" t="str">
        <v>VV</v>
      </c>
      <c r="D18">
        <v>0</v>
      </c>
      <c r="E18" t="str">
        <v>MM</v>
      </c>
      <c r="F18" t="str">
        <v>&lt;Null&gt;</v>
      </c>
      <c r="G18">
        <v>45839</v>
      </c>
      <c r="H18">
        <v>0</v>
      </c>
      <c r="I18" t="str">
        <v>Globe Equity Decree</v>
      </c>
      <c r="J18" t="str">
        <v>Gila River</v>
      </c>
      <c r="K18" t="str">
        <v>GR</v>
      </c>
      <c r="L18" t="str">
        <v>Virden Valey</v>
      </c>
      <c r="M18" t="str">
        <v>VV</v>
      </c>
      <c r="N18" t="str">
        <v>Sunset Canal</v>
      </c>
      <c r="O18" t="str">
        <v>AL</v>
      </c>
      <c r="P18" t="str">
        <v>Alfalfa</v>
      </c>
      <c r="Q18">
        <v>6.4914896895261984</v>
      </c>
      <c r="R18" t="str">
        <v>1</v>
      </c>
      <c r="S18" t="str">
        <v>Flood irrigated</v>
      </c>
      <c r="T18">
        <v>0</v>
      </c>
      <c r="U18">
        <v>0</v>
      </c>
      <c r="V18" t="str">
        <v>13</v>
      </c>
      <c r="W18">
        <v>0</v>
      </c>
      <c r="X18">
        <v>0</v>
      </c>
      <c r="Y18" t="str">
        <v>T18S</v>
      </c>
      <c r="Z18" t="str">
        <v>R21W</v>
      </c>
      <c r="AA18" t="str">
        <v>32</v>
      </c>
      <c r="AB18" t="str">
        <v>HI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799.38939421752866</v>
      </c>
      <c r="AJ18">
        <v>26270.23182182468</v>
      </c>
      <c r="AK18">
        <v>0</v>
      </c>
    </row>
    <row r="19" spans="1:37" x14ac:dyDescent="0.25">
      <c r="A19">
        <v>276</v>
      </c>
      <c r="B19">
        <v>0</v>
      </c>
      <c r="C19" t="str">
        <v>VV</v>
      </c>
      <c r="D19">
        <v>0</v>
      </c>
      <c r="E19" t="str">
        <v>MM</v>
      </c>
      <c r="F19" t="str">
        <v>&lt;Null&gt;</v>
      </c>
      <c r="G19">
        <v>45839</v>
      </c>
      <c r="H19">
        <v>0</v>
      </c>
      <c r="I19" t="str">
        <v>Globe Equity Decree</v>
      </c>
      <c r="J19" t="str">
        <v>Gila River</v>
      </c>
      <c r="K19" t="str">
        <v>GR</v>
      </c>
      <c r="L19" t="str">
        <v>Virden Valey</v>
      </c>
      <c r="M19" t="str">
        <v>VV</v>
      </c>
      <c r="N19" t="str">
        <v>Sunset Canal</v>
      </c>
      <c r="O19" t="str">
        <v>AL</v>
      </c>
      <c r="P19" t="str">
        <v>Alfalfa</v>
      </c>
      <c r="Q19">
        <v>2.6116508422717271</v>
      </c>
      <c r="R19" t="str">
        <v>1</v>
      </c>
      <c r="S19" t="str">
        <v>Flood irrigated</v>
      </c>
      <c r="T19">
        <v>0</v>
      </c>
      <c r="U19">
        <v>0</v>
      </c>
      <c r="V19" t="str">
        <v>13</v>
      </c>
      <c r="W19">
        <v>0</v>
      </c>
      <c r="X19">
        <v>0</v>
      </c>
      <c r="Y19" t="str">
        <v>T18S</v>
      </c>
      <c r="Z19" t="str">
        <v>R21W</v>
      </c>
      <c r="AA19" t="str">
        <v>32</v>
      </c>
      <c r="AB19" t="str">
        <v>HI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771.39418430655337</v>
      </c>
      <c r="AJ19">
        <v>10569.01826014447</v>
      </c>
      <c r="AK19">
        <v>0</v>
      </c>
    </row>
    <row r="20" spans="1:37" x14ac:dyDescent="0.25">
      <c r="A20">
        <v>283</v>
      </c>
      <c r="B20">
        <v>0</v>
      </c>
      <c r="C20" t="str">
        <v>VV</v>
      </c>
      <c r="D20">
        <v>0</v>
      </c>
      <c r="E20" t="str">
        <v>MM</v>
      </c>
      <c r="F20" t="str">
        <v>&lt;Null&gt;</v>
      </c>
      <c r="G20">
        <v>45838</v>
      </c>
      <c r="H20">
        <v>0</v>
      </c>
      <c r="I20" t="str">
        <v>Globe Equity Decree</v>
      </c>
      <c r="J20" t="str">
        <v>Gila River</v>
      </c>
      <c r="K20" t="str">
        <v>GR</v>
      </c>
      <c r="L20" t="str">
        <v>Virden Valey</v>
      </c>
      <c r="M20" t="str">
        <v>VV</v>
      </c>
      <c r="N20" t="str">
        <v>Sunset Canal</v>
      </c>
      <c r="O20" t="str">
        <v>AL</v>
      </c>
      <c r="P20" t="str">
        <v>Alfalfa</v>
      </c>
      <c r="Q20">
        <v>5.3034644312059918</v>
      </c>
      <c r="R20" t="str">
        <v>1</v>
      </c>
      <c r="S20" t="str">
        <v>Flood irrigated</v>
      </c>
      <c r="T20">
        <v>0</v>
      </c>
      <c r="U20">
        <v>0</v>
      </c>
      <c r="V20" t="str">
        <v>2</v>
      </c>
      <c r="W20">
        <v>0</v>
      </c>
      <c r="X20">
        <v>0</v>
      </c>
      <c r="Y20" t="str">
        <v>T19S</v>
      </c>
      <c r="Z20" t="str">
        <v>R20W</v>
      </c>
      <c r="AA20" t="str">
        <v>7</v>
      </c>
      <c r="AB20" t="str">
        <v>HI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740.93294398065507</v>
      </c>
      <c r="AJ20">
        <v>21462.444944089861</v>
      </c>
      <c r="AK20">
        <v>0</v>
      </c>
    </row>
    <row r="21" spans="1:37" x14ac:dyDescent="0.25">
      <c r="A21">
        <v>291</v>
      </c>
      <c r="B21">
        <v>0</v>
      </c>
      <c r="C21" t="str">
        <v>VV</v>
      </c>
      <c r="D21">
        <v>0</v>
      </c>
      <c r="E21" t="str">
        <v>MM</v>
      </c>
      <c r="F21" t="str">
        <v>&lt;Null&gt;</v>
      </c>
      <c r="G21">
        <v>45838</v>
      </c>
      <c r="H21">
        <v>0</v>
      </c>
      <c r="I21" t="str">
        <v>Globe Equity Decree</v>
      </c>
      <c r="J21" t="str">
        <v>Gila River</v>
      </c>
      <c r="K21" t="str">
        <v>GR</v>
      </c>
      <c r="L21" t="str">
        <v>Virden Valey</v>
      </c>
      <c r="M21" t="str">
        <v>VV</v>
      </c>
      <c r="N21" t="str">
        <v>Sunset Canal</v>
      </c>
      <c r="O21" t="str">
        <v>AL</v>
      </c>
      <c r="P21" t="str">
        <v>Alfalfa</v>
      </c>
      <c r="Q21">
        <v>11.34298256452532</v>
      </c>
      <c r="R21" t="str">
        <v>1</v>
      </c>
      <c r="S21" t="str">
        <v>Flood irrigated</v>
      </c>
      <c r="T21">
        <v>0</v>
      </c>
      <c r="U21">
        <v>0</v>
      </c>
      <c r="V21" t="str">
        <v>3</v>
      </c>
      <c r="W21">
        <v>0</v>
      </c>
      <c r="X21">
        <v>0</v>
      </c>
      <c r="Y21" t="str">
        <v>T19S</v>
      </c>
      <c r="Z21" t="str">
        <v>R21W</v>
      </c>
      <c r="AA21" t="str">
        <v>13</v>
      </c>
      <c r="AB21" t="str">
        <v>HI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1413.561956431347</v>
      </c>
      <c r="AJ21">
        <v>45903.605454658711</v>
      </c>
      <c r="AK21">
        <v>0</v>
      </c>
    </row>
    <row r="22" spans="1:37" x14ac:dyDescent="0.25">
      <c r="A22">
        <v>304</v>
      </c>
      <c r="B22">
        <v>0</v>
      </c>
      <c r="C22" t="str">
        <v>VV</v>
      </c>
      <c r="D22">
        <v>0</v>
      </c>
      <c r="E22" t="str">
        <v>MM</v>
      </c>
      <c r="F22" t="str">
        <v>&lt;Null&gt;</v>
      </c>
      <c r="G22">
        <v>45839</v>
      </c>
      <c r="H22">
        <v>0</v>
      </c>
      <c r="I22" t="str">
        <v>Globe Equity Decree</v>
      </c>
      <c r="J22" t="str">
        <v>Gila River</v>
      </c>
      <c r="K22" t="str">
        <v>GR</v>
      </c>
      <c r="L22" t="str">
        <v>Virden Valey</v>
      </c>
      <c r="M22" t="str">
        <v>VV</v>
      </c>
      <c r="N22" t="str">
        <v>Sunset Canal</v>
      </c>
      <c r="O22" t="str">
        <v>AL</v>
      </c>
      <c r="P22" t="str">
        <v>Alfalfa</v>
      </c>
      <c r="Q22">
        <v>9.2249779156421768E-2</v>
      </c>
      <c r="R22" t="str">
        <v>1</v>
      </c>
      <c r="S22" t="str">
        <v>Flood irrigated</v>
      </c>
      <c r="T22">
        <v>0</v>
      </c>
      <c r="U22">
        <v>0</v>
      </c>
      <c r="V22" t="str">
        <v>12</v>
      </c>
      <c r="W22">
        <v>0</v>
      </c>
      <c r="X22">
        <v>0</v>
      </c>
      <c r="Y22" t="str">
        <v>T19S</v>
      </c>
      <c r="Z22" t="str">
        <v>R21W</v>
      </c>
      <c r="AA22" t="str">
        <v>6</v>
      </c>
      <c r="AB22" t="str">
        <v>HI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157.79966138743339</v>
      </c>
      <c r="AJ22">
        <v>373.32310453507188</v>
      </c>
      <c r="AK22">
        <v>0</v>
      </c>
    </row>
    <row r="23" spans="1:37" x14ac:dyDescent="0.25">
      <c r="A23">
        <v>305</v>
      </c>
      <c r="B23">
        <v>0</v>
      </c>
      <c r="C23" t="str">
        <v>VV</v>
      </c>
      <c r="D23">
        <v>0</v>
      </c>
      <c r="E23" t="str">
        <v>MM</v>
      </c>
      <c r="F23" t="str">
        <v>&lt;Null&gt;</v>
      </c>
      <c r="G23">
        <v>45839</v>
      </c>
      <c r="H23">
        <v>0</v>
      </c>
      <c r="I23" t="str">
        <v>Globe Equity Decree</v>
      </c>
      <c r="J23" t="str">
        <v>Gila River</v>
      </c>
      <c r="K23" t="str">
        <v>GR</v>
      </c>
      <c r="L23" t="str">
        <v>Virden Valey</v>
      </c>
      <c r="M23" t="str">
        <v>VV</v>
      </c>
      <c r="N23" t="str">
        <v>Sunset Canal</v>
      </c>
      <c r="O23" t="str">
        <v>AL</v>
      </c>
      <c r="P23" t="str">
        <v>Alfalfa</v>
      </c>
      <c r="Q23">
        <v>1.730578116068721</v>
      </c>
      <c r="R23" t="str">
        <v>1</v>
      </c>
      <c r="S23" t="str">
        <v>Flood irrigated</v>
      </c>
      <c r="T23">
        <v>0</v>
      </c>
      <c r="U23">
        <v>0</v>
      </c>
      <c r="V23" t="str">
        <v>12</v>
      </c>
      <c r="W23">
        <v>0</v>
      </c>
      <c r="X23">
        <v>0</v>
      </c>
      <c r="Y23" t="str">
        <v>T18S</v>
      </c>
      <c r="Z23" t="str">
        <v>R21W</v>
      </c>
      <c r="AA23" t="str">
        <v>31</v>
      </c>
      <c r="AB23" t="str">
        <v>HI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416.03806832978768</v>
      </c>
      <c r="AJ23">
        <v>7003.4291771662893</v>
      </c>
      <c r="AK23">
        <v>0</v>
      </c>
    </row>
    <row r="24" spans="1:37" x14ac:dyDescent="0.25">
      <c r="A24">
        <v>306</v>
      </c>
      <c r="B24">
        <v>0</v>
      </c>
      <c r="C24" t="str">
        <v>VV</v>
      </c>
      <c r="D24">
        <v>0</v>
      </c>
      <c r="E24" t="str">
        <v>MM</v>
      </c>
      <c r="F24" t="str">
        <v>&lt;Null&gt;</v>
      </c>
      <c r="G24">
        <v>45839</v>
      </c>
      <c r="H24">
        <v>0</v>
      </c>
      <c r="I24" t="str">
        <v>Globe Equity Decree</v>
      </c>
      <c r="J24" t="str">
        <v>Gila River</v>
      </c>
      <c r="K24" t="str">
        <v>GR</v>
      </c>
      <c r="L24" t="str">
        <v>Virden Valey</v>
      </c>
      <c r="M24" t="str">
        <v>VV</v>
      </c>
      <c r="N24" t="str">
        <v>Sunset Canal</v>
      </c>
      <c r="O24" t="str">
        <v>AL</v>
      </c>
      <c r="P24" t="str">
        <v>Alfalfa</v>
      </c>
      <c r="Q24">
        <v>8.1086288050388582</v>
      </c>
      <c r="R24" t="str">
        <v>1</v>
      </c>
      <c r="S24" t="str">
        <v>Flood irrigated</v>
      </c>
      <c r="T24">
        <v>0</v>
      </c>
      <c r="U24">
        <v>0</v>
      </c>
      <c r="V24" t="str">
        <v>12</v>
      </c>
      <c r="W24">
        <v>0</v>
      </c>
      <c r="X24">
        <v>0</v>
      </c>
      <c r="Y24" t="str">
        <v>T19S</v>
      </c>
      <c r="Z24" t="str">
        <v>R21W</v>
      </c>
      <c r="AA24" t="str">
        <v>6</v>
      </c>
      <c r="AB24" t="str">
        <v>HI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1045.6801753706111</v>
      </c>
      <c r="AJ24">
        <v>32814.587814749138</v>
      </c>
      <c r="AK24">
        <v>0</v>
      </c>
    </row>
    <row r="25" spans="1:37" x14ac:dyDescent="0.25">
      <c r="A25">
        <v>178</v>
      </c>
      <c r="B25">
        <v>0</v>
      </c>
      <c r="C25" t="str">
        <v>VV</v>
      </c>
      <c r="D25">
        <v>0</v>
      </c>
      <c r="E25" t="str">
        <v>MM</v>
      </c>
      <c r="F25" t="str">
        <v>&lt;Null&gt;</v>
      </c>
      <c r="G25">
        <v>45838</v>
      </c>
      <c r="H25">
        <v>0</v>
      </c>
      <c r="I25" t="str">
        <v>Arizona v California</v>
      </c>
      <c r="J25" t="str">
        <v>Gila River</v>
      </c>
      <c r="K25" t="str">
        <v>GR</v>
      </c>
      <c r="L25" t="str">
        <v>Virden Valey</v>
      </c>
      <c r="M25" t="str">
        <v>VV</v>
      </c>
      <c r="N25">
        <v>0</v>
      </c>
      <c r="O25" t="str">
        <v>CT</v>
      </c>
      <c r="P25" t="str">
        <v>Chistmas Trees</v>
      </c>
      <c r="Q25">
        <v>0.34033576098402091</v>
      </c>
      <c r="R25" t="str">
        <v>1</v>
      </c>
      <c r="S25" t="str">
        <v>Flood irrigated</v>
      </c>
      <c r="T25" t="str">
        <v xml:space="preserve"> </v>
      </c>
      <c r="U25">
        <v>0</v>
      </c>
      <c r="V25" t="str">
        <v>1</v>
      </c>
      <c r="W25">
        <v>0</v>
      </c>
      <c r="X25">
        <v>0</v>
      </c>
      <c r="Y25" t="str">
        <v>T19S</v>
      </c>
      <c r="Z25" t="str">
        <v>R20W</v>
      </c>
      <c r="AA25" t="str">
        <v>18</v>
      </c>
      <c r="AB25" t="str">
        <v>HI</v>
      </c>
      <c r="AC25">
        <v>0</v>
      </c>
      <c r="AD25" t="str">
        <v xml:space="preserve"> </v>
      </c>
      <c r="AE25">
        <v>0</v>
      </c>
      <c r="AF25">
        <v>0</v>
      </c>
      <c r="AG25">
        <v>0</v>
      </c>
      <c r="AH25">
        <v>0</v>
      </c>
      <c r="AI25">
        <v>158.4101653906678</v>
      </c>
      <c r="AJ25">
        <v>1377.2954692869439</v>
      </c>
      <c r="AK25">
        <v>0</v>
      </c>
    </row>
    <row r="26" spans="1:37" x14ac:dyDescent="0.25">
      <c r="A26">
        <v>218</v>
      </c>
      <c r="B26">
        <v>0</v>
      </c>
      <c r="C26" t="str">
        <v>VV</v>
      </c>
      <c r="D26">
        <v>0</v>
      </c>
      <c r="E26" t="str">
        <v>MM</v>
      </c>
      <c r="F26" t="str">
        <v>&lt;Null&gt;</v>
      </c>
      <c r="G26">
        <v>45839</v>
      </c>
      <c r="H26">
        <v>0</v>
      </c>
      <c r="I26" t="str">
        <v>Globe Equity Decree</v>
      </c>
      <c r="J26" t="str">
        <v>Gila River</v>
      </c>
      <c r="K26" t="str">
        <v>GR</v>
      </c>
      <c r="L26" t="str">
        <v>Virden Valey</v>
      </c>
      <c r="M26" t="str">
        <v>VV</v>
      </c>
      <c r="N26" t="str">
        <v>Sunset Canal</v>
      </c>
      <c r="O26" t="str">
        <v>CT</v>
      </c>
      <c r="P26" t="str">
        <v>Chistmas Trees</v>
      </c>
      <c r="Q26">
        <v>0.33359305322081639</v>
      </c>
      <c r="R26" t="str">
        <v>1</v>
      </c>
      <c r="S26" t="str">
        <v>Flood irrigated</v>
      </c>
      <c r="T26">
        <v>0</v>
      </c>
      <c r="U26">
        <v>0</v>
      </c>
      <c r="V26" t="str">
        <v>13</v>
      </c>
      <c r="W26">
        <v>0</v>
      </c>
      <c r="X26">
        <v>0</v>
      </c>
      <c r="Y26" t="str">
        <v>T18S</v>
      </c>
      <c r="Z26" t="str">
        <v>R21W</v>
      </c>
      <c r="AA26" t="str">
        <v>32</v>
      </c>
      <c r="AB26" t="str">
        <v>HI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215.03014108457779</v>
      </c>
      <c r="AJ26">
        <v>1350.0085899236451</v>
      </c>
      <c r="AK26">
        <v>0</v>
      </c>
    </row>
    <row r="27" spans="1:37" x14ac:dyDescent="0.25">
      <c r="A27">
        <v>220</v>
      </c>
      <c r="B27">
        <v>0</v>
      </c>
      <c r="C27" t="str">
        <v>VV</v>
      </c>
      <c r="D27">
        <v>0</v>
      </c>
      <c r="E27" t="str">
        <v>MM</v>
      </c>
      <c r="F27" t="str">
        <v>&lt;Null&gt;</v>
      </c>
      <c r="G27">
        <v>45839</v>
      </c>
      <c r="H27">
        <v>0</v>
      </c>
      <c r="I27" t="str">
        <v>Globe Equity Decree</v>
      </c>
      <c r="J27" t="str">
        <v>Gila River</v>
      </c>
      <c r="K27" t="str">
        <v>GR</v>
      </c>
      <c r="L27" t="str">
        <v>Virden Valey</v>
      </c>
      <c r="M27" t="str">
        <v>VV</v>
      </c>
      <c r="N27" t="str">
        <v>Sunset Canal</v>
      </c>
      <c r="O27" t="str">
        <v>CT</v>
      </c>
      <c r="P27" t="str">
        <v>Chistmas Trees</v>
      </c>
      <c r="Q27">
        <v>2.2191495763561728</v>
      </c>
      <c r="R27" t="str">
        <v>1</v>
      </c>
      <c r="S27" t="str">
        <v>Flood irrigated</v>
      </c>
      <c r="T27">
        <v>0</v>
      </c>
      <c r="U27">
        <v>0</v>
      </c>
      <c r="V27" t="str">
        <v>13</v>
      </c>
      <c r="W27">
        <v>0</v>
      </c>
      <c r="X27">
        <v>0</v>
      </c>
      <c r="Y27" t="str">
        <v>T18S</v>
      </c>
      <c r="Z27" t="str">
        <v>R21W</v>
      </c>
      <c r="AA27" t="str">
        <v>32</v>
      </c>
      <c r="AB27" t="str">
        <v>HI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611.09150689986927</v>
      </c>
      <c r="AJ27">
        <v>8980.6156377698462</v>
      </c>
      <c r="AK27">
        <v>0</v>
      </c>
    </row>
    <row r="28" spans="1:37" x14ac:dyDescent="0.25">
      <c r="A28">
        <v>2</v>
      </c>
      <c r="B28">
        <v>0</v>
      </c>
      <c r="C28" t="str">
        <v>VV</v>
      </c>
      <c r="D28">
        <v>0</v>
      </c>
      <c r="E28" t="str">
        <v>MM</v>
      </c>
      <c r="F28" t="str">
        <v>&lt;Null&gt;</v>
      </c>
      <c r="G28">
        <v>45838</v>
      </c>
      <c r="H28">
        <v>0</v>
      </c>
      <c r="I28" t="str">
        <v>Globe Equity Decree</v>
      </c>
      <c r="J28" t="str">
        <v>Gila River</v>
      </c>
      <c r="K28" t="str">
        <v>GR</v>
      </c>
      <c r="L28" t="str">
        <v>Virden Valey</v>
      </c>
      <c r="M28" t="str">
        <v>VV</v>
      </c>
      <c r="N28" t="str">
        <v>Sunset Canal</v>
      </c>
      <c r="O28" t="str">
        <v>CS</v>
      </c>
      <c r="P28" t="str">
        <v>Corn (Silage)</v>
      </c>
      <c r="Q28">
        <v>32.615800635641918</v>
      </c>
      <c r="R28" t="str">
        <v>1</v>
      </c>
      <c r="S28" t="str">
        <v>Flood irrigated</v>
      </c>
      <c r="T28">
        <v>0</v>
      </c>
      <c r="U28">
        <v>0</v>
      </c>
      <c r="V28" t="str">
        <v>1</v>
      </c>
      <c r="W28">
        <v>0</v>
      </c>
      <c r="X28">
        <v>0</v>
      </c>
      <c r="Y28" t="str">
        <v>T19S</v>
      </c>
      <c r="Z28" t="str">
        <v>R20W</v>
      </c>
      <c r="AA28" t="str">
        <v>18</v>
      </c>
      <c r="AB28" t="str">
        <v>HI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1488.6522418550369</v>
      </c>
      <c r="AJ28">
        <v>131991.99024149851</v>
      </c>
      <c r="AK28">
        <v>0</v>
      </c>
    </row>
    <row r="29" spans="1:37" x14ac:dyDescent="0.25">
      <c r="A29">
        <v>16</v>
      </c>
      <c r="B29">
        <v>0</v>
      </c>
      <c r="C29" t="str">
        <v>VV</v>
      </c>
      <c r="D29">
        <v>0</v>
      </c>
      <c r="E29" t="str">
        <v>MM</v>
      </c>
      <c r="F29" t="str">
        <v>&lt;Null&gt;</v>
      </c>
      <c r="G29">
        <v>45838</v>
      </c>
      <c r="H29">
        <v>0</v>
      </c>
      <c r="I29" t="str">
        <v>Globe Equity Decree</v>
      </c>
      <c r="J29" t="str">
        <v>Gila River</v>
      </c>
      <c r="K29" t="str">
        <v>GR</v>
      </c>
      <c r="L29" t="str">
        <v>Virden Valey</v>
      </c>
      <c r="M29" t="str">
        <v>VV</v>
      </c>
      <c r="N29" t="str">
        <v>Sunset Canal</v>
      </c>
      <c r="O29" t="str">
        <v>CS</v>
      </c>
      <c r="P29" t="str">
        <v>Corn (Silage)</v>
      </c>
      <c r="Q29">
        <v>36.439709898692243</v>
      </c>
      <c r="R29" t="str">
        <v>1</v>
      </c>
      <c r="S29" t="str">
        <v>Flood irrigated</v>
      </c>
      <c r="T29">
        <v>0</v>
      </c>
      <c r="U29">
        <v>0</v>
      </c>
      <c r="V29" t="str">
        <v>4</v>
      </c>
      <c r="W29">
        <v>0</v>
      </c>
      <c r="X29">
        <v>0</v>
      </c>
      <c r="Y29" t="str">
        <v>T19S</v>
      </c>
      <c r="Z29" t="str">
        <v>R21W</v>
      </c>
      <c r="AA29" t="str">
        <v>13</v>
      </c>
      <c r="AB29" t="str">
        <v>HI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1618.0892903128879</v>
      </c>
      <c r="AJ29">
        <v>147466.86390078129</v>
      </c>
      <c r="AK29">
        <v>0</v>
      </c>
    </row>
    <row r="30" spans="1:37" x14ac:dyDescent="0.25">
      <c r="A30">
        <v>36</v>
      </c>
      <c r="B30">
        <v>0</v>
      </c>
      <c r="C30" t="str">
        <v>VV</v>
      </c>
      <c r="D30">
        <v>0</v>
      </c>
      <c r="E30" t="str">
        <v>MM</v>
      </c>
      <c r="F30" t="str">
        <v>&lt;Null&gt;</v>
      </c>
      <c r="G30">
        <v>45838</v>
      </c>
      <c r="H30">
        <v>0</v>
      </c>
      <c r="I30" t="str">
        <v>Globe Equity Decree</v>
      </c>
      <c r="J30" t="str">
        <v>Gila River</v>
      </c>
      <c r="K30" t="str">
        <v>GR</v>
      </c>
      <c r="L30" t="str">
        <v>Virden Valey</v>
      </c>
      <c r="M30" t="str">
        <v>VV</v>
      </c>
      <c r="N30" t="str">
        <v>Sunset Canal</v>
      </c>
      <c r="O30" t="str">
        <v>CS</v>
      </c>
      <c r="P30" t="str">
        <v>Corn (Silage)</v>
      </c>
      <c r="Q30">
        <v>16.817689691525342</v>
      </c>
      <c r="R30" t="str">
        <v>1</v>
      </c>
      <c r="S30" t="str">
        <v>Flood irrigated</v>
      </c>
      <c r="T30">
        <v>0</v>
      </c>
      <c r="U30">
        <v>0</v>
      </c>
      <c r="V30" t="str">
        <v>6</v>
      </c>
      <c r="W30">
        <v>0</v>
      </c>
      <c r="X30">
        <v>0</v>
      </c>
      <c r="Y30">
        <v>0</v>
      </c>
      <c r="Z30">
        <v>0</v>
      </c>
      <c r="AA30">
        <v>0</v>
      </c>
      <c r="AB30" t="str">
        <v>HI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1113.5764507654001</v>
      </c>
      <c r="AJ30">
        <v>68059.047773998464</v>
      </c>
      <c r="AK30">
        <v>0</v>
      </c>
    </row>
    <row r="31" spans="1:37" x14ac:dyDescent="0.25">
      <c r="A31">
        <v>42</v>
      </c>
      <c r="B31">
        <v>0</v>
      </c>
      <c r="C31" t="str">
        <v>VV</v>
      </c>
      <c r="D31">
        <v>0</v>
      </c>
      <c r="E31" t="str">
        <v>MM</v>
      </c>
      <c r="F31" t="str">
        <v>&lt;Null&gt;</v>
      </c>
      <c r="G31">
        <v>45838</v>
      </c>
      <c r="H31">
        <v>0</v>
      </c>
      <c r="I31" t="str">
        <v>Globe Equity Decree</v>
      </c>
      <c r="J31" t="str">
        <v>Gila River</v>
      </c>
      <c r="K31" t="str">
        <v>GR</v>
      </c>
      <c r="L31" t="str">
        <v>Virden Valey</v>
      </c>
      <c r="M31" t="str">
        <v>VV</v>
      </c>
      <c r="N31" t="str">
        <v>Sunset Canal</v>
      </c>
      <c r="O31" t="str">
        <v>CS</v>
      </c>
      <c r="P31" t="str">
        <v>Corn (Silage)</v>
      </c>
      <c r="Q31">
        <v>37.78643649590046</v>
      </c>
      <c r="R31" t="str">
        <v>1</v>
      </c>
      <c r="S31" t="str">
        <v>Flood irrigated</v>
      </c>
      <c r="T31">
        <v>0</v>
      </c>
      <c r="U31">
        <v>0</v>
      </c>
      <c r="V31" t="str">
        <v>5</v>
      </c>
      <c r="W31">
        <v>0</v>
      </c>
      <c r="X31">
        <v>0</v>
      </c>
      <c r="Y31">
        <v>0</v>
      </c>
      <c r="Z31">
        <v>0</v>
      </c>
      <c r="AA31">
        <v>0</v>
      </c>
      <c r="AB31" t="str">
        <v>HI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1544.08531511194</v>
      </c>
      <c r="AJ31">
        <v>152916.89488001241</v>
      </c>
      <c r="AK31">
        <v>0</v>
      </c>
    </row>
    <row r="32" spans="1:37" x14ac:dyDescent="0.25">
      <c r="A32">
        <v>43</v>
      </c>
      <c r="B32">
        <v>0</v>
      </c>
      <c r="C32" t="str">
        <v>VV</v>
      </c>
      <c r="D32">
        <v>0</v>
      </c>
      <c r="E32" t="str">
        <v>MM</v>
      </c>
      <c r="F32" t="str">
        <v>&lt;Null&gt;</v>
      </c>
      <c r="G32">
        <v>45838</v>
      </c>
      <c r="H32">
        <v>0</v>
      </c>
      <c r="I32" t="str">
        <v>Globe Equity Decree</v>
      </c>
      <c r="J32" t="str">
        <v>Gila River</v>
      </c>
      <c r="K32" t="str">
        <v>GR</v>
      </c>
      <c r="L32" t="str">
        <v>Virden Valey</v>
      </c>
      <c r="M32" t="str">
        <v>VV</v>
      </c>
      <c r="N32" t="str">
        <v>Sunset Canal</v>
      </c>
      <c r="O32" t="str">
        <v>CS</v>
      </c>
      <c r="P32" t="str">
        <v>Corn (Silage)</v>
      </c>
      <c r="Q32">
        <v>36.404137036380547</v>
      </c>
      <c r="R32" t="str">
        <v>1</v>
      </c>
      <c r="S32" t="str">
        <v>Flood irrigated</v>
      </c>
      <c r="T32">
        <v>0</v>
      </c>
      <c r="U32">
        <v>0</v>
      </c>
      <c r="V32" t="str">
        <v>5</v>
      </c>
      <c r="W32">
        <v>0</v>
      </c>
      <c r="X32">
        <v>0</v>
      </c>
      <c r="Y32">
        <v>0</v>
      </c>
      <c r="Z32">
        <v>0</v>
      </c>
      <c r="AA32">
        <v>0</v>
      </c>
      <c r="AB32" t="str">
        <v>HI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1506.175217756921</v>
      </c>
      <c r="AJ32">
        <v>147322.90505863729</v>
      </c>
      <c r="AK32">
        <v>0</v>
      </c>
    </row>
    <row r="33" spans="1:37" x14ac:dyDescent="0.25">
      <c r="A33">
        <v>52</v>
      </c>
      <c r="B33">
        <v>0</v>
      </c>
      <c r="C33" t="str">
        <v>VV</v>
      </c>
      <c r="D33">
        <v>0</v>
      </c>
      <c r="E33" t="str">
        <v>MM</v>
      </c>
      <c r="F33" t="str">
        <v>&lt;Null&gt;</v>
      </c>
      <c r="G33">
        <v>45838</v>
      </c>
      <c r="H33">
        <v>0</v>
      </c>
      <c r="I33" t="str">
        <v>Globe Equity Decree</v>
      </c>
      <c r="J33" t="str">
        <v>Gila River</v>
      </c>
      <c r="K33" t="str">
        <v>GR</v>
      </c>
      <c r="L33" t="str">
        <v>Virden Valey</v>
      </c>
      <c r="M33" t="str">
        <v>VV</v>
      </c>
      <c r="N33" t="str">
        <v>Sunset Canal</v>
      </c>
      <c r="O33" t="str">
        <v>CS</v>
      </c>
      <c r="P33" t="str">
        <v>Corn (Silage)</v>
      </c>
      <c r="Q33">
        <v>9.4668610105355349</v>
      </c>
      <c r="R33" t="str">
        <v>1</v>
      </c>
      <c r="S33" t="str">
        <v>Flood irrigated</v>
      </c>
      <c r="T33">
        <v>0</v>
      </c>
      <c r="U33">
        <v>0</v>
      </c>
      <c r="V33" t="str">
        <v>8</v>
      </c>
      <c r="W33">
        <v>0</v>
      </c>
      <c r="X33">
        <v>0</v>
      </c>
      <c r="Y33">
        <v>0</v>
      </c>
      <c r="Z33">
        <v>0</v>
      </c>
      <c r="AA33">
        <v>0</v>
      </c>
      <c r="AB33" t="str">
        <v>HI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856.91571832815657</v>
      </c>
      <c r="AJ33">
        <v>38311.180525022733</v>
      </c>
      <c r="AK33">
        <v>0</v>
      </c>
    </row>
    <row r="34" spans="1:37" x14ac:dyDescent="0.25">
      <c r="A34">
        <v>53</v>
      </c>
      <c r="B34">
        <v>0</v>
      </c>
      <c r="C34" t="str">
        <v>VV</v>
      </c>
      <c r="D34">
        <v>0</v>
      </c>
      <c r="E34" t="str">
        <v>MM</v>
      </c>
      <c r="F34" t="str">
        <v>&lt;Null&gt;</v>
      </c>
      <c r="G34">
        <v>45838</v>
      </c>
      <c r="H34">
        <v>0</v>
      </c>
      <c r="I34" t="str">
        <v>Globe Equity Decree</v>
      </c>
      <c r="J34" t="str">
        <v>Gila River</v>
      </c>
      <c r="K34" t="str">
        <v>GR</v>
      </c>
      <c r="L34" t="str">
        <v>Virden Valey</v>
      </c>
      <c r="M34" t="str">
        <v>VV</v>
      </c>
      <c r="N34" t="str">
        <v>Sunset Canal</v>
      </c>
      <c r="O34" t="str">
        <v>CS</v>
      </c>
      <c r="P34" t="str">
        <v>Corn (Silage)</v>
      </c>
      <c r="Q34">
        <v>18.025186515132859</v>
      </c>
      <c r="R34" t="str">
        <v>1</v>
      </c>
      <c r="S34" t="str">
        <v>Flood irrigated</v>
      </c>
      <c r="T34">
        <v>0</v>
      </c>
      <c r="U34">
        <v>0</v>
      </c>
      <c r="V34" t="str">
        <v>8</v>
      </c>
      <c r="W34">
        <v>0</v>
      </c>
      <c r="X34">
        <v>0</v>
      </c>
      <c r="Y34">
        <v>0</v>
      </c>
      <c r="Z34">
        <v>0</v>
      </c>
      <c r="AA34">
        <v>0</v>
      </c>
      <c r="AB34" t="str">
        <v>HI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1144.2856533405429</v>
      </c>
      <c r="AJ34">
        <v>72945.633595965861</v>
      </c>
      <c r="AK34">
        <v>0</v>
      </c>
    </row>
    <row r="35" spans="1:37" x14ac:dyDescent="0.25">
      <c r="A35">
        <v>225</v>
      </c>
      <c r="B35">
        <v>0</v>
      </c>
      <c r="C35" t="str">
        <v>VV</v>
      </c>
      <c r="D35">
        <v>0</v>
      </c>
      <c r="E35" t="str">
        <v>MM</v>
      </c>
      <c r="F35" t="str">
        <v>&lt;Null&gt;</v>
      </c>
      <c r="G35">
        <v>45839</v>
      </c>
      <c r="H35">
        <v>0</v>
      </c>
      <c r="I35" t="str">
        <v>Globe Equity Decree</v>
      </c>
      <c r="J35" t="str">
        <v>Gila River</v>
      </c>
      <c r="K35" t="str">
        <v>GR</v>
      </c>
      <c r="L35" t="str">
        <v>Virden Valey</v>
      </c>
      <c r="M35" t="str">
        <v>VV</v>
      </c>
      <c r="N35" t="str">
        <v>Sunset Canal</v>
      </c>
      <c r="O35" t="str">
        <v>CS</v>
      </c>
      <c r="P35" t="str">
        <v>Corn (Silage)</v>
      </c>
      <c r="Q35">
        <v>8.0509925771009687</v>
      </c>
      <c r="R35" t="str">
        <v>1</v>
      </c>
      <c r="S35" t="str">
        <v>Flood irrigated</v>
      </c>
      <c r="T35">
        <v>0</v>
      </c>
      <c r="U35">
        <v>0</v>
      </c>
      <c r="V35" t="str">
        <v>13</v>
      </c>
      <c r="W35">
        <v>0</v>
      </c>
      <c r="X35">
        <v>0</v>
      </c>
      <c r="Y35" t="str">
        <v>T18S</v>
      </c>
      <c r="Z35" t="str">
        <v>R21W</v>
      </c>
      <c r="AA35" t="str">
        <v>32</v>
      </c>
      <c r="AB35" t="str">
        <v>HI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846.47492769076098</v>
      </c>
      <c r="AJ35">
        <v>32581.341342570831</v>
      </c>
      <c r="AK35">
        <v>0</v>
      </c>
    </row>
    <row r="36" spans="1:37" x14ac:dyDescent="0.25">
      <c r="A36">
        <v>234</v>
      </c>
      <c r="B36">
        <v>0</v>
      </c>
      <c r="C36" t="str">
        <v>VV</v>
      </c>
      <c r="D36">
        <v>0</v>
      </c>
      <c r="E36" t="str">
        <v>MM</v>
      </c>
      <c r="F36" t="str">
        <v>&lt;Null&gt;</v>
      </c>
      <c r="G36">
        <v>45839</v>
      </c>
      <c r="H36">
        <v>0</v>
      </c>
      <c r="I36" t="str">
        <v>Globe Equity Decree</v>
      </c>
      <c r="J36" t="str">
        <v>Gila River</v>
      </c>
      <c r="K36" t="str">
        <v>GR</v>
      </c>
      <c r="L36" t="str">
        <v>Virden Valey</v>
      </c>
      <c r="M36" t="str">
        <v>VV</v>
      </c>
      <c r="N36" t="str">
        <v>Sunset Canal</v>
      </c>
      <c r="O36" t="str">
        <v>CS</v>
      </c>
      <c r="P36" t="str">
        <v>Corn (Silage)</v>
      </c>
      <c r="Q36">
        <v>14.918414386800849</v>
      </c>
      <c r="R36" t="str">
        <v>1</v>
      </c>
      <c r="S36" t="str">
        <v>Flood irrigated</v>
      </c>
      <c r="T36">
        <v>0</v>
      </c>
      <c r="U36">
        <v>0</v>
      </c>
      <c r="V36" t="str">
        <v>13</v>
      </c>
      <c r="W36">
        <v>0</v>
      </c>
      <c r="X36">
        <v>0</v>
      </c>
      <c r="Y36" t="str">
        <v>T18S</v>
      </c>
      <c r="Z36" t="str">
        <v>R21W</v>
      </c>
      <c r="AA36" t="str">
        <v>32</v>
      </c>
      <c r="AB36" t="str">
        <v>HI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973.66974756935861</v>
      </c>
      <c r="AJ36">
        <v>60372.92256469834</v>
      </c>
      <c r="AK36">
        <v>0</v>
      </c>
    </row>
    <row r="37" spans="1:37" x14ac:dyDescent="0.25">
      <c r="A37">
        <v>235</v>
      </c>
      <c r="B37">
        <v>0</v>
      </c>
      <c r="C37" t="str">
        <v>VV</v>
      </c>
      <c r="D37">
        <v>0</v>
      </c>
      <c r="E37" t="str">
        <v>MM</v>
      </c>
      <c r="F37" t="str">
        <v>&lt;Null&gt;</v>
      </c>
      <c r="G37">
        <v>45839</v>
      </c>
      <c r="H37">
        <v>0</v>
      </c>
      <c r="I37" t="str">
        <v>Globe Equity Decree</v>
      </c>
      <c r="J37" t="str">
        <v>Gila River</v>
      </c>
      <c r="K37" t="str">
        <v>GR</v>
      </c>
      <c r="L37" t="str">
        <v>Virden Valey</v>
      </c>
      <c r="M37" t="str">
        <v>VV</v>
      </c>
      <c r="N37" t="str">
        <v>Sunset Canal</v>
      </c>
      <c r="O37" t="str">
        <v>CS</v>
      </c>
      <c r="P37" t="str">
        <v>Corn (Silage)</v>
      </c>
      <c r="Q37">
        <v>7.7545822989534381</v>
      </c>
      <c r="R37" t="str">
        <v>1</v>
      </c>
      <c r="S37" t="str">
        <v>Flood irrigated</v>
      </c>
      <c r="T37">
        <v>0</v>
      </c>
      <c r="U37">
        <v>0</v>
      </c>
      <c r="V37" t="str">
        <v>13</v>
      </c>
      <c r="W37">
        <v>0</v>
      </c>
      <c r="X37">
        <v>0</v>
      </c>
      <c r="Y37" t="str">
        <v>T18S</v>
      </c>
      <c r="Z37" t="str">
        <v>R21W</v>
      </c>
      <c r="AA37" t="str">
        <v>32</v>
      </c>
      <c r="AB37" t="str">
        <v>HI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758.61488417823125</v>
      </c>
      <c r="AJ37">
        <v>31381.806706650379</v>
      </c>
      <c r="AK37">
        <v>0</v>
      </c>
    </row>
    <row r="38" spans="1:37" x14ac:dyDescent="0.25">
      <c r="A38">
        <v>236</v>
      </c>
      <c r="B38">
        <v>0</v>
      </c>
      <c r="C38" t="str">
        <v>VV</v>
      </c>
      <c r="D38">
        <v>0</v>
      </c>
      <c r="E38" t="str">
        <v>MM</v>
      </c>
      <c r="F38" t="str">
        <v>&lt;Null&gt;</v>
      </c>
      <c r="G38">
        <v>45839</v>
      </c>
      <c r="H38">
        <v>0</v>
      </c>
      <c r="I38" t="str">
        <v>Globe Equity Decree</v>
      </c>
      <c r="J38" t="str">
        <v>Gila River</v>
      </c>
      <c r="K38" t="str">
        <v>GR</v>
      </c>
      <c r="L38" t="str">
        <v>Virden Valey</v>
      </c>
      <c r="M38" t="str">
        <v>VV</v>
      </c>
      <c r="N38" t="str">
        <v>Sunset Canal</v>
      </c>
      <c r="O38" t="str">
        <v>CS</v>
      </c>
      <c r="P38" t="str">
        <v>Corn (Silage)</v>
      </c>
      <c r="Q38">
        <v>3.3113953364693991</v>
      </c>
      <c r="R38" t="str">
        <v>1</v>
      </c>
      <c r="S38" t="str">
        <v>Flood irrigated</v>
      </c>
      <c r="T38">
        <v>0</v>
      </c>
      <c r="U38">
        <v>0</v>
      </c>
      <c r="V38" t="str">
        <v>13</v>
      </c>
      <c r="W38">
        <v>0</v>
      </c>
      <c r="X38">
        <v>0</v>
      </c>
      <c r="Y38" t="str">
        <v>T18S</v>
      </c>
      <c r="Z38" t="str">
        <v>R21W</v>
      </c>
      <c r="AA38" t="str">
        <v>32</v>
      </c>
      <c r="AB38" t="str">
        <v>HI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480.65524425887509</v>
      </c>
      <c r="AJ38">
        <v>13400.795087623341</v>
      </c>
      <c r="AK38">
        <v>0</v>
      </c>
    </row>
    <row r="39" spans="1:37" x14ac:dyDescent="0.25">
      <c r="A39">
        <v>241</v>
      </c>
      <c r="B39">
        <v>0</v>
      </c>
      <c r="C39" t="str">
        <v>VV</v>
      </c>
      <c r="D39">
        <v>0</v>
      </c>
      <c r="E39" t="str">
        <v>MM</v>
      </c>
      <c r="F39" t="str">
        <v>&lt;Null&gt;</v>
      </c>
      <c r="G39">
        <v>45839</v>
      </c>
      <c r="H39">
        <v>0</v>
      </c>
      <c r="I39" t="str">
        <v>Globe Equity Decree</v>
      </c>
      <c r="J39" t="str">
        <v>Gila River</v>
      </c>
      <c r="K39" t="str">
        <v>GR</v>
      </c>
      <c r="L39" t="str">
        <v>Virden Valey</v>
      </c>
      <c r="M39" t="str">
        <v>VV</v>
      </c>
      <c r="N39" t="str">
        <v>Sunset Canal</v>
      </c>
      <c r="O39" t="str">
        <v>CS</v>
      </c>
      <c r="P39" t="str">
        <v>Corn (Silage)</v>
      </c>
      <c r="Q39">
        <v>15.224449717500001</v>
      </c>
      <c r="R39" t="str">
        <v>1</v>
      </c>
      <c r="S39" t="str">
        <v>Flood irrigated</v>
      </c>
      <c r="T39">
        <v>0</v>
      </c>
      <c r="U39">
        <v>0</v>
      </c>
      <c r="V39" t="str">
        <v>13</v>
      </c>
      <c r="W39">
        <v>0</v>
      </c>
      <c r="X39">
        <v>0</v>
      </c>
      <c r="Y39" t="str">
        <v>T18S</v>
      </c>
      <c r="Z39" t="str">
        <v>R21W</v>
      </c>
      <c r="AA39" t="str">
        <v>32</v>
      </c>
      <c r="AB39" t="str">
        <v>HI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1076.4805368521349</v>
      </c>
      <c r="AJ39">
        <v>61611.408562158533</v>
      </c>
      <c r="AK39">
        <v>0</v>
      </c>
    </row>
    <row r="40" spans="1:37" x14ac:dyDescent="0.25">
      <c r="A40">
        <v>242</v>
      </c>
      <c r="B40">
        <v>0</v>
      </c>
      <c r="C40" t="str">
        <v>VV</v>
      </c>
      <c r="D40">
        <v>0</v>
      </c>
      <c r="E40" t="str">
        <v>MM</v>
      </c>
      <c r="F40" t="str">
        <v>&lt;Null&gt;</v>
      </c>
      <c r="G40">
        <v>45839</v>
      </c>
      <c r="H40">
        <v>0</v>
      </c>
      <c r="I40" t="str">
        <v>Globe Equity Decree</v>
      </c>
      <c r="J40" t="str">
        <v>Gila River</v>
      </c>
      <c r="K40" t="str">
        <v>GR</v>
      </c>
      <c r="L40" t="str">
        <v>Virden Valey</v>
      </c>
      <c r="M40" t="str">
        <v>VV</v>
      </c>
      <c r="N40" t="str">
        <v>Sunset Canal</v>
      </c>
      <c r="O40" t="str">
        <v>CS</v>
      </c>
      <c r="P40" t="str">
        <v>Corn (Silage)</v>
      </c>
      <c r="Q40">
        <v>6.6414484531606952</v>
      </c>
      <c r="R40" t="str">
        <v>1</v>
      </c>
      <c r="S40" t="str">
        <v>Flood irrigated</v>
      </c>
      <c r="T40">
        <v>0</v>
      </c>
      <c r="U40">
        <v>0</v>
      </c>
      <c r="V40" t="str">
        <v>13</v>
      </c>
      <c r="W40">
        <v>0</v>
      </c>
      <c r="X40">
        <v>0</v>
      </c>
      <c r="Y40" t="str">
        <v>T18S</v>
      </c>
      <c r="Z40" t="str">
        <v>R21W</v>
      </c>
      <c r="AA40" t="str">
        <v>32</v>
      </c>
      <c r="AB40" t="str">
        <v>HI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743.2200840278831</v>
      </c>
      <c r="AJ40">
        <v>26877.09583498774</v>
      </c>
      <c r="AK40">
        <v>0</v>
      </c>
    </row>
    <row r="41" spans="1:37" x14ac:dyDescent="0.25">
      <c r="A41">
        <v>5</v>
      </c>
      <c r="B41">
        <v>0</v>
      </c>
      <c r="C41" t="str">
        <v>VV</v>
      </c>
      <c r="D41">
        <v>0</v>
      </c>
      <c r="E41" t="str">
        <v>MM</v>
      </c>
      <c r="F41" t="str">
        <v>&lt;Null&gt;</v>
      </c>
      <c r="G41">
        <v>45838</v>
      </c>
      <c r="H41">
        <v>0</v>
      </c>
      <c r="I41" t="str">
        <v>Globe Equity Decree</v>
      </c>
      <c r="J41" t="str">
        <v>Gila River</v>
      </c>
      <c r="K41" t="str">
        <v>GR</v>
      </c>
      <c r="L41" t="str">
        <v>Virden Valey</v>
      </c>
      <c r="M41" t="str">
        <v>VV</v>
      </c>
      <c r="N41" t="str">
        <v>Sunset Canal</v>
      </c>
      <c r="O41" t="str">
        <v>CO</v>
      </c>
      <c r="P41" t="str">
        <v>Cotton</v>
      </c>
      <c r="Q41">
        <v>47.615659985115343</v>
      </c>
      <c r="R41" t="str">
        <v>1</v>
      </c>
      <c r="S41" t="str">
        <v>Flood irrigated</v>
      </c>
      <c r="T41">
        <v>0</v>
      </c>
      <c r="U41">
        <v>0</v>
      </c>
      <c r="V41" t="str">
        <v>1</v>
      </c>
      <c r="W41">
        <v>0</v>
      </c>
      <c r="X41">
        <v>0</v>
      </c>
      <c r="Y41" t="str">
        <v>T19S</v>
      </c>
      <c r="Z41" t="str">
        <v>R20W</v>
      </c>
      <c r="AA41" t="str">
        <v>18</v>
      </c>
      <c r="AB41" t="str">
        <v>HI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1755.7591999470401</v>
      </c>
      <c r="AJ41">
        <v>192694.5101948487</v>
      </c>
      <c r="AK41">
        <v>0</v>
      </c>
    </row>
    <row r="42" spans="1:37" x14ac:dyDescent="0.25">
      <c r="A42">
        <v>6</v>
      </c>
      <c r="B42">
        <v>0</v>
      </c>
      <c r="C42" t="str">
        <v>VV</v>
      </c>
      <c r="D42">
        <v>0</v>
      </c>
      <c r="E42" t="str">
        <v>MM</v>
      </c>
      <c r="F42" t="str">
        <v>&lt;Null&gt;</v>
      </c>
      <c r="G42">
        <v>45838</v>
      </c>
      <c r="H42">
        <v>0</v>
      </c>
      <c r="I42" t="str">
        <v>Globe Equity Decree</v>
      </c>
      <c r="J42" t="str">
        <v>Gila River</v>
      </c>
      <c r="K42" t="str">
        <v>GR</v>
      </c>
      <c r="L42" t="str">
        <v>Virden Valey</v>
      </c>
      <c r="M42" t="str">
        <v>VV</v>
      </c>
      <c r="N42" t="str">
        <v>Sunset Canal</v>
      </c>
      <c r="O42" t="str">
        <v>CO</v>
      </c>
      <c r="P42" t="str">
        <v>Cotton</v>
      </c>
      <c r="Q42">
        <v>8.5517097556433104</v>
      </c>
      <c r="R42" t="str">
        <v>1</v>
      </c>
      <c r="S42" t="str">
        <v>Flood irrigated</v>
      </c>
      <c r="T42" t="str">
        <v>&lt;Null&gt;</v>
      </c>
      <c r="U42">
        <v>0</v>
      </c>
      <c r="V42" t="str">
        <v>1</v>
      </c>
      <c r="W42">
        <v>0</v>
      </c>
      <c r="X42">
        <v>0</v>
      </c>
      <c r="Y42" t="str">
        <v>T19S</v>
      </c>
      <c r="Z42" t="str">
        <v>R20W</v>
      </c>
      <c r="AA42" t="str">
        <v>18</v>
      </c>
      <c r="AB42" t="str">
        <v>HI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748.91577172751829</v>
      </c>
      <c r="AJ42">
        <v>34607.679977707347</v>
      </c>
      <c r="AK42">
        <v>0</v>
      </c>
    </row>
    <row r="43" spans="1:37" x14ac:dyDescent="0.25">
      <c r="A43">
        <v>9</v>
      </c>
      <c r="B43">
        <v>0</v>
      </c>
      <c r="C43" t="str">
        <v>VV</v>
      </c>
      <c r="D43">
        <v>0</v>
      </c>
      <c r="E43" t="str">
        <v>MM</v>
      </c>
      <c r="F43" t="str">
        <v>&lt;Null&gt;</v>
      </c>
      <c r="G43">
        <v>45838</v>
      </c>
      <c r="H43">
        <v>0</v>
      </c>
      <c r="I43" t="str">
        <v>Globe Equity Decree</v>
      </c>
      <c r="J43" t="str">
        <v>Gila River</v>
      </c>
      <c r="K43" t="str">
        <v>GR</v>
      </c>
      <c r="L43" t="str">
        <v>Virden Valey</v>
      </c>
      <c r="M43" t="str">
        <v>VV</v>
      </c>
      <c r="N43" t="str">
        <v>Sunset Canal</v>
      </c>
      <c r="O43" t="str">
        <v>CO</v>
      </c>
      <c r="P43" t="str">
        <v>Cotton</v>
      </c>
      <c r="Q43">
        <v>9.2245431512817309</v>
      </c>
      <c r="R43" t="str">
        <v>1</v>
      </c>
      <c r="S43" t="str">
        <v>Flood irrigated</v>
      </c>
      <c r="T43">
        <v>0</v>
      </c>
      <c r="U43">
        <v>0</v>
      </c>
      <c r="V43" t="str">
        <v>1</v>
      </c>
      <c r="W43">
        <v>0</v>
      </c>
      <c r="X43">
        <v>0</v>
      </c>
      <c r="Y43" t="str">
        <v>T19S</v>
      </c>
      <c r="Z43" t="str">
        <v>R20W</v>
      </c>
      <c r="AA43" t="str">
        <v>18</v>
      </c>
      <c r="AB43" t="str">
        <v>HI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982.0223682634612</v>
      </c>
      <c r="AJ43">
        <v>37330.551017525147</v>
      </c>
      <c r="AK43">
        <v>0</v>
      </c>
    </row>
    <row r="44" spans="1:37" x14ac:dyDescent="0.25">
      <c r="A44">
        <v>37</v>
      </c>
      <c r="B44">
        <v>0</v>
      </c>
      <c r="C44" t="str">
        <v>VV</v>
      </c>
      <c r="D44">
        <v>0</v>
      </c>
      <c r="E44" t="str">
        <v>MM</v>
      </c>
      <c r="F44" t="str">
        <v>&lt;Null&gt;</v>
      </c>
      <c r="G44">
        <v>45838</v>
      </c>
      <c r="H44">
        <v>0</v>
      </c>
      <c r="I44" t="str">
        <v>Globe Equity Decree</v>
      </c>
      <c r="J44" t="str">
        <v>Gila River</v>
      </c>
      <c r="K44" t="str">
        <v>GR</v>
      </c>
      <c r="L44" t="str">
        <v>Virden Valey</v>
      </c>
      <c r="M44" t="str">
        <v>VV</v>
      </c>
      <c r="N44" t="str">
        <v>Sunset Canal</v>
      </c>
      <c r="O44" t="str">
        <v>CO</v>
      </c>
      <c r="P44" t="str">
        <v>Cotton</v>
      </c>
      <c r="Q44">
        <v>27.643710442610761</v>
      </c>
      <c r="R44" t="str">
        <v>1</v>
      </c>
      <c r="S44" t="str">
        <v>Flood irrigated</v>
      </c>
      <c r="T44">
        <v>0</v>
      </c>
      <c r="U44">
        <v>0</v>
      </c>
      <c r="V44" t="str">
        <v>6</v>
      </c>
      <c r="W44">
        <v>0</v>
      </c>
      <c r="X44">
        <v>0</v>
      </c>
      <c r="Y44">
        <v>0</v>
      </c>
      <c r="Z44">
        <v>0</v>
      </c>
      <c r="AA44">
        <v>0</v>
      </c>
      <c r="AB44" t="str">
        <v>HI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1418.8356929179331</v>
      </c>
      <c r="AJ44">
        <v>111870.5746254963</v>
      </c>
      <c r="AK44">
        <v>0</v>
      </c>
    </row>
    <row r="45" spans="1:37" x14ac:dyDescent="0.25">
      <c r="A45">
        <v>44</v>
      </c>
      <c r="B45">
        <v>0</v>
      </c>
      <c r="C45" t="str">
        <v>VV</v>
      </c>
      <c r="D45">
        <v>0</v>
      </c>
      <c r="E45" t="str">
        <v>MM</v>
      </c>
      <c r="F45" t="str">
        <v>&lt;Null&gt;</v>
      </c>
      <c r="G45">
        <v>45838</v>
      </c>
      <c r="H45">
        <v>0</v>
      </c>
      <c r="I45" t="str">
        <v>Globe Equity Decree</v>
      </c>
      <c r="J45" t="str">
        <v>Gila River</v>
      </c>
      <c r="K45" t="str">
        <v>GR</v>
      </c>
      <c r="L45" t="str">
        <v>Virden Valey</v>
      </c>
      <c r="M45" t="str">
        <v>VV</v>
      </c>
      <c r="N45" t="str">
        <v>Sunset Canal</v>
      </c>
      <c r="O45" t="str">
        <v>CO</v>
      </c>
      <c r="P45" t="str">
        <v>Cotton</v>
      </c>
      <c r="Q45">
        <v>56.168202156456431</v>
      </c>
      <c r="R45" t="str">
        <v>1</v>
      </c>
      <c r="S45" t="str">
        <v>Flood irrigated</v>
      </c>
      <c r="T45">
        <v>0</v>
      </c>
      <c r="U45">
        <v>0</v>
      </c>
      <c r="V45" t="str">
        <v>5</v>
      </c>
      <c r="W45">
        <v>0</v>
      </c>
      <c r="X45">
        <v>0</v>
      </c>
      <c r="Y45">
        <v>0</v>
      </c>
      <c r="Z45">
        <v>0</v>
      </c>
      <c r="AA45">
        <v>0</v>
      </c>
      <c r="AB45" t="str">
        <v>HI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1966.0789195073889</v>
      </c>
      <c r="AJ45">
        <v>227305.55885284339</v>
      </c>
      <c r="AK45">
        <v>0</v>
      </c>
    </row>
    <row r="46" spans="1:37" x14ac:dyDescent="0.25">
      <c r="A46">
        <v>54</v>
      </c>
      <c r="B46">
        <v>0</v>
      </c>
      <c r="C46" t="str">
        <v>VV</v>
      </c>
      <c r="D46">
        <v>0</v>
      </c>
      <c r="E46" t="str">
        <v>MM</v>
      </c>
      <c r="F46" t="str">
        <v>&lt;Null&gt;</v>
      </c>
      <c r="G46">
        <v>45838</v>
      </c>
      <c r="H46">
        <v>0</v>
      </c>
      <c r="I46" t="str">
        <v>Globe Equity Decree</v>
      </c>
      <c r="J46" t="str">
        <v>Gila River</v>
      </c>
      <c r="K46" t="str">
        <v>GR</v>
      </c>
      <c r="L46" t="str">
        <v>Virden Valey</v>
      </c>
      <c r="M46" t="str">
        <v>VV</v>
      </c>
      <c r="N46" t="str">
        <v>Sunset Canal</v>
      </c>
      <c r="O46" t="str">
        <v>CO</v>
      </c>
      <c r="P46" t="str">
        <v>Cotton</v>
      </c>
      <c r="Q46">
        <v>43.498075836807622</v>
      </c>
      <c r="R46" t="str">
        <v>1</v>
      </c>
      <c r="S46" t="str">
        <v>Flood irrigated</v>
      </c>
      <c r="T46">
        <v>0</v>
      </c>
      <c r="U46">
        <v>0</v>
      </c>
      <c r="V46" t="str">
        <v>8</v>
      </c>
      <c r="W46">
        <v>0</v>
      </c>
      <c r="X46">
        <v>0</v>
      </c>
      <c r="Y46">
        <v>0</v>
      </c>
      <c r="Z46">
        <v>0</v>
      </c>
      <c r="AA46">
        <v>0</v>
      </c>
      <c r="AB46" t="str">
        <v>HI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1673.668627710741</v>
      </c>
      <c r="AJ46">
        <v>176031.1716862098</v>
      </c>
      <c r="AK46">
        <v>0</v>
      </c>
    </row>
    <row r="47" spans="1:37" x14ac:dyDescent="0.25">
      <c r="A47">
        <v>223</v>
      </c>
      <c r="B47">
        <v>0</v>
      </c>
      <c r="C47" t="str">
        <v>VV</v>
      </c>
      <c r="D47">
        <v>0</v>
      </c>
      <c r="E47" t="str">
        <v>MM</v>
      </c>
      <c r="F47" t="str">
        <v>&lt;Null&gt;</v>
      </c>
      <c r="G47">
        <v>45839</v>
      </c>
      <c r="H47">
        <v>0</v>
      </c>
      <c r="I47" t="str">
        <v>Globe Equity Decree</v>
      </c>
      <c r="J47" t="str">
        <v>Gila River</v>
      </c>
      <c r="K47" t="str">
        <v>GR</v>
      </c>
      <c r="L47" t="str">
        <v>Virden Valey</v>
      </c>
      <c r="M47" t="str">
        <v>VV</v>
      </c>
      <c r="N47" t="str">
        <v>Sunset Canal</v>
      </c>
      <c r="O47" t="str">
        <v>CO</v>
      </c>
      <c r="P47" t="str">
        <v>Cotton</v>
      </c>
      <c r="Q47">
        <v>19.91262346434161</v>
      </c>
      <c r="R47" t="str">
        <v>1</v>
      </c>
      <c r="S47" t="str">
        <v>Flood irrigated</v>
      </c>
      <c r="T47">
        <v>0</v>
      </c>
      <c r="U47">
        <v>0</v>
      </c>
      <c r="V47" t="str">
        <v>13</v>
      </c>
      <c r="W47">
        <v>0</v>
      </c>
      <c r="X47">
        <v>0</v>
      </c>
      <c r="Y47" t="str">
        <v>T18S</v>
      </c>
      <c r="Z47" t="str">
        <v>R21W</v>
      </c>
      <c r="AA47" t="str">
        <v>32</v>
      </c>
      <c r="AB47" t="str">
        <v>HI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1198.199234067401</v>
      </c>
      <c r="AJ47">
        <v>80583.850488583412</v>
      </c>
      <c r="AK47">
        <v>0</v>
      </c>
    </row>
    <row r="48" spans="1:37" x14ac:dyDescent="0.25">
      <c r="A48">
        <v>224</v>
      </c>
      <c r="B48">
        <v>0</v>
      </c>
      <c r="C48" t="str">
        <v>VV</v>
      </c>
      <c r="D48">
        <v>0</v>
      </c>
      <c r="E48" t="str">
        <v>MM</v>
      </c>
      <c r="F48" t="str">
        <v>&lt;Null&gt;</v>
      </c>
      <c r="G48">
        <v>45839</v>
      </c>
      <c r="H48">
        <v>0</v>
      </c>
      <c r="I48" t="str">
        <v>Globe Equity Decree</v>
      </c>
      <c r="J48" t="str">
        <v>Gila River</v>
      </c>
      <c r="K48" t="str">
        <v>GR</v>
      </c>
      <c r="L48" t="str">
        <v>Virden Valey</v>
      </c>
      <c r="M48" t="str">
        <v>VV</v>
      </c>
      <c r="N48" t="str">
        <v>Sunset Canal</v>
      </c>
      <c r="O48" t="str">
        <v>CO</v>
      </c>
      <c r="P48" t="str">
        <v>Cotton</v>
      </c>
      <c r="Q48">
        <v>17.287799651590081</v>
      </c>
      <c r="R48" t="str">
        <v>1</v>
      </c>
      <c r="S48" t="str">
        <v>Flood irrigated</v>
      </c>
      <c r="T48">
        <v>0</v>
      </c>
      <c r="U48">
        <v>0</v>
      </c>
      <c r="V48" t="str">
        <v>13</v>
      </c>
      <c r="W48">
        <v>0</v>
      </c>
      <c r="X48">
        <v>0</v>
      </c>
      <c r="Y48" t="str">
        <v>T18S</v>
      </c>
      <c r="Z48" t="str">
        <v>R21W</v>
      </c>
      <c r="AA48" t="str">
        <v>32</v>
      </c>
      <c r="AB48" t="str">
        <v>HI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1149.0678716094251</v>
      </c>
      <c r="AJ48">
        <v>69961.52289501355</v>
      </c>
      <c r="AK48">
        <v>0</v>
      </c>
    </row>
    <row r="49" spans="1:37" x14ac:dyDescent="0.25">
      <c r="A49">
        <v>226</v>
      </c>
      <c r="B49">
        <v>0</v>
      </c>
      <c r="C49" t="str">
        <v>VV</v>
      </c>
      <c r="D49">
        <v>0</v>
      </c>
      <c r="E49" t="str">
        <v>MM</v>
      </c>
      <c r="F49" t="str">
        <v>&lt;Null&gt;</v>
      </c>
      <c r="G49">
        <v>45839</v>
      </c>
      <c r="H49">
        <v>0</v>
      </c>
      <c r="I49" t="str">
        <v>Globe Equity Decree</v>
      </c>
      <c r="J49" t="str">
        <v>Gila River</v>
      </c>
      <c r="K49" t="str">
        <v>GR</v>
      </c>
      <c r="L49" t="str">
        <v>Virden Valey</v>
      </c>
      <c r="M49" t="str">
        <v>VV</v>
      </c>
      <c r="N49" t="str">
        <v>Sunset Canal</v>
      </c>
      <c r="O49" t="str">
        <v>CO</v>
      </c>
      <c r="P49" t="str">
        <v>Cotton</v>
      </c>
      <c r="Q49">
        <v>14.327912771106289</v>
      </c>
      <c r="R49" t="str">
        <v>1</v>
      </c>
      <c r="S49" t="str">
        <v>Flood irrigated</v>
      </c>
      <c r="T49">
        <v>0</v>
      </c>
      <c r="U49">
        <v>0</v>
      </c>
      <c r="V49" t="str">
        <v>13</v>
      </c>
      <c r="W49">
        <v>0</v>
      </c>
      <c r="X49">
        <v>0</v>
      </c>
      <c r="Y49" t="str">
        <v>T18S</v>
      </c>
      <c r="Z49" t="str">
        <v>R21W</v>
      </c>
      <c r="AA49" t="str">
        <v>32</v>
      </c>
      <c r="AB49" t="str">
        <v>HI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1031.557510171114</v>
      </c>
      <c r="AJ49">
        <v>57983.237750057517</v>
      </c>
      <c r="AK49">
        <v>0</v>
      </c>
    </row>
    <row r="50" spans="1:37" x14ac:dyDescent="0.25">
      <c r="A50">
        <v>243</v>
      </c>
      <c r="B50">
        <v>0</v>
      </c>
      <c r="C50" t="str">
        <v>VV</v>
      </c>
      <c r="D50">
        <v>0</v>
      </c>
      <c r="E50" t="str">
        <v>MM</v>
      </c>
      <c r="F50" t="str">
        <v>&lt;Null&gt;</v>
      </c>
      <c r="G50">
        <v>45839</v>
      </c>
      <c r="H50">
        <v>0</v>
      </c>
      <c r="I50" t="str">
        <v>Globe Equity Decree</v>
      </c>
      <c r="J50" t="str">
        <v>Gila River</v>
      </c>
      <c r="K50" t="str">
        <v>GR</v>
      </c>
      <c r="L50" t="str">
        <v>Virden Valey</v>
      </c>
      <c r="M50" t="str">
        <v>VV</v>
      </c>
      <c r="N50" t="str">
        <v>Sunset Canal</v>
      </c>
      <c r="O50" t="str">
        <v>CO</v>
      </c>
      <c r="P50" t="str">
        <v>Cotton</v>
      </c>
      <c r="Q50">
        <v>11.41117670769296</v>
      </c>
      <c r="R50" t="str">
        <v>1</v>
      </c>
      <c r="S50" t="str">
        <v>Flood irrigated</v>
      </c>
      <c r="T50">
        <v>0</v>
      </c>
      <c r="U50">
        <v>0</v>
      </c>
      <c r="V50" t="str">
        <v>13</v>
      </c>
      <c r="W50">
        <v>0</v>
      </c>
      <c r="X50">
        <v>0</v>
      </c>
      <c r="Y50" t="str">
        <v>T18S</v>
      </c>
      <c r="Z50" t="str">
        <v>R21W</v>
      </c>
      <c r="AA50" t="str">
        <v>32</v>
      </c>
      <c r="AB50" t="str">
        <v>HI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908.21399297588675</v>
      </c>
      <c r="AJ50">
        <v>46179.578464797691</v>
      </c>
      <c r="AK50">
        <v>0</v>
      </c>
    </row>
    <row r="51" spans="1:37" x14ac:dyDescent="0.25">
      <c r="A51">
        <v>249</v>
      </c>
      <c r="B51">
        <v>0</v>
      </c>
      <c r="C51" t="str">
        <v>VV</v>
      </c>
      <c r="D51">
        <v>0</v>
      </c>
      <c r="E51" t="str">
        <v>MM</v>
      </c>
      <c r="F51" t="str">
        <v>&lt;Null&gt;</v>
      </c>
      <c r="G51">
        <v>45839</v>
      </c>
      <c r="H51">
        <v>0</v>
      </c>
      <c r="I51" t="str">
        <v>Globe Equity Decree</v>
      </c>
      <c r="J51" t="str">
        <v>Gila River</v>
      </c>
      <c r="K51" t="str">
        <v>GR</v>
      </c>
      <c r="L51" t="str">
        <v>Virden Valey</v>
      </c>
      <c r="M51" t="str">
        <v>VV</v>
      </c>
      <c r="N51" t="str">
        <v>Sunset Canal</v>
      </c>
      <c r="O51" t="str">
        <v>CO</v>
      </c>
      <c r="P51" t="str">
        <v>Cotton</v>
      </c>
      <c r="Q51">
        <v>9.4281199419485642</v>
      </c>
      <c r="R51" t="str">
        <v>1</v>
      </c>
      <c r="S51" t="str">
        <v>Flood irrigated</v>
      </c>
      <c r="T51">
        <v>0</v>
      </c>
      <c r="U51">
        <v>0</v>
      </c>
      <c r="V51" t="str">
        <v>13</v>
      </c>
      <c r="W51">
        <v>0</v>
      </c>
      <c r="X51">
        <v>0</v>
      </c>
      <c r="Y51" t="str">
        <v>T18S</v>
      </c>
      <c r="Z51" t="str">
        <v>R21W</v>
      </c>
      <c r="AA51" t="str">
        <v>32</v>
      </c>
      <c r="AB51" t="str">
        <v>HI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908.02720085158273</v>
      </c>
      <c r="AJ51">
        <v>38154.400355680868</v>
      </c>
      <c r="AK51">
        <v>0</v>
      </c>
    </row>
    <row r="52" spans="1:37" x14ac:dyDescent="0.25">
      <c r="A52">
        <v>250</v>
      </c>
      <c r="B52">
        <v>0</v>
      </c>
      <c r="C52" t="str">
        <v>VV</v>
      </c>
      <c r="D52">
        <v>0</v>
      </c>
      <c r="E52" t="str">
        <v>MM</v>
      </c>
      <c r="F52" t="str">
        <v>&lt;Null&gt;</v>
      </c>
      <c r="G52">
        <v>45839</v>
      </c>
      <c r="H52">
        <v>0</v>
      </c>
      <c r="I52" t="str">
        <v>Globe Equity Decree</v>
      </c>
      <c r="J52" t="str">
        <v>Gila River</v>
      </c>
      <c r="K52" t="str">
        <v>GR</v>
      </c>
      <c r="L52" t="str">
        <v>Virden Valey</v>
      </c>
      <c r="M52" t="str">
        <v>VV</v>
      </c>
      <c r="N52" t="str">
        <v>Sunset Canal</v>
      </c>
      <c r="O52" t="str">
        <v>CO</v>
      </c>
      <c r="P52" t="str">
        <v>Cotton</v>
      </c>
      <c r="Q52">
        <v>14.354131220836599</v>
      </c>
      <c r="R52" t="str">
        <v>1</v>
      </c>
      <c r="S52" t="str">
        <v>Flood irrigated</v>
      </c>
      <c r="T52">
        <v>0</v>
      </c>
      <c r="U52">
        <v>0</v>
      </c>
      <c r="V52" t="str">
        <v>13</v>
      </c>
      <c r="W52">
        <v>0</v>
      </c>
      <c r="X52">
        <v>0</v>
      </c>
      <c r="Y52" t="str">
        <v>T18S</v>
      </c>
      <c r="Z52" t="str">
        <v>R21W</v>
      </c>
      <c r="AA52" t="str">
        <v>32</v>
      </c>
      <c r="AB52" t="str">
        <v>HI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1068.9081152552769</v>
      </c>
      <c r="AJ52">
        <v>58089.340476144498</v>
      </c>
      <c r="AK52">
        <v>0</v>
      </c>
    </row>
    <row r="53" spans="1:37" x14ac:dyDescent="0.25">
      <c r="A53">
        <v>284</v>
      </c>
      <c r="B53">
        <v>0</v>
      </c>
      <c r="C53" t="str">
        <v>VV</v>
      </c>
      <c r="D53">
        <v>0</v>
      </c>
      <c r="E53" t="str">
        <v>MM</v>
      </c>
      <c r="F53" t="str">
        <v>&lt;Null&gt;</v>
      </c>
      <c r="G53">
        <v>45838</v>
      </c>
      <c r="H53">
        <v>0</v>
      </c>
      <c r="I53" t="str">
        <v>Globe Equity Decree</v>
      </c>
      <c r="J53" t="str">
        <v>Gila River</v>
      </c>
      <c r="K53" t="str">
        <v>GR</v>
      </c>
      <c r="L53" t="str">
        <v>Virden Valey</v>
      </c>
      <c r="M53" t="str">
        <v>VV</v>
      </c>
      <c r="N53" t="str">
        <v>Sunset Canal</v>
      </c>
      <c r="O53" t="str">
        <v>CO</v>
      </c>
      <c r="P53" t="str">
        <v>Cotton</v>
      </c>
      <c r="Q53">
        <v>62.060916325771132</v>
      </c>
      <c r="R53" t="str">
        <v>1</v>
      </c>
      <c r="S53" t="str">
        <v>Flood irrigated</v>
      </c>
      <c r="T53">
        <v>0</v>
      </c>
      <c r="U53">
        <v>0</v>
      </c>
      <c r="V53" t="str">
        <v>4</v>
      </c>
      <c r="W53">
        <v>0</v>
      </c>
      <c r="X53">
        <v>0</v>
      </c>
      <c r="Y53" t="str">
        <v>T19S</v>
      </c>
      <c r="Z53" t="str">
        <v>R21W</v>
      </c>
      <c r="AA53" t="str">
        <v>12</v>
      </c>
      <c r="AB53" t="str">
        <v>HI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2085.980102716479</v>
      </c>
      <c r="AJ53">
        <v>251152.62242246099</v>
      </c>
      <c r="AK53">
        <v>0</v>
      </c>
    </row>
    <row r="54" spans="1:37" x14ac:dyDescent="0.25">
      <c r="A54">
        <v>41</v>
      </c>
      <c r="B54">
        <v>0</v>
      </c>
      <c r="C54" t="str">
        <v>VV</v>
      </c>
      <c r="D54">
        <v>0</v>
      </c>
      <c r="E54" t="str">
        <v>MM</v>
      </c>
      <c r="F54" t="str">
        <v>&lt;Null&gt;</v>
      </c>
      <c r="G54">
        <v>45838</v>
      </c>
      <c r="H54">
        <v>0</v>
      </c>
      <c r="I54" t="str">
        <v>Globe Equity Decree</v>
      </c>
      <c r="J54" t="str">
        <v>Gila River</v>
      </c>
      <c r="K54" t="str">
        <v>GR</v>
      </c>
      <c r="L54" t="str">
        <v>Virden Valey</v>
      </c>
      <c r="M54" t="str">
        <v>VV</v>
      </c>
      <c r="N54" t="str">
        <v>Sunset Canal</v>
      </c>
      <c r="O54" t="str">
        <v>HA</v>
      </c>
      <c r="P54" t="str">
        <v>Hay (all other)</v>
      </c>
      <c r="Q54">
        <v>20.94408480207538</v>
      </c>
      <c r="R54" t="str">
        <v>1</v>
      </c>
      <c r="S54" t="str">
        <v>Flood irrigated</v>
      </c>
      <c r="T54">
        <v>0</v>
      </c>
      <c r="U54">
        <v>0</v>
      </c>
      <c r="V54" t="str">
        <v>6</v>
      </c>
      <c r="W54">
        <v>0</v>
      </c>
      <c r="X54">
        <v>0</v>
      </c>
      <c r="Y54">
        <v>0</v>
      </c>
      <c r="Z54">
        <v>0</v>
      </c>
      <c r="AA54">
        <v>0</v>
      </c>
      <c r="AB54" t="str">
        <v>HI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1227.9670035036329</v>
      </c>
      <c r="AJ54">
        <v>84758.043124402437</v>
      </c>
      <c r="AK54">
        <v>0</v>
      </c>
    </row>
    <row r="55" spans="1:37" x14ac:dyDescent="0.25">
      <c r="A55">
        <v>133</v>
      </c>
      <c r="B55">
        <v>0</v>
      </c>
      <c r="C55" t="str">
        <v>VV</v>
      </c>
      <c r="D55">
        <v>0</v>
      </c>
      <c r="E55" t="str">
        <v>MM</v>
      </c>
      <c r="F55" t="str">
        <v>&lt;Null&gt;</v>
      </c>
      <c r="G55">
        <v>45839</v>
      </c>
      <c r="H55">
        <v>0</v>
      </c>
      <c r="I55" t="str">
        <v>Globe Equity Decree</v>
      </c>
      <c r="J55" t="str">
        <v>Gila River</v>
      </c>
      <c r="K55" t="str">
        <v>GR</v>
      </c>
      <c r="L55" t="str">
        <v>Virden Valey</v>
      </c>
      <c r="M55" t="str">
        <v>VV</v>
      </c>
      <c r="N55" t="str">
        <v>Sunset Canal</v>
      </c>
      <c r="O55" t="str">
        <v>HA</v>
      </c>
      <c r="P55" t="str">
        <v>Hay (all other)</v>
      </c>
      <c r="Q55">
        <v>21.208964251008009</v>
      </c>
      <c r="R55" t="str">
        <v>1</v>
      </c>
      <c r="S55" t="str">
        <v>Flood irrigated</v>
      </c>
      <c r="T55">
        <v>0</v>
      </c>
      <c r="U55">
        <v>0</v>
      </c>
      <c r="V55" t="str">
        <v>11</v>
      </c>
      <c r="W55">
        <v>0</v>
      </c>
      <c r="X55">
        <v>0</v>
      </c>
      <c r="Y55" t="str">
        <v>T18S</v>
      </c>
      <c r="Z55" t="str">
        <v>R21W</v>
      </c>
      <c r="AA55" t="str">
        <v>33</v>
      </c>
      <c r="AB55" t="str">
        <v>HI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1214.278091668062</v>
      </c>
      <c r="AJ55">
        <v>85829.976511206492</v>
      </c>
      <c r="AK55">
        <v>0</v>
      </c>
    </row>
    <row r="56" spans="1:37" x14ac:dyDescent="0.25">
      <c r="A56">
        <v>134</v>
      </c>
      <c r="B56">
        <v>0</v>
      </c>
      <c r="C56" t="str">
        <v>VV</v>
      </c>
      <c r="D56">
        <v>0</v>
      </c>
      <c r="E56" t="str">
        <v>MM</v>
      </c>
      <c r="F56" t="str">
        <v>&lt;Null&gt;</v>
      </c>
      <c r="G56">
        <v>45839</v>
      </c>
      <c r="H56">
        <v>0</v>
      </c>
      <c r="I56" t="str">
        <v>Globe Equity Decree</v>
      </c>
      <c r="J56" t="str">
        <v>Gila River</v>
      </c>
      <c r="K56" t="str">
        <v>GR</v>
      </c>
      <c r="L56" t="str">
        <v>Virden Valey</v>
      </c>
      <c r="M56" t="str">
        <v>VV</v>
      </c>
      <c r="N56" t="str">
        <v>Sunset Canal</v>
      </c>
      <c r="O56" t="str">
        <v>HA</v>
      </c>
      <c r="P56" t="str">
        <v>Hay (all other)</v>
      </c>
      <c r="Q56">
        <v>8.8114946243121679</v>
      </c>
      <c r="R56" t="str">
        <v>1</v>
      </c>
      <c r="S56" t="str">
        <v>Flood irrigated</v>
      </c>
      <c r="T56">
        <v>0</v>
      </c>
      <c r="U56">
        <v>0</v>
      </c>
      <c r="V56" t="str">
        <v>11</v>
      </c>
      <c r="W56">
        <v>0</v>
      </c>
      <c r="X56">
        <v>0</v>
      </c>
      <c r="Y56" t="str">
        <v>T18S</v>
      </c>
      <c r="Z56" t="str">
        <v>R21W</v>
      </c>
      <c r="AA56" t="str">
        <v>33</v>
      </c>
      <c r="AB56" t="str">
        <v>HI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971.30746386264184</v>
      </c>
      <c r="AJ56">
        <v>35658.996247183117</v>
      </c>
      <c r="AK56">
        <v>0</v>
      </c>
    </row>
    <row r="57" spans="1:37" x14ac:dyDescent="0.25">
      <c r="A57">
        <v>135</v>
      </c>
      <c r="B57">
        <v>0</v>
      </c>
      <c r="C57" t="str">
        <v>VV</v>
      </c>
      <c r="D57">
        <v>0</v>
      </c>
      <c r="E57" t="str">
        <v>MM</v>
      </c>
      <c r="F57" t="str">
        <v>&lt;Null&gt;</v>
      </c>
      <c r="G57">
        <v>45839</v>
      </c>
      <c r="H57">
        <v>0</v>
      </c>
      <c r="I57" t="str">
        <v>Globe Equity Decree</v>
      </c>
      <c r="J57" t="str">
        <v>Gila River</v>
      </c>
      <c r="K57" t="str">
        <v>GR</v>
      </c>
      <c r="L57" t="str">
        <v>Virden Valey</v>
      </c>
      <c r="M57" t="str">
        <v>VV</v>
      </c>
      <c r="N57" t="str">
        <v>Sunset Canal</v>
      </c>
      <c r="O57" t="str">
        <v>HA</v>
      </c>
      <c r="P57" t="str">
        <v>Hay (all other)</v>
      </c>
      <c r="Q57">
        <v>18.031947377134969</v>
      </c>
      <c r="R57" t="str">
        <v>1</v>
      </c>
      <c r="S57" t="str">
        <v>Flood irrigated</v>
      </c>
      <c r="T57">
        <v>0</v>
      </c>
      <c r="U57">
        <v>0</v>
      </c>
      <c r="V57" t="str">
        <v>11</v>
      </c>
      <c r="W57">
        <v>0</v>
      </c>
      <c r="X57">
        <v>0</v>
      </c>
      <c r="Y57" t="str">
        <v>T18S</v>
      </c>
      <c r="Z57" t="str">
        <v>R21W</v>
      </c>
      <c r="AA57" t="str">
        <v>33</v>
      </c>
      <c r="AB57" t="str">
        <v>HI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1151.769168523633</v>
      </c>
      <c r="AJ57">
        <v>72972.993943221372</v>
      </c>
      <c r="AK57">
        <v>0</v>
      </c>
    </row>
    <row r="58" spans="1:37" x14ac:dyDescent="0.25">
      <c r="A58">
        <v>137</v>
      </c>
      <c r="B58">
        <v>0</v>
      </c>
      <c r="C58" t="str">
        <v>VV</v>
      </c>
      <c r="D58">
        <v>0</v>
      </c>
      <c r="E58" t="str">
        <v>MM</v>
      </c>
      <c r="F58" t="str">
        <v>&lt;Null&gt;</v>
      </c>
      <c r="G58">
        <v>45839</v>
      </c>
      <c r="H58">
        <v>0</v>
      </c>
      <c r="I58" t="str">
        <v>Arizona v California</v>
      </c>
      <c r="J58" t="str">
        <v>Gila River</v>
      </c>
      <c r="K58" t="str">
        <v>GR</v>
      </c>
      <c r="L58" t="str">
        <v>Virden Valey</v>
      </c>
      <c r="M58" t="str">
        <v>VV</v>
      </c>
      <c r="N58">
        <v>0</v>
      </c>
      <c r="O58" t="str">
        <v>HA</v>
      </c>
      <c r="P58" t="str">
        <v>Hay (all other)</v>
      </c>
      <c r="Q58">
        <v>11.3279318465048</v>
      </c>
      <c r="R58" t="str">
        <v>1</v>
      </c>
      <c r="S58" t="str">
        <v>Flood irrigated</v>
      </c>
      <c r="T58">
        <v>0</v>
      </c>
      <c r="U58">
        <v>0</v>
      </c>
      <c r="V58" t="str">
        <v>11</v>
      </c>
      <c r="W58">
        <v>0</v>
      </c>
      <c r="X58">
        <v>0</v>
      </c>
      <c r="Y58" t="str">
        <v>T18S</v>
      </c>
      <c r="Z58" t="str">
        <v>R21W</v>
      </c>
      <c r="AA58" t="str">
        <v>33</v>
      </c>
      <c r="AB58" t="str">
        <v>HI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963.25596982226136</v>
      </c>
      <c r="AJ58">
        <v>45842.697116142517</v>
      </c>
      <c r="AK58">
        <v>0</v>
      </c>
    </row>
    <row r="59" spans="1:37" x14ac:dyDescent="0.25">
      <c r="A59">
        <v>145</v>
      </c>
      <c r="B59">
        <v>0</v>
      </c>
      <c r="C59" t="str">
        <v>VV</v>
      </c>
      <c r="D59">
        <v>0</v>
      </c>
      <c r="E59" t="str">
        <v>MM</v>
      </c>
      <c r="F59" t="str">
        <v>&lt;Null&gt;</v>
      </c>
      <c r="G59">
        <v>45839</v>
      </c>
      <c r="H59">
        <v>0</v>
      </c>
      <c r="I59" t="str">
        <v>Globe Equity Decree</v>
      </c>
      <c r="J59" t="str">
        <v>Gila River</v>
      </c>
      <c r="K59" t="str">
        <v>GR</v>
      </c>
      <c r="L59" t="str">
        <v>Virden Valey</v>
      </c>
      <c r="M59" t="str">
        <v>VV</v>
      </c>
      <c r="N59" t="str">
        <v>Sunset Canal</v>
      </c>
      <c r="O59" t="str">
        <v>HA</v>
      </c>
      <c r="P59" t="str">
        <v>Hay (all other)</v>
      </c>
      <c r="Q59">
        <v>7.8459462097225066</v>
      </c>
      <c r="R59" t="str">
        <v>1</v>
      </c>
      <c r="S59" t="str">
        <v>Flood irrigated</v>
      </c>
      <c r="T59">
        <v>0</v>
      </c>
      <c r="U59">
        <v>0</v>
      </c>
      <c r="V59" t="str">
        <v>13</v>
      </c>
      <c r="W59">
        <v>0</v>
      </c>
      <c r="X59">
        <v>0</v>
      </c>
      <c r="Y59" t="str">
        <v>T18S</v>
      </c>
      <c r="Z59" t="str">
        <v>R21W</v>
      </c>
      <c r="AA59" t="str">
        <v>32</v>
      </c>
      <c r="AB59" t="str">
        <v>HI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1080.5209665506279</v>
      </c>
      <c r="AJ59">
        <v>31751.54481467271</v>
      </c>
      <c r="AK59">
        <v>0</v>
      </c>
    </row>
    <row r="60" spans="1:37" x14ac:dyDescent="0.25">
      <c r="A60">
        <v>251</v>
      </c>
      <c r="B60">
        <v>0</v>
      </c>
      <c r="C60" t="str">
        <v>VV</v>
      </c>
      <c r="D60">
        <v>0</v>
      </c>
      <c r="E60" t="str">
        <v>MM</v>
      </c>
      <c r="F60" t="str">
        <v>&lt;Null&gt;</v>
      </c>
      <c r="G60">
        <v>45839</v>
      </c>
      <c r="H60">
        <v>0</v>
      </c>
      <c r="I60" t="str">
        <v>Globe Equity Decree</v>
      </c>
      <c r="J60" t="str">
        <v>Gila River</v>
      </c>
      <c r="K60" t="str">
        <v>GR</v>
      </c>
      <c r="L60" t="str">
        <v>Virden Valey</v>
      </c>
      <c r="M60" t="str">
        <v>VV</v>
      </c>
      <c r="N60" t="str">
        <v>Sunset Canal</v>
      </c>
      <c r="O60" t="str">
        <v>HA</v>
      </c>
      <c r="P60" t="str">
        <v>Hay (all other)</v>
      </c>
      <c r="Q60">
        <v>9.1915994046220888</v>
      </c>
      <c r="R60" t="str">
        <v>1</v>
      </c>
      <c r="S60" t="str">
        <v>Flood irrigated</v>
      </c>
      <c r="T60">
        <v>0</v>
      </c>
      <c r="U60">
        <v>0</v>
      </c>
      <c r="V60" t="str">
        <v>13</v>
      </c>
      <c r="W60">
        <v>0</v>
      </c>
      <c r="X60">
        <v>0</v>
      </c>
      <c r="Y60" t="str">
        <v>T18S</v>
      </c>
      <c r="Z60" t="str">
        <v>R21W</v>
      </c>
      <c r="AA60" t="str">
        <v>32</v>
      </c>
      <c r="AB60" t="str">
        <v>HI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973.00360614682359</v>
      </c>
      <c r="AJ60">
        <v>37197.231871501608</v>
      </c>
      <c r="AK60">
        <v>0</v>
      </c>
    </row>
    <row r="61" spans="1:37" x14ac:dyDescent="0.25">
      <c r="A61">
        <v>292</v>
      </c>
      <c r="B61">
        <v>0</v>
      </c>
      <c r="C61" t="str">
        <v>VV</v>
      </c>
      <c r="D61">
        <v>0</v>
      </c>
      <c r="E61" t="str">
        <v>MM</v>
      </c>
      <c r="F61" t="str">
        <v>&lt;Null&gt;</v>
      </c>
      <c r="G61">
        <v>45838</v>
      </c>
      <c r="H61">
        <v>0</v>
      </c>
      <c r="I61" t="str">
        <v>Globe Equity Decree</v>
      </c>
      <c r="J61" t="str">
        <v>Gila River</v>
      </c>
      <c r="K61" t="str">
        <v>GR</v>
      </c>
      <c r="L61" t="str">
        <v>Virden Valey</v>
      </c>
      <c r="M61" t="str">
        <v>VV</v>
      </c>
      <c r="N61" t="str">
        <v>Sunset Canal</v>
      </c>
      <c r="O61" t="str">
        <v>HA</v>
      </c>
      <c r="P61" t="str">
        <v>Hay (all other)</v>
      </c>
      <c r="Q61">
        <v>16.043121678629191</v>
      </c>
      <c r="R61" t="str">
        <v>1</v>
      </c>
      <c r="S61" t="str">
        <v>Flood irrigated</v>
      </c>
      <c r="T61">
        <v>0</v>
      </c>
      <c r="U61">
        <v>0</v>
      </c>
      <c r="V61" t="str">
        <v>6</v>
      </c>
      <c r="W61">
        <v>0</v>
      </c>
      <c r="X61">
        <v>0</v>
      </c>
      <c r="Y61">
        <v>0</v>
      </c>
      <c r="Z61">
        <v>0</v>
      </c>
      <c r="AA61">
        <v>0</v>
      </c>
      <c r="AB61" t="str">
        <v>HI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1146.860587581546</v>
      </c>
      <c r="AJ61">
        <v>64924.469698124303</v>
      </c>
      <c r="AK61">
        <v>0</v>
      </c>
    </row>
    <row r="62" spans="1:37" x14ac:dyDescent="0.25">
      <c r="A62">
        <v>298</v>
      </c>
      <c r="B62">
        <v>0</v>
      </c>
      <c r="C62" t="str">
        <v>VV</v>
      </c>
      <c r="D62">
        <v>0</v>
      </c>
      <c r="E62" t="str">
        <v>MM</v>
      </c>
      <c r="F62" t="str">
        <v>&lt;Null&gt;</v>
      </c>
      <c r="G62">
        <v>45839</v>
      </c>
      <c r="H62">
        <v>0</v>
      </c>
      <c r="I62" t="str">
        <v>Arizona v California</v>
      </c>
      <c r="J62" t="str">
        <v>Gila River</v>
      </c>
      <c r="K62" t="str">
        <v>GR</v>
      </c>
      <c r="L62" t="str">
        <v>Virden Valey</v>
      </c>
      <c r="M62" t="str">
        <v>VV</v>
      </c>
      <c r="N62">
        <v>0</v>
      </c>
      <c r="O62" t="str">
        <v>HA</v>
      </c>
      <c r="P62" t="str">
        <v>Hay (all other)</v>
      </c>
      <c r="Q62">
        <v>3.0683971785819151</v>
      </c>
      <c r="R62" t="str">
        <v>1</v>
      </c>
      <c r="S62" t="str">
        <v>Flood irrigated</v>
      </c>
      <c r="T62">
        <v>0</v>
      </c>
      <c r="U62">
        <v>0</v>
      </c>
      <c r="V62" t="str">
        <v>11</v>
      </c>
      <c r="W62">
        <v>0</v>
      </c>
      <c r="X62">
        <v>0</v>
      </c>
      <c r="Y62" t="str">
        <v>T18S</v>
      </c>
      <c r="Z62" t="str">
        <v>R21W</v>
      </c>
      <c r="AA62" t="str">
        <v>33</v>
      </c>
      <c r="AB62" t="str">
        <v>HI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488.24487340989612</v>
      </c>
      <c r="AJ62">
        <v>12417.41249821858</v>
      </c>
      <c r="AK62">
        <v>0</v>
      </c>
    </row>
    <row r="63" spans="1:37" x14ac:dyDescent="0.25">
      <c r="A63">
        <v>315</v>
      </c>
      <c r="B63">
        <v>0</v>
      </c>
      <c r="C63" t="str">
        <v>VV</v>
      </c>
      <c r="D63">
        <v>0</v>
      </c>
      <c r="E63" t="str">
        <v>MM</v>
      </c>
      <c r="F63">
        <v>0</v>
      </c>
      <c r="G63">
        <v>45839</v>
      </c>
      <c r="H63">
        <v>0</v>
      </c>
      <c r="I63" t="str">
        <v>Globe Equity Decree</v>
      </c>
      <c r="J63" t="str">
        <v>Gila River</v>
      </c>
      <c r="K63" t="str">
        <v>GR</v>
      </c>
      <c r="L63" t="str">
        <v>Virden Valey</v>
      </c>
      <c r="M63" t="str">
        <v>VV</v>
      </c>
      <c r="N63" t="str">
        <v>Sunset Canal</v>
      </c>
      <c r="O63" t="str">
        <v>HA</v>
      </c>
      <c r="P63" t="str">
        <v>Hay (all other)</v>
      </c>
      <c r="Q63">
        <v>2.5412084263310128</v>
      </c>
      <c r="R63" t="str">
        <v>1</v>
      </c>
      <c r="S63" t="str">
        <v>Flood irrigated</v>
      </c>
      <c r="T63">
        <v>0</v>
      </c>
      <c r="U63">
        <v>0</v>
      </c>
      <c r="V63" t="str">
        <v>8</v>
      </c>
      <c r="W63">
        <v>0</v>
      </c>
      <c r="X63">
        <v>0</v>
      </c>
      <c r="Y63">
        <v>0</v>
      </c>
      <c r="Z63">
        <v>0</v>
      </c>
      <c r="AA63">
        <v>0</v>
      </c>
      <c r="AB63" t="str">
        <v>HI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672.77187855871171</v>
      </c>
      <c r="AJ63">
        <v>10283.94677650063</v>
      </c>
      <c r="AK63">
        <v>0</v>
      </c>
    </row>
    <row r="64" spans="1:37" x14ac:dyDescent="0.25">
      <c r="A64">
        <v>59</v>
      </c>
      <c r="B64" t="str">
        <v>VV-00312</v>
      </c>
      <c r="C64" t="str">
        <v>VV</v>
      </c>
      <c r="D64">
        <v>0</v>
      </c>
      <c r="E64" t="str">
        <v>MM</v>
      </c>
      <c r="F64" t="str">
        <v>&lt;Null&gt;</v>
      </c>
      <c r="G64">
        <v>45839</v>
      </c>
      <c r="H64">
        <v>0</v>
      </c>
      <c r="I64" t="str">
        <v>Globe Equity Decree</v>
      </c>
      <c r="J64" t="str">
        <v>Gila River</v>
      </c>
      <c r="K64" t="str">
        <v>GR</v>
      </c>
      <c r="L64" t="str">
        <v>Virden Valley</v>
      </c>
      <c r="M64" t="str">
        <v>VV</v>
      </c>
      <c r="N64" t="str">
        <v>Sunset Ditch</v>
      </c>
      <c r="O64" t="str">
        <v>MON</v>
      </c>
      <c r="P64" t="str">
        <v>Misc. Outdoor Nursery Stock</v>
      </c>
      <c r="Q64">
        <v>1.1611198220278449</v>
      </c>
      <c r="R64" t="str">
        <v>1</v>
      </c>
      <c r="S64" t="str">
        <v>Flood irrigated</v>
      </c>
      <c r="T64">
        <v>0</v>
      </c>
      <c r="U64">
        <v>0</v>
      </c>
      <c r="V64" t="str">
        <v>8</v>
      </c>
      <c r="W64">
        <v>0</v>
      </c>
      <c r="X64">
        <v>0</v>
      </c>
      <c r="Y64">
        <v>0</v>
      </c>
      <c r="Z64">
        <v>0</v>
      </c>
      <c r="AA64">
        <v>0</v>
      </c>
      <c r="AB64" t="str">
        <v>HI</v>
      </c>
      <c r="AC64">
        <v>0</v>
      </c>
      <c r="AD64" t="str">
        <v>1900</v>
      </c>
      <c r="AE64">
        <v>0</v>
      </c>
      <c r="AF64">
        <v>0</v>
      </c>
      <c r="AG64">
        <v>0</v>
      </c>
      <c r="AH64">
        <v>0</v>
      </c>
      <c r="AI64">
        <v>277.30924832891731</v>
      </c>
      <c r="AJ64">
        <v>4698.9040045465536</v>
      </c>
      <c r="AK64">
        <v>0</v>
      </c>
    </row>
    <row r="65" spans="1:37" x14ac:dyDescent="0.25">
      <c r="A65">
        <v>66</v>
      </c>
      <c r="B65" t="str">
        <v>VV-00318</v>
      </c>
      <c r="C65" t="str">
        <v>VV</v>
      </c>
      <c r="D65">
        <v>0</v>
      </c>
      <c r="E65" t="str">
        <v>MM</v>
      </c>
      <c r="F65" t="str">
        <v>&lt;Null&gt;</v>
      </c>
      <c r="G65">
        <v>45839</v>
      </c>
      <c r="H65">
        <v>0</v>
      </c>
      <c r="I65" t="str">
        <v>Globe Equity Decree</v>
      </c>
      <c r="J65" t="str">
        <v>Gila River</v>
      </c>
      <c r="K65" t="str">
        <v>GR</v>
      </c>
      <c r="L65" t="str">
        <v>Virden Valley</v>
      </c>
      <c r="M65" t="str">
        <v>VV</v>
      </c>
      <c r="N65" t="str">
        <v>Sunset Ditch</v>
      </c>
      <c r="O65" t="str">
        <v>MON</v>
      </c>
      <c r="P65" t="str">
        <v>Misc. Outdoor Nursery Stock</v>
      </c>
      <c r="Q65">
        <v>0.32858124640542491</v>
      </c>
      <c r="R65" t="str">
        <v>1</v>
      </c>
      <c r="S65" t="str">
        <v>Flood irrigated</v>
      </c>
      <c r="T65">
        <v>0</v>
      </c>
      <c r="U65">
        <v>0</v>
      </c>
      <c r="V65" t="str">
        <v>8</v>
      </c>
      <c r="W65">
        <v>0</v>
      </c>
      <c r="X65">
        <v>0</v>
      </c>
      <c r="Y65">
        <v>0</v>
      </c>
      <c r="Z65">
        <v>0</v>
      </c>
      <c r="AA65">
        <v>0</v>
      </c>
      <c r="AB65" t="str">
        <v>HI</v>
      </c>
      <c r="AC65">
        <v>0</v>
      </c>
      <c r="AD65" t="str">
        <v>1900</v>
      </c>
      <c r="AE65">
        <v>0</v>
      </c>
      <c r="AF65">
        <v>0</v>
      </c>
      <c r="AG65">
        <v>0</v>
      </c>
      <c r="AH65">
        <v>0</v>
      </c>
      <c r="AI65">
        <v>162.42458959726261</v>
      </c>
      <c r="AJ65">
        <v>1329.726446196456</v>
      </c>
      <c r="AK65">
        <v>0</v>
      </c>
    </row>
    <row r="66" spans="1:37" x14ac:dyDescent="0.25">
      <c r="A66">
        <v>67</v>
      </c>
      <c r="B66" t="str">
        <v>VV-00318</v>
      </c>
      <c r="C66" t="str">
        <v>VV</v>
      </c>
      <c r="D66">
        <v>0</v>
      </c>
      <c r="E66" t="str">
        <v>MM</v>
      </c>
      <c r="F66" t="str">
        <v>&lt;Null&gt;</v>
      </c>
      <c r="G66">
        <v>45839</v>
      </c>
      <c r="H66">
        <v>0</v>
      </c>
      <c r="I66" t="str">
        <v>Globe Equity Decree</v>
      </c>
      <c r="J66" t="str">
        <v>Gila River</v>
      </c>
      <c r="K66" t="str">
        <v>GR</v>
      </c>
      <c r="L66" t="str">
        <v>Virden Valley</v>
      </c>
      <c r="M66" t="str">
        <v>VV</v>
      </c>
      <c r="N66" t="str">
        <v>Sunset Ditch</v>
      </c>
      <c r="O66" t="str">
        <v>MON</v>
      </c>
      <c r="P66" t="str">
        <v>Misc. Outdoor Nursery Stock</v>
      </c>
      <c r="Q66">
        <v>0.77245130534693018</v>
      </c>
      <c r="R66" t="str">
        <v>1</v>
      </c>
      <c r="S66" t="str">
        <v>Flood irrigated</v>
      </c>
      <c r="T66">
        <v>0</v>
      </c>
      <c r="U66">
        <v>0</v>
      </c>
      <c r="V66" t="str">
        <v>8</v>
      </c>
      <c r="W66">
        <v>0</v>
      </c>
      <c r="X66">
        <v>0</v>
      </c>
      <c r="Y66">
        <v>0</v>
      </c>
      <c r="Z66">
        <v>0</v>
      </c>
      <c r="AA66">
        <v>0</v>
      </c>
      <c r="AB66" t="str">
        <v>HI</v>
      </c>
      <c r="AC66">
        <v>0</v>
      </c>
      <c r="AD66" t="str">
        <v>1900</v>
      </c>
      <c r="AE66">
        <v>0</v>
      </c>
      <c r="AF66">
        <v>0</v>
      </c>
      <c r="AG66">
        <v>0</v>
      </c>
      <c r="AH66">
        <v>0</v>
      </c>
      <c r="AI66">
        <v>223.94287301087661</v>
      </c>
      <c r="AJ66">
        <v>3126.0120300701042</v>
      </c>
      <c r="AK66">
        <v>0</v>
      </c>
    </row>
    <row r="67" spans="1:37" x14ac:dyDescent="0.25">
      <c r="A67">
        <v>76</v>
      </c>
      <c r="B67" t="str">
        <v>VV-00312</v>
      </c>
      <c r="C67" t="str">
        <v>VV</v>
      </c>
      <c r="D67">
        <v>0</v>
      </c>
      <c r="E67" t="str">
        <v>MM</v>
      </c>
      <c r="F67" t="str">
        <v>&lt;Null&gt;</v>
      </c>
      <c r="G67">
        <v>45839</v>
      </c>
      <c r="H67">
        <v>0</v>
      </c>
      <c r="I67" t="str">
        <v>Globe Equity Decree</v>
      </c>
      <c r="J67" t="str">
        <v>Gila River</v>
      </c>
      <c r="K67" t="str">
        <v>GR</v>
      </c>
      <c r="L67" t="str">
        <v>Virden Valley</v>
      </c>
      <c r="M67" t="str">
        <v>VV</v>
      </c>
      <c r="N67" t="str">
        <v>Sunset Ditch</v>
      </c>
      <c r="O67" t="str">
        <v>MON</v>
      </c>
      <c r="P67" t="str">
        <v>Misc. Outdoor Nursery Stock</v>
      </c>
      <c r="Q67">
        <v>1.0031308501082801</v>
      </c>
      <c r="R67" t="str">
        <v>1</v>
      </c>
      <c r="S67" t="str">
        <v>Flood irrigated</v>
      </c>
      <c r="T67">
        <v>0</v>
      </c>
      <c r="U67">
        <v>0</v>
      </c>
      <c r="V67" t="str">
        <v>8</v>
      </c>
      <c r="W67">
        <v>0</v>
      </c>
      <c r="X67">
        <v>0</v>
      </c>
      <c r="Y67">
        <v>0</v>
      </c>
      <c r="Z67">
        <v>0</v>
      </c>
      <c r="AA67">
        <v>0</v>
      </c>
      <c r="AB67" t="str">
        <v>HI</v>
      </c>
      <c r="AC67">
        <v>0</v>
      </c>
      <c r="AD67" t="str">
        <v>1900</v>
      </c>
      <c r="AE67">
        <v>0</v>
      </c>
      <c r="AF67">
        <v>0</v>
      </c>
      <c r="AG67">
        <v>0</v>
      </c>
      <c r="AH67">
        <v>0</v>
      </c>
      <c r="AI67">
        <v>256.32905417489718</v>
      </c>
      <c r="AJ67">
        <v>4059.542761423073</v>
      </c>
      <c r="AK67">
        <v>0</v>
      </c>
    </row>
    <row r="68" spans="1:37" x14ac:dyDescent="0.25">
      <c r="A68">
        <v>89</v>
      </c>
      <c r="B68" t="str">
        <v>VV-00315</v>
      </c>
      <c r="C68" t="str">
        <v>VV</v>
      </c>
      <c r="D68">
        <v>0</v>
      </c>
      <c r="E68" t="str">
        <v>MM</v>
      </c>
      <c r="F68" t="str">
        <v>&lt;Null&gt;</v>
      </c>
      <c r="G68">
        <v>45839</v>
      </c>
      <c r="H68">
        <v>0</v>
      </c>
      <c r="I68" t="str">
        <v>Globe Equity Decree</v>
      </c>
      <c r="J68" t="str">
        <v>Gila River</v>
      </c>
      <c r="K68" t="str">
        <v>GR</v>
      </c>
      <c r="L68" t="str">
        <v>Virden Valley</v>
      </c>
      <c r="M68" t="str">
        <v>VV</v>
      </c>
      <c r="N68" t="str">
        <v>Sunset Ditch</v>
      </c>
      <c r="O68" t="str">
        <v>MON</v>
      </c>
      <c r="P68" t="str">
        <v>Misc. Outdoor Nursery Stock</v>
      </c>
      <c r="Q68">
        <v>1.0659547916662171</v>
      </c>
      <c r="R68" t="str">
        <v>1</v>
      </c>
      <c r="S68" t="str">
        <v>Flood irrigated</v>
      </c>
      <c r="T68">
        <v>0</v>
      </c>
      <c r="U68">
        <v>0</v>
      </c>
      <c r="V68" t="str">
        <v>8</v>
      </c>
      <c r="W68">
        <v>0</v>
      </c>
      <c r="X68">
        <v>0</v>
      </c>
      <c r="Y68">
        <v>0</v>
      </c>
      <c r="Z68">
        <v>0</v>
      </c>
      <c r="AA68">
        <v>0</v>
      </c>
      <c r="AB68" t="str">
        <v>HI</v>
      </c>
      <c r="AC68">
        <v>0</v>
      </c>
      <c r="AD68" t="str">
        <v>1900</v>
      </c>
      <c r="AE68">
        <v>0</v>
      </c>
      <c r="AF68">
        <v>0</v>
      </c>
      <c r="AG68">
        <v>0</v>
      </c>
      <c r="AH68">
        <v>0</v>
      </c>
      <c r="AI68">
        <v>265.24456907390629</v>
      </c>
      <c r="AJ68">
        <v>4313.7832497582276</v>
      </c>
      <c r="AK68">
        <v>0</v>
      </c>
    </row>
    <row r="69" spans="1:37" x14ac:dyDescent="0.25">
      <c r="A69">
        <v>92</v>
      </c>
      <c r="B69" t="str">
        <v>VV-00316</v>
      </c>
      <c r="C69" t="str">
        <v>VV</v>
      </c>
      <c r="D69">
        <v>0</v>
      </c>
      <c r="E69" t="str">
        <v>MM</v>
      </c>
      <c r="F69" t="str">
        <v>&lt;Null&gt;</v>
      </c>
      <c r="G69">
        <v>45839</v>
      </c>
      <c r="H69">
        <v>0</v>
      </c>
      <c r="I69" t="str">
        <v>Globe Equity Decree</v>
      </c>
      <c r="J69" t="str">
        <v>Gila River</v>
      </c>
      <c r="K69" t="str">
        <v>GR</v>
      </c>
      <c r="L69" t="str">
        <v>Virden Valley</v>
      </c>
      <c r="M69" t="str">
        <v>VV</v>
      </c>
      <c r="N69" t="str">
        <v>Sunset Ditch</v>
      </c>
      <c r="O69" t="str">
        <v>MON</v>
      </c>
      <c r="P69" t="str">
        <v>Misc. Outdoor Nursery Stock</v>
      </c>
      <c r="Q69">
        <v>1.085392546348418</v>
      </c>
      <c r="R69" t="str">
        <v>1</v>
      </c>
      <c r="S69" t="str">
        <v>Flood irrigated</v>
      </c>
      <c r="T69">
        <v>0</v>
      </c>
      <c r="U69">
        <v>0</v>
      </c>
      <c r="V69" t="str">
        <v>8</v>
      </c>
      <c r="W69">
        <v>0</v>
      </c>
      <c r="X69">
        <v>0</v>
      </c>
      <c r="Y69">
        <v>0</v>
      </c>
      <c r="Z69">
        <v>0</v>
      </c>
      <c r="AA69">
        <v>0</v>
      </c>
      <c r="AB69" t="str">
        <v>HI</v>
      </c>
      <c r="AC69">
        <v>0</v>
      </c>
      <c r="AD69" t="str">
        <v>1900</v>
      </c>
      <c r="AE69">
        <v>0</v>
      </c>
      <c r="AF69">
        <v>0</v>
      </c>
      <c r="AG69">
        <v>0</v>
      </c>
      <c r="AH69">
        <v>0</v>
      </c>
      <c r="AI69">
        <v>267.82343118740158</v>
      </c>
      <c r="AJ69">
        <v>4392.445366779084</v>
      </c>
      <c r="AK69">
        <v>0</v>
      </c>
    </row>
    <row r="70" spans="1:37" x14ac:dyDescent="0.25">
      <c r="A70">
        <v>95</v>
      </c>
      <c r="B70" t="str">
        <v>VV-00317</v>
      </c>
      <c r="C70" t="str">
        <v>VV</v>
      </c>
      <c r="D70">
        <v>0</v>
      </c>
      <c r="E70" t="str">
        <v>MM</v>
      </c>
      <c r="F70" t="str">
        <v>&lt;Null&gt;</v>
      </c>
      <c r="G70">
        <v>45839</v>
      </c>
      <c r="H70">
        <v>0</v>
      </c>
      <c r="I70" t="str">
        <v>Globe Equity Decree</v>
      </c>
      <c r="J70" t="str">
        <v>Gila River</v>
      </c>
      <c r="K70" t="str">
        <v>GR</v>
      </c>
      <c r="L70" t="str">
        <v>Virden Valley</v>
      </c>
      <c r="M70" t="str">
        <v>VV</v>
      </c>
      <c r="N70" t="str">
        <v>Sunset Ditch</v>
      </c>
      <c r="O70" t="str">
        <v>MON</v>
      </c>
      <c r="P70" t="str">
        <v>Misc. Outdoor Nursery Stock</v>
      </c>
      <c r="Q70">
        <v>1.0972420515156971</v>
      </c>
      <c r="R70" t="str">
        <v>1</v>
      </c>
      <c r="S70" t="str">
        <v>Flood irrigated</v>
      </c>
      <c r="T70">
        <v>0</v>
      </c>
      <c r="U70">
        <v>0</v>
      </c>
      <c r="V70" t="str">
        <v>8</v>
      </c>
      <c r="W70">
        <v>0</v>
      </c>
      <c r="X70">
        <v>0</v>
      </c>
      <c r="Y70">
        <v>0</v>
      </c>
      <c r="Z70">
        <v>0</v>
      </c>
      <c r="AA70">
        <v>0</v>
      </c>
      <c r="AB70" t="str">
        <v>HI</v>
      </c>
      <c r="AC70">
        <v>0</v>
      </c>
      <c r="AD70" t="str">
        <v>1900</v>
      </c>
      <c r="AE70">
        <v>0</v>
      </c>
      <c r="AF70">
        <v>0</v>
      </c>
      <c r="AG70">
        <v>0</v>
      </c>
      <c r="AH70">
        <v>0</v>
      </c>
      <c r="AI70">
        <v>268.83201577330738</v>
      </c>
      <c r="AJ70">
        <v>4440.3988046811073</v>
      </c>
      <c r="AK70">
        <v>0</v>
      </c>
    </row>
    <row r="71" spans="1:37" x14ac:dyDescent="0.25">
      <c r="A71">
        <v>97</v>
      </c>
      <c r="B71" t="str">
        <v>VV-00318</v>
      </c>
      <c r="C71" t="str">
        <v>VV</v>
      </c>
      <c r="D71">
        <v>0</v>
      </c>
      <c r="E71" t="str">
        <v>MM</v>
      </c>
      <c r="F71" t="str">
        <v>&lt;Null&gt;</v>
      </c>
      <c r="G71">
        <v>45839</v>
      </c>
      <c r="H71">
        <v>0</v>
      </c>
      <c r="I71" t="str">
        <v>Globe Equity Decree</v>
      </c>
      <c r="J71" t="str">
        <v>Gila River</v>
      </c>
      <c r="K71" t="str">
        <v>GR</v>
      </c>
      <c r="L71" t="str">
        <v>Virden Valley</v>
      </c>
      <c r="M71" t="str">
        <v>VV</v>
      </c>
      <c r="N71" t="str">
        <v>Sunset Ditch</v>
      </c>
      <c r="O71" t="str">
        <v>MON</v>
      </c>
      <c r="P71" t="str">
        <v>Misc. Outdoor Nursery Stock</v>
      </c>
      <c r="Q71">
        <v>0.61049766714066156</v>
      </c>
      <c r="R71" t="str">
        <v>1</v>
      </c>
      <c r="S71" t="str">
        <v>Flood irrigated</v>
      </c>
      <c r="T71">
        <v>0</v>
      </c>
      <c r="U71">
        <v>0</v>
      </c>
      <c r="V71" t="str">
        <v>8</v>
      </c>
      <c r="W71">
        <v>0</v>
      </c>
      <c r="X71">
        <v>0</v>
      </c>
      <c r="Y71">
        <v>0</v>
      </c>
      <c r="Z71">
        <v>0</v>
      </c>
      <c r="AA71">
        <v>0</v>
      </c>
      <c r="AB71" t="str">
        <v>HI</v>
      </c>
      <c r="AC71">
        <v>0</v>
      </c>
      <c r="AD71" t="str">
        <v>1900</v>
      </c>
      <c r="AE71">
        <v>0</v>
      </c>
      <c r="AF71">
        <v>0</v>
      </c>
      <c r="AG71">
        <v>0</v>
      </c>
      <c r="AH71">
        <v>0</v>
      </c>
      <c r="AI71">
        <v>201.66529437952761</v>
      </c>
      <c r="AJ71">
        <v>2470.606287543671</v>
      </c>
      <c r="AK71">
        <v>0</v>
      </c>
    </row>
    <row r="72" spans="1:37" x14ac:dyDescent="0.25">
      <c r="A72">
        <v>98</v>
      </c>
      <c r="B72" t="str">
        <v>VV-00318</v>
      </c>
      <c r="C72" t="str">
        <v>VV</v>
      </c>
      <c r="D72">
        <v>0</v>
      </c>
      <c r="E72" t="str">
        <v>MM</v>
      </c>
      <c r="F72" t="str">
        <v>&lt;Null&gt;</v>
      </c>
      <c r="G72">
        <v>45839</v>
      </c>
      <c r="H72">
        <v>0</v>
      </c>
      <c r="I72" t="str">
        <v>Globe Equity Decree</v>
      </c>
      <c r="J72" t="str">
        <v>Gila River</v>
      </c>
      <c r="K72" t="str">
        <v>GR</v>
      </c>
      <c r="L72" t="str">
        <v>Virden Valley</v>
      </c>
      <c r="M72" t="str">
        <v>VV</v>
      </c>
      <c r="N72" t="str">
        <v>Sunset Ditch</v>
      </c>
      <c r="O72" t="str">
        <v>MON</v>
      </c>
      <c r="P72" t="str">
        <v>Misc. Outdoor Nursery Stock</v>
      </c>
      <c r="Q72">
        <v>0.32606721709954117</v>
      </c>
      <c r="R72" t="str">
        <v>1</v>
      </c>
      <c r="S72" t="str">
        <v>Flood irrigated</v>
      </c>
      <c r="T72">
        <v>0</v>
      </c>
      <c r="U72">
        <v>0</v>
      </c>
      <c r="V72" t="str">
        <v>8</v>
      </c>
      <c r="W72">
        <v>0</v>
      </c>
      <c r="X72">
        <v>0</v>
      </c>
      <c r="Y72">
        <v>0</v>
      </c>
      <c r="Z72">
        <v>0</v>
      </c>
      <c r="AA72">
        <v>0</v>
      </c>
      <c r="AB72" t="str">
        <v>HI</v>
      </c>
      <c r="AC72">
        <v>0</v>
      </c>
      <c r="AD72" t="str">
        <v>1900</v>
      </c>
      <c r="AE72">
        <v>0</v>
      </c>
      <c r="AF72">
        <v>0</v>
      </c>
      <c r="AG72">
        <v>0</v>
      </c>
      <c r="AH72">
        <v>0</v>
      </c>
      <c r="AI72">
        <v>162.366961255815</v>
      </c>
      <c r="AJ72">
        <v>1319.552489858055</v>
      </c>
      <c r="AK72">
        <v>0</v>
      </c>
    </row>
    <row r="73" spans="1:37" x14ac:dyDescent="0.25">
      <c r="A73">
        <v>99</v>
      </c>
      <c r="B73" t="str">
        <v>VV-00318</v>
      </c>
      <c r="C73" t="str">
        <v>VV</v>
      </c>
      <c r="D73">
        <v>0</v>
      </c>
      <c r="E73" t="str">
        <v>MM</v>
      </c>
      <c r="F73" t="str">
        <v>&lt;Null&gt;</v>
      </c>
      <c r="G73">
        <v>45839</v>
      </c>
      <c r="H73">
        <v>0</v>
      </c>
      <c r="I73" t="str">
        <v>Globe Equity Decree</v>
      </c>
      <c r="J73" t="str">
        <v>Gila River</v>
      </c>
      <c r="K73" t="str">
        <v>GR</v>
      </c>
      <c r="L73" t="str">
        <v>Virden Valley</v>
      </c>
      <c r="M73" t="str">
        <v>VV</v>
      </c>
      <c r="N73" t="str">
        <v>Sunset Ditch</v>
      </c>
      <c r="O73" t="str">
        <v>MON</v>
      </c>
      <c r="P73" t="str">
        <v>Misc. Outdoor Nursery Stock</v>
      </c>
      <c r="Q73">
        <v>0.75848046303644578</v>
      </c>
      <c r="R73" t="str">
        <v>1</v>
      </c>
      <c r="S73" t="str">
        <v>Flood irrigated</v>
      </c>
      <c r="T73">
        <v>0</v>
      </c>
      <c r="U73">
        <v>0</v>
      </c>
      <c r="V73" t="str">
        <v>8</v>
      </c>
      <c r="W73">
        <v>0</v>
      </c>
      <c r="X73">
        <v>0</v>
      </c>
      <c r="Y73">
        <v>0</v>
      </c>
      <c r="Z73">
        <v>0</v>
      </c>
      <c r="AA73">
        <v>0</v>
      </c>
      <c r="AB73" t="str">
        <v>HI</v>
      </c>
      <c r="AC73">
        <v>0</v>
      </c>
      <c r="AD73" t="str">
        <v>1900</v>
      </c>
      <c r="AE73">
        <v>0</v>
      </c>
      <c r="AF73">
        <v>0</v>
      </c>
      <c r="AG73">
        <v>0</v>
      </c>
      <c r="AH73">
        <v>0</v>
      </c>
      <c r="AI73">
        <v>221.96200007738031</v>
      </c>
      <c r="AJ73">
        <v>3069.4738109869322</v>
      </c>
      <c r="AK73">
        <v>0</v>
      </c>
    </row>
    <row r="74" spans="1:37" x14ac:dyDescent="0.25">
      <c r="A74">
        <v>100</v>
      </c>
      <c r="B74" t="str">
        <v>VV-00318</v>
      </c>
      <c r="C74" t="str">
        <v>VV</v>
      </c>
      <c r="D74">
        <v>0</v>
      </c>
      <c r="E74" t="str">
        <v>MM</v>
      </c>
      <c r="F74" t="str">
        <v>&lt;Null&gt;</v>
      </c>
      <c r="G74">
        <v>45839</v>
      </c>
      <c r="H74">
        <v>0</v>
      </c>
      <c r="I74" t="str">
        <v>Globe Equity Decree</v>
      </c>
      <c r="J74" t="str">
        <v>Gila River</v>
      </c>
      <c r="K74" t="str">
        <v>GR</v>
      </c>
      <c r="L74" t="str">
        <v>Virden Valley</v>
      </c>
      <c r="M74" t="str">
        <v>VV</v>
      </c>
      <c r="N74" t="str">
        <v>Sunset Ditch</v>
      </c>
      <c r="O74" t="str">
        <v>MON</v>
      </c>
      <c r="P74" t="str">
        <v>Misc. Outdoor Nursery Stock</v>
      </c>
      <c r="Q74">
        <v>1.075310606837983</v>
      </c>
      <c r="R74" t="str">
        <v>1</v>
      </c>
      <c r="S74" t="str">
        <v>Flood irrigated</v>
      </c>
      <c r="T74">
        <v>0</v>
      </c>
      <c r="U74">
        <v>0</v>
      </c>
      <c r="V74" t="str">
        <v>8</v>
      </c>
      <c r="W74">
        <v>0</v>
      </c>
      <c r="X74">
        <v>0</v>
      </c>
      <c r="Y74">
        <v>0</v>
      </c>
      <c r="Z74">
        <v>0</v>
      </c>
      <c r="AA74">
        <v>0</v>
      </c>
      <c r="AB74" t="str">
        <v>HI</v>
      </c>
      <c r="AC74">
        <v>0</v>
      </c>
      <c r="AD74" t="str">
        <v>1900</v>
      </c>
      <c r="AE74">
        <v>0</v>
      </c>
      <c r="AF74">
        <v>0</v>
      </c>
      <c r="AG74">
        <v>0</v>
      </c>
      <c r="AH74">
        <v>0</v>
      </c>
      <c r="AI74">
        <v>266.03227315043921</v>
      </c>
      <c r="AJ74">
        <v>4351.6450419198954</v>
      </c>
      <c r="AK74">
        <v>0</v>
      </c>
    </row>
    <row r="75" spans="1:37" x14ac:dyDescent="0.25">
      <c r="A75">
        <v>101</v>
      </c>
      <c r="B75" t="str">
        <v>VV-00318</v>
      </c>
      <c r="C75" t="str">
        <v>VV</v>
      </c>
      <c r="D75">
        <v>0</v>
      </c>
      <c r="E75" t="str">
        <v>MM</v>
      </c>
      <c r="F75" t="str">
        <v>&lt;Null&gt;</v>
      </c>
      <c r="G75">
        <v>45839</v>
      </c>
      <c r="H75">
        <v>0</v>
      </c>
      <c r="I75" t="str">
        <v>Globe Equity Decree</v>
      </c>
      <c r="J75" t="str">
        <v>Gila River</v>
      </c>
      <c r="K75" t="str">
        <v>GR</v>
      </c>
      <c r="L75" t="str">
        <v>Virden Valley</v>
      </c>
      <c r="M75" t="str">
        <v>VV</v>
      </c>
      <c r="N75" t="str">
        <v>Sunset Ditch</v>
      </c>
      <c r="O75" t="str">
        <v>MON</v>
      </c>
      <c r="P75" t="str">
        <v>Misc. Outdoor Nursery Stock</v>
      </c>
      <c r="Q75">
        <v>0.47594859651006782</v>
      </c>
      <c r="R75" t="str">
        <v>1</v>
      </c>
      <c r="S75" t="str">
        <v>Flood irrigated</v>
      </c>
      <c r="T75">
        <v>0</v>
      </c>
      <c r="U75">
        <v>0</v>
      </c>
      <c r="V75" t="str">
        <v>8</v>
      </c>
      <c r="W75">
        <v>0</v>
      </c>
      <c r="X75">
        <v>0</v>
      </c>
      <c r="Y75">
        <v>0</v>
      </c>
      <c r="Z75">
        <v>0</v>
      </c>
      <c r="AA75">
        <v>0</v>
      </c>
      <c r="AB75" t="str">
        <v>HI</v>
      </c>
      <c r="AC75">
        <v>0</v>
      </c>
      <c r="AD75" t="str">
        <v>1900</v>
      </c>
      <c r="AE75">
        <v>0</v>
      </c>
      <c r="AF75">
        <v>0</v>
      </c>
      <c r="AG75">
        <v>0</v>
      </c>
      <c r="AH75">
        <v>0</v>
      </c>
      <c r="AI75">
        <v>183.29294322308269</v>
      </c>
      <c r="AJ75">
        <v>1926.103338924685</v>
      </c>
      <c r="AK75">
        <v>0</v>
      </c>
    </row>
    <row r="76" spans="1:37" x14ac:dyDescent="0.25">
      <c r="A76">
        <v>174</v>
      </c>
      <c r="B76">
        <v>0</v>
      </c>
      <c r="C76" t="str">
        <v>VV</v>
      </c>
      <c r="D76">
        <v>0</v>
      </c>
      <c r="E76" t="str">
        <v>MM</v>
      </c>
      <c r="F76" t="str">
        <v>&lt;Null&gt;</v>
      </c>
      <c r="G76">
        <v>45838</v>
      </c>
      <c r="H76">
        <v>0</v>
      </c>
      <c r="I76" t="str">
        <v>Globe Equity Decree</v>
      </c>
      <c r="J76" t="str">
        <v>Gila River</v>
      </c>
      <c r="K76" t="str">
        <v>GR</v>
      </c>
      <c r="L76" t="str">
        <v>Virden Valey</v>
      </c>
      <c r="M76" t="str">
        <v>VV</v>
      </c>
      <c r="N76" t="str">
        <v>Sunset Canal</v>
      </c>
      <c r="O76" t="str">
        <v>MON</v>
      </c>
      <c r="P76" t="str">
        <v>Orchard (ground cover)</v>
      </c>
      <c r="Q76">
        <v>0.4947121630525193</v>
      </c>
      <c r="R76" t="str">
        <v>1</v>
      </c>
      <c r="S76" t="str">
        <v>Flood irrigated</v>
      </c>
      <c r="T76">
        <v>0</v>
      </c>
      <c r="U76">
        <v>0</v>
      </c>
      <c r="V76" t="str">
        <v>4</v>
      </c>
      <c r="W76">
        <v>0</v>
      </c>
      <c r="X76">
        <v>0</v>
      </c>
      <c r="Y76">
        <v>0</v>
      </c>
      <c r="Z76">
        <v>0</v>
      </c>
      <c r="AA76">
        <v>0</v>
      </c>
      <c r="AB76" t="str">
        <v>HI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205.32728932580599</v>
      </c>
      <c r="AJ76">
        <v>2002.037102428885</v>
      </c>
      <c r="AK76">
        <v>0</v>
      </c>
    </row>
    <row r="77" spans="1:37" x14ac:dyDescent="0.25">
      <c r="A77">
        <v>159</v>
      </c>
      <c r="B77">
        <v>0</v>
      </c>
      <c r="C77" t="str">
        <v>VV</v>
      </c>
      <c r="D77">
        <v>0</v>
      </c>
      <c r="E77" t="str">
        <v>MM</v>
      </c>
      <c r="F77" t="str">
        <v>&lt;Null&gt;</v>
      </c>
      <c r="G77">
        <v>45838</v>
      </c>
      <c r="H77">
        <v>0</v>
      </c>
      <c r="I77" t="str">
        <v>Arizona v California</v>
      </c>
      <c r="J77" t="str">
        <v>Gila River</v>
      </c>
      <c r="K77" t="str">
        <v>GR</v>
      </c>
      <c r="L77" t="str">
        <v>Virden Valey</v>
      </c>
      <c r="M77" t="str">
        <v>VV</v>
      </c>
      <c r="N77">
        <v>0</v>
      </c>
      <c r="O77" t="str">
        <v>ONG</v>
      </c>
      <c r="P77" t="str">
        <v>Orchard (no ground cover)</v>
      </c>
      <c r="Q77">
        <v>0.47255644785755241</v>
      </c>
      <c r="R77" t="str">
        <v>1</v>
      </c>
      <c r="S77" t="str">
        <v>Flood irrigated</v>
      </c>
      <c r="T77" t="str">
        <v xml:space="preserve"> </v>
      </c>
      <c r="U77">
        <v>0</v>
      </c>
      <c r="V77" t="str">
        <v>1</v>
      </c>
      <c r="W77">
        <v>0</v>
      </c>
      <c r="X77">
        <v>0</v>
      </c>
      <c r="Y77" t="str">
        <v>T19S</v>
      </c>
      <c r="Z77" t="str">
        <v>R20W</v>
      </c>
      <c r="AA77" t="str">
        <v>18</v>
      </c>
      <c r="AB77" t="str">
        <v>HI</v>
      </c>
      <c r="AC77">
        <v>0</v>
      </c>
      <c r="AD77" t="str">
        <v xml:space="preserve"> </v>
      </c>
      <c r="AE77">
        <v>0</v>
      </c>
      <c r="AF77">
        <v>0</v>
      </c>
      <c r="AG77">
        <v>0</v>
      </c>
      <c r="AH77">
        <v>0</v>
      </c>
      <c r="AI77">
        <v>179.55210262442381</v>
      </c>
      <c r="AJ77">
        <v>1912.375745454199</v>
      </c>
      <c r="AK77">
        <v>0</v>
      </c>
    </row>
    <row r="78" spans="1:37" x14ac:dyDescent="0.25">
      <c r="A78">
        <v>55</v>
      </c>
      <c r="B78">
        <v>0</v>
      </c>
      <c r="C78" t="str">
        <v>VV</v>
      </c>
      <c r="D78">
        <v>0</v>
      </c>
      <c r="E78" t="str">
        <v>MM</v>
      </c>
      <c r="F78" t="str">
        <v>&lt;Null&gt;</v>
      </c>
      <c r="G78">
        <v>45839</v>
      </c>
      <c r="H78">
        <v>0</v>
      </c>
      <c r="I78" t="str">
        <v>Globe Equity Decree</v>
      </c>
      <c r="J78" t="str">
        <v>Gila River</v>
      </c>
      <c r="K78" t="str">
        <v>GR</v>
      </c>
      <c r="L78" t="str">
        <v>Virden Valey</v>
      </c>
      <c r="M78" t="str">
        <v>VV</v>
      </c>
      <c r="N78" t="str">
        <v>Sunset Canal</v>
      </c>
      <c r="O78" t="str">
        <v>PIC</v>
      </c>
      <c r="P78" t="str">
        <v>Pasture (Improved/Planted, Cool Grass)</v>
      </c>
      <c r="Q78">
        <v>5.3796935140694666</v>
      </c>
      <c r="R78" t="str">
        <v>1</v>
      </c>
      <c r="S78" t="str">
        <v>Flood irrigated</v>
      </c>
      <c r="T78">
        <v>0</v>
      </c>
      <c r="U78">
        <v>0</v>
      </c>
      <c r="V78" t="str">
        <v>8</v>
      </c>
      <c r="W78">
        <v>0</v>
      </c>
      <c r="X78">
        <v>0</v>
      </c>
      <c r="Y78">
        <v>0</v>
      </c>
      <c r="Z78">
        <v>0</v>
      </c>
      <c r="AA78">
        <v>0</v>
      </c>
      <c r="AB78" t="str">
        <v>HI</v>
      </c>
      <c r="AC78" t="str">
        <v>76 Slash Cattle, LLC  c/o Jim W. Haught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635.96399955736115</v>
      </c>
      <c r="AJ78">
        <v>21770.934331605891</v>
      </c>
      <c r="AK78">
        <v>0</v>
      </c>
    </row>
    <row r="79" spans="1:37" x14ac:dyDescent="0.25">
      <c r="A79">
        <v>115</v>
      </c>
      <c r="B79">
        <v>0</v>
      </c>
      <c r="C79" t="str">
        <v>VV</v>
      </c>
      <c r="D79">
        <v>0</v>
      </c>
      <c r="E79" t="str">
        <v>MM</v>
      </c>
      <c r="F79" t="str">
        <v>&lt;Null&gt;</v>
      </c>
      <c r="G79">
        <v>45839</v>
      </c>
      <c r="H79">
        <v>0</v>
      </c>
      <c r="I79" t="str">
        <v>Globe Equity Decree</v>
      </c>
      <c r="J79" t="str">
        <v>Gila River</v>
      </c>
      <c r="K79" t="str">
        <v>GR</v>
      </c>
      <c r="L79" t="str">
        <v>Virden Valey</v>
      </c>
      <c r="M79" t="str">
        <v>VV</v>
      </c>
      <c r="N79" t="str">
        <v>Sunset Canal</v>
      </c>
      <c r="O79" t="str">
        <v>PIW</v>
      </c>
      <c r="P79" t="str">
        <v>Pasture (improved/Planted, Warm Grass)</v>
      </c>
      <c r="Q79">
        <v>7.9520289708909724</v>
      </c>
      <c r="R79" t="str">
        <v>1</v>
      </c>
      <c r="S79" t="str">
        <v>Flood irrigated</v>
      </c>
      <c r="T79">
        <v>0</v>
      </c>
      <c r="U79">
        <v>0</v>
      </c>
      <c r="V79" t="str">
        <v>10</v>
      </c>
      <c r="W79">
        <v>0</v>
      </c>
      <c r="X79">
        <v>0</v>
      </c>
      <c r="Y79" t="str">
        <v>T19S</v>
      </c>
      <c r="Z79" t="str">
        <v>R21W</v>
      </c>
      <c r="AA79" t="str">
        <v>4</v>
      </c>
      <c r="AB79" t="str">
        <v>HI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792.79885169820238</v>
      </c>
      <c r="AJ79">
        <v>32180.84823522521</v>
      </c>
      <c r="AK79">
        <v>0</v>
      </c>
    </row>
    <row r="80" spans="1:37" x14ac:dyDescent="0.25">
      <c r="A80">
        <v>116</v>
      </c>
      <c r="B80">
        <v>0</v>
      </c>
      <c r="C80" t="str">
        <v>VV</v>
      </c>
      <c r="D80">
        <v>0</v>
      </c>
      <c r="E80" t="str">
        <v>MM</v>
      </c>
      <c r="F80" t="str">
        <v>&lt;Null&gt;</v>
      </c>
      <c r="G80">
        <v>45839</v>
      </c>
      <c r="H80">
        <v>0</v>
      </c>
      <c r="I80" t="str">
        <v>Globe Equity Decree</v>
      </c>
      <c r="J80" t="str">
        <v>Gila River</v>
      </c>
      <c r="K80" t="str">
        <v>GR</v>
      </c>
      <c r="L80" t="str">
        <v>Virden Valey</v>
      </c>
      <c r="M80" t="str">
        <v>VV</v>
      </c>
      <c r="N80" t="str">
        <v>Sunset Canal</v>
      </c>
      <c r="O80" t="str">
        <v>PIW</v>
      </c>
      <c r="P80" t="str">
        <v>Pasture (improved/Planted, Warm Grass)</v>
      </c>
      <c r="Q80">
        <v>1.6297137988814601</v>
      </c>
      <c r="R80" t="str">
        <v>1</v>
      </c>
      <c r="S80" t="str">
        <v>Flood irrigated</v>
      </c>
      <c r="T80">
        <v>0</v>
      </c>
      <c r="U80">
        <v>0</v>
      </c>
      <c r="V80" t="str">
        <v>10</v>
      </c>
      <c r="W80">
        <v>0</v>
      </c>
      <c r="X80">
        <v>0</v>
      </c>
      <c r="Y80" t="str">
        <v>T19S</v>
      </c>
      <c r="Z80" t="str">
        <v>R21W</v>
      </c>
      <c r="AA80" t="str">
        <v>4</v>
      </c>
      <c r="AB80" t="str">
        <v>HI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358.22074104995772</v>
      </c>
      <c r="AJ80">
        <v>6595.2441346274964</v>
      </c>
      <c r="AK80">
        <v>0</v>
      </c>
    </row>
    <row r="81" spans="1:37" x14ac:dyDescent="0.25">
      <c r="A81">
        <v>118</v>
      </c>
      <c r="B81">
        <v>0</v>
      </c>
      <c r="C81" t="str">
        <v>VV</v>
      </c>
      <c r="D81">
        <v>0</v>
      </c>
      <c r="E81" t="str">
        <v>MM</v>
      </c>
      <c r="F81" t="str">
        <v>&lt;Null&gt;</v>
      </c>
      <c r="G81">
        <v>45839</v>
      </c>
      <c r="H81">
        <v>0</v>
      </c>
      <c r="I81" t="str">
        <v>Globe Equity Decree</v>
      </c>
      <c r="J81" t="str">
        <v>Gila River</v>
      </c>
      <c r="K81" t="str">
        <v>GR</v>
      </c>
      <c r="L81" t="str">
        <v>Virden Valey</v>
      </c>
      <c r="M81" t="str">
        <v>VV</v>
      </c>
      <c r="N81" t="str">
        <v>Sunset Canal</v>
      </c>
      <c r="O81" t="str">
        <v>PIW</v>
      </c>
      <c r="P81" t="str">
        <v>Pasture (improved/Planted, Warm Grass)</v>
      </c>
      <c r="Q81">
        <v>3.268909838981803</v>
      </c>
      <c r="R81" t="str">
        <v>1</v>
      </c>
      <c r="S81" t="str">
        <v>Flood irrigated</v>
      </c>
      <c r="T81">
        <v>0</v>
      </c>
      <c r="U81">
        <v>0</v>
      </c>
      <c r="V81" t="str">
        <v>10</v>
      </c>
      <c r="W81">
        <v>0</v>
      </c>
      <c r="X81">
        <v>0</v>
      </c>
      <c r="Y81" t="str">
        <v>T19S</v>
      </c>
      <c r="Z81" t="str">
        <v>R21W</v>
      </c>
      <c r="AA81" t="str">
        <v>4</v>
      </c>
      <c r="AB81" t="str">
        <v>HI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552.1700620243588</v>
      </c>
      <c r="AJ81">
        <v>13228.861691523911</v>
      </c>
      <c r="AK81">
        <v>0</v>
      </c>
    </row>
    <row r="82" spans="1:37" x14ac:dyDescent="0.25">
      <c r="A82">
        <v>119</v>
      </c>
      <c r="B82">
        <v>0</v>
      </c>
      <c r="C82" t="str">
        <v>VV</v>
      </c>
      <c r="D82">
        <v>0</v>
      </c>
      <c r="E82" t="str">
        <v>MM</v>
      </c>
      <c r="F82" t="str">
        <v>&lt;Null&gt;</v>
      </c>
      <c r="G82">
        <v>45839</v>
      </c>
      <c r="H82">
        <v>0</v>
      </c>
      <c r="I82" t="str">
        <v>Globe Equity Decree</v>
      </c>
      <c r="J82" t="str">
        <v>Gila River</v>
      </c>
      <c r="K82" t="str">
        <v>GR</v>
      </c>
      <c r="L82" t="str">
        <v>Virden Valey</v>
      </c>
      <c r="M82" t="str">
        <v>VV</v>
      </c>
      <c r="N82" t="str">
        <v>Sunset Canal</v>
      </c>
      <c r="O82" t="str">
        <v>PIW</v>
      </c>
      <c r="P82" t="str">
        <v>Pasture (improved/Planted, Warm Grass)</v>
      </c>
      <c r="Q82">
        <v>8.1175193792897868</v>
      </c>
      <c r="R82" t="str">
        <v>1</v>
      </c>
      <c r="S82" t="str">
        <v>Flood irrigated</v>
      </c>
      <c r="T82">
        <v>0</v>
      </c>
      <c r="U82">
        <v>0</v>
      </c>
      <c r="V82" t="str">
        <v>10</v>
      </c>
      <c r="W82">
        <v>0</v>
      </c>
      <c r="X82">
        <v>0</v>
      </c>
      <c r="Y82" t="str">
        <v>T19S</v>
      </c>
      <c r="Z82" t="str">
        <v>R21W</v>
      </c>
      <c r="AA82" t="str">
        <v>4</v>
      </c>
      <c r="AB82" t="str">
        <v>HI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902.44806109758247</v>
      </c>
      <c r="AJ82">
        <v>32850.566836171267</v>
      </c>
      <c r="AK82">
        <v>0</v>
      </c>
    </row>
    <row r="83" spans="1:37" x14ac:dyDescent="0.25">
      <c r="A83">
        <v>138</v>
      </c>
      <c r="B83">
        <v>0</v>
      </c>
      <c r="C83" t="str">
        <v>VV</v>
      </c>
      <c r="D83">
        <v>0</v>
      </c>
      <c r="E83" t="str">
        <v>MM</v>
      </c>
      <c r="F83" t="str">
        <v>&lt;Null&gt;</v>
      </c>
      <c r="G83">
        <v>45839</v>
      </c>
      <c r="H83">
        <v>0</v>
      </c>
      <c r="I83" t="str">
        <v>Globe Equity Decree</v>
      </c>
      <c r="J83" t="str">
        <v>Gila River</v>
      </c>
      <c r="K83" t="str">
        <v>GR</v>
      </c>
      <c r="L83" t="str">
        <v>Virden Valey</v>
      </c>
      <c r="M83" t="str">
        <v>VV</v>
      </c>
      <c r="N83" t="str">
        <v>Sunset Canal</v>
      </c>
      <c r="O83" t="str">
        <v>PIW</v>
      </c>
      <c r="P83" t="str">
        <v>Pasture (improved/Planted, Warm Grass)</v>
      </c>
      <c r="Q83">
        <v>20.532894875671641</v>
      </c>
      <c r="R83" t="str">
        <v>1</v>
      </c>
      <c r="S83" t="str">
        <v>Flood irrigated</v>
      </c>
      <c r="T83">
        <v>0</v>
      </c>
      <c r="U83">
        <v>0</v>
      </c>
      <c r="V83" t="str">
        <v>11</v>
      </c>
      <c r="W83">
        <v>0</v>
      </c>
      <c r="X83">
        <v>0</v>
      </c>
      <c r="Y83" t="str">
        <v>T18S</v>
      </c>
      <c r="Z83" t="str">
        <v>R21W</v>
      </c>
      <c r="AA83" t="str">
        <v>33</v>
      </c>
      <c r="AB83" t="str">
        <v>HI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1239.703389604535</v>
      </c>
      <c r="AJ83">
        <v>83094.009873782925</v>
      </c>
      <c r="AK83">
        <v>0</v>
      </c>
    </row>
    <row r="84" spans="1:37" x14ac:dyDescent="0.25">
      <c r="A84">
        <v>140</v>
      </c>
      <c r="B84">
        <v>0</v>
      </c>
      <c r="C84" t="str">
        <v>VV</v>
      </c>
      <c r="D84">
        <v>0</v>
      </c>
      <c r="E84" t="str">
        <v>MM</v>
      </c>
      <c r="F84" t="str">
        <v>&lt;Null&gt;</v>
      </c>
      <c r="G84">
        <v>45839</v>
      </c>
      <c r="H84">
        <v>0</v>
      </c>
      <c r="I84" t="str">
        <v>Globe Equity Decree</v>
      </c>
      <c r="J84" t="str">
        <v>Gila River</v>
      </c>
      <c r="K84" t="str">
        <v>GR</v>
      </c>
      <c r="L84" t="str">
        <v>Virden Valey</v>
      </c>
      <c r="M84" t="str">
        <v>VV</v>
      </c>
      <c r="N84" t="str">
        <v>Sunset Canal</v>
      </c>
      <c r="O84" t="str">
        <v>PIW</v>
      </c>
      <c r="P84" t="str">
        <v>Pasture (improved/Planted, Warm Grass)</v>
      </c>
      <c r="Q84">
        <v>6.4300640567677911</v>
      </c>
      <c r="R84" t="str">
        <v>1</v>
      </c>
      <c r="S84" t="str">
        <v>Flood irrigated</v>
      </c>
      <c r="T84">
        <v>0</v>
      </c>
      <c r="U84">
        <v>0</v>
      </c>
      <c r="V84" t="str">
        <v>13</v>
      </c>
      <c r="W84">
        <v>0</v>
      </c>
      <c r="X84">
        <v>0</v>
      </c>
      <c r="Y84" t="str">
        <v>T18S</v>
      </c>
      <c r="Z84" t="str">
        <v>R21W</v>
      </c>
      <c r="AA84" t="str">
        <v>32</v>
      </c>
      <c r="AB84" t="str">
        <v>HI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941.98433452743711</v>
      </c>
      <c r="AJ84">
        <v>26021.650111070488</v>
      </c>
      <c r="AK84">
        <v>0</v>
      </c>
    </row>
    <row r="85" spans="1:37" x14ac:dyDescent="0.25">
      <c r="A85">
        <v>142</v>
      </c>
      <c r="B85">
        <v>0</v>
      </c>
      <c r="C85" t="str">
        <v>VV</v>
      </c>
      <c r="D85">
        <v>0</v>
      </c>
      <c r="E85" t="str">
        <v>MM</v>
      </c>
      <c r="F85">
        <v>0</v>
      </c>
      <c r="G85">
        <v>45839</v>
      </c>
      <c r="H85">
        <v>0</v>
      </c>
      <c r="I85" t="str">
        <v>Globe Equity Decree</v>
      </c>
      <c r="J85" t="str">
        <v>Gila River</v>
      </c>
      <c r="K85" t="str">
        <v>GR</v>
      </c>
      <c r="L85" t="str">
        <v>Virden Valey</v>
      </c>
      <c r="M85" t="str">
        <v>VV</v>
      </c>
      <c r="N85" t="str">
        <v>Sunset Canal</v>
      </c>
      <c r="O85" t="str">
        <v>PIW</v>
      </c>
      <c r="P85" t="str">
        <v>Pasture (improved/Planted, Warm Grass)</v>
      </c>
      <c r="Q85">
        <v>8.1515647725364619</v>
      </c>
      <c r="R85" t="str">
        <v>1</v>
      </c>
      <c r="S85" t="str">
        <v>Flood irrigated</v>
      </c>
      <c r="T85">
        <v>0</v>
      </c>
      <c r="U85">
        <v>0</v>
      </c>
      <c r="V85" t="str">
        <v>13</v>
      </c>
      <c r="W85">
        <v>0</v>
      </c>
      <c r="X85">
        <v>0</v>
      </c>
      <c r="Y85">
        <v>0</v>
      </c>
      <c r="Z85">
        <v>0</v>
      </c>
      <c r="AA85">
        <v>0</v>
      </c>
      <c r="AB85" t="str">
        <v>HI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752.77408693645725</v>
      </c>
      <c r="AJ85">
        <v>32988.344205593647</v>
      </c>
      <c r="AK85">
        <v>0</v>
      </c>
    </row>
    <row r="86" spans="1:37" x14ac:dyDescent="0.25">
      <c r="A86">
        <v>182</v>
      </c>
      <c r="B86">
        <v>0</v>
      </c>
      <c r="C86" t="str">
        <v>VV</v>
      </c>
      <c r="D86">
        <v>0</v>
      </c>
      <c r="E86" t="str">
        <v>MM</v>
      </c>
      <c r="F86" t="str">
        <v>&lt;Null&gt;</v>
      </c>
      <c r="G86">
        <v>45839</v>
      </c>
      <c r="H86">
        <v>0</v>
      </c>
      <c r="I86" t="str">
        <v>Globe Equity Decree</v>
      </c>
      <c r="J86" t="str">
        <v>Gila River</v>
      </c>
      <c r="K86" t="str">
        <v>GR</v>
      </c>
      <c r="L86" t="str">
        <v>Virden Valey</v>
      </c>
      <c r="M86" t="str">
        <v>VV</v>
      </c>
      <c r="N86" t="str">
        <v>Sunset Canal</v>
      </c>
      <c r="O86" t="str">
        <v>PIW</v>
      </c>
      <c r="P86" t="str">
        <v>Pasture (improved/Planted, Warm Grass)</v>
      </c>
      <c r="Q86">
        <v>6.2250737209785481</v>
      </c>
      <c r="R86" t="str">
        <v>1</v>
      </c>
      <c r="S86" t="str">
        <v>Flood irrigated</v>
      </c>
      <c r="T86">
        <v>0</v>
      </c>
      <c r="U86">
        <v>0</v>
      </c>
      <c r="V86" t="str">
        <v>10</v>
      </c>
      <c r="W86">
        <v>0</v>
      </c>
      <c r="X86">
        <v>0</v>
      </c>
      <c r="Y86" t="str">
        <v>T19S</v>
      </c>
      <c r="Z86" t="str">
        <v>R21W</v>
      </c>
      <c r="AA86" t="str">
        <v>4</v>
      </c>
      <c r="AB86" t="str">
        <v>HI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2041.311325774773</v>
      </c>
      <c r="AJ86">
        <v>25192.080335876071</v>
      </c>
      <c r="AK86">
        <v>0</v>
      </c>
    </row>
    <row r="87" spans="1:37" x14ac:dyDescent="0.25">
      <c r="A87">
        <v>200</v>
      </c>
      <c r="B87">
        <v>0</v>
      </c>
      <c r="C87" t="str">
        <v>VV</v>
      </c>
      <c r="D87">
        <v>0</v>
      </c>
      <c r="E87" t="str">
        <v>MM</v>
      </c>
      <c r="F87" t="str">
        <v>&lt;Null&gt;</v>
      </c>
      <c r="G87">
        <v>45839</v>
      </c>
      <c r="H87">
        <v>0</v>
      </c>
      <c r="I87" t="str">
        <v>Globe Equity Decree</v>
      </c>
      <c r="J87" t="str">
        <v>Gila River</v>
      </c>
      <c r="K87" t="str">
        <v>GR</v>
      </c>
      <c r="L87" t="str">
        <v>Virden Valey</v>
      </c>
      <c r="M87" t="str">
        <v>VV</v>
      </c>
      <c r="N87" t="str">
        <v>New Modell</v>
      </c>
      <c r="O87" t="str">
        <v>PIW</v>
      </c>
      <c r="P87" t="str">
        <v>Pasture (improved/Planted, Warm Grass)</v>
      </c>
      <c r="Q87">
        <v>14.853811426915341</v>
      </c>
      <c r="R87" t="str">
        <v>1</v>
      </c>
      <c r="S87" t="str">
        <v>Flood irrigated</v>
      </c>
      <c r="T87">
        <v>0</v>
      </c>
      <c r="U87">
        <v>0</v>
      </c>
      <c r="V87" t="str">
        <v>10</v>
      </c>
      <c r="W87">
        <v>0</v>
      </c>
      <c r="X87">
        <v>0</v>
      </c>
      <c r="Y87" t="str">
        <v>T19S</v>
      </c>
      <c r="Z87" t="str">
        <v>R21W</v>
      </c>
      <c r="AA87" t="str">
        <v>4</v>
      </c>
      <c r="AB87" t="str">
        <v>HI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995.47184261019675</v>
      </c>
      <c r="AJ87">
        <v>60111.48261582086</v>
      </c>
      <c r="AK87">
        <v>0</v>
      </c>
    </row>
    <row r="88" spans="1:37" x14ac:dyDescent="0.25">
      <c r="A88">
        <v>201</v>
      </c>
      <c r="B88">
        <v>0</v>
      </c>
      <c r="C88" t="str">
        <v>VV</v>
      </c>
      <c r="D88">
        <v>0</v>
      </c>
      <c r="E88" t="str">
        <v>MM</v>
      </c>
      <c r="F88" t="str">
        <v>&lt;Null&gt;</v>
      </c>
      <c r="G88">
        <v>45839</v>
      </c>
      <c r="H88">
        <v>0</v>
      </c>
      <c r="I88" t="str">
        <v>Globe Equity Decree</v>
      </c>
      <c r="J88" t="str">
        <v>Gila River</v>
      </c>
      <c r="K88" t="str">
        <v>GR</v>
      </c>
      <c r="L88" t="str">
        <v>Virden Valey</v>
      </c>
      <c r="M88" t="str">
        <v>VV</v>
      </c>
      <c r="N88" t="str">
        <v>New Modell</v>
      </c>
      <c r="O88" t="str">
        <v>PIW</v>
      </c>
      <c r="P88" t="str">
        <v>Pasture (improved/Planted, Warm Grass)</v>
      </c>
      <c r="Q88">
        <v>4.3073361651121527</v>
      </c>
      <c r="R88" t="str">
        <v>1</v>
      </c>
      <c r="S88" t="str">
        <v>Flood irrigated</v>
      </c>
      <c r="T88">
        <v>0</v>
      </c>
      <c r="U88">
        <v>0</v>
      </c>
      <c r="V88" t="str">
        <v>10</v>
      </c>
      <c r="W88">
        <v>0</v>
      </c>
      <c r="X88">
        <v>0</v>
      </c>
      <c r="Y88" t="str">
        <v>T19S</v>
      </c>
      <c r="Z88" t="str">
        <v>R21W</v>
      </c>
      <c r="AA88" t="str">
        <v>4</v>
      </c>
      <c r="AB88" t="str">
        <v>HI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615.28284878337229</v>
      </c>
      <c r="AJ88">
        <v>17431.24074811317</v>
      </c>
      <c r="AK88">
        <v>0</v>
      </c>
    </row>
    <row r="89" spans="1:37" x14ac:dyDescent="0.25">
      <c r="A89">
        <v>202</v>
      </c>
      <c r="B89">
        <v>0</v>
      </c>
      <c r="C89" t="str">
        <v>VV</v>
      </c>
      <c r="D89">
        <v>0</v>
      </c>
      <c r="E89" t="str">
        <v>MM</v>
      </c>
      <c r="F89" t="str">
        <v>&lt;Null&gt;</v>
      </c>
      <c r="G89">
        <v>45839</v>
      </c>
      <c r="H89">
        <v>0</v>
      </c>
      <c r="I89" t="str">
        <v>Globe Equity Decree</v>
      </c>
      <c r="J89" t="str">
        <v>Gila River</v>
      </c>
      <c r="K89" t="str">
        <v>GR</v>
      </c>
      <c r="L89" t="str">
        <v>Virden Valey</v>
      </c>
      <c r="M89" t="str">
        <v>VV</v>
      </c>
      <c r="N89" t="str">
        <v>New Modell</v>
      </c>
      <c r="O89" t="str">
        <v>PIW</v>
      </c>
      <c r="P89" t="str">
        <v>Pasture (improved/Planted, Warm Grass)</v>
      </c>
      <c r="Q89">
        <v>13.63002333270604</v>
      </c>
      <c r="R89" t="str">
        <v>1</v>
      </c>
      <c r="S89" t="str">
        <v>Flood irrigated</v>
      </c>
      <c r="T89">
        <v>0</v>
      </c>
      <c r="U89">
        <v>0</v>
      </c>
      <c r="V89" t="str">
        <v>10</v>
      </c>
      <c r="W89">
        <v>0</v>
      </c>
      <c r="X89">
        <v>0</v>
      </c>
      <c r="Y89" t="str">
        <v>T19S</v>
      </c>
      <c r="Z89" t="str">
        <v>R21W</v>
      </c>
      <c r="AA89" t="str">
        <v>4</v>
      </c>
      <c r="AB89" t="str">
        <v>HI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984.84519120437369</v>
      </c>
      <c r="AJ89">
        <v>55158.968097075063</v>
      </c>
      <c r="AK89">
        <v>0</v>
      </c>
    </row>
    <row r="90" spans="1:37" x14ac:dyDescent="0.25">
      <c r="A90">
        <v>204</v>
      </c>
      <c r="B90">
        <v>0</v>
      </c>
      <c r="C90" t="str">
        <v>VV</v>
      </c>
      <c r="D90">
        <v>0</v>
      </c>
      <c r="E90" t="str">
        <v>MM</v>
      </c>
      <c r="F90" t="str">
        <v>&lt;Null&gt;</v>
      </c>
      <c r="G90">
        <v>45839</v>
      </c>
      <c r="H90">
        <v>0</v>
      </c>
      <c r="I90" t="str">
        <v>Globe Equity Decree</v>
      </c>
      <c r="J90" t="str">
        <v>Gila River</v>
      </c>
      <c r="K90" t="str">
        <v>GR</v>
      </c>
      <c r="L90" t="str">
        <v>Virden Valey</v>
      </c>
      <c r="M90" t="str">
        <v>VV</v>
      </c>
      <c r="N90" t="str">
        <v>New Modell</v>
      </c>
      <c r="O90" t="str">
        <v>PIW</v>
      </c>
      <c r="P90" t="str">
        <v>Pasture (improved/Planted, Warm Grass)</v>
      </c>
      <c r="Q90">
        <v>19.44761340060224</v>
      </c>
      <c r="R90" t="str">
        <v>1</v>
      </c>
      <c r="S90" t="str">
        <v>Flood irrigated</v>
      </c>
      <c r="T90">
        <v>0</v>
      </c>
      <c r="U90">
        <v>0</v>
      </c>
      <c r="V90" t="str">
        <v>10</v>
      </c>
      <c r="W90">
        <v>0</v>
      </c>
      <c r="X90">
        <v>0</v>
      </c>
      <c r="Y90" t="str">
        <v>T19S</v>
      </c>
      <c r="Z90" t="str">
        <v>R21W</v>
      </c>
      <c r="AA90" t="str">
        <v>4</v>
      </c>
      <c r="AB90" t="str">
        <v>HI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1098.411080203339</v>
      </c>
      <c r="AJ90">
        <v>78702.013998320675</v>
      </c>
      <c r="AK90">
        <v>0</v>
      </c>
    </row>
    <row r="91" spans="1:37" x14ac:dyDescent="0.25">
      <c r="A91">
        <v>205</v>
      </c>
      <c r="B91">
        <v>0</v>
      </c>
      <c r="C91" t="str">
        <v>VV</v>
      </c>
      <c r="D91">
        <v>0</v>
      </c>
      <c r="E91" t="str">
        <v>MM</v>
      </c>
      <c r="F91" t="str">
        <v>&lt;Null&gt;</v>
      </c>
      <c r="G91">
        <v>45839</v>
      </c>
      <c r="H91">
        <v>0</v>
      </c>
      <c r="I91" t="str">
        <v>Globe Equity Decree</v>
      </c>
      <c r="J91" t="str">
        <v>Gila River</v>
      </c>
      <c r="K91" t="str">
        <v>GR</v>
      </c>
      <c r="L91" t="str">
        <v>Virden Valey</v>
      </c>
      <c r="M91" t="str">
        <v>VV</v>
      </c>
      <c r="N91" t="str">
        <v>New Modell</v>
      </c>
      <c r="O91" t="str">
        <v>PIW</v>
      </c>
      <c r="P91" t="str">
        <v>Pasture (improved/Planted, Warm Grass)</v>
      </c>
      <c r="Q91">
        <v>3.0598279602673331</v>
      </c>
      <c r="R91" t="str">
        <v>1</v>
      </c>
      <c r="S91" t="str">
        <v>Flood irrigated</v>
      </c>
      <c r="T91">
        <v>0</v>
      </c>
      <c r="U91">
        <v>0</v>
      </c>
      <c r="V91" t="str">
        <v>10</v>
      </c>
      <c r="W91">
        <v>0</v>
      </c>
      <c r="X91">
        <v>0</v>
      </c>
      <c r="Y91" t="str">
        <v>T19S</v>
      </c>
      <c r="Z91" t="str">
        <v>R21W</v>
      </c>
      <c r="AA91" t="str">
        <v>4</v>
      </c>
      <c r="AB91" t="str">
        <v>HI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570.08996318236632</v>
      </c>
      <c r="AJ91">
        <v>12382.73396333327</v>
      </c>
      <c r="AK91">
        <v>0</v>
      </c>
    </row>
    <row r="92" spans="1:37" x14ac:dyDescent="0.25">
      <c r="A92">
        <v>206</v>
      </c>
      <c r="B92">
        <v>0</v>
      </c>
      <c r="C92" t="str">
        <v>VV</v>
      </c>
      <c r="D92">
        <v>0</v>
      </c>
      <c r="E92" t="str">
        <v>MM</v>
      </c>
      <c r="F92" t="str">
        <v>&lt;Null&gt;</v>
      </c>
      <c r="G92">
        <v>45839</v>
      </c>
      <c r="H92">
        <v>0</v>
      </c>
      <c r="I92" t="str">
        <v>Globe Equity Decree</v>
      </c>
      <c r="J92" t="str">
        <v>Gila River</v>
      </c>
      <c r="K92" t="str">
        <v>GR</v>
      </c>
      <c r="L92" t="str">
        <v>Virden Valey</v>
      </c>
      <c r="M92" t="str">
        <v>VV</v>
      </c>
      <c r="N92" t="str">
        <v>New Modell</v>
      </c>
      <c r="O92" t="str">
        <v>PIW</v>
      </c>
      <c r="P92" t="str">
        <v>Pasture (improved/Planted, Warm Grass)</v>
      </c>
      <c r="Q92">
        <v>4.4734660632551364</v>
      </c>
      <c r="R92" t="str">
        <v>1</v>
      </c>
      <c r="S92" t="str">
        <v>Flood irrigated</v>
      </c>
      <c r="T92">
        <v>0</v>
      </c>
      <c r="U92">
        <v>0</v>
      </c>
      <c r="V92" t="str">
        <v>10</v>
      </c>
      <c r="W92">
        <v>0</v>
      </c>
      <c r="X92">
        <v>0</v>
      </c>
      <c r="Y92" t="str">
        <v>T19S</v>
      </c>
      <c r="Z92" t="str">
        <v>R21W</v>
      </c>
      <c r="AA92" t="str">
        <v>4</v>
      </c>
      <c r="AB92" t="str">
        <v>HI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642.74653856569216</v>
      </c>
      <c r="AJ92">
        <v>18103.54728258921</v>
      </c>
      <c r="AK92">
        <v>0</v>
      </c>
    </row>
    <row r="93" spans="1:37" x14ac:dyDescent="0.25">
      <c r="A93">
        <v>207</v>
      </c>
      <c r="B93">
        <v>0</v>
      </c>
      <c r="C93" t="str">
        <v>VV</v>
      </c>
      <c r="D93">
        <v>0</v>
      </c>
      <c r="E93" t="str">
        <v>MM</v>
      </c>
      <c r="F93" t="str">
        <v>&lt;Null&gt;</v>
      </c>
      <c r="G93">
        <v>45839</v>
      </c>
      <c r="H93">
        <v>0</v>
      </c>
      <c r="I93" t="str">
        <v>Globe Equity Decree</v>
      </c>
      <c r="J93" t="str">
        <v>Gila River</v>
      </c>
      <c r="K93" t="str">
        <v>GR</v>
      </c>
      <c r="L93" t="str">
        <v>Virden Valey</v>
      </c>
      <c r="M93" t="str">
        <v>VV</v>
      </c>
      <c r="N93" t="str">
        <v>New Modell</v>
      </c>
      <c r="O93" t="str">
        <v>PIW</v>
      </c>
      <c r="P93" t="str">
        <v>Pasture (improved/Planted, Warm Grass)</v>
      </c>
      <c r="Q93">
        <v>4.3029460746196673</v>
      </c>
      <c r="R93" t="str">
        <v>1</v>
      </c>
      <c r="S93" t="str">
        <v>Flood irrigated</v>
      </c>
      <c r="T93">
        <v>0</v>
      </c>
      <c r="U93">
        <v>0</v>
      </c>
      <c r="V93" t="str">
        <v>10</v>
      </c>
      <c r="W93">
        <v>0</v>
      </c>
      <c r="X93">
        <v>0</v>
      </c>
      <c r="Y93" t="str">
        <v>T19S</v>
      </c>
      <c r="Z93" t="str">
        <v>R21W</v>
      </c>
      <c r="AA93" t="str">
        <v>4</v>
      </c>
      <c r="AB93" t="str">
        <v>HI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586.63847125291795</v>
      </c>
      <c r="AJ93">
        <v>17413.474611144258</v>
      </c>
      <c r="AK93">
        <v>0</v>
      </c>
    </row>
    <row r="94" spans="1:37" x14ac:dyDescent="0.25">
      <c r="A94">
        <v>209</v>
      </c>
      <c r="B94">
        <v>0</v>
      </c>
      <c r="C94" t="str">
        <v>VV</v>
      </c>
      <c r="D94">
        <v>0</v>
      </c>
      <c r="E94" t="str">
        <v>MM</v>
      </c>
      <c r="F94" t="str">
        <v>&lt;Null&gt;</v>
      </c>
      <c r="G94">
        <v>45839</v>
      </c>
      <c r="H94">
        <v>0</v>
      </c>
      <c r="I94" t="str">
        <v>Globe Equity Decree</v>
      </c>
      <c r="J94" t="str">
        <v>Gila River</v>
      </c>
      <c r="K94" t="str">
        <v>GR</v>
      </c>
      <c r="L94" t="str">
        <v>Virden Valey</v>
      </c>
      <c r="M94" t="str">
        <v>VV</v>
      </c>
      <c r="N94" t="str">
        <v>New Modell</v>
      </c>
      <c r="O94" t="str">
        <v>PIW</v>
      </c>
      <c r="P94" t="str">
        <v>Pasture (improved/Planted, Warm Grass)</v>
      </c>
      <c r="Q94">
        <v>26.267209922134729</v>
      </c>
      <c r="R94" t="str">
        <v>1</v>
      </c>
      <c r="S94" t="str">
        <v>Flood irrigated</v>
      </c>
      <c r="T94">
        <v>0</v>
      </c>
      <c r="U94">
        <v>0</v>
      </c>
      <c r="V94" t="str">
        <v>12</v>
      </c>
      <c r="W94">
        <v>0</v>
      </c>
      <c r="X94">
        <v>0</v>
      </c>
      <c r="Y94" t="str">
        <v>T19S</v>
      </c>
      <c r="Z94" t="str">
        <v>R21W</v>
      </c>
      <c r="AA94" t="str">
        <v>5</v>
      </c>
      <c r="AB94" t="str">
        <v>HI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1334.2312906513559</v>
      </c>
      <c r="AJ94">
        <v>106300.05237170419</v>
      </c>
      <c r="AK94">
        <v>0</v>
      </c>
    </row>
    <row r="95" spans="1:37" x14ac:dyDescent="0.25">
      <c r="A95">
        <v>210</v>
      </c>
      <c r="B95">
        <v>0</v>
      </c>
      <c r="C95" t="str">
        <v>VV</v>
      </c>
      <c r="D95">
        <v>0</v>
      </c>
      <c r="E95" t="str">
        <v>MM</v>
      </c>
      <c r="F95" t="str">
        <v>&lt;Null&gt;</v>
      </c>
      <c r="G95">
        <v>45839</v>
      </c>
      <c r="H95">
        <v>0</v>
      </c>
      <c r="I95" t="str">
        <v>Globe Equity Decree</v>
      </c>
      <c r="J95" t="str">
        <v>Gila River</v>
      </c>
      <c r="K95" t="str">
        <v>GR</v>
      </c>
      <c r="L95" t="str">
        <v>Virden Valey</v>
      </c>
      <c r="M95" t="str">
        <v>VV</v>
      </c>
      <c r="N95" t="str">
        <v>New Modell</v>
      </c>
      <c r="O95" t="str">
        <v>PIW</v>
      </c>
      <c r="P95" t="str">
        <v>Pasture (improved/Planted, Warm Grass)</v>
      </c>
      <c r="Q95">
        <v>6.1591818828760294</v>
      </c>
      <c r="R95" t="str">
        <v>1</v>
      </c>
      <c r="S95" t="str">
        <v>Flood irrigated</v>
      </c>
      <c r="T95">
        <v>0</v>
      </c>
      <c r="U95">
        <v>0</v>
      </c>
      <c r="V95" t="str">
        <v>12</v>
      </c>
      <c r="W95">
        <v>0</v>
      </c>
      <c r="X95">
        <v>0</v>
      </c>
      <c r="Y95" t="str">
        <v>T19S</v>
      </c>
      <c r="Z95" t="str">
        <v>R21W</v>
      </c>
      <c r="AA95" t="str">
        <v>5</v>
      </c>
      <c r="AB95" t="str">
        <v>HI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740.84161144860536</v>
      </c>
      <c r="AJ95">
        <v>24925.42446104472</v>
      </c>
      <c r="AK95">
        <v>0</v>
      </c>
    </row>
    <row r="96" spans="1:37" x14ac:dyDescent="0.25">
      <c r="A96">
        <v>211</v>
      </c>
      <c r="B96">
        <v>0</v>
      </c>
      <c r="C96" t="str">
        <v>VV</v>
      </c>
      <c r="D96">
        <v>0</v>
      </c>
      <c r="E96" t="str">
        <v>MM</v>
      </c>
      <c r="F96" t="str">
        <v>&lt;Null&gt;</v>
      </c>
      <c r="G96">
        <v>45839</v>
      </c>
      <c r="H96">
        <v>0</v>
      </c>
      <c r="I96" t="str">
        <v>Globe Equity Decree</v>
      </c>
      <c r="J96" t="str">
        <v>Gila River</v>
      </c>
      <c r="K96" t="str">
        <v>GR</v>
      </c>
      <c r="L96" t="str">
        <v>Virden Valey</v>
      </c>
      <c r="M96" t="str">
        <v>VV</v>
      </c>
      <c r="N96" t="str">
        <v>New Modell</v>
      </c>
      <c r="O96" t="str">
        <v>CO</v>
      </c>
      <c r="P96" t="str">
        <v>Pasture (improved/Planted, Warm Grass)</v>
      </c>
      <c r="Q96">
        <v>6.1532808220642803</v>
      </c>
      <c r="R96" t="str">
        <v>1</v>
      </c>
      <c r="S96" t="str">
        <v>Flood irrigated</v>
      </c>
      <c r="T96">
        <v>0</v>
      </c>
      <c r="U96">
        <v>0</v>
      </c>
      <c r="V96" t="str">
        <v>12</v>
      </c>
      <c r="W96">
        <v>0</v>
      </c>
      <c r="X96">
        <v>0</v>
      </c>
      <c r="Y96" t="str">
        <v>T19S</v>
      </c>
      <c r="Z96" t="str">
        <v>R21W</v>
      </c>
      <c r="AA96" t="str">
        <v>5</v>
      </c>
      <c r="AB96" t="str">
        <v>HI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687.84267532839897</v>
      </c>
      <c r="AJ96">
        <v>24901.54361967646</v>
      </c>
      <c r="AK96">
        <v>0</v>
      </c>
    </row>
    <row r="97" spans="1:37" x14ac:dyDescent="0.25">
      <c r="A97">
        <v>212</v>
      </c>
      <c r="B97">
        <v>0</v>
      </c>
      <c r="C97" t="str">
        <v>VV</v>
      </c>
      <c r="D97">
        <v>0</v>
      </c>
      <c r="E97" t="str">
        <v>MM</v>
      </c>
      <c r="F97" t="str">
        <v>&lt;Null&gt;</v>
      </c>
      <c r="G97">
        <v>45839</v>
      </c>
      <c r="H97">
        <v>0</v>
      </c>
      <c r="I97" t="str">
        <v>Globe Equity Decree</v>
      </c>
      <c r="J97" t="str">
        <v>Gila River</v>
      </c>
      <c r="K97" t="str">
        <v>GR</v>
      </c>
      <c r="L97" t="str">
        <v>Virden Valey</v>
      </c>
      <c r="M97" t="str">
        <v>VV</v>
      </c>
      <c r="N97" t="str">
        <v>New Modell</v>
      </c>
      <c r="O97" t="str">
        <v>PIW</v>
      </c>
      <c r="P97" t="str">
        <v>Pasture (improved/Planted, Warm Grass)</v>
      </c>
      <c r="Q97">
        <v>1.2634040698233351</v>
      </c>
      <c r="R97" t="str">
        <v>1</v>
      </c>
      <c r="S97" t="str">
        <v>Flood irrigated</v>
      </c>
      <c r="T97">
        <v>0</v>
      </c>
      <c r="U97">
        <v>0</v>
      </c>
      <c r="V97" t="str">
        <v>12</v>
      </c>
      <c r="W97">
        <v>0</v>
      </c>
      <c r="X97">
        <v>0</v>
      </c>
      <c r="Y97" t="str">
        <v>T19S</v>
      </c>
      <c r="Z97" t="str">
        <v>R21W</v>
      </c>
      <c r="AA97" t="str">
        <v>5</v>
      </c>
      <c r="AB97" t="str">
        <v>HI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271.34734392193951</v>
      </c>
      <c r="AJ97">
        <v>5112.8353253717096</v>
      </c>
      <c r="AK97">
        <v>0</v>
      </c>
    </row>
    <row r="98" spans="1:37" x14ac:dyDescent="0.25">
      <c r="A98">
        <v>213</v>
      </c>
      <c r="B98">
        <v>0</v>
      </c>
      <c r="C98" t="str">
        <v>VV</v>
      </c>
      <c r="D98">
        <v>0</v>
      </c>
      <c r="E98" t="str">
        <v>MM</v>
      </c>
      <c r="F98" t="str">
        <v>&lt;Null&gt;</v>
      </c>
      <c r="G98">
        <v>45839</v>
      </c>
      <c r="H98">
        <v>0</v>
      </c>
      <c r="I98" t="str">
        <v>Globe Equity Decree</v>
      </c>
      <c r="J98" t="str">
        <v>Gila River</v>
      </c>
      <c r="K98" t="str">
        <v>GR</v>
      </c>
      <c r="L98" t="str">
        <v>Virden Valey</v>
      </c>
      <c r="M98" t="str">
        <v>VV</v>
      </c>
      <c r="N98" t="str">
        <v>New Modell</v>
      </c>
      <c r="O98" t="str">
        <v>PIW</v>
      </c>
      <c r="P98" t="str">
        <v>Pasture (improved/Planted, Warm Grass)</v>
      </c>
      <c r="Q98">
        <v>1.1392079624971261</v>
      </c>
      <c r="R98" t="str">
        <v>1</v>
      </c>
      <c r="S98" t="str">
        <v>Flood irrigated</v>
      </c>
      <c r="T98">
        <v>0</v>
      </c>
      <c r="U98">
        <v>0</v>
      </c>
      <c r="V98" t="str">
        <v>12</v>
      </c>
      <c r="W98">
        <v>0</v>
      </c>
      <c r="X98">
        <v>0</v>
      </c>
      <c r="Y98" t="str">
        <v>T19S</v>
      </c>
      <c r="Z98" t="str">
        <v>R21W</v>
      </c>
      <c r="AA98" t="str">
        <v>5</v>
      </c>
      <c r="AB98" t="str">
        <v>HI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267.62499571502121</v>
      </c>
      <c r="AJ98">
        <v>4610.2295003802728</v>
      </c>
      <c r="AK98">
        <v>0</v>
      </c>
    </row>
    <row r="99" spans="1:37" x14ac:dyDescent="0.25">
      <c r="A99">
        <v>214</v>
      </c>
      <c r="B99">
        <v>0</v>
      </c>
      <c r="C99" t="str">
        <v>VV</v>
      </c>
      <c r="D99">
        <v>0</v>
      </c>
      <c r="E99" t="str">
        <v>MM</v>
      </c>
      <c r="F99" t="str">
        <v>&lt;Null&gt;</v>
      </c>
      <c r="G99">
        <v>45839</v>
      </c>
      <c r="H99">
        <v>0</v>
      </c>
      <c r="I99" t="str">
        <v>Globe Equity Decree</v>
      </c>
      <c r="J99" t="str">
        <v>Gila River</v>
      </c>
      <c r="K99" t="str">
        <v>GR</v>
      </c>
      <c r="L99" t="str">
        <v>Virden Valey</v>
      </c>
      <c r="M99" t="str">
        <v>VV</v>
      </c>
      <c r="N99" t="str">
        <v>New Modell</v>
      </c>
      <c r="O99" t="str">
        <v>PIW</v>
      </c>
      <c r="P99" t="str">
        <v>Pasture (improved/Planted, Warm Grass)</v>
      </c>
      <c r="Q99">
        <v>1.259941443532073</v>
      </c>
      <c r="R99" t="str">
        <v>1</v>
      </c>
      <c r="S99" t="str">
        <v>Flood irrigated</v>
      </c>
      <c r="T99">
        <v>0</v>
      </c>
      <c r="U99">
        <v>0</v>
      </c>
      <c r="V99" t="str">
        <v>12</v>
      </c>
      <c r="W99">
        <v>0</v>
      </c>
      <c r="X99">
        <v>0</v>
      </c>
      <c r="Y99" t="str">
        <v>T19S</v>
      </c>
      <c r="Z99" t="str">
        <v>R21W</v>
      </c>
      <c r="AA99" t="str">
        <v>5</v>
      </c>
      <c r="AB99" t="str">
        <v>HI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284.68958769415252</v>
      </c>
      <c r="AJ99">
        <v>5098.8225178753728</v>
      </c>
      <c r="AK99">
        <v>0</v>
      </c>
    </row>
    <row r="100" spans="1:37" x14ac:dyDescent="0.25">
      <c r="A100">
        <v>215</v>
      </c>
      <c r="B100">
        <v>0</v>
      </c>
      <c r="C100" t="str">
        <v>VV</v>
      </c>
      <c r="D100">
        <v>0</v>
      </c>
      <c r="E100" t="str">
        <v>MM</v>
      </c>
      <c r="F100" t="str">
        <v>&lt;Null&gt;</v>
      </c>
      <c r="G100">
        <v>45839</v>
      </c>
      <c r="H100">
        <v>0</v>
      </c>
      <c r="I100" t="str">
        <v>Globe Equity Decree</v>
      </c>
      <c r="J100" t="str">
        <v>Gila River</v>
      </c>
      <c r="K100" t="str">
        <v>GR</v>
      </c>
      <c r="L100" t="str">
        <v>Virden Valey</v>
      </c>
      <c r="M100" t="str">
        <v>VV</v>
      </c>
      <c r="N100" t="str">
        <v>New Modell</v>
      </c>
      <c r="O100" t="str">
        <v>PIW</v>
      </c>
      <c r="P100" t="str">
        <v>Pasture (improved/Planted, Warm Grass)</v>
      </c>
      <c r="Q100">
        <v>5.9756705244967936</v>
      </c>
      <c r="R100" t="str">
        <v>1</v>
      </c>
      <c r="S100" t="str">
        <v>Flood irrigated</v>
      </c>
      <c r="T100">
        <v>0</v>
      </c>
      <c r="U100">
        <v>0</v>
      </c>
      <c r="V100" t="str">
        <v>12</v>
      </c>
      <c r="W100">
        <v>0</v>
      </c>
      <c r="X100">
        <v>0</v>
      </c>
      <c r="Y100" t="str">
        <v>T19S</v>
      </c>
      <c r="Z100" t="str">
        <v>R21W</v>
      </c>
      <c r="AA100" t="str">
        <v>5</v>
      </c>
      <c r="AB100" t="str">
        <v>HI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690.55408291684978</v>
      </c>
      <c r="AJ100">
        <v>24182.777371218981</v>
      </c>
      <c r="AK100">
        <v>0</v>
      </c>
    </row>
    <row r="101" spans="1:37" x14ac:dyDescent="0.25">
      <c r="A101">
        <v>216</v>
      </c>
      <c r="B101">
        <v>0</v>
      </c>
      <c r="C101" t="str">
        <v>VV</v>
      </c>
      <c r="D101">
        <v>0</v>
      </c>
      <c r="E101" t="str">
        <v>MM</v>
      </c>
      <c r="F101" t="str">
        <v>&lt;Null&gt;</v>
      </c>
      <c r="G101">
        <v>45839</v>
      </c>
      <c r="H101">
        <v>0</v>
      </c>
      <c r="I101" t="str">
        <v>Globe Equity Decree</v>
      </c>
      <c r="J101" t="str">
        <v>Gila River</v>
      </c>
      <c r="K101" t="str">
        <v>GR</v>
      </c>
      <c r="L101" t="str">
        <v>Virden Valey</v>
      </c>
      <c r="M101" t="str">
        <v>VV</v>
      </c>
      <c r="N101" t="str">
        <v>New Modell</v>
      </c>
      <c r="O101" t="str">
        <v>PIW</v>
      </c>
      <c r="P101" t="str">
        <v>Pasture (improved/Planted, Warm Grass)</v>
      </c>
      <c r="Q101">
        <v>16.910651505865388</v>
      </c>
      <c r="R101" t="str">
        <v>1</v>
      </c>
      <c r="S101" t="str">
        <v>Flood irrigated</v>
      </c>
      <c r="T101">
        <v>0</v>
      </c>
      <c r="U101">
        <v>0</v>
      </c>
      <c r="V101" t="str">
        <v>12</v>
      </c>
      <c r="W101">
        <v>0</v>
      </c>
      <c r="X101">
        <v>0</v>
      </c>
      <c r="Y101" t="str">
        <v>T19S</v>
      </c>
      <c r="Z101" t="str">
        <v>R21W</v>
      </c>
      <c r="AA101" t="str">
        <v>5</v>
      </c>
      <c r="AB101" t="str">
        <v>HI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1212.451704361376</v>
      </c>
      <c r="AJ101">
        <v>68435.252394215422</v>
      </c>
      <c r="AK101">
        <v>0</v>
      </c>
    </row>
    <row r="102" spans="1:37" x14ac:dyDescent="0.25">
      <c r="A102">
        <v>217</v>
      </c>
      <c r="B102">
        <v>0</v>
      </c>
      <c r="C102" t="str">
        <v>VV</v>
      </c>
      <c r="D102">
        <v>0</v>
      </c>
      <c r="E102" t="str">
        <v>MM</v>
      </c>
      <c r="F102" t="str">
        <v>&lt;Null&gt;</v>
      </c>
      <c r="G102">
        <v>45839</v>
      </c>
      <c r="H102">
        <v>0</v>
      </c>
      <c r="I102" t="str">
        <v>Globe Equity Decree</v>
      </c>
      <c r="J102" t="str">
        <v>Gila River</v>
      </c>
      <c r="K102" t="str">
        <v>GR</v>
      </c>
      <c r="L102" t="str">
        <v>Virden Valey</v>
      </c>
      <c r="M102" t="str">
        <v>VV</v>
      </c>
      <c r="N102" t="str">
        <v>New Modell</v>
      </c>
      <c r="O102" t="str">
        <v>PIW</v>
      </c>
      <c r="P102" t="str">
        <v>Pasture (improved/Planted, Warm Grass)</v>
      </c>
      <c r="Q102">
        <v>6.2588185748076892</v>
      </c>
      <c r="R102" t="str">
        <v>1</v>
      </c>
      <c r="S102" t="str">
        <v>Flood irrigated</v>
      </c>
      <c r="T102">
        <v>0</v>
      </c>
      <c r="U102">
        <v>0</v>
      </c>
      <c r="V102" t="str">
        <v>12</v>
      </c>
      <c r="W102">
        <v>0</v>
      </c>
      <c r="X102">
        <v>0</v>
      </c>
      <c r="Y102" t="str">
        <v>T19S</v>
      </c>
      <c r="Z102" t="str">
        <v>R21W</v>
      </c>
      <c r="AA102" t="str">
        <v>5</v>
      </c>
      <c r="AB102" t="str">
        <v>HI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739.68853721470862</v>
      </c>
      <c r="AJ102">
        <v>25328.641460561441</v>
      </c>
      <c r="AK102">
        <v>0</v>
      </c>
    </row>
    <row r="103" spans="1:37" x14ac:dyDescent="0.25">
      <c r="A103">
        <v>318</v>
      </c>
      <c r="B103">
        <v>0</v>
      </c>
      <c r="C103" t="str">
        <v>VV</v>
      </c>
      <c r="D103">
        <v>0</v>
      </c>
      <c r="E103" t="str">
        <v>MM</v>
      </c>
      <c r="F103">
        <v>0</v>
      </c>
      <c r="G103">
        <v>45839</v>
      </c>
      <c r="H103">
        <v>0</v>
      </c>
      <c r="I103" t="str">
        <v>Globe Equity Decree</v>
      </c>
      <c r="J103" t="str">
        <v>Gila River</v>
      </c>
      <c r="K103" t="str">
        <v>GR</v>
      </c>
      <c r="L103" t="str">
        <v>Virden Valey</v>
      </c>
      <c r="M103" t="str">
        <v>VV</v>
      </c>
      <c r="N103" t="str">
        <v>New Modell</v>
      </c>
      <c r="O103" t="str">
        <v>PIW</v>
      </c>
      <c r="P103" t="str">
        <v>Pasture (improved/Planted, Warm Grass)</v>
      </c>
      <c r="Q103">
        <v>16.641059108624489</v>
      </c>
      <c r="R103" t="str">
        <v>1</v>
      </c>
      <c r="S103" t="str">
        <v>Flood irrigated</v>
      </c>
      <c r="T103">
        <v>0</v>
      </c>
      <c r="U103">
        <v>0</v>
      </c>
      <c r="V103" t="str">
        <v>12</v>
      </c>
      <c r="W103">
        <v>0</v>
      </c>
      <c r="X103">
        <v>0</v>
      </c>
      <c r="Y103">
        <v>0</v>
      </c>
      <c r="Z103">
        <v>0</v>
      </c>
      <c r="AA103">
        <v>0</v>
      </c>
      <c r="AB103" t="str">
        <v>HI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1127.4097202517701</v>
      </c>
      <c r="AJ103">
        <v>67344.246305990862</v>
      </c>
      <c r="AK103">
        <v>0</v>
      </c>
    </row>
    <row r="104" spans="1:37" x14ac:dyDescent="0.25">
      <c r="A104">
        <v>39</v>
      </c>
      <c r="B104">
        <v>0</v>
      </c>
      <c r="C104" t="str">
        <v>VV</v>
      </c>
      <c r="D104">
        <v>0</v>
      </c>
      <c r="E104" t="str">
        <v>MM</v>
      </c>
      <c r="F104" t="str">
        <v>&lt;Null&gt;</v>
      </c>
      <c r="G104">
        <v>45838</v>
      </c>
      <c r="H104">
        <v>0</v>
      </c>
      <c r="I104" t="str">
        <v>Globe Equity Decree</v>
      </c>
      <c r="J104" t="str">
        <v>Gila River</v>
      </c>
      <c r="K104" t="str">
        <v>GR</v>
      </c>
      <c r="L104" t="str">
        <v>Virden Valey</v>
      </c>
      <c r="M104" t="str">
        <v>VV</v>
      </c>
      <c r="N104" t="str">
        <v>Sunset Canal</v>
      </c>
      <c r="O104" t="str">
        <v>PN</v>
      </c>
      <c r="P104" t="str">
        <v>Pasture (Native)</v>
      </c>
      <c r="Q104">
        <v>7.4271287667495569</v>
      </c>
      <c r="R104" t="str">
        <v>1</v>
      </c>
      <c r="S104" t="str">
        <v>Flood irrigated</v>
      </c>
      <c r="T104">
        <v>0</v>
      </c>
      <c r="U104">
        <v>0</v>
      </c>
      <c r="V104" t="str">
        <v>6</v>
      </c>
      <c r="W104">
        <v>0</v>
      </c>
      <c r="X104">
        <v>0</v>
      </c>
      <c r="Y104">
        <v>0</v>
      </c>
      <c r="Z104">
        <v>0</v>
      </c>
      <c r="AA104">
        <v>0</v>
      </c>
      <c r="AB104" t="str">
        <v>HI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911.72933095157509</v>
      </c>
      <c r="AJ104">
        <v>30056.64397616791</v>
      </c>
      <c r="AK104">
        <v>0</v>
      </c>
    </row>
    <row r="105" spans="1:37" x14ac:dyDescent="0.25">
      <c r="A105">
        <v>48</v>
      </c>
      <c r="B105">
        <v>0</v>
      </c>
      <c r="C105" t="str">
        <v>VV</v>
      </c>
      <c r="D105">
        <v>0</v>
      </c>
      <c r="E105" t="str">
        <v>MM</v>
      </c>
      <c r="F105" t="str">
        <v>&lt;Null&gt;</v>
      </c>
      <c r="G105">
        <v>45838</v>
      </c>
      <c r="H105">
        <v>0</v>
      </c>
      <c r="I105" t="str">
        <v>Globe Equity Decree</v>
      </c>
      <c r="J105" t="str">
        <v>Gila River</v>
      </c>
      <c r="K105" t="str">
        <v>GR</v>
      </c>
      <c r="L105" t="str">
        <v>Virden Valey</v>
      </c>
      <c r="M105" t="str">
        <v>VV</v>
      </c>
      <c r="N105" t="str">
        <v>Sunset Canal</v>
      </c>
      <c r="O105" t="str">
        <v>PN</v>
      </c>
      <c r="P105" t="str">
        <v>Pasture (Native)</v>
      </c>
      <c r="Q105">
        <v>22.19473580382731</v>
      </c>
      <c r="R105" t="str">
        <v>1</v>
      </c>
      <c r="S105" t="str">
        <v>Flood irrigated</v>
      </c>
      <c r="T105">
        <v>0</v>
      </c>
      <c r="U105">
        <v>0</v>
      </c>
      <c r="V105" t="str">
        <v>6</v>
      </c>
      <c r="W105">
        <v>0</v>
      </c>
      <c r="X105">
        <v>0</v>
      </c>
      <c r="Y105">
        <v>0</v>
      </c>
      <c r="Z105">
        <v>0</v>
      </c>
      <c r="AA105">
        <v>0</v>
      </c>
      <c r="AB105" t="str">
        <v>HI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1513.2092103806001</v>
      </c>
      <c r="AJ105">
        <v>89819.268407904106</v>
      </c>
      <c r="AK105">
        <v>0</v>
      </c>
    </row>
    <row r="106" spans="1:37" x14ac:dyDescent="0.25">
      <c r="A106">
        <v>161</v>
      </c>
      <c r="B106">
        <v>0</v>
      </c>
      <c r="C106" t="str">
        <v>VV</v>
      </c>
      <c r="D106">
        <v>0</v>
      </c>
      <c r="E106" t="str">
        <v>MM</v>
      </c>
      <c r="F106" t="str">
        <v>&lt;Null&gt;</v>
      </c>
      <c r="G106">
        <v>45839</v>
      </c>
      <c r="H106">
        <v>0</v>
      </c>
      <c r="I106" t="str">
        <v>Globe Equity Decree</v>
      </c>
      <c r="J106" t="str">
        <v>Gila River</v>
      </c>
      <c r="K106" t="str">
        <v>GR</v>
      </c>
      <c r="L106" t="str">
        <v>Virden Valey</v>
      </c>
      <c r="M106" t="str">
        <v>VV</v>
      </c>
      <c r="N106" t="str">
        <v>New Modell</v>
      </c>
      <c r="O106" t="str">
        <v>PN</v>
      </c>
      <c r="P106" t="str">
        <v>Pasture (Native)</v>
      </c>
      <c r="Q106">
        <v>9.3026386928937832</v>
      </c>
      <c r="R106" t="str">
        <v>1</v>
      </c>
      <c r="S106" t="str">
        <v>Flood irrigated</v>
      </c>
      <c r="T106">
        <v>0</v>
      </c>
      <c r="U106">
        <v>0</v>
      </c>
      <c r="V106" t="str">
        <v>12</v>
      </c>
      <c r="W106">
        <v>0</v>
      </c>
      <c r="X106">
        <v>0</v>
      </c>
      <c r="Y106" t="str">
        <v>T19S</v>
      </c>
      <c r="Z106" t="str">
        <v>R21W</v>
      </c>
      <c r="AA106" t="str">
        <v>6</v>
      </c>
      <c r="AB106" t="str">
        <v>HI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780.23898022677872</v>
      </c>
      <c r="AJ106">
        <v>37646.593725828257</v>
      </c>
      <c r="AK106">
        <v>0</v>
      </c>
    </row>
    <row r="107" spans="1:37" x14ac:dyDescent="0.25">
      <c r="A107">
        <v>188</v>
      </c>
      <c r="B107">
        <v>0</v>
      </c>
      <c r="C107" t="str">
        <v>VV</v>
      </c>
      <c r="D107">
        <v>0</v>
      </c>
      <c r="E107" t="str">
        <v>MM</v>
      </c>
      <c r="F107" t="str">
        <v>&lt;Null&gt;</v>
      </c>
      <c r="G107">
        <v>45839</v>
      </c>
      <c r="H107">
        <v>0</v>
      </c>
      <c r="I107" t="str">
        <v>Globe Equity Decree</v>
      </c>
      <c r="J107" t="str">
        <v>Gila River</v>
      </c>
      <c r="K107" t="str">
        <v>GR</v>
      </c>
      <c r="L107" t="str">
        <v>Virden Valey</v>
      </c>
      <c r="M107" t="str">
        <v>VV</v>
      </c>
      <c r="N107" t="str">
        <v>Sunset Canal</v>
      </c>
      <c r="O107" t="str">
        <v>PN</v>
      </c>
      <c r="P107" t="str">
        <v>Pasture (Native)</v>
      </c>
      <c r="Q107">
        <v>4.587131783231043</v>
      </c>
      <c r="R107" t="str">
        <v>1</v>
      </c>
      <c r="S107" t="str">
        <v>Flood irrigated</v>
      </c>
      <c r="T107">
        <v>0</v>
      </c>
      <c r="U107">
        <v>0</v>
      </c>
      <c r="V107" t="str">
        <v>11</v>
      </c>
      <c r="W107">
        <v>0</v>
      </c>
      <c r="X107">
        <v>0</v>
      </c>
      <c r="Y107" t="str">
        <v>T18S</v>
      </c>
      <c r="Z107" t="str">
        <v>R21W</v>
      </c>
      <c r="AA107" t="str">
        <v>33</v>
      </c>
      <c r="AB107" t="str">
        <v>HI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743.50196617959534</v>
      </c>
      <c r="AJ107">
        <v>18563.537971441339</v>
      </c>
      <c r="AK107">
        <v>0</v>
      </c>
    </row>
    <row r="108" spans="1:37" x14ac:dyDescent="0.25">
      <c r="A108">
        <v>189</v>
      </c>
      <c r="B108">
        <v>0</v>
      </c>
      <c r="C108" t="str">
        <v>VV</v>
      </c>
      <c r="D108">
        <v>0</v>
      </c>
      <c r="E108" t="str">
        <v>MM</v>
      </c>
      <c r="F108" t="str">
        <v>&lt;Null&gt;</v>
      </c>
      <c r="G108">
        <v>45839</v>
      </c>
      <c r="H108">
        <v>0</v>
      </c>
      <c r="I108" t="str">
        <v>Globe Equity Decree</v>
      </c>
      <c r="J108" t="str">
        <v>Gila River</v>
      </c>
      <c r="K108" t="str">
        <v>GR</v>
      </c>
      <c r="L108" t="str">
        <v>Virden Valey</v>
      </c>
      <c r="M108" t="str">
        <v>VV</v>
      </c>
      <c r="N108" t="str">
        <v>Sunset Canal</v>
      </c>
      <c r="O108" t="str">
        <v>PN</v>
      </c>
      <c r="P108" t="str">
        <v>Pasture (Native)</v>
      </c>
      <c r="Q108">
        <v>20.66828759718668</v>
      </c>
      <c r="R108" t="str">
        <v>1</v>
      </c>
      <c r="S108" t="str">
        <v>Flood irrigated</v>
      </c>
      <c r="T108">
        <v>0</v>
      </c>
      <c r="U108">
        <v>0</v>
      </c>
      <c r="V108" t="str">
        <v>8</v>
      </c>
      <c r="W108">
        <v>0</v>
      </c>
      <c r="X108">
        <v>0</v>
      </c>
      <c r="Y108" t="str">
        <v>T19S</v>
      </c>
      <c r="Z108" t="str">
        <v>R21W</v>
      </c>
      <c r="AA108" t="str">
        <v>3</v>
      </c>
      <c r="AB108" t="str">
        <v>HI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3154.18736335011</v>
      </c>
      <c r="AJ108">
        <v>83641.926970058499</v>
      </c>
      <c r="AK108">
        <v>0</v>
      </c>
    </row>
    <row r="109" spans="1:37" x14ac:dyDescent="0.25">
      <c r="A109">
        <v>197</v>
      </c>
      <c r="B109">
        <v>0</v>
      </c>
      <c r="C109" t="str">
        <v>VV</v>
      </c>
      <c r="D109">
        <v>0</v>
      </c>
      <c r="E109" t="str">
        <v>MM</v>
      </c>
      <c r="F109" t="str">
        <v>&lt;Null&gt;</v>
      </c>
      <c r="G109">
        <v>45839</v>
      </c>
      <c r="H109">
        <v>0</v>
      </c>
      <c r="I109" t="str">
        <v>Globe Equity Decree</v>
      </c>
      <c r="J109" t="str">
        <v>Gila River</v>
      </c>
      <c r="K109" t="str">
        <v>GR</v>
      </c>
      <c r="L109" t="str">
        <v>Virden Valey</v>
      </c>
      <c r="M109" t="str">
        <v>VV</v>
      </c>
      <c r="N109" t="str">
        <v>New Modell</v>
      </c>
      <c r="O109" t="str">
        <v>PN</v>
      </c>
      <c r="P109" t="str">
        <v>Pasture (Native)</v>
      </c>
      <c r="Q109">
        <v>0.90208567267164252</v>
      </c>
      <c r="R109" t="str">
        <v>1</v>
      </c>
      <c r="S109" t="str">
        <v>Flood irrigated</v>
      </c>
      <c r="T109">
        <v>0</v>
      </c>
      <c r="U109">
        <v>0</v>
      </c>
      <c r="V109" t="str">
        <v>10</v>
      </c>
      <c r="W109">
        <v>0</v>
      </c>
      <c r="X109">
        <v>0</v>
      </c>
      <c r="Y109" t="str">
        <v>T19S</v>
      </c>
      <c r="Z109" t="str">
        <v>R21W</v>
      </c>
      <c r="AA109" t="str">
        <v>4</v>
      </c>
      <c r="AB109" t="str">
        <v>HI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289.99090791820919</v>
      </c>
      <c r="AJ109">
        <v>3650.62580049486</v>
      </c>
      <c r="AK109">
        <v>0</v>
      </c>
    </row>
    <row r="110" spans="1:37" x14ac:dyDescent="0.25">
      <c r="A110">
        <v>47</v>
      </c>
      <c r="B110">
        <v>0</v>
      </c>
      <c r="C110" t="str">
        <v>VV</v>
      </c>
      <c r="D110">
        <v>0</v>
      </c>
      <c r="E110" t="str">
        <v>MM</v>
      </c>
      <c r="F110" t="str">
        <v>&lt;Null&gt;</v>
      </c>
      <c r="G110">
        <v>45838</v>
      </c>
      <c r="H110">
        <v>0</v>
      </c>
      <c r="I110" t="str">
        <v>Globe Equity Decree</v>
      </c>
      <c r="J110" t="str">
        <v>Gila River</v>
      </c>
      <c r="K110" t="str">
        <v>GR</v>
      </c>
      <c r="L110" t="str">
        <v>Virden Valey</v>
      </c>
      <c r="M110" t="str">
        <v>VV</v>
      </c>
      <c r="N110" t="str">
        <v>Sunset Canal</v>
      </c>
      <c r="O110" t="str">
        <v>PU</v>
      </c>
      <c r="P110" t="str">
        <v>Pasture (Unimproved)</v>
      </c>
      <c r="Q110">
        <v>17.37134387908317</v>
      </c>
      <c r="R110" t="str">
        <v>1</v>
      </c>
      <c r="S110" t="str">
        <v>Flood irrigated</v>
      </c>
      <c r="T110">
        <v>0</v>
      </c>
      <c r="U110">
        <v>0</v>
      </c>
      <c r="V110" t="str">
        <v>5</v>
      </c>
      <c r="W110">
        <v>0</v>
      </c>
      <c r="X110">
        <v>0</v>
      </c>
      <c r="Y110">
        <v>0</v>
      </c>
      <c r="Z110">
        <v>0</v>
      </c>
      <c r="AA110">
        <v>0</v>
      </c>
      <c r="AB110" t="str">
        <v>HI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1162.892155058481</v>
      </c>
      <c r="AJ110">
        <v>70299.615740968409</v>
      </c>
      <c r="AK110">
        <v>0</v>
      </c>
    </row>
    <row r="111" spans="1:37" x14ac:dyDescent="0.25">
      <c r="A111">
        <v>129</v>
      </c>
      <c r="B111">
        <v>0</v>
      </c>
      <c r="C111" t="str">
        <v>VV</v>
      </c>
      <c r="D111">
        <v>0</v>
      </c>
      <c r="E111" t="str">
        <v>MM</v>
      </c>
      <c r="F111" t="str">
        <v>&lt;Null&gt;</v>
      </c>
      <c r="G111">
        <v>45839</v>
      </c>
      <c r="H111">
        <v>0</v>
      </c>
      <c r="I111" t="str">
        <v>Globe Equity Decree</v>
      </c>
      <c r="J111" t="str">
        <v>Gila River</v>
      </c>
      <c r="K111" t="str">
        <v>GR</v>
      </c>
      <c r="L111" t="str">
        <v>Virden Valey</v>
      </c>
      <c r="M111" t="str">
        <v>VV</v>
      </c>
      <c r="N111" t="str">
        <v>Sunset Canal</v>
      </c>
      <c r="O111" t="str">
        <v>PU</v>
      </c>
      <c r="P111" t="str">
        <v>Pasture (Unimproved)</v>
      </c>
      <c r="Q111">
        <v>7.9705777189532938</v>
      </c>
      <c r="R111" t="str">
        <v>1</v>
      </c>
      <c r="S111" t="str">
        <v>Flood irrigated</v>
      </c>
      <c r="T111">
        <v>0</v>
      </c>
      <c r="U111">
        <v>0</v>
      </c>
      <c r="V111" t="str">
        <v>11</v>
      </c>
      <c r="W111">
        <v>0</v>
      </c>
      <c r="X111">
        <v>0</v>
      </c>
      <c r="Y111" t="str">
        <v>T18S</v>
      </c>
      <c r="Z111" t="str">
        <v>R21W</v>
      </c>
      <c r="AA111" t="str">
        <v>33</v>
      </c>
      <c r="AB111" t="str">
        <v>HI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808.60756841093462</v>
      </c>
      <c r="AJ111">
        <v>32255.912655706081</v>
      </c>
      <c r="AK111">
        <v>0</v>
      </c>
    </row>
    <row r="112" spans="1:37" x14ac:dyDescent="0.25">
      <c r="A112">
        <v>273</v>
      </c>
      <c r="B112">
        <v>0</v>
      </c>
      <c r="C112" t="str">
        <v>VV</v>
      </c>
      <c r="D112">
        <v>0</v>
      </c>
      <c r="E112" t="str">
        <v>MM</v>
      </c>
      <c r="F112" t="str">
        <v>&lt;Null&gt;</v>
      </c>
      <c r="G112">
        <v>45839</v>
      </c>
      <c r="H112">
        <v>0</v>
      </c>
      <c r="I112" t="str">
        <v>Globe Equity Decree</v>
      </c>
      <c r="J112" t="str">
        <v>Gila River</v>
      </c>
      <c r="K112" t="str">
        <v>GR</v>
      </c>
      <c r="L112" t="str">
        <v>Virden Valey</v>
      </c>
      <c r="M112" t="str">
        <v>VV</v>
      </c>
      <c r="N112" t="str">
        <v>Sunset Canal</v>
      </c>
      <c r="O112" t="str">
        <v>PU</v>
      </c>
      <c r="P112" t="str">
        <v>Pasture (Unimproved)</v>
      </c>
      <c r="Q112">
        <v>0.70333658668262178</v>
      </c>
      <c r="R112" t="str">
        <v>1</v>
      </c>
      <c r="S112" t="str">
        <v>Flood irrigated</v>
      </c>
      <c r="T112">
        <v>0</v>
      </c>
      <c r="U112">
        <v>0</v>
      </c>
      <c r="V112" t="str">
        <v>13</v>
      </c>
      <c r="W112">
        <v>0</v>
      </c>
      <c r="X112">
        <v>0</v>
      </c>
      <c r="Y112" t="str">
        <v>T18S</v>
      </c>
      <c r="Z112" t="str">
        <v>R21W</v>
      </c>
      <c r="AA112" t="str">
        <v>32</v>
      </c>
      <c r="AB112" t="str">
        <v>HI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252.18210082324981</v>
      </c>
      <c r="AJ112">
        <v>2846.3135681683489</v>
      </c>
      <c r="AK112">
        <v>0</v>
      </c>
    </row>
    <row r="113" spans="1:37" x14ac:dyDescent="0.25">
      <c r="A113">
        <v>275</v>
      </c>
      <c r="B113">
        <v>0</v>
      </c>
      <c r="C113" t="str">
        <v>VV</v>
      </c>
      <c r="D113">
        <v>0</v>
      </c>
      <c r="E113" t="str">
        <v>MM</v>
      </c>
      <c r="F113" t="str">
        <v>&lt;Null&gt;</v>
      </c>
      <c r="G113">
        <v>45839</v>
      </c>
      <c r="H113">
        <v>0</v>
      </c>
      <c r="I113" t="str">
        <v>Globe Equity Decree</v>
      </c>
      <c r="J113" t="str">
        <v>Gila River</v>
      </c>
      <c r="K113" t="str">
        <v>GR</v>
      </c>
      <c r="L113" t="str">
        <v>Virden Valey</v>
      </c>
      <c r="M113" t="str">
        <v>VV</v>
      </c>
      <c r="N113" t="str">
        <v>Sunset Canal</v>
      </c>
      <c r="O113" t="str">
        <v>PU</v>
      </c>
      <c r="P113" t="str">
        <v>Pasture (Unimproved)</v>
      </c>
      <c r="Q113">
        <v>0.48377007357863439</v>
      </c>
      <c r="R113" t="str">
        <v>1</v>
      </c>
      <c r="S113" t="str">
        <v>Flood irrigated</v>
      </c>
      <c r="T113">
        <v>0</v>
      </c>
      <c r="U113">
        <v>0</v>
      </c>
      <c r="V113" t="str">
        <v>13</v>
      </c>
      <c r="W113">
        <v>0</v>
      </c>
      <c r="X113">
        <v>0</v>
      </c>
      <c r="Y113" t="str">
        <v>T18S</v>
      </c>
      <c r="Z113" t="str">
        <v>R21W</v>
      </c>
      <c r="AA113" t="str">
        <v>32</v>
      </c>
      <c r="AB113" t="str">
        <v>HI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219.11850756339291</v>
      </c>
      <c r="AJ113">
        <v>1957.7558602422271</v>
      </c>
      <c r="AK113">
        <v>0</v>
      </c>
    </row>
    <row r="114" spans="1:37" x14ac:dyDescent="0.25">
      <c r="A114">
        <v>14</v>
      </c>
      <c r="B114">
        <v>0</v>
      </c>
      <c r="C114" t="str">
        <v>VV</v>
      </c>
      <c r="D114">
        <v>0</v>
      </c>
      <c r="E114" t="str">
        <v>MM</v>
      </c>
      <c r="F114" t="str">
        <v>&lt;Null&gt;</v>
      </c>
      <c r="G114">
        <v>45838</v>
      </c>
      <c r="H114">
        <v>0</v>
      </c>
      <c r="I114" t="str">
        <v>Globe Equity Decree</v>
      </c>
      <c r="J114" t="str">
        <v>Gila River</v>
      </c>
      <c r="K114" t="str">
        <v>GR</v>
      </c>
      <c r="L114" t="str">
        <v>Virden Valey</v>
      </c>
      <c r="M114" t="str">
        <v>VV</v>
      </c>
      <c r="N114" t="str">
        <v>Sunset Canal</v>
      </c>
      <c r="O114" t="str">
        <v>PEI</v>
      </c>
      <c r="P114" t="str">
        <v>Pecans ISC</v>
      </c>
      <c r="Q114">
        <v>39.136150574570337</v>
      </c>
      <c r="R114" t="str">
        <v>1</v>
      </c>
      <c r="S114" t="str">
        <v>Flood irrigated</v>
      </c>
      <c r="T114">
        <v>0</v>
      </c>
      <c r="U114">
        <v>0</v>
      </c>
      <c r="V114" t="str">
        <v>4</v>
      </c>
      <c r="W114">
        <v>0</v>
      </c>
      <c r="X114">
        <v>0</v>
      </c>
      <c r="Y114" t="str">
        <v>T19S</v>
      </c>
      <c r="Z114" t="str">
        <v>R21W</v>
      </c>
      <c r="AA114" t="str">
        <v>12</v>
      </c>
      <c r="AB114" t="str">
        <v>HI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1593.9093279417609</v>
      </c>
      <c r="AJ114">
        <v>158379.01581614319</v>
      </c>
      <c r="AK114">
        <v>0</v>
      </c>
    </row>
    <row r="115" spans="1:37" x14ac:dyDescent="0.25">
      <c r="A115">
        <v>50</v>
      </c>
      <c r="B115">
        <v>0</v>
      </c>
      <c r="C115" t="str">
        <v>VV</v>
      </c>
      <c r="D115">
        <v>0</v>
      </c>
      <c r="E115" t="str">
        <v>MM</v>
      </c>
      <c r="F115" t="str">
        <v>&lt;Null&gt;</v>
      </c>
      <c r="G115">
        <v>45838</v>
      </c>
      <c r="H115">
        <v>0</v>
      </c>
      <c r="I115" t="str">
        <v>Globe Equity Decree</v>
      </c>
      <c r="J115" t="str">
        <v>Gila River</v>
      </c>
      <c r="K115" t="str">
        <v>GR</v>
      </c>
      <c r="L115" t="str">
        <v>Virden Valey</v>
      </c>
      <c r="M115" t="str">
        <v>VV</v>
      </c>
      <c r="N115" t="str">
        <v>Sunset Canal</v>
      </c>
      <c r="O115" t="str">
        <v>PEI</v>
      </c>
      <c r="P115" t="str">
        <v>Pecans ISC</v>
      </c>
      <c r="Q115">
        <v>17.096429244277189</v>
      </c>
      <c r="R115" t="str">
        <v>1</v>
      </c>
      <c r="S115" t="str">
        <v>Flood irrigated</v>
      </c>
      <c r="T115" t="str">
        <v xml:space="preserve">new pecan trees planted surrounded by grasses/native   </v>
      </c>
      <c r="U115">
        <v>0</v>
      </c>
      <c r="V115" t="str">
        <v>8</v>
      </c>
      <c r="W115">
        <v>0</v>
      </c>
      <c r="X115">
        <v>0</v>
      </c>
      <c r="Y115">
        <v>0</v>
      </c>
      <c r="Z115">
        <v>0</v>
      </c>
      <c r="AA115">
        <v>0</v>
      </c>
      <c r="AB115" t="str">
        <v>HI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1056.2300985381289</v>
      </c>
      <c r="AJ115">
        <v>69187.071235318494</v>
      </c>
      <c r="AK115">
        <v>0</v>
      </c>
    </row>
    <row r="116" spans="1:37" x14ac:dyDescent="0.25">
      <c r="A116">
        <v>106</v>
      </c>
      <c r="B116">
        <v>0</v>
      </c>
      <c r="C116" t="str">
        <v>VV</v>
      </c>
      <c r="D116">
        <v>0</v>
      </c>
      <c r="E116" t="str">
        <v>MM</v>
      </c>
      <c r="F116" t="str">
        <v>&lt;Null&gt;</v>
      </c>
      <c r="G116">
        <v>45839</v>
      </c>
      <c r="H116">
        <v>0</v>
      </c>
      <c r="I116" t="str">
        <v>Globe Equity Decree</v>
      </c>
      <c r="J116" t="str">
        <v>Gila River</v>
      </c>
      <c r="K116" t="str">
        <v>GR</v>
      </c>
      <c r="L116" t="str">
        <v>Virden Valey</v>
      </c>
      <c r="M116" t="str">
        <v>VV</v>
      </c>
      <c r="N116" t="str">
        <v>Sunset Canal</v>
      </c>
      <c r="O116" t="str">
        <v>PEI</v>
      </c>
      <c r="P116" t="str">
        <v>Pecans ISC</v>
      </c>
      <c r="Q116">
        <v>7.1468522131981391</v>
      </c>
      <c r="R116" t="str">
        <v>1</v>
      </c>
      <c r="S116" t="str">
        <v>Flood irrigated</v>
      </c>
      <c r="T116">
        <v>0</v>
      </c>
      <c r="U116">
        <v>0</v>
      </c>
      <c r="V116" t="str">
        <v>8</v>
      </c>
      <c r="W116">
        <v>0</v>
      </c>
      <c r="X116">
        <v>0</v>
      </c>
      <c r="Y116">
        <v>0</v>
      </c>
      <c r="Z116">
        <v>0</v>
      </c>
      <c r="AA116">
        <v>0</v>
      </c>
      <c r="AB116" t="str">
        <v>HI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1005.356391659139</v>
      </c>
      <c r="AJ116">
        <v>28922.400468410731</v>
      </c>
      <c r="AK116">
        <v>0</v>
      </c>
    </row>
    <row r="117" spans="1:37" x14ac:dyDescent="0.25">
      <c r="A117">
        <v>107</v>
      </c>
      <c r="B117">
        <v>0</v>
      </c>
      <c r="C117" t="str">
        <v>VV</v>
      </c>
      <c r="D117">
        <v>0</v>
      </c>
      <c r="E117" t="str">
        <v>MM</v>
      </c>
      <c r="F117">
        <v>0</v>
      </c>
      <c r="G117">
        <v>45839</v>
      </c>
      <c r="H117">
        <v>0</v>
      </c>
      <c r="I117" t="str">
        <v>Globe Equity Decree</v>
      </c>
      <c r="J117" t="str">
        <v>Gila River</v>
      </c>
      <c r="K117" t="str">
        <v>GR</v>
      </c>
      <c r="L117" t="str">
        <v>Virden Valey</v>
      </c>
      <c r="M117" t="str">
        <v>VV</v>
      </c>
      <c r="N117" t="str">
        <v>Sunset Canal</v>
      </c>
      <c r="O117" t="str">
        <v>PEI</v>
      </c>
      <c r="P117" t="str">
        <v>Pecans ISC</v>
      </c>
      <c r="Q117">
        <v>4.550758519964865</v>
      </c>
      <c r="R117" t="str">
        <v>1</v>
      </c>
      <c r="S117" t="str">
        <v>Flood irrigated</v>
      </c>
      <c r="T117">
        <v>0</v>
      </c>
      <c r="U117">
        <v>0</v>
      </c>
      <c r="V117" t="str">
        <v>8</v>
      </c>
      <c r="W117">
        <v>0</v>
      </c>
      <c r="X117">
        <v>0</v>
      </c>
      <c r="Y117">
        <v>0</v>
      </c>
      <c r="Z117">
        <v>0</v>
      </c>
      <c r="AA117">
        <v>0</v>
      </c>
      <c r="AB117" t="str">
        <v>HI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841.43347718770065</v>
      </c>
      <c r="AJ117">
        <v>18416.340008597701</v>
      </c>
      <c r="AK117">
        <v>0</v>
      </c>
    </row>
    <row r="118" spans="1:37" x14ac:dyDescent="0.25">
      <c r="A118">
        <v>110</v>
      </c>
      <c r="B118">
        <v>0</v>
      </c>
      <c r="C118" t="str">
        <v>VV</v>
      </c>
      <c r="D118">
        <v>0</v>
      </c>
      <c r="E118" t="str">
        <v>MM</v>
      </c>
      <c r="F118" t="str">
        <v>&lt;Null&gt;</v>
      </c>
      <c r="G118">
        <v>45839</v>
      </c>
      <c r="H118">
        <v>0</v>
      </c>
      <c r="I118" t="str">
        <v>Globe Equity Decree</v>
      </c>
      <c r="J118" t="str">
        <v>Gila River</v>
      </c>
      <c r="K118" t="str">
        <v>GR</v>
      </c>
      <c r="L118" t="str">
        <v>Virden Valey</v>
      </c>
      <c r="M118" t="str">
        <v>VV</v>
      </c>
      <c r="N118" t="str">
        <v>Sunset Canal</v>
      </c>
      <c r="O118" t="str">
        <v>PEI</v>
      </c>
      <c r="P118" t="str">
        <v>Pecans ISC</v>
      </c>
      <c r="Q118">
        <v>1.6754268957786309</v>
      </c>
      <c r="R118" t="str">
        <v>1</v>
      </c>
      <c r="S118" t="str">
        <v>Flood irrigated</v>
      </c>
      <c r="T118">
        <v>0</v>
      </c>
      <c r="U118">
        <v>0</v>
      </c>
      <c r="V118" t="str">
        <v>8</v>
      </c>
      <c r="W118">
        <v>0</v>
      </c>
      <c r="X118">
        <v>0</v>
      </c>
      <c r="Y118">
        <v>0</v>
      </c>
      <c r="Z118">
        <v>0</v>
      </c>
      <c r="AA118">
        <v>0</v>
      </c>
      <c r="AB118" t="str">
        <v>HI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436.36643955156791</v>
      </c>
      <c r="AJ118">
        <v>6780.239214373185</v>
      </c>
      <c r="AK118">
        <v>0</v>
      </c>
    </row>
    <row r="119" spans="1:37" x14ac:dyDescent="0.25">
      <c r="A119">
        <v>123</v>
      </c>
      <c r="B119">
        <v>0</v>
      </c>
      <c r="C119" t="str">
        <v>VV</v>
      </c>
      <c r="D119">
        <v>0</v>
      </c>
      <c r="E119" t="str">
        <v>MM</v>
      </c>
      <c r="F119" t="str">
        <v>&lt;Null&gt;</v>
      </c>
      <c r="G119">
        <v>45839</v>
      </c>
      <c r="H119">
        <v>0</v>
      </c>
      <c r="I119" t="str">
        <v>Globe Equity Decree</v>
      </c>
      <c r="J119" t="str">
        <v>Gila River</v>
      </c>
      <c r="K119" t="str">
        <v>GR</v>
      </c>
      <c r="L119" t="str">
        <v>Virden Valey</v>
      </c>
      <c r="M119" t="str">
        <v>VV</v>
      </c>
      <c r="N119" t="str">
        <v>Sunset Canal</v>
      </c>
      <c r="O119" t="str">
        <v>PEI</v>
      </c>
      <c r="P119" t="str">
        <v>Pecans ISC</v>
      </c>
      <c r="Q119">
        <v>2.464882885492909</v>
      </c>
      <c r="R119" t="str">
        <v>1</v>
      </c>
      <c r="S119" t="str">
        <v>Flood irrigated</v>
      </c>
      <c r="T119">
        <v>0</v>
      </c>
      <c r="U119">
        <v>0</v>
      </c>
      <c r="V119" t="str">
        <v>9</v>
      </c>
      <c r="W119">
        <v>0</v>
      </c>
      <c r="X119">
        <v>0</v>
      </c>
      <c r="Y119">
        <v>0</v>
      </c>
      <c r="Z119">
        <v>0</v>
      </c>
      <c r="AA119">
        <v>0</v>
      </c>
      <c r="AB119" t="str">
        <v>HI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415.62186130122433</v>
      </c>
      <c r="AJ119">
        <v>9975.0670358490661</v>
      </c>
      <c r="AK119">
        <v>0</v>
      </c>
    </row>
    <row r="120" spans="1:37" x14ac:dyDescent="0.25">
      <c r="A120">
        <v>124</v>
      </c>
      <c r="B120">
        <v>0</v>
      </c>
      <c r="C120" t="str">
        <v>VV</v>
      </c>
      <c r="D120">
        <v>0</v>
      </c>
      <c r="E120" t="str">
        <v>MM</v>
      </c>
      <c r="F120" t="str">
        <v>&lt;Null&gt;</v>
      </c>
      <c r="G120">
        <v>45839</v>
      </c>
      <c r="H120">
        <v>0</v>
      </c>
      <c r="I120" t="str">
        <v>Globe Equity Decree</v>
      </c>
      <c r="J120" t="str">
        <v>Gila River</v>
      </c>
      <c r="K120" t="str">
        <v>GR</v>
      </c>
      <c r="L120" t="str">
        <v>Virden Valey</v>
      </c>
      <c r="M120" t="str">
        <v>VV</v>
      </c>
      <c r="N120" t="str">
        <v>Sunset Canal</v>
      </c>
      <c r="O120" t="str">
        <v>PEI</v>
      </c>
      <c r="P120" t="str">
        <v>Pecans ISC</v>
      </c>
      <c r="Q120">
        <v>0.86712798053894347</v>
      </c>
      <c r="R120" t="str">
        <v>1</v>
      </c>
      <c r="S120" t="str">
        <v>Flood irrigated</v>
      </c>
      <c r="T120">
        <v>0</v>
      </c>
      <c r="U120">
        <v>0</v>
      </c>
      <c r="V120" t="str">
        <v>9</v>
      </c>
      <c r="W120">
        <v>0</v>
      </c>
      <c r="X120">
        <v>0</v>
      </c>
      <c r="Y120">
        <v>0</v>
      </c>
      <c r="Z120">
        <v>0</v>
      </c>
      <c r="AA120">
        <v>0</v>
      </c>
      <c r="AB120" t="str">
        <v>HI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313.41379981267681</v>
      </c>
      <c r="AJ120">
        <v>3509.1564736986229</v>
      </c>
      <c r="AK120">
        <v>0</v>
      </c>
    </row>
    <row r="121" spans="1:37" x14ac:dyDescent="0.25">
      <c r="A121">
        <v>125</v>
      </c>
      <c r="B121">
        <v>0</v>
      </c>
      <c r="C121" t="str">
        <v>VV</v>
      </c>
      <c r="D121">
        <v>0</v>
      </c>
      <c r="E121" t="str">
        <v>MM</v>
      </c>
      <c r="F121" t="str">
        <v>&lt;Null&gt;</v>
      </c>
      <c r="G121">
        <v>45839</v>
      </c>
      <c r="H121">
        <v>0</v>
      </c>
      <c r="I121" t="str">
        <v>Globe Equity Decree</v>
      </c>
      <c r="J121" t="str">
        <v>Gila River</v>
      </c>
      <c r="K121" t="str">
        <v>GR</v>
      </c>
      <c r="L121" t="str">
        <v>Virden Valey</v>
      </c>
      <c r="M121" t="str">
        <v>VV</v>
      </c>
      <c r="N121" t="str">
        <v>Sunset Canal</v>
      </c>
      <c r="O121" t="str">
        <v>PEI</v>
      </c>
      <c r="P121" t="str">
        <v>Pecans ISC</v>
      </c>
      <c r="Q121">
        <v>1.374116418090584</v>
      </c>
      <c r="R121" t="str">
        <v>1</v>
      </c>
      <c r="S121" t="str">
        <v>Flood irrigated</v>
      </c>
      <c r="T121">
        <v>0</v>
      </c>
      <c r="U121">
        <v>0</v>
      </c>
      <c r="V121" t="str">
        <v>9</v>
      </c>
      <c r="W121">
        <v>0</v>
      </c>
      <c r="X121">
        <v>0</v>
      </c>
      <c r="Y121">
        <v>0</v>
      </c>
      <c r="Z121">
        <v>0</v>
      </c>
      <c r="AA121">
        <v>0</v>
      </c>
      <c r="AB121" t="str">
        <v>HI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291.02925557381701</v>
      </c>
      <c r="AJ121">
        <v>5560.874095149301</v>
      </c>
      <c r="AK121">
        <v>0</v>
      </c>
    </row>
    <row r="122" spans="1:37" x14ac:dyDescent="0.25">
      <c r="A122">
        <v>126</v>
      </c>
      <c r="B122">
        <v>0</v>
      </c>
      <c r="C122" t="str">
        <v>VV</v>
      </c>
      <c r="D122">
        <v>0</v>
      </c>
      <c r="E122" t="str">
        <v>MM</v>
      </c>
      <c r="F122" t="str">
        <v>&lt;Null&gt;</v>
      </c>
      <c r="G122">
        <v>45839</v>
      </c>
      <c r="H122">
        <v>0</v>
      </c>
      <c r="I122" t="str">
        <v>Globe Equity Decree</v>
      </c>
      <c r="J122" t="str">
        <v>Gila River</v>
      </c>
      <c r="K122" t="str">
        <v>GR</v>
      </c>
      <c r="L122" t="str">
        <v>Virden Valey</v>
      </c>
      <c r="M122" t="str">
        <v>VV</v>
      </c>
      <c r="N122" t="str">
        <v>Sunset Canal</v>
      </c>
      <c r="O122" t="str">
        <v>PEI</v>
      </c>
      <c r="P122" t="str">
        <v>Pecans ISC</v>
      </c>
      <c r="Q122">
        <v>1.4904803692243509</v>
      </c>
      <c r="R122" t="str">
        <v>1</v>
      </c>
      <c r="S122" t="str">
        <v>Flood irrigated</v>
      </c>
      <c r="T122">
        <v>0</v>
      </c>
      <c r="U122">
        <v>0</v>
      </c>
      <c r="V122" t="str">
        <v>9</v>
      </c>
      <c r="W122">
        <v>0</v>
      </c>
      <c r="X122">
        <v>0</v>
      </c>
      <c r="Y122">
        <v>0</v>
      </c>
      <c r="Z122">
        <v>0</v>
      </c>
      <c r="AA122">
        <v>0</v>
      </c>
      <c r="AB122" t="str">
        <v>HI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291.14874610162542</v>
      </c>
      <c r="AJ122">
        <v>6031.784181769287</v>
      </c>
      <c r="AK122">
        <v>0</v>
      </c>
    </row>
    <row r="123" spans="1:37" x14ac:dyDescent="0.25">
      <c r="A123">
        <v>127</v>
      </c>
      <c r="B123">
        <v>0</v>
      </c>
      <c r="C123" t="str">
        <v>VV</v>
      </c>
      <c r="D123">
        <v>0</v>
      </c>
      <c r="E123" t="str">
        <v>MM</v>
      </c>
      <c r="F123" t="str">
        <v>&lt;Null&gt;</v>
      </c>
      <c r="G123">
        <v>45839</v>
      </c>
      <c r="H123">
        <v>0</v>
      </c>
      <c r="I123" t="str">
        <v>Globe Equity Decree</v>
      </c>
      <c r="J123" t="str">
        <v>Gila River</v>
      </c>
      <c r="K123" t="str">
        <v>GR</v>
      </c>
      <c r="L123" t="str">
        <v>Virden Valey</v>
      </c>
      <c r="M123" t="str">
        <v>VV</v>
      </c>
      <c r="N123" t="str">
        <v>Sunset Canal</v>
      </c>
      <c r="O123" t="str">
        <v>PEI</v>
      </c>
      <c r="P123" t="str">
        <v>Pecans ISC</v>
      </c>
      <c r="Q123">
        <v>1.1508441503971769</v>
      </c>
      <c r="R123" t="str">
        <v>1</v>
      </c>
      <c r="S123" t="str">
        <v>Flood irrigated</v>
      </c>
      <c r="T123">
        <v>0</v>
      </c>
      <c r="U123">
        <v>0</v>
      </c>
      <c r="V123" t="str">
        <v>11</v>
      </c>
      <c r="W123">
        <v>0</v>
      </c>
      <c r="X123">
        <v>0</v>
      </c>
      <c r="Y123" t="str">
        <v>T18S</v>
      </c>
      <c r="Z123" t="str">
        <v>R21W</v>
      </c>
      <c r="AA123" t="str">
        <v>33</v>
      </c>
      <c r="AB123" t="str">
        <v>HI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287.57097337346119</v>
      </c>
      <c r="AJ123">
        <v>4657.3196704763386</v>
      </c>
      <c r="AK123">
        <v>0</v>
      </c>
    </row>
    <row r="124" spans="1:37" x14ac:dyDescent="0.25">
      <c r="A124">
        <v>181</v>
      </c>
      <c r="B124">
        <v>0</v>
      </c>
      <c r="C124" t="str">
        <v>VV</v>
      </c>
      <c r="D124">
        <v>0</v>
      </c>
      <c r="E124" t="str">
        <v>MM</v>
      </c>
      <c r="F124" t="str">
        <v>&lt;Null&gt;</v>
      </c>
      <c r="G124">
        <v>45839</v>
      </c>
      <c r="H124">
        <v>0</v>
      </c>
      <c r="I124" t="str">
        <v>Globe Equity Decree</v>
      </c>
      <c r="J124" t="str">
        <v>Gila River</v>
      </c>
      <c r="K124" t="str">
        <v>GR</v>
      </c>
      <c r="L124" t="str">
        <v>Virden Valey</v>
      </c>
      <c r="M124" t="str">
        <v>VV</v>
      </c>
      <c r="N124" t="str">
        <v>Sunset Canal</v>
      </c>
      <c r="O124" t="str">
        <v>PEI</v>
      </c>
      <c r="P124" t="str">
        <v>Pecans ISC</v>
      </c>
      <c r="Q124">
        <v>2.2697946744450759</v>
      </c>
      <c r="R124" t="str">
        <v>1</v>
      </c>
      <c r="S124" t="str">
        <v>Flood irrigated</v>
      </c>
      <c r="T124">
        <v>0</v>
      </c>
      <c r="U124">
        <v>0</v>
      </c>
      <c r="V124" t="str">
        <v>9</v>
      </c>
      <c r="W124">
        <v>0</v>
      </c>
      <c r="X124">
        <v>0</v>
      </c>
      <c r="Y124">
        <v>0</v>
      </c>
      <c r="Z124">
        <v>0</v>
      </c>
      <c r="AA124">
        <v>0</v>
      </c>
      <c r="AB124" t="str">
        <v>HI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404.8252939781421</v>
      </c>
      <c r="AJ124">
        <v>9185.5698980502239</v>
      </c>
      <c r="AK124">
        <v>0</v>
      </c>
    </row>
    <row r="125" spans="1:37" x14ac:dyDescent="0.25">
      <c r="A125">
        <v>196</v>
      </c>
      <c r="B125">
        <v>0</v>
      </c>
      <c r="C125" t="str">
        <v>VV</v>
      </c>
      <c r="D125">
        <v>0</v>
      </c>
      <c r="E125" t="str">
        <v>MM</v>
      </c>
      <c r="F125" t="str">
        <v>&lt;Null&gt;</v>
      </c>
      <c r="G125">
        <v>45839</v>
      </c>
      <c r="H125">
        <v>0</v>
      </c>
      <c r="I125" t="str">
        <v>Globe Equity Decree</v>
      </c>
      <c r="J125" t="str">
        <v>Gila River</v>
      </c>
      <c r="K125" t="str">
        <v>GR</v>
      </c>
      <c r="L125" t="str">
        <v>Virden Valey</v>
      </c>
      <c r="M125" t="str">
        <v>VV</v>
      </c>
      <c r="N125" t="str">
        <v>New Modell</v>
      </c>
      <c r="O125" t="str">
        <v>PEI</v>
      </c>
      <c r="P125" t="str">
        <v>Pecans ISC</v>
      </c>
      <c r="Q125">
        <v>0.66147205974626166</v>
      </c>
      <c r="R125" t="str">
        <v>1</v>
      </c>
      <c r="S125" t="str">
        <v>Flood irrigated</v>
      </c>
      <c r="T125">
        <v>0</v>
      </c>
      <c r="U125">
        <v>0</v>
      </c>
      <c r="V125" t="str">
        <v>7</v>
      </c>
      <c r="W125">
        <v>0</v>
      </c>
      <c r="X125">
        <v>0</v>
      </c>
      <c r="Y125">
        <v>0</v>
      </c>
      <c r="Z125">
        <v>0</v>
      </c>
      <c r="AA125">
        <v>0</v>
      </c>
      <c r="AB125" t="str">
        <v>HI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235.9373748313773</v>
      </c>
      <c r="AJ125">
        <v>2676.893160784251</v>
      </c>
      <c r="AK125">
        <v>0</v>
      </c>
    </row>
    <row r="126" spans="1:37" x14ac:dyDescent="0.25">
      <c r="A126">
        <v>288</v>
      </c>
      <c r="B126">
        <v>0</v>
      </c>
      <c r="C126" t="str">
        <v>VV</v>
      </c>
      <c r="D126">
        <v>0</v>
      </c>
      <c r="E126" t="str">
        <v>MM</v>
      </c>
      <c r="F126" t="str">
        <v>&lt;Null&gt;</v>
      </c>
      <c r="G126">
        <v>45839</v>
      </c>
      <c r="H126">
        <v>0</v>
      </c>
      <c r="I126" t="str">
        <v>Globe Equity Decree</v>
      </c>
      <c r="J126" t="str">
        <v>Gila River</v>
      </c>
      <c r="K126" t="str">
        <v>GR</v>
      </c>
      <c r="L126" t="str">
        <v>Virden Valey</v>
      </c>
      <c r="M126" t="str">
        <v>VV</v>
      </c>
      <c r="N126" t="str">
        <v>Sunset Canal</v>
      </c>
      <c r="O126" t="str">
        <v>PEI</v>
      </c>
      <c r="P126" t="str">
        <v>Pecans ISC</v>
      </c>
      <c r="Q126">
        <v>1.587046142086449</v>
      </c>
      <c r="R126" t="str">
        <v>1</v>
      </c>
      <c r="S126" t="str">
        <v>Flood irrigated</v>
      </c>
      <c r="T126">
        <v>0</v>
      </c>
      <c r="U126">
        <v>0</v>
      </c>
      <c r="V126" t="str">
        <v>9</v>
      </c>
      <c r="W126">
        <v>0</v>
      </c>
      <c r="X126">
        <v>0</v>
      </c>
      <c r="Y126">
        <v>0</v>
      </c>
      <c r="Z126">
        <v>0</v>
      </c>
      <c r="AA126">
        <v>0</v>
      </c>
      <c r="AB126" t="str">
        <v>HI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323.29363639443852</v>
      </c>
      <c r="AJ126">
        <v>6422.5735630162526</v>
      </c>
      <c r="AK126">
        <v>0</v>
      </c>
    </row>
    <row r="127" spans="1:37" x14ac:dyDescent="0.25">
      <c r="A127">
        <v>289</v>
      </c>
      <c r="B127">
        <v>0</v>
      </c>
      <c r="C127" t="str">
        <v>VV</v>
      </c>
      <c r="D127">
        <v>0</v>
      </c>
      <c r="E127" t="str">
        <v>MM</v>
      </c>
      <c r="F127" t="str">
        <v>&lt;Null&gt;</v>
      </c>
      <c r="G127">
        <v>45839</v>
      </c>
      <c r="H127">
        <v>0</v>
      </c>
      <c r="I127" t="str">
        <v>Globe Equity Decree</v>
      </c>
      <c r="J127" t="str">
        <v>Gila River</v>
      </c>
      <c r="K127" t="str">
        <v>GR</v>
      </c>
      <c r="L127" t="str">
        <v>Virden Valey</v>
      </c>
      <c r="M127" t="str">
        <v>VV</v>
      </c>
      <c r="N127" t="str">
        <v>Sunset Canal</v>
      </c>
      <c r="O127" t="str">
        <v>PEI</v>
      </c>
      <c r="P127" t="str">
        <v>Pecans ISC</v>
      </c>
      <c r="Q127">
        <v>1.679598593367355</v>
      </c>
      <c r="R127" t="str">
        <v>1</v>
      </c>
      <c r="S127" t="str">
        <v>Flood irrigated</v>
      </c>
      <c r="T127">
        <v>0</v>
      </c>
      <c r="U127">
        <v>0</v>
      </c>
      <c r="V127" t="str">
        <v>9</v>
      </c>
      <c r="W127">
        <v>0</v>
      </c>
      <c r="X127">
        <v>0</v>
      </c>
      <c r="Y127">
        <v>0</v>
      </c>
      <c r="Z127">
        <v>0</v>
      </c>
      <c r="AA127">
        <v>0</v>
      </c>
      <c r="AB127" t="str">
        <v>HI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331.85792606819928</v>
      </c>
      <c r="AJ127">
        <v>6797.1215430816719</v>
      </c>
      <c r="AK127">
        <v>0</v>
      </c>
    </row>
    <row r="128" spans="1:37" x14ac:dyDescent="0.25">
      <c r="A128">
        <v>294</v>
      </c>
      <c r="B128">
        <v>0</v>
      </c>
      <c r="C128" t="str">
        <v>VV</v>
      </c>
      <c r="D128">
        <v>0</v>
      </c>
      <c r="E128" t="str">
        <v>MM</v>
      </c>
      <c r="F128">
        <v>0</v>
      </c>
      <c r="G128">
        <v>45839</v>
      </c>
      <c r="H128">
        <v>0</v>
      </c>
      <c r="I128" t="str">
        <v>Globe Equity Decree</v>
      </c>
      <c r="J128" t="str">
        <v>Gila River</v>
      </c>
      <c r="K128" t="str">
        <v>GR</v>
      </c>
      <c r="L128" t="str">
        <v>Virden Valey</v>
      </c>
      <c r="M128" t="str">
        <v>VV</v>
      </c>
      <c r="N128" t="str">
        <v>Sunset Canal</v>
      </c>
      <c r="O128" t="str">
        <v>PEI</v>
      </c>
      <c r="P128" t="str">
        <v>Pecans ISC</v>
      </c>
      <c r="Q128">
        <v>1.972622768495812</v>
      </c>
      <c r="R128" t="str">
        <v>1</v>
      </c>
      <c r="S128" t="str">
        <v>Flood irrigated</v>
      </c>
      <c r="T128">
        <v>0</v>
      </c>
      <c r="U128">
        <v>0</v>
      </c>
      <c r="V128" t="str">
        <v>9</v>
      </c>
      <c r="W128">
        <v>0</v>
      </c>
      <c r="X128">
        <v>0</v>
      </c>
      <c r="Y128">
        <v>0</v>
      </c>
      <c r="Z128">
        <v>0</v>
      </c>
      <c r="AA128">
        <v>0</v>
      </c>
      <c r="AB128" t="str">
        <v>HI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360.99386509497509</v>
      </c>
      <c r="AJ128">
        <v>7982.9530514400176</v>
      </c>
      <c r="AK128">
        <v>0</v>
      </c>
    </row>
    <row r="129" spans="1:37" x14ac:dyDescent="0.25">
      <c r="A129">
        <v>297</v>
      </c>
      <c r="B129">
        <v>0</v>
      </c>
      <c r="C129" t="str">
        <v>VV</v>
      </c>
      <c r="D129">
        <v>0</v>
      </c>
      <c r="E129" t="str">
        <v>MM</v>
      </c>
      <c r="F129" t="str">
        <v>&lt;Null&gt;</v>
      </c>
      <c r="G129">
        <v>45838</v>
      </c>
      <c r="H129">
        <v>0</v>
      </c>
      <c r="I129" t="str">
        <v>Globe Equity Decree</v>
      </c>
      <c r="J129" t="str">
        <v>Gila River</v>
      </c>
      <c r="K129" t="str">
        <v>GR</v>
      </c>
      <c r="L129" t="str">
        <v>Virden Valey</v>
      </c>
      <c r="M129" t="str">
        <v>VV</v>
      </c>
      <c r="N129" t="str">
        <v>Sunset Canal</v>
      </c>
      <c r="O129" t="str">
        <v>PEI</v>
      </c>
      <c r="P129" t="str">
        <v>Pecans ISC</v>
      </c>
      <c r="Q129">
        <v>11.28616449752368</v>
      </c>
      <c r="R129" t="str">
        <v>1</v>
      </c>
      <c r="S129" t="str">
        <v>Flood irrigated</v>
      </c>
      <c r="T129" t="str">
        <v xml:space="preserve">new pecan trees planted surrounded by grasses/native   </v>
      </c>
      <c r="U129">
        <v>0</v>
      </c>
      <c r="V129" t="str">
        <v>8</v>
      </c>
      <c r="W129">
        <v>0</v>
      </c>
      <c r="X129">
        <v>0</v>
      </c>
      <c r="Y129">
        <v>0</v>
      </c>
      <c r="Z129">
        <v>0</v>
      </c>
      <c r="AA129">
        <v>0</v>
      </c>
      <c r="AB129" t="str">
        <v>HI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907.50775696626624</v>
      </c>
      <c r="AJ129">
        <v>45673.669975563767</v>
      </c>
      <c r="AK129">
        <v>0</v>
      </c>
    </row>
    <row r="130" spans="1:37" x14ac:dyDescent="0.25">
      <c r="A130">
        <v>109</v>
      </c>
      <c r="B130">
        <v>0</v>
      </c>
      <c r="C130" t="str">
        <v>VV</v>
      </c>
      <c r="D130">
        <v>0</v>
      </c>
      <c r="E130" t="str">
        <v>MM</v>
      </c>
      <c r="F130" t="str">
        <v>&lt;Null&gt;</v>
      </c>
      <c r="G130">
        <v>45839</v>
      </c>
      <c r="H130">
        <v>0</v>
      </c>
      <c r="I130" t="str">
        <v>Globe Equity Decree</v>
      </c>
      <c r="J130" t="str">
        <v>Gila River</v>
      </c>
      <c r="K130" t="str">
        <v>GR</v>
      </c>
      <c r="L130" t="str">
        <v>Virden Valey</v>
      </c>
      <c r="M130" t="str">
        <v>VV</v>
      </c>
      <c r="N130" t="str">
        <v>Sunset Canal</v>
      </c>
      <c r="O130" t="str">
        <v>PI</v>
      </c>
      <c r="P130" t="str">
        <v>Pistachios</v>
      </c>
      <c r="Q130">
        <v>1.64068360493992</v>
      </c>
      <c r="R130" t="str">
        <v>1</v>
      </c>
      <c r="S130" t="str">
        <v>Flood irrigated</v>
      </c>
      <c r="T130">
        <v>0</v>
      </c>
      <c r="U130">
        <v>0</v>
      </c>
      <c r="V130" t="str">
        <v>8</v>
      </c>
      <c r="W130">
        <v>0</v>
      </c>
      <c r="X130">
        <v>0</v>
      </c>
      <c r="Y130">
        <v>0</v>
      </c>
      <c r="Z130">
        <v>0</v>
      </c>
      <c r="AA130">
        <v>0</v>
      </c>
      <c r="AB130" t="str">
        <v>HI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528.15264271923104</v>
      </c>
      <c r="AJ130">
        <v>6639.6375423011104</v>
      </c>
      <c r="AK130">
        <v>0</v>
      </c>
    </row>
    <row r="131" spans="1:37" x14ac:dyDescent="0.25">
      <c r="A131">
        <v>255</v>
      </c>
      <c r="B131">
        <v>0</v>
      </c>
      <c r="C131" t="str">
        <v>VV</v>
      </c>
      <c r="D131">
        <v>0</v>
      </c>
      <c r="E131" t="str">
        <v>MM</v>
      </c>
      <c r="F131" t="str">
        <v>&lt;Null&gt;</v>
      </c>
      <c r="G131">
        <v>45839</v>
      </c>
      <c r="H131">
        <v>0</v>
      </c>
      <c r="I131" t="str">
        <v>Globe Equity Decree</v>
      </c>
      <c r="J131" t="str">
        <v>Gila River</v>
      </c>
      <c r="K131" t="str">
        <v>GR</v>
      </c>
      <c r="L131" t="str">
        <v>Virden Valey</v>
      </c>
      <c r="M131" t="str">
        <v>VV</v>
      </c>
      <c r="N131" t="str">
        <v>Sunset Canal</v>
      </c>
      <c r="O131" t="str">
        <v>PI</v>
      </c>
      <c r="P131" t="str">
        <v>Pistachios</v>
      </c>
      <c r="Q131">
        <v>2.2540968094963851</v>
      </c>
      <c r="R131" t="str">
        <v>1</v>
      </c>
      <c r="S131" t="str">
        <v>Flood irrigated</v>
      </c>
      <c r="T131">
        <v>0</v>
      </c>
      <c r="U131">
        <v>0</v>
      </c>
      <c r="V131" t="str">
        <v>13</v>
      </c>
      <c r="W131">
        <v>0</v>
      </c>
      <c r="X131">
        <v>0</v>
      </c>
      <c r="Y131" t="str">
        <v>T18S</v>
      </c>
      <c r="Z131" t="str">
        <v>R21W</v>
      </c>
      <c r="AA131" t="str">
        <v>32</v>
      </c>
      <c r="AB131" t="str">
        <v>HI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630.41310718301634</v>
      </c>
      <c r="AJ131">
        <v>9122.0426383558588</v>
      </c>
      <c r="AK131">
        <v>0</v>
      </c>
    </row>
    <row r="132" spans="1:37" x14ac:dyDescent="0.25">
      <c r="A132">
        <v>3</v>
      </c>
      <c r="B132">
        <v>0</v>
      </c>
      <c r="C132" t="str">
        <v>VV</v>
      </c>
      <c r="D132">
        <v>0</v>
      </c>
      <c r="E132" t="str">
        <v>MM</v>
      </c>
      <c r="F132" t="str">
        <v>&lt;Null&gt;</v>
      </c>
      <c r="G132">
        <v>45838</v>
      </c>
      <c r="H132">
        <v>0</v>
      </c>
      <c r="I132" t="str">
        <v>Globe Equity Decree</v>
      </c>
      <c r="J132" t="str">
        <v>Gila River</v>
      </c>
      <c r="K132" t="str">
        <v>GR</v>
      </c>
      <c r="L132" t="str">
        <v>Virden Valey</v>
      </c>
      <c r="M132" t="str">
        <v>VV</v>
      </c>
      <c r="N132" t="str">
        <v>Sunset Canal</v>
      </c>
      <c r="O132" t="str">
        <v>SSG</v>
      </c>
      <c r="P132" t="str">
        <v>Spring Small Grains</v>
      </c>
      <c r="Q132">
        <v>4.5375133921447048</v>
      </c>
      <c r="R132" t="str">
        <v>1</v>
      </c>
      <c r="S132" t="str">
        <v>Flood irrigated</v>
      </c>
      <c r="T132" t="str">
        <v xml:space="preserve"> </v>
      </c>
      <c r="U132">
        <v>0</v>
      </c>
      <c r="V132" t="str">
        <v>1</v>
      </c>
      <c r="W132">
        <v>0</v>
      </c>
      <c r="X132">
        <v>0</v>
      </c>
      <c r="Y132" t="str">
        <v>T19S</v>
      </c>
      <c r="Z132" t="str">
        <v>R20W</v>
      </c>
      <c r="AA132" t="str">
        <v>18</v>
      </c>
      <c r="AB132" t="str">
        <v>HI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549.12262617731301</v>
      </c>
      <c r="AJ132">
        <v>18362.738663608008</v>
      </c>
      <c r="AK132">
        <v>0</v>
      </c>
    </row>
    <row r="133" spans="1:37" x14ac:dyDescent="0.25">
      <c r="A133">
        <v>4</v>
      </c>
      <c r="B133">
        <v>0</v>
      </c>
      <c r="C133" t="str">
        <v>VV</v>
      </c>
      <c r="D133">
        <v>0</v>
      </c>
      <c r="E133" t="str">
        <v>MM</v>
      </c>
      <c r="F133" t="str">
        <v>&lt;Null&gt;</v>
      </c>
      <c r="G133">
        <v>45838</v>
      </c>
      <c r="H133">
        <v>0</v>
      </c>
      <c r="I133" t="str">
        <v>Globe Equity Decree</v>
      </c>
      <c r="J133" t="str">
        <v>Gila River</v>
      </c>
      <c r="K133" t="str">
        <v>GR</v>
      </c>
      <c r="L133" t="str">
        <v>Virden Valey</v>
      </c>
      <c r="M133" t="str">
        <v>VV</v>
      </c>
      <c r="N133" t="str">
        <v>Sunset Canal</v>
      </c>
      <c r="O133" t="str">
        <v>SSG</v>
      </c>
      <c r="P133" t="str">
        <v>Spring Small Grains</v>
      </c>
      <c r="Q133">
        <v>4.4202210866826688</v>
      </c>
      <c r="R133" t="str">
        <v>1</v>
      </c>
      <c r="S133" t="str">
        <v>Flood irrigated</v>
      </c>
      <c r="T133" t="str">
        <v xml:space="preserve"> </v>
      </c>
      <c r="U133">
        <v>0</v>
      </c>
      <c r="V133" t="str">
        <v>1</v>
      </c>
      <c r="W133">
        <v>0</v>
      </c>
      <c r="X133">
        <v>0</v>
      </c>
      <c r="Y133" t="str">
        <v>T19S</v>
      </c>
      <c r="Z133" t="str">
        <v>R20W</v>
      </c>
      <c r="AA133" t="str">
        <v>18</v>
      </c>
      <c r="AB133" t="str">
        <v>HI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567.4494202141251</v>
      </c>
      <c r="AJ133">
        <v>17888.07164528469</v>
      </c>
      <c r="AK133">
        <v>0</v>
      </c>
    </row>
    <row r="134" spans="1:37" x14ac:dyDescent="0.25">
      <c r="A134">
        <v>10</v>
      </c>
      <c r="B134">
        <v>0</v>
      </c>
      <c r="C134" t="str">
        <v>VV</v>
      </c>
      <c r="D134">
        <v>0</v>
      </c>
      <c r="E134" t="str">
        <v>MM</v>
      </c>
      <c r="F134" t="str">
        <v>&lt;Null&gt;</v>
      </c>
      <c r="G134">
        <v>45838</v>
      </c>
      <c r="H134">
        <v>0</v>
      </c>
      <c r="I134" t="str">
        <v>Globe Equity Decree</v>
      </c>
      <c r="J134" t="str">
        <v>Gila River</v>
      </c>
      <c r="K134" t="str">
        <v>GR</v>
      </c>
      <c r="L134" t="str">
        <v>Virden Valey</v>
      </c>
      <c r="M134" t="str">
        <v>VV</v>
      </c>
      <c r="N134" t="str">
        <v>Sunset Canal</v>
      </c>
      <c r="O134" t="str">
        <v>SSG</v>
      </c>
      <c r="P134" t="str">
        <v>Spring Small Grains</v>
      </c>
      <c r="Q134">
        <v>12.58422554162347</v>
      </c>
      <c r="R134" t="str">
        <v>1</v>
      </c>
      <c r="S134" t="str">
        <v>Flood irrigated</v>
      </c>
      <c r="T134">
        <v>0</v>
      </c>
      <c r="U134">
        <v>0</v>
      </c>
      <c r="V134" t="str">
        <v>2</v>
      </c>
      <c r="W134">
        <v>0</v>
      </c>
      <c r="X134">
        <v>0</v>
      </c>
      <c r="Y134" t="str">
        <v>T19S</v>
      </c>
      <c r="Z134" t="str">
        <v>R20W</v>
      </c>
      <c r="AA134" t="str">
        <v>7</v>
      </c>
      <c r="AB134" t="str">
        <v>HI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964.1770580194775</v>
      </c>
      <c r="AJ134">
        <v>50926.757660875999</v>
      </c>
      <c r="AK134">
        <v>0</v>
      </c>
    </row>
    <row r="135" spans="1:37" x14ac:dyDescent="0.25">
      <c r="A135">
        <v>192</v>
      </c>
      <c r="B135">
        <v>0</v>
      </c>
      <c r="C135" t="str">
        <v>VV</v>
      </c>
      <c r="D135">
        <v>0</v>
      </c>
      <c r="E135" t="str">
        <v>MM</v>
      </c>
      <c r="F135" t="str">
        <v>&lt;Null&gt;</v>
      </c>
      <c r="G135">
        <v>45838</v>
      </c>
      <c r="H135">
        <v>4</v>
      </c>
      <c r="I135" t="str">
        <v>Arizona v California</v>
      </c>
      <c r="J135" t="str">
        <v>Gila River</v>
      </c>
      <c r="K135" t="str">
        <v>GR</v>
      </c>
      <c r="L135" t="str">
        <v>Virden Valey</v>
      </c>
      <c r="M135" t="str">
        <v>VV</v>
      </c>
      <c r="N135">
        <v>0</v>
      </c>
      <c r="O135" t="str">
        <v>SSG</v>
      </c>
      <c r="P135" t="str">
        <v>Spring Small Grains</v>
      </c>
      <c r="Q135">
        <v>3.69119588700819</v>
      </c>
      <c r="R135" t="str">
        <v>1</v>
      </c>
      <c r="S135" t="str">
        <v>Flood irrigated</v>
      </c>
      <c r="T135">
        <v>0</v>
      </c>
      <c r="U135">
        <v>0</v>
      </c>
      <c r="V135" t="str">
        <v>3</v>
      </c>
      <c r="W135">
        <v>0</v>
      </c>
      <c r="X135">
        <v>0</v>
      </c>
      <c r="Y135" t="str">
        <v>T19S</v>
      </c>
      <c r="Z135" t="str">
        <v>R21W</v>
      </c>
      <c r="AA135" t="str">
        <v>13</v>
      </c>
      <c r="AB135" t="str">
        <v>HI</v>
      </c>
      <c r="AC135">
        <v>0</v>
      </c>
      <c r="AD135" t="str">
        <v>04/09/52</v>
      </c>
      <c r="AE135">
        <v>0</v>
      </c>
      <c r="AF135">
        <v>0</v>
      </c>
      <c r="AG135">
        <v>0</v>
      </c>
      <c r="AH135">
        <v>0</v>
      </c>
      <c r="AI135">
        <v>609.84124573530278</v>
      </c>
      <c r="AJ135">
        <v>14937.79953281394</v>
      </c>
      <c r="AK135">
        <v>0</v>
      </c>
    </row>
    <row r="136" spans="1:37" x14ac:dyDescent="0.25">
      <c r="A136">
        <v>58</v>
      </c>
      <c r="B136" t="str">
        <v>VV-00311</v>
      </c>
      <c r="C136" t="str">
        <v>VV</v>
      </c>
      <c r="D136">
        <v>0</v>
      </c>
      <c r="E136" t="str">
        <v>MM</v>
      </c>
      <c r="F136" t="str">
        <v>&lt;Null&gt;</v>
      </c>
      <c r="G136">
        <v>45839</v>
      </c>
      <c r="H136">
        <v>0</v>
      </c>
      <c r="I136" t="str">
        <v>Globe Equity Decree</v>
      </c>
      <c r="J136" t="str">
        <v>Gila River</v>
      </c>
      <c r="K136" t="str">
        <v>GR</v>
      </c>
      <c r="L136" t="str">
        <v>Virden Valley</v>
      </c>
      <c r="M136" t="str">
        <v>VV</v>
      </c>
      <c r="N136" t="str">
        <v>Sunset Ditch</v>
      </c>
      <c r="O136" t="str">
        <v>TW</v>
      </c>
      <c r="P136" t="str">
        <v>Turfgrass (Warm Season)</v>
      </c>
      <c r="Q136">
        <v>1.133019665843727</v>
      </c>
      <c r="R136" t="str">
        <v>1</v>
      </c>
      <c r="S136" t="str">
        <v>Flood irrigated</v>
      </c>
      <c r="T136">
        <v>0</v>
      </c>
      <c r="U136">
        <v>0</v>
      </c>
      <c r="V136" t="str">
        <v>8</v>
      </c>
      <c r="W136">
        <v>0</v>
      </c>
      <c r="X136">
        <v>0</v>
      </c>
      <c r="Y136">
        <v>0</v>
      </c>
      <c r="Z136">
        <v>0</v>
      </c>
      <c r="AA136">
        <v>0</v>
      </c>
      <c r="AB136" t="str">
        <v>HI</v>
      </c>
      <c r="AC136">
        <v>0</v>
      </c>
      <c r="AD136" t="str">
        <v>1900</v>
      </c>
      <c r="AE136">
        <v>0</v>
      </c>
      <c r="AF136">
        <v>0</v>
      </c>
      <c r="AG136">
        <v>0</v>
      </c>
      <c r="AH136">
        <v>0</v>
      </c>
      <c r="AI136">
        <v>273.87800175656957</v>
      </c>
      <c r="AJ136">
        <v>4585.1862521518551</v>
      </c>
      <c r="AK136">
        <v>0</v>
      </c>
    </row>
    <row r="137" spans="1:37" x14ac:dyDescent="0.25">
      <c r="A137">
        <v>64</v>
      </c>
      <c r="B137" t="str">
        <v>VV-00316</v>
      </c>
      <c r="C137" t="str">
        <v>VV</v>
      </c>
      <c r="D137">
        <v>0</v>
      </c>
      <c r="E137" t="str">
        <v>MM</v>
      </c>
      <c r="F137" t="str">
        <v>&lt;Null&gt;</v>
      </c>
      <c r="G137">
        <v>45839</v>
      </c>
      <c r="H137">
        <v>0</v>
      </c>
      <c r="I137" t="str">
        <v>Globe Equity Decree</v>
      </c>
      <c r="J137" t="str">
        <v>Gila River</v>
      </c>
      <c r="K137" t="str">
        <v>GR</v>
      </c>
      <c r="L137" t="str">
        <v>Virden Valley</v>
      </c>
      <c r="M137" t="str">
        <v>VV</v>
      </c>
      <c r="N137" t="str">
        <v>Sunset Ditch</v>
      </c>
      <c r="O137" t="str">
        <v>TW</v>
      </c>
      <c r="P137" t="str">
        <v>Turfgrass (Warm Season)</v>
      </c>
      <c r="Q137">
        <v>1.116745314777819</v>
      </c>
      <c r="R137" t="str">
        <v>1</v>
      </c>
      <c r="S137" t="str">
        <v>Flood irrigated</v>
      </c>
      <c r="T137">
        <v>0</v>
      </c>
      <c r="U137">
        <v>0</v>
      </c>
      <c r="V137" t="str">
        <v>8</v>
      </c>
      <c r="W137">
        <v>0</v>
      </c>
      <c r="X137">
        <v>0</v>
      </c>
      <c r="Y137">
        <v>0</v>
      </c>
      <c r="Z137">
        <v>0</v>
      </c>
      <c r="AA137">
        <v>0</v>
      </c>
      <c r="AB137" t="str">
        <v>HI</v>
      </c>
      <c r="AC137">
        <v>0</v>
      </c>
      <c r="AD137" t="str">
        <v>1900</v>
      </c>
      <c r="AE137">
        <v>0</v>
      </c>
      <c r="AF137">
        <v>0</v>
      </c>
      <c r="AG137">
        <v>0</v>
      </c>
      <c r="AH137">
        <v>0</v>
      </c>
      <c r="AI137">
        <v>271.11534721429581</v>
      </c>
      <c r="AJ137">
        <v>4519.3260265797562</v>
      </c>
      <c r="AK137">
        <v>0</v>
      </c>
    </row>
    <row r="138" spans="1:37" x14ac:dyDescent="0.25">
      <c r="A138">
        <v>72</v>
      </c>
      <c r="B138" t="str">
        <v>VV-00311</v>
      </c>
      <c r="C138" t="str">
        <v>VV</v>
      </c>
      <c r="D138">
        <v>0</v>
      </c>
      <c r="E138" t="str">
        <v>MM</v>
      </c>
      <c r="F138" t="str">
        <v>&lt;Null&gt;</v>
      </c>
      <c r="G138">
        <v>45839</v>
      </c>
      <c r="H138">
        <v>0</v>
      </c>
      <c r="I138" t="str">
        <v>Globe Equity Decree</v>
      </c>
      <c r="J138" t="str">
        <v>Gila River</v>
      </c>
      <c r="K138" t="str">
        <v>GR</v>
      </c>
      <c r="L138" t="str">
        <v>Virden Valley</v>
      </c>
      <c r="M138" t="str">
        <v>VV</v>
      </c>
      <c r="N138" t="str">
        <v>Sunset Ditch</v>
      </c>
      <c r="O138" t="str">
        <v>TW</v>
      </c>
      <c r="P138" t="str">
        <v>Turfgrass (Warm Season)</v>
      </c>
      <c r="Q138">
        <v>1.9478041183083441</v>
      </c>
      <c r="R138" t="str">
        <v>1</v>
      </c>
      <c r="S138" t="str">
        <v>Flood irrigated</v>
      </c>
      <c r="T138">
        <v>0</v>
      </c>
      <c r="U138">
        <v>0</v>
      </c>
      <c r="V138" t="str">
        <v>8</v>
      </c>
      <c r="W138">
        <v>0</v>
      </c>
      <c r="X138">
        <v>0</v>
      </c>
      <c r="Y138">
        <v>0</v>
      </c>
      <c r="Z138">
        <v>0</v>
      </c>
      <c r="AA138">
        <v>0</v>
      </c>
      <c r="AB138" t="str">
        <v>HI</v>
      </c>
      <c r="AC138">
        <v>0</v>
      </c>
      <c r="AD138" t="str">
        <v>1900</v>
      </c>
      <c r="AE138">
        <v>0</v>
      </c>
      <c r="AF138">
        <v>0</v>
      </c>
      <c r="AG138">
        <v>0</v>
      </c>
      <c r="AH138">
        <v>0</v>
      </c>
      <c r="AI138">
        <v>366.32697647813922</v>
      </c>
      <c r="AJ138">
        <v>7882.5151357823042</v>
      </c>
      <c r="AK138">
        <v>0</v>
      </c>
    </row>
    <row r="139" spans="1:37" x14ac:dyDescent="0.25">
      <c r="A139">
        <v>73</v>
      </c>
      <c r="B139" t="str">
        <v>VV-00311</v>
      </c>
      <c r="C139" t="str">
        <v>VV</v>
      </c>
      <c r="D139">
        <v>0</v>
      </c>
      <c r="E139" t="str">
        <v>MM</v>
      </c>
      <c r="F139" t="str">
        <v>&lt;Null&gt;</v>
      </c>
      <c r="G139">
        <v>45839</v>
      </c>
      <c r="H139">
        <v>0</v>
      </c>
      <c r="I139" t="str">
        <v>Globe Equity Decree</v>
      </c>
      <c r="J139" t="str">
        <v>Gila River</v>
      </c>
      <c r="K139" t="str">
        <v>GR</v>
      </c>
      <c r="L139" t="str">
        <v>Virden Valley</v>
      </c>
      <c r="M139" t="str">
        <v>VV</v>
      </c>
      <c r="N139" t="str">
        <v>Sunset Ditch</v>
      </c>
      <c r="O139" t="str">
        <v>TW</v>
      </c>
      <c r="P139" t="str">
        <v>Turfgrass (Warm Season)</v>
      </c>
      <c r="Q139">
        <v>1.1129433771951289</v>
      </c>
      <c r="R139" t="str">
        <v>1</v>
      </c>
      <c r="S139" t="str">
        <v>Flood irrigated</v>
      </c>
      <c r="T139">
        <v>0</v>
      </c>
      <c r="U139">
        <v>0</v>
      </c>
      <c r="V139" t="str">
        <v>8</v>
      </c>
      <c r="W139">
        <v>0</v>
      </c>
      <c r="X139">
        <v>0</v>
      </c>
      <c r="Y139">
        <v>0</v>
      </c>
      <c r="Z139">
        <v>0</v>
      </c>
      <c r="AA139">
        <v>0</v>
      </c>
      <c r="AB139" t="str">
        <v>HI</v>
      </c>
      <c r="AC139">
        <v>0</v>
      </c>
      <c r="AD139" t="str">
        <v>1900</v>
      </c>
      <c r="AE139">
        <v>0</v>
      </c>
      <c r="AF139">
        <v>0</v>
      </c>
      <c r="AG139">
        <v>0</v>
      </c>
      <c r="AH139">
        <v>0</v>
      </c>
      <c r="AI139">
        <v>271.88620736506692</v>
      </c>
      <c r="AJ139">
        <v>4503.9400695119166</v>
      </c>
      <c r="AK139">
        <v>0</v>
      </c>
    </row>
    <row r="140" spans="1:37" x14ac:dyDescent="0.25">
      <c r="A140">
        <v>74</v>
      </c>
      <c r="B140" t="str">
        <v>VV-00312</v>
      </c>
      <c r="C140" t="str">
        <v>VV</v>
      </c>
      <c r="D140">
        <v>0</v>
      </c>
      <c r="E140" t="str">
        <v>MM</v>
      </c>
      <c r="F140" t="str">
        <v>&lt;Null&gt;</v>
      </c>
      <c r="G140">
        <v>45839</v>
      </c>
      <c r="H140">
        <v>0</v>
      </c>
      <c r="I140" t="str">
        <v>Globe Equity Decree</v>
      </c>
      <c r="J140" t="str">
        <v>Gila River</v>
      </c>
      <c r="K140" t="str">
        <v>GR</v>
      </c>
      <c r="L140" t="str">
        <v>Virden Valley</v>
      </c>
      <c r="M140" t="str">
        <v>VV</v>
      </c>
      <c r="N140" t="str">
        <v>Sunset Ditch</v>
      </c>
      <c r="O140" t="str">
        <v>TW</v>
      </c>
      <c r="P140" t="str">
        <v>Turfgrass (Warm Season)</v>
      </c>
      <c r="Q140">
        <v>1.107843352613429</v>
      </c>
      <c r="R140" t="str">
        <v>1</v>
      </c>
      <c r="S140" t="str">
        <v>Flood irrigated</v>
      </c>
      <c r="T140">
        <v>0</v>
      </c>
      <c r="U140">
        <v>0</v>
      </c>
      <c r="V140" t="str">
        <v>8</v>
      </c>
      <c r="W140">
        <v>0</v>
      </c>
      <c r="X140">
        <v>0</v>
      </c>
      <c r="Y140">
        <v>0</v>
      </c>
      <c r="Z140">
        <v>0</v>
      </c>
      <c r="AA140">
        <v>0</v>
      </c>
      <c r="AB140" t="str">
        <v>HI</v>
      </c>
      <c r="AC140">
        <v>0</v>
      </c>
      <c r="AD140" t="str">
        <v>1900</v>
      </c>
      <c r="AE140">
        <v>0</v>
      </c>
      <c r="AF140">
        <v>0</v>
      </c>
      <c r="AG140">
        <v>0</v>
      </c>
      <c r="AH140">
        <v>0</v>
      </c>
      <c r="AI140">
        <v>271.44298791137959</v>
      </c>
      <c r="AJ140">
        <v>4483.3009197225483</v>
      </c>
      <c r="AK140">
        <v>0</v>
      </c>
    </row>
    <row r="141" spans="1:37" x14ac:dyDescent="0.25">
      <c r="A141">
        <v>75</v>
      </c>
      <c r="B141" t="str">
        <v>VV-00312</v>
      </c>
      <c r="C141" t="str">
        <v>VV</v>
      </c>
      <c r="D141">
        <v>0</v>
      </c>
      <c r="E141" t="str">
        <v>MM</v>
      </c>
      <c r="F141" t="str">
        <v>&lt;Null&gt;</v>
      </c>
      <c r="G141">
        <v>45839</v>
      </c>
      <c r="H141">
        <v>0</v>
      </c>
      <c r="I141" t="str">
        <v>Globe Equity Decree</v>
      </c>
      <c r="J141" t="str">
        <v>Gila River</v>
      </c>
      <c r="K141" t="str">
        <v>GR</v>
      </c>
      <c r="L141" t="str">
        <v>Virden Valley</v>
      </c>
      <c r="M141" t="str">
        <v>VV</v>
      </c>
      <c r="N141" t="str">
        <v>Sunset Ditch</v>
      </c>
      <c r="O141" t="str">
        <v>TW</v>
      </c>
      <c r="P141" t="str">
        <v>Turfgrass (Warm Season)</v>
      </c>
      <c r="Q141">
        <v>1.020481658214532</v>
      </c>
      <c r="R141" t="str">
        <v>1</v>
      </c>
      <c r="S141" t="str">
        <v>Flood irrigated</v>
      </c>
      <c r="T141">
        <v>0</v>
      </c>
      <c r="U141">
        <v>0</v>
      </c>
      <c r="V141" t="str">
        <v>8</v>
      </c>
      <c r="W141">
        <v>0</v>
      </c>
      <c r="X141">
        <v>0</v>
      </c>
      <c r="Y141">
        <v>0</v>
      </c>
      <c r="Z141">
        <v>0</v>
      </c>
      <c r="AA141">
        <v>0</v>
      </c>
      <c r="AB141" t="str">
        <v>HI</v>
      </c>
      <c r="AC141">
        <v>0</v>
      </c>
      <c r="AD141" t="str">
        <v>1900</v>
      </c>
      <c r="AE141">
        <v>0</v>
      </c>
      <c r="AF141">
        <v>0</v>
      </c>
      <c r="AG141">
        <v>0</v>
      </c>
      <c r="AH141">
        <v>0</v>
      </c>
      <c r="AI141">
        <v>258.22387800029833</v>
      </c>
      <c r="AJ141">
        <v>4129.7592715074452</v>
      </c>
      <c r="AK141">
        <v>0</v>
      </c>
    </row>
    <row r="142" spans="1:37" x14ac:dyDescent="0.25">
      <c r="A142">
        <v>86</v>
      </c>
      <c r="B142" t="str">
        <v>VV-00314</v>
      </c>
      <c r="C142" t="str">
        <v>VV</v>
      </c>
      <c r="D142">
        <v>0</v>
      </c>
      <c r="E142" t="str">
        <v>MM</v>
      </c>
      <c r="F142" t="str">
        <v>&lt;Null&gt;</v>
      </c>
      <c r="G142">
        <v>45839</v>
      </c>
      <c r="H142">
        <v>0</v>
      </c>
      <c r="I142" t="str">
        <v>Globe Equity Decree</v>
      </c>
      <c r="J142" t="str">
        <v>Gila River</v>
      </c>
      <c r="K142" t="str">
        <v>GR</v>
      </c>
      <c r="L142" t="str">
        <v>Virden Valley</v>
      </c>
      <c r="M142" t="str">
        <v>VV</v>
      </c>
      <c r="N142" t="str">
        <v>Sunset Ditch</v>
      </c>
      <c r="O142" t="str">
        <v>TW</v>
      </c>
      <c r="P142" t="str">
        <v>Turfgrass (Warm Season)</v>
      </c>
      <c r="Q142">
        <v>1.0878960316710049</v>
      </c>
      <c r="R142" t="str">
        <v>1</v>
      </c>
      <c r="S142" t="str">
        <v>Flood irrigated</v>
      </c>
      <c r="T142">
        <v>0</v>
      </c>
      <c r="U142">
        <v>0</v>
      </c>
      <c r="V142" t="str">
        <v>8</v>
      </c>
      <c r="W142">
        <v>0</v>
      </c>
      <c r="X142">
        <v>0</v>
      </c>
      <c r="Y142">
        <v>0</v>
      </c>
      <c r="Z142">
        <v>0</v>
      </c>
      <c r="AA142">
        <v>0</v>
      </c>
      <c r="AB142" t="str">
        <v>HI</v>
      </c>
      <c r="AC142">
        <v>0</v>
      </c>
      <c r="AD142" t="str">
        <v>1900</v>
      </c>
      <c r="AE142">
        <v>0</v>
      </c>
      <c r="AF142">
        <v>0</v>
      </c>
      <c r="AG142">
        <v>0</v>
      </c>
      <c r="AH142">
        <v>0</v>
      </c>
      <c r="AI142">
        <v>267.93172012582562</v>
      </c>
      <c r="AJ142">
        <v>4402.5766529602824</v>
      </c>
      <c r="AK142">
        <v>0</v>
      </c>
    </row>
    <row r="143" spans="1:37" x14ac:dyDescent="0.25">
      <c r="A143">
        <v>87</v>
      </c>
      <c r="B143" t="str">
        <v>VV-00314</v>
      </c>
      <c r="C143" t="str">
        <v>VV</v>
      </c>
      <c r="D143">
        <v>0</v>
      </c>
      <c r="E143" t="str">
        <v>MM</v>
      </c>
      <c r="F143" t="str">
        <v>&lt;Null&gt;</v>
      </c>
      <c r="G143">
        <v>45839</v>
      </c>
      <c r="H143">
        <v>0</v>
      </c>
      <c r="I143" t="str">
        <v>Globe Equity Decree</v>
      </c>
      <c r="J143" t="str">
        <v>Gila River</v>
      </c>
      <c r="K143" t="str">
        <v>GR</v>
      </c>
      <c r="L143" t="str">
        <v>Virden Valley</v>
      </c>
      <c r="M143" t="str">
        <v>VV</v>
      </c>
      <c r="N143" t="str">
        <v>Sunset Ditch</v>
      </c>
      <c r="O143" t="str">
        <v>TW</v>
      </c>
      <c r="P143" t="str">
        <v>Turfgrass (Warm Season)</v>
      </c>
      <c r="Q143">
        <v>1.050013394243833</v>
      </c>
      <c r="R143" t="str">
        <v>1</v>
      </c>
      <c r="S143" t="str">
        <v>Flood irrigated</v>
      </c>
      <c r="T143">
        <v>0</v>
      </c>
      <c r="U143">
        <v>0</v>
      </c>
      <c r="V143" t="str">
        <v>8</v>
      </c>
      <c r="W143">
        <v>0</v>
      </c>
      <c r="X143">
        <v>0</v>
      </c>
      <c r="Y143">
        <v>0</v>
      </c>
      <c r="Z143">
        <v>0</v>
      </c>
      <c r="AA143">
        <v>0</v>
      </c>
      <c r="AB143" t="str">
        <v>HI</v>
      </c>
      <c r="AC143">
        <v>0</v>
      </c>
      <c r="AD143" t="str">
        <v>1900</v>
      </c>
      <c r="AE143">
        <v>0</v>
      </c>
      <c r="AF143">
        <v>0</v>
      </c>
      <c r="AG143">
        <v>0</v>
      </c>
      <c r="AH143">
        <v>0</v>
      </c>
      <c r="AI143">
        <v>263.00923505313028</v>
      </c>
      <c r="AJ143">
        <v>4249.2704451664604</v>
      </c>
      <c r="AK143">
        <v>0</v>
      </c>
    </row>
    <row r="144" spans="1:37" x14ac:dyDescent="0.25">
      <c r="A144">
        <v>88</v>
      </c>
      <c r="B144" t="str">
        <v>VV-00315</v>
      </c>
      <c r="C144" t="str">
        <v>VV</v>
      </c>
      <c r="D144">
        <v>0</v>
      </c>
      <c r="E144" t="str">
        <v>MM</v>
      </c>
      <c r="F144" t="str">
        <v>&lt;Null&gt;</v>
      </c>
      <c r="G144">
        <v>45839</v>
      </c>
      <c r="H144">
        <v>0</v>
      </c>
      <c r="I144" t="str">
        <v>Globe Equity Decree</v>
      </c>
      <c r="J144" t="str">
        <v>Gila River</v>
      </c>
      <c r="K144" t="str">
        <v>GR</v>
      </c>
      <c r="L144" t="str">
        <v>Virden Valley</v>
      </c>
      <c r="M144" t="str">
        <v>VV</v>
      </c>
      <c r="N144" t="str">
        <v>Sunset Ditch</v>
      </c>
      <c r="O144" t="str">
        <v>TW</v>
      </c>
      <c r="P144" t="str">
        <v>Turfgrass (Warm Season)</v>
      </c>
      <c r="Q144">
        <v>1.119272274340031</v>
      </c>
      <c r="R144" t="str">
        <v>1</v>
      </c>
      <c r="S144" t="str">
        <v>Flood irrigated</v>
      </c>
      <c r="T144">
        <v>0</v>
      </c>
      <c r="U144">
        <v>0</v>
      </c>
      <c r="V144" t="str">
        <v>8</v>
      </c>
      <c r="W144">
        <v>0</v>
      </c>
      <c r="X144">
        <v>0</v>
      </c>
      <c r="Y144">
        <v>0</v>
      </c>
      <c r="Z144">
        <v>0</v>
      </c>
      <c r="AA144">
        <v>0</v>
      </c>
      <c r="AB144" t="str">
        <v>HI</v>
      </c>
      <c r="AC144">
        <v>0</v>
      </c>
      <c r="AD144" t="str">
        <v>1900</v>
      </c>
      <c r="AE144">
        <v>0</v>
      </c>
      <c r="AF144">
        <v>0</v>
      </c>
      <c r="AG144">
        <v>0</v>
      </c>
      <c r="AH144">
        <v>0</v>
      </c>
      <c r="AI144">
        <v>270.19608882825747</v>
      </c>
      <c r="AJ144">
        <v>4529.5523100183291</v>
      </c>
      <c r="AK144">
        <v>0</v>
      </c>
    </row>
    <row r="145" spans="1:37" x14ac:dyDescent="0.25">
      <c r="A145">
        <v>91</v>
      </c>
      <c r="B145" t="str">
        <v>VV-00316</v>
      </c>
      <c r="C145" t="str">
        <v>VV</v>
      </c>
      <c r="D145">
        <v>0</v>
      </c>
      <c r="E145" t="str">
        <v>MM</v>
      </c>
      <c r="F145" t="str">
        <v>&lt;Null&gt;</v>
      </c>
      <c r="G145">
        <v>45839</v>
      </c>
      <c r="H145">
        <v>0</v>
      </c>
      <c r="I145" t="str">
        <v>Globe Equity Decree</v>
      </c>
      <c r="J145" t="str">
        <v>Gila River</v>
      </c>
      <c r="K145" t="str">
        <v>GR</v>
      </c>
      <c r="L145" t="str">
        <v>Virden Valley</v>
      </c>
      <c r="M145" t="str">
        <v>VV</v>
      </c>
      <c r="N145" t="str">
        <v>Sunset Ditch</v>
      </c>
      <c r="O145" t="str">
        <v>TW</v>
      </c>
      <c r="P145" t="str">
        <v>Turfgrass (Warm Season)</v>
      </c>
      <c r="Q145">
        <v>1.0746161820441571</v>
      </c>
      <c r="R145" t="str">
        <v>1</v>
      </c>
      <c r="S145" t="str">
        <v>Flood irrigated</v>
      </c>
      <c r="T145">
        <v>0</v>
      </c>
      <c r="U145">
        <v>0</v>
      </c>
      <c r="V145" t="str">
        <v>8</v>
      </c>
      <c r="W145">
        <v>0</v>
      </c>
      <c r="X145">
        <v>0</v>
      </c>
      <c r="Y145">
        <v>0</v>
      </c>
      <c r="Z145">
        <v>0</v>
      </c>
      <c r="AA145">
        <v>0</v>
      </c>
      <c r="AB145" t="str">
        <v>HI</v>
      </c>
      <c r="AC145">
        <v>0</v>
      </c>
      <c r="AD145" t="str">
        <v>1900</v>
      </c>
      <c r="AE145">
        <v>0</v>
      </c>
      <c r="AF145">
        <v>0</v>
      </c>
      <c r="AG145">
        <v>0</v>
      </c>
      <c r="AH145">
        <v>0</v>
      </c>
      <c r="AI145">
        <v>265.23634571466391</v>
      </c>
      <c r="AJ145">
        <v>4348.8347932421402</v>
      </c>
      <c r="AK145">
        <v>0</v>
      </c>
    </row>
    <row r="146" spans="1:37" x14ac:dyDescent="0.25">
      <c r="A146">
        <v>94</v>
      </c>
      <c r="B146" t="str">
        <v>VV-00317</v>
      </c>
      <c r="C146" t="str">
        <v>VV</v>
      </c>
      <c r="D146">
        <v>0</v>
      </c>
      <c r="E146" t="str">
        <v>MM</v>
      </c>
      <c r="F146" t="str">
        <v>&lt;Null&gt;</v>
      </c>
      <c r="G146">
        <v>45839</v>
      </c>
      <c r="H146">
        <v>0</v>
      </c>
      <c r="I146" t="str">
        <v>Globe Equity Decree</v>
      </c>
      <c r="J146" t="str">
        <v>Gila River</v>
      </c>
      <c r="K146" t="str">
        <v>GR</v>
      </c>
      <c r="L146" t="str">
        <v>Virden Valley</v>
      </c>
      <c r="M146" t="str">
        <v>VV</v>
      </c>
      <c r="N146" t="str">
        <v>Sunset Ditch</v>
      </c>
      <c r="O146" t="str">
        <v>TW</v>
      </c>
      <c r="P146" t="str">
        <v>Turfgrass (Warm Season)</v>
      </c>
      <c r="Q146">
        <v>1.0889513238699879</v>
      </c>
      <c r="R146" t="str">
        <v>1</v>
      </c>
      <c r="S146" t="str">
        <v>Flood irrigated</v>
      </c>
      <c r="T146">
        <v>0</v>
      </c>
      <c r="U146">
        <v>0</v>
      </c>
      <c r="V146" t="str">
        <v>8</v>
      </c>
      <c r="W146">
        <v>0</v>
      </c>
      <c r="X146">
        <v>0</v>
      </c>
      <c r="Y146">
        <v>0</v>
      </c>
      <c r="Z146">
        <v>0</v>
      </c>
      <c r="AA146">
        <v>0</v>
      </c>
      <c r="AB146" t="str">
        <v>HI</v>
      </c>
      <c r="AC146">
        <v>0</v>
      </c>
      <c r="AD146" t="str">
        <v>1900</v>
      </c>
      <c r="AE146">
        <v>0</v>
      </c>
      <c r="AF146">
        <v>0</v>
      </c>
      <c r="AG146">
        <v>0</v>
      </c>
      <c r="AH146">
        <v>0</v>
      </c>
      <c r="AI146">
        <v>267.55067555209177</v>
      </c>
      <c r="AJ146">
        <v>4406.8472860557604</v>
      </c>
      <c r="AK146">
        <v>0</v>
      </c>
    </row>
    <row r="147" spans="1:37" x14ac:dyDescent="0.25">
      <c r="A147">
        <v>96</v>
      </c>
      <c r="B147" t="str">
        <v>VV-00317</v>
      </c>
      <c r="C147" t="str">
        <v>VV</v>
      </c>
      <c r="D147">
        <v>0</v>
      </c>
      <c r="E147" t="str">
        <v>MM</v>
      </c>
      <c r="F147" t="str">
        <v>&lt;Null&gt;</v>
      </c>
      <c r="G147">
        <v>45839</v>
      </c>
      <c r="H147">
        <v>0</v>
      </c>
      <c r="I147" t="str">
        <v>Globe Equity Decree</v>
      </c>
      <c r="J147" t="str">
        <v>Gila River</v>
      </c>
      <c r="K147" t="str">
        <v>GR</v>
      </c>
      <c r="L147" t="str">
        <v>Virden Valley</v>
      </c>
      <c r="M147" t="str">
        <v>VV</v>
      </c>
      <c r="N147" t="str">
        <v>Sunset Ditch</v>
      </c>
      <c r="O147" t="str">
        <v>TW</v>
      </c>
      <c r="P147" t="str">
        <v>Turfgrass (Warm Season)</v>
      </c>
      <c r="Q147">
        <v>1.069269401600734</v>
      </c>
      <c r="R147" t="str">
        <v>1</v>
      </c>
      <c r="S147" t="str">
        <v>Flood irrigated</v>
      </c>
      <c r="T147">
        <v>0</v>
      </c>
      <c r="U147">
        <v>0</v>
      </c>
      <c r="V147" t="str">
        <v>8</v>
      </c>
      <c r="W147">
        <v>0</v>
      </c>
      <c r="X147">
        <v>0</v>
      </c>
      <c r="Y147">
        <v>0</v>
      </c>
      <c r="Z147">
        <v>0</v>
      </c>
      <c r="AA147">
        <v>0</v>
      </c>
      <c r="AB147" t="str">
        <v>HI</v>
      </c>
      <c r="AC147">
        <v>0</v>
      </c>
      <c r="AD147" t="str">
        <v>1900</v>
      </c>
      <c r="AE147">
        <v>0</v>
      </c>
      <c r="AF147">
        <v>0</v>
      </c>
      <c r="AG147">
        <v>0</v>
      </c>
      <c r="AH147">
        <v>0</v>
      </c>
      <c r="AI147">
        <v>264.9236615529037</v>
      </c>
      <c r="AJ147">
        <v>4327.1970539146414</v>
      </c>
      <c r="AK147">
        <v>0</v>
      </c>
    </row>
    <row r="148" spans="1:37" x14ac:dyDescent="0.25">
      <c r="A148">
        <v>130</v>
      </c>
      <c r="B148">
        <v>0</v>
      </c>
      <c r="C148" t="str">
        <v>VV</v>
      </c>
      <c r="D148">
        <v>0</v>
      </c>
      <c r="E148" t="str">
        <v>MM</v>
      </c>
      <c r="F148" t="str">
        <v>&lt;Null&gt;</v>
      </c>
      <c r="G148">
        <v>45839</v>
      </c>
      <c r="H148">
        <v>0</v>
      </c>
      <c r="I148" t="str">
        <v>Globe Equity Decree</v>
      </c>
      <c r="J148" t="str">
        <v>Gila River</v>
      </c>
      <c r="K148" t="str">
        <v>GR</v>
      </c>
      <c r="L148" t="str">
        <v>Virden Valey</v>
      </c>
      <c r="M148" t="str">
        <v>VV</v>
      </c>
      <c r="N148" t="str">
        <v>Sunset Canal</v>
      </c>
      <c r="O148" t="str">
        <v>WSG</v>
      </c>
      <c r="P148" t="str">
        <v>Winter Small Grains</v>
      </c>
      <c r="Q148">
        <v>9.8435119582932771</v>
      </c>
      <c r="R148" t="str">
        <v>1</v>
      </c>
      <c r="S148" t="str">
        <v>Flood irrigated</v>
      </c>
      <c r="T148">
        <v>0</v>
      </c>
      <c r="U148">
        <v>0</v>
      </c>
      <c r="V148" t="str">
        <v>11</v>
      </c>
      <c r="W148">
        <v>0</v>
      </c>
      <c r="X148">
        <v>0</v>
      </c>
      <c r="Y148" t="str">
        <v>T18S</v>
      </c>
      <c r="Z148" t="str">
        <v>R21W</v>
      </c>
      <c r="AA148" t="str">
        <v>33</v>
      </c>
      <c r="AB148" t="str">
        <v>HI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937.15238631746297</v>
      </c>
      <c r="AJ148">
        <v>39835.438928986718</v>
      </c>
      <c r="AK148">
        <v>0</v>
      </c>
    </row>
    <row r="149" spans="1:37" x14ac:dyDescent="0.25">
      <c r="A149">
        <v>244</v>
      </c>
      <c r="B149">
        <v>0</v>
      </c>
      <c r="C149" t="str">
        <v>VV</v>
      </c>
      <c r="D149">
        <v>0</v>
      </c>
      <c r="E149" t="str">
        <v>MM</v>
      </c>
      <c r="F149" t="str">
        <v>&lt;Null&gt;</v>
      </c>
      <c r="G149">
        <v>45839</v>
      </c>
      <c r="H149">
        <v>0</v>
      </c>
      <c r="I149" t="str">
        <v>Globe Equity Decree</v>
      </c>
      <c r="J149" t="str">
        <v>Gila River</v>
      </c>
      <c r="K149" t="str">
        <v>GR</v>
      </c>
      <c r="L149" t="str">
        <v>Virden Valey</v>
      </c>
      <c r="M149" t="str">
        <v>VV</v>
      </c>
      <c r="N149" t="str">
        <v>Sunset Canal</v>
      </c>
      <c r="O149" t="str">
        <v>WSG</v>
      </c>
      <c r="P149" t="str">
        <v>Winter Small Grains</v>
      </c>
      <c r="Q149">
        <v>7.1840601371725699</v>
      </c>
      <c r="R149" t="str">
        <v>1</v>
      </c>
      <c r="S149" t="str">
        <v>Flood irrigated</v>
      </c>
      <c r="T149">
        <v>0</v>
      </c>
      <c r="U149">
        <v>0</v>
      </c>
      <c r="V149" t="str">
        <v>13</v>
      </c>
      <c r="W149">
        <v>0</v>
      </c>
      <c r="X149">
        <v>0</v>
      </c>
      <c r="Y149" t="str">
        <v>T18S</v>
      </c>
      <c r="Z149" t="str">
        <v>R21W</v>
      </c>
      <c r="AA149" t="str">
        <v>32</v>
      </c>
      <c r="AB149" t="str">
        <v>HI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774.3649582204506</v>
      </c>
      <c r="AJ149">
        <v>29072.976196813132</v>
      </c>
      <c r="AK149">
        <v>0</v>
      </c>
    </row>
    <row r="150" spans="1:37" x14ac:dyDescent="0.25">
      <c r="A150">
        <v>12</v>
      </c>
      <c r="B150">
        <v>0</v>
      </c>
      <c r="C150" t="str">
        <v>VV</v>
      </c>
      <c r="D150">
        <v>0</v>
      </c>
      <c r="E150" t="str">
        <v>MM</v>
      </c>
      <c r="F150" t="str">
        <v>&lt;Null&gt;</v>
      </c>
      <c r="G150">
        <v>45838</v>
      </c>
      <c r="H150">
        <v>0</v>
      </c>
      <c r="I150" t="str">
        <v>Globe Equity Decree</v>
      </c>
      <c r="J150" t="str">
        <v>Gila River</v>
      </c>
      <c r="K150" t="str">
        <v>GR</v>
      </c>
      <c r="L150" t="str">
        <v>Virden Valey</v>
      </c>
      <c r="M150" t="str">
        <v>VV</v>
      </c>
      <c r="N150" t="str">
        <v>Sunset Canal</v>
      </c>
      <c r="O150" t="str">
        <v>CO</v>
      </c>
      <c r="P150" t="str">
        <v>Cotton</v>
      </c>
      <c r="Q150">
        <v>27.033271731380939</v>
      </c>
      <c r="R150" t="str">
        <v>2</v>
      </c>
      <c r="S150" t="str">
        <v>Sprinkler irrigated</v>
      </c>
      <c r="T150">
        <v>0</v>
      </c>
      <c r="U150">
        <v>0</v>
      </c>
      <c r="V150" t="str">
        <v>2</v>
      </c>
      <c r="W150">
        <v>0</v>
      </c>
      <c r="X150">
        <v>0</v>
      </c>
      <c r="Y150" t="str">
        <v>T19S</v>
      </c>
      <c r="Z150" t="str">
        <v>R20W</v>
      </c>
      <c r="AA150" t="str">
        <v>7</v>
      </c>
      <c r="AB150" t="str">
        <v>HI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1172.5031110864061</v>
      </c>
      <c r="AJ150">
        <v>109400.20692501339</v>
      </c>
      <c r="AK150">
        <v>0</v>
      </c>
    </row>
    <row r="151" spans="1:37" x14ac:dyDescent="0.25">
      <c r="A151">
        <v>193</v>
      </c>
      <c r="B151">
        <v>0</v>
      </c>
      <c r="C151" t="str">
        <v>VV</v>
      </c>
      <c r="D151">
        <v>0</v>
      </c>
      <c r="E151" t="str">
        <v>MM</v>
      </c>
      <c r="F151" t="str">
        <v>&lt;Null&gt;</v>
      </c>
      <c r="G151">
        <v>45838</v>
      </c>
      <c r="H151">
        <v>0</v>
      </c>
      <c r="I151" t="str">
        <v>Globe Equity Decree</v>
      </c>
      <c r="J151" t="str">
        <v>Gila River</v>
      </c>
      <c r="K151" t="str">
        <v>GR</v>
      </c>
      <c r="L151" t="str">
        <v>Virden Valey</v>
      </c>
      <c r="M151" t="str">
        <v>VV</v>
      </c>
      <c r="N151" t="str">
        <v>Sunset Canal</v>
      </c>
      <c r="O151" t="str">
        <v>CO</v>
      </c>
      <c r="P151" t="str">
        <v>Cotton</v>
      </c>
      <c r="Q151">
        <v>31.430590409389911</v>
      </c>
      <c r="R151" t="str">
        <v>2</v>
      </c>
      <c r="S151" t="str">
        <v>Sprinkler irrigated</v>
      </c>
      <c r="T151">
        <v>0</v>
      </c>
      <c r="U151">
        <v>0</v>
      </c>
      <c r="V151" t="str">
        <v>3</v>
      </c>
      <c r="W151">
        <v>0</v>
      </c>
      <c r="X151">
        <v>0</v>
      </c>
      <c r="Y151" t="str">
        <v>T19S</v>
      </c>
      <c r="Z151" t="str">
        <v>R21W</v>
      </c>
      <c r="AA151" t="str">
        <v>13</v>
      </c>
      <c r="AB151" t="str">
        <v>HI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1264.2733062167899</v>
      </c>
      <c r="AJ151">
        <v>127195.5954399364</v>
      </c>
      <c r="AK151">
        <v>0</v>
      </c>
    </row>
    <row r="152" spans="1:37" x14ac:dyDescent="0.25">
      <c r="A152">
        <v>103</v>
      </c>
      <c r="B152">
        <v>0</v>
      </c>
      <c r="C152" t="str">
        <v>VV</v>
      </c>
      <c r="D152">
        <v>0</v>
      </c>
      <c r="E152" t="str">
        <v>MM</v>
      </c>
      <c r="F152" t="str">
        <v>&lt;Null&gt;</v>
      </c>
      <c r="G152">
        <v>45839</v>
      </c>
      <c r="H152">
        <v>0</v>
      </c>
      <c r="I152" t="str">
        <v>Globe Equity Decree</v>
      </c>
      <c r="J152" t="str">
        <v>Gila River</v>
      </c>
      <c r="K152" t="str">
        <v>GR</v>
      </c>
      <c r="L152" t="str">
        <v>Virden Valey</v>
      </c>
      <c r="M152" t="str">
        <v>VV</v>
      </c>
      <c r="N152" t="str">
        <v>Sunset Canal</v>
      </c>
      <c r="O152" t="str">
        <v>HA</v>
      </c>
      <c r="P152" t="str">
        <v>Hay (all other)</v>
      </c>
      <c r="Q152">
        <v>23.85508398272442</v>
      </c>
      <c r="R152" t="str">
        <v>2</v>
      </c>
      <c r="S152" t="str">
        <v>Sprinkler irrigated</v>
      </c>
      <c r="T152">
        <v>0</v>
      </c>
      <c r="U152">
        <v>0</v>
      </c>
      <c r="V152" t="str">
        <v>8</v>
      </c>
      <c r="W152">
        <v>0</v>
      </c>
      <c r="X152">
        <v>0</v>
      </c>
      <c r="Y152">
        <v>0</v>
      </c>
      <c r="Z152">
        <v>0</v>
      </c>
      <c r="AA152">
        <v>0</v>
      </c>
      <c r="AB152" t="str">
        <v>HI</v>
      </c>
      <c r="AC152" t="str">
        <v>76 Slash Cattle, LLC  c/o Jim W. Haught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1400.539669045548</v>
      </c>
      <c r="AJ152">
        <v>96538.485975937438</v>
      </c>
      <c r="AK152">
        <v>0</v>
      </c>
    </row>
    <row r="153" spans="1:37" x14ac:dyDescent="0.25">
      <c r="A153">
        <v>190</v>
      </c>
      <c r="B153">
        <v>0</v>
      </c>
      <c r="C153" t="str">
        <v>VV</v>
      </c>
      <c r="D153">
        <v>0</v>
      </c>
      <c r="E153" t="str">
        <v>MM</v>
      </c>
      <c r="F153" t="str">
        <v>&lt;Null&gt;</v>
      </c>
      <c r="G153">
        <v>45839</v>
      </c>
      <c r="H153">
        <v>0</v>
      </c>
      <c r="I153" t="str">
        <v>Globe Equity Decree</v>
      </c>
      <c r="J153" t="str">
        <v>Gila River</v>
      </c>
      <c r="K153" t="str">
        <v>GR</v>
      </c>
      <c r="L153" t="str">
        <v>Virden Valey</v>
      </c>
      <c r="M153" t="str">
        <v>VV</v>
      </c>
      <c r="N153" t="str">
        <v>Sunset Canal</v>
      </c>
      <c r="O153" t="str">
        <v>HA</v>
      </c>
      <c r="P153" t="str">
        <v>Hay (all other)</v>
      </c>
      <c r="Q153">
        <v>31.209126942948711</v>
      </c>
      <c r="R153" t="str">
        <v>2</v>
      </c>
      <c r="S153" t="str">
        <v>Sprinkler irrigated</v>
      </c>
      <c r="T153">
        <v>0</v>
      </c>
      <c r="U153">
        <v>0</v>
      </c>
      <c r="V153" t="str">
        <v>8</v>
      </c>
      <c r="W153">
        <v>0</v>
      </c>
      <c r="X153">
        <v>0</v>
      </c>
      <c r="Y153" t="str">
        <v>T19S</v>
      </c>
      <c r="Z153" t="str">
        <v>R21W</v>
      </c>
      <c r="AA153" t="str">
        <v>3</v>
      </c>
      <c r="AB153" t="str">
        <v>HI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1259.811326638564</v>
      </c>
      <c r="AJ153">
        <v>126299.3610035077</v>
      </c>
      <c r="AK153">
        <v>0</v>
      </c>
    </row>
    <row r="154" spans="1:37" x14ac:dyDescent="0.25">
      <c r="A154">
        <v>120</v>
      </c>
      <c r="B154">
        <v>0</v>
      </c>
      <c r="C154" t="str">
        <v>VV</v>
      </c>
      <c r="D154">
        <v>0</v>
      </c>
      <c r="E154" t="str">
        <v>MM</v>
      </c>
      <c r="F154" t="str">
        <v>&lt;Null&gt;</v>
      </c>
      <c r="G154">
        <v>45839</v>
      </c>
      <c r="H154">
        <v>0</v>
      </c>
      <c r="I154" t="str">
        <v>Globe Equity Decree</v>
      </c>
      <c r="J154" t="str">
        <v>Gila River</v>
      </c>
      <c r="K154" t="str">
        <v>GR</v>
      </c>
      <c r="L154" t="str">
        <v>Virden Valey</v>
      </c>
      <c r="M154" t="str">
        <v>VV</v>
      </c>
      <c r="N154" t="str">
        <v>Sunset Canal</v>
      </c>
      <c r="O154" t="str">
        <v>PIC</v>
      </c>
      <c r="P154" t="str">
        <v>Pasture (Improved/Planted, Cool Grass)</v>
      </c>
      <c r="Q154">
        <v>29.774464652388289</v>
      </c>
      <c r="R154" t="str">
        <v>2</v>
      </c>
      <c r="S154" t="str">
        <v>Sprinkler irrigated</v>
      </c>
      <c r="T154">
        <v>0</v>
      </c>
      <c r="U154">
        <v>0</v>
      </c>
      <c r="V154" t="str">
        <v>10</v>
      </c>
      <c r="W154">
        <v>0</v>
      </c>
      <c r="X154">
        <v>0</v>
      </c>
      <c r="Y154" t="str">
        <v>T19S</v>
      </c>
      <c r="Z154" t="str">
        <v>R21W</v>
      </c>
      <c r="AA154" t="str">
        <v>4</v>
      </c>
      <c r="AB154" t="str">
        <v>HI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1273.6218690890701</v>
      </c>
      <c r="AJ154">
        <v>120493.4654754192</v>
      </c>
      <c r="AK154">
        <v>0</v>
      </c>
    </row>
    <row r="155" spans="1:37" x14ac:dyDescent="0.25">
      <c r="A155">
        <v>121</v>
      </c>
      <c r="B155">
        <v>0</v>
      </c>
      <c r="C155" t="str">
        <v>VV</v>
      </c>
      <c r="D155">
        <v>0</v>
      </c>
      <c r="E155" t="str">
        <v>MM</v>
      </c>
      <c r="F155" t="str">
        <v>&lt;Null&gt;</v>
      </c>
      <c r="G155">
        <v>45839</v>
      </c>
      <c r="H155">
        <v>0</v>
      </c>
      <c r="I155" t="str">
        <v>Globe Equity Decree</v>
      </c>
      <c r="J155" t="str">
        <v>Gila River</v>
      </c>
      <c r="K155" t="str">
        <v>GR</v>
      </c>
      <c r="L155" t="str">
        <v>Virden Valey</v>
      </c>
      <c r="M155" t="str">
        <v>VV</v>
      </c>
      <c r="N155" t="str">
        <v>Sunset Canal</v>
      </c>
      <c r="O155" t="str">
        <v>PIC</v>
      </c>
      <c r="P155" t="str">
        <v>Pasture (Improved/Planted, Cool Grass)</v>
      </c>
      <c r="Q155">
        <v>1.58729877475563</v>
      </c>
      <c r="R155" t="str">
        <v>2</v>
      </c>
      <c r="S155" t="str">
        <v>Sprinkler irrigated</v>
      </c>
      <c r="T155">
        <v>0</v>
      </c>
      <c r="U155">
        <v>0</v>
      </c>
      <c r="V155" t="str">
        <v>10</v>
      </c>
      <c r="W155">
        <v>0</v>
      </c>
      <c r="X155">
        <v>0</v>
      </c>
      <c r="Y155" t="str">
        <v>T19S</v>
      </c>
      <c r="Z155" t="str">
        <v>R21W</v>
      </c>
      <c r="AA155" t="str">
        <v>4</v>
      </c>
      <c r="AB155" t="str">
        <v>HI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404.49731822828778</v>
      </c>
      <c r="AJ155">
        <v>6423.5959352455166</v>
      </c>
      <c r="AK155">
        <v>0</v>
      </c>
    </row>
    <row r="156" spans="1:37" x14ac:dyDescent="0.25">
      <c r="A156">
        <v>131</v>
      </c>
      <c r="B156">
        <v>0</v>
      </c>
      <c r="C156" t="str">
        <v>VV</v>
      </c>
      <c r="D156">
        <v>0</v>
      </c>
      <c r="E156" t="str">
        <v>MM</v>
      </c>
      <c r="F156" t="str">
        <v>&lt;Null&gt;</v>
      </c>
      <c r="G156">
        <v>45839</v>
      </c>
      <c r="H156">
        <v>0</v>
      </c>
      <c r="I156" t="str">
        <v>Globe Equity Decree</v>
      </c>
      <c r="J156" t="str">
        <v>Gila River</v>
      </c>
      <c r="K156" t="str">
        <v>GR</v>
      </c>
      <c r="L156" t="str">
        <v>Virden Valey</v>
      </c>
      <c r="M156" t="str">
        <v>VV</v>
      </c>
      <c r="N156" t="str">
        <v>Sunset Canal</v>
      </c>
      <c r="O156" t="str">
        <v>PIW</v>
      </c>
      <c r="P156" t="str">
        <v>Pasture (improved/Planted, Warm Grass)</v>
      </c>
      <c r="Q156">
        <v>40.726142141352867</v>
      </c>
      <c r="R156" t="str">
        <v>2</v>
      </c>
      <c r="S156" t="str">
        <v>Sprinkler irrigated</v>
      </c>
      <c r="T156">
        <v>0</v>
      </c>
      <c r="U156">
        <v>0</v>
      </c>
      <c r="V156" t="str">
        <v>11</v>
      </c>
      <c r="W156">
        <v>0</v>
      </c>
      <c r="X156">
        <v>0</v>
      </c>
      <c r="Y156" t="str">
        <v>T18S</v>
      </c>
      <c r="Z156" t="str">
        <v>R21W</v>
      </c>
      <c r="AA156" t="str">
        <v>33</v>
      </c>
      <c r="AB156" t="str">
        <v>HI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1603.170768593264</v>
      </c>
      <c r="AJ156">
        <v>164813.5091376864</v>
      </c>
      <c r="AK156">
        <v>0</v>
      </c>
    </row>
    <row r="157" spans="1:37" x14ac:dyDescent="0.25">
      <c r="A157">
        <v>312</v>
      </c>
      <c r="B157">
        <v>0</v>
      </c>
      <c r="C157" t="str">
        <v>VV</v>
      </c>
      <c r="D157">
        <v>0</v>
      </c>
      <c r="E157" t="str">
        <v>MM</v>
      </c>
      <c r="F157" t="str">
        <v>&lt;Null&gt;</v>
      </c>
      <c r="G157">
        <v>45839</v>
      </c>
      <c r="H157">
        <v>0</v>
      </c>
      <c r="I157" t="str">
        <v>Globe Equity Decree</v>
      </c>
      <c r="J157" t="str">
        <v>Gila River</v>
      </c>
      <c r="K157" t="str">
        <v>GR</v>
      </c>
      <c r="L157" t="str">
        <v>Virden Valey</v>
      </c>
      <c r="M157" t="str">
        <v>VV</v>
      </c>
      <c r="N157" t="str">
        <v>New Modell</v>
      </c>
      <c r="O157" t="str">
        <v>PIW</v>
      </c>
      <c r="P157" t="str">
        <v>Pasture (improved/Planted, Warm Grass)</v>
      </c>
      <c r="Q157">
        <v>0.41898055395124451</v>
      </c>
      <c r="R157" t="str">
        <v>2</v>
      </c>
      <c r="S157" t="str">
        <v>Sprinkler irrigated</v>
      </c>
      <c r="T157">
        <v>0</v>
      </c>
      <c r="U157">
        <v>0</v>
      </c>
      <c r="V157" t="str">
        <v>10</v>
      </c>
      <c r="W157">
        <v>0</v>
      </c>
      <c r="X157">
        <v>0</v>
      </c>
      <c r="Y157" t="str">
        <v>T19S</v>
      </c>
      <c r="Z157" t="str">
        <v>R21W</v>
      </c>
      <c r="AA157" t="str">
        <v>4</v>
      </c>
      <c r="AB157" t="str">
        <v>HI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183.55095582551581</v>
      </c>
      <c r="AJ157">
        <v>1695.5609278552331</v>
      </c>
      <c r="AK157">
        <v>0</v>
      </c>
    </row>
    <row r="158" spans="1:37" x14ac:dyDescent="0.25">
      <c r="A158">
        <v>277</v>
      </c>
      <c r="B158">
        <v>0</v>
      </c>
      <c r="C158" t="str">
        <v>VV</v>
      </c>
      <c r="D158">
        <v>0</v>
      </c>
      <c r="E158" t="str">
        <v>MM</v>
      </c>
      <c r="F158" t="str">
        <v>&lt;Null&gt;</v>
      </c>
      <c r="G158">
        <v>45839</v>
      </c>
      <c r="H158">
        <v>0</v>
      </c>
      <c r="I158" t="str">
        <v>Globe Equity Decree</v>
      </c>
      <c r="J158" t="str">
        <v>Gila River</v>
      </c>
      <c r="K158" t="str">
        <v>GR</v>
      </c>
      <c r="L158" t="str">
        <v>Virden Valey</v>
      </c>
      <c r="M158" t="str">
        <v>VV</v>
      </c>
      <c r="N158" t="str">
        <v>Sunset Canal</v>
      </c>
      <c r="O158" t="str">
        <v>PN</v>
      </c>
      <c r="P158" t="str">
        <v>Pasture (Native)</v>
      </c>
      <c r="Q158">
        <v>0.45820376277540759</v>
      </c>
      <c r="R158" t="str">
        <v>2</v>
      </c>
      <c r="S158" t="str">
        <v>Sprinkler irrigated</v>
      </c>
      <c r="T158">
        <v>0</v>
      </c>
      <c r="U158">
        <v>0</v>
      </c>
      <c r="V158" t="str">
        <v>11</v>
      </c>
      <c r="W158">
        <v>0</v>
      </c>
      <c r="X158">
        <v>0</v>
      </c>
      <c r="Y158" t="str">
        <v>T18S</v>
      </c>
      <c r="Z158" t="str">
        <v>R21W</v>
      </c>
      <c r="AA158" t="str">
        <v>33</v>
      </c>
      <c r="AB158" t="str">
        <v>HI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181.09207381512371</v>
      </c>
      <c r="AJ158">
        <v>1854.2922573171161</v>
      </c>
      <c r="AK158">
        <v>0</v>
      </c>
    </row>
    <row r="159" spans="1:37" x14ac:dyDescent="0.25">
      <c r="A159">
        <v>278</v>
      </c>
      <c r="B159">
        <v>0</v>
      </c>
      <c r="C159" t="str">
        <v>VV</v>
      </c>
      <c r="D159">
        <v>0</v>
      </c>
      <c r="E159" t="str">
        <v>MM</v>
      </c>
      <c r="F159" t="str">
        <v>&lt;Null&gt;</v>
      </c>
      <c r="G159">
        <v>45839</v>
      </c>
      <c r="H159">
        <v>0</v>
      </c>
      <c r="I159" t="str">
        <v>Globe Equity Decree</v>
      </c>
      <c r="J159" t="str">
        <v>Gila River</v>
      </c>
      <c r="K159" t="str">
        <v>GR</v>
      </c>
      <c r="L159" t="str">
        <v>Virden Valey</v>
      </c>
      <c r="M159" t="str">
        <v>VV</v>
      </c>
      <c r="N159" t="str">
        <v>Sunset Canal</v>
      </c>
      <c r="O159" t="str">
        <v>PN</v>
      </c>
      <c r="P159" t="str">
        <v>Pasture (Native)</v>
      </c>
      <c r="Q159">
        <v>2.5753744732718169</v>
      </c>
      <c r="R159" t="str">
        <v>2</v>
      </c>
      <c r="S159" t="str">
        <v>Sprinkler irrigated</v>
      </c>
      <c r="T159">
        <v>0</v>
      </c>
      <c r="U159">
        <v>0</v>
      </c>
      <c r="V159" t="str">
        <v>11</v>
      </c>
      <c r="W159">
        <v>0</v>
      </c>
      <c r="X159">
        <v>0</v>
      </c>
      <c r="Y159" t="str">
        <v>T18S</v>
      </c>
      <c r="Z159" t="str">
        <v>R21W</v>
      </c>
      <c r="AA159" t="str">
        <v>33</v>
      </c>
      <c r="AB159" t="str">
        <v>HI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447.5781678170336</v>
      </c>
      <c r="AJ159">
        <v>10422.212416053049</v>
      </c>
      <c r="AK159">
        <v>0</v>
      </c>
    </row>
    <row r="160" spans="1:37" x14ac:dyDescent="0.25">
      <c r="A160">
        <v>279</v>
      </c>
      <c r="B160">
        <v>0</v>
      </c>
      <c r="C160" t="str">
        <v>VV</v>
      </c>
      <c r="D160">
        <v>0</v>
      </c>
      <c r="E160" t="str">
        <v>MM</v>
      </c>
      <c r="F160" t="str">
        <v>&lt;Null&gt;</v>
      </c>
      <c r="G160">
        <v>45839</v>
      </c>
      <c r="H160">
        <v>0</v>
      </c>
      <c r="I160" t="str">
        <v>Globe Equity Decree</v>
      </c>
      <c r="J160" t="str">
        <v>Gila River</v>
      </c>
      <c r="K160" t="str">
        <v>GR</v>
      </c>
      <c r="L160" t="str">
        <v>Virden Valey</v>
      </c>
      <c r="M160" t="str">
        <v>VV</v>
      </c>
      <c r="N160" t="str">
        <v>Sunset Canal</v>
      </c>
      <c r="O160" t="str">
        <v>PN</v>
      </c>
      <c r="P160" t="str">
        <v>Pasture (Native)</v>
      </c>
      <c r="Q160">
        <v>0.51421741169694757</v>
      </c>
      <c r="R160" t="str">
        <v>2</v>
      </c>
      <c r="S160" t="str">
        <v>Sprinkler irrigated</v>
      </c>
      <c r="T160">
        <v>0</v>
      </c>
      <c r="U160">
        <v>0</v>
      </c>
      <c r="V160" t="str">
        <v>11</v>
      </c>
      <c r="W160">
        <v>0</v>
      </c>
      <c r="X160">
        <v>0</v>
      </c>
      <c r="Y160" t="str">
        <v>T18S</v>
      </c>
      <c r="Z160" t="str">
        <v>R21W</v>
      </c>
      <c r="AA160" t="str">
        <v>33</v>
      </c>
      <c r="AB160" t="str">
        <v>HI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217.82892742724351</v>
      </c>
      <c r="AJ160">
        <v>2080.9723589168088</v>
      </c>
      <c r="AK160">
        <v>0</v>
      </c>
    </row>
    <row r="161" spans="1:37" x14ac:dyDescent="0.25">
      <c r="A161">
        <v>112</v>
      </c>
      <c r="B161">
        <v>0</v>
      </c>
      <c r="C161" t="str">
        <v>VV</v>
      </c>
      <c r="D161">
        <v>0</v>
      </c>
      <c r="E161" t="str">
        <v>MM</v>
      </c>
      <c r="F161" t="str">
        <v>&lt;Null&gt;</v>
      </c>
      <c r="G161">
        <v>45839</v>
      </c>
      <c r="H161">
        <v>0</v>
      </c>
      <c r="I161" t="str">
        <v>Globe Equity Decree</v>
      </c>
      <c r="J161" t="str">
        <v>Gila River</v>
      </c>
      <c r="K161" t="str">
        <v>GR</v>
      </c>
      <c r="L161" t="str">
        <v>Virden Valey</v>
      </c>
      <c r="M161" t="str">
        <v>VV</v>
      </c>
      <c r="N161" t="str">
        <v>Sunset Canal</v>
      </c>
      <c r="O161" t="str">
        <v>PEI</v>
      </c>
      <c r="P161" t="str">
        <v>Pecans ISC</v>
      </c>
      <c r="Q161">
        <v>5.3680295731284229</v>
      </c>
      <c r="R161" t="str">
        <v>2</v>
      </c>
      <c r="S161" t="str">
        <v>Sprinkler irrigated</v>
      </c>
      <c r="T161">
        <v>0</v>
      </c>
      <c r="U161">
        <v>0</v>
      </c>
      <c r="V161" t="str">
        <v>8</v>
      </c>
      <c r="W161">
        <v>0</v>
      </c>
      <c r="X161">
        <v>0</v>
      </c>
      <c r="Y161">
        <v>0</v>
      </c>
      <c r="Z161">
        <v>0</v>
      </c>
      <c r="AA161">
        <v>0</v>
      </c>
      <c r="AB161" t="str">
        <v>HI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1006.268308230613</v>
      </c>
      <c r="AJ161">
        <v>21723.731848488391</v>
      </c>
      <c r="AK161">
        <v>0</v>
      </c>
    </row>
    <row r="162" spans="1:37" x14ac:dyDescent="0.25">
      <c r="A162">
        <v>63</v>
      </c>
      <c r="B162" t="str">
        <v>VV-00315</v>
      </c>
      <c r="C162" t="str">
        <v>VV</v>
      </c>
      <c r="D162">
        <v>0</v>
      </c>
      <c r="E162" t="str">
        <v>MM</v>
      </c>
      <c r="F162" t="str">
        <v>&lt;Null&gt;</v>
      </c>
      <c r="G162">
        <v>45839</v>
      </c>
      <c r="H162">
        <v>0</v>
      </c>
      <c r="I162" t="str">
        <v>Globe Equity Decree</v>
      </c>
      <c r="J162" t="str">
        <v>Gila River</v>
      </c>
      <c r="K162" t="str">
        <v>GR</v>
      </c>
      <c r="L162" t="str">
        <v>Virden Valley</v>
      </c>
      <c r="M162" t="str">
        <v>VV</v>
      </c>
      <c r="N162" t="str">
        <v>Sunset Ditch</v>
      </c>
      <c r="O162" t="str">
        <v>TW</v>
      </c>
      <c r="P162" t="str">
        <v>Turfgrass (Warm Season)</v>
      </c>
      <c r="Q162">
        <v>1.134957007208292</v>
      </c>
      <c r="R162" t="str">
        <v>2</v>
      </c>
      <c r="S162" t="str">
        <v>Sprinkler irrigated</v>
      </c>
      <c r="T162">
        <v>0</v>
      </c>
      <c r="U162">
        <v>0</v>
      </c>
      <c r="V162" t="str">
        <v>8</v>
      </c>
      <c r="W162">
        <v>0</v>
      </c>
      <c r="X162">
        <v>0</v>
      </c>
      <c r="Y162">
        <v>0</v>
      </c>
      <c r="Z162">
        <v>0</v>
      </c>
      <c r="AA162">
        <v>0</v>
      </c>
      <c r="AB162" t="str">
        <v>HI</v>
      </c>
      <c r="AC162">
        <v>0</v>
      </c>
      <c r="AD162" t="str">
        <v>1900</v>
      </c>
      <c r="AE162">
        <v>0</v>
      </c>
      <c r="AF162">
        <v>0</v>
      </c>
      <c r="AG162">
        <v>0</v>
      </c>
      <c r="AH162">
        <v>0</v>
      </c>
      <c r="AI162">
        <v>272.41073259150198</v>
      </c>
      <c r="AJ162">
        <v>4593.0264258560919</v>
      </c>
      <c r="AK162">
        <v>0</v>
      </c>
    </row>
    <row r="163" spans="1:37" x14ac:dyDescent="0.25">
      <c r="A163">
        <v>77</v>
      </c>
      <c r="B163" t="str">
        <v>VV-00321</v>
      </c>
      <c r="C163" t="str">
        <v>VV</v>
      </c>
      <c r="D163">
        <v>0</v>
      </c>
      <c r="E163" t="str">
        <v>MM</v>
      </c>
      <c r="F163" t="str">
        <v>&lt;Null&gt;</v>
      </c>
      <c r="G163">
        <v>45839</v>
      </c>
      <c r="H163">
        <v>0</v>
      </c>
      <c r="I163" t="str">
        <v>Globe Equity Decree</v>
      </c>
      <c r="J163" t="str">
        <v>Gila River</v>
      </c>
      <c r="K163" t="str">
        <v>GR</v>
      </c>
      <c r="L163" t="str">
        <v>Virden Valley</v>
      </c>
      <c r="M163" t="str">
        <v>VV</v>
      </c>
      <c r="N163" t="str">
        <v>Sunset Ditch</v>
      </c>
      <c r="O163" t="str">
        <v>TW</v>
      </c>
      <c r="P163" t="str">
        <v>Turfgrass (Warm Season)</v>
      </c>
      <c r="Q163">
        <v>0.9617906549163191</v>
      </c>
      <c r="R163" t="str">
        <v>2</v>
      </c>
      <c r="S163" t="str">
        <v>Sprinkler irrigated</v>
      </c>
      <c r="T163">
        <v>0</v>
      </c>
      <c r="U163">
        <v>0</v>
      </c>
      <c r="V163" t="str">
        <v>8</v>
      </c>
      <c r="W163">
        <v>0</v>
      </c>
      <c r="X163">
        <v>0</v>
      </c>
      <c r="Y163">
        <v>0</v>
      </c>
      <c r="Z163">
        <v>0</v>
      </c>
      <c r="AA163">
        <v>0</v>
      </c>
      <c r="AB163" t="str">
        <v>HI</v>
      </c>
      <c r="AC163">
        <v>0</v>
      </c>
      <c r="AD163" t="str">
        <v>1900</v>
      </c>
      <c r="AE163">
        <v>0</v>
      </c>
      <c r="AF163">
        <v>0</v>
      </c>
      <c r="AG163">
        <v>0</v>
      </c>
      <c r="AH163">
        <v>0</v>
      </c>
      <c r="AI163">
        <v>252.07328176366039</v>
      </c>
      <c r="AJ163">
        <v>3892.2442578138698</v>
      </c>
      <c r="AK163">
        <v>0</v>
      </c>
    </row>
    <row r="164" spans="1:37" x14ac:dyDescent="0.25">
      <c r="A164">
        <v>111</v>
      </c>
      <c r="B164">
        <v>0</v>
      </c>
      <c r="C164" t="str">
        <v>VV</v>
      </c>
      <c r="D164">
        <v>0</v>
      </c>
      <c r="E164" t="str">
        <v>MM</v>
      </c>
      <c r="F164" t="str">
        <v>&lt;Null&gt;</v>
      </c>
      <c r="G164">
        <v>45839</v>
      </c>
      <c r="H164">
        <v>0</v>
      </c>
      <c r="I164" t="str">
        <v>Globe Equity Decree</v>
      </c>
      <c r="J164" t="str">
        <v>Gila River</v>
      </c>
      <c r="K164" t="str">
        <v>GR</v>
      </c>
      <c r="L164" t="str">
        <v>Virden Valey</v>
      </c>
      <c r="M164" t="str">
        <v>VV</v>
      </c>
      <c r="N164" t="str">
        <v>Sunset Canal</v>
      </c>
      <c r="O164" t="str">
        <v>TW</v>
      </c>
      <c r="P164" t="str">
        <v>Turfgrass (Warm Season)</v>
      </c>
      <c r="Q164">
        <v>0.41413377762584502</v>
      </c>
      <c r="R164" t="str">
        <v>2</v>
      </c>
      <c r="S164" t="str">
        <v>Sprinkler irrigated</v>
      </c>
      <c r="T164">
        <v>0</v>
      </c>
      <c r="U164">
        <v>0</v>
      </c>
      <c r="V164" t="str">
        <v>8</v>
      </c>
      <c r="W164">
        <v>0</v>
      </c>
      <c r="X164">
        <v>0</v>
      </c>
      <c r="Y164">
        <v>0</v>
      </c>
      <c r="Z164">
        <v>0</v>
      </c>
      <c r="AA164">
        <v>0</v>
      </c>
      <c r="AB164" t="str">
        <v>HI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283.28127375202951</v>
      </c>
      <c r="AJ164">
        <v>1675.946641497786</v>
      </c>
      <c r="AK164">
        <v>0</v>
      </c>
    </row>
    <row r="165" spans="1:37" x14ac:dyDescent="0.25">
      <c r="A165">
        <v>155</v>
      </c>
      <c r="B165">
        <v>0</v>
      </c>
      <c r="C165" t="str">
        <v>VV</v>
      </c>
      <c r="D165">
        <v>0</v>
      </c>
      <c r="E165" t="str">
        <v>MM</v>
      </c>
      <c r="F165" t="str">
        <v>&lt;Null&gt;</v>
      </c>
      <c r="G165">
        <v>45838</v>
      </c>
      <c r="H165">
        <v>0</v>
      </c>
      <c r="I165" t="str">
        <v>Arizona v California</v>
      </c>
      <c r="J165" t="str">
        <v>Gila River</v>
      </c>
      <c r="K165" t="str">
        <v>GR</v>
      </c>
      <c r="L165" t="str">
        <v>Virden Valey</v>
      </c>
      <c r="M165" t="str">
        <v>VV</v>
      </c>
      <c r="N165">
        <v>0</v>
      </c>
      <c r="O165" t="str">
        <v>TW</v>
      </c>
      <c r="P165" t="str">
        <v>Turfgrass (Warm Season)</v>
      </c>
      <c r="Q165">
        <v>0.50435544877690319</v>
      </c>
      <c r="R165" t="str">
        <v>2</v>
      </c>
      <c r="S165" t="str">
        <v>Sprinkler irrigated</v>
      </c>
      <c r="T165" t="str">
        <v xml:space="preserve"> </v>
      </c>
      <c r="U165">
        <v>0</v>
      </c>
      <c r="V165" t="str">
        <v>1</v>
      </c>
      <c r="W165">
        <v>0</v>
      </c>
      <c r="X165">
        <v>0</v>
      </c>
      <c r="Y165" t="str">
        <v>T19S</v>
      </c>
      <c r="Z165" t="str">
        <v>R20W</v>
      </c>
      <c r="AA165" t="str">
        <v>18</v>
      </c>
      <c r="AB165" t="str">
        <v>HI</v>
      </c>
      <c r="AC165">
        <v>0</v>
      </c>
      <c r="AD165" t="str">
        <v xml:space="preserve"> </v>
      </c>
      <c r="AE165">
        <v>0</v>
      </c>
      <c r="AF165">
        <v>0</v>
      </c>
      <c r="AG165">
        <v>0</v>
      </c>
      <c r="AH165">
        <v>0</v>
      </c>
      <c r="AI165">
        <v>195.9310576129588</v>
      </c>
      <c r="AJ165">
        <v>2041.0622512960861</v>
      </c>
      <c r="AK165">
        <v>0</v>
      </c>
    </row>
    <row r="166" spans="1:37" x14ac:dyDescent="0.25">
      <c r="A166">
        <v>156</v>
      </c>
      <c r="B166">
        <v>0</v>
      </c>
      <c r="C166" t="str">
        <v>VV</v>
      </c>
      <c r="D166">
        <v>0</v>
      </c>
      <c r="E166" t="str">
        <v>MM</v>
      </c>
      <c r="F166" t="str">
        <v>&lt;Null&gt;</v>
      </c>
      <c r="G166">
        <v>45838</v>
      </c>
      <c r="H166">
        <v>0</v>
      </c>
      <c r="I166" t="str">
        <v>Arizona v California</v>
      </c>
      <c r="J166" t="str">
        <v>Gila River</v>
      </c>
      <c r="K166" t="str">
        <v>GR</v>
      </c>
      <c r="L166" t="str">
        <v>Virden Valey</v>
      </c>
      <c r="M166" t="str">
        <v>VV</v>
      </c>
      <c r="N166">
        <v>0</v>
      </c>
      <c r="O166" t="str">
        <v>TW</v>
      </c>
      <c r="P166" t="str">
        <v>Turfgrass (Warm Season)</v>
      </c>
      <c r="Q166">
        <v>2.323003341774768</v>
      </c>
      <c r="R166" t="str">
        <v>2</v>
      </c>
      <c r="S166" t="str">
        <v>Sprinkler irrigated</v>
      </c>
      <c r="T166" t="str">
        <v xml:space="preserve"> </v>
      </c>
      <c r="U166">
        <v>0</v>
      </c>
      <c r="V166" t="str">
        <v>1</v>
      </c>
      <c r="W166">
        <v>0</v>
      </c>
      <c r="X166">
        <v>0</v>
      </c>
      <c r="Y166" t="str">
        <v>T19S</v>
      </c>
      <c r="Z166" t="str">
        <v>R20W</v>
      </c>
      <c r="AA166" t="str">
        <v>18</v>
      </c>
      <c r="AB166" t="str">
        <v>HI</v>
      </c>
      <c r="AC166">
        <v>0</v>
      </c>
      <c r="AD166" t="str">
        <v xml:space="preserve"> </v>
      </c>
      <c r="AE166">
        <v>0</v>
      </c>
      <c r="AF166">
        <v>0</v>
      </c>
      <c r="AG166">
        <v>0</v>
      </c>
      <c r="AH166">
        <v>0</v>
      </c>
      <c r="AI166">
        <v>390.45653803706369</v>
      </c>
      <c r="AJ166">
        <v>9400.8985964746626</v>
      </c>
      <c r="AK166">
        <v>0</v>
      </c>
    </row>
    <row r="167" spans="1:37" x14ac:dyDescent="0.25">
      <c r="A167">
        <v>158</v>
      </c>
      <c r="B167">
        <v>0</v>
      </c>
      <c r="C167" t="str">
        <v>VV</v>
      </c>
      <c r="D167">
        <v>0</v>
      </c>
      <c r="E167" t="str">
        <v>MM</v>
      </c>
      <c r="F167" t="str">
        <v>&lt;Null&gt;</v>
      </c>
      <c r="G167">
        <v>45838</v>
      </c>
      <c r="H167">
        <v>0</v>
      </c>
      <c r="I167" t="str">
        <v>Arizona v California</v>
      </c>
      <c r="J167" t="str">
        <v>Gila River</v>
      </c>
      <c r="K167" t="str">
        <v>GR</v>
      </c>
      <c r="L167" t="str">
        <v>Virden Valey</v>
      </c>
      <c r="M167" t="str">
        <v>VV</v>
      </c>
      <c r="N167">
        <v>0</v>
      </c>
      <c r="O167" t="str">
        <v>TW</v>
      </c>
      <c r="P167" t="str">
        <v>Turfgrass (Warm Season)</v>
      </c>
      <c r="Q167">
        <v>2.1488305749406269</v>
      </c>
      <c r="R167" t="str">
        <v>2</v>
      </c>
      <c r="S167" t="str">
        <v>Sprinkler irrigated</v>
      </c>
      <c r="T167" t="str">
        <v xml:space="preserve"> </v>
      </c>
      <c r="U167">
        <v>0</v>
      </c>
      <c r="V167" t="str">
        <v>1</v>
      </c>
      <c r="W167">
        <v>0</v>
      </c>
      <c r="X167">
        <v>0</v>
      </c>
      <c r="Y167" t="str">
        <v>T19S</v>
      </c>
      <c r="Z167" t="str">
        <v>R20W</v>
      </c>
      <c r="AA167" t="str">
        <v>18</v>
      </c>
      <c r="AB167" t="str">
        <v>HI</v>
      </c>
      <c r="AC167">
        <v>0</v>
      </c>
      <c r="AD167" t="str">
        <v xml:space="preserve"> </v>
      </c>
      <c r="AE167">
        <v>0</v>
      </c>
      <c r="AF167">
        <v>0</v>
      </c>
      <c r="AG167">
        <v>0</v>
      </c>
      <c r="AH167">
        <v>0</v>
      </c>
      <c r="AI167">
        <v>629.71499243305084</v>
      </c>
      <c r="AJ167">
        <v>8696.0435969875634</v>
      </c>
      <c r="AK167">
        <v>0</v>
      </c>
    </row>
    <row r="168" spans="1:37" x14ac:dyDescent="0.25">
      <c r="A168">
        <v>28</v>
      </c>
      <c r="B168">
        <v>0</v>
      </c>
      <c r="C168" t="str">
        <v>VV</v>
      </c>
      <c r="D168">
        <v>0</v>
      </c>
      <c r="E168" t="str">
        <v>MM</v>
      </c>
      <c r="F168" t="str">
        <v>&lt;Null&gt;</v>
      </c>
      <c r="G168">
        <v>45838</v>
      </c>
      <c r="H168">
        <v>0</v>
      </c>
      <c r="I168" t="str">
        <v>Globe Equity Decree</v>
      </c>
      <c r="J168" t="str">
        <v>Gila River</v>
      </c>
      <c r="K168" t="str">
        <v>GR</v>
      </c>
      <c r="L168" t="str">
        <v>Virden Valey</v>
      </c>
      <c r="M168" t="str">
        <v>VV</v>
      </c>
      <c r="N168" t="str">
        <v>Sunset Canal</v>
      </c>
      <c r="O168" t="str">
        <v>AL</v>
      </c>
      <c r="P168" t="str">
        <v>Alfalfa</v>
      </c>
      <c r="Q168">
        <v>44.869584780678757</v>
      </c>
      <c r="R168" t="str">
        <v>3</v>
      </c>
      <c r="S168" t="str">
        <v>Drip irrigated</v>
      </c>
      <c r="T168">
        <v>0</v>
      </c>
      <c r="U168">
        <v>0</v>
      </c>
      <c r="V168" t="str">
        <v>4</v>
      </c>
      <c r="W168">
        <v>0</v>
      </c>
      <c r="X168">
        <v>0</v>
      </c>
      <c r="Y168">
        <v>0</v>
      </c>
      <c r="Z168">
        <v>0</v>
      </c>
      <c r="AA168">
        <v>0</v>
      </c>
      <c r="AB168" t="str">
        <v>HI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1739.7532728895831</v>
      </c>
      <c r="AJ168">
        <v>181581.49366535939</v>
      </c>
      <c r="AK168">
        <v>0</v>
      </c>
    </row>
    <row r="169" spans="1:37" x14ac:dyDescent="0.25">
      <c r="A169">
        <v>25</v>
      </c>
      <c r="B169">
        <v>0</v>
      </c>
      <c r="C169" t="str">
        <v>VV</v>
      </c>
      <c r="D169">
        <v>0</v>
      </c>
      <c r="E169" t="str">
        <v>MM</v>
      </c>
      <c r="F169" t="str">
        <v>&lt;Null&gt;</v>
      </c>
      <c r="G169">
        <v>45838</v>
      </c>
      <c r="H169">
        <v>0</v>
      </c>
      <c r="I169" t="str">
        <v>Globe Equity Decree</v>
      </c>
      <c r="J169" t="str">
        <v>Gila River</v>
      </c>
      <c r="K169" t="str">
        <v>GR</v>
      </c>
      <c r="L169" t="str">
        <v>Virden Valey</v>
      </c>
      <c r="M169" t="str">
        <v>VV</v>
      </c>
      <c r="N169" t="str">
        <v>Sunset Canal</v>
      </c>
      <c r="O169" t="str">
        <v>CS</v>
      </c>
      <c r="P169" t="str">
        <v>Corn (Silage)</v>
      </c>
      <c r="Q169">
        <v>20.12076194972347</v>
      </c>
      <c r="R169" t="str">
        <v>3</v>
      </c>
      <c r="S169" t="str">
        <v>Drip irrigated</v>
      </c>
      <c r="T169">
        <v>0</v>
      </c>
      <c r="U169">
        <v>0</v>
      </c>
      <c r="V169" t="str">
        <v>4</v>
      </c>
      <c r="W169">
        <v>0</v>
      </c>
      <c r="X169">
        <v>0</v>
      </c>
      <c r="Y169">
        <v>0</v>
      </c>
      <c r="Z169">
        <v>0</v>
      </c>
      <c r="AA169">
        <v>0</v>
      </c>
      <c r="AB169" t="str">
        <v>HI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1201.4619241419091</v>
      </c>
      <c r="AJ169">
        <v>81426.16042413596</v>
      </c>
      <c r="AK169">
        <v>0</v>
      </c>
    </row>
    <row r="170" spans="1:37" x14ac:dyDescent="0.25">
      <c r="A170">
        <v>26</v>
      </c>
      <c r="B170">
        <v>0</v>
      </c>
      <c r="C170" t="str">
        <v>VV</v>
      </c>
      <c r="D170">
        <v>0</v>
      </c>
      <c r="E170" t="str">
        <v>MM</v>
      </c>
      <c r="F170" t="str">
        <v>&lt;Null&gt;</v>
      </c>
      <c r="G170">
        <v>45838</v>
      </c>
      <c r="H170">
        <v>0</v>
      </c>
      <c r="I170" t="str">
        <v>Globe Equity Decree</v>
      </c>
      <c r="J170" t="str">
        <v>Gila River</v>
      </c>
      <c r="K170" t="str">
        <v>GR</v>
      </c>
      <c r="L170" t="str">
        <v>Virden Valey</v>
      </c>
      <c r="M170" t="str">
        <v>VV</v>
      </c>
      <c r="N170" t="str">
        <v>Sunset Canal</v>
      </c>
      <c r="O170" t="str">
        <v>CS</v>
      </c>
      <c r="P170" t="str">
        <v>Corn (Silage)</v>
      </c>
      <c r="Q170">
        <v>31.477048954785289</v>
      </c>
      <c r="R170" t="str">
        <v>3</v>
      </c>
      <c r="S170" t="str">
        <v>Drip irrigated</v>
      </c>
      <c r="T170">
        <v>0</v>
      </c>
      <c r="U170">
        <v>0</v>
      </c>
      <c r="V170" t="str">
        <v>4</v>
      </c>
      <c r="W170">
        <v>0</v>
      </c>
      <c r="X170">
        <v>0</v>
      </c>
      <c r="Y170">
        <v>0</v>
      </c>
      <c r="Z170">
        <v>0</v>
      </c>
      <c r="AA170">
        <v>0</v>
      </c>
      <c r="AB170" t="str">
        <v>HI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1468.232465682662</v>
      </c>
      <c r="AJ170">
        <v>127383.6072547915</v>
      </c>
      <c r="AK170">
        <v>0</v>
      </c>
    </row>
    <row r="171" spans="1:37" x14ac:dyDescent="0.25">
      <c r="A171">
        <v>30</v>
      </c>
      <c r="B171">
        <v>0</v>
      </c>
      <c r="C171" t="str">
        <v>VV</v>
      </c>
      <c r="D171">
        <v>0</v>
      </c>
      <c r="E171" t="str">
        <v>MM</v>
      </c>
      <c r="F171" t="str">
        <v>&lt;Null&gt;</v>
      </c>
      <c r="G171">
        <v>45838</v>
      </c>
      <c r="H171">
        <v>0</v>
      </c>
      <c r="I171" t="str">
        <v>Globe Equity Decree</v>
      </c>
      <c r="J171" t="str">
        <v>Gila River</v>
      </c>
      <c r="K171" t="str">
        <v>GR</v>
      </c>
      <c r="L171" t="str">
        <v>Virden Valey</v>
      </c>
      <c r="M171" t="str">
        <v>VV</v>
      </c>
      <c r="N171" t="str">
        <v>Sunset Canal</v>
      </c>
      <c r="O171" t="str">
        <v>CS</v>
      </c>
      <c r="P171" t="str">
        <v>Corn (Silage)</v>
      </c>
      <c r="Q171">
        <v>44.767297539325703</v>
      </c>
      <c r="R171" t="str">
        <v>3</v>
      </c>
      <c r="S171" t="str">
        <v>Drip irrigated</v>
      </c>
      <c r="T171" t="str">
        <v xml:space="preserve"> </v>
      </c>
      <c r="U171">
        <v>0</v>
      </c>
      <c r="V171" t="str">
        <v>5</v>
      </c>
      <c r="W171">
        <v>0</v>
      </c>
      <c r="X171">
        <v>0</v>
      </c>
      <c r="Y171">
        <v>0</v>
      </c>
      <c r="Z171">
        <v>0</v>
      </c>
      <c r="AA171">
        <v>0</v>
      </c>
      <c r="AB171" t="str">
        <v>HI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1948.8666392964151</v>
      </c>
      <c r="AJ171">
        <v>181167.55022998821</v>
      </c>
      <c r="AK171">
        <v>0</v>
      </c>
    </row>
    <row r="172" spans="1:37" x14ac:dyDescent="0.25">
      <c r="A172">
        <v>32</v>
      </c>
      <c r="B172">
        <v>0</v>
      </c>
      <c r="C172" t="str">
        <v>VV</v>
      </c>
      <c r="D172">
        <v>0</v>
      </c>
      <c r="E172" t="str">
        <v>MM</v>
      </c>
      <c r="F172" t="str">
        <v>&lt;Null&gt;</v>
      </c>
      <c r="G172">
        <v>45838</v>
      </c>
      <c r="H172">
        <v>0</v>
      </c>
      <c r="I172" t="str">
        <v>Globe Equity Decree</v>
      </c>
      <c r="J172" t="str">
        <v>Gila River</v>
      </c>
      <c r="K172" t="str">
        <v>GR</v>
      </c>
      <c r="L172" t="str">
        <v>Virden Valey</v>
      </c>
      <c r="M172" t="str">
        <v>VV</v>
      </c>
      <c r="N172" t="str">
        <v>Sunset Canal</v>
      </c>
      <c r="O172" t="str">
        <v>CS</v>
      </c>
      <c r="P172" t="str">
        <v>Corn (Silage)</v>
      </c>
      <c r="Q172">
        <v>10.82962076480519</v>
      </c>
      <c r="R172" t="str">
        <v>3</v>
      </c>
      <c r="S172" t="str">
        <v>Drip irrigated</v>
      </c>
      <c r="T172">
        <v>0</v>
      </c>
      <c r="U172">
        <v>0</v>
      </c>
      <c r="V172" t="str">
        <v>4</v>
      </c>
      <c r="W172">
        <v>0</v>
      </c>
      <c r="X172">
        <v>0</v>
      </c>
      <c r="Y172">
        <v>0</v>
      </c>
      <c r="Z172">
        <v>0</v>
      </c>
      <c r="AA172">
        <v>0</v>
      </c>
      <c r="AB172" t="str">
        <v>HI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914.02223409757516</v>
      </c>
      <c r="AJ172">
        <v>43826.095648415561</v>
      </c>
      <c r="AK172">
        <v>0</v>
      </c>
    </row>
    <row r="173" spans="1:37" x14ac:dyDescent="0.25">
      <c r="A173">
        <v>33</v>
      </c>
      <c r="B173">
        <v>0</v>
      </c>
      <c r="C173" t="str">
        <v>VV</v>
      </c>
      <c r="D173">
        <v>0</v>
      </c>
      <c r="E173" t="str">
        <v>MM</v>
      </c>
      <c r="F173" t="str">
        <v>&lt;Null&gt;</v>
      </c>
      <c r="G173">
        <v>45838</v>
      </c>
      <c r="H173">
        <v>0</v>
      </c>
      <c r="I173" t="str">
        <v>Globe Equity Decree</v>
      </c>
      <c r="J173" t="str">
        <v>Gila River</v>
      </c>
      <c r="K173" t="str">
        <v>GR</v>
      </c>
      <c r="L173" t="str">
        <v>Virden Valey</v>
      </c>
      <c r="M173" t="str">
        <v>VV</v>
      </c>
      <c r="N173" t="str">
        <v>Sunset Canal</v>
      </c>
      <c r="O173" t="str">
        <v>CS</v>
      </c>
      <c r="P173" t="str">
        <v>Corn (Silage)</v>
      </c>
      <c r="Q173">
        <v>11.26319457881235</v>
      </c>
      <c r="R173" t="str">
        <v>3</v>
      </c>
      <c r="S173" t="str">
        <v>Drip irrigated</v>
      </c>
      <c r="T173">
        <v>0</v>
      </c>
      <c r="U173">
        <v>0</v>
      </c>
      <c r="V173" t="str">
        <v>4</v>
      </c>
      <c r="W173">
        <v>0</v>
      </c>
      <c r="X173">
        <v>0</v>
      </c>
      <c r="Y173">
        <v>0</v>
      </c>
      <c r="Z173">
        <v>0</v>
      </c>
      <c r="AA173">
        <v>0</v>
      </c>
      <c r="AB173" t="str">
        <v>HI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897.91866654142279</v>
      </c>
      <c r="AJ173">
        <v>45580.71364067986</v>
      </c>
      <c r="AK173">
        <v>0</v>
      </c>
    </row>
    <row r="174" spans="1:37" x14ac:dyDescent="0.25">
      <c r="A174">
        <v>34</v>
      </c>
      <c r="B174">
        <v>0</v>
      </c>
      <c r="C174" t="str">
        <v>VV</v>
      </c>
      <c r="D174">
        <v>0</v>
      </c>
      <c r="E174" t="str">
        <v>MM</v>
      </c>
      <c r="F174" t="str">
        <v>&lt;Null&gt;</v>
      </c>
      <c r="G174">
        <v>45838</v>
      </c>
      <c r="H174">
        <v>0</v>
      </c>
      <c r="I174" t="str">
        <v>Globe Equity Decree</v>
      </c>
      <c r="J174" t="str">
        <v>Gila River</v>
      </c>
      <c r="K174" t="str">
        <v>GR</v>
      </c>
      <c r="L174" t="str">
        <v>Virden Valey</v>
      </c>
      <c r="M174" t="str">
        <v>VV</v>
      </c>
      <c r="N174" t="str">
        <v>Sunset Canal</v>
      </c>
      <c r="O174" t="str">
        <v>CS</v>
      </c>
      <c r="P174" t="str">
        <v>Corn (Silage)</v>
      </c>
      <c r="Q174">
        <v>6.9916953152474726</v>
      </c>
      <c r="R174" t="str">
        <v>3</v>
      </c>
      <c r="S174" t="str">
        <v>Drip irrigated</v>
      </c>
      <c r="T174">
        <v>0</v>
      </c>
      <c r="U174">
        <v>0</v>
      </c>
      <c r="V174" t="str">
        <v>5</v>
      </c>
      <c r="W174">
        <v>0</v>
      </c>
      <c r="X174">
        <v>0</v>
      </c>
      <c r="Y174">
        <v>0</v>
      </c>
      <c r="Z174">
        <v>0</v>
      </c>
      <c r="AA174">
        <v>0</v>
      </c>
      <c r="AB174" t="str">
        <v>HI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673.52284914440611</v>
      </c>
      <c r="AJ174">
        <v>28294.50026786112</v>
      </c>
      <c r="AK174">
        <v>0</v>
      </c>
    </row>
    <row r="175" spans="1:37" x14ac:dyDescent="0.25">
      <c r="A175">
        <v>49</v>
      </c>
      <c r="B175">
        <v>0</v>
      </c>
      <c r="C175" t="str">
        <v>VV</v>
      </c>
      <c r="D175">
        <v>0</v>
      </c>
      <c r="E175" t="str">
        <v>MM</v>
      </c>
      <c r="F175" t="str">
        <v>&lt;Null&gt;</v>
      </c>
      <c r="G175">
        <v>45838</v>
      </c>
      <c r="H175">
        <v>0</v>
      </c>
      <c r="I175" t="str">
        <v>Globe Equity Decree</v>
      </c>
      <c r="J175" t="str">
        <v>Gila River</v>
      </c>
      <c r="K175" t="str">
        <v>GR</v>
      </c>
      <c r="L175" t="str">
        <v>Virden Valey</v>
      </c>
      <c r="M175" t="str">
        <v>VV</v>
      </c>
      <c r="N175" t="str">
        <v>Sunset Canal</v>
      </c>
      <c r="O175" t="str">
        <v>CS</v>
      </c>
      <c r="P175" t="str">
        <v>Corn (Silage)</v>
      </c>
      <c r="Q175">
        <v>9.9551776593983323</v>
      </c>
      <c r="R175" t="str">
        <v>3</v>
      </c>
      <c r="S175" t="str">
        <v>Drip irrigated</v>
      </c>
      <c r="T175">
        <v>0</v>
      </c>
      <c r="U175">
        <v>0</v>
      </c>
      <c r="V175" t="str">
        <v>6</v>
      </c>
      <c r="W175">
        <v>0</v>
      </c>
      <c r="X175">
        <v>0</v>
      </c>
      <c r="Y175">
        <v>0</v>
      </c>
      <c r="Z175">
        <v>0</v>
      </c>
      <c r="AA175">
        <v>0</v>
      </c>
      <c r="AB175" t="str">
        <v>HI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837.98756759165849</v>
      </c>
      <c r="AJ175">
        <v>40287.335796251173</v>
      </c>
      <c r="AK175">
        <v>0</v>
      </c>
    </row>
    <row r="176" spans="1:37" x14ac:dyDescent="0.25">
      <c r="A176">
        <v>51</v>
      </c>
      <c r="B176">
        <v>0</v>
      </c>
      <c r="C176" t="str">
        <v>VV</v>
      </c>
      <c r="D176">
        <v>0</v>
      </c>
      <c r="E176" t="str">
        <v>MM</v>
      </c>
      <c r="F176" t="str">
        <v>&lt;Null&gt;</v>
      </c>
      <c r="G176">
        <v>45838</v>
      </c>
      <c r="H176">
        <v>0</v>
      </c>
      <c r="I176" t="str">
        <v>Globe Equity Decree</v>
      </c>
      <c r="J176" t="str">
        <v>Gila River</v>
      </c>
      <c r="K176" t="str">
        <v>GR</v>
      </c>
      <c r="L176" t="str">
        <v>Virden Valey</v>
      </c>
      <c r="M176" t="str">
        <v>VV</v>
      </c>
      <c r="N176" t="str">
        <v>Sunset Canal</v>
      </c>
      <c r="O176" t="str">
        <v>CS</v>
      </c>
      <c r="P176" t="str">
        <v>Corn (Silage)</v>
      </c>
      <c r="Q176">
        <v>18.008544275952861</v>
      </c>
      <c r="R176" t="str">
        <v>3</v>
      </c>
      <c r="S176" t="str">
        <v>Drip irrigated</v>
      </c>
      <c r="T176">
        <v>0</v>
      </c>
      <c r="U176">
        <v>0</v>
      </c>
      <c r="V176" t="str">
        <v>8</v>
      </c>
      <c r="W176">
        <v>0</v>
      </c>
      <c r="X176">
        <v>0</v>
      </c>
      <c r="Y176">
        <v>0</v>
      </c>
      <c r="Z176">
        <v>0</v>
      </c>
      <c r="AA176">
        <v>0</v>
      </c>
      <c r="AB176" t="str">
        <v>HI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1116.420731237615</v>
      </c>
      <c r="AJ176">
        <v>72878.284574061385</v>
      </c>
      <c r="AK176">
        <v>0</v>
      </c>
    </row>
    <row r="177" spans="1:37" x14ac:dyDescent="0.25">
      <c r="A177">
        <v>191</v>
      </c>
      <c r="B177">
        <v>0</v>
      </c>
      <c r="C177" t="str">
        <v>VV</v>
      </c>
      <c r="D177">
        <v>0</v>
      </c>
      <c r="E177" t="str">
        <v>MM</v>
      </c>
      <c r="F177" t="str">
        <v>&lt;Null&gt;</v>
      </c>
      <c r="G177">
        <v>45838</v>
      </c>
      <c r="H177">
        <v>0</v>
      </c>
      <c r="I177" t="str">
        <v>Globe Equity Decree</v>
      </c>
      <c r="J177" t="str">
        <v>Gila River</v>
      </c>
      <c r="K177" t="str">
        <v>GR</v>
      </c>
      <c r="L177" t="str">
        <v>Virden Valey</v>
      </c>
      <c r="M177" t="str">
        <v>VV</v>
      </c>
      <c r="N177" t="str">
        <v>Sunset Canal</v>
      </c>
      <c r="O177" t="str">
        <v>CS</v>
      </c>
      <c r="P177" t="str">
        <v>Corn (Silage)</v>
      </c>
      <c r="Q177">
        <v>35.480575297169807</v>
      </c>
      <c r="R177" t="str">
        <v>3</v>
      </c>
      <c r="S177" t="str">
        <v>Drip irrigated</v>
      </c>
      <c r="T177">
        <v>0</v>
      </c>
      <c r="U177">
        <v>0</v>
      </c>
      <c r="V177" t="str">
        <v>8</v>
      </c>
      <c r="W177">
        <v>0</v>
      </c>
      <c r="X177">
        <v>0</v>
      </c>
      <c r="Y177" t="str">
        <v>T19S</v>
      </c>
      <c r="Z177" t="str">
        <v>R21W</v>
      </c>
      <c r="AA177" t="str">
        <v>2</v>
      </c>
      <c r="AB177" t="str">
        <v>HI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1856.7610695598621</v>
      </c>
      <c r="AJ177">
        <v>143585.36835269749</v>
      </c>
      <c r="AK177">
        <v>0</v>
      </c>
    </row>
    <row r="178" spans="1:37" x14ac:dyDescent="0.25">
      <c r="A178">
        <v>24</v>
      </c>
      <c r="B178">
        <v>0</v>
      </c>
      <c r="C178" t="str">
        <v>VV</v>
      </c>
      <c r="D178">
        <v>0</v>
      </c>
      <c r="E178" t="str">
        <v>MM</v>
      </c>
      <c r="F178" t="str">
        <v>&lt;Null&gt;</v>
      </c>
      <c r="G178">
        <v>45838</v>
      </c>
      <c r="H178">
        <v>0</v>
      </c>
      <c r="I178" t="str">
        <v>Arizona v California</v>
      </c>
      <c r="J178" t="str">
        <v>Gila River</v>
      </c>
      <c r="K178" t="str">
        <v>GR</v>
      </c>
      <c r="L178" t="str">
        <v>Virden Valey</v>
      </c>
      <c r="M178" t="str">
        <v>VV</v>
      </c>
      <c r="N178">
        <v>0</v>
      </c>
      <c r="O178" t="str">
        <v>CO</v>
      </c>
      <c r="P178" t="str">
        <v>Cotton</v>
      </c>
      <c r="Q178">
        <v>18.709873370653408</v>
      </c>
      <c r="R178" t="str">
        <v>3</v>
      </c>
      <c r="S178" t="str">
        <v>Drip irrigated</v>
      </c>
      <c r="T178">
        <v>0</v>
      </c>
      <c r="U178">
        <v>0</v>
      </c>
      <c r="V178" t="str">
        <v>4</v>
      </c>
      <c r="W178">
        <v>0</v>
      </c>
      <c r="X178">
        <v>0</v>
      </c>
      <c r="Y178">
        <v>0</v>
      </c>
      <c r="Z178">
        <v>0</v>
      </c>
      <c r="AA178">
        <v>0</v>
      </c>
      <c r="AB178" t="str">
        <v>HI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1248.145990492369</v>
      </c>
      <c r="AJ178">
        <v>75716.474077912935</v>
      </c>
      <c r="AK178">
        <v>0</v>
      </c>
    </row>
    <row r="179" spans="1:37" x14ac:dyDescent="0.25">
      <c r="A179">
        <v>29</v>
      </c>
      <c r="B179">
        <v>0</v>
      </c>
      <c r="C179" t="str">
        <v>VV</v>
      </c>
      <c r="D179">
        <v>0</v>
      </c>
      <c r="E179" t="str">
        <v>MM</v>
      </c>
      <c r="F179" t="str">
        <v>&lt;Null&gt;</v>
      </c>
      <c r="G179">
        <v>45838</v>
      </c>
      <c r="H179">
        <v>0</v>
      </c>
      <c r="I179" t="str">
        <v>Globe Equity Decree</v>
      </c>
      <c r="J179" t="str">
        <v>Gila River</v>
      </c>
      <c r="K179" t="str">
        <v>GR</v>
      </c>
      <c r="L179" t="str">
        <v>Virden Valey</v>
      </c>
      <c r="M179" t="str">
        <v>VV</v>
      </c>
      <c r="N179" t="str">
        <v>Sunset Canal</v>
      </c>
      <c r="O179" t="str">
        <v>CO</v>
      </c>
      <c r="P179" t="str">
        <v>Cotton</v>
      </c>
      <c r="Q179">
        <v>41.113708088466183</v>
      </c>
      <c r="R179" t="str">
        <v>3</v>
      </c>
      <c r="S179" t="str">
        <v>Drip irrigated</v>
      </c>
      <c r="T179">
        <v>0</v>
      </c>
      <c r="U179">
        <v>0</v>
      </c>
      <c r="V179" t="str">
        <v>5</v>
      </c>
      <c r="W179">
        <v>0</v>
      </c>
      <c r="X179">
        <v>0</v>
      </c>
      <c r="Y179">
        <v>0</v>
      </c>
      <c r="Z179">
        <v>0</v>
      </c>
      <c r="AA179">
        <v>0</v>
      </c>
      <c r="AB179" t="str">
        <v>HI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1623.1631405669809</v>
      </c>
      <c r="AJ179">
        <v>166381.93915357921</v>
      </c>
      <c r="AK179">
        <v>0</v>
      </c>
    </row>
    <row r="180" spans="1:37" x14ac:dyDescent="0.25">
      <c r="A180">
        <v>35</v>
      </c>
      <c r="B180">
        <v>0</v>
      </c>
      <c r="C180" t="str">
        <v>VV</v>
      </c>
      <c r="D180">
        <v>0</v>
      </c>
      <c r="E180" t="str">
        <v>MM</v>
      </c>
      <c r="F180" t="str">
        <v>&lt;Null&gt;</v>
      </c>
      <c r="G180">
        <v>45838</v>
      </c>
      <c r="H180">
        <v>0</v>
      </c>
      <c r="I180" t="str">
        <v>Globe Equity Decree</v>
      </c>
      <c r="J180" t="str">
        <v>Gila River</v>
      </c>
      <c r="K180" t="str">
        <v>GR</v>
      </c>
      <c r="L180" t="str">
        <v>Virden Valey</v>
      </c>
      <c r="M180" t="str">
        <v>VV</v>
      </c>
      <c r="N180" t="str">
        <v>Sunset Canal</v>
      </c>
      <c r="O180" t="str">
        <v>CO</v>
      </c>
      <c r="P180" t="str">
        <v>Cotton</v>
      </c>
      <c r="Q180">
        <v>19.820299006261529</v>
      </c>
      <c r="R180" t="str">
        <v>3</v>
      </c>
      <c r="S180" t="str">
        <v>Drip irrigated</v>
      </c>
      <c r="T180">
        <v>0</v>
      </c>
      <c r="U180">
        <v>0</v>
      </c>
      <c r="V180" t="str">
        <v>6</v>
      </c>
      <c r="W180">
        <v>0</v>
      </c>
      <c r="X180">
        <v>0</v>
      </c>
      <c r="Y180">
        <v>0</v>
      </c>
      <c r="Z180">
        <v>0</v>
      </c>
      <c r="AA180">
        <v>0</v>
      </c>
      <c r="AB180" t="str">
        <v>HI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1129.5848618688369</v>
      </c>
      <c r="AJ180">
        <v>80210.225167957644</v>
      </c>
      <c r="AK180">
        <v>0</v>
      </c>
    </row>
    <row r="181" spans="1:37" x14ac:dyDescent="0.25">
      <c r="A181">
        <v>40</v>
      </c>
      <c r="B181">
        <v>0</v>
      </c>
      <c r="C181" t="str">
        <v>VV</v>
      </c>
      <c r="D181">
        <v>0</v>
      </c>
      <c r="E181" t="str">
        <v>MM</v>
      </c>
      <c r="F181" t="str">
        <v>&lt;Null&gt;</v>
      </c>
      <c r="G181">
        <v>45838</v>
      </c>
      <c r="H181">
        <v>0</v>
      </c>
      <c r="I181" t="str">
        <v>Globe Equity Decree</v>
      </c>
      <c r="J181" t="str">
        <v>Gila River</v>
      </c>
      <c r="K181" t="str">
        <v>GR</v>
      </c>
      <c r="L181" t="str">
        <v>Virden Valey</v>
      </c>
      <c r="M181" t="str">
        <v>VV</v>
      </c>
      <c r="N181" t="str">
        <v>Sunset Canal</v>
      </c>
      <c r="O181" t="str">
        <v>CO</v>
      </c>
      <c r="P181" t="str">
        <v>Cotton</v>
      </c>
      <c r="Q181">
        <v>37.628816659501453</v>
      </c>
      <c r="R181" t="str">
        <v>3</v>
      </c>
      <c r="S181" t="str">
        <v>Drip irrigated</v>
      </c>
      <c r="T181">
        <v>0</v>
      </c>
      <c r="U181">
        <v>0</v>
      </c>
      <c r="V181" t="str">
        <v>6</v>
      </c>
      <c r="W181">
        <v>0</v>
      </c>
      <c r="X181">
        <v>0</v>
      </c>
      <c r="Y181">
        <v>0</v>
      </c>
      <c r="Z181">
        <v>0</v>
      </c>
      <c r="AA181">
        <v>0</v>
      </c>
      <c r="AB181" t="str">
        <v>HI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1577.5332085370489</v>
      </c>
      <c r="AJ181">
        <v>152279.02748131641</v>
      </c>
      <c r="AK181">
        <v>0</v>
      </c>
    </row>
    <row r="182" spans="1:37" x14ac:dyDescent="0.25">
      <c r="A182">
        <v>313</v>
      </c>
      <c r="B182">
        <v>0</v>
      </c>
      <c r="C182" t="str">
        <v>VV</v>
      </c>
      <c r="D182">
        <v>0</v>
      </c>
      <c r="E182" t="str">
        <v>MM</v>
      </c>
      <c r="F182">
        <v>0</v>
      </c>
      <c r="G182">
        <v>45838</v>
      </c>
      <c r="H182">
        <v>0</v>
      </c>
      <c r="I182" t="str">
        <v>Arizona v California</v>
      </c>
      <c r="J182" t="str">
        <v>Gila River</v>
      </c>
      <c r="K182" t="str">
        <v>GR</v>
      </c>
      <c r="L182" t="str">
        <v>Virden Valey</v>
      </c>
      <c r="M182" t="str">
        <v>VV</v>
      </c>
      <c r="N182">
        <v>0</v>
      </c>
      <c r="O182" t="str">
        <v>MFC</v>
      </c>
      <c r="P182" t="str">
        <v>Misc. Field Crops</v>
      </c>
      <c r="Q182">
        <v>3.2092275681919483E-2</v>
      </c>
      <c r="R182" t="str">
        <v>3</v>
      </c>
      <c r="S182" t="str">
        <v>Drip irrigated</v>
      </c>
      <c r="T182">
        <v>0</v>
      </c>
      <c r="U182">
        <v>0</v>
      </c>
      <c r="V182" t="str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 t="str">
        <v>HI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46.626502732816427</v>
      </c>
      <c r="AJ182">
        <v>129.87335144569349</v>
      </c>
      <c r="AK182">
        <v>0</v>
      </c>
    </row>
    <row r="183" spans="1:37" x14ac:dyDescent="0.25">
      <c r="A183">
        <v>11</v>
      </c>
      <c r="B183">
        <v>0</v>
      </c>
      <c r="C183" t="str">
        <v>VV</v>
      </c>
      <c r="D183">
        <v>0</v>
      </c>
      <c r="E183" t="str">
        <v>MM</v>
      </c>
      <c r="F183" t="str">
        <v>&lt;Null&gt;</v>
      </c>
      <c r="G183">
        <v>45838</v>
      </c>
      <c r="H183">
        <v>0</v>
      </c>
      <c r="I183" t="str">
        <v>Globe Equity Decree</v>
      </c>
      <c r="J183" t="str">
        <v>Gila River</v>
      </c>
      <c r="K183" t="str">
        <v>GR</v>
      </c>
      <c r="L183" t="str">
        <v>Virden Valey</v>
      </c>
      <c r="M183" t="str">
        <v>VV</v>
      </c>
      <c r="N183" t="str">
        <v>Sunset Canal</v>
      </c>
      <c r="O183" t="str">
        <v>FA</v>
      </c>
      <c r="P183" t="str">
        <v>Fallow, idle or otherwise not irrigated</v>
      </c>
      <c r="Q183">
        <v>2.0792022854548802</v>
      </c>
      <c r="R183" t="str">
        <v>4</v>
      </c>
      <c r="S183" t="str">
        <v>Not irrigated</v>
      </c>
      <c r="T183">
        <v>0</v>
      </c>
      <c r="U183">
        <v>0</v>
      </c>
      <c r="V183" t="str">
        <v>2</v>
      </c>
      <c r="W183">
        <v>0</v>
      </c>
      <c r="X183">
        <v>0</v>
      </c>
      <c r="Y183" t="str">
        <v>T19S</v>
      </c>
      <c r="Z183" t="str">
        <v>R20W</v>
      </c>
      <c r="AA183" t="str">
        <v>7</v>
      </c>
      <c r="AB183" t="str">
        <v>HI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645.02957166470139</v>
      </c>
      <c r="AJ183">
        <v>8414.2667793953005</v>
      </c>
      <c r="AK183">
        <v>0</v>
      </c>
    </row>
    <row r="184" spans="1:37" x14ac:dyDescent="0.25">
      <c r="A184">
        <v>15</v>
      </c>
      <c r="B184">
        <v>0</v>
      </c>
      <c r="C184" t="str">
        <v>VV</v>
      </c>
      <c r="D184">
        <v>0</v>
      </c>
      <c r="E184" t="str">
        <v>MM</v>
      </c>
      <c r="F184" t="str">
        <v>&lt;Null&gt;</v>
      </c>
      <c r="G184">
        <v>45838</v>
      </c>
      <c r="H184">
        <v>0</v>
      </c>
      <c r="I184" t="str">
        <v>Globe Equity Decree</v>
      </c>
      <c r="J184" t="str">
        <v>Gila River</v>
      </c>
      <c r="K184" t="str">
        <v>GR</v>
      </c>
      <c r="L184" t="str">
        <v>Virden Valey</v>
      </c>
      <c r="M184" t="str">
        <v>VV</v>
      </c>
      <c r="N184" t="str">
        <v>Sunset Canal</v>
      </c>
      <c r="O184" t="str">
        <v>FA</v>
      </c>
      <c r="P184" t="str">
        <v>Fallow, idle or otherwise not irrigated</v>
      </c>
      <c r="Q184">
        <v>32.813983219516317</v>
      </c>
      <c r="R184" t="str">
        <v>4</v>
      </c>
      <c r="S184" t="str">
        <v>Not irrigated</v>
      </c>
      <c r="T184">
        <v>0</v>
      </c>
      <c r="U184">
        <v>0</v>
      </c>
      <c r="V184" t="str">
        <v>4</v>
      </c>
      <c r="W184">
        <v>0</v>
      </c>
      <c r="X184">
        <v>0</v>
      </c>
      <c r="Y184" t="str">
        <v>T19S</v>
      </c>
      <c r="Z184" t="str">
        <v>R21W</v>
      </c>
      <c r="AA184" t="str">
        <v>12</v>
      </c>
      <c r="AB184" t="str">
        <v>HI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1452.20018147107</v>
      </c>
      <c r="AJ184">
        <v>132794.00991193391</v>
      </c>
      <c r="AK184">
        <v>0</v>
      </c>
    </row>
    <row r="185" spans="1:37" x14ac:dyDescent="0.25">
      <c r="A185">
        <v>17</v>
      </c>
      <c r="B185">
        <v>0</v>
      </c>
      <c r="C185" t="str">
        <v>VV</v>
      </c>
      <c r="D185">
        <v>0</v>
      </c>
      <c r="E185" t="str">
        <v>MM</v>
      </c>
      <c r="F185" t="str">
        <v>&lt;Null&gt;</v>
      </c>
      <c r="G185">
        <v>45838</v>
      </c>
      <c r="H185">
        <v>0</v>
      </c>
      <c r="I185" t="str">
        <v>Arizona v California</v>
      </c>
      <c r="J185" t="str">
        <v>Gila River</v>
      </c>
      <c r="K185" t="str">
        <v>GR</v>
      </c>
      <c r="L185" t="str">
        <v>Virden Valey</v>
      </c>
      <c r="M185" t="str">
        <v>VV</v>
      </c>
      <c r="N185">
        <v>0</v>
      </c>
      <c r="O185" t="str">
        <v>FA</v>
      </c>
      <c r="P185" t="str">
        <v>Fallow, idle or otherwise not irrigated</v>
      </c>
      <c r="Q185">
        <v>22.651039136911031</v>
      </c>
      <c r="R185" t="str">
        <v>4</v>
      </c>
      <c r="S185" t="str">
        <v>Not irrigated</v>
      </c>
      <c r="T185">
        <v>0</v>
      </c>
      <c r="U185">
        <v>0</v>
      </c>
      <c r="V185" t="str">
        <v>4</v>
      </c>
      <c r="W185">
        <v>0</v>
      </c>
      <c r="X185">
        <v>0</v>
      </c>
      <c r="Y185" t="str">
        <v>T19S</v>
      </c>
      <c r="Z185" t="str">
        <v>R21W</v>
      </c>
      <c r="AA185" t="str">
        <v>12</v>
      </c>
      <c r="AB185" t="str">
        <v>HI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1239.261680377439</v>
      </c>
      <c r="AJ185">
        <v>91665.869868354945</v>
      </c>
      <c r="AK185">
        <v>0</v>
      </c>
    </row>
    <row r="186" spans="1:37" x14ac:dyDescent="0.25">
      <c r="A186">
        <v>18</v>
      </c>
      <c r="B186">
        <v>0</v>
      </c>
      <c r="C186" t="str">
        <v>VV</v>
      </c>
      <c r="D186">
        <v>0</v>
      </c>
      <c r="E186" t="str">
        <v>MM</v>
      </c>
      <c r="F186" t="str">
        <v>&lt;Null&gt;</v>
      </c>
      <c r="G186">
        <v>45838</v>
      </c>
      <c r="H186">
        <v>0</v>
      </c>
      <c r="I186" t="str">
        <v>Globe Equity Decree</v>
      </c>
      <c r="J186" t="str">
        <v>Gila River</v>
      </c>
      <c r="K186" t="str">
        <v>GR</v>
      </c>
      <c r="L186" t="str">
        <v>Virden Valey</v>
      </c>
      <c r="M186" t="str">
        <v>VV</v>
      </c>
      <c r="N186" t="str">
        <v>Sunset Canal</v>
      </c>
      <c r="O186" t="str">
        <v>FA</v>
      </c>
      <c r="P186" t="str">
        <v>Fallow, idle or otherwise not irrigated</v>
      </c>
      <c r="Q186">
        <v>37.33416628890113</v>
      </c>
      <c r="R186" t="str">
        <v>4</v>
      </c>
      <c r="S186" t="str">
        <v>Not irrigated</v>
      </c>
      <c r="T186">
        <v>0</v>
      </c>
      <c r="U186">
        <v>0</v>
      </c>
      <c r="V186" t="str">
        <v>4</v>
      </c>
      <c r="W186">
        <v>0</v>
      </c>
      <c r="X186">
        <v>0</v>
      </c>
      <c r="Y186" t="str">
        <v>T19S</v>
      </c>
      <c r="Z186" t="str">
        <v>R21W</v>
      </c>
      <c r="AA186" t="str">
        <v>12</v>
      </c>
      <c r="AB186" t="str">
        <v>HI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1623.215799566575</v>
      </c>
      <c r="AJ186">
        <v>151086.61496704459</v>
      </c>
      <c r="AK186">
        <v>0</v>
      </c>
    </row>
    <row r="187" spans="1:37" x14ac:dyDescent="0.25">
      <c r="A187">
        <v>19</v>
      </c>
      <c r="B187">
        <v>0</v>
      </c>
      <c r="C187" t="str">
        <v>VV</v>
      </c>
      <c r="D187">
        <v>0</v>
      </c>
      <c r="E187" t="str">
        <v>MM</v>
      </c>
      <c r="F187" t="str">
        <v>&lt;Null&gt;</v>
      </c>
      <c r="G187">
        <v>45838</v>
      </c>
      <c r="H187">
        <v>0</v>
      </c>
      <c r="I187" t="str">
        <v>Globe Equity Decree</v>
      </c>
      <c r="J187" t="str">
        <v>Gila River</v>
      </c>
      <c r="K187" t="str">
        <v>GR</v>
      </c>
      <c r="L187" t="str">
        <v>Virden Valey</v>
      </c>
      <c r="M187" t="str">
        <v>VV</v>
      </c>
      <c r="N187" t="str">
        <v>Sunset Canal</v>
      </c>
      <c r="O187" t="str">
        <v>FA</v>
      </c>
      <c r="P187" t="str">
        <v>Fallow, idle or otherwise not irrigated</v>
      </c>
      <c r="Q187">
        <v>11.889706437499489</v>
      </c>
      <c r="R187" t="str">
        <v>4</v>
      </c>
      <c r="S187" t="str">
        <v>Not irrigated</v>
      </c>
      <c r="T187">
        <v>0</v>
      </c>
      <c r="U187">
        <v>0</v>
      </c>
      <c r="V187" t="str">
        <v>4</v>
      </c>
      <c r="W187">
        <v>0</v>
      </c>
      <c r="X187">
        <v>0</v>
      </c>
      <c r="Y187" t="str">
        <v>T19S</v>
      </c>
      <c r="Z187" t="str">
        <v>R21W</v>
      </c>
      <c r="AA187" t="str">
        <v>12</v>
      </c>
      <c r="AB187" t="str">
        <v>HI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977.90082598802883</v>
      </c>
      <c r="AJ187">
        <v>48116.127321362241</v>
      </c>
      <c r="AK187">
        <v>0</v>
      </c>
    </row>
    <row r="188" spans="1:37" x14ac:dyDescent="0.25">
      <c r="A188">
        <v>20</v>
      </c>
      <c r="B188">
        <v>0</v>
      </c>
      <c r="C188" t="str">
        <v>VV</v>
      </c>
      <c r="D188">
        <v>0</v>
      </c>
      <c r="E188" t="str">
        <v>MM</v>
      </c>
      <c r="F188" t="str">
        <v>&lt;Null&gt;</v>
      </c>
      <c r="G188">
        <v>45838</v>
      </c>
      <c r="H188">
        <v>0</v>
      </c>
      <c r="I188" t="str">
        <v>Globe Equity Decree</v>
      </c>
      <c r="J188" t="str">
        <v>Gila River</v>
      </c>
      <c r="K188" t="str">
        <v>GR</v>
      </c>
      <c r="L188" t="str">
        <v>Virden Valey</v>
      </c>
      <c r="M188" t="str">
        <v>VV</v>
      </c>
      <c r="N188" t="str">
        <v>Sunset Canal</v>
      </c>
      <c r="O188" t="str">
        <v>FA</v>
      </c>
      <c r="P188" t="str">
        <v>Fallow, idle or otherwise not irrigated</v>
      </c>
      <c r="Q188">
        <v>15.94317594344585</v>
      </c>
      <c r="R188" t="str">
        <v>4</v>
      </c>
      <c r="S188" t="str">
        <v>Not irrigated</v>
      </c>
      <c r="T188">
        <v>0</v>
      </c>
      <c r="U188">
        <v>0</v>
      </c>
      <c r="V188" t="str">
        <v>4</v>
      </c>
      <c r="W188">
        <v>0</v>
      </c>
      <c r="X188">
        <v>0</v>
      </c>
      <c r="Y188">
        <v>0</v>
      </c>
      <c r="Z188">
        <v>0</v>
      </c>
      <c r="AA188">
        <v>0</v>
      </c>
      <c r="AB188" t="str">
        <v>HI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1228.524896071315</v>
      </c>
      <c r="AJ188">
        <v>64520.002039937113</v>
      </c>
      <c r="AK188">
        <v>0</v>
      </c>
    </row>
    <row r="189" spans="1:37" x14ac:dyDescent="0.25">
      <c r="A189">
        <v>21</v>
      </c>
      <c r="B189">
        <v>0</v>
      </c>
      <c r="C189" t="str">
        <v>VV</v>
      </c>
      <c r="D189">
        <v>0</v>
      </c>
      <c r="E189" t="str">
        <v>MM</v>
      </c>
      <c r="F189" t="str">
        <v>&lt;Null&gt;</v>
      </c>
      <c r="G189">
        <v>45838</v>
      </c>
      <c r="H189">
        <v>0</v>
      </c>
      <c r="I189" t="str">
        <v>Globe Equity Decree</v>
      </c>
      <c r="J189" t="str">
        <v>Gila River</v>
      </c>
      <c r="K189" t="str">
        <v>GR</v>
      </c>
      <c r="L189" t="str">
        <v>Virden Valey</v>
      </c>
      <c r="M189" t="str">
        <v>VV</v>
      </c>
      <c r="N189" t="str">
        <v>Sunset Canal</v>
      </c>
      <c r="O189" t="str">
        <v>FA</v>
      </c>
      <c r="P189" t="str">
        <v>Fallow, idle or otherwise not irrigated</v>
      </c>
      <c r="Q189">
        <v>10.14972712004195</v>
      </c>
      <c r="R189" t="str">
        <v>4</v>
      </c>
      <c r="S189" t="str">
        <v>Not irrigated</v>
      </c>
      <c r="T189">
        <v>0</v>
      </c>
      <c r="U189">
        <v>0</v>
      </c>
      <c r="V189" t="str">
        <v>2</v>
      </c>
      <c r="W189">
        <v>0</v>
      </c>
      <c r="X189">
        <v>0</v>
      </c>
      <c r="Y189" t="str">
        <v>T19S</v>
      </c>
      <c r="Z189" t="str">
        <v>R20W</v>
      </c>
      <c r="AA189" t="str">
        <v>7</v>
      </c>
      <c r="AB189" t="str">
        <v>HI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948.35649549506184</v>
      </c>
      <c r="AJ189">
        <v>41074.652679795647</v>
      </c>
      <c r="AK189">
        <v>0</v>
      </c>
    </row>
    <row r="190" spans="1:37" x14ac:dyDescent="0.25">
      <c r="A190">
        <v>22</v>
      </c>
      <c r="B190">
        <v>0</v>
      </c>
      <c r="C190" t="str">
        <v>VV</v>
      </c>
      <c r="D190">
        <v>0</v>
      </c>
      <c r="E190" t="str">
        <v>MM</v>
      </c>
      <c r="F190" t="str">
        <v>&lt;Null&gt;</v>
      </c>
      <c r="G190">
        <v>45838</v>
      </c>
      <c r="H190">
        <v>0</v>
      </c>
      <c r="I190" t="str">
        <v>Arizona v California</v>
      </c>
      <c r="J190" t="str">
        <v>Gila River</v>
      </c>
      <c r="K190" t="str">
        <v>GR</v>
      </c>
      <c r="L190" t="str">
        <v>Virden Valey</v>
      </c>
      <c r="M190" t="str">
        <v>VV</v>
      </c>
      <c r="N190">
        <v>0</v>
      </c>
      <c r="O190" t="str">
        <v>FA</v>
      </c>
      <c r="P190" t="str">
        <v>Fallow, idle or otherwise not irrigated</v>
      </c>
      <c r="Q190">
        <v>8.4362912885006089</v>
      </c>
      <c r="R190" t="str">
        <v>4</v>
      </c>
      <c r="S190" t="str">
        <v>Not irrigated</v>
      </c>
      <c r="T190">
        <v>0</v>
      </c>
      <c r="U190">
        <v>0</v>
      </c>
      <c r="V190" t="str">
        <v>4</v>
      </c>
      <c r="W190">
        <v>0</v>
      </c>
      <c r="X190">
        <v>0</v>
      </c>
      <c r="Y190">
        <v>0</v>
      </c>
      <c r="Z190">
        <v>0</v>
      </c>
      <c r="AA190">
        <v>0</v>
      </c>
      <c r="AB190" t="str">
        <v>HI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742.0606193665709</v>
      </c>
      <c r="AJ190">
        <v>34140.596144353884</v>
      </c>
      <c r="AK190">
        <v>0</v>
      </c>
    </row>
    <row r="191" spans="1:37" x14ac:dyDescent="0.25">
      <c r="A191">
        <v>23</v>
      </c>
      <c r="B191">
        <v>0</v>
      </c>
      <c r="C191" t="str">
        <v>VV</v>
      </c>
      <c r="D191">
        <v>0</v>
      </c>
      <c r="E191" t="str">
        <v>MM</v>
      </c>
      <c r="F191" t="str">
        <v>&lt;Null&gt;</v>
      </c>
      <c r="G191">
        <v>45838</v>
      </c>
      <c r="H191">
        <v>0</v>
      </c>
      <c r="I191" t="str">
        <v>Arizona v California</v>
      </c>
      <c r="J191" t="str">
        <v>Gila River</v>
      </c>
      <c r="K191" t="str">
        <v>GR</v>
      </c>
      <c r="L191" t="str">
        <v>Virden Valey</v>
      </c>
      <c r="M191" t="str">
        <v>VV</v>
      </c>
      <c r="N191">
        <v>0</v>
      </c>
      <c r="O191" t="str">
        <v>FA</v>
      </c>
      <c r="P191" t="str">
        <v>Fallow, idle or otherwise not irrigated</v>
      </c>
      <c r="Q191">
        <v>10.96826097424252</v>
      </c>
      <c r="R191" t="str">
        <v>4</v>
      </c>
      <c r="S191" t="str">
        <v>Not irrigated</v>
      </c>
      <c r="T191">
        <v>0</v>
      </c>
      <c r="U191">
        <v>0</v>
      </c>
      <c r="V191" t="str">
        <v>4</v>
      </c>
      <c r="W191">
        <v>0</v>
      </c>
      <c r="X191">
        <v>0</v>
      </c>
      <c r="Y191">
        <v>0</v>
      </c>
      <c r="Z191">
        <v>0</v>
      </c>
      <c r="AA191">
        <v>0</v>
      </c>
      <c r="AB191" t="str">
        <v>HI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843.54127273170377</v>
      </c>
      <c r="AJ191">
        <v>44387.154914614737</v>
      </c>
      <c r="AK191">
        <v>0</v>
      </c>
    </row>
    <row r="192" spans="1:37" x14ac:dyDescent="0.25">
      <c r="A192">
        <v>27</v>
      </c>
      <c r="B192">
        <v>0</v>
      </c>
      <c r="C192" t="str">
        <v>VV</v>
      </c>
      <c r="D192">
        <v>0</v>
      </c>
      <c r="E192" t="str">
        <v>MM</v>
      </c>
      <c r="F192" t="str">
        <v>&lt;Null&gt;</v>
      </c>
      <c r="G192">
        <v>45838</v>
      </c>
      <c r="H192">
        <v>0</v>
      </c>
      <c r="I192" t="str">
        <v>Globe Equity Decree</v>
      </c>
      <c r="J192" t="str">
        <v>Gila River</v>
      </c>
      <c r="K192" t="str">
        <v>GR</v>
      </c>
      <c r="L192" t="str">
        <v>Virden Valey</v>
      </c>
      <c r="M192" t="str">
        <v>VV</v>
      </c>
      <c r="N192" t="str">
        <v>Sunset Canal</v>
      </c>
      <c r="O192" t="str">
        <v>FA</v>
      </c>
      <c r="P192" t="str">
        <v>Fallow, idle or otherwise not irrigated</v>
      </c>
      <c r="Q192">
        <v>3.2982797014337621</v>
      </c>
      <c r="R192" t="str">
        <v>4</v>
      </c>
      <c r="S192" t="str">
        <v>Not irrigated</v>
      </c>
      <c r="T192">
        <v>0</v>
      </c>
      <c r="U192">
        <v>0</v>
      </c>
      <c r="V192" t="str">
        <v>4</v>
      </c>
      <c r="W192">
        <v>0</v>
      </c>
      <c r="X192">
        <v>0</v>
      </c>
      <c r="Y192">
        <v>0</v>
      </c>
      <c r="Z192">
        <v>0</v>
      </c>
      <c r="AA192">
        <v>0</v>
      </c>
      <c r="AB192" t="str">
        <v>HI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537.29956263357667</v>
      </c>
      <c r="AJ192">
        <v>13347.717783436519</v>
      </c>
      <c r="AK192">
        <v>0</v>
      </c>
    </row>
    <row r="193" spans="1:37" x14ac:dyDescent="0.25">
      <c r="A193">
        <v>31</v>
      </c>
      <c r="B193">
        <v>0</v>
      </c>
      <c r="C193" t="str">
        <v>VV</v>
      </c>
      <c r="D193">
        <v>0</v>
      </c>
      <c r="E193" t="str">
        <v>MM</v>
      </c>
      <c r="F193" t="str">
        <v>&lt;Null&gt;</v>
      </c>
      <c r="G193">
        <v>45838</v>
      </c>
      <c r="H193">
        <v>0</v>
      </c>
      <c r="I193" t="str">
        <v>Globe Equity Decree</v>
      </c>
      <c r="J193" t="str">
        <v>Gila River</v>
      </c>
      <c r="K193" t="str">
        <v>GR</v>
      </c>
      <c r="L193" t="str">
        <v>Virden Valey</v>
      </c>
      <c r="M193" t="str">
        <v>VV</v>
      </c>
      <c r="N193" t="str">
        <v>Sunset Canal</v>
      </c>
      <c r="O193" t="str">
        <v>FA</v>
      </c>
      <c r="P193" t="str">
        <v>Fallow, idle or otherwise not irrigated</v>
      </c>
      <c r="Q193">
        <v>2.7611367732186092</v>
      </c>
      <c r="R193" t="str">
        <v>4</v>
      </c>
      <c r="S193" t="str">
        <v>Not irrigated</v>
      </c>
      <c r="T193">
        <v>0</v>
      </c>
      <c r="U193">
        <v>0</v>
      </c>
      <c r="V193" t="str">
        <v>5</v>
      </c>
      <c r="W193">
        <v>0</v>
      </c>
      <c r="X193">
        <v>0</v>
      </c>
      <c r="Y193">
        <v>0</v>
      </c>
      <c r="Z193">
        <v>0</v>
      </c>
      <c r="AA193">
        <v>0</v>
      </c>
      <c r="AB193" t="str">
        <v>HI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448.95324944089242</v>
      </c>
      <c r="AJ193">
        <v>11173.968779654961</v>
      </c>
      <c r="AK193">
        <v>0</v>
      </c>
    </row>
    <row r="194" spans="1:37" x14ac:dyDescent="0.25">
      <c r="A194">
        <v>56</v>
      </c>
      <c r="B194">
        <v>0</v>
      </c>
      <c r="C194" t="str">
        <v>VV</v>
      </c>
      <c r="D194">
        <v>0</v>
      </c>
      <c r="E194" t="str">
        <v>MM</v>
      </c>
      <c r="F194" t="str">
        <v>&lt;Null&gt;</v>
      </c>
      <c r="G194">
        <v>45839</v>
      </c>
      <c r="H194">
        <v>0</v>
      </c>
      <c r="I194" t="str">
        <v>Globe Equity Decree</v>
      </c>
      <c r="J194" t="str">
        <v>Gila River</v>
      </c>
      <c r="K194" t="str">
        <v>GR</v>
      </c>
      <c r="L194" t="str">
        <v>Virden Valey</v>
      </c>
      <c r="M194" t="str">
        <v>VV</v>
      </c>
      <c r="N194" t="str">
        <v>Sunset Canal</v>
      </c>
      <c r="O194" t="str">
        <v>FA</v>
      </c>
      <c r="P194" t="str">
        <v>Fallow, idle or otherwise not irrigated</v>
      </c>
      <c r="Q194">
        <v>9.2008418755634693</v>
      </c>
      <c r="R194" t="str">
        <v>4</v>
      </c>
      <c r="S194" t="str">
        <v>Not irrigated</v>
      </c>
      <c r="T194">
        <v>0</v>
      </c>
      <c r="U194">
        <v>0</v>
      </c>
      <c r="V194" t="str">
        <v>8</v>
      </c>
      <c r="W194">
        <v>0</v>
      </c>
      <c r="X194">
        <v>0</v>
      </c>
      <c r="Y194">
        <v>0</v>
      </c>
      <c r="Z194">
        <v>0</v>
      </c>
      <c r="AA194">
        <v>0</v>
      </c>
      <c r="AB194" t="str">
        <v>HI</v>
      </c>
      <c r="AC194" t="str">
        <v>76 Slash Cattle, LLC  c/o Jim W. Haught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777.07566879517753</v>
      </c>
      <c r="AJ194">
        <v>37234.634974001841</v>
      </c>
      <c r="AK194">
        <v>0</v>
      </c>
    </row>
    <row r="195" spans="1:37" x14ac:dyDescent="0.25">
      <c r="A195">
        <v>57</v>
      </c>
      <c r="B195" t="str">
        <v>VV-00220</v>
      </c>
      <c r="C195" t="str">
        <v>VV</v>
      </c>
      <c r="D195">
        <v>0</v>
      </c>
      <c r="E195" t="str">
        <v>MM</v>
      </c>
      <c r="F195" t="str">
        <v>&lt;Null&gt;</v>
      </c>
      <c r="G195">
        <v>45839</v>
      </c>
      <c r="H195">
        <v>0</v>
      </c>
      <c r="I195" t="str">
        <v>Globe Equity Decree</v>
      </c>
      <c r="J195" t="str">
        <v>Gila River</v>
      </c>
      <c r="K195" t="str">
        <v>GR</v>
      </c>
      <c r="L195" t="str">
        <v>Virden Valley</v>
      </c>
      <c r="M195" t="str">
        <v>VV</v>
      </c>
      <c r="N195" t="str">
        <v>Sunset Canal</v>
      </c>
      <c r="O195" t="str">
        <v>FA</v>
      </c>
      <c r="P195" t="str">
        <v>Fallow, idle or otherwise not irrigated</v>
      </c>
      <c r="Q195">
        <v>2.5715751099511919</v>
      </c>
      <c r="R195" t="str">
        <v>4</v>
      </c>
      <c r="S195" t="str">
        <v>Not irrigated</v>
      </c>
      <c r="T195">
        <v>0</v>
      </c>
      <c r="U195">
        <v>0</v>
      </c>
      <c r="V195" t="str">
        <v>8</v>
      </c>
      <c r="W195">
        <v>0</v>
      </c>
      <c r="X195">
        <v>0</v>
      </c>
      <c r="Y195">
        <v>0</v>
      </c>
      <c r="Z195">
        <v>0</v>
      </c>
      <c r="AA195">
        <v>0</v>
      </c>
      <c r="AB195" t="str">
        <v>HI</v>
      </c>
      <c r="AC195" t="str">
        <v>School</v>
      </c>
      <c r="AD195" t="str">
        <v>1900</v>
      </c>
      <c r="AE195">
        <v>0</v>
      </c>
      <c r="AF195">
        <v>0</v>
      </c>
      <c r="AG195">
        <v>0</v>
      </c>
      <c r="AH195">
        <v>0</v>
      </c>
      <c r="AI195">
        <v>408.10542340511262</v>
      </c>
      <c r="AJ195">
        <v>10406.83687669585</v>
      </c>
      <c r="AK195">
        <v>0</v>
      </c>
    </row>
    <row r="196" spans="1:37" x14ac:dyDescent="0.25">
      <c r="A196">
        <v>60</v>
      </c>
      <c r="B196" t="str">
        <v>VV-00313</v>
      </c>
      <c r="C196" t="str">
        <v>VV</v>
      </c>
      <c r="D196">
        <v>0</v>
      </c>
      <c r="E196" t="str">
        <v>MM</v>
      </c>
      <c r="F196" t="str">
        <v>&lt;Null&gt;</v>
      </c>
      <c r="G196">
        <v>45839</v>
      </c>
      <c r="H196">
        <v>0</v>
      </c>
      <c r="I196" t="str">
        <v>Globe Equity Decree</v>
      </c>
      <c r="J196" t="str">
        <v>Gila River</v>
      </c>
      <c r="K196" t="str">
        <v>GR</v>
      </c>
      <c r="L196" t="str">
        <v>Virden Valley</v>
      </c>
      <c r="M196" t="str">
        <v>VV</v>
      </c>
      <c r="N196" t="str">
        <v>Sunset Ditch</v>
      </c>
      <c r="O196" t="str">
        <v>FA</v>
      </c>
      <c r="P196" t="str">
        <v>Fallow, idle or otherwise not irrigated</v>
      </c>
      <c r="Q196">
        <v>0.1029087794293831</v>
      </c>
      <c r="R196" t="str">
        <v>4</v>
      </c>
      <c r="S196" t="str">
        <v>Not irrigated</v>
      </c>
      <c r="T196">
        <v>0</v>
      </c>
      <c r="U196">
        <v>0</v>
      </c>
      <c r="V196" t="str">
        <v>8</v>
      </c>
      <c r="W196">
        <v>0</v>
      </c>
      <c r="X196">
        <v>0</v>
      </c>
      <c r="Y196">
        <v>0</v>
      </c>
      <c r="Z196">
        <v>0</v>
      </c>
      <c r="AA196">
        <v>0</v>
      </c>
      <c r="AB196" t="str">
        <v>HI</v>
      </c>
      <c r="AC196">
        <v>0</v>
      </c>
      <c r="AD196" t="str">
        <v>1900</v>
      </c>
      <c r="AE196">
        <v>0</v>
      </c>
      <c r="AF196">
        <v>0</v>
      </c>
      <c r="AG196">
        <v>0</v>
      </c>
      <c r="AH196">
        <v>0</v>
      </c>
      <c r="AI196">
        <v>133.7221798975182</v>
      </c>
      <c r="AJ196">
        <v>416.4587207883614</v>
      </c>
      <c r="AK196">
        <v>0</v>
      </c>
    </row>
    <row r="197" spans="1:37" x14ac:dyDescent="0.25">
      <c r="A197">
        <v>61</v>
      </c>
      <c r="B197" t="str">
        <v>VV-00313</v>
      </c>
      <c r="C197" t="str">
        <v>VV</v>
      </c>
      <c r="D197">
        <v>0</v>
      </c>
      <c r="E197" t="str">
        <v>MM</v>
      </c>
      <c r="F197" t="str">
        <v>&lt;Null&gt;</v>
      </c>
      <c r="G197">
        <v>45839</v>
      </c>
      <c r="H197">
        <v>0</v>
      </c>
      <c r="I197" t="str">
        <v>Globe Equity Decree</v>
      </c>
      <c r="J197" t="str">
        <v>Gila River</v>
      </c>
      <c r="K197" t="str">
        <v>GR</v>
      </c>
      <c r="L197" t="str">
        <v>Virden Valley</v>
      </c>
      <c r="M197" t="str">
        <v>VV</v>
      </c>
      <c r="N197" t="str">
        <v>Sunset Ditch</v>
      </c>
      <c r="O197" t="str">
        <v>FA</v>
      </c>
      <c r="P197" t="str">
        <v>Fallow, idle or otherwise not irrigated</v>
      </c>
      <c r="Q197">
        <v>0.77526742651559821</v>
      </c>
      <c r="R197" t="str">
        <v>4</v>
      </c>
      <c r="S197" t="str">
        <v>Not irrigated</v>
      </c>
      <c r="T197">
        <v>0</v>
      </c>
      <c r="U197">
        <v>0</v>
      </c>
      <c r="V197" t="str">
        <v>8</v>
      </c>
      <c r="W197">
        <v>0</v>
      </c>
      <c r="X197">
        <v>0</v>
      </c>
      <c r="Y197">
        <v>0</v>
      </c>
      <c r="Z197">
        <v>0</v>
      </c>
      <c r="AA197">
        <v>0</v>
      </c>
      <c r="AB197" t="str">
        <v>HI</v>
      </c>
      <c r="AC197">
        <v>0</v>
      </c>
      <c r="AD197" t="str">
        <v>1900</v>
      </c>
      <c r="AE197">
        <v>0</v>
      </c>
      <c r="AF197">
        <v>0</v>
      </c>
      <c r="AG197">
        <v>0</v>
      </c>
      <c r="AH197">
        <v>0</v>
      </c>
      <c r="AI197">
        <v>224.52032589474479</v>
      </c>
      <c r="AJ197">
        <v>3137.4085136936742</v>
      </c>
      <c r="AK197">
        <v>0</v>
      </c>
    </row>
    <row r="198" spans="1:37" x14ac:dyDescent="0.25">
      <c r="A198">
        <v>62</v>
      </c>
      <c r="B198" t="str">
        <v>VV-00314</v>
      </c>
      <c r="C198" t="str">
        <v>VV</v>
      </c>
      <c r="D198">
        <v>0</v>
      </c>
      <c r="E198" t="str">
        <v>MM</v>
      </c>
      <c r="F198" t="str">
        <v>&lt;Null&gt;</v>
      </c>
      <c r="G198">
        <v>45839</v>
      </c>
      <c r="H198">
        <v>0</v>
      </c>
      <c r="I198" t="str">
        <v>Globe Equity Decree</v>
      </c>
      <c r="J198" t="str">
        <v>Gila River</v>
      </c>
      <c r="K198" t="str">
        <v>GR</v>
      </c>
      <c r="L198" t="str">
        <v>Virden Valley</v>
      </c>
      <c r="M198" t="str">
        <v>VV</v>
      </c>
      <c r="N198" t="str">
        <v>Sunset Ditch</v>
      </c>
      <c r="O198" t="str">
        <v>FA</v>
      </c>
      <c r="P198" t="str">
        <v>Fallow, idle or otherwise not irrigated</v>
      </c>
      <c r="Q198">
        <v>1.100806322863759</v>
      </c>
      <c r="R198" t="str">
        <v>4</v>
      </c>
      <c r="S198" t="str">
        <v>Not irrigated</v>
      </c>
      <c r="T198">
        <v>0</v>
      </c>
      <c r="U198">
        <v>0</v>
      </c>
      <c r="V198" t="str">
        <v>8</v>
      </c>
      <c r="W198">
        <v>0</v>
      </c>
      <c r="X198">
        <v>0</v>
      </c>
      <c r="Y198">
        <v>0</v>
      </c>
      <c r="Z198">
        <v>0</v>
      </c>
      <c r="AA198">
        <v>0</v>
      </c>
      <c r="AB198" t="str">
        <v>HI</v>
      </c>
      <c r="AC198">
        <v>0</v>
      </c>
      <c r="AD198" t="str">
        <v>1900</v>
      </c>
      <c r="AE198">
        <v>0</v>
      </c>
      <c r="AF198">
        <v>0</v>
      </c>
      <c r="AG198">
        <v>0</v>
      </c>
      <c r="AH198">
        <v>0</v>
      </c>
      <c r="AI198">
        <v>268.94077984898911</v>
      </c>
      <c r="AJ198">
        <v>4454.822956773739</v>
      </c>
      <c r="AK198">
        <v>0</v>
      </c>
    </row>
    <row r="199" spans="1:37" x14ac:dyDescent="0.25">
      <c r="A199">
        <v>65</v>
      </c>
      <c r="B199" t="str">
        <v>VV-00317</v>
      </c>
      <c r="C199" t="str">
        <v>VV</v>
      </c>
      <c r="D199">
        <v>0</v>
      </c>
      <c r="E199" t="str">
        <v>MM</v>
      </c>
      <c r="F199" t="str">
        <v>&lt;Null&gt;</v>
      </c>
      <c r="G199">
        <v>45839</v>
      </c>
      <c r="H199">
        <v>0</v>
      </c>
      <c r="I199" t="str">
        <v>Globe Equity Decree</v>
      </c>
      <c r="J199" t="str">
        <v>Gila River</v>
      </c>
      <c r="K199" t="str">
        <v>GR</v>
      </c>
      <c r="L199" t="str">
        <v>Virden Valley</v>
      </c>
      <c r="M199" t="str">
        <v>VV</v>
      </c>
      <c r="N199" t="str">
        <v>Sunset Ditch</v>
      </c>
      <c r="O199" t="str">
        <v>FA</v>
      </c>
      <c r="P199" t="str">
        <v>Fallow, idle or otherwise not irrigated</v>
      </c>
      <c r="Q199">
        <v>1.1057177961178739</v>
      </c>
      <c r="R199" t="str">
        <v>4</v>
      </c>
      <c r="S199" t="str">
        <v>Not irrigated</v>
      </c>
      <c r="T199">
        <v>0</v>
      </c>
      <c r="U199">
        <v>0</v>
      </c>
      <c r="V199" t="str">
        <v>8</v>
      </c>
      <c r="W199">
        <v>0</v>
      </c>
      <c r="X199">
        <v>0</v>
      </c>
      <c r="Y199">
        <v>0</v>
      </c>
      <c r="Z199">
        <v>0</v>
      </c>
      <c r="AA199">
        <v>0</v>
      </c>
      <c r="AB199" t="str">
        <v>HI</v>
      </c>
      <c r="AC199">
        <v>0</v>
      </c>
      <c r="AD199" t="str">
        <v>1900</v>
      </c>
      <c r="AE199">
        <v>0</v>
      </c>
      <c r="AF199">
        <v>0</v>
      </c>
      <c r="AG199">
        <v>0</v>
      </c>
      <c r="AH199">
        <v>0</v>
      </c>
      <c r="AI199">
        <v>269.58310539782258</v>
      </c>
      <c r="AJ199">
        <v>4474.6990633599462</v>
      </c>
      <c r="AK199">
        <v>0</v>
      </c>
    </row>
    <row r="200" spans="1:37" x14ac:dyDescent="0.25">
      <c r="A200">
        <v>68</v>
      </c>
      <c r="B200" t="str">
        <v>VV-00319</v>
      </c>
      <c r="C200" t="str">
        <v>VV</v>
      </c>
      <c r="D200">
        <v>0</v>
      </c>
      <c r="E200" t="str">
        <v>MM</v>
      </c>
      <c r="F200" t="str">
        <v>&lt;Null&gt;</v>
      </c>
      <c r="G200">
        <v>45839</v>
      </c>
      <c r="H200">
        <v>0</v>
      </c>
      <c r="I200" t="str">
        <v>Globe Equity Decree</v>
      </c>
      <c r="J200" t="str">
        <v>Gila River</v>
      </c>
      <c r="K200" t="str">
        <v>GR</v>
      </c>
      <c r="L200" t="str">
        <v>Virden Valley</v>
      </c>
      <c r="M200" t="str">
        <v>VV</v>
      </c>
      <c r="N200" t="str">
        <v>Sunset Ditch</v>
      </c>
      <c r="O200" t="str">
        <v>FA</v>
      </c>
      <c r="P200" t="str">
        <v>Fallow, idle or otherwise not irrigated</v>
      </c>
      <c r="Q200">
        <v>2.1729037307057522</v>
      </c>
      <c r="R200" t="str">
        <v>4</v>
      </c>
      <c r="S200" t="str">
        <v>Not irrigated</v>
      </c>
      <c r="T200">
        <v>0</v>
      </c>
      <c r="U200">
        <v>0</v>
      </c>
      <c r="V200" t="str">
        <v>8</v>
      </c>
      <c r="W200">
        <v>0</v>
      </c>
      <c r="X200">
        <v>0</v>
      </c>
      <c r="Y200">
        <v>0</v>
      </c>
      <c r="Z200">
        <v>0</v>
      </c>
      <c r="AA200">
        <v>0</v>
      </c>
      <c r="AB200" t="str">
        <v>HI</v>
      </c>
      <c r="AC200">
        <v>0</v>
      </c>
      <c r="AD200" t="str">
        <v>1900</v>
      </c>
      <c r="AE200">
        <v>0</v>
      </c>
      <c r="AF200">
        <v>0</v>
      </c>
      <c r="AG200">
        <v>0</v>
      </c>
      <c r="AH200">
        <v>0</v>
      </c>
      <c r="AI200">
        <v>385.93108600028091</v>
      </c>
      <c r="AJ200">
        <v>8793.464591686683</v>
      </c>
      <c r="AK200">
        <v>0</v>
      </c>
    </row>
    <row r="201" spans="1:37" x14ac:dyDescent="0.25">
      <c r="A201">
        <v>69</v>
      </c>
      <c r="B201" t="str">
        <v>VV-00320</v>
      </c>
      <c r="C201" t="str">
        <v>VV</v>
      </c>
      <c r="D201">
        <v>0</v>
      </c>
      <c r="E201" t="str">
        <v>MM</v>
      </c>
      <c r="F201" t="str">
        <v>&lt;Null&gt;</v>
      </c>
      <c r="G201">
        <v>45839</v>
      </c>
      <c r="H201">
        <v>0</v>
      </c>
      <c r="I201" t="str">
        <v>Globe Equity Decree</v>
      </c>
      <c r="J201" t="str">
        <v>Gila River</v>
      </c>
      <c r="K201" t="str">
        <v>GR</v>
      </c>
      <c r="L201" t="str">
        <v>Virden Valley</v>
      </c>
      <c r="M201" t="str">
        <v>VV</v>
      </c>
      <c r="N201" t="str">
        <v>Sunset Ditch</v>
      </c>
      <c r="O201" t="str">
        <v>FA</v>
      </c>
      <c r="P201" t="str">
        <v>Fallow, idle or otherwise not irrigated</v>
      </c>
      <c r="Q201">
        <v>0.67846442966943288</v>
      </c>
      <c r="R201" t="str">
        <v>4</v>
      </c>
      <c r="S201" t="str">
        <v>Not irrigated</v>
      </c>
      <c r="T201">
        <v>0</v>
      </c>
      <c r="U201">
        <v>0</v>
      </c>
      <c r="V201" t="str">
        <v>8</v>
      </c>
      <c r="W201">
        <v>0</v>
      </c>
      <c r="X201">
        <v>0</v>
      </c>
      <c r="Y201">
        <v>0</v>
      </c>
      <c r="Z201">
        <v>0</v>
      </c>
      <c r="AA201">
        <v>0</v>
      </c>
      <c r="AB201" t="str">
        <v>HI</v>
      </c>
      <c r="AC201">
        <v>0</v>
      </c>
      <c r="AD201" t="str">
        <v>1900</v>
      </c>
      <c r="AE201">
        <v>0</v>
      </c>
      <c r="AF201">
        <v>0</v>
      </c>
      <c r="AG201">
        <v>0</v>
      </c>
      <c r="AH201">
        <v>0</v>
      </c>
      <c r="AI201">
        <v>268.71333815512992</v>
      </c>
      <c r="AJ201">
        <v>2745.659117203184</v>
      </c>
      <c r="AK201">
        <v>0</v>
      </c>
    </row>
    <row r="202" spans="1:37" x14ac:dyDescent="0.25">
      <c r="A202">
        <v>70</v>
      </c>
      <c r="B202" t="str">
        <v>VV-00321</v>
      </c>
      <c r="C202" t="str">
        <v>VV</v>
      </c>
      <c r="D202">
        <v>0</v>
      </c>
      <c r="E202" t="str">
        <v>MM</v>
      </c>
      <c r="F202" t="str">
        <v>&lt;Null&gt;</v>
      </c>
      <c r="G202">
        <v>45839</v>
      </c>
      <c r="H202">
        <v>0</v>
      </c>
      <c r="I202" t="str">
        <v>Globe Equity Decree</v>
      </c>
      <c r="J202" t="str">
        <v>Gila River</v>
      </c>
      <c r="K202" t="str">
        <v>GR</v>
      </c>
      <c r="L202" t="str">
        <v>Virden Valley</v>
      </c>
      <c r="M202" t="str">
        <v>VV</v>
      </c>
      <c r="N202" t="str">
        <v>Sunset Ditch</v>
      </c>
      <c r="O202" t="str">
        <v>FA</v>
      </c>
      <c r="P202" t="str">
        <v>Fallow, idle or otherwise not irrigated</v>
      </c>
      <c r="Q202">
        <v>0.28330329552746247</v>
      </c>
      <c r="R202" t="str">
        <v>4</v>
      </c>
      <c r="S202" t="str">
        <v>Not irrigated</v>
      </c>
      <c r="T202">
        <v>0</v>
      </c>
      <c r="U202">
        <v>0</v>
      </c>
      <c r="V202" t="str">
        <v>8</v>
      </c>
      <c r="W202">
        <v>0</v>
      </c>
      <c r="X202">
        <v>0</v>
      </c>
      <c r="Y202">
        <v>0</v>
      </c>
      <c r="Z202">
        <v>0</v>
      </c>
      <c r="AA202">
        <v>0</v>
      </c>
      <c r="AB202" t="str">
        <v>HI</v>
      </c>
      <c r="AC202">
        <v>0</v>
      </c>
      <c r="AD202" t="str">
        <v>1900</v>
      </c>
      <c r="AE202">
        <v>0</v>
      </c>
      <c r="AF202">
        <v>0</v>
      </c>
      <c r="AG202">
        <v>0</v>
      </c>
      <c r="AH202">
        <v>0</v>
      </c>
      <c r="AI202">
        <v>155.89815646869431</v>
      </c>
      <c r="AJ202">
        <v>1146.4923469571991</v>
      </c>
      <c r="AK202">
        <v>0</v>
      </c>
    </row>
    <row r="203" spans="1:37" x14ac:dyDescent="0.25">
      <c r="A203">
        <v>71</v>
      </c>
      <c r="B203" t="str">
        <v>VV-00321</v>
      </c>
      <c r="C203" t="str">
        <v>VV</v>
      </c>
      <c r="D203">
        <v>0</v>
      </c>
      <c r="E203" t="str">
        <v>MM</v>
      </c>
      <c r="F203" t="str">
        <v>&lt;Null&gt;</v>
      </c>
      <c r="G203">
        <v>45839</v>
      </c>
      <c r="H203">
        <v>0</v>
      </c>
      <c r="I203" t="str">
        <v>Globe Equity Decree</v>
      </c>
      <c r="J203" t="str">
        <v>Gila River</v>
      </c>
      <c r="K203" t="str">
        <v>GR</v>
      </c>
      <c r="L203" t="str">
        <v>Virden Valley</v>
      </c>
      <c r="M203" t="str">
        <v>VV</v>
      </c>
      <c r="N203" t="str">
        <v>Sunset Ditch</v>
      </c>
      <c r="O203" t="str">
        <v>FA</v>
      </c>
      <c r="P203" t="str">
        <v>Fallow, idle or otherwise not irrigated</v>
      </c>
      <c r="Q203">
        <v>0.78661830698135771</v>
      </c>
      <c r="R203" t="str">
        <v>4</v>
      </c>
      <c r="S203" t="str">
        <v>Not irrigated</v>
      </c>
      <c r="T203">
        <v>0</v>
      </c>
      <c r="U203">
        <v>0</v>
      </c>
      <c r="V203" t="str">
        <v>8</v>
      </c>
      <c r="W203">
        <v>0</v>
      </c>
      <c r="X203">
        <v>0</v>
      </c>
      <c r="Y203">
        <v>0</v>
      </c>
      <c r="Z203">
        <v>0</v>
      </c>
      <c r="AA203">
        <v>0</v>
      </c>
      <c r="AB203" t="str">
        <v>HI</v>
      </c>
      <c r="AC203">
        <v>0</v>
      </c>
      <c r="AD203" t="str">
        <v>1900</v>
      </c>
      <c r="AE203">
        <v>0</v>
      </c>
      <c r="AF203">
        <v>0</v>
      </c>
      <c r="AG203">
        <v>0</v>
      </c>
      <c r="AH203">
        <v>0</v>
      </c>
      <c r="AI203">
        <v>226.0856414773904</v>
      </c>
      <c r="AJ203">
        <v>3183.3440809485119</v>
      </c>
      <c r="AK203">
        <v>0</v>
      </c>
    </row>
    <row r="204" spans="1:37" x14ac:dyDescent="0.25">
      <c r="A204">
        <v>78</v>
      </c>
      <c r="B204" t="str">
        <v>VV-00321</v>
      </c>
      <c r="C204" t="str">
        <v>VV</v>
      </c>
      <c r="D204">
        <v>0</v>
      </c>
      <c r="E204" t="str">
        <v>MM</v>
      </c>
      <c r="F204" t="str">
        <v>&lt;Null&gt;</v>
      </c>
      <c r="G204">
        <v>45839</v>
      </c>
      <c r="H204">
        <v>0</v>
      </c>
      <c r="I204" t="str">
        <v>Globe Equity Decree</v>
      </c>
      <c r="J204" t="str">
        <v>Gila River</v>
      </c>
      <c r="K204" t="str">
        <v>GR</v>
      </c>
      <c r="L204" t="str">
        <v>Virden Valley</v>
      </c>
      <c r="M204" t="str">
        <v>VV</v>
      </c>
      <c r="N204" t="str">
        <v>Sunset Ditch</v>
      </c>
      <c r="O204" t="str">
        <v>FA</v>
      </c>
      <c r="P204" t="str">
        <v>Fallow, idle or otherwise not irrigated</v>
      </c>
      <c r="Q204">
        <v>0.28203551073289213</v>
      </c>
      <c r="R204" t="str">
        <v>4</v>
      </c>
      <c r="S204" t="str">
        <v>Not irrigated</v>
      </c>
      <c r="T204">
        <v>0</v>
      </c>
      <c r="U204">
        <v>0</v>
      </c>
      <c r="V204" t="str">
        <v>8</v>
      </c>
      <c r="W204">
        <v>0</v>
      </c>
      <c r="X204">
        <v>0</v>
      </c>
      <c r="Y204">
        <v>0</v>
      </c>
      <c r="Z204">
        <v>0</v>
      </c>
      <c r="AA204">
        <v>0</v>
      </c>
      <c r="AB204" t="str">
        <v>HI</v>
      </c>
      <c r="AC204">
        <v>0</v>
      </c>
      <c r="AD204" t="str">
        <v>1900</v>
      </c>
      <c r="AE204">
        <v>0</v>
      </c>
      <c r="AF204">
        <v>0</v>
      </c>
      <c r="AG204">
        <v>0</v>
      </c>
      <c r="AH204">
        <v>0</v>
      </c>
      <c r="AI204">
        <v>153.11416807364091</v>
      </c>
      <c r="AJ204">
        <v>1141.361783396836</v>
      </c>
      <c r="AK204">
        <v>0</v>
      </c>
    </row>
    <row r="205" spans="1:37" x14ac:dyDescent="0.25">
      <c r="A205">
        <v>79</v>
      </c>
      <c r="B205" t="str">
        <v>VV-00321</v>
      </c>
      <c r="C205" t="str">
        <v>VV</v>
      </c>
      <c r="D205">
        <v>0</v>
      </c>
      <c r="E205" t="str">
        <v>MM</v>
      </c>
      <c r="F205" t="str">
        <v>&lt;Null&gt;</v>
      </c>
      <c r="G205">
        <v>45839</v>
      </c>
      <c r="H205">
        <v>0</v>
      </c>
      <c r="I205" t="str">
        <v>Globe Equity Decree</v>
      </c>
      <c r="J205" t="str">
        <v>Gila River</v>
      </c>
      <c r="K205" t="str">
        <v>GR</v>
      </c>
      <c r="L205" t="str">
        <v>Virden Valley</v>
      </c>
      <c r="M205" t="str">
        <v>VV</v>
      </c>
      <c r="N205" t="str">
        <v>Sunset Ditch</v>
      </c>
      <c r="O205" t="str">
        <v>FA</v>
      </c>
      <c r="P205" t="str">
        <v>Fallow, idle or otherwise not irrigated</v>
      </c>
      <c r="Q205">
        <v>0.74692053799143021</v>
      </c>
      <c r="R205" t="str">
        <v>4</v>
      </c>
      <c r="S205" t="str">
        <v>Not irrigated</v>
      </c>
      <c r="T205">
        <v>0</v>
      </c>
      <c r="U205">
        <v>0</v>
      </c>
      <c r="V205" t="str">
        <v>8</v>
      </c>
      <c r="W205">
        <v>0</v>
      </c>
      <c r="X205">
        <v>0</v>
      </c>
      <c r="Y205">
        <v>0</v>
      </c>
      <c r="Z205">
        <v>0</v>
      </c>
      <c r="AA205">
        <v>0</v>
      </c>
      <c r="AB205" t="str">
        <v>HI</v>
      </c>
      <c r="AC205">
        <v>0</v>
      </c>
      <c r="AD205" t="str">
        <v>1900</v>
      </c>
      <c r="AE205">
        <v>0</v>
      </c>
      <c r="AF205">
        <v>0</v>
      </c>
      <c r="AG205">
        <v>0</v>
      </c>
      <c r="AH205">
        <v>0</v>
      </c>
      <c r="AI205">
        <v>220.05205788813589</v>
      </c>
      <c r="AJ205">
        <v>3022.69226695006</v>
      </c>
      <c r="AK205">
        <v>0</v>
      </c>
    </row>
    <row r="206" spans="1:37" x14ac:dyDescent="0.25">
      <c r="A206">
        <v>80</v>
      </c>
      <c r="B206" t="str">
        <v>VV-00321</v>
      </c>
      <c r="C206" t="str">
        <v>VV</v>
      </c>
      <c r="D206">
        <v>0</v>
      </c>
      <c r="E206" t="str">
        <v>MM</v>
      </c>
      <c r="F206" t="str">
        <v>&lt;Null&gt;</v>
      </c>
      <c r="G206">
        <v>45839</v>
      </c>
      <c r="H206">
        <v>0</v>
      </c>
      <c r="I206" t="str">
        <v>Globe Equity Decree</v>
      </c>
      <c r="J206" t="str">
        <v>Gila River</v>
      </c>
      <c r="K206" t="str">
        <v>GR</v>
      </c>
      <c r="L206" t="str">
        <v>Virden Valley</v>
      </c>
      <c r="M206" t="str">
        <v>VV</v>
      </c>
      <c r="N206" t="str">
        <v>Sunset Ditch</v>
      </c>
      <c r="O206" t="str">
        <v>FA</v>
      </c>
      <c r="P206" t="str">
        <v>Fallow, idle or otherwise not irrigated</v>
      </c>
      <c r="Q206">
        <v>0.41094746849751418</v>
      </c>
      <c r="R206" t="str">
        <v>4</v>
      </c>
      <c r="S206" t="str">
        <v>Not irrigated</v>
      </c>
      <c r="T206">
        <v>0</v>
      </c>
      <c r="U206">
        <v>0</v>
      </c>
      <c r="V206" t="str">
        <v>8</v>
      </c>
      <c r="W206">
        <v>0</v>
      </c>
      <c r="X206">
        <v>0</v>
      </c>
      <c r="Y206">
        <v>0</v>
      </c>
      <c r="Z206">
        <v>0</v>
      </c>
      <c r="AA206">
        <v>0</v>
      </c>
      <c r="AB206" t="str">
        <v>HI</v>
      </c>
      <c r="AC206">
        <v>0</v>
      </c>
      <c r="AD206" t="str">
        <v>1900</v>
      </c>
      <c r="AE206">
        <v>0</v>
      </c>
      <c r="AF206">
        <v>0</v>
      </c>
      <c r="AG206">
        <v>0</v>
      </c>
      <c r="AH206">
        <v>0</v>
      </c>
      <c r="AI206">
        <v>196.1268729796634</v>
      </c>
      <c r="AJ206">
        <v>1663.052054359752</v>
      </c>
      <c r="AK206">
        <v>0</v>
      </c>
    </row>
    <row r="207" spans="1:37" x14ac:dyDescent="0.25">
      <c r="A207">
        <v>81</v>
      </c>
      <c r="B207" t="str">
        <v>VV-00313</v>
      </c>
      <c r="C207" t="str">
        <v>VV</v>
      </c>
      <c r="D207">
        <v>0</v>
      </c>
      <c r="E207" t="str">
        <v>MM</v>
      </c>
      <c r="F207" t="str">
        <v>&lt;Null&gt;</v>
      </c>
      <c r="G207">
        <v>45839</v>
      </c>
      <c r="H207">
        <v>0</v>
      </c>
      <c r="I207" t="str">
        <v>Globe Equity Decree</v>
      </c>
      <c r="J207" t="str">
        <v>Gila River</v>
      </c>
      <c r="K207" t="str">
        <v>GR</v>
      </c>
      <c r="L207" t="str">
        <v>Virden Valley</v>
      </c>
      <c r="M207" t="str">
        <v>VV</v>
      </c>
      <c r="N207" t="str">
        <v>Sunset Ditch</v>
      </c>
      <c r="O207" t="str">
        <v>FA</v>
      </c>
      <c r="P207" t="str">
        <v>Fallow, idle or otherwise not irrigated</v>
      </c>
      <c r="Q207">
        <v>8.7673101204266968E-2</v>
      </c>
      <c r="R207" t="str">
        <v>4</v>
      </c>
      <c r="S207" t="str">
        <v>Not irrigated</v>
      </c>
      <c r="T207">
        <v>0</v>
      </c>
      <c r="U207">
        <v>0</v>
      </c>
      <c r="V207" t="str">
        <v>8</v>
      </c>
      <c r="W207">
        <v>0</v>
      </c>
      <c r="X207">
        <v>0</v>
      </c>
      <c r="Y207">
        <v>0</v>
      </c>
      <c r="Z207">
        <v>0</v>
      </c>
      <c r="AA207">
        <v>0</v>
      </c>
      <c r="AB207" t="str">
        <v>HI</v>
      </c>
      <c r="AC207">
        <v>0</v>
      </c>
      <c r="AD207" t="str">
        <v>1900</v>
      </c>
      <c r="AE207">
        <v>0</v>
      </c>
      <c r="AF207">
        <v>0</v>
      </c>
      <c r="AG207">
        <v>0</v>
      </c>
      <c r="AH207">
        <v>0</v>
      </c>
      <c r="AI207">
        <v>127.46137325357481</v>
      </c>
      <c r="AJ207">
        <v>354.80187188628128</v>
      </c>
      <c r="AK207">
        <v>0</v>
      </c>
    </row>
    <row r="208" spans="1:37" x14ac:dyDescent="0.25">
      <c r="A208">
        <v>82</v>
      </c>
      <c r="B208" t="str">
        <v>VV-00313</v>
      </c>
      <c r="C208" t="str">
        <v>VV</v>
      </c>
      <c r="D208">
        <v>0</v>
      </c>
      <c r="E208" t="str">
        <v>MM</v>
      </c>
      <c r="F208" t="str">
        <v>&lt;Null&gt;</v>
      </c>
      <c r="G208">
        <v>45839</v>
      </c>
      <c r="H208">
        <v>0</v>
      </c>
      <c r="I208" t="str">
        <v>Globe Equity Decree</v>
      </c>
      <c r="J208" t="str">
        <v>Gila River</v>
      </c>
      <c r="K208" t="str">
        <v>GR</v>
      </c>
      <c r="L208" t="str">
        <v>Virden Valley</v>
      </c>
      <c r="M208" t="str">
        <v>VV</v>
      </c>
      <c r="N208" t="str">
        <v>Sunset Ditch</v>
      </c>
      <c r="O208" t="str">
        <v>FA</v>
      </c>
      <c r="P208" t="str">
        <v>Fallow, idle or otherwise not irrigated</v>
      </c>
      <c r="Q208">
        <v>0.74861680387355645</v>
      </c>
      <c r="R208" t="str">
        <v>4</v>
      </c>
      <c r="S208" t="str">
        <v>Not irrigated</v>
      </c>
      <c r="T208">
        <v>0</v>
      </c>
      <c r="U208">
        <v>0</v>
      </c>
      <c r="V208" t="str">
        <v>8</v>
      </c>
      <c r="W208">
        <v>0</v>
      </c>
      <c r="X208">
        <v>0</v>
      </c>
      <c r="Y208">
        <v>0</v>
      </c>
      <c r="Z208">
        <v>0</v>
      </c>
      <c r="AA208">
        <v>0</v>
      </c>
      <c r="AB208" t="str">
        <v>HI</v>
      </c>
      <c r="AC208">
        <v>0</v>
      </c>
      <c r="AD208" t="str">
        <v>1900</v>
      </c>
      <c r="AE208">
        <v>0</v>
      </c>
      <c r="AF208">
        <v>0</v>
      </c>
      <c r="AG208">
        <v>0</v>
      </c>
      <c r="AH208">
        <v>0</v>
      </c>
      <c r="AI208">
        <v>220.42323023690059</v>
      </c>
      <c r="AJ208">
        <v>3029.5568388874999</v>
      </c>
      <c r="AK208">
        <v>0</v>
      </c>
    </row>
    <row r="209" spans="1:37" x14ac:dyDescent="0.25">
      <c r="A209">
        <v>83</v>
      </c>
      <c r="B209" t="str">
        <v>VV-00313</v>
      </c>
      <c r="C209" t="str">
        <v>VV</v>
      </c>
      <c r="D209">
        <v>0</v>
      </c>
      <c r="E209" t="str">
        <v>MM</v>
      </c>
      <c r="F209" t="str">
        <v>&lt;Null&gt;</v>
      </c>
      <c r="G209">
        <v>45839</v>
      </c>
      <c r="H209">
        <v>0</v>
      </c>
      <c r="I209" t="str">
        <v>Globe Equity Decree</v>
      </c>
      <c r="J209" t="str">
        <v>Gila River</v>
      </c>
      <c r="K209" t="str">
        <v>GR</v>
      </c>
      <c r="L209" t="str">
        <v>Virden Valley</v>
      </c>
      <c r="M209" t="str">
        <v>VV</v>
      </c>
      <c r="N209" t="str">
        <v>Sunset Ditch</v>
      </c>
      <c r="O209" t="str">
        <v>FA</v>
      </c>
      <c r="P209" t="str">
        <v>Fallow, idle or otherwise not irrigated</v>
      </c>
      <c r="Q209">
        <v>0.85226753810221711</v>
      </c>
      <c r="R209" t="str">
        <v>4</v>
      </c>
      <c r="S209" t="str">
        <v>Not irrigated</v>
      </c>
      <c r="T209">
        <v>0</v>
      </c>
      <c r="U209">
        <v>0</v>
      </c>
      <c r="V209" t="str">
        <v>8</v>
      </c>
      <c r="W209">
        <v>0</v>
      </c>
      <c r="X209">
        <v>0</v>
      </c>
      <c r="Y209">
        <v>0</v>
      </c>
      <c r="Z209">
        <v>0</v>
      </c>
      <c r="AA209">
        <v>0</v>
      </c>
      <c r="AB209" t="str">
        <v>HI</v>
      </c>
      <c r="AC209">
        <v>0</v>
      </c>
      <c r="AD209" t="str">
        <v>1900</v>
      </c>
      <c r="AE209">
        <v>0</v>
      </c>
      <c r="AF209">
        <v>0</v>
      </c>
      <c r="AG209">
        <v>0</v>
      </c>
      <c r="AH209">
        <v>0</v>
      </c>
      <c r="AI209">
        <v>235.0600202960938</v>
      </c>
      <c r="AJ209">
        <v>3449.018156230823</v>
      </c>
      <c r="AK209">
        <v>0</v>
      </c>
    </row>
    <row r="210" spans="1:37" x14ac:dyDescent="0.25">
      <c r="A210">
        <v>84</v>
      </c>
      <c r="B210" t="str">
        <v>VV-00313</v>
      </c>
      <c r="C210" t="str">
        <v>VV</v>
      </c>
      <c r="D210">
        <v>0</v>
      </c>
      <c r="E210" t="str">
        <v>MM</v>
      </c>
      <c r="F210" t="str">
        <v>&lt;Null&gt;</v>
      </c>
      <c r="G210">
        <v>45839</v>
      </c>
      <c r="H210">
        <v>0</v>
      </c>
      <c r="I210" t="str">
        <v>Globe Equity Decree</v>
      </c>
      <c r="J210" t="str">
        <v>Gila River</v>
      </c>
      <c r="K210" t="str">
        <v>GR</v>
      </c>
      <c r="L210" t="str">
        <v>Virden Valley</v>
      </c>
      <c r="M210" t="str">
        <v>VV</v>
      </c>
      <c r="N210" t="str">
        <v>Sunset Ditch</v>
      </c>
      <c r="O210" t="str">
        <v>FA</v>
      </c>
      <c r="P210" t="str">
        <v>Fallow, idle or otherwise not irrigated</v>
      </c>
      <c r="Q210">
        <v>0.79947595222876899</v>
      </c>
      <c r="R210" t="str">
        <v>4</v>
      </c>
      <c r="S210" t="str">
        <v>Not irrigated</v>
      </c>
      <c r="T210">
        <v>0</v>
      </c>
      <c r="U210">
        <v>0</v>
      </c>
      <c r="V210" t="str">
        <v>8</v>
      </c>
      <c r="W210">
        <v>0</v>
      </c>
      <c r="X210">
        <v>0</v>
      </c>
      <c r="Y210">
        <v>0</v>
      </c>
      <c r="Z210">
        <v>0</v>
      </c>
      <c r="AA210">
        <v>0</v>
      </c>
      <c r="AB210" t="str">
        <v>HI</v>
      </c>
      <c r="AC210">
        <v>0</v>
      </c>
      <c r="AD210" t="str">
        <v>1900</v>
      </c>
      <c r="AE210">
        <v>0</v>
      </c>
      <c r="AF210">
        <v>0</v>
      </c>
      <c r="AG210">
        <v>0</v>
      </c>
      <c r="AH210">
        <v>0</v>
      </c>
      <c r="AI210">
        <v>227.5674247500763</v>
      </c>
      <c r="AJ210">
        <v>3235.3773333277409</v>
      </c>
      <c r="AK210">
        <v>0</v>
      </c>
    </row>
    <row r="211" spans="1:37" x14ac:dyDescent="0.25">
      <c r="A211">
        <v>85</v>
      </c>
      <c r="B211" t="str">
        <v>VV-00314</v>
      </c>
      <c r="C211" t="str">
        <v>VV</v>
      </c>
      <c r="D211">
        <v>0</v>
      </c>
      <c r="E211" t="str">
        <v>MM</v>
      </c>
      <c r="F211" t="str">
        <v>&lt;Null&gt;</v>
      </c>
      <c r="G211">
        <v>45839</v>
      </c>
      <c r="H211">
        <v>0</v>
      </c>
      <c r="I211" t="str">
        <v>Globe Equity Decree</v>
      </c>
      <c r="J211" t="str">
        <v>Gila River</v>
      </c>
      <c r="K211" t="str">
        <v>GR</v>
      </c>
      <c r="L211" t="str">
        <v>Virden Valley</v>
      </c>
      <c r="M211" t="str">
        <v>VV</v>
      </c>
      <c r="N211" t="str">
        <v>Sunset Ditch</v>
      </c>
      <c r="O211" t="str">
        <v>FA</v>
      </c>
      <c r="P211" t="str">
        <v>Fallow, idle or otherwise not irrigated</v>
      </c>
      <c r="Q211">
        <v>1.110805150171793</v>
      </c>
      <c r="R211" t="str">
        <v>4</v>
      </c>
      <c r="S211" t="str">
        <v>Not irrigated</v>
      </c>
      <c r="T211">
        <v>0</v>
      </c>
      <c r="U211">
        <v>0</v>
      </c>
      <c r="V211" t="str">
        <v>8</v>
      </c>
      <c r="W211">
        <v>0</v>
      </c>
      <c r="X211">
        <v>0</v>
      </c>
      <c r="Y211">
        <v>0</v>
      </c>
      <c r="Z211">
        <v>0</v>
      </c>
      <c r="AA211">
        <v>0</v>
      </c>
      <c r="AB211" t="str">
        <v>HI</v>
      </c>
      <c r="AC211">
        <v>0</v>
      </c>
      <c r="AD211" t="str">
        <v>1900</v>
      </c>
      <c r="AE211">
        <v>0</v>
      </c>
      <c r="AF211">
        <v>0</v>
      </c>
      <c r="AG211">
        <v>0</v>
      </c>
      <c r="AH211">
        <v>0</v>
      </c>
      <c r="AI211">
        <v>269.95015404840058</v>
      </c>
      <c r="AJ211">
        <v>4495.2869371374854</v>
      </c>
      <c r="AK211">
        <v>0</v>
      </c>
    </row>
    <row r="212" spans="1:37" x14ac:dyDescent="0.25">
      <c r="A212">
        <v>90</v>
      </c>
      <c r="B212" t="str">
        <v>VV-00315</v>
      </c>
      <c r="C212" t="str">
        <v>VV</v>
      </c>
      <c r="D212">
        <v>0</v>
      </c>
      <c r="E212" t="str">
        <v>MM</v>
      </c>
      <c r="F212" t="str">
        <v>&lt;Null&gt;</v>
      </c>
      <c r="G212">
        <v>45839</v>
      </c>
      <c r="H212">
        <v>0</v>
      </c>
      <c r="I212" t="str">
        <v>Globe Equity Decree</v>
      </c>
      <c r="J212" t="str">
        <v>Gila River</v>
      </c>
      <c r="K212" t="str">
        <v>GR</v>
      </c>
      <c r="L212" t="str">
        <v>Virden Valley</v>
      </c>
      <c r="M212" t="str">
        <v>VV</v>
      </c>
      <c r="N212" t="str">
        <v>Sunset Ditch</v>
      </c>
      <c r="O212" t="str">
        <v>FA</v>
      </c>
      <c r="P212" t="str">
        <v>Fallow, idle or otherwise not irrigated</v>
      </c>
      <c r="Q212">
        <v>1.0262953730817139</v>
      </c>
      <c r="R212" t="str">
        <v>4</v>
      </c>
      <c r="S212" t="str">
        <v>Not irrigated</v>
      </c>
      <c r="T212">
        <v>0</v>
      </c>
      <c r="U212">
        <v>0</v>
      </c>
      <c r="V212" t="str">
        <v>8</v>
      </c>
      <c r="W212">
        <v>0</v>
      </c>
      <c r="X212">
        <v>0</v>
      </c>
      <c r="Y212">
        <v>0</v>
      </c>
      <c r="Z212">
        <v>0</v>
      </c>
      <c r="AA212">
        <v>0</v>
      </c>
      <c r="AB212" t="str">
        <v>HI</v>
      </c>
      <c r="AC212">
        <v>0</v>
      </c>
      <c r="AD212" t="str">
        <v>1900</v>
      </c>
      <c r="AE212">
        <v>0</v>
      </c>
      <c r="AF212">
        <v>0</v>
      </c>
      <c r="AG212">
        <v>0</v>
      </c>
      <c r="AH212">
        <v>0</v>
      </c>
      <c r="AI212">
        <v>259.87226914806092</v>
      </c>
      <c r="AJ212">
        <v>4153.2866349650658</v>
      </c>
      <c r="AK212">
        <v>0</v>
      </c>
    </row>
    <row r="213" spans="1:37" x14ac:dyDescent="0.25">
      <c r="A213">
        <v>93</v>
      </c>
      <c r="B213" t="str">
        <v>VV-00316</v>
      </c>
      <c r="C213" t="str">
        <v>VV</v>
      </c>
      <c r="D213">
        <v>0</v>
      </c>
      <c r="E213" t="str">
        <v>MM</v>
      </c>
      <c r="F213" t="str">
        <v>&lt;Null&gt;</v>
      </c>
      <c r="G213">
        <v>45839</v>
      </c>
      <c r="H213">
        <v>0</v>
      </c>
      <c r="I213" t="str">
        <v>Globe Equity Decree</v>
      </c>
      <c r="J213" t="str">
        <v>Gila River</v>
      </c>
      <c r="K213" t="str">
        <v>GR</v>
      </c>
      <c r="L213" t="str">
        <v>Virden Valley</v>
      </c>
      <c r="M213" t="str">
        <v>VV</v>
      </c>
      <c r="N213" t="str">
        <v>Sunset Ditch</v>
      </c>
      <c r="O213" t="str">
        <v>FA</v>
      </c>
      <c r="P213" t="str">
        <v>Fallow, idle or otherwise not irrigated</v>
      </c>
      <c r="Q213">
        <v>1.045816748113048</v>
      </c>
      <c r="R213" t="str">
        <v>4</v>
      </c>
      <c r="S213" t="str">
        <v>Not irrigated</v>
      </c>
      <c r="T213">
        <v>0</v>
      </c>
      <c r="U213">
        <v>0</v>
      </c>
      <c r="V213" t="str">
        <v>8</v>
      </c>
      <c r="W213">
        <v>0</v>
      </c>
      <c r="X213">
        <v>0</v>
      </c>
      <c r="Y213">
        <v>0</v>
      </c>
      <c r="Z213">
        <v>0</v>
      </c>
      <c r="AA213">
        <v>0</v>
      </c>
      <c r="AB213" t="str">
        <v>HI</v>
      </c>
      <c r="AC213">
        <v>0</v>
      </c>
      <c r="AD213" t="str">
        <v>1900</v>
      </c>
      <c r="AE213">
        <v>0</v>
      </c>
      <c r="AF213">
        <v>0</v>
      </c>
      <c r="AG213">
        <v>0</v>
      </c>
      <c r="AH213">
        <v>0</v>
      </c>
      <c r="AI213">
        <v>262.26289096898307</v>
      </c>
      <c r="AJ213">
        <v>4232.2871528864534</v>
      </c>
      <c r="AK213">
        <v>0</v>
      </c>
    </row>
    <row r="214" spans="1:37" x14ac:dyDescent="0.25">
      <c r="A214">
        <v>102</v>
      </c>
      <c r="B214">
        <v>0</v>
      </c>
      <c r="C214" t="str">
        <v>VV</v>
      </c>
      <c r="D214">
        <v>0</v>
      </c>
      <c r="E214" t="str">
        <v>MM</v>
      </c>
      <c r="F214" t="str">
        <v>&lt;Null&gt;</v>
      </c>
      <c r="G214">
        <v>45839</v>
      </c>
      <c r="H214">
        <v>0</v>
      </c>
      <c r="I214" t="str">
        <v>Globe Equity Decree</v>
      </c>
      <c r="J214" t="str">
        <v>Gila River</v>
      </c>
      <c r="K214" t="str">
        <v>GR</v>
      </c>
      <c r="L214" t="str">
        <v>Virden Valey</v>
      </c>
      <c r="M214" t="str">
        <v>VV</v>
      </c>
      <c r="N214" t="str">
        <v>Sunset Canal</v>
      </c>
      <c r="O214" t="str">
        <v>FA</v>
      </c>
      <c r="P214" t="str">
        <v>Fallow, idle or otherwise not irrigated</v>
      </c>
      <c r="Q214">
        <v>12.069566529362319</v>
      </c>
      <c r="R214" t="str">
        <v>4</v>
      </c>
      <c r="S214" t="str">
        <v>Not irrigated</v>
      </c>
      <c r="T214">
        <v>0</v>
      </c>
      <c r="U214">
        <v>0</v>
      </c>
      <c r="V214" t="str">
        <v>8</v>
      </c>
      <c r="W214">
        <v>0</v>
      </c>
      <c r="X214">
        <v>0</v>
      </c>
      <c r="Y214">
        <v>0</v>
      </c>
      <c r="Z214">
        <v>0</v>
      </c>
      <c r="AA214">
        <v>0</v>
      </c>
      <c r="AB214" t="str">
        <v>HI</v>
      </c>
      <c r="AC214" t="str">
        <v>76 Slash Cattle, LLC  c/o Jim W. Haught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2602.73559530579</v>
      </c>
      <c r="AJ214">
        <v>48843.998200731403</v>
      </c>
      <c r="AK214">
        <v>0</v>
      </c>
    </row>
    <row r="215" spans="1:37" x14ac:dyDescent="0.25">
      <c r="A215">
        <v>104</v>
      </c>
      <c r="B215">
        <v>0</v>
      </c>
      <c r="C215" t="str">
        <v>VV</v>
      </c>
      <c r="D215">
        <v>0</v>
      </c>
      <c r="E215" t="str">
        <v>MM</v>
      </c>
      <c r="F215" t="str">
        <v>&lt;Null&gt;</v>
      </c>
      <c r="G215">
        <v>45839</v>
      </c>
      <c r="H215">
        <v>0</v>
      </c>
      <c r="I215" t="str">
        <v>Globe Equity Decree</v>
      </c>
      <c r="J215" t="str">
        <v>Gila River</v>
      </c>
      <c r="K215" t="str">
        <v>GR</v>
      </c>
      <c r="L215" t="str">
        <v>Virden Valey</v>
      </c>
      <c r="M215" t="str">
        <v>VV</v>
      </c>
      <c r="N215" t="str">
        <v>Sunset Canal</v>
      </c>
      <c r="O215" t="str">
        <v>FA</v>
      </c>
      <c r="P215" t="str">
        <v>Fallow, idle or otherwise not irrigated</v>
      </c>
      <c r="Q215">
        <v>2.7148742286858281</v>
      </c>
      <c r="R215" t="str">
        <v>4</v>
      </c>
      <c r="S215" t="str">
        <v>Not irrigated</v>
      </c>
      <c r="T215">
        <v>0</v>
      </c>
      <c r="U215">
        <v>0</v>
      </c>
      <c r="V215" t="str">
        <v>8</v>
      </c>
      <c r="W215">
        <v>0</v>
      </c>
      <c r="X215">
        <v>0</v>
      </c>
      <c r="Y215">
        <v>0</v>
      </c>
      <c r="Z215">
        <v>0</v>
      </c>
      <c r="AA215">
        <v>0</v>
      </c>
      <c r="AB215" t="str">
        <v>HI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455.1193508213658</v>
      </c>
      <c r="AJ215">
        <v>10986.750155322159</v>
      </c>
      <c r="AK215">
        <v>0</v>
      </c>
    </row>
    <row r="216" spans="1:37" x14ac:dyDescent="0.25">
      <c r="A216">
        <v>105</v>
      </c>
      <c r="B216">
        <v>0</v>
      </c>
      <c r="C216" t="str">
        <v>VV</v>
      </c>
      <c r="D216">
        <v>0</v>
      </c>
      <c r="E216" t="str">
        <v>MM</v>
      </c>
      <c r="F216" t="str">
        <v>&lt;Null&gt;</v>
      </c>
      <c r="G216">
        <v>45839</v>
      </c>
      <c r="H216">
        <v>0</v>
      </c>
      <c r="I216" t="str">
        <v>Globe Equity Decree</v>
      </c>
      <c r="J216" t="str">
        <v>Gila River</v>
      </c>
      <c r="K216" t="str">
        <v>GR</v>
      </c>
      <c r="L216" t="str">
        <v>Virden Valey</v>
      </c>
      <c r="M216" t="str">
        <v>VV</v>
      </c>
      <c r="N216" t="str">
        <v>Sunset Canal</v>
      </c>
      <c r="O216" t="str">
        <v>FA</v>
      </c>
      <c r="P216" t="str">
        <v>Fallow, idle or otherwise not irrigated</v>
      </c>
      <c r="Q216">
        <v>3.16891903104634</v>
      </c>
      <c r="R216" t="str">
        <v>4</v>
      </c>
      <c r="S216" t="str">
        <v>Not irrigated</v>
      </c>
      <c r="T216">
        <v>0</v>
      </c>
      <c r="U216">
        <v>0</v>
      </c>
      <c r="V216" t="str">
        <v>10</v>
      </c>
      <c r="W216">
        <v>0</v>
      </c>
      <c r="X216">
        <v>0</v>
      </c>
      <c r="Y216" t="str">
        <v>T19S</v>
      </c>
      <c r="Z216" t="str">
        <v>R21W</v>
      </c>
      <c r="AA216" t="str">
        <v>4</v>
      </c>
      <c r="AB216" t="str">
        <v>HI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628.12120360959079</v>
      </c>
      <c r="AJ216">
        <v>12824.21162965069</v>
      </c>
      <c r="AK216">
        <v>0</v>
      </c>
    </row>
    <row r="217" spans="1:37" x14ac:dyDescent="0.25">
      <c r="A217">
        <v>108</v>
      </c>
      <c r="B217">
        <v>0</v>
      </c>
      <c r="C217" t="str">
        <v>VV</v>
      </c>
      <c r="D217">
        <v>0</v>
      </c>
      <c r="E217" t="str">
        <v>MM</v>
      </c>
      <c r="F217" t="str">
        <v>&lt;Null&gt;</v>
      </c>
      <c r="G217">
        <v>45838</v>
      </c>
      <c r="H217">
        <v>0</v>
      </c>
      <c r="I217" t="str">
        <v>Arizona v California</v>
      </c>
      <c r="J217" t="str">
        <v>Gila River</v>
      </c>
      <c r="K217" t="str">
        <v>GR</v>
      </c>
      <c r="L217" t="str">
        <v>Virden Valey</v>
      </c>
      <c r="M217" t="str">
        <v>VV</v>
      </c>
      <c r="N217">
        <v>0</v>
      </c>
      <c r="O217" t="str">
        <v>FA</v>
      </c>
      <c r="P217" t="str">
        <v>Fallow, idle or otherwise not irrigated</v>
      </c>
      <c r="Q217">
        <v>4.9633665321863614</v>
      </c>
      <c r="R217" t="str">
        <v>4</v>
      </c>
      <c r="S217" t="str">
        <v>Not irrigated</v>
      </c>
      <c r="T217">
        <v>0</v>
      </c>
      <c r="U217">
        <v>0</v>
      </c>
      <c r="V217" t="str">
        <v>4</v>
      </c>
      <c r="W217">
        <v>0</v>
      </c>
      <c r="X217">
        <v>0</v>
      </c>
      <c r="Y217">
        <v>0</v>
      </c>
      <c r="Z217">
        <v>0</v>
      </c>
      <c r="AA217">
        <v>0</v>
      </c>
      <c r="AB217" t="str">
        <v>HI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702.96046278661629</v>
      </c>
      <c r="AJ217">
        <v>20086.112071871539</v>
      </c>
      <c r="AK217">
        <v>0</v>
      </c>
    </row>
    <row r="218" spans="1:37" x14ac:dyDescent="0.25">
      <c r="A218">
        <v>113</v>
      </c>
      <c r="B218">
        <v>0</v>
      </c>
      <c r="C218" t="str">
        <v>VV</v>
      </c>
      <c r="D218">
        <v>0</v>
      </c>
      <c r="E218" t="str">
        <v>MM</v>
      </c>
      <c r="F218" t="str">
        <v>&lt;Null&gt;</v>
      </c>
      <c r="G218">
        <v>45839</v>
      </c>
      <c r="H218">
        <v>0</v>
      </c>
      <c r="I218" t="str">
        <v>Globe Equity Decree</v>
      </c>
      <c r="J218" t="str">
        <v>Gila River</v>
      </c>
      <c r="K218" t="str">
        <v>GR</v>
      </c>
      <c r="L218" t="str">
        <v>Virden Valey</v>
      </c>
      <c r="M218" t="str">
        <v>VV</v>
      </c>
      <c r="N218" t="str">
        <v>Sunset Canal</v>
      </c>
      <c r="O218" t="str">
        <v>FA</v>
      </c>
      <c r="P218" t="str">
        <v>Fallow, idle or otherwise not irrigated</v>
      </c>
      <c r="Q218">
        <v>2.561511278045514</v>
      </c>
      <c r="R218" t="str">
        <v>4</v>
      </c>
      <c r="S218" t="str">
        <v>Not irrigated</v>
      </c>
      <c r="T218">
        <v>0</v>
      </c>
      <c r="U218">
        <v>0</v>
      </c>
      <c r="V218" t="str">
        <v>10</v>
      </c>
      <c r="W218">
        <v>0</v>
      </c>
      <c r="X218">
        <v>0</v>
      </c>
      <c r="Y218" t="str">
        <v>T19S</v>
      </c>
      <c r="Z218" t="str">
        <v>R21W</v>
      </c>
      <c r="AA218" t="str">
        <v>4</v>
      </c>
      <c r="AB218" t="str">
        <v>HI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1823.283428393795</v>
      </c>
      <c r="AJ218">
        <v>10366.109831006381</v>
      </c>
      <c r="AK218">
        <v>0</v>
      </c>
    </row>
    <row r="219" spans="1:37" x14ac:dyDescent="0.25">
      <c r="A219">
        <v>114</v>
      </c>
      <c r="B219">
        <v>0</v>
      </c>
      <c r="C219" t="str">
        <v>VV</v>
      </c>
      <c r="D219">
        <v>0</v>
      </c>
      <c r="E219" t="str">
        <v>MM</v>
      </c>
      <c r="F219" t="str">
        <v>&lt;Null&gt;</v>
      </c>
      <c r="G219">
        <v>45839</v>
      </c>
      <c r="H219">
        <v>0</v>
      </c>
      <c r="I219" t="str">
        <v>Globe Equity Decree</v>
      </c>
      <c r="J219" t="str">
        <v>Gila River</v>
      </c>
      <c r="K219" t="str">
        <v>GR</v>
      </c>
      <c r="L219" t="str">
        <v>Virden Valey</v>
      </c>
      <c r="M219" t="str">
        <v>VV</v>
      </c>
      <c r="N219" t="str">
        <v>Sunset Canal</v>
      </c>
      <c r="O219" t="str">
        <v>FA</v>
      </c>
      <c r="P219" t="str">
        <v>Fallow, idle or otherwise not irrigated</v>
      </c>
      <c r="Q219">
        <v>13.22775158905867</v>
      </c>
      <c r="R219" t="str">
        <v>4</v>
      </c>
      <c r="S219" t="str">
        <v>Not irrigated</v>
      </c>
      <c r="T219">
        <v>0</v>
      </c>
      <c r="U219">
        <v>0</v>
      </c>
      <c r="V219" t="str">
        <v>10</v>
      </c>
      <c r="W219">
        <v>0</v>
      </c>
      <c r="X219">
        <v>0</v>
      </c>
      <c r="Y219" t="str">
        <v>T19S</v>
      </c>
      <c r="Z219" t="str">
        <v>R21W</v>
      </c>
      <c r="AA219">
        <v>0</v>
      </c>
      <c r="AB219" t="str">
        <v>HI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944.69539654244716</v>
      </c>
      <c r="AJ219">
        <v>53531.025595982152</v>
      </c>
      <c r="AK219">
        <v>0</v>
      </c>
    </row>
    <row r="220" spans="1:37" x14ac:dyDescent="0.25">
      <c r="A220">
        <v>122</v>
      </c>
      <c r="B220">
        <v>0</v>
      </c>
      <c r="C220" t="str">
        <v>VV</v>
      </c>
      <c r="D220">
        <v>0</v>
      </c>
      <c r="E220" t="str">
        <v>MM</v>
      </c>
      <c r="F220">
        <v>0</v>
      </c>
      <c r="G220">
        <v>45839</v>
      </c>
      <c r="H220">
        <v>0</v>
      </c>
      <c r="I220" t="str">
        <v>Globe Equity Decree</v>
      </c>
      <c r="J220" t="str">
        <v>Gila River</v>
      </c>
      <c r="K220" t="str">
        <v>GR</v>
      </c>
      <c r="L220" t="str">
        <v>Virden Valey</v>
      </c>
      <c r="M220" t="str">
        <v>VV</v>
      </c>
      <c r="N220" t="str">
        <v>Sunset Canal</v>
      </c>
      <c r="O220" t="str">
        <v>FA</v>
      </c>
      <c r="P220" t="str">
        <v>Fallow, idle or otherwise not irrigated</v>
      </c>
      <c r="Q220">
        <v>3.2608051186937321</v>
      </c>
      <c r="R220" t="str">
        <v>4</v>
      </c>
      <c r="S220" t="str">
        <v>Not irrigated</v>
      </c>
      <c r="T220">
        <v>0</v>
      </c>
      <c r="U220">
        <v>0</v>
      </c>
      <c r="V220" t="str">
        <v>9</v>
      </c>
      <c r="W220">
        <v>0</v>
      </c>
      <c r="X220">
        <v>0</v>
      </c>
      <c r="Y220">
        <v>0</v>
      </c>
      <c r="Z220">
        <v>0</v>
      </c>
      <c r="AA220">
        <v>0</v>
      </c>
      <c r="AB220" t="str">
        <v>HI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450.89950138715648</v>
      </c>
      <c r="AJ220">
        <v>13196.062920979421</v>
      </c>
      <c r="AK220">
        <v>0</v>
      </c>
    </row>
    <row r="221" spans="1:37" x14ac:dyDescent="0.25">
      <c r="A221">
        <v>128</v>
      </c>
      <c r="B221">
        <v>0</v>
      </c>
      <c r="C221" t="str">
        <v>VV</v>
      </c>
      <c r="D221">
        <v>0</v>
      </c>
      <c r="E221" t="str">
        <v>MM</v>
      </c>
      <c r="F221" t="str">
        <v>&lt;Null&gt;</v>
      </c>
      <c r="G221">
        <v>45839</v>
      </c>
      <c r="H221">
        <v>0</v>
      </c>
      <c r="I221" t="str">
        <v>Globe Equity Decree</v>
      </c>
      <c r="J221" t="str">
        <v>Gila River</v>
      </c>
      <c r="K221" t="str">
        <v>GR</v>
      </c>
      <c r="L221" t="str">
        <v>Virden Valey</v>
      </c>
      <c r="M221" t="str">
        <v>VV</v>
      </c>
      <c r="N221" t="str">
        <v>Sunset Canal</v>
      </c>
      <c r="O221" t="str">
        <v>FA</v>
      </c>
      <c r="P221" t="str">
        <v>Fallow, idle or otherwise not irrigated</v>
      </c>
      <c r="Q221">
        <v>0.77149369811632662</v>
      </c>
      <c r="R221" t="str">
        <v>4</v>
      </c>
      <c r="S221" t="str">
        <v>Not irrigated</v>
      </c>
      <c r="T221">
        <v>0</v>
      </c>
      <c r="U221">
        <v>0</v>
      </c>
      <c r="V221" t="str">
        <v>11</v>
      </c>
      <c r="W221">
        <v>0</v>
      </c>
      <c r="X221">
        <v>0</v>
      </c>
      <c r="Y221" t="str">
        <v>T18S</v>
      </c>
      <c r="Z221" t="str">
        <v>R21W</v>
      </c>
      <c r="AA221" t="str">
        <v>33</v>
      </c>
      <c r="AB221" t="str">
        <v>HI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240.18492600013391</v>
      </c>
      <c r="AJ221">
        <v>3122.1367155975572</v>
      </c>
      <c r="AK221">
        <v>0</v>
      </c>
    </row>
    <row r="222" spans="1:37" x14ac:dyDescent="0.25">
      <c r="A222">
        <v>132</v>
      </c>
      <c r="B222">
        <v>0</v>
      </c>
      <c r="C222" t="str">
        <v>VV</v>
      </c>
      <c r="D222">
        <v>0</v>
      </c>
      <c r="E222" t="str">
        <v>MM</v>
      </c>
      <c r="F222" t="str">
        <v>&lt;Null&gt;</v>
      </c>
      <c r="G222">
        <v>45839</v>
      </c>
      <c r="H222">
        <v>0</v>
      </c>
      <c r="I222" t="str">
        <v>Globe Equity Decree</v>
      </c>
      <c r="J222" t="str">
        <v>Gila River</v>
      </c>
      <c r="K222" t="str">
        <v>GR</v>
      </c>
      <c r="L222" t="str">
        <v>Virden Valey</v>
      </c>
      <c r="M222" t="str">
        <v>VV</v>
      </c>
      <c r="N222" t="str">
        <v>Sunset Canal</v>
      </c>
      <c r="O222" t="str">
        <v>FA</v>
      </c>
      <c r="P222" t="str">
        <v>Fallow, idle or otherwise not irrigated</v>
      </c>
      <c r="Q222">
        <v>11.59811232416936</v>
      </c>
      <c r="R222" t="str">
        <v>4</v>
      </c>
      <c r="S222" t="str">
        <v>Not irrigated</v>
      </c>
      <c r="T222">
        <v>0</v>
      </c>
      <c r="U222">
        <v>0</v>
      </c>
      <c r="V222" t="str">
        <v>11</v>
      </c>
      <c r="W222">
        <v>0</v>
      </c>
      <c r="X222">
        <v>0</v>
      </c>
      <c r="Y222" t="str">
        <v>T18S</v>
      </c>
      <c r="Z222" t="str">
        <v>R21W</v>
      </c>
      <c r="AA222" t="str">
        <v>33</v>
      </c>
      <c r="AB222" t="str">
        <v>HI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939.22696638300704</v>
      </c>
      <c r="AJ222">
        <v>46936.083090925968</v>
      </c>
      <c r="AK222">
        <v>0</v>
      </c>
    </row>
    <row r="223" spans="1:37" x14ac:dyDescent="0.25">
      <c r="A223">
        <v>139</v>
      </c>
      <c r="B223">
        <v>0</v>
      </c>
      <c r="C223" t="str">
        <v>VV</v>
      </c>
      <c r="D223">
        <v>0</v>
      </c>
      <c r="E223" t="str">
        <v>MM</v>
      </c>
      <c r="F223" t="str">
        <v>&lt;Null&gt;</v>
      </c>
      <c r="G223">
        <v>45839</v>
      </c>
      <c r="H223">
        <v>0</v>
      </c>
      <c r="I223" t="str">
        <v>Globe Equity Decree</v>
      </c>
      <c r="J223" t="str">
        <v>Gila River</v>
      </c>
      <c r="K223" t="str">
        <v>GR</v>
      </c>
      <c r="L223" t="str">
        <v>Virden Valey</v>
      </c>
      <c r="M223" t="str">
        <v>VV</v>
      </c>
      <c r="N223" t="str">
        <v>Sunset Canal</v>
      </c>
      <c r="O223" t="str">
        <v>FA</v>
      </c>
      <c r="P223" t="str">
        <v>Fallow, idle or otherwise not irrigated</v>
      </c>
      <c r="Q223">
        <v>18.557467020706522</v>
      </c>
      <c r="R223" t="str">
        <v>4</v>
      </c>
      <c r="S223" t="str">
        <v>Not irrigated</v>
      </c>
      <c r="T223">
        <v>0</v>
      </c>
      <c r="U223">
        <v>0</v>
      </c>
      <c r="V223" t="str">
        <v>11</v>
      </c>
      <c r="W223">
        <v>0</v>
      </c>
      <c r="X223">
        <v>0</v>
      </c>
      <c r="Y223" t="str">
        <v>T18S</v>
      </c>
      <c r="Z223" t="str">
        <v>R21W</v>
      </c>
      <c r="AA223" t="str">
        <v>33</v>
      </c>
      <c r="AB223" t="str">
        <v>HI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1203.715526866752</v>
      </c>
      <c r="AJ223">
        <v>75099.704994741958</v>
      </c>
      <c r="AK223">
        <v>0</v>
      </c>
    </row>
    <row r="224" spans="1:37" x14ac:dyDescent="0.25">
      <c r="A224">
        <v>141</v>
      </c>
      <c r="B224">
        <v>0</v>
      </c>
      <c r="C224" t="str">
        <v>VV</v>
      </c>
      <c r="D224">
        <v>0</v>
      </c>
      <c r="E224" t="str">
        <v>MM</v>
      </c>
      <c r="F224" t="str">
        <v>&lt;Null&gt;</v>
      </c>
      <c r="G224">
        <v>45839</v>
      </c>
      <c r="H224">
        <v>0</v>
      </c>
      <c r="I224" t="str">
        <v>Globe Equity Decree</v>
      </c>
      <c r="J224" t="str">
        <v>Gila River</v>
      </c>
      <c r="K224" t="str">
        <v>GR</v>
      </c>
      <c r="L224" t="str">
        <v>Virden Valey</v>
      </c>
      <c r="M224" t="str">
        <v>VV</v>
      </c>
      <c r="N224" t="str">
        <v>Sunset Canal</v>
      </c>
      <c r="O224" t="str">
        <v>FA</v>
      </c>
      <c r="P224" t="str">
        <v>Fallow, idle or otherwise not irrigated</v>
      </c>
      <c r="Q224">
        <v>1.432757369021872</v>
      </c>
      <c r="R224" t="str">
        <v>4</v>
      </c>
      <c r="S224" t="str">
        <v>Not irrigated</v>
      </c>
      <c r="T224">
        <v>0</v>
      </c>
      <c r="U224">
        <v>0</v>
      </c>
      <c r="V224" t="str">
        <v>13</v>
      </c>
      <c r="W224">
        <v>0</v>
      </c>
      <c r="X224">
        <v>0</v>
      </c>
      <c r="Y224" t="str">
        <v>T18S</v>
      </c>
      <c r="Z224" t="str">
        <v>R21W</v>
      </c>
      <c r="AA224" t="str">
        <v>32</v>
      </c>
      <c r="AB224" t="str">
        <v>HI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303.65910126924189</v>
      </c>
      <c r="AJ224">
        <v>5798.1865532901074</v>
      </c>
      <c r="AK224">
        <v>0</v>
      </c>
    </row>
    <row r="225" spans="1:37" x14ac:dyDescent="0.25">
      <c r="A225">
        <v>143</v>
      </c>
      <c r="B225">
        <v>0</v>
      </c>
      <c r="C225" t="str">
        <v>VV</v>
      </c>
      <c r="D225">
        <v>0</v>
      </c>
      <c r="E225" t="str">
        <v>MM</v>
      </c>
      <c r="F225" t="str">
        <v>&lt;Null&gt;</v>
      </c>
      <c r="G225">
        <v>45839</v>
      </c>
      <c r="H225">
        <v>0</v>
      </c>
      <c r="I225" t="str">
        <v>Globe Equity Decree</v>
      </c>
      <c r="J225" t="str">
        <v>Gila River</v>
      </c>
      <c r="K225" t="str">
        <v>GR</v>
      </c>
      <c r="L225" t="str">
        <v>Virden Valey</v>
      </c>
      <c r="M225" t="str">
        <v>VV</v>
      </c>
      <c r="N225" t="str">
        <v>Sunset Canal</v>
      </c>
      <c r="O225" t="str">
        <v>FA</v>
      </c>
      <c r="P225" t="str">
        <v>Fallow, idle or otherwise not irrigated</v>
      </c>
      <c r="Q225">
        <v>10.468654558377141</v>
      </c>
      <c r="R225" t="str">
        <v>4</v>
      </c>
      <c r="S225" t="str">
        <v>Not irrigated</v>
      </c>
      <c r="T225">
        <v>0</v>
      </c>
      <c r="U225">
        <v>0</v>
      </c>
      <c r="V225" t="str">
        <v>10</v>
      </c>
      <c r="W225">
        <v>0</v>
      </c>
      <c r="X225">
        <v>0</v>
      </c>
      <c r="Y225" t="str">
        <v>T19S</v>
      </c>
      <c r="Z225" t="str">
        <v>R21W</v>
      </c>
      <c r="AA225" t="str">
        <v>4</v>
      </c>
      <c r="AB225" t="str">
        <v>HI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1194.0458915579991</v>
      </c>
      <c r="AJ225">
        <v>42365.311394531687</v>
      </c>
      <c r="AK225">
        <v>0</v>
      </c>
    </row>
    <row r="226" spans="1:37" x14ac:dyDescent="0.25">
      <c r="A226">
        <v>144</v>
      </c>
      <c r="B226">
        <v>0</v>
      </c>
      <c r="C226" t="str">
        <v>VV</v>
      </c>
      <c r="D226">
        <v>0</v>
      </c>
      <c r="E226" t="str">
        <v>MM</v>
      </c>
      <c r="F226" t="str">
        <v>&lt;Null&gt;</v>
      </c>
      <c r="G226">
        <v>45839</v>
      </c>
      <c r="H226">
        <v>0</v>
      </c>
      <c r="I226" t="str">
        <v>Arizona v California</v>
      </c>
      <c r="J226" t="str">
        <v>Gila River</v>
      </c>
      <c r="K226" t="str">
        <v>GR</v>
      </c>
      <c r="L226" t="str">
        <v>Virden Valey</v>
      </c>
      <c r="M226" t="str">
        <v>VV</v>
      </c>
      <c r="N226">
        <v>0</v>
      </c>
      <c r="O226" t="str">
        <v>FA</v>
      </c>
      <c r="P226" t="str">
        <v>Fallow, idle or otherwise not irrigated</v>
      </c>
      <c r="Q226">
        <v>0.81668533028783785</v>
      </c>
      <c r="R226" t="str">
        <v>4</v>
      </c>
      <c r="S226" t="str">
        <v>Not irrigated</v>
      </c>
      <c r="T226">
        <v>0</v>
      </c>
      <c r="U226">
        <v>0</v>
      </c>
      <c r="V226" t="str">
        <v>11</v>
      </c>
      <c r="W226">
        <v>0</v>
      </c>
      <c r="X226">
        <v>0</v>
      </c>
      <c r="Y226" t="str">
        <v>T18S</v>
      </c>
      <c r="Z226" t="str">
        <v>R21W</v>
      </c>
      <c r="AA226" t="str">
        <v>33</v>
      </c>
      <c r="AB226" t="str">
        <v>HI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290.51263040455098</v>
      </c>
      <c r="AJ226">
        <v>3305.021494027957</v>
      </c>
      <c r="AK226">
        <v>0</v>
      </c>
    </row>
    <row r="227" spans="1:37" x14ac:dyDescent="0.25">
      <c r="A227">
        <v>146</v>
      </c>
      <c r="B227">
        <v>0</v>
      </c>
      <c r="C227" t="str">
        <v>VV</v>
      </c>
      <c r="D227">
        <v>0</v>
      </c>
      <c r="E227" t="str">
        <v>MM</v>
      </c>
      <c r="F227" t="str">
        <v>&lt;Null&gt;</v>
      </c>
      <c r="G227">
        <v>45839</v>
      </c>
      <c r="H227">
        <v>0</v>
      </c>
      <c r="I227" t="str">
        <v>Arizona v California</v>
      </c>
      <c r="J227" t="str">
        <v>Gila River</v>
      </c>
      <c r="K227" t="str">
        <v>GR</v>
      </c>
      <c r="L227" t="str">
        <v>Virden Valey</v>
      </c>
      <c r="M227" t="str">
        <v>VV</v>
      </c>
      <c r="N227">
        <v>0</v>
      </c>
      <c r="O227" t="str">
        <v>FA</v>
      </c>
      <c r="P227" t="str">
        <v>Fallow, idle or otherwise not irrigated</v>
      </c>
      <c r="Q227">
        <v>21.923024597723241</v>
      </c>
      <c r="R227" t="str">
        <v>4</v>
      </c>
      <c r="S227" t="str">
        <v>Not irrigated</v>
      </c>
      <c r="T227">
        <v>0</v>
      </c>
      <c r="U227">
        <v>0</v>
      </c>
      <c r="V227" t="str">
        <v>14</v>
      </c>
      <c r="W227">
        <v>0</v>
      </c>
      <c r="X227">
        <v>0</v>
      </c>
      <c r="Y227" t="str">
        <v>T19S</v>
      </c>
      <c r="Z227" t="str">
        <v>R21W</v>
      </c>
      <c r="AA227">
        <v>0</v>
      </c>
      <c r="AB227" t="str">
        <v>HI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2939.261852183</v>
      </c>
      <c r="AJ227">
        <v>88719.68777012566</v>
      </c>
      <c r="AK227">
        <v>0</v>
      </c>
    </row>
    <row r="228" spans="1:37" x14ac:dyDescent="0.25">
      <c r="A228">
        <v>147</v>
      </c>
      <c r="B228">
        <v>0</v>
      </c>
      <c r="C228" t="str">
        <v>VV</v>
      </c>
      <c r="D228">
        <v>0</v>
      </c>
      <c r="E228" t="str">
        <v>MM</v>
      </c>
      <c r="F228" t="str">
        <v>&lt;Null&gt;</v>
      </c>
      <c r="G228">
        <v>45839</v>
      </c>
      <c r="H228">
        <v>0</v>
      </c>
      <c r="I228" t="str">
        <v>Globe Equity Decree</v>
      </c>
      <c r="J228" t="str">
        <v>Gila River</v>
      </c>
      <c r="K228" t="str">
        <v>GR</v>
      </c>
      <c r="L228" t="str">
        <v>Virden Valey</v>
      </c>
      <c r="M228" t="str">
        <v>VV</v>
      </c>
      <c r="N228" t="str">
        <v>New Modell</v>
      </c>
      <c r="O228" t="str">
        <v>FA</v>
      </c>
      <c r="P228" t="str">
        <v>Fallow, idle or otherwise not irrigated</v>
      </c>
      <c r="Q228">
        <v>15.869417880075041</v>
      </c>
      <c r="R228" t="str">
        <v>4</v>
      </c>
      <c r="S228" t="str">
        <v>Not irrigated</v>
      </c>
      <c r="T228">
        <v>0</v>
      </c>
      <c r="U228">
        <v>0</v>
      </c>
      <c r="V228" t="str">
        <v>10</v>
      </c>
      <c r="W228">
        <v>0</v>
      </c>
      <c r="X228">
        <v>0</v>
      </c>
      <c r="Y228" t="str">
        <v>T19S</v>
      </c>
      <c r="Z228" t="str">
        <v>R21W</v>
      </c>
      <c r="AA228" t="str">
        <v>4</v>
      </c>
      <c r="AB228" t="str">
        <v>HI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1006.163117262518</v>
      </c>
      <c r="AJ228">
        <v>64221.512553524401</v>
      </c>
      <c r="AK228">
        <v>0</v>
      </c>
    </row>
    <row r="229" spans="1:37" x14ac:dyDescent="0.25">
      <c r="A229">
        <v>148</v>
      </c>
      <c r="B229">
        <v>0</v>
      </c>
      <c r="C229" t="str">
        <v>VV</v>
      </c>
      <c r="D229">
        <v>0</v>
      </c>
      <c r="E229" t="str">
        <v>MM</v>
      </c>
      <c r="F229" t="str">
        <v>&lt;Null&gt;</v>
      </c>
      <c r="G229">
        <v>45839</v>
      </c>
      <c r="H229">
        <v>0</v>
      </c>
      <c r="I229" t="str">
        <v>Globe Equity Decree</v>
      </c>
      <c r="J229" t="str">
        <v>Gila River</v>
      </c>
      <c r="K229" t="str">
        <v>GR</v>
      </c>
      <c r="L229" t="str">
        <v>Virden Valey</v>
      </c>
      <c r="M229" t="str">
        <v>VV</v>
      </c>
      <c r="N229" t="str">
        <v>New Modell</v>
      </c>
      <c r="O229" t="str">
        <v>FA</v>
      </c>
      <c r="P229" t="str">
        <v>Fallow, idle or otherwise not irrigated</v>
      </c>
      <c r="Q229">
        <v>9.6414840286440384</v>
      </c>
      <c r="R229" t="str">
        <v>4</v>
      </c>
      <c r="S229" t="str">
        <v>Not irrigated</v>
      </c>
      <c r="T229">
        <v>0</v>
      </c>
      <c r="U229">
        <v>0</v>
      </c>
      <c r="V229" t="str">
        <v>10</v>
      </c>
      <c r="W229">
        <v>0</v>
      </c>
      <c r="X229">
        <v>0</v>
      </c>
      <c r="Y229" t="str">
        <v>T19S</v>
      </c>
      <c r="Z229" t="str">
        <v>R21W</v>
      </c>
      <c r="AA229" t="str">
        <v>4</v>
      </c>
      <c r="AB229" t="str">
        <v>HI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921.82001447338564</v>
      </c>
      <c r="AJ229">
        <v>39017.857634059612</v>
      </c>
      <c r="AK229">
        <v>0</v>
      </c>
    </row>
    <row r="230" spans="1:37" x14ac:dyDescent="0.25">
      <c r="A230">
        <v>149</v>
      </c>
      <c r="B230">
        <v>0</v>
      </c>
      <c r="C230" t="str">
        <v>VV</v>
      </c>
      <c r="D230">
        <v>0</v>
      </c>
      <c r="E230" t="str">
        <v>MM</v>
      </c>
      <c r="F230" t="str">
        <v>&lt;Null&gt;</v>
      </c>
      <c r="G230">
        <v>45839</v>
      </c>
      <c r="H230">
        <v>0</v>
      </c>
      <c r="I230" t="str">
        <v>Globe Equity Decree</v>
      </c>
      <c r="J230" t="str">
        <v>Gila River</v>
      </c>
      <c r="K230" t="str">
        <v>GR</v>
      </c>
      <c r="L230" t="str">
        <v>Virden Valey</v>
      </c>
      <c r="M230" t="str">
        <v>VV</v>
      </c>
      <c r="N230" t="str">
        <v>New Modell</v>
      </c>
      <c r="O230" t="str">
        <v>FA</v>
      </c>
      <c r="P230" t="str">
        <v>Fallow, idle or otherwise not irrigated</v>
      </c>
      <c r="Q230">
        <v>4.6415400511258484</v>
      </c>
      <c r="R230" t="str">
        <v>4</v>
      </c>
      <c r="S230" t="str">
        <v>Not irrigated</v>
      </c>
      <c r="T230">
        <v>0</v>
      </c>
      <c r="U230">
        <v>0</v>
      </c>
      <c r="V230" t="str">
        <v>8</v>
      </c>
      <c r="W230">
        <v>0</v>
      </c>
      <c r="X230">
        <v>0</v>
      </c>
      <c r="Y230">
        <v>0</v>
      </c>
      <c r="Z230">
        <v>0</v>
      </c>
      <c r="AA230">
        <v>0</v>
      </c>
      <c r="AB230" t="str">
        <v>HI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844.12941801894556</v>
      </c>
      <c r="AJ230">
        <v>18783.72130053553</v>
      </c>
      <c r="AK230">
        <v>0</v>
      </c>
    </row>
    <row r="231" spans="1:37" x14ac:dyDescent="0.25">
      <c r="A231">
        <v>150</v>
      </c>
      <c r="B231">
        <v>0</v>
      </c>
      <c r="C231" t="str">
        <v>VV</v>
      </c>
      <c r="D231">
        <v>0</v>
      </c>
      <c r="E231" t="str">
        <v>MM</v>
      </c>
      <c r="F231" t="str">
        <v>&lt;Null&gt;</v>
      </c>
      <c r="G231">
        <v>45839</v>
      </c>
      <c r="H231">
        <v>0</v>
      </c>
      <c r="I231" t="str">
        <v>Globe Equity Decree</v>
      </c>
      <c r="J231" t="str">
        <v>Gila River</v>
      </c>
      <c r="K231" t="str">
        <v>GR</v>
      </c>
      <c r="L231" t="str">
        <v>Virden Valey</v>
      </c>
      <c r="M231" t="str">
        <v>VV</v>
      </c>
      <c r="N231" t="str">
        <v>New Modell</v>
      </c>
      <c r="O231" t="str">
        <v>FA</v>
      </c>
      <c r="P231" t="str">
        <v>Fallow, idle or otherwise not irrigated</v>
      </c>
      <c r="Q231">
        <v>5.6900827918440449</v>
      </c>
      <c r="R231" t="str">
        <v>4</v>
      </c>
      <c r="S231" t="str">
        <v>Not irrigated</v>
      </c>
      <c r="T231">
        <v>0</v>
      </c>
      <c r="U231">
        <v>0</v>
      </c>
      <c r="V231" t="str">
        <v>8</v>
      </c>
      <c r="W231">
        <v>0</v>
      </c>
      <c r="X231">
        <v>0</v>
      </c>
      <c r="Y231">
        <v>0</v>
      </c>
      <c r="Z231">
        <v>0</v>
      </c>
      <c r="AA231">
        <v>0</v>
      </c>
      <c r="AB231" t="str">
        <v>HI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642.21082752795382</v>
      </c>
      <c r="AJ231">
        <v>23027.040198230479</v>
      </c>
      <c r="AK231">
        <v>0</v>
      </c>
    </row>
    <row r="232" spans="1:37" x14ac:dyDescent="0.25">
      <c r="A232">
        <v>151</v>
      </c>
      <c r="B232">
        <v>0</v>
      </c>
      <c r="C232" t="str">
        <v>VV</v>
      </c>
      <c r="D232">
        <v>0</v>
      </c>
      <c r="E232" t="str">
        <v>MM</v>
      </c>
      <c r="F232" t="str">
        <v>&lt;Null&gt;</v>
      </c>
      <c r="G232">
        <v>45839</v>
      </c>
      <c r="H232">
        <v>0</v>
      </c>
      <c r="I232" t="str">
        <v>Globe Equity Decree</v>
      </c>
      <c r="J232" t="str">
        <v>Gila River</v>
      </c>
      <c r="K232" t="str">
        <v>GR</v>
      </c>
      <c r="L232" t="str">
        <v>Virden Valey</v>
      </c>
      <c r="M232" t="str">
        <v>VV</v>
      </c>
      <c r="N232" t="str">
        <v>New Modell</v>
      </c>
      <c r="O232" t="str">
        <v>FA</v>
      </c>
      <c r="P232" t="str">
        <v>Fallow, idle or otherwise not irrigated</v>
      </c>
      <c r="Q232">
        <v>3.88708067559064</v>
      </c>
      <c r="R232" t="str">
        <v>4</v>
      </c>
      <c r="S232" t="str">
        <v>Not irrigated</v>
      </c>
      <c r="T232">
        <v>0</v>
      </c>
      <c r="U232">
        <v>0</v>
      </c>
      <c r="V232" t="str">
        <v>8</v>
      </c>
      <c r="W232">
        <v>0</v>
      </c>
      <c r="X232">
        <v>0</v>
      </c>
      <c r="Y232">
        <v>0</v>
      </c>
      <c r="Z232">
        <v>0</v>
      </c>
      <c r="AA232">
        <v>0</v>
      </c>
      <c r="AB232" t="str">
        <v>HI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510.42660779578421</v>
      </c>
      <c r="AJ232">
        <v>15730.52031841926</v>
      </c>
      <c r="AK232">
        <v>0</v>
      </c>
    </row>
    <row r="233" spans="1:37" x14ac:dyDescent="0.25">
      <c r="A233">
        <v>152</v>
      </c>
      <c r="B233">
        <v>0</v>
      </c>
      <c r="C233" t="str">
        <v>VV</v>
      </c>
      <c r="D233">
        <v>0</v>
      </c>
      <c r="E233" t="str">
        <v>MM</v>
      </c>
      <c r="F233" t="str">
        <v>&lt;Null&gt;</v>
      </c>
      <c r="G233">
        <v>45839</v>
      </c>
      <c r="H233">
        <v>0</v>
      </c>
      <c r="I233" t="str">
        <v>Globe Equity Decree</v>
      </c>
      <c r="J233" t="str">
        <v>Gila River</v>
      </c>
      <c r="K233" t="str">
        <v>GR</v>
      </c>
      <c r="L233" t="str">
        <v>Virden Valey</v>
      </c>
      <c r="M233" t="str">
        <v>VV</v>
      </c>
      <c r="N233" t="str">
        <v>New Modell</v>
      </c>
      <c r="O233" t="str">
        <v>FA</v>
      </c>
      <c r="P233" t="str">
        <v>Fallow, idle or otherwise not irrigated</v>
      </c>
      <c r="Q233">
        <v>4.9569195295539643</v>
      </c>
      <c r="R233" t="str">
        <v>4</v>
      </c>
      <c r="S233" t="str">
        <v>Not irrigated</v>
      </c>
      <c r="T233">
        <v>0</v>
      </c>
      <c r="U233">
        <v>0</v>
      </c>
      <c r="V233" t="str">
        <v>8</v>
      </c>
      <c r="W233">
        <v>0</v>
      </c>
      <c r="X233">
        <v>0</v>
      </c>
      <c r="Y233">
        <v>0</v>
      </c>
      <c r="Z233">
        <v>0</v>
      </c>
      <c r="AA233">
        <v>0</v>
      </c>
      <c r="AB233" t="str">
        <v>HI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606.37377080032843</v>
      </c>
      <c r="AJ233">
        <v>20060.021873502701</v>
      </c>
      <c r="AK233">
        <v>0</v>
      </c>
    </row>
    <row r="234" spans="1:37" x14ac:dyDescent="0.25">
      <c r="A234">
        <v>153</v>
      </c>
      <c r="B234">
        <v>0</v>
      </c>
      <c r="C234" t="str">
        <v>VV</v>
      </c>
      <c r="D234">
        <v>0</v>
      </c>
      <c r="E234" t="str">
        <v>MM</v>
      </c>
      <c r="F234" t="str">
        <v>&lt;Null&gt;</v>
      </c>
      <c r="G234">
        <v>45839</v>
      </c>
      <c r="H234">
        <v>0</v>
      </c>
      <c r="I234" t="str">
        <v>Globe Equity Decree</v>
      </c>
      <c r="J234" t="str">
        <v>Gila River</v>
      </c>
      <c r="K234" t="str">
        <v>GR</v>
      </c>
      <c r="L234" t="str">
        <v>Virden Valey</v>
      </c>
      <c r="M234" t="str">
        <v>VV</v>
      </c>
      <c r="N234" t="str">
        <v>New Modell</v>
      </c>
      <c r="O234" t="str">
        <v>FA</v>
      </c>
      <c r="P234" t="str">
        <v>Fallow, idle or otherwise not irrigated</v>
      </c>
      <c r="Q234">
        <v>2.9079813349853301</v>
      </c>
      <c r="R234" t="str">
        <v>4</v>
      </c>
      <c r="S234" t="str">
        <v>Not irrigated</v>
      </c>
      <c r="T234">
        <v>0</v>
      </c>
      <c r="U234">
        <v>0</v>
      </c>
      <c r="V234" t="str">
        <v>7</v>
      </c>
      <c r="W234">
        <v>0</v>
      </c>
      <c r="X234">
        <v>0</v>
      </c>
      <c r="Y234">
        <v>0</v>
      </c>
      <c r="Z234">
        <v>0</v>
      </c>
      <c r="AA234">
        <v>0</v>
      </c>
      <c r="AB234" t="str">
        <v>HI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511.22427288935052</v>
      </c>
      <c r="AJ234">
        <v>11768.23001457769</v>
      </c>
      <c r="AK234">
        <v>0</v>
      </c>
    </row>
    <row r="235" spans="1:37" x14ac:dyDescent="0.25">
      <c r="A235">
        <v>154</v>
      </c>
      <c r="B235">
        <v>0</v>
      </c>
      <c r="C235" t="str">
        <v>VV</v>
      </c>
      <c r="D235">
        <v>0</v>
      </c>
      <c r="E235" t="str">
        <v>MM</v>
      </c>
      <c r="F235" t="str">
        <v>&lt;Null&gt;</v>
      </c>
      <c r="G235">
        <v>45838</v>
      </c>
      <c r="H235">
        <v>0</v>
      </c>
      <c r="I235" t="str">
        <v>Arizona v California</v>
      </c>
      <c r="J235" t="str">
        <v>Gila River</v>
      </c>
      <c r="K235" t="str">
        <v>GR</v>
      </c>
      <c r="L235" t="str">
        <v>Virden Valey</v>
      </c>
      <c r="M235" t="str">
        <v>VV</v>
      </c>
      <c r="N235">
        <v>0</v>
      </c>
      <c r="O235" t="str">
        <v>FA</v>
      </c>
      <c r="P235" t="str">
        <v>Fallow, idle or otherwise not irrigated</v>
      </c>
      <c r="Q235">
        <v>1.6368426087093639</v>
      </c>
      <c r="R235" t="str">
        <v>4</v>
      </c>
      <c r="S235" t="str">
        <v>Not irrigated</v>
      </c>
      <c r="T235" t="str">
        <v xml:space="preserve"> </v>
      </c>
      <c r="U235">
        <v>0</v>
      </c>
      <c r="V235" t="str">
        <v>1</v>
      </c>
      <c r="W235">
        <v>0</v>
      </c>
      <c r="X235">
        <v>0</v>
      </c>
      <c r="Y235" t="str">
        <v>T19S</v>
      </c>
      <c r="Z235" t="str">
        <v>R20W</v>
      </c>
      <c r="AA235" t="str">
        <v>18</v>
      </c>
      <c r="AB235" t="str">
        <v>HI</v>
      </c>
      <c r="AC235" t="str">
        <v>Lazy B Ranch, LLC</v>
      </c>
      <c r="AD235" t="str">
        <v>04/09/52</v>
      </c>
      <c r="AE235">
        <v>0</v>
      </c>
      <c r="AF235">
        <v>0</v>
      </c>
      <c r="AG235">
        <v>0</v>
      </c>
      <c r="AH235">
        <v>0</v>
      </c>
      <c r="AI235">
        <v>348.73425341741648</v>
      </c>
      <c r="AJ235">
        <v>6624.0935198610432</v>
      </c>
      <c r="AK235">
        <v>0</v>
      </c>
    </row>
    <row r="236" spans="1:37" x14ac:dyDescent="0.25">
      <c r="A236">
        <v>157</v>
      </c>
      <c r="B236">
        <v>0</v>
      </c>
      <c r="C236" t="str">
        <v>VV</v>
      </c>
      <c r="D236">
        <v>0</v>
      </c>
      <c r="E236" t="str">
        <v>MM</v>
      </c>
      <c r="F236" t="str">
        <v>&lt;Null&gt;</v>
      </c>
      <c r="G236">
        <v>45838</v>
      </c>
      <c r="H236">
        <v>0</v>
      </c>
      <c r="I236" t="str">
        <v>Arizona v California</v>
      </c>
      <c r="J236" t="str">
        <v>Gila River</v>
      </c>
      <c r="K236" t="str">
        <v>GR</v>
      </c>
      <c r="L236" t="str">
        <v>Virden Valey</v>
      </c>
      <c r="M236" t="str">
        <v>VV</v>
      </c>
      <c r="N236">
        <v>0</v>
      </c>
      <c r="O236" t="str">
        <v>FA</v>
      </c>
      <c r="P236" t="str">
        <v>Fallow, idle or otherwise not irrigated</v>
      </c>
      <c r="Q236">
        <v>0.80798263427221051</v>
      </c>
      <c r="R236" t="str">
        <v>4</v>
      </c>
      <c r="S236" t="str">
        <v>Not irrigated</v>
      </c>
      <c r="T236" t="str">
        <v xml:space="preserve"> </v>
      </c>
      <c r="U236">
        <v>0</v>
      </c>
      <c r="V236" t="str">
        <v>1</v>
      </c>
      <c r="W236">
        <v>0</v>
      </c>
      <c r="X236">
        <v>0</v>
      </c>
      <c r="Y236" t="str">
        <v>T19S</v>
      </c>
      <c r="Z236" t="str">
        <v>R20W</v>
      </c>
      <c r="AA236" t="str">
        <v>18</v>
      </c>
      <c r="AB236" t="str">
        <v>HI</v>
      </c>
      <c r="AC236">
        <v>0</v>
      </c>
      <c r="AD236" t="str">
        <v xml:space="preserve"> </v>
      </c>
      <c r="AE236">
        <v>0</v>
      </c>
      <c r="AF236">
        <v>0</v>
      </c>
      <c r="AG236">
        <v>0</v>
      </c>
      <c r="AH236">
        <v>0</v>
      </c>
      <c r="AI236">
        <v>277.32968060611148</v>
      </c>
      <c r="AJ236">
        <v>3269.802791890254</v>
      </c>
      <c r="AK236">
        <v>0</v>
      </c>
    </row>
    <row r="237" spans="1:37" x14ac:dyDescent="0.25">
      <c r="A237">
        <v>160</v>
      </c>
      <c r="B237">
        <v>0</v>
      </c>
      <c r="C237" t="str">
        <v>VV</v>
      </c>
      <c r="D237">
        <v>0</v>
      </c>
      <c r="E237" t="str">
        <v>MM</v>
      </c>
      <c r="F237" t="str">
        <v>&lt;Null&gt;</v>
      </c>
      <c r="G237">
        <v>45838</v>
      </c>
      <c r="H237">
        <v>0</v>
      </c>
      <c r="I237" t="str">
        <v>Globe Equity Decree</v>
      </c>
      <c r="J237" t="str">
        <v>Gila River</v>
      </c>
      <c r="K237" t="str">
        <v>GR</v>
      </c>
      <c r="L237" t="str">
        <v>Virden Valey</v>
      </c>
      <c r="M237" t="str">
        <v>VV</v>
      </c>
      <c r="N237" t="str">
        <v>Sunset Canal</v>
      </c>
      <c r="O237" t="str">
        <v>FA</v>
      </c>
      <c r="P237" t="str">
        <v>Fallow, idle or otherwise not irrigated</v>
      </c>
      <c r="Q237">
        <v>26.090071672073261</v>
      </c>
      <c r="R237" t="str">
        <v>4</v>
      </c>
      <c r="S237" t="str">
        <v>Not irrigated</v>
      </c>
      <c r="T237">
        <v>0</v>
      </c>
      <c r="U237">
        <v>0</v>
      </c>
      <c r="V237" t="str">
        <v>5</v>
      </c>
      <c r="W237">
        <v>0</v>
      </c>
      <c r="X237">
        <v>0</v>
      </c>
      <c r="Y237">
        <v>0</v>
      </c>
      <c r="Z237">
        <v>0</v>
      </c>
      <c r="AA237">
        <v>0</v>
      </c>
      <c r="AB237" t="str">
        <v>HI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1843.0032658205671</v>
      </c>
      <c r="AJ237">
        <v>105583.19643936941</v>
      </c>
      <c r="AK237">
        <v>0</v>
      </c>
    </row>
    <row r="238" spans="1:37" x14ac:dyDescent="0.25">
      <c r="A238">
        <v>162</v>
      </c>
      <c r="B238">
        <v>0</v>
      </c>
      <c r="C238" t="str">
        <v>VV</v>
      </c>
      <c r="D238">
        <v>0</v>
      </c>
      <c r="E238" t="str">
        <v>MM</v>
      </c>
      <c r="F238" t="str">
        <v>&lt;Null&gt;</v>
      </c>
      <c r="G238">
        <v>45839</v>
      </c>
      <c r="H238">
        <v>0</v>
      </c>
      <c r="I238" t="str">
        <v>Globe Equity Decree</v>
      </c>
      <c r="J238" t="str">
        <v>Gila River</v>
      </c>
      <c r="K238" t="str">
        <v>GR</v>
      </c>
      <c r="L238" t="str">
        <v>Virden Valey</v>
      </c>
      <c r="M238" t="str">
        <v>VV</v>
      </c>
      <c r="N238" t="str">
        <v>New Modell</v>
      </c>
      <c r="O238" t="str">
        <v>FA</v>
      </c>
      <c r="P238" t="str">
        <v>Fallow, idle or otherwise not irrigated</v>
      </c>
      <c r="Q238">
        <v>0.68517043640964692</v>
      </c>
      <c r="R238" t="str">
        <v>4</v>
      </c>
      <c r="S238" t="str">
        <v>Not irrigated</v>
      </c>
      <c r="T238">
        <v>0</v>
      </c>
      <c r="U238">
        <v>0</v>
      </c>
      <c r="V238" t="str">
        <v>12</v>
      </c>
      <c r="W238">
        <v>0</v>
      </c>
      <c r="X238">
        <v>0</v>
      </c>
      <c r="Y238" t="str">
        <v>T19S</v>
      </c>
      <c r="Z238" t="str">
        <v>R21W</v>
      </c>
      <c r="AA238" t="str">
        <v>6</v>
      </c>
      <c r="AB238" t="str">
        <v>HI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208.53246335151309</v>
      </c>
      <c r="AJ238">
        <v>2772.797472201788</v>
      </c>
      <c r="AK238">
        <v>0</v>
      </c>
    </row>
    <row r="239" spans="1:37" x14ac:dyDescent="0.25">
      <c r="A239">
        <v>163</v>
      </c>
      <c r="B239">
        <v>0</v>
      </c>
      <c r="C239" t="str">
        <v>VV</v>
      </c>
      <c r="D239">
        <v>0</v>
      </c>
      <c r="E239" t="str">
        <v>MM</v>
      </c>
      <c r="F239" t="str">
        <v>&lt;Null&gt;</v>
      </c>
      <c r="G239">
        <v>45839</v>
      </c>
      <c r="H239">
        <v>0</v>
      </c>
      <c r="I239" t="str">
        <v>Globe Equity Decree</v>
      </c>
      <c r="J239" t="str">
        <v>Gila River</v>
      </c>
      <c r="K239" t="str">
        <v>GR</v>
      </c>
      <c r="L239" t="str">
        <v>Virden Valey</v>
      </c>
      <c r="M239" t="str">
        <v>VV</v>
      </c>
      <c r="N239" t="str">
        <v>New Modell</v>
      </c>
      <c r="O239" t="str">
        <v>FA</v>
      </c>
      <c r="P239" t="str">
        <v>Fallow, idle or otherwise not irrigated</v>
      </c>
      <c r="Q239">
        <v>1.2944952474029261</v>
      </c>
      <c r="R239" t="str">
        <v>4</v>
      </c>
      <c r="S239" t="str">
        <v>Not irrigated</v>
      </c>
      <c r="T239">
        <v>0</v>
      </c>
      <c r="U239">
        <v>0</v>
      </c>
      <c r="V239" t="str">
        <v>12</v>
      </c>
      <c r="W239">
        <v>0</v>
      </c>
      <c r="X239">
        <v>0</v>
      </c>
      <c r="Y239" t="str">
        <v>T19S</v>
      </c>
      <c r="Z239" t="str">
        <v>R21W</v>
      </c>
      <c r="AA239" t="str">
        <v>6</v>
      </c>
      <c r="AB239" t="str">
        <v>HI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343.62332259670552</v>
      </c>
      <c r="AJ239">
        <v>5238.6573603272927</v>
      </c>
      <c r="AK239">
        <v>0</v>
      </c>
    </row>
    <row r="240" spans="1:37" x14ac:dyDescent="0.25">
      <c r="A240">
        <v>164</v>
      </c>
      <c r="B240">
        <v>0</v>
      </c>
      <c r="C240" t="str">
        <v>VV</v>
      </c>
      <c r="D240">
        <v>0</v>
      </c>
      <c r="E240" t="str">
        <v>MM</v>
      </c>
      <c r="F240" t="str">
        <v>&lt;Null&gt;</v>
      </c>
      <c r="G240">
        <v>45839</v>
      </c>
      <c r="H240">
        <v>0</v>
      </c>
      <c r="I240" t="str">
        <v>Globe Equity Decree</v>
      </c>
      <c r="J240" t="str">
        <v>Gila River</v>
      </c>
      <c r="K240" t="str">
        <v>GR</v>
      </c>
      <c r="L240" t="str">
        <v>Virden Valey</v>
      </c>
      <c r="M240" t="str">
        <v>VV</v>
      </c>
      <c r="N240" t="str">
        <v>New Modell</v>
      </c>
      <c r="O240" t="str">
        <v>FA</v>
      </c>
      <c r="P240" t="str">
        <v>Fallow, idle or otherwise not irrigated</v>
      </c>
      <c r="Q240">
        <v>4.9898643374169422</v>
      </c>
      <c r="R240" t="str">
        <v>4</v>
      </c>
      <c r="S240" t="str">
        <v>Not irrigated</v>
      </c>
      <c r="T240">
        <v>0</v>
      </c>
      <c r="U240">
        <v>0</v>
      </c>
      <c r="V240" t="str">
        <v>12</v>
      </c>
      <c r="W240">
        <v>0</v>
      </c>
      <c r="X240">
        <v>0</v>
      </c>
      <c r="Y240" t="str">
        <v>T19S</v>
      </c>
      <c r="Z240" t="str">
        <v>R21W</v>
      </c>
      <c r="AA240" t="str">
        <v>6</v>
      </c>
      <c r="AB240" t="str">
        <v>HI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562.38199054002985</v>
      </c>
      <c r="AJ240">
        <v>20193.345314080951</v>
      </c>
      <c r="AK240">
        <v>0</v>
      </c>
    </row>
    <row r="241" spans="1:37" x14ac:dyDescent="0.25">
      <c r="A241">
        <v>165</v>
      </c>
      <c r="B241">
        <v>0</v>
      </c>
      <c r="C241" t="str">
        <v>VV</v>
      </c>
      <c r="D241">
        <v>0</v>
      </c>
      <c r="E241" t="str">
        <v>MM</v>
      </c>
      <c r="F241" t="str">
        <v>&lt;Null&gt;</v>
      </c>
      <c r="G241">
        <v>45839</v>
      </c>
      <c r="H241">
        <v>0</v>
      </c>
      <c r="I241" t="str">
        <v>Globe Equity Decree</v>
      </c>
      <c r="J241" t="str">
        <v>Gila River</v>
      </c>
      <c r="K241" t="str">
        <v>GR</v>
      </c>
      <c r="L241" t="str">
        <v>Virden Valey</v>
      </c>
      <c r="M241" t="str">
        <v>VV</v>
      </c>
      <c r="N241" t="str">
        <v>New Modell</v>
      </c>
      <c r="O241" t="str">
        <v>FA</v>
      </c>
      <c r="P241" t="str">
        <v>Fallow, idle or otherwise not irrigated</v>
      </c>
      <c r="Q241">
        <v>5.2816923748463509</v>
      </c>
      <c r="R241" t="str">
        <v>4</v>
      </c>
      <c r="S241" t="str">
        <v>Not irrigated</v>
      </c>
      <c r="T241">
        <v>0</v>
      </c>
      <c r="U241">
        <v>0</v>
      </c>
      <c r="V241" t="str">
        <v>12</v>
      </c>
      <c r="W241">
        <v>0</v>
      </c>
      <c r="X241">
        <v>0</v>
      </c>
      <c r="Y241" t="str">
        <v>T19S</v>
      </c>
      <c r="Z241" t="str">
        <v>R21W</v>
      </c>
      <c r="AA241" t="str">
        <v>6</v>
      </c>
      <c r="AB241" t="str">
        <v>HI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618.15588696545421</v>
      </c>
      <c r="AJ241">
        <v>21374.336205547392</v>
      </c>
      <c r="AK241">
        <v>0</v>
      </c>
    </row>
    <row r="242" spans="1:37" x14ac:dyDescent="0.25">
      <c r="A242">
        <v>166</v>
      </c>
      <c r="B242">
        <v>0</v>
      </c>
      <c r="C242" t="str">
        <v>VV</v>
      </c>
      <c r="D242">
        <v>0</v>
      </c>
      <c r="E242" t="str">
        <v>MM</v>
      </c>
      <c r="F242" t="str">
        <v>&lt;Null&gt;</v>
      </c>
      <c r="G242">
        <v>45839</v>
      </c>
      <c r="H242">
        <v>0</v>
      </c>
      <c r="I242" t="str">
        <v>Globe Equity Decree</v>
      </c>
      <c r="J242" t="str">
        <v>Gila River</v>
      </c>
      <c r="K242" t="str">
        <v>GR</v>
      </c>
      <c r="L242" t="str">
        <v>Virden Valey</v>
      </c>
      <c r="M242" t="str">
        <v>VV</v>
      </c>
      <c r="N242" t="str">
        <v>Sunset Canal</v>
      </c>
      <c r="O242" t="str">
        <v>FA</v>
      </c>
      <c r="P242" t="str">
        <v>Fallow, idle or otherwise not irrigated</v>
      </c>
      <c r="Q242">
        <v>9.1382423639211208</v>
      </c>
      <c r="R242" t="str">
        <v>4</v>
      </c>
      <c r="S242" t="str">
        <v>Not irrigated</v>
      </c>
      <c r="T242" t="str">
        <v xml:space="preserve"> </v>
      </c>
      <c r="U242">
        <v>0</v>
      </c>
      <c r="V242" t="str">
        <v>11</v>
      </c>
      <c r="W242">
        <v>0</v>
      </c>
      <c r="X242">
        <v>0</v>
      </c>
      <c r="Y242" t="str">
        <v>T18S</v>
      </c>
      <c r="Z242" t="str">
        <v>R21W</v>
      </c>
      <c r="AA242" t="str">
        <v>33</v>
      </c>
      <c r="AB242" t="str">
        <v>HI</v>
      </c>
      <c r="AC242">
        <v>0</v>
      </c>
      <c r="AD242" t="str">
        <v xml:space="preserve"> </v>
      </c>
      <c r="AE242">
        <v>0</v>
      </c>
      <c r="AF242">
        <v>0</v>
      </c>
      <c r="AG242">
        <v>0</v>
      </c>
      <c r="AH242">
        <v>0</v>
      </c>
      <c r="AI242">
        <v>837.24559775963667</v>
      </c>
      <c r="AJ242">
        <v>36981.302724944922</v>
      </c>
      <c r="AK242">
        <v>0</v>
      </c>
    </row>
    <row r="243" spans="1:37" x14ac:dyDescent="0.25">
      <c r="A243">
        <v>167</v>
      </c>
      <c r="B243">
        <v>0</v>
      </c>
      <c r="C243" t="str">
        <v>VV</v>
      </c>
      <c r="D243">
        <v>0</v>
      </c>
      <c r="E243" t="str">
        <v>MM</v>
      </c>
      <c r="F243" t="str">
        <v>&lt;Null&gt;</v>
      </c>
      <c r="G243">
        <v>45839</v>
      </c>
      <c r="H243">
        <v>0</v>
      </c>
      <c r="I243" t="str">
        <v>Globe Equity Decree</v>
      </c>
      <c r="J243" t="str">
        <v>Gila River</v>
      </c>
      <c r="K243" t="str">
        <v>GR</v>
      </c>
      <c r="L243" t="str">
        <v>Virden Valey</v>
      </c>
      <c r="M243" t="str">
        <v>VV</v>
      </c>
      <c r="N243" t="str">
        <v>Sunset Canal</v>
      </c>
      <c r="O243" t="str">
        <v>FA</v>
      </c>
      <c r="P243" t="str">
        <v>Fallow, idle or otherwise not irrigated</v>
      </c>
      <c r="Q243">
        <v>2.6275166103006109</v>
      </c>
      <c r="R243" t="str">
        <v>4</v>
      </c>
      <c r="S243" t="str">
        <v>Not irrigated</v>
      </c>
      <c r="T243" t="str">
        <v xml:space="preserve"> </v>
      </c>
      <c r="U243">
        <v>0</v>
      </c>
      <c r="V243" t="str">
        <v>11</v>
      </c>
      <c r="W243">
        <v>0</v>
      </c>
      <c r="X243">
        <v>0</v>
      </c>
      <c r="Y243" t="str">
        <v>T18S</v>
      </c>
      <c r="Z243" t="str">
        <v>R21W</v>
      </c>
      <c r="AA243" t="str">
        <v>33</v>
      </c>
      <c r="AB243" t="str">
        <v>HI</v>
      </c>
      <c r="AC243">
        <v>0</v>
      </c>
      <c r="AD243" t="str">
        <v xml:space="preserve"> </v>
      </c>
      <c r="AE243">
        <v>0</v>
      </c>
      <c r="AF243">
        <v>0</v>
      </c>
      <c r="AG243">
        <v>0</v>
      </c>
      <c r="AH243">
        <v>0</v>
      </c>
      <c r="AI243">
        <v>479.32136803106812</v>
      </c>
      <c r="AJ243">
        <v>10633.22500221518</v>
      </c>
      <c r="AK243">
        <v>0</v>
      </c>
    </row>
    <row r="244" spans="1:37" x14ac:dyDescent="0.25">
      <c r="A244">
        <v>168</v>
      </c>
      <c r="B244">
        <v>0</v>
      </c>
      <c r="C244" t="str">
        <v>VV</v>
      </c>
      <c r="D244">
        <v>0</v>
      </c>
      <c r="E244" t="str">
        <v>MM</v>
      </c>
      <c r="F244" t="str">
        <v>&lt;Null&gt;</v>
      </c>
      <c r="G244">
        <v>45839</v>
      </c>
      <c r="H244">
        <v>0</v>
      </c>
      <c r="I244" t="str">
        <v>Globe Equity Decree</v>
      </c>
      <c r="J244" t="str">
        <v>Gila River</v>
      </c>
      <c r="K244" t="str">
        <v>GR</v>
      </c>
      <c r="L244" t="str">
        <v>Virden Valey</v>
      </c>
      <c r="M244" t="str">
        <v>VV</v>
      </c>
      <c r="N244" t="str">
        <v>Sunset Canal</v>
      </c>
      <c r="O244" t="str">
        <v>FA</v>
      </c>
      <c r="P244" t="str">
        <v>Fallow, idle or otherwise not irrigated</v>
      </c>
      <c r="Q244">
        <v>1.9865303047378751</v>
      </c>
      <c r="R244" t="str">
        <v>4</v>
      </c>
      <c r="S244" t="str">
        <v>Not irrigated</v>
      </c>
      <c r="T244" t="str">
        <v xml:space="preserve"> </v>
      </c>
      <c r="U244">
        <v>0</v>
      </c>
      <c r="V244" t="str">
        <v>11</v>
      </c>
      <c r="W244">
        <v>0</v>
      </c>
      <c r="X244">
        <v>0</v>
      </c>
      <c r="Y244" t="str">
        <v>T18S</v>
      </c>
      <c r="Z244" t="str">
        <v>R21W</v>
      </c>
      <c r="AA244" t="str">
        <v>33</v>
      </c>
      <c r="AB244" t="str">
        <v>HI</v>
      </c>
      <c r="AC244">
        <v>0</v>
      </c>
      <c r="AD244" t="str">
        <v xml:space="preserve"> </v>
      </c>
      <c r="AE244">
        <v>0</v>
      </c>
      <c r="AF244">
        <v>0</v>
      </c>
      <c r="AG244">
        <v>0</v>
      </c>
      <c r="AH244">
        <v>0</v>
      </c>
      <c r="AI244">
        <v>369.22283422829901</v>
      </c>
      <c r="AJ244">
        <v>8039.2350789288566</v>
      </c>
      <c r="AK244">
        <v>0</v>
      </c>
    </row>
    <row r="245" spans="1:37" x14ac:dyDescent="0.25">
      <c r="A245">
        <v>169</v>
      </c>
      <c r="B245">
        <v>0</v>
      </c>
      <c r="C245" t="str">
        <v>VV</v>
      </c>
      <c r="D245">
        <v>0</v>
      </c>
      <c r="E245" t="str">
        <v>MM</v>
      </c>
      <c r="F245" t="str">
        <v>&lt;Null&gt;</v>
      </c>
      <c r="G245">
        <v>45839</v>
      </c>
      <c r="H245">
        <v>0</v>
      </c>
      <c r="I245" t="str">
        <v>Globe Equity Decree</v>
      </c>
      <c r="J245" t="str">
        <v>Gila River</v>
      </c>
      <c r="K245" t="str">
        <v>GR</v>
      </c>
      <c r="L245" t="str">
        <v>Virden Valey</v>
      </c>
      <c r="M245" t="str">
        <v>VV</v>
      </c>
      <c r="N245" t="str">
        <v>Sunset Canal</v>
      </c>
      <c r="O245" t="str">
        <v>FA</v>
      </c>
      <c r="P245" t="str">
        <v>Fallow, idle or otherwise not irrigated</v>
      </c>
      <c r="Q245">
        <v>8.2934163844350905</v>
      </c>
      <c r="R245" t="str">
        <v>4</v>
      </c>
      <c r="S245" t="str">
        <v>Not irrigated</v>
      </c>
      <c r="T245">
        <v>0</v>
      </c>
      <c r="U245">
        <v>0</v>
      </c>
      <c r="V245" t="str">
        <v>11</v>
      </c>
      <c r="W245">
        <v>0</v>
      </c>
      <c r="X245">
        <v>0</v>
      </c>
      <c r="Y245" t="str">
        <v>T18S</v>
      </c>
      <c r="Z245" t="str">
        <v>R21W</v>
      </c>
      <c r="AA245" t="str">
        <v>33</v>
      </c>
      <c r="AB245" t="str">
        <v>HI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1050.470016852026</v>
      </c>
      <c r="AJ245">
        <v>33562.399608452717</v>
      </c>
      <c r="AK245">
        <v>0</v>
      </c>
    </row>
    <row r="246" spans="1:37" x14ac:dyDescent="0.25">
      <c r="A246">
        <v>170</v>
      </c>
      <c r="B246">
        <v>0</v>
      </c>
      <c r="C246" t="str">
        <v>VV</v>
      </c>
      <c r="D246">
        <v>0</v>
      </c>
      <c r="E246" t="str">
        <v>MM</v>
      </c>
      <c r="F246" t="str">
        <v>&lt;Null&gt;</v>
      </c>
      <c r="G246">
        <v>45838</v>
      </c>
      <c r="H246">
        <v>0</v>
      </c>
      <c r="I246" t="str">
        <v>Globe Equity Decree</v>
      </c>
      <c r="J246" t="str">
        <v>Gila River</v>
      </c>
      <c r="K246" t="str">
        <v>GR</v>
      </c>
      <c r="L246" t="str">
        <v>Virden Valey</v>
      </c>
      <c r="M246" t="str">
        <v>VV</v>
      </c>
      <c r="N246" t="str">
        <v>Sunset Canal</v>
      </c>
      <c r="O246" t="str">
        <v>FA</v>
      </c>
      <c r="P246" t="str">
        <v>Fallow, idle or otherwise not irrigated</v>
      </c>
      <c r="Q246">
        <v>0.39068598806650062</v>
      </c>
      <c r="R246" t="str">
        <v>4</v>
      </c>
      <c r="S246" t="str">
        <v>Not irrigated</v>
      </c>
      <c r="T246" t="str">
        <v xml:space="preserve"> </v>
      </c>
      <c r="U246">
        <v>0</v>
      </c>
      <c r="V246" t="str">
        <v>8</v>
      </c>
      <c r="W246">
        <v>0</v>
      </c>
      <c r="X246">
        <v>0</v>
      </c>
      <c r="Y246">
        <v>0</v>
      </c>
      <c r="Z246">
        <v>0</v>
      </c>
      <c r="AA246">
        <v>0</v>
      </c>
      <c r="AB246" t="str">
        <v>HI</v>
      </c>
      <c r="AC246">
        <v>0</v>
      </c>
      <c r="AD246" t="str">
        <v xml:space="preserve"> </v>
      </c>
      <c r="AE246">
        <v>0</v>
      </c>
      <c r="AF246">
        <v>0</v>
      </c>
      <c r="AG246">
        <v>0</v>
      </c>
      <c r="AH246">
        <v>0</v>
      </c>
      <c r="AI246">
        <v>183.20327782124789</v>
      </c>
      <c r="AJ246">
        <v>1581.0564241679799</v>
      </c>
      <c r="AK246">
        <v>0</v>
      </c>
    </row>
    <row r="247" spans="1:37" x14ac:dyDescent="0.25">
      <c r="A247">
        <v>171</v>
      </c>
      <c r="B247">
        <v>0</v>
      </c>
      <c r="C247" t="str">
        <v>VV</v>
      </c>
      <c r="D247">
        <v>0</v>
      </c>
      <c r="E247" t="str">
        <v>MM</v>
      </c>
      <c r="F247" t="str">
        <v>&lt;Null&gt;</v>
      </c>
      <c r="G247">
        <v>45838</v>
      </c>
      <c r="H247">
        <v>0</v>
      </c>
      <c r="I247" t="str">
        <v>Globe Equity Decree</v>
      </c>
      <c r="J247" t="str">
        <v>Gila River</v>
      </c>
      <c r="K247" t="str">
        <v>GR</v>
      </c>
      <c r="L247" t="str">
        <v>Virden Valey</v>
      </c>
      <c r="M247" t="str">
        <v>VV</v>
      </c>
      <c r="N247" t="str">
        <v>Sunset Canal</v>
      </c>
      <c r="O247" t="str">
        <v>FA</v>
      </c>
      <c r="P247" t="str">
        <v>Fallow, idle or otherwise not irrigated</v>
      </c>
      <c r="Q247">
        <v>2.3776010991342762</v>
      </c>
      <c r="R247" t="str">
        <v>4</v>
      </c>
      <c r="S247" t="str">
        <v>Not irrigated</v>
      </c>
      <c r="T247" t="str">
        <v xml:space="preserve"> </v>
      </c>
      <c r="U247">
        <v>0</v>
      </c>
      <c r="V247" t="str">
        <v>8</v>
      </c>
      <c r="W247">
        <v>0</v>
      </c>
      <c r="X247">
        <v>0</v>
      </c>
      <c r="Y247">
        <v>0</v>
      </c>
      <c r="Z247">
        <v>0</v>
      </c>
      <c r="AA247">
        <v>0</v>
      </c>
      <c r="AB247" t="str">
        <v>HI</v>
      </c>
      <c r="AC247">
        <v>0</v>
      </c>
      <c r="AD247" t="str">
        <v xml:space="preserve"> </v>
      </c>
      <c r="AE247">
        <v>0</v>
      </c>
      <c r="AF247">
        <v>0</v>
      </c>
      <c r="AG247">
        <v>0</v>
      </c>
      <c r="AH247">
        <v>0</v>
      </c>
      <c r="AI247">
        <v>436.38709311209487</v>
      </c>
      <c r="AJ247">
        <v>9621.8487652934164</v>
      </c>
      <c r="AK247">
        <v>0</v>
      </c>
    </row>
    <row r="248" spans="1:37" x14ac:dyDescent="0.25">
      <c r="A248">
        <v>172</v>
      </c>
      <c r="B248">
        <v>0</v>
      </c>
      <c r="C248" t="str">
        <v>VV</v>
      </c>
      <c r="D248">
        <v>0</v>
      </c>
      <c r="E248" t="str">
        <v>MM</v>
      </c>
      <c r="F248" t="str">
        <v>&lt;Null&gt;</v>
      </c>
      <c r="G248">
        <v>45838</v>
      </c>
      <c r="H248">
        <v>0</v>
      </c>
      <c r="I248" t="str">
        <v>Arizona v California</v>
      </c>
      <c r="J248" t="str">
        <v>Gila River</v>
      </c>
      <c r="K248" t="str">
        <v>GR</v>
      </c>
      <c r="L248" t="str">
        <v>Virden Valey</v>
      </c>
      <c r="M248" t="str">
        <v>VV</v>
      </c>
      <c r="N248">
        <v>0</v>
      </c>
      <c r="O248" t="str">
        <v>FA</v>
      </c>
      <c r="P248" t="str">
        <v>Fallow, idle or otherwise not irrigated</v>
      </c>
      <c r="Q248">
        <v>2.83398928138502</v>
      </c>
      <c r="R248" t="str">
        <v>4</v>
      </c>
      <c r="S248" t="str">
        <v>Not irrigated</v>
      </c>
      <c r="T248">
        <v>0</v>
      </c>
      <c r="U248">
        <v>0</v>
      </c>
      <c r="V248" t="str">
        <v>1</v>
      </c>
      <c r="W248">
        <v>0</v>
      </c>
      <c r="X248">
        <v>0</v>
      </c>
      <c r="Y248" t="str">
        <v>T19S</v>
      </c>
      <c r="Z248" t="str">
        <v>R20W</v>
      </c>
      <c r="AA248" t="str">
        <v>18</v>
      </c>
      <c r="AB248" t="str">
        <v>HI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538.73650434126785</v>
      </c>
      <c r="AJ248">
        <v>11468.793599514251</v>
      </c>
      <c r="AK248">
        <v>0</v>
      </c>
    </row>
    <row r="249" spans="1:37" x14ac:dyDescent="0.25">
      <c r="A249">
        <v>173</v>
      </c>
      <c r="B249" t="str">
        <v>VV_00218</v>
      </c>
      <c r="C249" t="str">
        <v>VV</v>
      </c>
      <c r="D249">
        <v>0</v>
      </c>
      <c r="E249" t="str">
        <v>MM</v>
      </c>
      <c r="F249" t="str">
        <v>&lt;Null&gt;</v>
      </c>
      <c r="G249">
        <v>45838</v>
      </c>
      <c r="H249">
        <v>0</v>
      </c>
      <c r="I249" t="str">
        <v>Globe Equity Decree</v>
      </c>
      <c r="J249" t="str">
        <v>Gila River</v>
      </c>
      <c r="K249" t="str">
        <v>GR</v>
      </c>
      <c r="L249" t="str">
        <v>Virden Valley</v>
      </c>
      <c r="M249" t="str">
        <v>VV</v>
      </c>
      <c r="N249" t="str">
        <v>Sunset Canal</v>
      </c>
      <c r="O249" t="str">
        <v>FA</v>
      </c>
      <c r="P249" t="str">
        <v>Fallow, idle or otherwise not irrigated</v>
      </c>
      <c r="Q249">
        <v>0.4017456074707566</v>
      </c>
      <c r="R249" t="str">
        <v>4</v>
      </c>
      <c r="S249" t="str">
        <v>Not irrigated</v>
      </c>
      <c r="T249" t="str">
        <v xml:space="preserve"> </v>
      </c>
      <c r="U249">
        <v>0</v>
      </c>
      <c r="V249" t="str">
        <v>4</v>
      </c>
      <c r="W249">
        <v>0</v>
      </c>
      <c r="X249">
        <v>0</v>
      </c>
      <c r="Y249" t="str">
        <v>T19S</v>
      </c>
      <c r="Z249" t="str">
        <v>R21W</v>
      </c>
      <c r="AA249" t="str">
        <v>12</v>
      </c>
      <c r="AB249" t="str">
        <v>HI</v>
      </c>
      <c r="AC249">
        <v>0</v>
      </c>
      <c r="AD249" t="str">
        <v xml:space="preserve">1874 </v>
      </c>
      <c r="AE249">
        <v>0</v>
      </c>
      <c r="AF249">
        <v>0</v>
      </c>
      <c r="AG249">
        <v>0</v>
      </c>
      <c r="AH249">
        <v>0</v>
      </c>
      <c r="AI249">
        <v>167.76369365866279</v>
      </c>
      <c r="AJ249">
        <v>1625.8132950106969</v>
      </c>
      <c r="AK249">
        <v>0</v>
      </c>
    </row>
    <row r="250" spans="1:37" x14ac:dyDescent="0.25">
      <c r="A250">
        <v>175</v>
      </c>
      <c r="B250">
        <v>0</v>
      </c>
      <c r="C250" t="str">
        <v>VV</v>
      </c>
      <c r="D250">
        <v>0</v>
      </c>
      <c r="E250" t="str">
        <v>MM</v>
      </c>
      <c r="F250" t="str">
        <v>&lt;Null&gt;</v>
      </c>
      <c r="G250">
        <v>45839</v>
      </c>
      <c r="H250">
        <v>0</v>
      </c>
      <c r="I250" t="str">
        <v>Arizona v California</v>
      </c>
      <c r="J250" t="str">
        <v>Gila River</v>
      </c>
      <c r="K250" t="str">
        <v>GR</v>
      </c>
      <c r="L250" t="str">
        <v>Virden Valey</v>
      </c>
      <c r="M250" t="str">
        <v>VV</v>
      </c>
      <c r="N250">
        <v>0</v>
      </c>
      <c r="O250" t="str">
        <v>FA</v>
      </c>
      <c r="P250" t="str">
        <v>Fallow, idle or otherwise not irrigated</v>
      </c>
      <c r="Q250">
        <v>22.33512039593889</v>
      </c>
      <c r="R250" t="str">
        <v>4</v>
      </c>
      <c r="S250" t="str">
        <v>Not irrigated</v>
      </c>
      <c r="T250">
        <v>0</v>
      </c>
      <c r="U250">
        <v>0</v>
      </c>
      <c r="V250" t="str">
        <v>12</v>
      </c>
      <c r="W250">
        <v>0</v>
      </c>
      <c r="X250">
        <v>0</v>
      </c>
      <c r="Y250" t="str">
        <v>T19S</v>
      </c>
      <c r="Z250" t="str">
        <v>R21W</v>
      </c>
      <c r="AA250" t="str">
        <v>6</v>
      </c>
      <c r="AB250" t="str">
        <v>HI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1618.928685742939</v>
      </c>
      <c r="AJ250">
        <v>90387.386968568841</v>
      </c>
      <c r="AK250">
        <v>0</v>
      </c>
    </row>
    <row r="251" spans="1:37" x14ac:dyDescent="0.25">
      <c r="A251">
        <v>176</v>
      </c>
      <c r="B251">
        <v>0</v>
      </c>
      <c r="C251" t="str">
        <v>VV</v>
      </c>
      <c r="D251">
        <v>0</v>
      </c>
      <c r="E251" t="str">
        <v>MM</v>
      </c>
      <c r="F251" t="str">
        <v>&lt;Null&gt;</v>
      </c>
      <c r="G251">
        <v>45839</v>
      </c>
      <c r="H251">
        <v>0</v>
      </c>
      <c r="I251" t="str">
        <v>Arizona v California</v>
      </c>
      <c r="J251" t="str">
        <v>Gila River</v>
      </c>
      <c r="K251" t="str">
        <v>GR</v>
      </c>
      <c r="L251" t="str">
        <v>Virden Valey</v>
      </c>
      <c r="M251" t="str">
        <v>VV</v>
      </c>
      <c r="N251">
        <v>0</v>
      </c>
      <c r="O251" t="str">
        <v>FA</v>
      </c>
      <c r="P251" t="str">
        <v>Fallow, idle or otherwise not irrigated</v>
      </c>
      <c r="Q251">
        <v>178.4008728467077</v>
      </c>
      <c r="R251" t="str">
        <v>4</v>
      </c>
      <c r="S251" t="str">
        <v>Not irrigated</v>
      </c>
      <c r="T251">
        <v>0</v>
      </c>
      <c r="U251">
        <v>0</v>
      </c>
      <c r="V251" t="str">
        <v>12</v>
      </c>
      <c r="W251">
        <v>0</v>
      </c>
      <c r="X251">
        <v>0</v>
      </c>
      <c r="Y251" t="str">
        <v>T19S</v>
      </c>
      <c r="Z251" t="str">
        <v>R21W</v>
      </c>
      <c r="AA251">
        <v>0</v>
      </c>
      <c r="AB251" t="str">
        <v>HI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3016.922343913543</v>
      </c>
      <c r="AJ251">
        <v>721965.60590100056</v>
      </c>
      <c r="AK251">
        <v>0</v>
      </c>
    </row>
    <row r="252" spans="1:37" x14ac:dyDescent="0.25">
      <c r="A252">
        <v>177</v>
      </c>
      <c r="B252">
        <v>0</v>
      </c>
      <c r="C252" t="str">
        <v>VV</v>
      </c>
      <c r="D252">
        <v>0</v>
      </c>
      <c r="E252" t="str">
        <v>MM</v>
      </c>
      <c r="F252" t="str">
        <v>&lt;Null&gt;</v>
      </c>
      <c r="G252">
        <v>45839</v>
      </c>
      <c r="H252">
        <v>0</v>
      </c>
      <c r="I252" t="str">
        <v>Globe Equity Decree</v>
      </c>
      <c r="J252" t="str">
        <v>Gila River</v>
      </c>
      <c r="K252" t="str">
        <v>GR</v>
      </c>
      <c r="L252" t="str">
        <v>Virden Valey</v>
      </c>
      <c r="M252" t="str">
        <v>VV</v>
      </c>
      <c r="N252" t="str">
        <v>New Modell</v>
      </c>
      <c r="O252" t="str">
        <v>FA</v>
      </c>
      <c r="P252" t="str">
        <v>Fallow, idle or otherwise not irrigated</v>
      </c>
      <c r="Q252">
        <v>1.6003505965145799</v>
      </c>
      <c r="R252" t="str">
        <v>4</v>
      </c>
      <c r="S252" t="str">
        <v>Not irrigated</v>
      </c>
      <c r="T252">
        <v>0</v>
      </c>
      <c r="U252">
        <v>0</v>
      </c>
      <c r="V252" t="str">
        <v>7</v>
      </c>
      <c r="W252">
        <v>0</v>
      </c>
      <c r="X252">
        <v>0</v>
      </c>
      <c r="Y252">
        <v>0</v>
      </c>
      <c r="Z252">
        <v>0</v>
      </c>
      <c r="AA252">
        <v>0</v>
      </c>
      <c r="AB252" t="str">
        <v>HI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335.51594276267377</v>
      </c>
      <c r="AJ252">
        <v>6476.4149952307744</v>
      </c>
      <c r="AK252">
        <v>0</v>
      </c>
    </row>
    <row r="253" spans="1:37" x14ac:dyDescent="0.25">
      <c r="A253">
        <v>179</v>
      </c>
      <c r="B253">
        <v>0</v>
      </c>
      <c r="C253" t="str">
        <v>VV</v>
      </c>
      <c r="D253">
        <v>0</v>
      </c>
      <c r="E253" t="str">
        <v>MM</v>
      </c>
      <c r="F253" t="str">
        <v>&lt;Null&gt;</v>
      </c>
      <c r="G253">
        <v>45838</v>
      </c>
      <c r="H253">
        <v>0</v>
      </c>
      <c r="I253" t="str">
        <v>Globe Equity Decree</v>
      </c>
      <c r="J253" t="str">
        <v>Gila River</v>
      </c>
      <c r="K253" t="str">
        <v>GR</v>
      </c>
      <c r="L253" t="str">
        <v>Virden Valey</v>
      </c>
      <c r="M253" t="str">
        <v>VV</v>
      </c>
      <c r="N253" t="str">
        <v>Sunset Canal</v>
      </c>
      <c r="O253" t="str">
        <v>FA</v>
      </c>
      <c r="P253" t="str">
        <v>Fallow, idle or otherwise not irrigated</v>
      </c>
      <c r="Q253">
        <v>9.0196116715572288</v>
      </c>
      <c r="R253" t="str">
        <v>4</v>
      </c>
      <c r="S253" t="str">
        <v>Not irrigated</v>
      </c>
      <c r="T253">
        <v>0</v>
      </c>
      <c r="U253">
        <v>0</v>
      </c>
      <c r="V253" t="str">
        <v>4</v>
      </c>
      <c r="W253">
        <v>0</v>
      </c>
      <c r="X253">
        <v>0</v>
      </c>
      <c r="Y253">
        <v>0</v>
      </c>
      <c r="Z253">
        <v>0</v>
      </c>
      <c r="AA253">
        <v>0</v>
      </c>
      <c r="AB253" t="str">
        <v>HI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784.29306921510829</v>
      </c>
      <c r="AJ253">
        <v>36501.219425327057</v>
      </c>
      <c r="AK253">
        <v>0</v>
      </c>
    </row>
    <row r="254" spans="1:37" x14ac:dyDescent="0.25">
      <c r="A254">
        <v>180</v>
      </c>
      <c r="B254">
        <v>0</v>
      </c>
      <c r="C254" t="str">
        <v>VV</v>
      </c>
      <c r="D254">
        <v>0</v>
      </c>
      <c r="E254" t="str">
        <v>MM</v>
      </c>
      <c r="F254" t="str">
        <v>&lt;Null&gt;</v>
      </c>
      <c r="G254">
        <v>45838</v>
      </c>
      <c r="H254">
        <v>0</v>
      </c>
      <c r="I254" t="str">
        <v>Globe Equity Decree</v>
      </c>
      <c r="J254" t="str">
        <v>Gila River</v>
      </c>
      <c r="K254" t="str">
        <v>GR</v>
      </c>
      <c r="L254" t="str">
        <v>Virden Valey</v>
      </c>
      <c r="M254" t="str">
        <v>VV</v>
      </c>
      <c r="N254" t="str">
        <v>Sunset Canal</v>
      </c>
      <c r="O254" t="str">
        <v>FA</v>
      </c>
      <c r="P254" t="str">
        <v>Fallow, idle or otherwise not irrigated</v>
      </c>
      <c r="Q254">
        <v>0.8581900931282137</v>
      </c>
      <c r="R254" t="str">
        <v>4</v>
      </c>
      <c r="S254" t="str">
        <v>Not irrigated</v>
      </c>
      <c r="T254" t="str">
        <v>Holding Pen</v>
      </c>
      <c r="U254">
        <v>0</v>
      </c>
      <c r="V254" t="str">
        <v>5</v>
      </c>
      <c r="W254">
        <v>0</v>
      </c>
      <c r="X254">
        <v>0</v>
      </c>
      <c r="Y254">
        <v>0</v>
      </c>
      <c r="Z254">
        <v>0</v>
      </c>
      <c r="AA254">
        <v>0</v>
      </c>
      <c r="AB254" t="str">
        <v>HI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289.18602291788159</v>
      </c>
      <c r="AJ254">
        <v>3472.9859819460012</v>
      </c>
      <c r="AK254">
        <v>0</v>
      </c>
    </row>
    <row r="255" spans="1:37" x14ac:dyDescent="0.25">
      <c r="A255">
        <v>184</v>
      </c>
      <c r="B255">
        <v>0</v>
      </c>
      <c r="C255" t="str">
        <v>VV</v>
      </c>
      <c r="D255">
        <v>0</v>
      </c>
      <c r="E255" t="str">
        <v>MM</v>
      </c>
      <c r="F255" t="str">
        <v>&lt;Null&gt;</v>
      </c>
      <c r="G255">
        <v>45839</v>
      </c>
      <c r="H255">
        <v>0</v>
      </c>
      <c r="I255" t="str">
        <v>Arizona v California</v>
      </c>
      <c r="J255" t="str">
        <v>Gila River</v>
      </c>
      <c r="K255" t="str">
        <v>GR</v>
      </c>
      <c r="L255" t="str">
        <v>Virden Valey</v>
      </c>
      <c r="M255" t="str">
        <v>VV</v>
      </c>
      <c r="N255">
        <v>0</v>
      </c>
      <c r="O255" t="str">
        <v>FA</v>
      </c>
      <c r="P255" t="str">
        <v>Fallow, idle or otherwise not irrigated</v>
      </c>
      <c r="Q255">
        <v>11.487504728884019</v>
      </c>
      <c r="R255" t="str">
        <v>4</v>
      </c>
      <c r="S255" t="str">
        <v>Not irrigated</v>
      </c>
      <c r="T255">
        <v>0</v>
      </c>
      <c r="U255">
        <v>0</v>
      </c>
      <c r="V255" t="str">
        <v>12</v>
      </c>
      <c r="W255">
        <v>0</v>
      </c>
      <c r="X255">
        <v>0</v>
      </c>
      <c r="Y255" t="str">
        <v>T19S</v>
      </c>
      <c r="Z255" t="str">
        <v>R21W</v>
      </c>
      <c r="AA255" t="str">
        <v>5</v>
      </c>
      <c r="AB255" t="str">
        <v>HI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1321.321876041382</v>
      </c>
      <c r="AJ255">
        <v>46488.468243121693</v>
      </c>
      <c r="AK255">
        <v>0</v>
      </c>
    </row>
    <row r="256" spans="1:37" x14ac:dyDescent="0.25">
      <c r="A256">
        <v>185</v>
      </c>
      <c r="B256">
        <v>0</v>
      </c>
      <c r="C256" t="str">
        <v>VV</v>
      </c>
      <c r="D256">
        <v>0</v>
      </c>
      <c r="E256" t="str">
        <v>MM</v>
      </c>
      <c r="F256" t="str">
        <v>&lt;Null&gt;</v>
      </c>
      <c r="G256">
        <v>45839</v>
      </c>
      <c r="H256">
        <v>0</v>
      </c>
      <c r="I256" t="str">
        <v>Arizona v California</v>
      </c>
      <c r="J256" t="str">
        <v>Gila River</v>
      </c>
      <c r="K256" t="str">
        <v>GR</v>
      </c>
      <c r="L256" t="str">
        <v>Virden Valey</v>
      </c>
      <c r="M256" t="str">
        <v>VV</v>
      </c>
      <c r="N256">
        <v>0</v>
      </c>
      <c r="O256" t="str">
        <v>FA</v>
      </c>
      <c r="P256" t="str">
        <v>Fallow, idle or otherwise not irrigated</v>
      </c>
      <c r="Q256">
        <v>3.142643374144078</v>
      </c>
      <c r="R256" t="str">
        <v>4</v>
      </c>
      <c r="S256" t="str">
        <v>Not irrigated</v>
      </c>
      <c r="T256">
        <v>0</v>
      </c>
      <c r="U256">
        <v>0</v>
      </c>
      <c r="V256" t="str">
        <v>12</v>
      </c>
      <c r="W256">
        <v>0</v>
      </c>
      <c r="X256">
        <v>0</v>
      </c>
      <c r="Y256" t="str">
        <v>T19S</v>
      </c>
      <c r="Z256" t="str">
        <v>R21W</v>
      </c>
      <c r="AA256" t="str">
        <v>6</v>
      </c>
      <c r="AB256" t="str">
        <v>HI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1535.7277369413839</v>
      </c>
      <c r="AJ256">
        <v>12717.87739342647</v>
      </c>
      <c r="AK256">
        <v>0</v>
      </c>
    </row>
    <row r="257" spans="1:37" x14ac:dyDescent="0.25">
      <c r="A257">
        <v>186</v>
      </c>
      <c r="B257">
        <v>0</v>
      </c>
      <c r="C257" t="str">
        <v>VV</v>
      </c>
      <c r="D257">
        <v>0</v>
      </c>
      <c r="E257" t="str">
        <v>MM</v>
      </c>
      <c r="F257" t="str">
        <v>&lt;Null&gt;</v>
      </c>
      <c r="G257">
        <v>45839</v>
      </c>
      <c r="H257">
        <v>0</v>
      </c>
      <c r="I257" t="str">
        <v>Arizona v California</v>
      </c>
      <c r="J257" t="str">
        <v>Gila River</v>
      </c>
      <c r="K257" t="str">
        <v>GR</v>
      </c>
      <c r="L257" t="str">
        <v>Virden Valey</v>
      </c>
      <c r="M257" t="str">
        <v>VV</v>
      </c>
      <c r="N257">
        <v>0</v>
      </c>
      <c r="O257" t="str">
        <v>FA</v>
      </c>
      <c r="P257" t="str">
        <v>Fallow, idle or otherwise not irrigated</v>
      </c>
      <c r="Q257">
        <v>20.270448342359401</v>
      </c>
      <c r="R257" t="str">
        <v>4</v>
      </c>
      <c r="S257" t="str">
        <v>Not irrigated</v>
      </c>
      <c r="T257">
        <v>0</v>
      </c>
      <c r="U257">
        <v>0</v>
      </c>
      <c r="V257" t="str">
        <v>12</v>
      </c>
      <c r="W257">
        <v>0</v>
      </c>
      <c r="X257">
        <v>0</v>
      </c>
      <c r="Y257" t="str">
        <v>T19S</v>
      </c>
      <c r="Z257" t="str">
        <v>R21W</v>
      </c>
      <c r="AA257" t="str">
        <v>5</v>
      </c>
      <c r="AB257" t="str">
        <v>HI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1190.241592972508</v>
      </c>
      <c r="AJ257">
        <v>82031.922186565207</v>
      </c>
      <c r="AK257">
        <v>0</v>
      </c>
    </row>
    <row r="258" spans="1:37" x14ac:dyDescent="0.25">
      <c r="A258">
        <v>187</v>
      </c>
      <c r="B258">
        <v>0</v>
      </c>
      <c r="C258" t="str">
        <v>VV</v>
      </c>
      <c r="D258">
        <v>0</v>
      </c>
      <c r="E258" t="str">
        <v>MM</v>
      </c>
      <c r="F258" t="str">
        <v>&lt;Null&gt;</v>
      </c>
      <c r="G258">
        <v>45839</v>
      </c>
      <c r="H258">
        <v>0</v>
      </c>
      <c r="I258" t="str">
        <v>Globe Equity Decree</v>
      </c>
      <c r="J258" t="str">
        <v>Gila River</v>
      </c>
      <c r="K258" t="str">
        <v>GR</v>
      </c>
      <c r="L258" t="str">
        <v>Virden Valey</v>
      </c>
      <c r="M258" t="str">
        <v>VV</v>
      </c>
      <c r="N258" t="str">
        <v>New Modell</v>
      </c>
      <c r="O258" t="str">
        <v>FA</v>
      </c>
      <c r="P258" t="str">
        <v>Fallow, idle or otherwise not irrigated</v>
      </c>
      <c r="Q258">
        <v>1.418745859248806</v>
      </c>
      <c r="R258" t="str">
        <v>4</v>
      </c>
      <c r="S258" t="str">
        <v>Not irrigated</v>
      </c>
      <c r="T258">
        <v>0</v>
      </c>
      <c r="U258">
        <v>0</v>
      </c>
      <c r="V258" t="str">
        <v>8</v>
      </c>
      <c r="W258">
        <v>0</v>
      </c>
      <c r="X258">
        <v>0</v>
      </c>
      <c r="Y258">
        <v>0</v>
      </c>
      <c r="Z258">
        <v>0</v>
      </c>
      <c r="AA258">
        <v>0</v>
      </c>
      <c r="AB258" t="str">
        <v>HI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338.05165880337353</v>
      </c>
      <c r="AJ258">
        <v>5741.4837581665024</v>
      </c>
      <c r="AK258">
        <v>0</v>
      </c>
    </row>
    <row r="259" spans="1:37" x14ac:dyDescent="0.25">
      <c r="A259">
        <v>194</v>
      </c>
      <c r="B259">
        <v>0</v>
      </c>
      <c r="C259" t="str">
        <v>VV</v>
      </c>
      <c r="D259">
        <v>0</v>
      </c>
      <c r="E259" t="str">
        <v>MM</v>
      </c>
      <c r="F259" t="str">
        <v>&lt;Null&gt;</v>
      </c>
      <c r="G259">
        <v>45839</v>
      </c>
      <c r="H259">
        <v>0</v>
      </c>
      <c r="I259" t="str">
        <v>Globe Equity Decree</v>
      </c>
      <c r="J259" t="str">
        <v>Gila River</v>
      </c>
      <c r="K259" t="str">
        <v>GR</v>
      </c>
      <c r="L259" t="str">
        <v>Virden Valey</v>
      </c>
      <c r="M259" t="str">
        <v>VV</v>
      </c>
      <c r="N259" t="str">
        <v>New Modell</v>
      </c>
      <c r="O259" t="str">
        <v>FA</v>
      </c>
      <c r="P259" t="str">
        <v>Fallow, idle or otherwise not irrigated</v>
      </c>
      <c r="Q259">
        <v>6.4525342506901469</v>
      </c>
      <c r="R259" t="str">
        <v>4</v>
      </c>
      <c r="S259" t="str">
        <v>Not irrigated</v>
      </c>
      <c r="T259">
        <v>0</v>
      </c>
      <c r="U259">
        <v>0</v>
      </c>
      <c r="V259" t="str">
        <v>7</v>
      </c>
      <c r="W259">
        <v>0</v>
      </c>
      <c r="X259">
        <v>0</v>
      </c>
      <c r="Y259">
        <v>0</v>
      </c>
      <c r="Z259">
        <v>0</v>
      </c>
      <c r="AA259">
        <v>0</v>
      </c>
      <c r="AB259" t="str">
        <v>HI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1315.6713409579661</v>
      </c>
      <c r="AJ259">
        <v>26112.58412339343</v>
      </c>
      <c r="AK259">
        <v>0</v>
      </c>
    </row>
    <row r="260" spans="1:37" x14ac:dyDescent="0.25">
      <c r="A260">
        <v>195</v>
      </c>
      <c r="B260">
        <v>0</v>
      </c>
      <c r="C260" t="str">
        <v>VV</v>
      </c>
      <c r="D260">
        <v>0</v>
      </c>
      <c r="E260" t="str">
        <v>MM</v>
      </c>
      <c r="F260" t="str">
        <v>&lt;Null&gt;</v>
      </c>
      <c r="G260">
        <v>45839</v>
      </c>
      <c r="H260">
        <v>0</v>
      </c>
      <c r="I260" t="str">
        <v>Globe Equity Decree</v>
      </c>
      <c r="J260" t="str">
        <v>Gila River</v>
      </c>
      <c r="K260" t="str">
        <v>GR</v>
      </c>
      <c r="L260" t="str">
        <v>Virden Valey</v>
      </c>
      <c r="M260" t="str">
        <v>VV</v>
      </c>
      <c r="N260" t="str">
        <v>New Modell</v>
      </c>
      <c r="O260" t="str">
        <v>FA</v>
      </c>
      <c r="P260" t="str">
        <v>Fallow, idle or otherwise not irrigated</v>
      </c>
      <c r="Q260">
        <v>15.78250758546177</v>
      </c>
      <c r="R260" t="str">
        <v>4</v>
      </c>
      <c r="S260" t="str">
        <v>Not irrigated</v>
      </c>
      <c r="T260">
        <v>0</v>
      </c>
      <c r="U260">
        <v>0</v>
      </c>
      <c r="V260" t="str">
        <v>7</v>
      </c>
      <c r="W260">
        <v>0</v>
      </c>
      <c r="X260">
        <v>0</v>
      </c>
      <c r="Y260">
        <v>0</v>
      </c>
      <c r="Z260">
        <v>0</v>
      </c>
      <c r="AA260">
        <v>0</v>
      </c>
      <c r="AB260" t="str">
        <v>HI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1014.013131463011</v>
      </c>
      <c r="AJ260">
        <v>63869.797662737867</v>
      </c>
      <c r="AK260">
        <v>0</v>
      </c>
    </row>
    <row r="261" spans="1:37" x14ac:dyDescent="0.25">
      <c r="A261">
        <v>198</v>
      </c>
      <c r="B261">
        <v>0</v>
      </c>
      <c r="C261" t="str">
        <v>VV</v>
      </c>
      <c r="D261">
        <v>0</v>
      </c>
      <c r="E261" t="str">
        <v>MM</v>
      </c>
      <c r="F261" t="str">
        <v>&lt;Null&gt;</v>
      </c>
      <c r="G261">
        <v>45839</v>
      </c>
      <c r="H261">
        <v>0</v>
      </c>
      <c r="I261" t="str">
        <v>Globe Equity Decree</v>
      </c>
      <c r="J261" t="str">
        <v>Gila River</v>
      </c>
      <c r="K261" t="str">
        <v>GR</v>
      </c>
      <c r="L261" t="str">
        <v>Virden Valey</v>
      </c>
      <c r="M261" t="str">
        <v>VV</v>
      </c>
      <c r="N261" t="str">
        <v>New Modell</v>
      </c>
      <c r="O261" t="str">
        <v>FA</v>
      </c>
      <c r="P261" t="str">
        <v>Fallow, idle or otherwise not irrigated</v>
      </c>
      <c r="Q261">
        <v>1.660984209609186</v>
      </c>
      <c r="R261" t="str">
        <v>4</v>
      </c>
      <c r="S261" t="str">
        <v>Not irrigated</v>
      </c>
      <c r="T261">
        <v>0</v>
      </c>
      <c r="U261">
        <v>0</v>
      </c>
      <c r="V261" t="str">
        <v>10</v>
      </c>
      <c r="W261">
        <v>0</v>
      </c>
      <c r="X261">
        <v>0</v>
      </c>
      <c r="Y261" t="str">
        <v>T19S</v>
      </c>
      <c r="Z261" t="str">
        <v>R21W</v>
      </c>
      <c r="AA261" t="str">
        <v>4</v>
      </c>
      <c r="AB261" t="str">
        <v>HI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330.31875789867058</v>
      </c>
      <c r="AJ261">
        <v>6721.7915033010477</v>
      </c>
      <c r="AK261">
        <v>0</v>
      </c>
    </row>
    <row r="262" spans="1:37" x14ac:dyDescent="0.25">
      <c r="A262">
        <v>199</v>
      </c>
      <c r="B262">
        <v>0</v>
      </c>
      <c r="C262" t="str">
        <v>VV</v>
      </c>
      <c r="D262">
        <v>0</v>
      </c>
      <c r="E262" t="str">
        <v>MM</v>
      </c>
      <c r="F262" t="str">
        <v>&lt;Null&gt;</v>
      </c>
      <c r="G262">
        <v>45839</v>
      </c>
      <c r="H262">
        <v>0</v>
      </c>
      <c r="I262" t="str">
        <v>Globe Equity Decree</v>
      </c>
      <c r="J262" t="str">
        <v>Gila River</v>
      </c>
      <c r="K262" t="str">
        <v>GR</v>
      </c>
      <c r="L262" t="str">
        <v>Virden Valey</v>
      </c>
      <c r="M262" t="str">
        <v>VV</v>
      </c>
      <c r="N262" t="str">
        <v>New Modell</v>
      </c>
      <c r="O262" t="str">
        <v>FA</v>
      </c>
      <c r="P262" t="str">
        <v>Fallow, idle or otherwise not irrigated</v>
      </c>
      <c r="Q262">
        <v>1.55577989491599</v>
      </c>
      <c r="R262" t="str">
        <v>4</v>
      </c>
      <c r="S262" t="str">
        <v>Not irrigated</v>
      </c>
      <c r="T262">
        <v>0</v>
      </c>
      <c r="U262">
        <v>0</v>
      </c>
      <c r="V262" t="str">
        <v>10</v>
      </c>
      <c r="W262">
        <v>0</v>
      </c>
      <c r="X262">
        <v>0</v>
      </c>
      <c r="Y262" t="str">
        <v>T19S</v>
      </c>
      <c r="Z262" t="str">
        <v>R21W</v>
      </c>
      <c r="AA262" t="str">
        <v>4</v>
      </c>
      <c r="AB262" t="str">
        <v>HI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317.96372029983257</v>
      </c>
      <c r="AJ262">
        <v>6296.0430437285631</v>
      </c>
      <c r="AK262">
        <v>0</v>
      </c>
    </row>
    <row r="263" spans="1:37" x14ac:dyDescent="0.25">
      <c r="A263">
        <v>208</v>
      </c>
      <c r="B263">
        <v>0</v>
      </c>
      <c r="C263" t="str">
        <v>VV</v>
      </c>
      <c r="D263">
        <v>0</v>
      </c>
      <c r="E263" t="str">
        <v>MM</v>
      </c>
      <c r="F263">
        <v>0</v>
      </c>
      <c r="G263">
        <v>45839</v>
      </c>
      <c r="H263">
        <v>0</v>
      </c>
      <c r="I263" t="str">
        <v>Globe Equity Decree</v>
      </c>
      <c r="J263" t="str">
        <v>Gila River</v>
      </c>
      <c r="K263" t="str">
        <v>GR</v>
      </c>
      <c r="L263" t="str">
        <v>Virden Valey</v>
      </c>
      <c r="M263" t="str">
        <v>VV</v>
      </c>
      <c r="N263" t="str">
        <v>New Modell</v>
      </c>
      <c r="O263" t="str">
        <v>FA</v>
      </c>
      <c r="P263" t="str">
        <v>Fallow, idle or otherwise not irrigated</v>
      </c>
      <c r="Q263">
        <v>16.976750262510318</v>
      </c>
      <c r="R263" t="str">
        <v>4</v>
      </c>
      <c r="S263" t="str">
        <v>Not irrigated</v>
      </c>
      <c r="T263">
        <v>0</v>
      </c>
      <c r="U263">
        <v>0</v>
      </c>
      <c r="V263" t="str">
        <v>12</v>
      </c>
      <c r="W263">
        <v>0</v>
      </c>
      <c r="X263">
        <v>0</v>
      </c>
      <c r="Y263">
        <v>0</v>
      </c>
      <c r="Z263">
        <v>0</v>
      </c>
      <c r="AA263">
        <v>0</v>
      </c>
      <c r="AB263" t="str">
        <v>HI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1200.342271111429</v>
      </c>
      <c r="AJ263">
        <v>68702.745642028516</v>
      </c>
      <c r="AK263">
        <v>0</v>
      </c>
    </row>
    <row r="264" spans="1:37" x14ac:dyDescent="0.25">
      <c r="A264">
        <v>219</v>
      </c>
      <c r="B264">
        <v>0</v>
      </c>
      <c r="C264" t="str">
        <v>VV</v>
      </c>
      <c r="D264">
        <v>0</v>
      </c>
      <c r="E264" t="str">
        <v>MM</v>
      </c>
      <c r="F264" t="str">
        <v>&lt;Null&gt;</v>
      </c>
      <c r="G264">
        <v>45839</v>
      </c>
      <c r="H264">
        <v>0</v>
      </c>
      <c r="I264" t="str">
        <v>Globe Equity Decree</v>
      </c>
      <c r="J264" t="str">
        <v>Gila River</v>
      </c>
      <c r="K264" t="str">
        <v>GR</v>
      </c>
      <c r="L264" t="str">
        <v>Virden Valey</v>
      </c>
      <c r="M264" t="str">
        <v>VV</v>
      </c>
      <c r="N264" t="str">
        <v>Sunset Canal</v>
      </c>
      <c r="O264" t="str">
        <v>FA</v>
      </c>
      <c r="P264" t="str">
        <v>Fallow, idle or otherwise not irrigated</v>
      </c>
      <c r="Q264">
        <v>1.6142221304094491</v>
      </c>
      <c r="R264" t="str">
        <v>4</v>
      </c>
      <c r="S264" t="str">
        <v>Not irrigated</v>
      </c>
      <c r="T264">
        <v>0</v>
      </c>
      <c r="U264">
        <v>0</v>
      </c>
      <c r="V264" t="str">
        <v>13</v>
      </c>
      <c r="W264">
        <v>0</v>
      </c>
      <c r="X264">
        <v>0</v>
      </c>
      <c r="Y264" t="str">
        <v>T18S</v>
      </c>
      <c r="Z264" t="str">
        <v>R21W</v>
      </c>
      <c r="AA264" t="str">
        <v>32</v>
      </c>
      <c r="AB264" t="str">
        <v>HI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332.95476645823248</v>
      </c>
      <c r="AJ264">
        <v>6532.5513258068631</v>
      </c>
      <c r="AK264">
        <v>0</v>
      </c>
    </row>
    <row r="265" spans="1:37" x14ac:dyDescent="0.25">
      <c r="A265">
        <v>221</v>
      </c>
      <c r="B265">
        <v>0</v>
      </c>
      <c r="C265" t="str">
        <v>VV</v>
      </c>
      <c r="D265">
        <v>0</v>
      </c>
      <c r="E265" t="str">
        <v>MM</v>
      </c>
      <c r="F265" t="str">
        <v>&lt;Null&gt;</v>
      </c>
      <c r="G265">
        <v>45839</v>
      </c>
      <c r="H265">
        <v>0</v>
      </c>
      <c r="I265" t="str">
        <v>Globe Equity Decree</v>
      </c>
      <c r="J265" t="str">
        <v>Gila River</v>
      </c>
      <c r="K265" t="str">
        <v>GR</v>
      </c>
      <c r="L265" t="str">
        <v>Virden Valey</v>
      </c>
      <c r="M265" t="str">
        <v>VV</v>
      </c>
      <c r="N265" t="str">
        <v>Sunset Canal</v>
      </c>
      <c r="O265" t="str">
        <v>FA</v>
      </c>
      <c r="P265" t="str">
        <v>Fallow, idle or otherwise not irrigated</v>
      </c>
      <c r="Q265">
        <v>7.6672311222630949</v>
      </c>
      <c r="R265" t="str">
        <v>4</v>
      </c>
      <c r="S265" t="str">
        <v>Not irrigated</v>
      </c>
      <c r="T265">
        <v>0</v>
      </c>
      <c r="U265">
        <v>0</v>
      </c>
      <c r="V265" t="str">
        <v>13</v>
      </c>
      <c r="W265">
        <v>0</v>
      </c>
      <c r="X265">
        <v>0</v>
      </c>
      <c r="Y265" t="str">
        <v>T18S</v>
      </c>
      <c r="Z265" t="str">
        <v>R21W</v>
      </c>
      <c r="AA265" t="str">
        <v>32</v>
      </c>
      <c r="AB265" t="str">
        <v>HI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754.5393706897629</v>
      </c>
      <c r="AJ265">
        <v>31028.307622261938</v>
      </c>
      <c r="AK265">
        <v>0</v>
      </c>
    </row>
    <row r="266" spans="1:37" x14ac:dyDescent="0.25">
      <c r="A266">
        <v>222</v>
      </c>
      <c r="B266">
        <v>0</v>
      </c>
      <c r="C266" t="str">
        <v>VV</v>
      </c>
      <c r="D266">
        <v>0</v>
      </c>
      <c r="E266" t="str">
        <v>MM</v>
      </c>
      <c r="F266" t="str">
        <v>&lt;Null&gt;</v>
      </c>
      <c r="G266">
        <v>45839</v>
      </c>
      <c r="H266">
        <v>0</v>
      </c>
      <c r="I266" t="str">
        <v>Globe Equity Decree</v>
      </c>
      <c r="J266" t="str">
        <v>Gila River</v>
      </c>
      <c r="K266" t="str">
        <v>GR</v>
      </c>
      <c r="L266" t="str">
        <v>Virden Valey</v>
      </c>
      <c r="M266" t="str">
        <v>VV</v>
      </c>
      <c r="N266" t="str">
        <v>Sunset Canal</v>
      </c>
      <c r="O266" t="str">
        <v>FA</v>
      </c>
      <c r="P266" t="str">
        <v>Fallow, idle or otherwise not irrigated</v>
      </c>
      <c r="Q266">
        <v>2.4150047437836371</v>
      </c>
      <c r="R266" t="str">
        <v>4</v>
      </c>
      <c r="S266" t="str">
        <v>Not irrigated</v>
      </c>
      <c r="T266">
        <v>0</v>
      </c>
      <c r="U266">
        <v>0</v>
      </c>
      <c r="V266" t="str">
        <v>13</v>
      </c>
      <c r="W266">
        <v>0</v>
      </c>
      <c r="X266">
        <v>0</v>
      </c>
      <c r="Y266" t="str">
        <v>T18S</v>
      </c>
      <c r="Z266" t="str">
        <v>R21W</v>
      </c>
      <c r="AA266" t="str">
        <v>32</v>
      </c>
      <c r="AB266" t="str">
        <v>HI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387.24391529242178</v>
      </c>
      <c r="AJ266">
        <v>9773.2165503343876</v>
      </c>
      <c r="AK266">
        <v>0</v>
      </c>
    </row>
    <row r="267" spans="1:37" x14ac:dyDescent="0.25">
      <c r="A267">
        <v>227</v>
      </c>
      <c r="B267">
        <v>0</v>
      </c>
      <c r="C267" t="str">
        <v>VV</v>
      </c>
      <c r="D267">
        <v>0</v>
      </c>
      <c r="E267" t="str">
        <v>MM</v>
      </c>
      <c r="F267" t="str">
        <v>&lt;Null&gt;</v>
      </c>
      <c r="G267">
        <v>45839</v>
      </c>
      <c r="H267">
        <v>0</v>
      </c>
      <c r="I267" t="str">
        <v>Arizona v California</v>
      </c>
      <c r="J267" t="str">
        <v>Gila River</v>
      </c>
      <c r="K267" t="str">
        <v>GR</v>
      </c>
      <c r="L267" t="str">
        <v>Virden Valey</v>
      </c>
      <c r="M267" t="str">
        <v>VV</v>
      </c>
      <c r="N267">
        <v>0</v>
      </c>
      <c r="O267" t="str">
        <v>FA</v>
      </c>
      <c r="P267" t="str">
        <v>Fallow, idle or otherwise not irrigated</v>
      </c>
      <c r="Q267">
        <v>3.880546775560977</v>
      </c>
      <c r="R267" t="str">
        <v>4</v>
      </c>
      <c r="S267" t="str">
        <v>Not irrigated</v>
      </c>
      <c r="T267">
        <v>0</v>
      </c>
      <c r="U267">
        <v>0</v>
      </c>
      <c r="V267" t="str">
        <v>13</v>
      </c>
      <c r="W267">
        <v>0</v>
      </c>
      <c r="X267">
        <v>0</v>
      </c>
      <c r="Y267" t="str">
        <v>T18S</v>
      </c>
      <c r="Z267" t="str">
        <v>R21W</v>
      </c>
      <c r="AA267" t="str">
        <v>32</v>
      </c>
      <c r="AB267" t="str">
        <v>HI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571.83132030128627</v>
      </c>
      <c r="AJ267">
        <v>15704.078457353569</v>
      </c>
      <c r="AK267">
        <v>0</v>
      </c>
    </row>
    <row r="268" spans="1:37" x14ac:dyDescent="0.25">
      <c r="A268">
        <v>228</v>
      </c>
      <c r="B268">
        <v>0</v>
      </c>
      <c r="C268" t="str">
        <v>VV</v>
      </c>
      <c r="D268">
        <v>0</v>
      </c>
      <c r="E268" t="str">
        <v>MM</v>
      </c>
      <c r="F268" t="str">
        <v>&lt;Null&gt;</v>
      </c>
      <c r="G268">
        <v>45839</v>
      </c>
      <c r="H268">
        <v>0</v>
      </c>
      <c r="I268" t="str">
        <v>Globe Equity Decree</v>
      </c>
      <c r="J268" t="str">
        <v>Gila River</v>
      </c>
      <c r="K268" t="str">
        <v>GR</v>
      </c>
      <c r="L268" t="str">
        <v>Virden Valey</v>
      </c>
      <c r="M268" t="str">
        <v>VV</v>
      </c>
      <c r="N268" t="str">
        <v>Sunset Canal</v>
      </c>
      <c r="O268" t="str">
        <v>FA</v>
      </c>
      <c r="P268" t="str">
        <v>Fallow, idle or otherwise not irrigated</v>
      </c>
      <c r="Q268">
        <v>19.706568765609688</v>
      </c>
      <c r="R268" t="str">
        <v>4</v>
      </c>
      <c r="S268" t="str">
        <v>Not irrigated</v>
      </c>
      <c r="T268">
        <v>0</v>
      </c>
      <c r="U268">
        <v>0</v>
      </c>
      <c r="V268" t="str">
        <v>13</v>
      </c>
      <c r="W268">
        <v>0</v>
      </c>
      <c r="X268">
        <v>0</v>
      </c>
      <c r="Y268" t="str">
        <v>T18S</v>
      </c>
      <c r="Z268" t="str">
        <v>R21W</v>
      </c>
      <c r="AA268" t="str">
        <v>32</v>
      </c>
      <c r="AB268" t="str">
        <v>HI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1397.091477815741</v>
      </c>
      <c r="AJ268">
        <v>79749.97337214931</v>
      </c>
      <c r="AK268">
        <v>0</v>
      </c>
    </row>
    <row r="269" spans="1:37" x14ac:dyDescent="0.25">
      <c r="A269">
        <v>233</v>
      </c>
      <c r="B269">
        <v>0</v>
      </c>
      <c r="C269" t="str">
        <v>VV</v>
      </c>
      <c r="D269">
        <v>0</v>
      </c>
      <c r="E269" t="str">
        <v>MM</v>
      </c>
      <c r="F269" t="str">
        <v>&lt;Null&gt;</v>
      </c>
      <c r="G269">
        <v>45839</v>
      </c>
      <c r="H269">
        <v>0</v>
      </c>
      <c r="I269" t="str">
        <v>Globe Equity Decree</v>
      </c>
      <c r="J269" t="str">
        <v>Gila River</v>
      </c>
      <c r="K269" t="str">
        <v>GR</v>
      </c>
      <c r="L269" t="str">
        <v>Virden Valey</v>
      </c>
      <c r="M269" t="str">
        <v>VV</v>
      </c>
      <c r="N269" t="str">
        <v>Sunset Canal</v>
      </c>
      <c r="O269" t="str">
        <v>FA</v>
      </c>
      <c r="P269" t="str">
        <v>Fallow, idle or otherwise not irrigated</v>
      </c>
      <c r="Q269">
        <v>11.304270141987811</v>
      </c>
      <c r="R269" t="str">
        <v>4</v>
      </c>
      <c r="S269" t="str">
        <v>Not irrigated</v>
      </c>
      <c r="T269">
        <v>0</v>
      </c>
      <c r="U269">
        <v>0</v>
      </c>
      <c r="V269" t="str">
        <v>13</v>
      </c>
      <c r="W269">
        <v>0</v>
      </c>
      <c r="X269">
        <v>0</v>
      </c>
      <c r="Y269" t="str">
        <v>T18S</v>
      </c>
      <c r="Z269" t="str">
        <v>R21W</v>
      </c>
      <c r="AA269" t="str">
        <v>32</v>
      </c>
      <c r="AB269" t="str">
        <v>HI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900.68744535328096</v>
      </c>
      <c r="AJ269">
        <v>45746.941212229787</v>
      </c>
      <c r="AK269">
        <v>0</v>
      </c>
    </row>
    <row r="270" spans="1:37" x14ac:dyDescent="0.25">
      <c r="A270">
        <v>237</v>
      </c>
      <c r="B270">
        <v>0</v>
      </c>
      <c r="C270" t="str">
        <v>VV</v>
      </c>
      <c r="D270">
        <v>0</v>
      </c>
      <c r="E270" t="str">
        <v>MM</v>
      </c>
      <c r="F270" t="str">
        <v>&lt;Null&gt;</v>
      </c>
      <c r="G270">
        <v>45839</v>
      </c>
      <c r="H270">
        <v>0</v>
      </c>
      <c r="I270" t="str">
        <v>Globe Equity Decree</v>
      </c>
      <c r="J270" t="str">
        <v>Gila River</v>
      </c>
      <c r="K270" t="str">
        <v>GR</v>
      </c>
      <c r="L270" t="str">
        <v>Virden Valey</v>
      </c>
      <c r="M270" t="str">
        <v>VV</v>
      </c>
      <c r="N270" t="str">
        <v>Sunset Canal</v>
      </c>
      <c r="O270" t="str">
        <v>FA</v>
      </c>
      <c r="P270" t="str">
        <v>Fallow, idle or otherwise not irrigated</v>
      </c>
      <c r="Q270">
        <v>0.80945320975986079</v>
      </c>
      <c r="R270" t="str">
        <v>4</v>
      </c>
      <c r="S270" t="str">
        <v>Not irrigated</v>
      </c>
      <c r="T270">
        <v>0</v>
      </c>
      <c r="U270">
        <v>0</v>
      </c>
      <c r="V270" t="str">
        <v>13</v>
      </c>
      <c r="W270">
        <v>0</v>
      </c>
      <c r="X270">
        <v>0</v>
      </c>
      <c r="Y270" t="str">
        <v>T18S</v>
      </c>
      <c r="Z270" t="str">
        <v>R21W</v>
      </c>
      <c r="AA270" t="str">
        <v>32</v>
      </c>
      <c r="AB270" t="str">
        <v>HI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223.86002687917599</v>
      </c>
      <c r="AJ270">
        <v>3275.7540235519782</v>
      </c>
      <c r="AK270">
        <v>0</v>
      </c>
    </row>
    <row r="271" spans="1:37" x14ac:dyDescent="0.25">
      <c r="A271">
        <v>238</v>
      </c>
      <c r="B271">
        <v>0</v>
      </c>
      <c r="C271" t="str">
        <v>VV</v>
      </c>
      <c r="D271">
        <v>0</v>
      </c>
      <c r="E271" t="str">
        <v>MM</v>
      </c>
      <c r="F271" t="str">
        <v>&lt;Null&gt;</v>
      </c>
      <c r="G271">
        <v>45839</v>
      </c>
      <c r="H271">
        <v>0</v>
      </c>
      <c r="I271" t="str">
        <v>Globe Equity Decree</v>
      </c>
      <c r="J271" t="str">
        <v>Gila River</v>
      </c>
      <c r="K271" t="str">
        <v>GR</v>
      </c>
      <c r="L271" t="str">
        <v>Virden Valey</v>
      </c>
      <c r="M271" t="str">
        <v>VV</v>
      </c>
      <c r="N271" t="str">
        <v>Sunset Canal</v>
      </c>
      <c r="O271" t="str">
        <v>FA</v>
      </c>
      <c r="P271" t="str">
        <v>Fallow, idle or otherwise not irrigated</v>
      </c>
      <c r="Q271">
        <v>0.2525366706733978</v>
      </c>
      <c r="R271" t="str">
        <v>4</v>
      </c>
      <c r="S271" t="str">
        <v>Not irrigated</v>
      </c>
      <c r="T271">
        <v>0</v>
      </c>
      <c r="U271">
        <v>0</v>
      </c>
      <c r="V271" t="str">
        <v>13</v>
      </c>
      <c r="W271">
        <v>0</v>
      </c>
      <c r="X271">
        <v>0</v>
      </c>
      <c r="Y271" t="str">
        <v>T18S</v>
      </c>
      <c r="Z271" t="str">
        <v>R21W</v>
      </c>
      <c r="AA271" t="str">
        <v>32</v>
      </c>
      <c r="AB271" t="str">
        <v>HI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130.8670657955997</v>
      </c>
      <c r="AJ271">
        <v>1021.983735537008</v>
      </c>
      <c r="AK271">
        <v>0</v>
      </c>
    </row>
    <row r="272" spans="1:37" x14ac:dyDescent="0.25">
      <c r="A272">
        <v>239</v>
      </c>
      <c r="B272">
        <v>0</v>
      </c>
      <c r="C272" t="str">
        <v>VV</v>
      </c>
      <c r="D272">
        <v>0</v>
      </c>
      <c r="E272" t="str">
        <v>MM</v>
      </c>
      <c r="F272" t="str">
        <v>&lt;Null&gt;</v>
      </c>
      <c r="G272">
        <v>45839</v>
      </c>
      <c r="H272">
        <v>0</v>
      </c>
      <c r="I272" t="str">
        <v>Globe Equity Decree</v>
      </c>
      <c r="J272" t="str">
        <v>Gila River</v>
      </c>
      <c r="K272" t="str">
        <v>GR</v>
      </c>
      <c r="L272" t="str">
        <v>Virden Valey</v>
      </c>
      <c r="M272" t="str">
        <v>VV</v>
      </c>
      <c r="N272" t="str">
        <v>Sunset Canal</v>
      </c>
      <c r="O272" t="str">
        <v>FA</v>
      </c>
      <c r="P272" t="str">
        <v>Fallow, idle or otherwise not irrigated</v>
      </c>
      <c r="Q272">
        <v>0.30595326905848541</v>
      </c>
      <c r="R272" t="str">
        <v>4</v>
      </c>
      <c r="S272" t="str">
        <v>Not irrigated</v>
      </c>
      <c r="T272">
        <v>0</v>
      </c>
      <c r="U272">
        <v>0</v>
      </c>
      <c r="V272" t="str">
        <v>13</v>
      </c>
      <c r="W272">
        <v>0</v>
      </c>
      <c r="X272">
        <v>0</v>
      </c>
      <c r="Y272" t="str">
        <v>T18S</v>
      </c>
      <c r="Z272" t="str">
        <v>R21W</v>
      </c>
      <c r="AA272" t="str">
        <v>32</v>
      </c>
      <c r="AB272" t="str">
        <v>HI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142.77876089974981</v>
      </c>
      <c r="AJ272">
        <v>1238.1539044542719</v>
      </c>
      <c r="AK272">
        <v>0</v>
      </c>
    </row>
    <row r="273" spans="1:37" x14ac:dyDescent="0.25">
      <c r="A273">
        <v>240</v>
      </c>
      <c r="B273">
        <v>0</v>
      </c>
      <c r="C273" t="str">
        <v>VV</v>
      </c>
      <c r="D273">
        <v>0</v>
      </c>
      <c r="E273" t="str">
        <v>MM</v>
      </c>
      <c r="F273" t="str">
        <v>&lt;Null&gt;</v>
      </c>
      <c r="G273">
        <v>45839</v>
      </c>
      <c r="H273">
        <v>0</v>
      </c>
      <c r="I273" t="str">
        <v>Globe Equity Decree</v>
      </c>
      <c r="J273" t="str">
        <v>Gila River</v>
      </c>
      <c r="K273" t="str">
        <v>GR</v>
      </c>
      <c r="L273" t="str">
        <v>Virden Valey</v>
      </c>
      <c r="M273" t="str">
        <v>VV</v>
      </c>
      <c r="N273" t="str">
        <v>Sunset Canal</v>
      </c>
      <c r="O273" t="str">
        <v>FA</v>
      </c>
      <c r="P273" t="str">
        <v>Fallow, idle or otherwise not irrigated</v>
      </c>
      <c r="Q273">
        <v>1.1539978460183979</v>
      </c>
      <c r="R273" t="str">
        <v>4</v>
      </c>
      <c r="S273" t="str">
        <v>Not irrigated</v>
      </c>
      <c r="T273">
        <v>0</v>
      </c>
      <c r="U273">
        <v>0</v>
      </c>
      <c r="V273" t="str">
        <v>13</v>
      </c>
      <c r="W273">
        <v>0</v>
      </c>
      <c r="X273">
        <v>0</v>
      </c>
      <c r="Y273" t="str">
        <v>T18S</v>
      </c>
      <c r="Z273" t="str">
        <v>R21W</v>
      </c>
      <c r="AA273" t="str">
        <v>32</v>
      </c>
      <c r="AB273" t="str">
        <v>HI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327.88405937827753</v>
      </c>
      <c r="AJ273">
        <v>4670.0822749057388</v>
      </c>
      <c r="AK273">
        <v>0</v>
      </c>
    </row>
    <row r="274" spans="1:37" x14ac:dyDescent="0.25">
      <c r="A274">
        <v>245</v>
      </c>
      <c r="B274">
        <v>0</v>
      </c>
      <c r="C274" t="str">
        <v>VV</v>
      </c>
      <c r="D274">
        <v>0</v>
      </c>
      <c r="E274" t="str">
        <v>MM</v>
      </c>
      <c r="F274" t="str">
        <v>&lt;Null&gt;</v>
      </c>
      <c r="G274">
        <v>45839</v>
      </c>
      <c r="H274">
        <v>0</v>
      </c>
      <c r="I274" t="str">
        <v>Globe Equity Decree</v>
      </c>
      <c r="J274" t="str">
        <v>Gila River</v>
      </c>
      <c r="K274" t="str">
        <v>GR</v>
      </c>
      <c r="L274" t="str">
        <v>Virden Valey</v>
      </c>
      <c r="M274" t="str">
        <v>VV</v>
      </c>
      <c r="N274" t="str">
        <v>Sunset Canal</v>
      </c>
      <c r="O274" t="str">
        <v>FA</v>
      </c>
      <c r="P274" t="str">
        <v>Fallow, idle or otherwise not irrigated</v>
      </c>
      <c r="Q274">
        <v>2.030846153232146</v>
      </c>
      <c r="R274" t="str">
        <v>4</v>
      </c>
      <c r="S274" t="str">
        <v>Not irrigated</v>
      </c>
      <c r="T274" t="str">
        <v>Orchard does not appear to have been irrigated</v>
      </c>
      <c r="U274">
        <v>0</v>
      </c>
      <c r="V274" t="str">
        <v>13</v>
      </c>
      <c r="W274">
        <v>0</v>
      </c>
      <c r="X274">
        <v>0</v>
      </c>
      <c r="Y274" t="str">
        <v>T18S</v>
      </c>
      <c r="Z274" t="str">
        <v>R21W</v>
      </c>
      <c r="AA274" t="str">
        <v>32</v>
      </c>
      <c r="AB274" t="str">
        <v>HI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377.86419584027988</v>
      </c>
      <c r="AJ274">
        <v>8218.5756723836621</v>
      </c>
      <c r="AK274">
        <v>0</v>
      </c>
    </row>
    <row r="275" spans="1:37" x14ac:dyDescent="0.25">
      <c r="A275">
        <v>246</v>
      </c>
      <c r="B275">
        <v>0</v>
      </c>
      <c r="C275" t="str">
        <v>VV</v>
      </c>
      <c r="D275">
        <v>0</v>
      </c>
      <c r="E275" t="str">
        <v>MM</v>
      </c>
      <c r="F275" t="str">
        <v>&lt;Null&gt;</v>
      </c>
      <c r="G275">
        <v>45839</v>
      </c>
      <c r="H275">
        <v>0</v>
      </c>
      <c r="I275" t="str">
        <v>Globe Equity Decree</v>
      </c>
      <c r="J275" t="str">
        <v>Gila River</v>
      </c>
      <c r="K275" t="str">
        <v>GR</v>
      </c>
      <c r="L275" t="str">
        <v>Virden Valey</v>
      </c>
      <c r="M275" t="str">
        <v>VV</v>
      </c>
      <c r="N275" t="str">
        <v>Sunset Canal</v>
      </c>
      <c r="O275" t="str">
        <v>FA</v>
      </c>
      <c r="P275" t="str">
        <v>Fallow, idle or otherwise not irrigated</v>
      </c>
      <c r="Q275">
        <v>0.70273654774986294</v>
      </c>
      <c r="R275" t="str">
        <v>4</v>
      </c>
      <c r="S275" t="str">
        <v>Not irrigated</v>
      </c>
      <c r="T275">
        <v>0</v>
      </c>
      <c r="U275">
        <v>0</v>
      </c>
      <c r="V275" t="str">
        <v>13</v>
      </c>
      <c r="W275">
        <v>0</v>
      </c>
      <c r="X275">
        <v>0</v>
      </c>
      <c r="Y275" t="str">
        <v>T18S</v>
      </c>
      <c r="Z275" t="str">
        <v>R21W</v>
      </c>
      <c r="AA275" t="str">
        <v>32</v>
      </c>
      <c r="AB275" t="str">
        <v>HI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282.16588713409737</v>
      </c>
      <c r="AJ275">
        <v>2843.8852870465098</v>
      </c>
      <c r="AK275">
        <v>0</v>
      </c>
    </row>
    <row r="276" spans="1:37" x14ac:dyDescent="0.25">
      <c r="A276">
        <v>247</v>
      </c>
      <c r="B276">
        <v>0</v>
      </c>
      <c r="C276" t="str">
        <v>VV</v>
      </c>
      <c r="D276">
        <v>0</v>
      </c>
      <c r="E276" t="str">
        <v>MM</v>
      </c>
      <c r="F276" t="str">
        <v>&lt;Null&gt;</v>
      </c>
      <c r="G276">
        <v>45839</v>
      </c>
      <c r="H276">
        <v>0</v>
      </c>
      <c r="I276" t="str">
        <v>Globe Equity Decree</v>
      </c>
      <c r="J276" t="str">
        <v>Gila River</v>
      </c>
      <c r="K276" t="str">
        <v>GR</v>
      </c>
      <c r="L276" t="str">
        <v>Virden Valey</v>
      </c>
      <c r="M276" t="str">
        <v>VV</v>
      </c>
      <c r="N276" t="str">
        <v>Sunset Canal</v>
      </c>
      <c r="O276" t="str">
        <v>FA</v>
      </c>
      <c r="P276" t="str">
        <v>Fallow, idle or otherwise not irrigated</v>
      </c>
      <c r="Q276">
        <v>6.9095462223075197</v>
      </c>
      <c r="R276" t="str">
        <v>4</v>
      </c>
      <c r="S276" t="str">
        <v>Not irrigated</v>
      </c>
      <c r="T276" t="str">
        <v>Orchard does not appear to have been irrigated</v>
      </c>
      <c r="U276">
        <v>0</v>
      </c>
      <c r="V276" t="str">
        <v>13</v>
      </c>
      <c r="W276">
        <v>0</v>
      </c>
      <c r="X276">
        <v>0</v>
      </c>
      <c r="Y276" t="str">
        <v>T18S</v>
      </c>
      <c r="Z276" t="str">
        <v>R21W</v>
      </c>
      <c r="AA276" t="str">
        <v>32</v>
      </c>
      <c r="AB276" t="str">
        <v>HI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690.7341773236983</v>
      </c>
      <c r="AJ276">
        <v>27962.053353716408</v>
      </c>
      <c r="AK276">
        <v>0</v>
      </c>
    </row>
    <row r="277" spans="1:37" x14ac:dyDescent="0.25">
      <c r="A277">
        <v>252</v>
      </c>
      <c r="B277">
        <v>0</v>
      </c>
      <c r="C277" t="str">
        <v>VV</v>
      </c>
      <c r="D277">
        <v>0</v>
      </c>
      <c r="E277" t="str">
        <v>MM</v>
      </c>
      <c r="F277" t="str">
        <v>&lt;Null&gt;</v>
      </c>
      <c r="G277">
        <v>45839</v>
      </c>
      <c r="H277">
        <v>0</v>
      </c>
      <c r="I277" t="str">
        <v>Globe Equity Decree</v>
      </c>
      <c r="J277" t="str">
        <v>Gila River</v>
      </c>
      <c r="K277" t="str">
        <v>GR</v>
      </c>
      <c r="L277" t="str">
        <v>Virden Valey</v>
      </c>
      <c r="M277" t="str">
        <v>VV</v>
      </c>
      <c r="N277" t="str">
        <v>Sunset Canal</v>
      </c>
      <c r="O277" t="str">
        <v>FA</v>
      </c>
      <c r="P277" t="str">
        <v>Fallow, idle or otherwise not irrigated</v>
      </c>
      <c r="Q277">
        <v>5.6428683420348804</v>
      </c>
      <c r="R277" t="str">
        <v>4</v>
      </c>
      <c r="S277" t="str">
        <v>Not irrigated</v>
      </c>
      <c r="T277">
        <v>0</v>
      </c>
      <c r="U277">
        <v>0</v>
      </c>
      <c r="V277" t="str">
        <v>13</v>
      </c>
      <c r="W277">
        <v>0</v>
      </c>
      <c r="X277">
        <v>0</v>
      </c>
      <c r="Y277" t="str">
        <v>T18S</v>
      </c>
      <c r="Z277" t="str">
        <v>R21W</v>
      </c>
      <c r="AA277" t="str">
        <v>32</v>
      </c>
      <c r="AB277" t="str">
        <v>HI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662.63240038571007</v>
      </c>
      <c r="AJ277">
        <v>22835.969334507488</v>
      </c>
      <c r="AK277">
        <v>0</v>
      </c>
    </row>
    <row r="278" spans="1:37" x14ac:dyDescent="0.25">
      <c r="A278">
        <v>253</v>
      </c>
      <c r="B278">
        <v>0</v>
      </c>
      <c r="C278" t="str">
        <v>VV</v>
      </c>
      <c r="D278">
        <v>0</v>
      </c>
      <c r="E278" t="str">
        <v>MM</v>
      </c>
      <c r="F278" t="str">
        <v>&lt;Null&gt;</v>
      </c>
      <c r="G278">
        <v>45839</v>
      </c>
      <c r="H278">
        <v>0</v>
      </c>
      <c r="I278" t="str">
        <v>Globe Equity Decree</v>
      </c>
      <c r="J278" t="str">
        <v>Gila River</v>
      </c>
      <c r="K278" t="str">
        <v>GR</v>
      </c>
      <c r="L278" t="str">
        <v>Virden Valey</v>
      </c>
      <c r="M278" t="str">
        <v>VV</v>
      </c>
      <c r="N278" t="str">
        <v>Sunset Canal</v>
      </c>
      <c r="O278" t="str">
        <v>FA</v>
      </c>
      <c r="P278" t="str">
        <v>Fallow, idle or otherwise not irrigated</v>
      </c>
      <c r="Q278">
        <v>1.3236605478447161</v>
      </c>
      <c r="R278" t="str">
        <v>4</v>
      </c>
      <c r="S278" t="str">
        <v>Not irrigated</v>
      </c>
      <c r="T278">
        <v>0</v>
      </c>
      <c r="U278">
        <v>0</v>
      </c>
      <c r="V278" t="str">
        <v>13</v>
      </c>
      <c r="W278">
        <v>0</v>
      </c>
      <c r="X278">
        <v>0</v>
      </c>
      <c r="Y278" t="str">
        <v>T18S</v>
      </c>
      <c r="Z278" t="str">
        <v>R21W</v>
      </c>
      <c r="AA278" t="str">
        <v>32</v>
      </c>
      <c r="AB278" t="str">
        <v>HI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448.84522863130297</v>
      </c>
      <c r="AJ278">
        <v>5356.6856158439286</v>
      </c>
      <c r="AK278">
        <v>0</v>
      </c>
    </row>
    <row r="279" spans="1:37" x14ac:dyDescent="0.25">
      <c r="A279">
        <v>254</v>
      </c>
      <c r="B279">
        <v>0</v>
      </c>
      <c r="C279" t="str">
        <v>VV</v>
      </c>
      <c r="D279">
        <v>0</v>
      </c>
      <c r="E279" t="str">
        <v>MM</v>
      </c>
      <c r="F279" t="str">
        <v>&lt;Null&gt;</v>
      </c>
      <c r="G279">
        <v>45839</v>
      </c>
      <c r="H279">
        <v>0</v>
      </c>
      <c r="I279" t="str">
        <v>Globe Equity Decree</v>
      </c>
      <c r="J279" t="str">
        <v>Gila River</v>
      </c>
      <c r="K279" t="str">
        <v>GR</v>
      </c>
      <c r="L279" t="str">
        <v>Virden Valey</v>
      </c>
      <c r="M279" t="str">
        <v>VV</v>
      </c>
      <c r="N279" t="str">
        <v>Sunset Canal</v>
      </c>
      <c r="O279" t="str">
        <v>FA</v>
      </c>
      <c r="P279" t="str">
        <v>Fallow, idle or otherwise not irrigated</v>
      </c>
      <c r="Q279">
        <v>3.8341813881639881</v>
      </c>
      <c r="R279" t="str">
        <v>4</v>
      </c>
      <c r="S279" t="str">
        <v>Not irrigated</v>
      </c>
      <c r="T279">
        <v>0</v>
      </c>
      <c r="U279">
        <v>0</v>
      </c>
      <c r="V279" t="str">
        <v>13</v>
      </c>
      <c r="W279">
        <v>0</v>
      </c>
      <c r="X279">
        <v>0</v>
      </c>
      <c r="Y279" t="str">
        <v>T18S</v>
      </c>
      <c r="Z279" t="str">
        <v>R21W</v>
      </c>
      <c r="AA279" t="str">
        <v>32</v>
      </c>
      <c r="AB279" t="str">
        <v>HI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554.75730239241216</v>
      </c>
      <c r="AJ279">
        <v>15516.44364105048</v>
      </c>
      <c r="AK279">
        <v>0</v>
      </c>
    </row>
    <row r="280" spans="1:37" x14ac:dyDescent="0.25">
      <c r="A280">
        <v>256</v>
      </c>
      <c r="B280">
        <v>0</v>
      </c>
      <c r="C280" t="str">
        <v>VV</v>
      </c>
      <c r="D280">
        <v>0</v>
      </c>
      <c r="E280" t="str">
        <v>MM</v>
      </c>
      <c r="F280" t="str">
        <v>&lt;Null&gt;</v>
      </c>
      <c r="G280">
        <v>45839</v>
      </c>
      <c r="H280">
        <v>0</v>
      </c>
      <c r="I280" t="str">
        <v>Globe Equity Decree</v>
      </c>
      <c r="J280" t="str">
        <v>Gila River</v>
      </c>
      <c r="K280" t="str">
        <v>GR</v>
      </c>
      <c r="L280" t="str">
        <v>Virden Valey</v>
      </c>
      <c r="M280" t="str">
        <v>VV</v>
      </c>
      <c r="N280" t="str">
        <v>Sunset Canal</v>
      </c>
      <c r="O280" t="str">
        <v>FA</v>
      </c>
      <c r="P280" t="str">
        <v>Fallow, idle or otherwise not irrigated</v>
      </c>
      <c r="Q280">
        <v>1.209251169382515</v>
      </c>
      <c r="R280" t="str">
        <v>4</v>
      </c>
      <c r="S280" t="str">
        <v>Not irrigated</v>
      </c>
      <c r="T280">
        <v>0</v>
      </c>
      <c r="U280">
        <v>0</v>
      </c>
      <c r="V280" t="str">
        <v>13</v>
      </c>
      <c r="W280">
        <v>0</v>
      </c>
      <c r="X280">
        <v>0</v>
      </c>
      <c r="Y280" t="str">
        <v>T18S</v>
      </c>
      <c r="Z280" t="str">
        <v>R21W</v>
      </c>
      <c r="AA280" t="str">
        <v>32</v>
      </c>
      <c r="AB280" t="str">
        <v>HI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282.83393023702553</v>
      </c>
      <c r="AJ280">
        <v>4893.685435832509</v>
      </c>
      <c r="AK280">
        <v>0</v>
      </c>
    </row>
    <row r="281" spans="1:37" x14ac:dyDescent="0.25">
      <c r="A281">
        <v>261</v>
      </c>
      <c r="B281">
        <v>0</v>
      </c>
      <c r="C281" t="str">
        <v>VV</v>
      </c>
      <c r="D281">
        <v>0</v>
      </c>
      <c r="E281" t="str">
        <v>MM</v>
      </c>
      <c r="F281" t="str">
        <v>&lt;Null&gt;</v>
      </c>
      <c r="G281">
        <v>45839</v>
      </c>
      <c r="H281">
        <v>0</v>
      </c>
      <c r="I281" t="str">
        <v>Globe Equity Decree</v>
      </c>
      <c r="J281" t="str">
        <v>Gila River</v>
      </c>
      <c r="K281" t="str">
        <v>GR</v>
      </c>
      <c r="L281" t="str">
        <v>Virden Valey</v>
      </c>
      <c r="M281" t="str">
        <v>VV</v>
      </c>
      <c r="N281" t="str">
        <v>Sunset Canal</v>
      </c>
      <c r="O281" t="str">
        <v>FA</v>
      </c>
      <c r="P281" t="str">
        <v>Fallow, idle or otherwise not irrigated</v>
      </c>
      <c r="Q281">
        <v>1.111017482311792</v>
      </c>
      <c r="R281" t="str">
        <v>4</v>
      </c>
      <c r="S281" t="str">
        <v>Not irrigated</v>
      </c>
      <c r="T281">
        <v>0</v>
      </c>
      <c r="U281">
        <v>0</v>
      </c>
      <c r="V281" t="str">
        <v>13</v>
      </c>
      <c r="W281">
        <v>0</v>
      </c>
      <c r="X281">
        <v>0</v>
      </c>
      <c r="Y281" t="str">
        <v>T18S</v>
      </c>
      <c r="Z281" t="str">
        <v>R21W</v>
      </c>
      <c r="AA281" t="str">
        <v>32</v>
      </c>
      <c r="AB281" t="str">
        <v>HI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324.9758187540308</v>
      </c>
      <c r="AJ281">
        <v>4496.1462182590403</v>
      </c>
      <c r="AK281">
        <v>0</v>
      </c>
    </row>
    <row r="282" spans="1:37" x14ac:dyDescent="0.25">
      <c r="A282">
        <v>262</v>
      </c>
      <c r="B282">
        <v>0</v>
      </c>
      <c r="C282" t="str">
        <v>VV</v>
      </c>
      <c r="D282">
        <v>0</v>
      </c>
      <c r="E282" t="str">
        <v>MM</v>
      </c>
      <c r="F282" t="str">
        <v>&lt;Null&gt;</v>
      </c>
      <c r="G282">
        <v>45839</v>
      </c>
      <c r="H282">
        <v>0</v>
      </c>
      <c r="I282" t="str">
        <v>Globe Equity Decree</v>
      </c>
      <c r="J282" t="str">
        <v>Gila River</v>
      </c>
      <c r="K282" t="str">
        <v>GR</v>
      </c>
      <c r="L282" t="str">
        <v>Virden Valey</v>
      </c>
      <c r="M282" t="str">
        <v>VV</v>
      </c>
      <c r="N282" t="str">
        <v>Sunset Canal</v>
      </c>
      <c r="O282" t="str">
        <v>FA</v>
      </c>
      <c r="P282" t="str">
        <v>Fallow, idle or otherwise not irrigated</v>
      </c>
      <c r="Q282">
        <v>0.30736540133619522</v>
      </c>
      <c r="R282" t="str">
        <v>4</v>
      </c>
      <c r="S282" t="str">
        <v>Not irrigated</v>
      </c>
      <c r="T282">
        <v>0</v>
      </c>
      <c r="U282">
        <v>0</v>
      </c>
      <c r="V282" t="str">
        <v>13</v>
      </c>
      <c r="W282">
        <v>0</v>
      </c>
      <c r="X282">
        <v>0</v>
      </c>
      <c r="Y282" t="str">
        <v>T18S</v>
      </c>
      <c r="Z282" t="str">
        <v>R21W</v>
      </c>
      <c r="AA282" t="str">
        <v>32</v>
      </c>
      <c r="AB282" t="str">
        <v>HI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143.44675567698289</v>
      </c>
      <c r="AJ282">
        <v>1243.868623890455</v>
      </c>
      <c r="AK282">
        <v>0</v>
      </c>
    </row>
    <row r="283" spans="1:37" x14ac:dyDescent="0.25">
      <c r="A283">
        <v>263</v>
      </c>
      <c r="B283">
        <v>0</v>
      </c>
      <c r="C283" t="str">
        <v>VV</v>
      </c>
      <c r="D283">
        <v>0</v>
      </c>
      <c r="E283" t="str">
        <v>MM</v>
      </c>
      <c r="F283" t="str">
        <v>&lt;Null&gt;</v>
      </c>
      <c r="G283">
        <v>45839</v>
      </c>
      <c r="H283">
        <v>0</v>
      </c>
      <c r="I283" t="str">
        <v>Globe Equity Decree</v>
      </c>
      <c r="J283" t="str">
        <v>Gila River</v>
      </c>
      <c r="K283" t="str">
        <v>GR</v>
      </c>
      <c r="L283" t="str">
        <v>Virden Valey</v>
      </c>
      <c r="M283" t="str">
        <v>VV</v>
      </c>
      <c r="N283" t="str">
        <v>Sunset Canal</v>
      </c>
      <c r="O283" t="str">
        <v>FA</v>
      </c>
      <c r="P283" t="str">
        <v>Fallow, idle or otherwise not irrigated</v>
      </c>
      <c r="Q283">
        <v>0.1500292744310861</v>
      </c>
      <c r="R283" t="str">
        <v>4</v>
      </c>
      <c r="S283" t="str">
        <v>Not irrigated</v>
      </c>
      <c r="T283">
        <v>0</v>
      </c>
      <c r="U283">
        <v>0</v>
      </c>
      <c r="V283" t="str">
        <v>13</v>
      </c>
      <c r="W283">
        <v>0</v>
      </c>
      <c r="X283">
        <v>0</v>
      </c>
      <c r="Y283" t="str">
        <v>T18S</v>
      </c>
      <c r="Z283" t="str">
        <v>R21W</v>
      </c>
      <c r="AA283" t="str">
        <v>32</v>
      </c>
      <c r="AB283" t="str">
        <v>HI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115.0575797153883</v>
      </c>
      <c r="AJ283">
        <v>607.14936137446966</v>
      </c>
      <c r="AK283">
        <v>0</v>
      </c>
    </row>
    <row r="284" spans="1:37" x14ac:dyDescent="0.25">
      <c r="A284">
        <v>264</v>
      </c>
      <c r="B284">
        <v>0</v>
      </c>
      <c r="C284" t="str">
        <v>VV</v>
      </c>
      <c r="D284">
        <v>0</v>
      </c>
      <c r="E284" t="str">
        <v>MM</v>
      </c>
      <c r="F284" t="str">
        <v>&lt;Null&gt;</v>
      </c>
      <c r="G284">
        <v>45839</v>
      </c>
      <c r="H284">
        <v>0</v>
      </c>
      <c r="I284" t="str">
        <v>Globe Equity Decree</v>
      </c>
      <c r="J284" t="str">
        <v>Gila River</v>
      </c>
      <c r="K284" t="str">
        <v>GR</v>
      </c>
      <c r="L284" t="str">
        <v>Virden Valey</v>
      </c>
      <c r="M284" t="str">
        <v>VV</v>
      </c>
      <c r="N284" t="str">
        <v>Sunset Canal</v>
      </c>
      <c r="O284" t="str">
        <v>FA</v>
      </c>
      <c r="P284" t="str">
        <v>Fallow, idle or otherwise not irrigated</v>
      </c>
      <c r="Q284">
        <v>0.87236870588870341</v>
      </c>
      <c r="R284" t="str">
        <v>4</v>
      </c>
      <c r="S284" t="str">
        <v>Not irrigated</v>
      </c>
      <c r="T284">
        <v>0</v>
      </c>
      <c r="U284">
        <v>0</v>
      </c>
      <c r="V284" t="str">
        <v>13</v>
      </c>
      <c r="W284">
        <v>0</v>
      </c>
      <c r="X284">
        <v>0</v>
      </c>
      <c r="Y284" t="str">
        <v>T18S</v>
      </c>
      <c r="Z284" t="str">
        <v>R21W</v>
      </c>
      <c r="AA284" t="str">
        <v>32</v>
      </c>
      <c r="AB284" t="str">
        <v>HI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243.49110743725041</v>
      </c>
      <c r="AJ284">
        <v>3530.365021572441</v>
      </c>
      <c r="AK284">
        <v>0</v>
      </c>
    </row>
    <row r="285" spans="1:37" x14ac:dyDescent="0.25">
      <c r="A285">
        <v>265</v>
      </c>
      <c r="B285">
        <v>0</v>
      </c>
      <c r="C285" t="str">
        <v>VV</v>
      </c>
      <c r="D285">
        <v>0</v>
      </c>
      <c r="E285" t="str">
        <v>MM</v>
      </c>
      <c r="F285" t="str">
        <v>&lt;Null&gt;</v>
      </c>
      <c r="G285">
        <v>45839</v>
      </c>
      <c r="H285">
        <v>0</v>
      </c>
      <c r="I285" t="str">
        <v>Globe Equity Decree</v>
      </c>
      <c r="J285" t="str">
        <v>Gila River</v>
      </c>
      <c r="K285" t="str">
        <v>GR</v>
      </c>
      <c r="L285" t="str">
        <v>Virden Valey</v>
      </c>
      <c r="M285" t="str">
        <v>VV</v>
      </c>
      <c r="N285" t="str">
        <v>Sunset Canal</v>
      </c>
      <c r="O285" t="str">
        <v>FA</v>
      </c>
      <c r="P285" t="str">
        <v>Fallow, idle or otherwise not irrigated</v>
      </c>
      <c r="Q285">
        <v>0.68042611001155251</v>
      </c>
      <c r="R285" t="str">
        <v>4</v>
      </c>
      <c r="S285" t="str">
        <v>Not irrigated</v>
      </c>
      <c r="T285">
        <v>0</v>
      </c>
      <c r="U285">
        <v>0</v>
      </c>
      <c r="V285" t="str">
        <v>13</v>
      </c>
      <c r="W285">
        <v>0</v>
      </c>
      <c r="X285">
        <v>0</v>
      </c>
      <c r="Y285" t="str">
        <v>T18S</v>
      </c>
      <c r="Z285" t="str">
        <v>R21W</v>
      </c>
      <c r="AA285" t="str">
        <v>32</v>
      </c>
      <c r="AB285" t="str">
        <v>HI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247.33156897779159</v>
      </c>
      <c r="AJ285">
        <v>2753.597787649036</v>
      </c>
      <c r="AK285">
        <v>0</v>
      </c>
    </row>
    <row r="286" spans="1:37" x14ac:dyDescent="0.25">
      <c r="A286">
        <v>266</v>
      </c>
      <c r="B286">
        <v>0</v>
      </c>
      <c r="C286" t="str">
        <v>VV</v>
      </c>
      <c r="D286">
        <v>0</v>
      </c>
      <c r="E286" t="str">
        <v>MM</v>
      </c>
      <c r="F286" t="str">
        <v>&lt;Null&gt;</v>
      </c>
      <c r="G286">
        <v>45839</v>
      </c>
      <c r="H286">
        <v>0</v>
      </c>
      <c r="I286" t="str">
        <v>Globe Equity Decree</v>
      </c>
      <c r="J286" t="str">
        <v>Gila River</v>
      </c>
      <c r="K286" t="str">
        <v>GR</v>
      </c>
      <c r="L286" t="str">
        <v>Virden Valey</v>
      </c>
      <c r="M286" t="str">
        <v>VV</v>
      </c>
      <c r="N286" t="str">
        <v>Sunset Canal</v>
      </c>
      <c r="O286" t="str">
        <v>FA</v>
      </c>
      <c r="P286" t="str">
        <v>Fallow, idle or otherwise not irrigated</v>
      </c>
      <c r="Q286">
        <v>0.64052650189379079</v>
      </c>
      <c r="R286" t="str">
        <v>4</v>
      </c>
      <c r="S286" t="str">
        <v>Not irrigated</v>
      </c>
      <c r="T286">
        <v>0</v>
      </c>
      <c r="U286">
        <v>0</v>
      </c>
      <c r="V286" t="str">
        <v>13</v>
      </c>
      <c r="W286">
        <v>0</v>
      </c>
      <c r="X286">
        <v>0</v>
      </c>
      <c r="Y286" t="str">
        <v>T18S</v>
      </c>
      <c r="Z286" t="str">
        <v>R21W</v>
      </c>
      <c r="AA286" t="str">
        <v>32</v>
      </c>
      <c r="AB286" t="str">
        <v>HI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232.89087374416289</v>
      </c>
      <c r="AJ286">
        <v>2592.1291564125499</v>
      </c>
      <c r="AK286">
        <v>0</v>
      </c>
    </row>
    <row r="287" spans="1:37" x14ac:dyDescent="0.25">
      <c r="A287">
        <v>267</v>
      </c>
      <c r="B287">
        <v>0</v>
      </c>
      <c r="C287" t="str">
        <v>VV</v>
      </c>
      <c r="D287">
        <v>0</v>
      </c>
      <c r="E287" t="str">
        <v>MM</v>
      </c>
      <c r="F287" t="str">
        <v>&lt;Null&gt;</v>
      </c>
      <c r="G287">
        <v>45839</v>
      </c>
      <c r="H287">
        <v>0</v>
      </c>
      <c r="I287" t="str">
        <v>Globe Equity Decree</v>
      </c>
      <c r="J287" t="str">
        <v>Gila River</v>
      </c>
      <c r="K287" t="str">
        <v>GR</v>
      </c>
      <c r="L287" t="str">
        <v>Virden Valey</v>
      </c>
      <c r="M287" t="str">
        <v>VV</v>
      </c>
      <c r="N287" t="str">
        <v>Sunset Canal</v>
      </c>
      <c r="O287" t="str">
        <v>FA</v>
      </c>
      <c r="P287" t="str">
        <v>Fallow, idle or otherwise not irrigated</v>
      </c>
      <c r="Q287">
        <v>0.17253250435255249</v>
      </c>
      <c r="R287" t="str">
        <v>4</v>
      </c>
      <c r="S287" t="str">
        <v>Not irrigated</v>
      </c>
      <c r="T287">
        <v>0</v>
      </c>
      <c r="U287">
        <v>0</v>
      </c>
      <c r="V287" t="str">
        <v>13</v>
      </c>
      <c r="W287">
        <v>0</v>
      </c>
      <c r="X287">
        <v>0</v>
      </c>
      <c r="Y287" t="str">
        <v>T18S</v>
      </c>
      <c r="Z287" t="str">
        <v>R21W</v>
      </c>
      <c r="AA287" t="str">
        <v>32</v>
      </c>
      <c r="AB287" t="str">
        <v>HI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110.06671419385709</v>
      </c>
      <c r="AJ287">
        <v>698.21706617735504</v>
      </c>
      <c r="AK287">
        <v>0</v>
      </c>
    </row>
    <row r="288" spans="1:37" x14ac:dyDescent="0.25">
      <c r="A288">
        <v>268</v>
      </c>
      <c r="B288">
        <v>0</v>
      </c>
      <c r="C288" t="str">
        <v>VV</v>
      </c>
      <c r="D288">
        <v>0</v>
      </c>
      <c r="E288" t="str">
        <v>MM</v>
      </c>
      <c r="F288" t="str">
        <v>&lt;Null&gt;</v>
      </c>
      <c r="G288">
        <v>45839</v>
      </c>
      <c r="H288">
        <v>0</v>
      </c>
      <c r="I288" t="str">
        <v>Globe Equity Decree</v>
      </c>
      <c r="J288" t="str">
        <v>Gila River</v>
      </c>
      <c r="K288" t="str">
        <v>GR</v>
      </c>
      <c r="L288" t="str">
        <v>Virden Valey</v>
      </c>
      <c r="M288" t="str">
        <v>VV</v>
      </c>
      <c r="N288" t="str">
        <v>Sunset Canal</v>
      </c>
      <c r="O288" t="str">
        <v>FA</v>
      </c>
      <c r="P288" t="str">
        <v>Fallow, idle or otherwise not irrigated</v>
      </c>
      <c r="Q288">
        <v>0.2482955834324154</v>
      </c>
      <c r="R288" t="str">
        <v>4</v>
      </c>
      <c r="S288" t="str">
        <v>Not irrigated</v>
      </c>
      <c r="T288">
        <v>0</v>
      </c>
      <c r="U288">
        <v>0</v>
      </c>
      <c r="V288" t="str">
        <v>13</v>
      </c>
      <c r="W288">
        <v>0</v>
      </c>
      <c r="X288">
        <v>0</v>
      </c>
      <c r="Y288" t="str">
        <v>T18S</v>
      </c>
      <c r="Z288" t="str">
        <v>R21W</v>
      </c>
      <c r="AA288" t="str">
        <v>32</v>
      </c>
      <c r="AB288" t="str">
        <v>HI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138.941442168733</v>
      </c>
      <c r="AJ288">
        <v>1004.820595745389</v>
      </c>
      <c r="AK288">
        <v>0</v>
      </c>
    </row>
    <row r="289" spans="1:37" x14ac:dyDescent="0.25">
      <c r="A289">
        <v>269</v>
      </c>
      <c r="B289">
        <v>0</v>
      </c>
      <c r="C289" t="str">
        <v>VV</v>
      </c>
      <c r="D289">
        <v>0</v>
      </c>
      <c r="E289" t="str">
        <v>MM</v>
      </c>
      <c r="F289" t="str">
        <v>&lt;Null&gt;</v>
      </c>
      <c r="G289">
        <v>45839</v>
      </c>
      <c r="H289">
        <v>0</v>
      </c>
      <c r="I289" t="str">
        <v>Globe Equity Decree</v>
      </c>
      <c r="J289" t="str">
        <v>Gila River</v>
      </c>
      <c r="K289" t="str">
        <v>GR</v>
      </c>
      <c r="L289" t="str">
        <v>Virden Valey</v>
      </c>
      <c r="M289" t="str">
        <v>VV</v>
      </c>
      <c r="N289" t="str">
        <v>Sunset Canal</v>
      </c>
      <c r="O289" t="str">
        <v>FA</v>
      </c>
      <c r="P289" t="str">
        <v>Fallow, idle or otherwise not irrigated</v>
      </c>
      <c r="Q289">
        <v>1.6662872497217991</v>
      </c>
      <c r="R289" t="str">
        <v>4</v>
      </c>
      <c r="S289" t="str">
        <v>Not irrigated</v>
      </c>
      <c r="T289">
        <v>0</v>
      </c>
      <c r="U289">
        <v>0</v>
      </c>
      <c r="V289" t="str">
        <v>13</v>
      </c>
      <c r="W289">
        <v>0</v>
      </c>
      <c r="X289">
        <v>0</v>
      </c>
      <c r="Y289" t="str">
        <v>T18S</v>
      </c>
      <c r="Z289" t="str">
        <v>R21W</v>
      </c>
      <c r="AA289" t="str">
        <v>32</v>
      </c>
      <c r="AB289" t="str">
        <v>HI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342.81914981116148</v>
      </c>
      <c r="AJ289">
        <v>6743.2522310818467</v>
      </c>
      <c r="AK289">
        <v>0</v>
      </c>
    </row>
    <row r="290" spans="1:37" x14ac:dyDescent="0.25">
      <c r="A290">
        <v>270</v>
      </c>
      <c r="B290">
        <v>0</v>
      </c>
      <c r="C290" t="str">
        <v>VV</v>
      </c>
      <c r="D290">
        <v>0</v>
      </c>
      <c r="E290" t="str">
        <v>MM</v>
      </c>
      <c r="F290" t="str">
        <v>&lt;Null&gt;</v>
      </c>
      <c r="G290">
        <v>45839</v>
      </c>
      <c r="H290">
        <v>0</v>
      </c>
      <c r="I290" t="str">
        <v>Globe Equity Decree</v>
      </c>
      <c r="J290" t="str">
        <v>Gila River</v>
      </c>
      <c r="K290" t="str">
        <v>GR</v>
      </c>
      <c r="L290" t="str">
        <v>Virden Valey</v>
      </c>
      <c r="M290" t="str">
        <v>VV</v>
      </c>
      <c r="N290" t="str">
        <v>Sunset Canal</v>
      </c>
      <c r="O290" t="str">
        <v>FA</v>
      </c>
      <c r="P290" t="str">
        <v>Fallow, idle or otherwise not irrigated</v>
      </c>
      <c r="Q290">
        <v>0.70947766495239106</v>
      </c>
      <c r="R290" t="str">
        <v>4</v>
      </c>
      <c r="S290" t="str">
        <v>Not irrigated</v>
      </c>
      <c r="T290">
        <v>0</v>
      </c>
      <c r="U290">
        <v>0</v>
      </c>
      <c r="V290" t="str">
        <v>13</v>
      </c>
      <c r="W290">
        <v>0</v>
      </c>
      <c r="X290">
        <v>0</v>
      </c>
      <c r="Y290" t="str">
        <v>T18S</v>
      </c>
      <c r="Z290" t="str">
        <v>R21W</v>
      </c>
      <c r="AA290" t="str">
        <v>32</v>
      </c>
      <c r="AB290" t="str">
        <v>HI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232.34308722271069</v>
      </c>
      <c r="AJ290">
        <v>2871.1657296133731</v>
      </c>
      <c r="AK290">
        <v>0</v>
      </c>
    </row>
    <row r="291" spans="1:37" x14ac:dyDescent="0.25">
      <c r="A291">
        <v>271</v>
      </c>
      <c r="B291" t="str">
        <v>VV-00370</v>
      </c>
      <c r="C291" t="str">
        <v>VV</v>
      </c>
      <c r="D291">
        <v>0</v>
      </c>
      <c r="E291" t="str">
        <v>MM</v>
      </c>
      <c r="F291" t="str">
        <v>&lt;Null&gt;</v>
      </c>
      <c r="G291">
        <v>45838</v>
      </c>
      <c r="H291">
        <v>7.4</v>
      </c>
      <c r="I291" t="str">
        <v>Globe Equity Decree</v>
      </c>
      <c r="J291" t="str">
        <v>Gila River</v>
      </c>
      <c r="K291" t="str">
        <v>GR</v>
      </c>
      <c r="L291" t="str">
        <v>Virden Valey</v>
      </c>
      <c r="M291" t="str">
        <v>VV</v>
      </c>
      <c r="N291" t="str">
        <v>Sunset Canal</v>
      </c>
      <c r="O291" t="str">
        <v>FA</v>
      </c>
      <c r="P291" t="str">
        <v>Fallow, idle or otherwise not irrigated</v>
      </c>
      <c r="Q291">
        <v>5.0475496169195297</v>
      </c>
      <c r="R291" t="str">
        <v>4</v>
      </c>
      <c r="S291" t="str">
        <v>Not irrigated</v>
      </c>
      <c r="T291">
        <v>0</v>
      </c>
      <c r="U291">
        <v>0</v>
      </c>
      <c r="V291" t="str">
        <v>13</v>
      </c>
      <c r="W291">
        <v>0</v>
      </c>
      <c r="X291">
        <v>0</v>
      </c>
      <c r="Y291" t="str">
        <v>T18S</v>
      </c>
      <c r="Z291" t="str">
        <v>R21W</v>
      </c>
      <c r="AA291" t="str">
        <v>32</v>
      </c>
      <c r="AB291" t="str">
        <v>HI</v>
      </c>
      <c r="AC291" t="str">
        <v>C. Pirtel</v>
      </c>
      <c r="AD291" t="str">
        <v>1885</v>
      </c>
      <c r="AE291">
        <v>0</v>
      </c>
      <c r="AF291">
        <v>0</v>
      </c>
      <c r="AG291">
        <v>0</v>
      </c>
      <c r="AH291">
        <v>0</v>
      </c>
      <c r="AI291">
        <v>598.09497402766601</v>
      </c>
      <c r="AJ291">
        <v>20426.79029169292</v>
      </c>
      <c r="AK291">
        <v>0</v>
      </c>
    </row>
    <row r="292" spans="1:37" x14ac:dyDescent="0.25">
      <c r="A292">
        <v>272</v>
      </c>
      <c r="B292">
        <v>0</v>
      </c>
      <c r="C292" t="str">
        <v>VV</v>
      </c>
      <c r="D292">
        <v>0</v>
      </c>
      <c r="E292" t="str">
        <v>MM</v>
      </c>
      <c r="F292" t="str">
        <v>&lt;Null&gt;</v>
      </c>
      <c r="G292">
        <v>45839</v>
      </c>
      <c r="H292">
        <v>0</v>
      </c>
      <c r="I292" t="str">
        <v>Globe Equity Decree</v>
      </c>
      <c r="J292" t="str">
        <v>Gila River</v>
      </c>
      <c r="K292" t="str">
        <v>GR</v>
      </c>
      <c r="L292" t="str">
        <v>Virden Valey</v>
      </c>
      <c r="M292" t="str">
        <v>VV</v>
      </c>
      <c r="N292" t="str">
        <v>Sunset Canal</v>
      </c>
      <c r="O292" t="str">
        <v>FA</v>
      </c>
      <c r="P292" t="str">
        <v>Fallow, idle or otherwise not irrigated</v>
      </c>
      <c r="Q292">
        <v>0.48692483078454718</v>
      </c>
      <c r="R292" t="str">
        <v>4</v>
      </c>
      <c r="S292" t="str">
        <v>Not irrigated</v>
      </c>
      <c r="T292">
        <v>0</v>
      </c>
      <c r="U292">
        <v>0</v>
      </c>
      <c r="V292" t="str">
        <v>13</v>
      </c>
      <c r="W292">
        <v>0</v>
      </c>
      <c r="X292">
        <v>0</v>
      </c>
      <c r="Y292" t="str">
        <v>T18S</v>
      </c>
      <c r="Z292" t="str">
        <v>R21W</v>
      </c>
      <c r="AA292" t="str">
        <v>32</v>
      </c>
      <c r="AB292" t="str">
        <v>HI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197.4910814845509</v>
      </c>
      <c r="AJ292">
        <v>1970.522760769639</v>
      </c>
      <c r="AK292">
        <v>0</v>
      </c>
    </row>
    <row r="293" spans="1:37" x14ac:dyDescent="0.25">
      <c r="A293">
        <v>274</v>
      </c>
      <c r="B293">
        <v>0</v>
      </c>
      <c r="C293" t="str">
        <v>VV</v>
      </c>
      <c r="D293">
        <v>0</v>
      </c>
      <c r="E293" t="str">
        <v>MM</v>
      </c>
      <c r="F293" t="str">
        <v>&lt;Null&gt;</v>
      </c>
      <c r="G293">
        <v>45838</v>
      </c>
      <c r="H293">
        <v>0</v>
      </c>
      <c r="I293" t="str">
        <v>Globe Equity Decree</v>
      </c>
      <c r="J293" t="str">
        <v>Gila River</v>
      </c>
      <c r="K293" t="str">
        <v>GR</v>
      </c>
      <c r="L293" t="str">
        <v>Virden Valey</v>
      </c>
      <c r="M293" t="str">
        <v>VV</v>
      </c>
      <c r="N293" t="str">
        <v>Sunset Canal</v>
      </c>
      <c r="O293" t="str">
        <v>FA</v>
      </c>
      <c r="P293" t="str">
        <v>Fallow, idle or otherwise not irrigated</v>
      </c>
      <c r="Q293">
        <v>0.35775556349129578</v>
      </c>
      <c r="R293" t="str">
        <v>4</v>
      </c>
      <c r="S293" t="str">
        <v>Not irrigated</v>
      </c>
      <c r="T293">
        <v>0</v>
      </c>
      <c r="U293">
        <v>0</v>
      </c>
      <c r="V293" t="str">
        <v>13</v>
      </c>
      <c r="W293">
        <v>0</v>
      </c>
      <c r="X293">
        <v>0</v>
      </c>
      <c r="Y293" t="str">
        <v>T18S</v>
      </c>
      <c r="Z293" t="str">
        <v>R21W</v>
      </c>
      <c r="AA293" t="str">
        <v>31</v>
      </c>
      <c r="AB293" t="str">
        <v>HI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175.92358873803221</v>
      </c>
      <c r="AJ293">
        <v>1447.791190923054</v>
      </c>
      <c r="AK293">
        <v>0</v>
      </c>
    </row>
    <row r="294" spans="1:37" x14ac:dyDescent="0.25">
      <c r="A294">
        <v>280</v>
      </c>
      <c r="B294">
        <v>0</v>
      </c>
      <c r="C294" t="str">
        <v>VV</v>
      </c>
      <c r="D294">
        <v>0</v>
      </c>
      <c r="E294" t="str">
        <v>MM</v>
      </c>
      <c r="F294" t="str">
        <v>&lt;Null&gt;</v>
      </c>
      <c r="G294">
        <v>45839</v>
      </c>
      <c r="H294">
        <v>0</v>
      </c>
      <c r="I294" t="str">
        <v>Globe Equity Decree</v>
      </c>
      <c r="J294" t="str">
        <v>Gila River</v>
      </c>
      <c r="K294" t="str">
        <v>GR</v>
      </c>
      <c r="L294" t="str">
        <v>Virden Valey</v>
      </c>
      <c r="M294" t="str">
        <v>VV</v>
      </c>
      <c r="N294" t="str">
        <v>Sunset Canal</v>
      </c>
      <c r="O294" t="str">
        <v>FA</v>
      </c>
      <c r="P294" t="str">
        <v>Fallow, idle or otherwise not irrigated</v>
      </c>
      <c r="Q294">
        <v>0.39146396338998118</v>
      </c>
      <c r="R294" t="str">
        <v>4</v>
      </c>
      <c r="S294" t="str">
        <v>Not irrigated</v>
      </c>
      <c r="T294">
        <v>0</v>
      </c>
      <c r="U294">
        <v>0</v>
      </c>
      <c r="V294" t="str">
        <v>11</v>
      </c>
      <c r="W294">
        <v>0</v>
      </c>
      <c r="X294">
        <v>0</v>
      </c>
      <c r="Y294" t="str">
        <v>T18S</v>
      </c>
      <c r="Z294" t="str">
        <v>R21W</v>
      </c>
      <c r="AA294" t="str">
        <v>33</v>
      </c>
      <c r="AB294" t="str">
        <v>HI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164.84106568797699</v>
      </c>
      <c r="AJ294">
        <v>1584.204791195732</v>
      </c>
      <c r="AK294">
        <v>0</v>
      </c>
    </row>
    <row r="295" spans="1:37" x14ac:dyDescent="0.25">
      <c r="A295">
        <v>285</v>
      </c>
      <c r="B295">
        <v>0</v>
      </c>
      <c r="C295" t="str">
        <v>VV</v>
      </c>
      <c r="D295">
        <v>0</v>
      </c>
      <c r="E295" t="str">
        <v>MM</v>
      </c>
      <c r="F295" t="str">
        <v>&lt;Null&gt;</v>
      </c>
      <c r="G295">
        <v>45838</v>
      </c>
      <c r="H295">
        <v>0</v>
      </c>
      <c r="I295" t="str">
        <v>Globe Equity Decree</v>
      </c>
      <c r="J295" t="str">
        <v>Gila River</v>
      </c>
      <c r="K295" t="str">
        <v>GR</v>
      </c>
      <c r="L295" t="str">
        <v>Virden Valey</v>
      </c>
      <c r="M295" t="str">
        <v>VV</v>
      </c>
      <c r="N295" t="str">
        <v>Sunset Canal</v>
      </c>
      <c r="O295" t="str">
        <v>FA</v>
      </c>
      <c r="P295" t="str">
        <v>Fallow, idle or otherwise not irrigated</v>
      </c>
      <c r="Q295">
        <v>21.055074847737799</v>
      </c>
      <c r="R295" t="str">
        <v>4</v>
      </c>
      <c r="S295" t="str">
        <v>Not irrigated</v>
      </c>
      <c r="T295">
        <v>0</v>
      </c>
      <c r="U295">
        <v>0</v>
      </c>
      <c r="V295" t="str">
        <v>6</v>
      </c>
      <c r="W295">
        <v>0</v>
      </c>
      <c r="X295">
        <v>0</v>
      </c>
      <c r="Y295">
        <v>0</v>
      </c>
      <c r="Z295">
        <v>0</v>
      </c>
      <c r="AA295">
        <v>0</v>
      </c>
      <c r="AB295" t="str">
        <v>HI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1456.403101032633</v>
      </c>
      <c r="AJ295">
        <v>85207.205700162362</v>
      </c>
      <c r="AK295">
        <v>0</v>
      </c>
    </row>
    <row r="296" spans="1:37" x14ac:dyDescent="0.25">
      <c r="A296">
        <v>286</v>
      </c>
      <c r="B296">
        <v>0</v>
      </c>
      <c r="C296" t="str">
        <v>VV</v>
      </c>
      <c r="D296">
        <v>0</v>
      </c>
      <c r="E296" t="str">
        <v>MM</v>
      </c>
      <c r="F296" t="str">
        <v>&lt;Null&gt;</v>
      </c>
      <c r="G296">
        <v>45838</v>
      </c>
      <c r="H296">
        <v>0</v>
      </c>
      <c r="I296" t="str">
        <v>Globe Equity Decree</v>
      </c>
      <c r="J296" t="str">
        <v>Gila River</v>
      </c>
      <c r="K296" t="str">
        <v>GR</v>
      </c>
      <c r="L296" t="str">
        <v>Virden Valey</v>
      </c>
      <c r="M296" t="str">
        <v>VV</v>
      </c>
      <c r="N296" t="str">
        <v>Sunset Canal</v>
      </c>
      <c r="O296" t="str">
        <v>FA</v>
      </c>
      <c r="P296" t="str">
        <v>Fallow, idle or otherwise not irrigated</v>
      </c>
      <c r="Q296">
        <v>1.9806441318782171</v>
      </c>
      <c r="R296" t="str">
        <v>4</v>
      </c>
      <c r="S296" t="str">
        <v>Not irrigated</v>
      </c>
      <c r="T296">
        <v>0</v>
      </c>
      <c r="U296">
        <v>0</v>
      </c>
      <c r="V296" t="str">
        <v>2</v>
      </c>
      <c r="W296">
        <v>0</v>
      </c>
      <c r="X296">
        <v>0</v>
      </c>
      <c r="Y296" t="str">
        <v>T19S</v>
      </c>
      <c r="Z296" t="str">
        <v>R20W</v>
      </c>
      <c r="AA296" t="str">
        <v>7</v>
      </c>
      <c r="AB296" t="str">
        <v>HI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665.54406103001656</v>
      </c>
      <c r="AJ296">
        <v>8015.4144872061224</v>
      </c>
      <c r="AK296">
        <v>0</v>
      </c>
    </row>
    <row r="297" spans="1:37" x14ac:dyDescent="0.25">
      <c r="A297">
        <v>290</v>
      </c>
      <c r="B297">
        <v>0</v>
      </c>
      <c r="C297" t="str">
        <v>VV</v>
      </c>
      <c r="D297">
        <v>0</v>
      </c>
      <c r="E297" t="str">
        <v>MM</v>
      </c>
      <c r="F297" t="str">
        <v>&lt;Null&gt;</v>
      </c>
      <c r="G297">
        <v>45838</v>
      </c>
      <c r="H297">
        <v>0</v>
      </c>
      <c r="I297" t="str">
        <v>Globe Equity Decree</v>
      </c>
      <c r="J297" t="str">
        <v>Gila River</v>
      </c>
      <c r="K297" t="str">
        <v>GR</v>
      </c>
      <c r="L297" t="str">
        <v>Virden Valey</v>
      </c>
      <c r="M297" t="str">
        <v>VV</v>
      </c>
      <c r="N297" t="str">
        <v>Sunset Canal</v>
      </c>
      <c r="O297" t="str">
        <v>FA</v>
      </c>
      <c r="P297" t="str">
        <v>Fallow, idle or otherwise not irrigated</v>
      </c>
      <c r="Q297">
        <v>2.1681089923721268</v>
      </c>
      <c r="R297" t="str">
        <v>4</v>
      </c>
      <c r="S297" t="str">
        <v>Not irrigated</v>
      </c>
      <c r="T297">
        <v>0</v>
      </c>
      <c r="U297">
        <v>0</v>
      </c>
      <c r="V297" t="str">
        <v>3</v>
      </c>
      <c r="W297">
        <v>0</v>
      </c>
      <c r="X297">
        <v>0</v>
      </c>
      <c r="Y297" t="str">
        <v>T19S</v>
      </c>
      <c r="Z297" t="str">
        <v>R21W</v>
      </c>
      <c r="AA297" t="str">
        <v>13</v>
      </c>
      <c r="AB297" t="str">
        <v>HI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687.04272860348919</v>
      </c>
      <c r="AJ297">
        <v>8774.0608964528237</v>
      </c>
      <c r="AK297">
        <v>0</v>
      </c>
    </row>
    <row r="298" spans="1:37" x14ac:dyDescent="0.25">
      <c r="A298">
        <v>293</v>
      </c>
      <c r="B298">
        <v>0</v>
      </c>
      <c r="C298" t="str">
        <v>VV</v>
      </c>
      <c r="D298">
        <v>0</v>
      </c>
      <c r="E298" t="str">
        <v>MM</v>
      </c>
      <c r="F298" t="str">
        <v>&lt;Null&gt;</v>
      </c>
      <c r="G298">
        <v>45839</v>
      </c>
      <c r="H298">
        <v>0</v>
      </c>
      <c r="I298" t="str">
        <v>Globe Equity Decree</v>
      </c>
      <c r="J298" t="str">
        <v>Gila River</v>
      </c>
      <c r="K298" t="str">
        <v>GR</v>
      </c>
      <c r="L298" t="str">
        <v>Virden Valey</v>
      </c>
      <c r="M298" t="str">
        <v>VV</v>
      </c>
      <c r="N298" t="str">
        <v>Sunset Canal</v>
      </c>
      <c r="O298" t="str">
        <v>FA</v>
      </c>
      <c r="P298" t="str">
        <v>Fallow, idle or otherwise not irrigated</v>
      </c>
      <c r="Q298">
        <v>0.40245004616940538</v>
      </c>
      <c r="R298" t="str">
        <v>4</v>
      </c>
      <c r="S298" t="str">
        <v>Not irrigated</v>
      </c>
      <c r="T298">
        <v>0</v>
      </c>
      <c r="U298">
        <v>0</v>
      </c>
      <c r="V298" t="str">
        <v>13</v>
      </c>
      <c r="W298">
        <v>0</v>
      </c>
      <c r="X298">
        <v>0</v>
      </c>
      <c r="Y298" t="str">
        <v>T18S</v>
      </c>
      <c r="Z298" t="str">
        <v>R21W</v>
      </c>
      <c r="AA298" t="str">
        <v>32</v>
      </c>
      <c r="AB298" t="str">
        <v>HI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162.32490578576451</v>
      </c>
      <c r="AJ298">
        <v>1628.6640686855951</v>
      </c>
      <c r="AK298">
        <v>0</v>
      </c>
    </row>
    <row r="299" spans="1:37" x14ac:dyDescent="0.25">
      <c r="A299">
        <v>295</v>
      </c>
      <c r="B299">
        <v>0</v>
      </c>
      <c r="C299" t="str">
        <v>VV</v>
      </c>
      <c r="D299">
        <v>0</v>
      </c>
      <c r="E299" t="str">
        <v>MM</v>
      </c>
      <c r="F299" t="str">
        <v>&lt;Null&gt;</v>
      </c>
      <c r="G299">
        <v>45839</v>
      </c>
      <c r="H299">
        <v>0</v>
      </c>
      <c r="I299" t="str">
        <v>Arizona v California</v>
      </c>
      <c r="J299" t="str">
        <v>Gila River</v>
      </c>
      <c r="K299" t="str">
        <v>GR</v>
      </c>
      <c r="L299" t="str">
        <v>Virden Valey</v>
      </c>
      <c r="M299" t="str">
        <v>VV</v>
      </c>
      <c r="N299">
        <v>0</v>
      </c>
      <c r="O299" t="str">
        <v>FA</v>
      </c>
      <c r="P299" t="str">
        <v>Fallow, idle or otherwise not irrigated</v>
      </c>
      <c r="Q299">
        <v>4.7402802047258552</v>
      </c>
      <c r="R299" t="str">
        <v>4</v>
      </c>
      <c r="S299" t="str">
        <v>Not irrigated</v>
      </c>
      <c r="T299">
        <v>0</v>
      </c>
      <c r="U299">
        <v>0</v>
      </c>
      <c r="V299" t="str">
        <v>13</v>
      </c>
      <c r="W299">
        <v>0</v>
      </c>
      <c r="X299">
        <v>0</v>
      </c>
      <c r="Y299" t="str">
        <v>T18S</v>
      </c>
      <c r="Z299" t="str">
        <v>R21W</v>
      </c>
      <c r="AA299" t="str">
        <v>32</v>
      </c>
      <c r="AB299" t="str">
        <v>HI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634.54856867771878</v>
      </c>
      <c r="AJ299">
        <v>19183.310123634179</v>
      </c>
      <c r="AK299">
        <v>0</v>
      </c>
    </row>
    <row r="300" spans="1:37" x14ac:dyDescent="0.25">
      <c r="A300">
        <v>300</v>
      </c>
      <c r="B300">
        <v>0</v>
      </c>
      <c r="C300" t="str">
        <v>VV</v>
      </c>
      <c r="D300">
        <v>0</v>
      </c>
      <c r="E300" t="str">
        <v>MM</v>
      </c>
      <c r="F300" t="str">
        <v>&lt;Null&gt;</v>
      </c>
      <c r="G300">
        <v>45838</v>
      </c>
      <c r="H300">
        <v>0</v>
      </c>
      <c r="I300" t="str">
        <v>Globe Equity Decree</v>
      </c>
      <c r="J300" t="str">
        <v>Gila River</v>
      </c>
      <c r="K300" t="str">
        <v>GR</v>
      </c>
      <c r="L300" t="str">
        <v>Virden Valey</v>
      </c>
      <c r="M300" t="str">
        <v>VV</v>
      </c>
      <c r="N300" t="str">
        <v>Sunset Canal</v>
      </c>
      <c r="O300" t="str">
        <v>FA</v>
      </c>
      <c r="P300" t="str">
        <v>Fallow, idle or otherwise not irrigated</v>
      </c>
      <c r="Q300">
        <v>2.3292403170810401</v>
      </c>
      <c r="R300" t="str">
        <v>4</v>
      </c>
      <c r="S300" t="str">
        <v>Not irrigated</v>
      </c>
      <c r="T300">
        <v>0</v>
      </c>
      <c r="U300">
        <v>0</v>
      </c>
      <c r="V300" t="str">
        <v>3</v>
      </c>
      <c r="W300">
        <v>0</v>
      </c>
      <c r="X300">
        <v>0</v>
      </c>
      <c r="Y300" t="str">
        <v>T19S</v>
      </c>
      <c r="Z300" t="str">
        <v>R21W</v>
      </c>
      <c r="AA300" t="str">
        <v>13</v>
      </c>
      <c r="AB300" t="str">
        <v>HI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999.77090506687978</v>
      </c>
      <c r="AJ300">
        <v>9426.1388410100772</v>
      </c>
      <c r="AK300">
        <v>0</v>
      </c>
    </row>
    <row r="301" spans="1:37" x14ac:dyDescent="0.25">
      <c r="A301">
        <v>303</v>
      </c>
      <c r="B301">
        <v>0</v>
      </c>
      <c r="C301" t="str">
        <v>VV</v>
      </c>
      <c r="D301">
        <v>0</v>
      </c>
      <c r="E301" t="str">
        <v>MM</v>
      </c>
      <c r="F301" t="str">
        <v>&lt;Null&gt;</v>
      </c>
      <c r="G301">
        <v>45838</v>
      </c>
      <c r="H301">
        <v>0</v>
      </c>
      <c r="I301" t="str">
        <v>Arizona v California</v>
      </c>
      <c r="J301" t="str">
        <v>Gila River</v>
      </c>
      <c r="K301" t="str">
        <v>GR</v>
      </c>
      <c r="L301" t="str">
        <v>Virden Valey</v>
      </c>
      <c r="M301" t="str">
        <v>VV</v>
      </c>
      <c r="N301">
        <v>0</v>
      </c>
      <c r="O301" t="str">
        <v>FA</v>
      </c>
      <c r="P301" t="str">
        <v>Fallow, idle or otherwise not irrigated</v>
      </c>
      <c r="Q301">
        <v>4.5395254325294427</v>
      </c>
      <c r="R301" t="str">
        <v>4</v>
      </c>
      <c r="S301" t="str">
        <v>Not irrigated</v>
      </c>
      <c r="T301">
        <v>0</v>
      </c>
      <c r="U301">
        <v>0</v>
      </c>
      <c r="V301" t="str">
        <v>4</v>
      </c>
      <c r="W301">
        <v>0</v>
      </c>
      <c r="X301">
        <v>0</v>
      </c>
      <c r="Y301" t="str">
        <v>T19S</v>
      </c>
      <c r="Z301" t="str">
        <v>R21W</v>
      </c>
      <c r="AA301" t="str">
        <v>12</v>
      </c>
      <c r="AB301" t="str">
        <v>HI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823.81805910668379</v>
      </c>
      <c r="AJ301">
        <v>18370.881134730971</v>
      </c>
      <c r="AK301">
        <v>0</v>
      </c>
    </row>
    <row r="302" spans="1:37" x14ac:dyDescent="0.25">
      <c r="A302">
        <v>307</v>
      </c>
      <c r="B302">
        <v>0</v>
      </c>
      <c r="C302" t="str">
        <v>VV</v>
      </c>
      <c r="D302">
        <v>0</v>
      </c>
      <c r="E302" t="str">
        <v>MM</v>
      </c>
      <c r="F302" t="str">
        <v>&lt;Null&gt;</v>
      </c>
      <c r="G302">
        <v>45839</v>
      </c>
      <c r="H302">
        <v>0</v>
      </c>
      <c r="I302" t="str">
        <v>Arizona v California</v>
      </c>
      <c r="J302" t="str">
        <v>Gila River</v>
      </c>
      <c r="K302" t="str">
        <v>GR</v>
      </c>
      <c r="L302" t="str">
        <v>Virden Valey</v>
      </c>
      <c r="M302" t="str">
        <v>VV</v>
      </c>
      <c r="N302">
        <v>0</v>
      </c>
      <c r="O302" t="str">
        <v>FA</v>
      </c>
      <c r="P302" t="str">
        <v>Fallow, idle or otherwise not irrigated</v>
      </c>
      <c r="Q302">
        <v>0.2754693259308878</v>
      </c>
      <c r="R302" t="str">
        <v>4</v>
      </c>
      <c r="S302" t="str">
        <v>Not irrigated</v>
      </c>
      <c r="T302">
        <v>0</v>
      </c>
      <c r="U302">
        <v>0</v>
      </c>
      <c r="V302" t="str">
        <v>13</v>
      </c>
      <c r="W302">
        <v>0</v>
      </c>
      <c r="X302">
        <v>0</v>
      </c>
      <c r="Y302" t="str">
        <v>T18S</v>
      </c>
      <c r="Z302" t="str">
        <v>R21W</v>
      </c>
      <c r="AA302" t="str">
        <v>32</v>
      </c>
      <c r="AB302" t="str">
        <v>HI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250.7268714160183</v>
      </c>
      <c r="AJ302">
        <v>1114.7892699702329</v>
      </c>
      <c r="AK302">
        <v>0</v>
      </c>
    </row>
    <row r="303" spans="1:37" x14ac:dyDescent="0.25">
      <c r="A303">
        <v>308</v>
      </c>
      <c r="B303">
        <v>0</v>
      </c>
      <c r="C303" t="str">
        <v>VV</v>
      </c>
      <c r="D303">
        <v>0</v>
      </c>
      <c r="E303" t="str">
        <v>MM</v>
      </c>
      <c r="F303" t="str">
        <v>&lt;Null&gt;</v>
      </c>
      <c r="G303">
        <v>45839</v>
      </c>
      <c r="H303">
        <v>0</v>
      </c>
      <c r="I303" t="str">
        <v>Arizona v California</v>
      </c>
      <c r="J303" t="str">
        <v>Gila River</v>
      </c>
      <c r="K303" t="str">
        <v>GR</v>
      </c>
      <c r="L303" t="str">
        <v>Virden Valey</v>
      </c>
      <c r="M303" t="str">
        <v>VV</v>
      </c>
      <c r="N303">
        <v>0</v>
      </c>
      <c r="O303" t="str">
        <v>FA</v>
      </c>
      <c r="P303" t="str">
        <v>Fallow, idle or otherwise not irrigated</v>
      </c>
      <c r="Q303">
        <v>1.1168873979514149</v>
      </c>
      <c r="R303" t="str">
        <v>4</v>
      </c>
      <c r="S303" t="str">
        <v>Not irrigated</v>
      </c>
      <c r="T303">
        <v>0</v>
      </c>
      <c r="U303">
        <v>0</v>
      </c>
      <c r="V303" t="str">
        <v>13</v>
      </c>
      <c r="W303">
        <v>0</v>
      </c>
      <c r="X303">
        <v>0</v>
      </c>
      <c r="Y303" t="str">
        <v>T18S</v>
      </c>
      <c r="Z303" t="str">
        <v>R21W</v>
      </c>
      <c r="AA303" t="str">
        <v>32</v>
      </c>
      <c r="AB303" t="str">
        <v>HI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332.12400036094499</v>
      </c>
      <c r="AJ303">
        <v>4519.901019083306</v>
      </c>
      <c r="AK303">
        <v>0</v>
      </c>
    </row>
    <row r="304" spans="1:37" x14ac:dyDescent="0.25">
      <c r="A304">
        <v>316</v>
      </c>
      <c r="B304">
        <v>0</v>
      </c>
      <c r="C304" t="str">
        <v>VV</v>
      </c>
      <c r="D304">
        <v>0</v>
      </c>
      <c r="E304" t="str">
        <v>MM</v>
      </c>
      <c r="F304">
        <v>0</v>
      </c>
      <c r="G304">
        <v>45839</v>
      </c>
      <c r="H304">
        <v>0</v>
      </c>
      <c r="I304" t="str">
        <v>Globe Equity Decree</v>
      </c>
      <c r="J304" t="str">
        <v>Gila River</v>
      </c>
      <c r="K304" t="str">
        <v>GR</v>
      </c>
      <c r="L304" t="str">
        <v>Virden Valey</v>
      </c>
      <c r="M304" t="str">
        <v>VV</v>
      </c>
      <c r="N304" t="str">
        <v>Sunset Canal</v>
      </c>
      <c r="O304" t="str">
        <v>FA</v>
      </c>
      <c r="P304" t="str">
        <v>Fallow, idle or otherwise not irrigated</v>
      </c>
      <c r="Q304">
        <v>2.6133385034960162</v>
      </c>
      <c r="R304" t="str">
        <v>4</v>
      </c>
      <c r="S304" t="str">
        <v>Not irrigated</v>
      </c>
      <c r="T304">
        <v>0</v>
      </c>
      <c r="U304">
        <v>0</v>
      </c>
      <c r="V304" t="str">
        <v>13</v>
      </c>
      <c r="W304">
        <v>0</v>
      </c>
      <c r="X304">
        <v>0</v>
      </c>
      <c r="Y304">
        <v>0</v>
      </c>
      <c r="Z304">
        <v>0</v>
      </c>
      <c r="AA304">
        <v>0</v>
      </c>
      <c r="AB304" t="str">
        <v>HI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428.89307574888909</v>
      </c>
      <c r="AJ304">
        <v>10575.848010127789</v>
      </c>
      <c r="AK304">
        <v>0</v>
      </c>
    </row>
    <row r="305" spans="1:37" x14ac:dyDescent="0.25">
      <c r="A305">
        <v>38</v>
      </c>
      <c r="B305">
        <v>0</v>
      </c>
      <c r="C305" t="str">
        <v>VV</v>
      </c>
      <c r="D305">
        <v>0</v>
      </c>
      <c r="E305" t="str">
        <v>MM</v>
      </c>
      <c r="F305" t="str">
        <v>&lt;Null&gt;</v>
      </c>
      <c r="G305">
        <v>45838</v>
      </c>
      <c r="H305">
        <v>0</v>
      </c>
      <c r="I305" t="str">
        <v>Globe Equity Decree</v>
      </c>
      <c r="J305" t="str">
        <v>Gila River</v>
      </c>
      <c r="K305" t="str">
        <v>GR</v>
      </c>
      <c r="L305" t="str">
        <v>Virden Valey</v>
      </c>
      <c r="M305" t="str">
        <v>VV</v>
      </c>
      <c r="N305" t="str">
        <v>Sunset Canal</v>
      </c>
      <c r="O305" t="str">
        <v>PU</v>
      </c>
      <c r="P305" t="str">
        <v>Pasture (Unimproved)</v>
      </c>
      <c r="Q305">
        <v>5.1116247866766464</v>
      </c>
      <c r="R305" t="str">
        <v>4</v>
      </c>
      <c r="S305" t="str">
        <v>Not irrigated</v>
      </c>
      <c r="T305">
        <v>0</v>
      </c>
      <c r="U305">
        <v>0</v>
      </c>
      <c r="V305" t="str">
        <v>6</v>
      </c>
      <c r="W305">
        <v>0</v>
      </c>
      <c r="X305">
        <v>0</v>
      </c>
      <c r="Y305">
        <v>0</v>
      </c>
      <c r="Z305">
        <v>0</v>
      </c>
      <c r="AA305">
        <v>0</v>
      </c>
      <c r="AB305" t="str">
        <v>HI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767.19203789435733</v>
      </c>
      <c r="AJ305">
        <v>20686.09434115604</v>
      </c>
      <c r="AK305">
        <v>0</v>
      </c>
    </row>
    <row r="306" spans="1:37" x14ac:dyDescent="0.25">
      <c r="A306">
        <v>46</v>
      </c>
      <c r="B306">
        <v>0</v>
      </c>
      <c r="C306" t="str">
        <v>VV</v>
      </c>
      <c r="D306">
        <v>0</v>
      </c>
      <c r="E306" t="str">
        <v>MM</v>
      </c>
      <c r="F306" t="str">
        <v>&lt;Null&gt;</v>
      </c>
      <c r="G306">
        <v>45838</v>
      </c>
      <c r="H306">
        <v>0</v>
      </c>
      <c r="I306" t="str">
        <v>Globe Equity Decree</v>
      </c>
      <c r="J306" t="str">
        <v>Gila River</v>
      </c>
      <c r="K306" t="str">
        <v>GR</v>
      </c>
      <c r="L306" t="str">
        <v>Virden Valey</v>
      </c>
      <c r="M306" t="str">
        <v>VV</v>
      </c>
      <c r="N306" t="str">
        <v>Sunset Canal</v>
      </c>
      <c r="O306" t="str">
        <v>PEI</v>
      </c>
      <c r="P306" t="str">
        <v>Pecans ISC</v>
      </c>
      <c r="Q306">
        <v>11.004529068922411</v>
      </c>
      <c r="R306" t="str">
        <v>5</v>
      </c>
      <c r="S306" t="str">
        <v>Sub-irrigated</v>
      </c>
      <c r="T306" t="str">
        <v>No water applied to surface well or surface subirrigated</v>
      </c>
      <c r="U306">
        <v>0</v>
      </c>
      <c r="V306" t="str">
        <v>5</v>
      </c>
      <c r="W306">
        <v>0</v>
      </c>
      <c r="X306">
        <v>0</v>
      </c>
      <c r="Y306">
        <v>0</v>
      </c>
      <c r="Z306">
        <v>0</v>
      </c>
      <c r="AA306">
        <v>0</v>
      </c>
      <c r="AB306" t="str">
        <v>HI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1042.046933275722</v>
      </c>
      <c r="AJ306">
        <v>44533.92727358712</v>
      </c>
      <c r="AK306">
        <v>0</v>
      </c>
    </row>
    <row r="307" spans="1:37" x14ac:dyDescent="0.25">
      <c r="A307" t="str">
        <v>OBJECTID</v>
      </c>
      <c r="B307" t="str">
        <v>Field_ID</v>
      </c>
      <c r="C307" t="str">
        <v>Basin</v>
      </c>
      <c r="D307" t="str">
        <v>Sub_Basin</v>
      </c>
      <c r="E307" t="str">
        <v>Inspector_1</v>
      </c>
      <c r="F307" t="str">
        <v>Inspector_2</v>
      </c>
      <c r="G307" t="str">
        <v>Inspection_Date</v>
      </c>
      <c r="H307" t="str">
        <v>Water_Righted_Acreage</v>
      </c>
      <c r="I307" t="str">
        <v>Decree</v>
      </c>
      <c r="J307" t="str">
        <v>System</v>
      </c>
      <c r="K307" t="str">
        <v>SysCode</v>
      </c>
      <c r="L307" t="str">
        <v>Unit</v>
      </c>
      <c r="M307" t="str">
        <v>UCode</v>
      </c>
      <c r="N307" t="str">
        <v>Ditch</v>
      </c>
      <c r="O307" t="str">
        <v>Crop_Code</v>
      </c>
      <c r="P307" t="str">
        <v>Crop_Type</v>
      </c>
      <c r="Q307" t="str">
        <v>Computed_Acreage</v>
      </c>
      <c r="R307" t="str">
        <v>Irr_Code</v>
      </c>
      <c r="S307" t="str">
        <v>Irr_Method</v>
      </c>
      <c r="T307" t="str">
        <v>Remarks</v>
      </c>
      <c r="U307" t="str">
        <v>Season</v>
      </c>
      <c r="V307" t="str">
        <v>Mapsheet</v>
      </c>
      <c r="W307" t="str">
        <v>Sections</v>
      </c>
      <c r="X307" t="str">
        <v>File_nbr</v>
      </c>
      <c r="Y307" t="str">
        <v>Tws</v>
      </c>
      <c r="Z307" t="str">
        <v>Rng</v>
      </c>
      <c r="AA307" t="str">
        <v>Sec</v>
      </c>
      <c r="AB307" t="str">
        <v>County</v>
      </c>
      <c r="AC307" t="str">
        <v>Owner</v>
      </c>
      <c r="AD307" t="str">
        <v>Priority</v>
      </c>
      <c r="AE307" t="str">
        <v>No_Adjudicated_Water_Right</v>
      </c>
      <c r="AF307" t="str">
        <v>Subfile</v>
      </c>
      <c r="AG307" t="str">
        <v>PLSS QQQ</v>
      </c>
      <c r="AH307" t="str">
        <v>Pla_rec_nbr</v>
      </c>
      <c r="AI307" t="str">
        <v>Shape_Length</v>
      </c>
      <c r="AJ307" t="str">
        <v>Shape_Area</v>
      </c>
      <c r="AK307">
        <v>0</v>
      </c>
    </row>
    <row r="308" spans="1:37" x14ac:dyDescent="0.25">
      <c r="A308">
        <v>1</v>
      </c>
      <c r="B308" t="str">
        <v>SS-00001</v>
      </c>
      <c r="C308" t="str">
        <v>SS</v>
      </c>
      <c r="D308">
        <v>0</v>
      </c>
      <c r="E308" t="str">
        <v>MM</v>
      </c>
      <c r="F308">
        <v>0</v>
      </c>
      <c r="G308">
        <v>45819</v>
      </c>
      <c r="H308">
        <v>0</v>
      </c>
      <c r="I308" t="str">
        <v>Arizona v California</v>
      </c>
      <c r="J308" t="str">
        <v>San Simon Creek</v>
      </c>
      <c r="K308" t="str">
        <v>SC</v>
      </c>
      <c r="L308" t="str">
        <v>San Simon</v>
      </c>
      <c r="M308" t="str">
        <v>SS</v>
      </c>
      <c r="N308">
        <v>0</v>
      </c>
      <c r="O308" t="str">
        <v>FA</v>
      </c>
      <c r="P308" t="str">
        <v>Fallow, idle or otherwise not irrigated</v>
      </c>
      <c r="Q308">
        <v>36.181704256286977</v>
      </c>
      <c r="R308" t="str">
        <v>4</v>
      </c>
      <c r="S308" t="str">
        <v>Not irrigated</v>
      </c>
      <c r="T308">
        <v>0</v>
      </c>
      <c r="U308">
        <v>0</v>
      </c>
      <c r="V308" t="str">
        <v>1</v>
      </c>
      <c r="W308">
        <v>0</v>
      </c>
      <c r="X308" t="str">
        <v xml:space="preserve"> </v>
      </c>
      <c r="Y308" t="str">
        <v>T26S</v>
      </c>
      <c r="Z308" t="str">
        <v>R22W</v>
      </c>
      <c r="AA308" t="str">
        <v>12</v>
      </c>
      <c r="AB308" t="str">
        <v>HI</v>
      </c>
      <c r="AC308" t="str">
        <v>United States of America</v>
      </c>
      <c r="AD308" t="str">
        <v>1954</v>
      </c>
      <c r="AE308">
        <v>0</v>
      </c>
      <c r="AF308">
        <v>0</v>
      </c>
      <c r="AG308">
        <v>0</v>
      </c>
      <c r="AH308">
        <v>0</v>
      </c>
      <c r="AI308">
        <v>2712.0971988427118</v>
      </c>
      <c r="AJ308">
        <v>146422.7479333384</v>
      </c>
      <c r="AK308">
        <v>0</v>
      </c>
    </row>
    <row r="309" spans="1:37" x14ac:dyDescent="0.25">
      <c r="A309">
        <v>2</v>
      </c>
      <c r="B309" t="str">
        <v>SS-00002</v>
      </c>
      <c r="C309" t="str">
        <v>SS</v>
      </c>
      <c r="D309">
        <v>0</v>
      </c>
      <c r="E309" t="str">
        <v>MM</v>
      </c>
      <c r="F309">
        <v>0</v>
      </c>
      <c r="G309">
        <v>45819</v>
      </c>
      <c r="H309">
        <v>0</v>
      </c>
      <c r="I309" t="str">
        <v>Arizona v California</v>
      </c>
      <c r="J309" t="str">
        <v>San Simon Creek</v>
      </c>
      <c r="K309" t="str">
        <v>SC</v>
      </c>
      <c r="L309" t="str">
        <v>San Simon</v>
      </c>
      <c r="M309" t="str">
        <v>SS</v>
      </c>
      <c r="N309">
        <v>0</v>
      </c>
      <c r="O309" t="str">
        <v>FA</v>
      </c>
      <c r="P309" t="str">
        <v>Fallow, idle or otherwise not irrigated</v>
      </c>
      <c r="Q309">
        <v>2.4911964860761211</v>
      </c>
      <c r="R309" t="str">
        <v>4</v>
      </c>
      <c r="S309" t="str">
        <v>Not irrigated</v>
      </c>
      <c r="T309" t="str">
        <v xml:space="preserve"> </v>
      </c>
      <c r="U309">
        <v>0</v>
      </c>
      <c r="V309" t="str">
        <v>1</v>
      </c>
      <c r="W309">
        <v>0</v>
      </c>
      <c r="X309" t="str">
        <v xml:space="preserve"> </v>
      </c>
      <c r="Y309" t="str">
        <v>T26S</v>
      </c>
      <c r="Z309" t="str">
        <v>R22W</v>
      </c>
      <c r="AA309" t="str">
        <v>12</v>
      </c>
      <c r="AB309" t="str">
        <v>HI</v>
      </c>
      <c r="AC309" t="str">
        <v>State of New Mexico Dept. of Game and Fish</v>
      </c>
      <c r="AD309" t="str">
        <v>0</v>
      </c>
      <c r="AE309">
        <v>0</v>
      </c>
      <c r="AF309">
        <v>0</v>
      </c>
      <c r="AG309">
        <v>0</v>
      </c>
      <c r="AH309">
        <v>0</v>
      </c>
      <c r="AI309">
        <v>458.66838826262011</v>
      </c>
      <c r="AJ309">
        <v>10081.55482531644</v>
      </c>
      <c r="AK309">
        <v>0</v>
      </c>
    </row>
    <row r="310" spans="1:37" x14ac:dyDescent="0.25">
      <c r="A310">
        <v>3</v>
      </c>
      <c r="B310" t="str">
        <v>SS-00003</v>
      </c>
      <c r="C310" t="str">
        <v>SS</v>
      </c>
      <c r="D310">
        <v>0</v>
      </c>
      <c r="E310" t="str">
        <v>MM</v>
      </c>
      <c r="F310">
        <v>0</v>
      </c>
      <c r="G310">
        <v>45819</v>
      </c>
      <c r="H310">
        <v>0</v>
      </c>
      <c r="I310" t="str">
        <v>Arizona v California</v>
      </c>
      <c r="J310" t="str">
        <v>San Simon Creek</v>
      </c>
      <c r="K310" t="str">
        <v>SC</v>
      </c>
      <c r="L310" t="str">
        <v>San Simon</v>
      </c>
      <c r="M310" t="str">
        <v>SS</v>
      </c>
      <c r="N310">
        <v>0</v>
      </c>
      <c r="O310" t="str">
        <v>FA</v>
      </c>
      <c r="P310" t="str">
        <v>Fallow, idle or otherwise not irrigated</v>
      </c>
      <c r="Q310">
        <v>4.2400641717694949</v>
      </c>
      <c r="R310" t="str">
        <v>4</v>
      </c>
      <c r="S310" t="str">
        <v>Not irrigated</v>
      </c>
      <c r="T310">
        <v>0</v>
      </c>
      <c r="U310">
        <v>0</v>
      </c>
      <c r="V310" t="str">
        <v>2</v>
      </c>
      <c r="W310">
        <v>0</v>
      </c>
      <c r="X310" t="str">
        <v xml:space="preserve"> </v>
      </c>
      <c r="Y310" t="str">
        <v>T26S</v>
      </c>
      <c r="Z310" t="str">
        <v>R22W</v>
      </c>
      <c r="AA310" t="str">
        <v>12</v>
      </c>
      <c r="AB310" t="str">
        <v>HI</v>
      </c>
      <c r="AC310" t="str">
        <v>United States of America</v>
      </c>
      <c r="AD310" t="str">
        <v>1954</v>
      </c>
      <c r="AE310">
        <v>0</v>
      </c>
      <c r="AF310">
        <v>0</v>
      </c>
      <c r="AG310">
        <v>0</v>
      </c>
      <c r="AH310">
        <v>0</v>
      </c>
      <c r="AI310">
        <v>554.30175829897098</v>
      </c>
      <c r="AJ310">
        <v>17158.99956084312</v>
      </c>
      <c r="AK310">
        <v>0</v>
      </c>
    </row>
    <row r="311" spans="1:37" x14ac:dyDescent="0.25">
      <c r="A311">
        <v>4</v>
      </c>
      <c r="B311" t="str">
        <v>SS-00004</v>
      </c>
      <c r="C311" t="str">
        <v>SS</v>
      </c>
      <c r="D311">
        <v>0</v>
      </c>
      <c r="E311" t="str">
        <v>MM</v>
      </c>
      <c r="F311">
        <v>0</v>
      </c>
      <c r="G311">
        <v>45819</v>
      </c>
      <c r="H311">
        <v>0</v>
      </c>
      <c r="I311" t="str">
        <v>Arizona v California</v>
      </c>
      <c r="J311" t="str">
        <v>San Simon Creek</v>
      </c>
      <c r="K311" t="str">
        <v>SC</v>
      </c>
      <c r="L311" t="str">
        <v>San Simon</v>
      </c>
      <c r="M311" t="str">
        <v>SS</v>
      </c>
      <c r="N311">
        <v>0</v>
      </c>
      <c r="O311" t="str">
        <v>FA</v>
      </c>
      <c r="P311" t="str">
        <v>Fallow, idle or otherwise not irrigated</v>
      </c>
      <c r="Q311">
        <v>0.96811345928720038</v>
      </c>
      <c r="R311" t="str">
        <v>4</v>
      </c>
      <c r="S311" t="str">
        <v>Not irrigated</v>
      </c>
      <c r="T311">
        <v>0</v>
      </c>
      <c r="U311">
        <v>0</v>
      </c>
      <c r="V311" t="str">
        <v>2</v>
      </c>
      <c r="W311">
        <v>0</v>
      </c>
      <c r="X311" t="str">
        <v xml:space="preserve"> </v>
      </c>
      <c r="Y311" t="str">
        <v>T26S</v>
      </c>
      <c r="Z311" t="str">
        <v>R22W</v>
      </c>
      <c r="AA311" t="str">
        <v>12</v>
      </c>
      <c r="AB311" t="str">
        <v>HI</v>
      </c>
      <c r="AC311" t="str">
        <v>United States of America</v>
      </c>
      <c r="AD311" t="str">
        <v>1954</v>
      </c>
      <c r="AE311">
        <v>0</v>
      </c>
      <c r="AF311">
        <v>0</v>
      </c>
      <c r="AG311">
        <v>0</v>
      </c>
      <c r="AH311">
        <v>0</v>
      </c>
      <c r="AI311">
        <v>349.86621152956292</v>
      </c>
      <c r="AJ311">
        <v>3917.8318416399829</v>
      </c>
      <c r="AK311">
        <v>0</v>
      </c>
    </row>
    <row r="312" spans="1:37" x14ac:dyDescent="0.25">
      <c r="A312">
        <v>5</v>
      </c>
      <c r="B312" t="str">
        <v>SS-00005</v>
      </c>
      <c r="C312" t="str">
        <v>SS</v>
      </c>
      <c r="D312">
        <v>0</v>
      </c>
      <c r="E312" t="str">
        <v>MM</v>
      </c>
      <c r="F312">
        <v>0</v>
      </c>
      <c r="G312">
        <v>45819</v>
      </c>
      <c r="H312">
        <v>0</v>
      </c>
      <c r="I312" t="str">
        <v>Arizona v California</v>
      </c>
      <c r="J312" t="str">
        <v>San Simon Creek</v>
      </c>
      <c r="K312" t="str">
        <v>SC</v>
      </c>
      <c r="L312" t="str">
        <v>San Simon</v>
      </c>
      <c r="M312" t="str">
        <v>SS</v>
      </c>
      <c r="N312">
        <v>0</v>
      </c>
      <c r="O312" t="str">
        <v>FA</v>
      </c>
      <c r="P312" t="str">
        <v>Fallow, idle or otherwise not irrigated</v>
      </c>
      <c r="Q312">
        <v>2.4860369115637742</v>
      </c>
      <c r="R312" t="str">
        <v>4</v>
      </c>
      <c r="S312" t="str">
        <v>Not irrigated</v>
      </c>
      <c r="T312" t="str">
        <v xml:space="preserve"> </v>
      </c>
      <c r="U312">
        <v>0</v>
      </c>
      <c r="V312" t="str">
        <v>2</v>
      </c>
      <c r="W312" t="str">
        <v>&lt;Null&gt;</v>
      </c>
      <c r="X312" t="str">
        <v xml:space="preserve"> </v>
      </c>
      <c r="Y312" t="str">
        <v>T25S</v>
      </c>
      <c r="Z312" t="str">
        <v>R22W</v>
      </c>
      <c r="AA312" t="str">
        <v>12</v>
      </c>
      <c r="AB312" t="str">
        <v>HI</v>
      </c>
      <c r="AC312" t="str">
        <v>United States of America</v>
      </c>
      <c r="AD312" t="str">
        <v>1954</v>
      </c>
      <c r="AE312">
        <v>0</v>
      </c>
      <c r="AF312">
        <v>0</v>
      </c>
      <c r="AG312">
        <v>0</v>
      </c>
      <c r="AH312">
        <v>0</v>
      </c>
      <c r="AI312">
        <v>499.72936852243862</v>
      </c>
      <c r="AJ312">
        <v>10060.67468454381</v>
      </c>
      <c r="AK312">
        <v>0</v>
      </c>
    </row>
    <row r="313" spans="1:37" x14ac:dyDescent="0.25">
      <c r="A313">
        <v>6</v>
      </c>
      <c r="B313" t="str">
        <v>SS-00006</v>
      </c>
      <c r="C313" t="str">
        <v>SS</v>
      </c>
      <c r="D313">
        <v>0</v>
      </c>
      <c r="E313" t="str">
        <v>MM</v>
      </c>
      <c r="F313">
        <v>0</v>
      </c>
      <c r="G313">
        <v>45819</v>
      </c>
      <c r="H313">
        <v>0</v>
      </c>
      <c r="I313" t="str">
        <v>Arizona v California</v>
      </c>
      <c r="J313" t="str">
        <v>San Simon Creek</v>
      </c>
      <c r="K313" t="str">
        <v>SC</v>
      </c>
      <c r="L313" t="str">
        <v>San Simon</v>
      </c>
      <c r="M313" t="str">
        <v>SS</v>
      </c>
      <c r="N313">
        <v>0</v>
      </c>
      <c r="O313" t="str">
        <v>FA</v>
      </c>
      <c r="P313" t="str">
        <v>Fallow, idle or otherwise not irrigated</v>
      </c>
      <c r="Q313">
        <v>3.8738959521534819</v>
      </c>
      <c r="R313" t="str">
        <v>4</v>
      </c>
      <c r="S313" t="str">
        <v>Not irrigated</v>
      </c>
      <c r="T313">
        <v>0</v>
      </c>
      <c r="U313">
        <v>0</v>
      </c>
      <c r="V313" t="str">
        <v>2</v>
      </c>
      <c r="W313">
        <v>0</v>
      </c>
      <c r="X313" t="str">
        <v xml:space="preserve"> </v>
      </c>
      <c r="Y313" t="str">
        <v>T26S</v>
      </c>
      <c r="Z313" t="str">
        <v>R22W</v>
      </c>
      <c r="AA313" t="str">
        <v>12</v>
      </c>
      <c r="AB313" t="str">
        <v>HI</v>
      </c>
      <c r="AC313" t="str">
        <v>United States of America</v>
      </c>
      <c r="AD313" t="str">
        <v>1954</v>
      </c>
      <c r="AE313">
        <v>0</v>
      </c>
      <c r="AF313">
        <v>0</v>
      </c>
      <c r="AG313">
        <v>0</v>
      </c>
      <c r="AH313">
        <v>0</v>
      </c>
      <c r="AI313">
        <v>526.69440646178623</v>
      </c>
      <c r="AJ313">
        <v>15677.163422272661</v>
      </c>
      <c r="AK313">
        <v>0</v>
      </c>
    </row>
    <row r="314" spans="1:37" x14ac:dyDescent="0.25">
      <c r="A314">
        <v>7</v>
      </c>
      <c r="B314" t="str">
        <v>SS-00007</v>
      </c>
      <c r="C314" t="str">
        <v>SS</v>
      </c>
      <c r="D314">
        <v>0</v>
      </c>
      <c r="E314" t="str">
        <v>MM</v>
      </c>
      <c r="F314">
        <v>0</v>
      </c>
      <c r="G314">
        <v>45819</v>
      </c>
      <c r="H314">
        <v>0</v>
      </c>
      <c r="I314" t="str">
        <v>Arizona v California</v>
      </c>
      <c r="J314" t="str">
        <v>San Simon Creek</v>
      </c>
      <c r="K314" t="str">
        <v>SC</v>
      </c>
      <c r="L314" t="str">
        <v>San Simon</v>
      </c>
      <c r="M314" t="str">
        <v>SS</v>
      </c>
      <c r="N314">
        <v>0</v>
      </c>
      <c r="O314" t="str">
        <v>FA</v>
      </c>
      <c r="P314" t="str">
        <v>Fallow, idle or otherwise not irrigated</v>
      </c>
      <c r="Q314">
        <v>10.60672239838075</v>
      </c>
      <c r="R314" t="str">
        <v>4</v>
      </c>
      <c r="S314" t="str">
        <v>Not irrigated</v>
      </c>
      <c r="T314">
        <v>0</v>
      </c>
      <c r="U314">
        <v>0</v>
      </c>
      <c r="V314" t="str">
        <v>2</v>
      </c>
      <c r="W314">
        <v>0</v>
      </c>
      <c r="X314" t="str">
        <v xml:space="preserve"> </v>
      </c>
      <c r="Y314" t="str">
        <v>T26S</v>
      </c>
      <c r="Z314" t="str">
        <v>R22W</v>
      </c>
      <c r="AA314" t="str">
        <v>13</v>
      </c>
      <c r="AB314" t="str">
        <v>HI</v>
      </c>
      <c r="AC314" t="str">
        <v>United States of America</v>
      </c>
      <c r="AD314" t="str">
        <v>1954</v>
      </c>
      <c r="AE314">
        <v>0</v>
      </c>
      <c r="AF314">
        <v>0</v>
      </c>
      <c r="AG314">
        <v>0</v>
      </c>
      <c r="AH314">
        <v>0</v>
      </c>
      <c r="AI314">
        <v>862.2317103283749</v>
      </c>
      <c r="AJ314">
        <v>42924.054354546788</v>
      </c>
      <c r="AK314">
        <v>0</v>
      </c>
    </row>
    <row r="315" spans="1:37" x14ac:dyDescent="0.25">
      <c r="A315">
        <v>8</v>
      </c>
      <c r="B315" t="str">
        <v>SS-00008</v>
      </c>
      <c r="C315" t="str">
        <v>SS</v>
      </c>
      <c r="D315">
        <v>0</v>
      </c>
      <c r="E315" t="str">
        <v>MM</v>
      </c>
      <c r="F315">
        <v>0</v>
      </c>
      <c r="G315">
        <v>45819</v>
      </c>
      <c r="H315">
        <v>0</v>
      </c>
      <c r="I315" t="str">
        <v>Arizona v California</v>
      </c>
      <c r="J315" t="str">
        <v>San Simon Creek</v>
      </c>
      <c r="K315" t="str">
        <v>SC</v>
      </c>
      <c r="L315" t="str">
        <v>San Simon</v>
      </c>
      <c r="M315" t="str">
        <v>SS</v>
      </c>
      <c r="N315">
        <v>0</v>
      </c>
      <c r="O315" t="str">
        <v>FA</v>
      </c>
      <c r="P315" t="str">
        <v>Fallow, idle or otherwise not irrigated</v>
      </c>
      <c r="Q315">
        <v>39.515881250588357</v>
      </c>
      <c r="R315" t="str">
        <v>4</v>
      </c>
      <c r="S315" t="str">
        <v>Not irrigated</v>
      </c>
      <c r="T315">
        <v>0</v>
      </c>
      <c r="U315">
        <v>0</v>
      </c>
      <c r="V315" t="str">
        <v>2</v>
      </c>
      <c r="W315">
        <v>0</v>
      </c>
      <c r="X315" t="str">
        <v xml:space="preserve"> </v>
      </c>
      <c r="Y315" t="str">
        <v>T26S</v>
      </c>
      <c r="Z315" t="str">
        <v>R22W</v>
      </c>
      <c r="AA315" t="str">
        <v>13</v>
      </c>
      <c r="AB315" t="str">
        <v>HI</v>
      </c>
      <c r="AC315" t="str">
        <v>United States of America</v>
      </c>
      <c r="AD315" t="str">
        <v>1954</v>
      </c>
      <c r="AE315">
        <v>0</v>
      </c>
      <c r="AF315">
        <v>0</v>
      </c>
      <c r="AG315">
        <v>0</v>
      </c>
      <c r="AH315">
        <v>0</v>
      </c>
      <c r="AI315">
        <v>1822.193766645298</v>
      </c>
      <c r="AJ315">
        <v>159915.73748804949</v>
      </c>
      <c r="AK315">
        <v>0</v>
      </c>
    </row>
    <row r="316" spans="1:37" x14ac:dyDescent="0.25">
      <c r="A316">
        <v>9</v>
      </c>
      <c r="B316" t="str">
        <v>SS-00009</v>
      </c>
      <c r="C316" t="str">
        <v>SS</v>
      </c>
      <c r="D316">
        <v>0</v>
      </c>
      <c r="E316" t="str">
        <v>MM</v>
      </c>
      <c r="F316">
        <v>0</v>
      </c>
      <c r="G316">
        <v>45819</v>
      </c>
      <c r="H316">
        <v>0</v>
      </c>
      <c r="I316" t="str">
        <v>Arizona v California</v>
      </c>
      <c r="J316" t="str">
        <v>San Simon Creek</v>
      </c>
      <c r="K316" t="str">
        <v>SC</v>
      </c>
      <c r="L316" t="str">
        <v>San Simon</v>
      </c>
      <c r="M316" t="str">
        <v>SS</v>
      </c>
      <c r="N316">
        <v>0</v>
      </c>
      <c r="O316" t="str">
        <v>FA</v>
      </c>
      <c r="P316" t="str">
        <v>Fallow, idle or otherwise not irrigated</v>
      </c>
      <c r="Q316">
        <v>9.4226596235240976</v>
      </c>
      <c r="R316" t="str">
        <v>4</v>
      </c>
      <c r="S316" t="str">
        <v>Not irrigated</v>
      </c>
      <c r="T316">
        <v>0</v>
      </c>
      <c r="U316">
        <v>0</v>
      </c>
      <c r="V316" t="str">
        <v>2</v>
      </c>
      <c r="W316">
        <v>0</v>
      </c>
      <c r="X316" t="str">
        <v xml:space="preserve"> </v>
      </c>
      <c r="Y316" t="str">
        <v>T26S</v>
      </c>
      <c r="Z316" t="str">
        <v>R22W</v>
      </c>
      <c r="AA316" t="str">
        <v>13</v>
      </c>
      <c r="AB316" t="str">
        <v>HI</v>
      </c>
      <c r="AC316" t="str">
        <v>United States of America</v>
      </c>
      <c r="AD316" t="str">
        <v>1954</v>
      </c>
      <c r="AE316">
        <v>0</v>
      </c>
      <c r="AF316">
        <v>0</v>
      </c>
      <c r="AG316">
        <v>0</v>
      </c>
      <c r="AH316">
        <v>0</v>
      </c>
      <c r="AI316">
        <v>1131.724524578259</v>
      </c>
      <c r="AJ316">
        <v>38132.3031426077</v>
      </c>
      <c r="AK316">
        <v>0</v>
      </c>
    </row>
    <row r="317" spans="1:37" x14ac:dyDescent="0.25">
      <c r="A317">
        <v>10</v>
      </c>
      <c r="B317" t="str">
        <v>SS-00010</v>
      </c>
      <c r="C317" t="str">
        <v>SS</v>
      </c>
      <c r="D317">
        <v>0</v>
      </c>
      <c r="E317" t="str">
        <v>MM</v>
      </c>
      <c r="F317">
        <v>0</v>
      </c>
      <c r="G317">
        <v>45819</v>
      </c>
      <c r="H317">
        <v>0</v>
      </c>
      <c r="I317" t="str">
        <v>Arizona v California</v>
      </c>
      <c r="J317" t="str">
        <v>San Simon Creek</v>
      </c>
      <c r="K317" t="str">
        <v>SC</v>
      </c>
      <c r="L317" t="str">
        <v>San Simon</v>
      </c>
      <c r="M317" t="str">
        <v>SS</v>
      </c>
      <c r="N317">
        <v>0</v>
      </c>
      <c r="O317" t="str">
        <v>FA</v>
      </c>
      <c r="P317" t="str">
        <v>Fallow, idle or otherwise not irrigated</v>
      </c>
      <c r="Q317">
        <v>0.1197435833385942</v>
      </c>
      <c r="R317" t="str">
        <v>4</v>
      </c>
      <c r="S317" t="str">
        <v>Not irrigated</v>
      </c>
      <c r="T317">
        <v>0</v>
      </c>
      <c r="U317">
        <v>0</v>
      </c>
      <c r="V317" t="str">
        <v>2</v>
      </c>
      <c r="W317">
        <v>0</v>
      </c>
      <c r="X317" t="str">
        <v xml:space="preserve"> </v>
      </c>
      <c r="Y317" t="str">
        <v>T26S</v>
      </c>
      <c r="Z317" t="str">
        <v>R22W</v>
      </c>
      <c r="AA317" t="str">
        <v>13</v>
      </c>
      <c r="AB317" t="str">
        <v>HI</v>
      </c>
      <c r="AC317" t="str">
        <v>United States of America</v>
      </c>
      <c r="AD317" t="str">
        <v>1954</v>
      </c>
      <c r="AE317">
        <v>0</v>
      </c>
      <c r="AF317">
        <v>0</v>
      </c>
      <c r="AG317">
        <v>0</v>
      </c>
      <c r="AH317">
        <v>0</v>
      </c>
      <c r="AI317">
        <v>83.421426452205722</v>
      </c>
      <c r="AJ317">
        <v>484.58702762115149</v>
      </c>
      <c r="AK317">
        <v>0</v>
      </c>
    </row>
    <row r="318" spans="1:37" x14ac:dyDescent="0.25">
      <c r="A318">
        <v>11</v>
      </c>
      <c r="B318" t="str">
        <v>SS-00011</v>
      </c>
      <c r="C318" t="str">
        <v>SS</v>
      </c>
      <c r="D318">
        <v>0</v>
      </c>
      <c r="E318" t="str">
        <v>MM</v>
      </c>
      <c r="F318">
        <v>0</v>
      </c>
      <c r="G318">
        <v>45819</v>
      </c>
      <c r="H318">
        <v>0</v>
      </c>
      <c r="I318" t="str">
        <v>Arizona v California</v>
      </c>
      <c r="J318" t="str">
        <v>San Simon Creek</v>
      </c>
      <c r="K318" t="str">
        <v>SC</v>
      </c>
      <c r="L318" t="str">
        <v>San Simon</v>
      </c>
      <c r="M318" t="str">
        <v>SS</v>
      </c>
      <c r="N318">
        <v>0</v>
      </c>
      <c r="O318" t="str">
        <v>FA</v>
      </c>
      <c r="P318" t="str">
        <v>Fallow, idle or otherwise not irrigated</v>
      </c>
      <c r="Q318">
        <v>9.749459766763649E-2</v>
      </c>
      <c r="R318" t="str">
        <v>4</v>
      </c>
      <c r="S318" t="str">
        <v>Not irrigated</v>
      </c>
      <c r="T318">
        <v>0</v>
      </c>
      <c r="U318">
        <v>0</v>
      </c>
      <c r="V318" t="str">
        <v>2</v>
      </c>
      <c r="W318">
        <v>0</v>
      </c>
      <c r="X318" t="str">
        <v xml:space="preserve"> </v>
      </c>
      <c r="Y318" t="str">
        <v>T26S</v>
      </c>
      <c r="Z318" t="str">
        <v>R22W</v>
      </c>
      <c r="AA318" t="str">
        <v>13</v>
      </c>
      <c r="AB318" t="str">
        <v>HI</v>
      </c>
      <c r="AC318" t="str">
        <v>United States of America</v>
      </c>
      <c r="AD318" t="str">
        <v>1954</v>
      </c>
      <c r="AE318">
        <v>0</v>
      </c>
      <c r="AF318">
        <v>0</v>
      </c>
      <c r="AG318">
        <v>0</v>
      </c>
      <c r="AH318">
        <v>0</v>
      </c>
      <c r="AI318">
        <v>129.6784100002227</v>
      </c>
      <c r="AJ318">
        <v>394.54821691186822</v>
      </c>
      <c r="AK318">
        <v>0</v>
      </c>
    </row>
    <row r="319" spans="1:37" x14ac:dyDescent="0.25">
      <c r="A319">
        <v>12</v>
      </c>
      <c r="B319" t="str">
        <v>SS-00012</v>
      </c>
      <c r="C319" t="str">
        <v>SS</v>
      </c>
      <c r="D319">
        <v>0</v>
      </c>
      <c r="E319" t="str">
        <v>MM</v>
      </c>
      <c r="F319">
        <v>0</v>
      </c>
      <c r="G319">
        <v>45819</v>
      </c>
      <c r="H319">
        <v>0</v>
      </c>
      <c r="I319" t="str">
        <v>Arizona v California</v>
      </c>
      <c r="J319" t="str">
        <v>San Simon Creek</v>
      </c>
      <c r="K319" t="str">
        <v>SC</v>
      </c>
      <c r="L319" t="str">
        <v>San Simon</v>
      </c>
      <c r="M319" t="str">
        <v>SS</v>
      </c>
      <c r="N319">
        <v>0</v>
      </c>
      <c r="O319" t="str">
        <v>FA</v>
      </c>
      <c r="P319" t="str">
        <v>Fallow, idle or otherwise not irrigated</v>
      </c>
      <c r="Q319">
        <v>44.840628215963093</v>
      </c>
      <c r="R319" t="str">
        <v>4</v>
      </c>
      <c r="S319" t="str">
        <v>Not irrigated</v>
      </c>
      <c r="T319">
        <v>0</v>
      </c>
      <c r="U319">
        <v>0</v>
      </c>
      <c r="V319" t="str">
        <v>3</v>
      </c>
      <c r="W319">
        <v>0</v>
      </c>
      <c r="X319" t="str">
        <v xml:space="preserve"> </v>
      </c>
      <c r="Y319" t="str">
        <v>T26S</v>
      </c>
      <c r="Z319" t="str">
        <v>R22W</v>
      </c>
      <c r="AA319" t="str">
        <v>13</v>
      </c>
      <c r="AB319" t="str">
        <v>HI</v>
      </c>
      <c r="AC319" t="str">
        <v>Roosevelt Theodore Robb and May Belle Robb</v>
      </c>
      <c r="AD319" t="str">
        <v>1954</v>
      </c>
      <c r="AE319">
        <v>0</v>
      </c>
      <c r="AF319">
        <v>0</v>
      </c>
      <c r="AG319">
        <v>0</v>
      </c>
      <c r="AH319">
        <v>0</v>
      </c>
      <c r="AI319">
        <v>2988.577809349883</v>
      </c>
      <c r="AJ319">
        <v>181464.31013673561</v>
      </c>
      <c r="AK319">
        <v>0</v>
      </c>
    </row>
    <row r="320" spans="1:37" x14ac:dyDescent="0.25">
      <c r="A320">
        <v>13</v>
      </c>
      <c r="B320" t="str">
        <v>SS-00013</v>
      </c>
      <c r="C320" t="str">
        <v>SS</v>
      </c>
      <c r="D320">
        <v>0</v>
      </c>
      <c r="E320" t="str">
        <v>MM</v>
      </c>
      <c r="F320">
        <v>0</v>
      </c>
      <c r="G320">
        <v>45819</v>
      </c>
      <c r="H320">
        <v>0</v>
      </c>
      <c r="I320" t="str">
        <v>Arizona v California</v>
      </c>
      <c r="J320" t="str">
        <v>San Simon Creek</v>
      </c>
      <c r="K320" t="str">
        <v>SC</v>
      </c>
      <c r="L320" t="str">
        <v>San Simon</v>
      </c>
      <c r="M320" t="str">
        <v>SS</v>
      </c>
      <c r="N320">
        <v>0</v>
      </c>
      <c r="O320" t="str">
        <v>FA</v>
      </c>
      <c r="P320" t="str">
        <v>Fallow, idle or otherwise not irrigated</v>
      </c>
      <c r="Q320">
        <v>9.0248871063512634E-2</v>
      </c>
      <c r="R320" t="str">
        <v>4</v>
      </c>
      <c r="S320" t="str">
        <v>Not irrigated</v>
      </c>
      <c r="T320" t="str">
        <v xml:space="preserve"> </v>
      </c>
      <c r="U320">
        <v>0</v>
      </c>
      <c r="V320" t="str">
        <v>3</v>
      </c>
      <c r="W320">
        <v>0</v>
      </c>
      <c r="X320" t="str">
        <v xml:space="preserve"> </v>
      </c>
      <c r="Y320" t="str">
        <v>T26S</v>
      </c>
      <c r="Z320" t="str">
        <v>R22W</v>
      </c>
      <c r="AA320" t="str">
        <v>13</v>
      </c>
      <c r="AB320" t="str">
        <v>HI</v>
      </c>
      <c r="AC320" t="str">
        <v>Roosevelt Theodore Robb and May Belle Robb</v>
      </c>
      <c r="AD320" t="str">
        <v>0</v>
      </c>
      <c r="AE320">
        <v>0</v>
      </c>
      <c r="AF320">
        <v>0</v>
      </c>
      <c r="AG320">
        <v>0</v>
      </c>
      <c r="AH320">
        <v>0</v>
      </c>
      <c r="AI320">
        <v>110.048662891623</v>
      </c>
      <c r="AJ320">
        <v>365.22568437900219</v>
      </c>
      <c r="AK320">
        <v>0</v>
      </c>
    </row>
    <row r="321" spans="1:37" x14ac:dyDescent="0.25">
      <c r="A321">
        <v>14</v>
      </c>
      <c r="B321" t="str">
        <v>SS-00014</v>
      </c>
      <c r="C321" t="str">
        <v>SS</v>
      </c>
      <c r="D321">
        <v>0</v>
      </c>
      <c r="E321" t="str">
        <v>MM</v>
      </c>
      <c r="F321">
        <v>0</v>
      </c>
      <c r="G321">
        <v>45819</v>
      </c>
      <c r="H321">
        <v>0</v>
      </c>
      <c r="I321" t="str">
        <v>Arizona v California</v>
      </c>
      <c r="J321" t="str">
        <v>San Simon Creek</v>
      </c>
      <c r="K321" t="str">
        <v>SC</v>
      </c>
      <c r="L321" t="str">
        <v>San Simon</v>
      </c>
      <c r="M321" t="str">
        <v>SS</v>
      </c>
      <c r="N321">
        <v>0</v>
      </c>
      <c r="O321" t="str">
        <v>FA</v>
      </c>
      <c r="P321" t="str">
        <v>Fallow, idle or otherwise not irrigated</v>
      </c>
      <c r="Q321">
        <v>0.83197255227451494</v>
      </c>
      <c r="R321" t="str">
        <v>4</v>
      </c>
      <c r="S321" t="str">
        <v>Not irrigated</v>
      </c>
      <c r="T321" t="str">
        <v xml:space="preserve"> </v>
      </c>
      <c r="U321">
        <v>0</v>
      </c>
      <c r="V321" t="str">
        <v>3</v>
      </c>
      <c r="W321">
        <v>0</v>
      </c>
      <c r="X321" t="str">
        <v xml:space="preserve"> </v>
      </c>
      <c r="Y321" t="str">
        <v>T26S</v>
      </c>
      <c r="Z321" t="str">
        <v>R22W</v>
      </c>
      <c r="AA321" t="str">
        <v>13</v>
      </c>
      <c r="AB321" t="str">
        <v>HI</v>
      </c>
      <c r="AC321" t="str">
        <v>Roosevelt Theodore Robb and May Belle Robb</v>
      </c>
      <c r="AD321" t="str">
        <v>0</v>
      </c>
      <c r="AE321">
        <v>0</v>
      </c>
      <c r="AF321">
        <v>0</v>
      </c>
      <c r="AG321">
        <v>0</v>
      </c>
      <c r="AH321">
        <v>0</v>
      </c>
      <c r="AI321">
        <v>608.6169226722858</v>
      </c>
      <c r="AJ321">
        <v>3366.8869339669091</v>
      </c>
      <c r="AK321">
        <v>0</v>
      </c>
    </row>
    <row r="322" spans="1:37" x14ac:dyDescent="0.25">
      <c r="A322">
        <v>15</v>
      </c>
      <c r="B322" t="str">
        <v>SS-00015</v>
      </c>
      <c r="C322" t="str">
        <v>SS</v>
      </c>
      <c r="D322">
        <v>0</v>
      </c>
      <c r="E322" t="str">
        <v>MM</v>
      </c>
      <c r="F322">
        <v>0</v>
      </c>
      <c r="G322">
        <v>45819</v>
      </c>
      <c r="H322">
        <v>0</v>
      </c>
      <c r="I322" t="str">
        <v>Arizona v California</v>
      </c>
      <c r="J322" t="str">
        <v>San Simon Creek</v>
      </c>
      <c r="K322" t="str">
        <v>SC</v>
      </c>
      <c r="L322" t="str">
        <v>San Simon</v>
      </c>
      <c r="M322" t="str">
        <v>SS</v>
      </c>
      <c r="N322">
        <v>0</v>
      </c>
      <c r="O322" t="str">
        <v>FA</v>
      </c>
      <c r="P322" t="str">
        <v>Fallow, idle or otherwise not irrigated</v>
      </c>
      <c r="Q322">
        <v>22.195609663039651</v>
      </c>
      <c r="R322" t="str">
        <v>4</v>
      </c>
      <c r="S322" t="str">
        <v>Not irrigated</v>
      </c>
      <c r="T322" t="str">
        <v xml:space="preserve"> </v>
      </c>
      <c r="U322">
        <v>0</v>
      </c>
      <c r="V322" t="str">
        <v>3</v>
      </c>
      <c r="W322">
        <v>0</v>
      </c>
      <c r="X322" t="str">
        <v>SS-108</v>
      </c>
      <c r="Y322" t="str">
        <v>T26S</v>
      </c>
      <c r="Z322" t="str">
        <v>R22W</v>
      </c>
      <c r="AA322" t="str">
        <v>13</v>
      </c>
      <c r="AB322" t="str">
        <v>HI</v>
      </c>
      <c r="AC322" t="str">
        <v>Roosevelt Theodore Robb and May Belle Robb</v>
      </c>
      <c r="AD322" t="str">
        <v>1954</v>
      </c>
      <c r="AE322">
        <v>0</v>
      </c>
      <c r="AF322">
        <v>0</v>
      </c>
      <c r="AG322">
        <v>0</v>
      </c>
      <c r="AH322">
        <v>0</v>
      </c>
      <c r="AI322">
        <v>1285.375953250151</v>
      </c>
      <c r="AJ322">
        <v>89822.804804815416</v>
      </c>
      <c r="AK322">
        <v>0</v>
      </c>
    </row>
    <row r="323" spans="1:37" x14ac:dyDescent="0.25">
      <c r="A323">
        <v>16</v>
      </c>
      <c r="B323" t="str">
        <v>SS-00016</v>
      </c>
      <c r="C323" t="str">
        <v>SS</v>
      </c>
      <c r="D323">
        <v>0</v>
      </c>
      <c r="E323" t="str">
        <v>MM</v>
      </c>
      <c r="F323">
        <v>0</v>
      </c>
      <c r="G323">
        <v>45819</v>
      </c>
      <c r="H323">
        <v>0</v>
      </c>
      <c r="I323" t="str">
        <v>Arizona v California</v>
      </c>
      <c r="J323" t="str">
        <v>San Simon Creek</v>
      </c>
      <c r="K323" t="str">
        <v>SC</v>
      </c>
      <c r="L323" t="str">
        <v>San Simon</v>
      </c>
      <c r="M323" t="str">
        <v>SS</v>
      </c>
      <c r="N323">
        <v>0</v>
      </c>
      <c r="O323" t="str">
        <v>FA</v>
      </c>
      <c r="P323" t="str">
        <v>Fallow, idle or otherwise not irrigated</v>
      </c>
      <c r="Q323">
        <v>1.844329313838067</v>
      </c>
      <c r="R323" t="str">
        <v>4</v>
      </c>
      <c r="S323" t="str">
        <v>Not irrigated</v>
      </c>
      <c r="T323" t="str">
        <v xml:space="preserve"> </v>
      </c>
      <c r="U323">
        <v>0</v>
      </c>
      <c r="V323" t="str">
        <v>3</v>
      </c>
      <c r="W323">
        <v>0</v>
      </c>
      <c r="X323" t="str">
        <v>SS-108</v>
      </c>
      <c r="Y323" t="str">
        <v>T26S</v>
      </c>
      <c r="Z323" t="str">
        <v>R22W</v>
      </c>
      <c r="AA323" t="str">
        <v>13</v>
      </c>
      <c r="AB323" t="str">
        <v>HI</v>
      </c>
      <c r="AC323" t="str">
        <v>Roosevelt Theodore Robb and May Belle Robb</v>
      </c>
      <c r="AD323" t="str">
        <v>1954</v>
      </c>
      <c r="AE323">
        <v>0</v>
      </c>
      <c r="AF323">
        <v>0</v>
      </c>
      <c r="AG323">
        <v>0</v>
      </c>
      <c r="AH323">
        <v>0</v>
      </c>
      <c r="AI323">
        <v>394.83974051886918</v>
      </c>
      <c r="AJ323">
        <v>7463.765783759447</v>
      </c>
      <c r="AK323">
        <v>0</v>
      </c>
    </row>
    <row r="324" spans="1:37" x14ac:dyDescent="0.25">
      <c r="A324">
        <v>17</v>
      </c>
      <c r="B324" t="str">
        <v>SS-00017</v>
      </c>
      <c r="C324" t="str">
        <v>SS</v>
      </c>
      <c r="D324">
        <v>0</v>
      </c>
      <c r="E324" t="str">
        <v>MM</v>
      </c>
      <c r="F324">
        <v>0</v>
      </c>
      <c r="G324">
        <v>45819</v>
      </c>
      <c r="H324">
        <v>0</v>
      </c>
      <c r="I324" t="str">
        <v>Arizona v California</v>
      </c>
      <c r="J324" t="str">
        <v>San Simon Creek</v>
      </c>
      <c r="K324" t="str">
        <v>SC</v>
      </c>
      <c r="L324" t="str">
        <v>San Simon</v>
      </c>
      <c r="M324" t="str">
        <v>SS</v>
      </c>
      <c r="N324">
        <v>0</v>
      </c>
      <c r="O324" t="str">
        <v>FA</v>
      </c>
      <c r="P324" t="str">
        <v>Fallow, idle or otherwise not irrigated</v>
      </c>
      <c r="Q324">
        <v>3.5364988962758011</v>
      </c>
      <c r="R324" t="str">
        <v>4</v>
      </c>
      <c r="S324" t="str">
        <v>Not irrigated</v>
      </c>
      <c r="T324">
        <v>0</v>
      </c>
      <c r="U324">
        <v>0</v>
      </c>
      <c r="V324" t="str">
        <v>3</v>
      </c>
      <c r="W324">
        <v>0</v>
      </c>
      <c r="X324" t="str">
        <v xml:space="preserve"> </v>
      </c>
      <c r="Y324" t="str">
        <v>T26S</v>
      </c>
      <c r="Z324" t="str">
        <v>R21W</v>
      </c>
      <c r="AA324" t="str">
        <v>18</v>
      </c>
      <c r="AB324" t="str">
        <v>HI</v>
      </c>
      <c r="AC324" t="str">
        <v>Roosevelt Theodore Robb and May Belle Robb</v>
      </c>
      <c r="AD324" t="str">
        <v>1954</v>
      </c>
      <c r="AE324">
        <v>0</v>
      </c>
      <c r="AF324">
        <v>0</v>
      </c>
      <c r="AG324">
        <v>0</v>
      </c>
      <c r="AH324">
        <v>0</v>
      </c>
      <c r="AI324">
        <v>713.73786555235426</v>
      </c>
      <c r="AJ324">
        <v>14311.760518189059</v>
      </c>
      <c r="AK324">
        <v>0</v>
      </c>
    </row>
    <row r="325" spans="1:37" x14ac:dyDescent="0.25">
      <c r="A325">
        <v>18</v>
      </c>
      <c r="B325" t="str">
        <v>SS-00018</v>
      </c>
      <c r="C325" t="str">
        <v>SS</v>
      </c>
      <c r="D325">
        <v>0</v>
      </c>
      <c r="E325" t="str">
        <v>MM</v>
      </c>
      <c r="F325">
        <v>0</v>
      </c>
      <c r="G325">
        <v>45819</v>
      </c>
      <c r="H325">
        <v>0</v>
      </c>
      <c r="I325" t="str">
        <v>Arizona v California</v>
      </c>
      <c r="J325" t="str">
        <v>San Simon Creek</v>
      </c>
      <c r="K325" t="str">
        <v>SC</v>
      </c>
      <c r="L325" t="str">
        <v>San Simon</v>
      </c>
      <c r="M325" t="str">
        <v>SS</v>
      </c>
      <c r="N325">
        <v>0</v>
      </c>
      <c r="O325" t="str">
        <v>FA</v>
      </c>
      <c r="P325" t="str">
        <v>Fallow, idle or otherwise not irrigated</v>
      </c>
      <c r="Q325">
        <v>5.6817791826998114</v>
      </c>
      <c r="R325" t="str">
        <v>4</v>
      </c>
      <c r="S325" t="str">
        <v>Not irrigated</v>
      </c>
      <c r="T325">
        <v>0</v>
      </c>
      <c r="U325">
        <v>0</v>
      </c>
      <c r="V325" t="str">
        <v>3</v>
      </c>
      <c r="W325">
        <v>0</v>
      </c>
      <c r="X325" t="str">
        <v xml:space="preserve"> </v>
      </c>
      <c r="Y325" t="str">
        <v>T26S</v>
      </c>
      <c r="Z325" t="str">
        <v>R22W</v>
      </c>
      <c r="AA325" t="str">
        <v>13</v>
      </c>
      <c r="AB325" t="str">
        <v>HI</v>
      </c>
      <c r="AC325" t="str">
        <v>Roosevelt Theodore Robb and May Belle Robb</v>
      </c>
      <c r="AD325" t="str">
        <v>1954</v>
      </c>
      <c r="AE325">
        <v>0</v>
      </c>
      <c r="AF325">
        <v>0</v>
      </c>
      <c r="AG325">
        <v>0</v>
      </c>
      <c r="AH325">
        <v>0</v>
      </c>
      <c r="AI325">
        <v>842.39994858048112</v>
      </c>
      <c r="AJ325">
        <v>22993.43654982157</v>
      </c>
      <c r="AK325">
        <v>0</v>
      </c>
    </row>
    <row r="326" spans="1:37" x14ac:dyDescent="0.25">
      <c r="A326">
        <v>19</v>
      </c>
      <c r="B326" t="str">
        <v>SS-00019</v>
      </c>
      <c r="C326" t="str">
        <v>SS</v>
      </c>
      <c r="D326">
        <v>0</v>
      </c>
      <c r="E326" t="str">
        <v>MM</v>
      </c>
      <c r="F326">
        <v>0</v>
      </c>
      <c r="G326">
        <v>45819</v>
      </c>
      <c r="H326">
        <v>0</v>
      </c>
      <c r="I326" t="str">
        <v>Arizona v California</v>
      </c>
      <c r="J326" t="str">
        <v>San Simon Creek</v>
      </c>
      <c r="K326" t="str">
        <v>SC</v>
      </c>
      <c r="L326" t="str">
        <v>San Simon</v>
      </c>
      <c r="M326" t="str">
        <v>SS</v>
      </c>
      <c r="N326">
        <v>0</v>
      </c>
      <c r="O326" t="str">
        <v>FA</v>
      </c>
      <c r="P326" t="str">
        <v>Fallow, idle or otherwise not irrigated</v>
      </c>
      <c r="Q326">
        <v>0.44074036933291277</v>
      </c>
      <c r="R326" t="str">
        <v>4</v>
      </c>
      <c r="S326" t="str">
        <v>Not irrigated</v>
      </c>
      <c r="T326">
        <v>0</v>
      </c>
      <c r="U326">
        <v>0</v>
      </c>
      <c r="V326" t="str">
        <v>3</v>
      </c>
      <c r="W326">
        <v>0</v>
      </c>
      <c r="X326" t="str">
        <v xml:space="preserve"> </v>
      </c>
      <c r="Y326" t="str">
        <v>T26S</v>
      </c>
      <c r="Z326" t="str">
        <v>R22W</v>
      </c>
      <c r="AA326" t="str">
        <v>19</v>
      </c>
      <c r="AB326" t="str">
        <v>HI</v>
      </c>
      <c r="AC326" t="str">
        <v>Roosevelt Theodore Robb and May Belle Robb</v>
      </c>
      <c r="AD326" t="str">
        <v>1954</v>
      </c>
      <c r="AE326">
        <v>0</v>
      </c>
      <c r="AF326">
        <v>0</v>
      </c>
      <c r="AG326">
        <v>0</v>
      </c>
      <c r="AH326">
        <v>0</v>
      </c>
      <c r="AI326">
        <v>228.38411771024369</v>
      </c>
      <c r="AJ326">
        <v>1783.6201287192259</v>
      </c>
      <c r="AK326">
        <v>0</v>
      </c>
    </row>
    <row r="327" spans="1:37" x14ac:dyDescent="0.25">
      <c r="A327">
        <v>20</v>
      </c>
      <c r="B327" t="str">
        <v>SS-00020</v>
      </c>
      <c r="C327" t="str">
        <v>SS</v>
      </c>
      <c r="D327">
        <v>0</v>
      </c>
      <c r="E327" t="str">
        <v>MM</v>
      </c>
      <c r="F327">
        <v>0</v>
      </c>
      <c r="G327">
        <v>45819</v>
      </c>
      <c r="H327">
        <v>0</v>
      </c>
      <c r="I327" t="str">
        <v>Arizona v California</v>
      </c>
      <c r="J327" t="str">
        <v>San Simon Creek</v>
      </c>
      <c r="K327" t="str">
        <v>SC</v>
      </c>
      <c r="L327" t="str">
        <v>San Simon</v>
      </c>
      <c r="M327" t="str">
        <v>SS</v>
      </c>
      <c r="N327">
        <v>0</v>
      </c>
      <c r="O327" t="str">
        <v>FA</v>
      </c>
      <c r="P327" t="str">
        <v>Fallow, idle or otherwise not irrigated</v>
      </c>
      <c r="Q327">
        <v>2.1257265769387721</v>
      </c>
      <c r="R327" t="str">
        <v>4</v>
      </c>
      <c r="S327" t="str">
        <v>Not irrigated</v>
      </c>
      <c r="T327">
        <v>0</v>
      </c>
      <c r="U327">
        <v>0</v>
      </c>
      <c r="V327" t="str">
        <v>3</v>
      </c>
      <c r="W327">
        <v>0</v>
      </c>
      <c r="X327" t="str">
        <v xml:space="preserve"> </v>
      </c>
      <c r="Y327" t="str">
        <v>T26S</v>
      </c>
      <c r="Z327" t="str">
        <v>R22W</v>
      </c>
      <c r="AA327" t="str">
        <v>24</v>
      </c>
      <c r="AB327" t="str">
        <v>HI</v>
      </c>
      <c r="AC327" t="str">
        <v>Roosevelt Theodore Robb and May Belle Robb</v>
      </c>
      <c r="AD327" t="str">
        <v>1954</v>
      </c>
      <c r="AE327">
        <v>0</v>
      </c>
      <c r="AF327">
        <v>0</v>
      </c>
      <c r="AG327">
        <v>0</v>
      </c>
      <c r="AH327">
        <v>0</v>
      </c>
      <c r="AI327">
        <v>403.15271066688558</v>
      </c>
      <c r="AJ327">
        <v>8602.5446602952688</v>
      </c>
      <c r="AK327">
        <v>0</v>
      </c>
    </row>
    <row r="328" spans="1:37" x14ac:dyDescent="0.25">
      <c r="A328">
        <v>21</v>
      </c>
      <c r="B328" t="str">
        <v>SS-00021</v>
      </c>
      <c r="C328" t="str">
        <v>SS</v>
      </c>
      <c r="D328">
        <v>0</v>
      </c>
      <c r="E328" t="str">
        <v>MM</v>
      </c>
      <c r="F328">
        <v>0</v>
      </c>
      <c r="G328">
        <v>45819</v>
      </c>
      <c r="H328">
        <v>0</v>
      </c>
      <c r="I328" t="str">
        <v>Arizona v California</v>
      </c>
      <c r="J328" t="str">
        <v>San Simon Creek</v>
      </c>
      <c r="K328" t="str">
        <v>SC</v>
      </c>
      <c r="L328" t="str">
        <v>San Simon</v>
      </c>
      <c r="M328" t="str">
        <v>SS</v>
      </c>
      <c r="N328">
        <v>0</v>
      </c>
      <c r="O328" t="str">
        <v>RD</v>
      </c>
      <c r="P328" t="str">
        <v>Reservoir Dry</v>
      </c>
      <c r="Q328">
        <v>2.9315943703981509E-2</v>
      </c>
      <c r="R328">
        <v>0</v>
      </c>
      <c r="S328" t="str">
        <v>&lt;Null&gt;</v>
      </c>
      <c r="T328" t="str">
        <v>Swimming Pool, not filled with water</v>
      </c>
      <c r="U328">
        <v>0</v>
      </c>
      <c r="V328" t="str">
        <v>3</v>
      </c>
      <c r="W328">
        <v>0</v>
      </c>
      <c r="X328" t="str">
        <v xml:space="preserve"> </v>
      </c>
      <c r="Y328" t="str">
        <v>T26S</v>
      </c>
      <c r="Z328" t="str">
        <v>R22W</v>
      </c>
      <c r="AA328" t="str">
        <v>24</v>
      </c>
      <c r="AB328" t="str">
        <v>HI</v>
      </c>
      <c r="AC328" t="str">
        <v xml:space="preserve"> </v>
      </c>
      <c r="AD328" t="str">
        <v>0</v>
      </c>
      <c r="AE328">
        <v>0</v>
      </c>
      <c r="AF328">
        <v>0</v>
      </c>
      <c r="AG328">
        <v>0</v>
      </c>
      <c r="AH328">
        <v>0</v>
      </c>
      <c r="AI328">
        <v>44.096815449473212</v>
      </c>
      <c r="AJ328">
        <v>118.63788960825831</v>
      </c>
      <c r="AK328">
        <v>0</v>
      </c>
    </row>
    <row r="329" spans="1:37" x14ac:dyDescent="0.25">
      <c r="A329">
        <v>22</v>
      </c>
      <c r="B329" t="str">
        <v>SS-00022</v>
      </c>
      <c r="C329" t="str">
        <v>SS</v>
      </c>
      <c r="D329">
        <v>0</v>
      </c>
      <c r="E329" t="str">
        <v>MM</v>
      </c>
      <c r="F329">
        <v>0</v>
      </c>
      <c r="G329">
        <v>45819</v>
      </c>
      <c r="H329">
        <v>0</v>
      </c>
      <c r="I329" t="str">
        <v>Arizona v California</v>
      </c>
      <c r="J329" t="str">
        <v>San Simon Creek</v>
      </c>
      <c r="K329" t="str">
        <v>SC</v>
      </c>
      <c r="L329" t="str">
        <v>San Simon</v>
      </c>
      <c r="M329" t="str">
        <v>SS</v>
      </c>
      <c r="N329">
        <v>0</v>
      </c>
      <c r="O329" t="str">
        <v>FA</v>
      </c>
      <c r="P329" t="str">
        <v>Fallow, idle or otherwise not irrigated</v>
      </c>
      <c r="Q329">
        <v>3.032284683898792</v>
      </c>
      <c r="R329" t="str">
        <v>4</v>
      </c>
      <c r="S329" t="str">
        <v>Not irrigated</v>
      </c>
      <c r="T329">
        <v>0</v>
      </c>
      <c r="U329">
        <v>0</v>
      </c>
      <c r="V329" t="str">
        <v>3</v>
      </c>
      <c r="W329">
        <v>0</v>
      </c>
      <c r="X329" t="str">
        <v xml:space="preserve"> </v>
      </c>
      <c r="Y329" t="str">
        <v>T26S</v>
      </c>
      <c r="Z329" t="str">
        <v>R22W</v>
      </c>
      <c r="AA329" t="str">
        <v>24</v>
      </c>
      <c r="AB329" t="str">
        <v>HI</v>
      </c>
      <c r="AC329" t="str">
        <v>Roosevelt Theodore Robb and May Belle Robb</v>
      </c>
      <c r="AD329" t="str">
        <v>1954</v>
      </c>
      <c r="AE329">
        <v>0</v>
      </c>
      <c r="AF329">
        <v>0</v>
      </c>
      <c r="AG329">
        <v>0</v>
      </c>
      <c r="AH329">
        <v>0</v>
      </c>
      <c r="AI329">
        <v>486.40816825784981</v>
      </c>
      <c r="AJ329">
        <v>12271.26983261123</v>
      </c>
      <c r="AK329">
        <v>0</v>
      </c>
    </row>
    <row r="330" spans="1:37" x14ac:dyDescent="0.25">
      <c r="A330">
        <v>23</v>
      </c>
      <c r="B330" t="str">
        <v>SS-00023</v>
      </c>
      <c r="C330" t="str">
        <v>SS</v>
      </c>
      <c r="D330">
        <v>0</v>
      </c>
      <c r="E330" t="str">
        <v>MM</v>
      </c>
      <c r="F330">
        <v>0</v>
      </c>
      <c r="G330">
        <v>45819</v>
      </c>
      <c r="H330">
        <v>0</v>
      </c>
      <c r="I330" t="str">
        <v>Arizona v California</v>
      </c>
      <c r="J330" t="str">
        <v>San Simon Creek</v>
      </c>
      <c r="K330" t="str">
        <v>SC</v>
      </c>
      <c r="L330" t="str">
        <v>San Simon</v>
      </c>
      <c r="M330" t="str">
        <v>SS</v>
      </c>
      <c r="N330">
        <v>0</v>
      </c>
      <c r="O330" t="str">
        <v>FA</v>
      </c>
      <c r="P330" t="str">
        <v>Fallow, idle or otherwise not irrigated</v>
      </c>
      <c r="Q330">
        <v>7.3465962211325699</v>
      </c>
      <c r="R330" t="str">
        <v>4</v>
      </c>
      <c r="S330" t="str">
        <v>Not irrigated</v>
      </c>
      <c r="T330">
        <v>0</v>
      </c>
      <c r="U330">
        <v>0</v>
      </c>
      <c r="V330" t="str">
        <v>3</v>
      </c>
      <c r="W330">
        <v>0</v>
      </c>
      <c r="X330" t="str">
        <v xml:space="preserve"> </v>
      </c>
      <c r="Y330" t="str">
        <v>T26S</v>
      </c>
      <c r="Z330" t="str">
        <v>R22W</v>
      </c>
      <c r="AA330" t="str">
        <v>24</v>
      </c>
      <c r="AB330" t="str">
        <v>HI</v>
      </c>
      <c r="AC330" t="str">
        <v>Roosevelt Theodore Robb and May Belle Robb</v>
      </c>
      <c r="AD330" t="str">
        <v>1954</v>
      </c>
      <c r="AE330">
        <v>0</v>
      </c>
      <c r="AF330">
        <v>0</v>
      </c>
      <c r="AG330">
        <v>0</v>
      </c>
      <c r="AH330">
        <v>0</v>
      </c>
      <c r="AI330">
        <v>682.81316136425994</v>
      </c>
      <c r="AJ330">
        <v>29730.739023107079</v>
      </c>
      <c r="AK330">
        <v>0</v>
      </c>
    </row>
    <row r="331" spans="1:37" x14ac:dyDescent="0.25">
      <c r="A331">
        <v>24</v>
      </c>
      <c r="B331" t="str">
        <v>SS-00024</v>
      </c>
      <c r="C331" t="str">
        <v>SS</v>
      </c>
      <c r="D331">
        <v>0</v>
      </c>
      <c r="E331" t="str">
        <v>MM</v>
      </c>
      <c r="F331">
        <v>0</v>
      </c>
      <c r="G331">
        <v>45819</v>
      </c>
      <c r="H331">
        <v>0</v>
      </c>
      <c r="I331" t="str">
        <v>Arizona v California</v>
      </c>
      <c r="J331" t="str">
        <v>San Simon Creek</v>
      </c>
      <c r="K331" t="str">
        <v>SC</v>
      </c>
      <c r="L331" t="str">
        <v>San Simon</v>
      </c>
      <c r="M331" t="str">
        <v>SS</v>
      </c>
      <c r="N331">
        <v>0</v>
      </c>
      <c r="O331" t="str">
        <v>RW</v>
      </c>
      <c r="P331" t="str">
        <v>Reservoir Retaining water (note volume in remarks)</v>
      </c>
      <c r="Q331">
        <v>0.38382202520129932</v>
      </c>
      <c r="R331">
        <v>0</v>
      </c>
      <c r="S331" t="str">
        <v>&lt;Null&gt;</v>
      </c>
      <c r="T331" t="str">
        <v xml:space="preserve">100% Full </v>
      </c>
      <c r="U331">
        <v>0</v>
      </c>
      <c r="V331" t="str">
        <v>3</v>
      </c>
      <c r="W331">
        <v>0</v>
      </c>
      <c r="X331" t="str">
        <v xml:space="preserve"> </v>
      </c>
      <c r="Y331" t="str">
        <v>T26S</v>
      </c>
      <c r="Z331" t="str">
        <v>R22W</v>
      </c>
      <c r="AA331" t="str">
        <v>24</v>
      </c>
      <c r="AB331" t="str">
        <v>HI</v>
      </c>
      <c r="AC331" t="str">
        <v xml:space="preserve"> </v>
      </c>
      <c r="AD331" t="str">
        <v>0</v>
      </c>
      <c r="AE331">
        <v>0</v>
      </c>
      <c r="AF331">
        <v>0</v>
      </c>
      <c r="AG331">
        <v>0</v>
      </c>
      <c r="AH331">
        <v>0</v>
      </c>
      <c r="AI331">
        <v>148.6770704919571</v>
      </c>
      <c r="AJ331">
        <v>1553.278840853603</v>
      </c>
      <c r="AK331">
        <v>0</v>
      </c>
    </row>
    <row r="332" spans="1:37" x14ac:dyDescent="0.25">
      <c r="A332">
        <v>25</v>
      </c>
      <c r="B332" t="str">
        <v>SS-00025</v>
      </c>
      <c r="C332" t="str">
        <v>SS</v>
      </c>
      <c r="D332">
        <v>0</v>
      </c>
      <c r="E332" t="str">
        <v>MM</v>
      </c>
      <c r="F332">
        <v>0</v>
      </c>
      <c r="G332">
        <v>45819</v>
      </c>
      <c r="H332">
        <v>0</v>
      </c>
      <c r="I332" t="str">
        <v>Arizona v California</v>
      </c>
      <c r="J332" t="str">
        <v>San Simon Creek</v>
      </c>
      <c r="K332" t="str">
        <v>SC</v>
      </c>
      <c r="L332" t="str">
        <v>San Simon</v>
      </c>
      <c r="M332" t="str">
        <v>SS</v>
      </c>
      <c r="N332">
        <v>0</v>
      </c>
      <c r="O332" t="str">
        <v>FA</v>
      </c>
      <c r="P332" t="str">
        <v>Fallow, idle or otherwise not irrigated</v>
      </c>
      <c r="Q332">
        <v>0.73781320519534499</v>
      </c>
      <c r="R332" t="str">
        <v>4</v>
      </c>
      <c r="S332" t="str">
        <v>Not irrigated</v>
      </c>
      <c r="T332">
        <v>0</v>
      </c>
      <c r="U332">
        <v>0</v>
      </c>
      <c r="V332" t="str">
        <v>3</v>
      </c>
      <c r="W332">
        <v>0</v>
      </c>
      <c r="X332" t="str">
        <v xml:space="preserve"> </v>
      </c>
      <c r="Y332" t="str">
        <v>T26S</v>
      </c>
      <c r="Z332" t="str">
        <v>R22W</v>
      </c>
      <c r="AA332" t="str">
        <v>24</v>
      </c>
      <c r="AB332" t="str">
        <v>HI</v>
      </c>
      <c r="AC332" t="str">
        <v>Roosevelt Theodore Robb and May Belle Robb</v>
      </c>
      <c r="AD332" t="str">
        <v>1954</v>
      </c>
      <c r="AE332">
        <v>0</v>
      </c>
      <c r="AF332">
        <v>0</v>
      </c>
      <c r="AG332">
        <v>0</v>
      </c>
      <c r="AH332">
        <v>0</v>
      </c>
      <c r="AI332">
        <v>245.75291637039069</v>
      </c>
      <c r="AJ332">
        <v>2985.8360513085731</v>
      </c>
      <c r="AK332">
        <v>0</v>
      </c>
    </row>
    <row r="333" spans="1:37" x14ac:dyDescent="0.25">
      <c r="A333">
        <v>26</v>
      </c>
      <c r="B333" t="str">
        <v>SS-00026</v>
      </c>
      <c r="C333" t="str">
        <v>SS</v>
      </c>
      <c r="D333">
        <v>0</v>
      </c>
      <c r="E333" t="str">
        <v>MM</v>
      </c>
      <c r="F333">
        <v>0</v>
      </c>
      <c r="G333">
        <v>45819</v>
      </c>
      <c r="H333">
        <v>0</v>
      </c>
      <c r="I333" t="str">
        <v>Arizona v California</v>
      </c>
      <c r="J333" t="str">
        <v>San Simon Creek</v>
      </c>
      <c r="K333" t="str">
        <v>SC</v>
      </c>
      <c r="L333" t="str">
        <v>San Simon</v>
      </c>
      <c r="M333" t="str">
        <v>SS</v>
      </c>
      <c r="N333">
        <v>0</v>
      </c>
      <c r="O333" t="str">
        <v>FA</v>
      </c>
      <c r="P333" t="str">
        <v>Fallow, idle or otherwise not irrigated</v>
      </c>
      <c r="Q333">
        <v>0.63779236381644722</v>
      </c>
      <c r="R333" t="str">
        <v>4</v>
      </c>
      <c r="S333" t="str">
        <v>Not irrigated</v>
      </c>
      <c r="T333">
        <v>0</v>
      </c>
      <c r="U333">
        <v>0</v>
      </c>
      <c r="V333" t="str">
        <v>3</v>
      </c>
      <c r="W333">
        <v>0</v>
      </c>
      <c r="X333" t="str">
        <v xml:space="preserve"> </v>
      </c>
      <c r="Y333">
        <v>0</v>
      </c>
      <c r="Z333">
        <v>0</v>
      </c>
      <c r="AA333">
        <v>0</v>
      </c>
      <c r="AB333" t="str">
        <v>HI</v>
      </c>
      <c r="AC333" t="str">
        <v>Roosevelt Theodore Robb and May Belle Robb</v>
      </c>
      <c r="AD333" t="str">
        <v>1954</v>
      </c>
      <c r="AE333">
        <v>0</v>
      </c>
      <c r="AF333">
        <v>0</v>
      </c>
      <c r="AG333">
        <v>0</v>
      </c>
      <c r="AH333">
        <v>0</v>
      </c>
      <c r="AI333">
        <v>220.20228241750459</v>
      </c>
      <c r="AJ333">
        <v>2581.064447915734</v>
      </c>
      <c r="AK333">
        <v>0</v>
      </c>
    </row>
    <row r="334" spans="1:37" x14ac:dyDescent="0.25">
      <c r="A334">
        <v>30</v>
      </c>
      <c r="B334" t="str">
        <v>SS-00030</v>
      </c>
      <c r="C334" t="str">
        <v>SS</v>
      </c>
      <c r="D334">
        <v>0</v>
      </c>
      <c r="E334" t="str">
        <v>MM</v>
      </c>
      <c r="F334">
        <v>0</v>
      </c>
      <c r="G334">
        <v>45819</v>
      </c>
      <c r="H334">
        <v>0</v>
      </c>
      <c r="I334" t="str">
        <v>Arizona v California</v>
      </c>
      <c r="J334" t="str">
        <v>San Simon Creek</v>
      </c>
      <c r="K334" t="str">
        <v>SC</v>
      </c>
      <c r="L334" t="str">
        <v>San Simon</v>
      </c>
      <c r="M334" t="str">
        <v>SS</v>
      </c>
      <c r="N334">
        <v>0</v>
      </c>
      <c r="O334" t="str">
        <v>SSG</v>
      </c>
      <c r="P334" t="str">
        <v>Spring Small Grains</v>
      </c>
      <c r="Q334">
        <v>52.409159560495198</v>
      </c>
      <c r="R334" t="str">
        <v>2</v>
      </c>
      <c r="S334" t="str">
        <v>Sprinkler irrigated</v>
      </c>
      <c r="T334" t="str">
        <v>Early season grain</v>
      </c>
      <c r="U334">
        <v>0</v>
      </c>
      <c r="V334" t="str">
        <v>4A</v>
      </c>
      <c r="W334">
        <v>0</v>
      </c>
      <c r="X334" t="str">
        <v xml:space="preserve"> </v>
      </c>
      <c r="Y334">
        <v>0</v>
      </c>
      <c r="Z334">
        <v>0</v>
      </c>
      <c r="AA334">
        <v>0</v>
      </c>
      <c r="AB334" t="str">
        <v>HI</v>
      </c>
      <c r="AC334" t="str">
        <v xml:space="preserve"> </v>
      </c>
      <c r="AD334" t="str">
        <v>0</v>
      </c>
      <c r="AE334">
        <v>0</v>
      </c>
      <c r="AF334">
        <v>0</v>
      </c>
      <c r="AG334">
        <v>0</v>
      </c>
      <c r="AH334">
        <v>0</v>
      </c>
      <c r="AI334">
        <v>1632.577507432379</v>
      </c>
      <c r="AJ334">
        <v>212093.1923318973</v>
      </c>
      <c r="AK334">
        <v>0</v>
      </c>
    </row>
    <row r="335" spans="1:37" x14ac:dyDescent="0.25">
      <c r="A335">
        <v>31</v>
      </c>
      <c r="B335" t="str">
        <v>SS-00032</v>
      </c>
      <c r="C335" t="str">
        <v>SS</v>
      </c>
      <c r="D335">
        <v>0</v>
      </c>
      <c r="E335" t="str">
        <v>MM</v>
      </c>
      <c r="F335">
        <v>0</v>
      </c>
      <c r="G335">
        <v>45819</v>
      </c>
      <c r="H335">
        <v>0</v>
      </c>
      <c r="I335" t="str">
        <v>Arizona v California</v>
      </c>
      <c r="J335" t="str">
        <v>San Simon Creek</v>
      </c>
      <c r="K335" t="str">
        <v>SC</v>
      </c>
      <c r="L335" t="str">
        <v>San Simon</v>
      </c>
      <c r="M335" t="str">
        <v>SS</v>
      </c>
      <c r="N335">
        <v>0</v>
      </c>
      <c r="O335" t="str">
        <v>FA</v>
      </c>
      <c r="P335" t="str">
        <v>Fallow, idle or otherwise not irrigated</v>
      </c>
      <c r="Q335">
        <v>32.01019617079006</v>
      </c>
      <c r="R335" t="str">
        <v>4</v>
      </c>
      <c r="S335" t="str">
        <v>Not irrigated</v>
      </c>
      <c r="T335" t="str">
        <v xml:space="preserve"> </v>
      </c>
      <c r="U335">
        <v>0</v>
      </c>
      <c r="V335" t="str">
        <v>4A</v>
      </c>
      <c r="W335">
        <v>0</v>
      </c>
      <c r="X335" t="str">
        <v xml:space="preserve"> </v>
      </c>
      <c r="Y335">
        <v>0</v>
      </c>
      <c r="Z335">
        <v>0</v>
      </c>
      <c r="AA335">
        <v>0</v>
      </c>
      <c r="AB335" t="str">
        <v>HI</v>
      </c>
      <c r="AC335" t="str">
        <v xml:space="preserve"> </v>
      </c>
      <c r="AD335" t="str">
        <v>0</v>
      </c>
      <c r="AE335">
        <v>0</v>
      </c>
      <c r="AF335">
        <v>0</v>
      </c>
      <c r="AG335">
        <v>0</v>
      </c>
      <c r="AH335">
        <v>0</v>
      </c>
      <c r="AI335">
        <v>1649.3858115128569</v>
      </c>
      <c r="AJ335">
        <v>129541.186120272</v>
      </c>
      <c r="AK335">
        <v>0</v>
      </c>
    </row>
    <row r="336" spans="1:37" x14ac:dyDescent="0.25">
      <c r="A336">
        <v>32</v>
      </c>
      <c r="B336" t="str">
        <v>SS-00033</v>
      </c>
      <c r="C336" t="str">
        <v>SS</v>
      </c>
      <c r="D336">
        <v>0</v>
      </c>
      <c r="E336" t="str">
        <v>MM</v>
      </c>
      <c r="F336">
        <v>0</v>
      </c>
      <c r="G336">
        <v>45819</v>
      </c>
      <c r="H336">
        <v>0</v>
      </c>
      <c r="I336" t="str">
        <v>Arizona v California</v>
      </c>
      <c r="J336" t="str">
        <v>San Simon Creek</v>
      </c>
      <c r="K336" t="str">
        <v>SC</v>
      </c>
      <c r="L336" t="str">
        <v>San Simon</v>
      </c>
      <c r="M336" t="str">
        <v>SS</v>
      </c>
      <c r="N336">
        <v>0</v>
      </c>
      <c r="O336" t="str">
        <v>FA</v>
      </c>
      <c r="P336" t="str">
        <v>Fallow, idle or otherwise not irrigated</v>
      </c>
      <c r="Q336">
        <v>30.957418425556931</v>
      </c>
      <c r="R336" t="str">
        <v>4</v>
      </c>
      <c r="S336" t="str">
        <v>Not irrigated</v>
      </c>
      <c r="T336" t="str">
        <v xml:space="preserve"> </v>
      </c>
      <c r="U336">
        <v>0</v>
      </c>
      <c r="V336" t="str">
        <v>4A</v>
      </c>
      <c r="W336">
        <v>0</v>
      </c>
      <c r="X336" t="str">
        <v xml:space="preserve"> </v>
      </c>
      <c r="Y336">
        <v>0</v>
      </c>
      <c r="Z336">
        <v>0</v>
      </c>
      <c r="AA336">
        <v>0</v>
      </c>
      <c r="AB336" t="str">
        <v>HI</v>
      </c>
      <c r="AC336" t="str">
        <v xml:space="preserve"> </v>
      </c>
      <c r="AD336" t="str">
        <v>0</v>
      </c>
      <c r="AE336">
        <v>0</v>
      </c>
      <c r="AF336">
        <v>0</v>
      </c>
      <c r="AG336">
        <v>0</v>
      </c>
      <c r="AH336">
        <v>0</v>
      </c>
      <c r="AI336">
        <v>1463.70545350712</v>
      </c>
      <c r="AJ336">
        <v>125280.72869880281</v>
      </c>
      <c r="AK336">
        <v>0</v>
      </c>
    </row>
    <row r="337" spans="1:37" x14ac:dyDescent="0.25">
      <c r="A337">
        <v>33</v>
      </c>
      <c r="B337" t="str">
        <v>SS-00034</v>
      </c>
      <c r="C337" t="str">
        <v>SS</v>
      </c>
      <c r="D337">
        <v>0</v>
      </c>
      <c r="E337" t="str">
        <v>MM</v>
      </c>
      <c r="F337">
        <v>0</v>
      </c>
      <c r="G337">
        <v>45819</v>
      </c>
      <c r="H337">
        <v>0</v>
      </c>
      <c r="I337" t="str">
        <v>Arizona v California</v>
      </c>
      <c r="J337" t="str">
        <v>San Simon Creek</v>
      </c>
      <c r="K337" t="str">
        <v>SC</v>
      </c>
      <c r="L337" t="str">
        <v>San Simon</v>
      </c>
      <c r="M337" t="str">
        <v>SS</v>
      </c>
      <c r="N337">
        <v>0</v>
      </c>
      <c r="O337" t="str">
        <v>FA</v>
      </c>
      <c r="P337" t="str">
        <v>Fallow, idle or otherwise not irrigated</v>
      </c>
      <c r="Q337">
        <v>13.99245213864652</v>
      </c>
      <c r="R337" t="str">
        <v>4</v>
      </c>
      <c r="S337" t="str">
        <v>Not irrigated</v>
      </c>
      <c r="T337" t="str">
        <v xml:space="preserve"> </v>
      </c>
      <c r="U337">
        <v>0</v>
      </c>
      <c r="V337" t="str">
        <v>4A</v>
      </c>
      <c r="W337">
        <v>0</v>
      </c>
      <c r="X337" t="str">
        <v xml:space="preserve"> </v>
      </c>
      <c r="Y337">
        <v>0</v>
      </c>
      <c r="Z337">
        <v>0</v>
      </c>
      <c r="AA337">
        <v>0</v>
      </c>
      <c r="AB337" t="str">
        <v>HI</v>
      </c>
      <c r="AC337" t="str">
        <v xml:space="preserve"> </v>
      </c>
      <c r="AD337" t="str">
        <v>0</v>
      </c>
      <c r="AE337">
        <v>0</v>
      </c>
      <c r="AF337">
        <v>0</v>
      </c>
      <c r="AG337">
        <v>0</v>
      </c>
      <c r="AH337">
        <v>0</v>
      </c>
      <c r="AI337">
        <v>961.90610594290331</v>
      </c>
      <c r="AJ337">
        <v>56625.671304864998</v>
      </c>
      <c r="AK337">
        <v>0</v>
      </c>
    </row>
    <row r="338" spans="1:37" x14ac:dyDescent="0.25">
      <c r="A338">
        <v>34</v>
      </c>
      <c r="B338" t="str">
        <v>SS-00035</v>
      </c>
      <c r="C338" t="str">
        <v>SS</v>
      </c>
      <c r="D338">
        <v>0</v>
      </c>
      <c r="E338" t="str">
        <v>MM</v>
      </c>
      <c r="F338">
        <v>0</v>
      </c>
      <c r="G338">
        <v>45819</v>
      </c>
      <c r="H338">
        <v>0</v>
      </c>
      <c r="I338" t="str">
        <v>Arizona v California</v>
      </c>
      <c r="J338" t="str">
        <v>San Simon Creek</v>
      </c>
      <c r="K338" t="str">
        <v>SC</v>
      </c>
      <c r="L338" t="str">
        <v>San Simon</v>
      </c>
      <c r="M338" t="str">
        <v>SS</v>
      </c>
      <c r="N338">
        <v>0</v>
      </c>
      <c r="O338" t="str">
        <v>FA</v>
      </c>
      <c r="P338" t="str">
        <v>Fallow, idle or otherwise not irrigated</v>
      </c>
      <c r="Q338">
        <v>9.9720880552151083</v>
      </c>
      <c r="R338" t="str">
        <v>4</v>
      </c>
      <c r="S338" t="str">
        <v>Not irrigated</v>
      </c>
      <c r="T338" t="str">
        <v xml:space="preserve"> </v>
      </c>
      <c r="U338">
        <v>0</v>
      </c>
      <c r="V338" t="str">
        <v>4A</v>
      </c>
      <c r="W338">
        <v>0</v>
      </c>
      <c r="X338" t="str">
        <v xml:space="preserve"> </v>
      </c>
      <c r="Y338">
        <v>0</v>
      </c>
      <c r="Z338">
        <v>0</v>
      </c>
      <c r="AA338">
        <v>0</v>
      </c>
      <c r="AB338" t="str">
        <v>HI</v>
      </c>
      <c r="AC338" t="str">
        <v xml:space="preserve"> </v>
      </c>
      <c r="AD338" t="str">
        <v>0</v>
      </c>
      <c r="AE338">
        <v>0</v>
      </c>
      <c r="AF338">
        <v>0</v>
      </c>
      <c r="AG338">
        <v>0</v>
      </c>
      <c r="AH338">
        <v>0</v>
      </c>
      <c r="AI338">
        <v>876.8967105880904</v>
      </c>
      <c r="AJ338">
        <v>40355.770013904221</v>
      </c>
      <c r="AK338">
        <v>0</v>
      </c>
    </row>
    <row r="339" spans="1:37" x14ac:dyDescent="0.25">
      <c r="A339">
        <v>35</v>
      </c>
      <c r="B339" t="str">
        <v>SS-00036</v>
      </c>
      <c r="C339" t="str">
        <v>SS</v>
      </c>
      <c r="D339">
        <v>0</v>
      </c>
      <c r="E339" t="str">
        <v>MM</v>
      </c>
      <c r="F339">
        <v>0</v>
      </c>
      <c r="G339">
        <v>45819</v>
      </c>
      <c r="H339">
        <v>0</v>
      </c>
      <c r="I339" t="str">
        <v>Arizona v California</v>
      </c>
      <c r="J339" t="str">
        <v>San Simon Creek</v>
      </c>
      <c r="K339" t="str">
        <v>SC</v>
      </c>
      <c r="L339" t="str">
        <v>San Simon</v>
      </c>
      <c r="M339" t="str">
        <v>SS</v>
      </c>
      <c r="N339">
        <v>0</v>
      </c>
      <c r="O339" t="str">
        <v>FA</v>
      </c>
      <c r="P339" t="str">
        <v>Fallow, idle or otherwise not irrigated</v>
      </c>
      <c r="Q339">
        <v>89.115456764151801</v>
      </c>
      <c r="R339" t="str">
        <v>4</v>
      </c>
      <c r="S339" t="str">
        <v>Not irrigated</v>
      </c>
      <c r="T339" t="str">
        <v xml:space="preserve"> </v>
      </c>
      <c r="U339">
        <v>0</v>
      </c>
      <c r="V339" t="str">
        <v>4A</v>
      </c>
      <c r="W339">
        <v>0</v>
      </c>
      <c r="X339" t="str">
        <v xml:space="preserve"> </v>
      </c>
      <c r="Y339">
        <v>0</v>
      </c>
      <c r="Z339">
        <v>0</v>
      </c>
      <c r="AA339">
        <v>0</v>
      </c>
      <c r="AB339" t="str">
        <v>HI</v>
      </c>
      <c r="AC339" t="str">
        <v xml:space="preserve"> </v>
      </c>
      <c r="AD339" t="str">
        <v>0</v>
      </c>
      <c r="AE339">
        <v>0</v>
      </c>
      <c r="AF339">
        <v>0</v>
      </c>
      <c r="AG339">
        <v>0</v>
      </c>
      <c r="AH339">
        <v>0</v>
      </c>
      <c r="AI339">
        <v>2667.3894167450512</v>
      </c>
      <c r="AJ339">
        <v>360638.90109527903</v>
      </c>
      <c r="AK339">
        <v>0</v>
      </c>
    </row>
    <row r="340" spans="1:37" x14ac:dyDescent="0.25">
      <c r="A340">
        <v>36</v>
      </c>
      <c r="B340" t="str">
        <v>SS-00037</v>
      </c>
      <c r="C340" t="str">
        <v>SS</v>
      </c>
      <c r="D340">
        <v>0</v>
      </c>
      <c r="E340" t="str">
        <v>MM</v>
      </c>
      <c r="F340">
        <v>0</v>
      </c>
      <c r="G340">
        <v>45819</v>
      </c>
      <c r="H340">
        <v>0</v>
      </c>
      <c r="I340" t="str">
        <v>Arizona v California</v>
      </c>
      <c r="J340" t="str">
        <v>San Simon Creek</v>
      </c>
      <c r="K340" t="str">
        <v>SC</v>
      </c>
      <c r="L340" t="str">
        <v>San Simon</v>
      </c>
      <c r="M340" t="str">
        <v>SS</v>
      </c>
      <c r="N340">
        <v>0</v>
      </c>
      <c r="O340" t="str">
        <v>FA</v>
      </c>
      <c r="P340" t="str">
        <v>Fallow, idle or otherwise not irrigated</v>
      </c>
      <c r="Q340">
        <v>20.732667445773409</v>
      </c>
      <c r="R340" t="str">
        <v>4</v>
      </c>
      <c r="S340" t="str">
        <v>Not irrigated</v>
      </c>
      <c r="T340" t="str">
        <v xml:space="preserve"> </v>
      </c>
      <c r="U340">
        <v>0</v>
      </c>
      <c r="V340" t="str">
        <v>4</v>
      </c>
      <c r="W340">
        <v>0</v>
      </c>
      <c r="X340" t="str">
        <v>SS-23,24</v>
      </c>
      <c r="Y340">
        <v>0</v>
      </c>
      <c r="Z340">
        <v>0</v>
      </c>
      <c r="AA340">
        <v>0</v>
      </c>
      <c r="AB340" t="str">
        <v>HI</v>
      </c>
      <c r="AC340" t="str">
        <v>E.J. Bagwell and Charlotte Bagwell</v>
      </c>
      <c r="AD340" t="str">
        <v>1945</v>
      </c>
      <c r="AE340">
        <v>0</v>
      </c>
      <c r="AF340">
        <v>0</v>
      </c>
      <c r="AG340">
        <v>0</v>
      </c>
      <c r="AH340">
        <v>0</v>
      </c>
      <c r="AI340">
        <v>1397.8363528496909</v>
      </c>
      <c r="AJ340">
        <v>83902.464015931953</v>
      </c>
      <c r="AK340">
        <v>0</v>
      </c>
    </row>
    <row r="341" spans="1:37" x14ac:dyDescent="0.25">
      <c r="A341">
        <v>37</v>
      </c>
      <c r="B341" t="str">
        <v>SS-00038</v>
      </c>
      <c r="C341" t="str">
        <v>SS</v>
      </c>
      <c r="D341">
        <v>0</v>
      </c>
      <c r="E341" t="str">
        <v>MM</v>
      </c>
      <c r="F341">
        <v>0</v>
      </c>
      <c r="G341">
        <v>45819</v>
      </c>
      <c r="H341">
        <v>0</v>
      </c>
      <c r="I341" t="str">
        <v>Arizona v California</v>
      </c>
      <c r="J341" t="str">
        <v>San Simon Creek</v>
      </c>
      <c r="K341" t="str">
        <v>SC</v>
      </c>
      <c r="L341" t="str">
        <v>San Simon</v>
      </c>
      <c r="M341" t="str">
        <v>SS</v>
      </c>
      <c r="N341">
        <v>0</v>
      </c>
      <c r="O341" t="str">
        <v>FA</v>
      </c>
      <c r="P341" t="str">
        <v>Fallow, idle or otherwise not irrigated</v>
      </c>
      <c r="Q341">
        <v>17.465261329572819</v>
      </c>
      <c r="R341" t="str">
        <v>4</v>
      </c>
      <c r="S341" t="str">
        <v>Not irrigated</v>
      </c>
      <c r="T341" t="str">
        <v xml:space="preserve"> </v>
      </c>
      <c r="U341">
        <v>0</v>
      </c>
      <c r="V341" t="str">
        <v>4</v>
      </c>
      <c r="W341">
        <v>0</v>
      </c>
      <c r="X341" t="str">
        <v>SS-23,24</v>
      </c>
      <c r="Y341">
        <v>0</v>
      </c>
      <c r="Z341">
        <v>0</v>
      </c>
      <c r="AA341">
        <v>0</v>
      </c>
      <c r="AB341" t="str">
        <v>HI</v>
      </c>
      <c r="AC341" t="str">
        <v>E.J. Bagwell and Charlotte Bagwell</v>
      </c>
      <c r="AD341" t="str">
        <v>1945</v>
      </c>
      <c r="AE341">
        <v>0</v>
      </c>
      <c r="AF341">
        <v>0</v>
      </c>
      <c r="AG341">
        <v>0</v>
      </c>
      <c r="AH341">
        <v>0</v>
      </c>
      <c r="AI341">
        <v>1384.0076190587961</v>
      </c>
      <c r="AJ341">
        <v>70679.68769894421</v>
      </c>
      <c r="AK341">
        <v>0</v>
      </c>
    </row>
    <row r="342" spans="1:37" x14ac:dyDescent="0.25">
      <c r="A342">
        <v>38</v>
      </c>
      <c r="B342" t="str">
        <v>SS-00039</v>
      </c>
      <c r="C342" t="str">
        <v>SS</v>
      </c>
      <c r="D342">
        <v>0</v>
      </c>
      <c r="E342" t="str">
        <v>MM</v>
      </c>
      <c r="F342">
        <v>0</v>
      </c>
      <c r="G342">
        <v>45819</v>
      </c>
      <c r="H342">
        <v>0</v>
      </c>
      <c r="I342" t="str">
        <v>Arizona v California</v>
      </c>
      <c r="J342" t="str">
        <v>San Simon Creek</v>
      </c>
      <c r="K342" t="str">
        <v>SC</v>
      </c>
      <c r="L342" t="str">
        <v>San Simon</v>
      </c>
      <c r="M342" t="str">
        <v>SS</v>
      </c>
      <c r="N342">
        <v>0</v>
      </c>
      <c r="O342" t="str">
        <v>FA</v>
      </c>
      <c r="P342" t="str">
        <v>Fallow, idle or otherwise not irrigated</v>
      </c>
      <c r="Q342">
        <v>7.8160873430610964</v>
      </c>
      <c r="R342" t="str">
        <v>4</v>
      </c>
      <c r="S342" t="str">
        <v>Not irrigated</v>
      </c>
      <c r="T342" t="str">
        <v xml:space="preserve"> </v>
      </c>
      <c r="U342">
        <v>0</v>
      </c>
      <c r="V342" t="str">
        <v>4</v>
      </c>
      <c r="W342">
        <v>0</v>
      </c>
      <c r="X342" t="str">
        <v>SS-23,24</v>
      </c>
      <c r="Y342">
        <v>0</v>
      </c>
      <c r="Z342">
        <v>0</v>
      </c>
      <c r="AA342">
        <v>0</v>
      </c>
      <c r="AB342" t="str">
        <v>HI</v>
      </c>
      <c r="AC342" t="str">
        <v>E.J. Bagwell and Charlotte Bagwell</v>
      </c>
      <c r="AD342" t="str">
        <v>1945</v>
      </c>
      <c r="AE342">
        <v>0</v>
      </c>
      <c r="AF342">
        <v>0</v>
      </c>
      <c r="AG342">
        <v>0</v>
      </c>
      <c r="AH342">
        <v>0</v>
      </c>
      <c r="AI342">
        <v>1187.186514051142</v>
      </c>
      <c r="AJ342">
        <v>31630.709785018771</v>
      </c>
      <c r="AK342">
        <v>0</v>
      </c>
    </row>
    <row r="343" spans="1:37" x14ac:dyDescent="0.25">
      <c r="A343">
        <v>39</v>
      </c>
      <c r="B343" t="str">
        <v>SS-00040</v>
      </c>
      <c r="C343" t="str">
        <v>SS</v>
      </c>
      <c r="D343">
        <v>0</v>
      </c>
      <c r="E343" t="str">
        <v>MM</v>
      </c>
      <c r="F343">
        <v>0</v>
      </c>
      <c r="G343">
        <v>45819</v>
      </c>
      <c r="H343">
        <v>0</v>
      </c>
      <c r="I343" t="str">
        <v>Arizona v California</v>
      </c>
      <c r="J343" t="str">
        <v>San Simon Creek</v>
      </c>
      <c r="K343" t="str">
        <v>SC</v>
      </c>
      <c r="L343" t="str">
        <v>San Simon</v>
      </c>
      <c r="M343" t="str">
        <v>SS</v>
      </c>
      <c r="N343">
        <v>0</v>
      </c>
      <c r="O343" t="str">
        <v>FA</v>
      </c>
      <c r="P343" t="str">
        <v>Fallow, idle or otherwise not irrigated</v>
      </c>
      <c r="Q343">
        <v>24.044314215993069</v>
      </c>
      <c r="R343" t="str">
        <v>4</v>
      </c>
      <c r="S343" t="str">
        <v>Not irrigated</v>
      </c>
      <c r="T343" t="str">
        <v xml:space="preserve"> </v>
      </c>
      <c r="U343">
        <v>0</v>
      </c>
      <c r="V343" t="str">
        <v>4</v>
      </c>
      <c r="W343">
        <v>0</v>
      </c>
      <c r="X343" t="str">
        <v>SS-23,24</v>
      </c>
      <c r="Y343">
        <v>0</v>
      </c>
      <c r="Z343">
        <v>0</v>
      </c>
      <c r="AA343">
        <v>0</v>
      </c>
      <c r="AB343" t="str">
        <v>HI</v>
      </c>
      <c r="AC343" t="str">
        <v>E.J. Bagwell and Charlotte Bagwell</v>
      </c>
      <c r="AD343" t="str">
        <v>1945</v>
      </c>
      <c r="AE343">
        <v>0</v>
      </c>
      <c r="AF343">
        <v>0</v>
      </c>
      <c r="AG343">
        <v>0</v>
      </c>
      <c r="AH343">
        <v>0</v>
      </c>
      <c r="AI343">
        <v>1487.5094451218681</v>
      </c>
      <c r="AJ343">
        <v>97304.276623912461</v>
      </c>
      <c r="AK343">
        <v>0</v>
      </c>
    </row>
    <row r="344" spans="1:37" x14ac:dyDescent="0.25">
      <c r="A344">
        <v>40</v>
      </c>
      <c r="B344" t="str">
        <v>SS-00041</v>
      </c>
      <c r="C344" t="str">
        <v>SS</v>
      </c>
      <c r="D344">
        <v>0</v>
      </c>
      <c r="E344" t="str">
        <v>MM</v>
      </c>
      <c r="F344">
        <v>0</v>
      </c>
      <c r="G344">
        <v>45819</v>
      </c>
      <c r="H344">
        <v>0</v>
      </c>
      <c r="I344" t="str">
        <v>Arizona v California</v>
      </c>
      <c r="J344" t="str">
        <v>San Simon Creek</v>
      </c>
      <c r="K344" t="str">
        <v>SC</v>
      </c>
      <c r="L344" t="str">
        <v>San Simon</v>
      </c>
      <c r="M344" t="str">
        <v>SS</v>
      </c>
      <c r="N344">
        <v>0</v>
      </c>
      <c r="O344" t="str">
        <v>FA</v>
      </c>
      <c r="P344" t="str">
        <v>Fallow, idle or otherwise not irrigated</v>
      </c>
      <c r="Q344">
        <v>0.20757823591550781</v>
      </c>
      <c r="R344" t="str">
        <v>4</v>
      </c>
      <c r="S344" t="str">
        <v>Not irrigated</v>
      </c>
      <c r="T344" t="str">
        <v xml:space="preserve"> </v>
      </c>
      <c r="U344">
        <v>0</v>
      </c>
      <c r="V344" t="str">
        <v>4</v>
      </c>
      <c r="W344">
        <v>0</v>
      </c>
      <c r="X344" t="str">
        <v>SS-23,24</v>
      </c>
      <c r="Y344">
        <v>0</v>
      </c>
      <c r="Z344">
        <v>0</v>
      </c>
      <c r="AA344">
        <v>0</v>
      </c>
      <c r="AB344" t="str">
        <v>HI</v>
      </c>
      <c r="AC344" t="str">
        <v>E.J. Bagwell and Charlotte Bagwell</v>
      </c>
      <c r="AD344" t="str">
        <v>1945</v>
      </c>
      <c r="AE344">
        <v>0</v>
      </c>
      <c r="AF344">
        <v>0</v>
      </c>
      <c r="AG344">
        <v>0</v>
      </c>
      <c r="AH344">
        <v>0</v>
      </c>
      <c r="AI344">
        <v>131.76866499520511</v>
      </c>
      <c r="AJ344">
        <v>840.042677332484</v>
      </c>
      <c r="AK344">
        <v>0</v>
      </c>
    </row>
    <row r="345" spans="1:37" x14ac:dyDescent="0.25">
      <c r="A345">
        <v>41</v>
      </c>
      <c r="B345" t="str">
        <v>SS-00042</v>
      </c>
      <c r="C345" t="str">
        <v>SS</v>
      </c>
      <c r="D345">
        <v>0</v>
      </c>
      <c r="E345" t="str">
        <v>MM</v>
      </c>
      <c r="F345">
        <v>0</v>
      </c>
      <c r="G345">
        <v>45819</v>
      </c>
      <c r="H345">
        <v>0</v>
      </c>
      <c r="I345" t="str">
        <v>Arizona v California</v>
      </c>
      <c r="J345" t="str">
        <v>San Simon Creek</v>
      </c>
      <c r="K345" t="str">
        <v>SC</v>
      </c>
      <c r="L345" t="str">
        <v>San Simon</v>
      </c>
      <c r="M345" t="str">
        <v>SS</v>
      </c>
      <c r="N345">
        <v>0</v>
      </c>
      <c r="O345" t="str">
        <v>FA</v>
      </c>
      <c r="P345" t="str">
        <v>Fallow, idle or otherwise not irrigated</v>
      </c>
      <c r="Q345">
        <v>1.79120208407229</v>
      </c>
      <c r="R345" t="str">
        <v>4</v>
      </c>
      <c r="S345" t="str">
        <v>Not irrigated</v>
      </c>
      <c r="T345" t="str">
        <v xml:space="preserve"> </v>
      </c>
      <c r="U345">
        <v>0</v>
      </c>
      <c r="V345" t="str">
        <v>4</v>
      </c>
      <c r="W345">
        <v>0</v>
      </c>
      <c r="X345" t="str">
        <v>SS-23,24</v>
      </c>
      <c r="Y345">
        <v>0</v>
      </c>
      <c r="Z345">
        <v>0</v>
      </c>
      <c r="AA345">
        <v>0</v>
      </c>
      <c r="AB345" t="str">
        <v>HI</v>
      </c>
      <c r="AC345" t="str">
        <v>E.J. Bagwell and Charlotte Bagwell</v>
      </c>
      <c r="AD345" t="str">
        <v>1945</v>
      </c>
      <c r="AE345">
        <v>0</v>
      </c>
      <c r="AF345">
        <v>0</v>
      </c>
      <c r="AG345">
        <v>0</v>
      </c>
      <c r="AH345">
        <v>0</v>
      </c>
      <c r="AI345">
        <v>374.43590166535262</v>
      </c>
      <c r="AJ345">
        <v>7248.7666527818292</v>
      </c>
      <c r="AK345">
        <v>0</v>
      </c>
    </row>
    <row r="346" spans="1:37" x14ac:dyDescent="0.25">
      <c r="A346">
        <v>42</v>
      </c>
      <c r="B346" t="str">
        <v>SS-00043</v>
      </c>
      <c r="C346" t="str">
        <v>SS</v>
      </c>
      <c r="D346">
        <v>0</v>
      </c>
      <c r="E346" t="str">
        <v>MM</v>
      </c>
      <c r="F346">
        <v>0</v>
      </c>
      <c r="G346">
        <v>45819</v>
      </c>
      <c r="H346">
        <v>0</v>
      </c>
      <c r="I346" t="str">
        <v>Arizona v California</v>
      </c>
      <c r="J346" t="str">
        <v>San Simon Creek</v>
      </c>
      <c r="K346" t="str">
        <v>SC</v>
      </c>
      <c r="L346" t="str">
        <v>San Simon</v>
      </c>
      <c r="M346" t="str">
        <v>SS</v>
      </c>
      <c r="N346">
        <v>0</v>
      </c>
      <c r="O346" t="str">
        <v>FA</v>
      </c>
      <c r="P346" t="str">
        <v>Fallow, idle or otherwise not irrigated</v>
      </c>
      <c r="Q346">
        <v>0.23997425538331249</v>
      </c>
      <c r="R346" t="str">
        <v>4</v>
      </c>
      <c r="S346" t="str">
        <v>Not irrigated</v>
      </c>
      <c r="T346" t="str">
        <v xml:space="preserve"> </v>
      </c>
      <c r="U346">
        <v>0</v>
      </c>
      <c r="V346" t="str">
        <v>4</v>
      </c>
      <c r="W346">
        <v>0</v>
      </c>
      <c r="X346" t="str">
        <v xml:space="preserve"> </v>
      </c>
      <c r="Y346">
        <v>0</v>
      </c>
      <c r="Z346">
        <v>0</v>
      </c>
      <c r="AA346">
        <v>0</v>
      </c>
      <c r="AB346" t="str">
        <v>HI</v>
      </c>
      <c r="AC346" t="str">
        <v xml:space="preserve"> </v>
      </c>
      <c r="AD346" t="str">
        <v>0</v>
      </c>
      <c r="AE346">
        <v>0</v>
      </c>
      <c r="AF346">
        <v>0</v>
      </c>
      <c r="AG346">
        <v>0</v>
      </c>
      <c r="AH346">
        <v>0</v>
      </c>
      <c r="AI346">
        <v>119.5564736722793</v>
      </c>
      <c r="AJ346">
        <v>971.14524118569614</v>
      </c>
      <c r="AK346">
        <v>0</v>
      </c>
    </row>
    <row r="347" spans="1:37" x14ac:dyDescent="0.25">
      <c r="A347">
        <v>43</v>
      </c>
      <c r="B347" t="str">
        <v>SS-00044</v>
      </c>
      <c r="C347" t="str">
        <v>SS</v>
      </c>
      <c r="D347">
        <v>0</v>
      </c>
      <c r="E347" t="str">
        <v>MM</v>
      </c>
      <c r="F347">
        <v>0</v>
      </c>
      <c r="G347">
        <v>45819</v>
      </c>
      <c r="H347">
        <v>0</v>
      </c>
      <c r="I347" t="str">
        <v>Arizona v California</v>
      </c>
      <c r="J347" t="str">
        <v>San Simon Creek</v>
      </c>
      <c r="K347" t="str">
        <v>SC</v>
      </c>
      <c r="L347" t="str">
        <v>San Simon</v>
      </c>
      <c r="M347" t="str">
        <v>SS</v>
      </c>
      <c r="N347">
        <v>0</v>
      </c>
      <c r="O347" t="str">
        <v>FA</v>
      </c>
      <c r="P347" t="str">
        <v>Fallow, idle or otherwise not irrigated</v>
      </c>
      <c r="Q347">
        <v>0.44703654113662361</v>
      </c>
      <c r="R347" t="str">
        <v>4</v>
      </c>
      <c r="S347" t="str">
        <v>Not irrigated</v>
      </c>
      <c r="T347" t="str">
        <v xml:space="preserve"> </v>
      </c>
      <c r="U347">
        <v>0</v>
      </c>
      <c r="V347" t="str">
        <v>4</v>
      </c>
      <c r="W347">
        <v>0</v>
      </c>
      <c r="X347" t="str">
        <v>SS-23,24</v>
      </c>
      <c r="Y347">
        <v>0</v>
      </c>
      <c r="Z347">
        <v>0</v>
      </c>
      <c r="AA347">
        <v>0</v>
      </c>
      <c r="AB347" t="str">
        <v>HI</v>
      </c>
      <c r="AC347" t="str">
        <v>E.J. Bagwell and Charlotte Bagwell</v>
      </c>
      <c r="AD347" t="str">
        <v>1945</v>
      </c>
      <c r="AE347">
        <v>0</v>
      </c>
      <c r="AF347">
        <v>0</v>
      </c>
      <c r="AG347">
        <v>0</v>
      </c>
      <c r="AH347">
        <v>0</v>
      </c>
      <c r="AI347">
        <v>199.1513599478466</v>
      </c>
      <c r="AJ347">
        <v>1809.0999339387261</v>
      </c>
      <c r="AK347">
        <v>0</v>
      </c>
    </row>
    <row r="348" spans="1:37" x14ac:dyDescent="0.25">
      <c r="A348">
        <v>44</v>
      </c>
      <c r="B348" t="str">
        <v>SS-00045</v>
      </c>
      <c r="C348" t="str">
        <v>SS</v>
      </c>
      <c r="D348">
        <v>0</v>
      </c>
      <c r="E348" t="str">
        <v>MM</v>
      </c>
      <c r="F348">
        <v>0</v>
      </c>
      <c r="G348">
        <v>45819</v>
      </c>
      <c r="H348">
        <v>0</v>
      </c>
      <c r="I348" t="str">
        <v>Arizona v California</v>
      </c>
      <c r="J348" t="str">
        <v>San Simon Creek</v>
      </c>
      <c r="K348" t="str">
        <v>SC</v>
      </c>
      <c r="L348" t="str">
        <v>San Simon</v>
      </c>
      <c r="M348" t="str">
        <v>SS</v>
      </c>
      <c r="N348">
        <v>0</v>
      </c>
      <c r="O348" t="str">
        <v>FA</v>
      </c>
      <c r="P348" t="str">
        <v>Fallow, idle or otherwise not irrigated</v>
      </c>
      <c r="Q348">
        <v>18.488831365544659</v>
      </c>
      <c r="R348" t="str">
        <v>4</v>
      </c>
      <c r="S348" t="str">
        <v>Not irrigated</v>
      </c>
      <c r="T348" t="str">
        <v xml:space="preserve"> </v>
      </c>
      <c r="U348">
        <v>0</v>
      </c>
      <c r="V348" t="str">
        <v>4</v>
      </c>
      <c r="W348">
        <v>0</v>
      </c>
      <c r="X348" t="str">
        <v>SS-23,24</v>
      </c>
      <c r="Y348">
        <v>0</v>
      </c>
      <c r="Z348">
        <v>0</v>
      </c>
      <c r="AA348">
        <v>0</v>
      </c>
      <c r="AB348" t="str">
        <v>HI</v>
      </c>
      <c r="AC348" t="str">
        <v>E.J. Bagwell and Charlotte Bagwell</v>
      </c>
      <c r="AD348" t="str">
        <v>1945</v>
      </c>
      <c r="AE348">
        <v>0</v>
      </c>
      <c r="AF348">
        <v>0</v>
      </c>
      <c r="AG348">
        <v>0</v>
      </c>
      <c r="AH348">
        <v>0</v>
      </c>
      <c r="AI348">
        <v>1106.670783403451</v>
      </c>
      <c r="AJ348">
        <v>74821.94524180665</v>
      </c>
      <c r="AK348">
        <v>0</v>
      </c>
    </row>
    <row r="349" spans="1:37" x14ac:dyDescent="0.25">
      <c r="A349">
        <v>45</v>
      </c>
      <c r="B349" t="str">
        <v>SS-00046</v>
      </c>
      <c r="C349" t="str">
        <v>SS</v>
      </c>
      <c r="D349">
        <v>0</v>
      </c>
      <c r="E349" t="str">
        <v>MM</v>
      </c>
      <c r="F349">
        <v>0</v>
      </c>
      <c r="G349">
        <v>45819</v>
      </c>
      <c r="H349">
        <v>0</v>
      </c>
      <c r="I349" t="str">
        <v>Arizona v California</v>
      </c>
      <c r="J349" t="str">
        <v>San Simon Creek</v>
      </c>
      <c r="K349" t="str">
        <v>SC</v>
      </c>
      <c r="L349" t="str">
        <v>San Simon</v>
      </c>
      <c r="M349" t="str">
        <v>SS</v>
      </c>
      <c r="N349">
        <v>0</v>
      </c>
      <c r="O349" t="str">
        <v>FA</v>
      </c>
      <c r="P349" t="str">
        <v>Fallow, idle or otherwise not irrigated</v>
      </c>
      <c r="Q349">
        <v>2.8399447059487368</v>
      </c>
      <c r="R349" t="str">
        <v>4</v>
      </c>
      <c r="S349" t="str">
        <v>Not irrigated</v>
      </c>
      <c r="T349" t="str">
        <v xml:space="preserve"> </v>
      </c>
      <c r="U349">
        <v>0</v>
      </c>
      <c r="V349" t="str">
        <v>4</v>
      </c>
      <c r="W349">
        <v>0</v>
      </c>
      <c r="X349" t="str">
        <v>SS-23,24</v>
      </c>
      <c r="Y349">
        <v>0</v>
      </c>
      <c r="Z349">
        <v>0</v>
      </c>
      <c r="AA349">
        <v>0</v>
      </c>
      <c r="AB349" t="str">
        <v>HI</v>
      </c>
      <c r="AC349" t="str">
        <v>E.J. Bagwell and Charlotte Bagwell</v>
      </c>
      <c r="AD349" t="str">
        <v>1945</v>
      </c>
      <c r="AE349">
        <v>0</v>
      </c>
      <c r="AF349">
        <v>0</v>
      </c>
      <c r="AG349">
        <v>0</v>
      </c>
      <c r="AH349">
        <v>0</v>
      </c>
      <c r="AI349">
        <v>519.13381968486556</v>
      </c>
      <c r="AJ349">
        <v>11492.89444406133</v>
      </c>
      <c r="AK349">
        <v>0</v>
      </c>
    </row>
    <row r="350" spans="1:37" x14ac:dyDescent="0.25">
      <c r="A350">
        <v>46</v>
      </c>
      <c r="B350" t="str">
        <v>SS-00047</v>
      </c>
      <c r="C350" t="str">
        <v>SS</v>
      </c>
      <c r="D350">
        <v>0</v>
      </c>
      <c r="E350" t="str">
        <v>MM</v>
      </c>
      <c r="F350">
        <v>0</v>
      </c>
      <c r="G350">
        <v>45819</v>
      </c>
      <c r="H350">
        <v>0</v>
      </c>
      <c r="I350" t="str">
        <v>Arizona v California</v>
      </c>
      <c r="J350" t="str">
        <v>San Simon Creek</v>
      </c>
      <c r="K350" t="str">
        <v>SC</v>
      </c>
      <c r="L350" t="str">
        <v>San Simon</v>
      </c>
      <c r="M350" t="str">
        <v>SS</v>
      </c>
      <c r="N350">
        <v>0</v>
      </c>
      <c r="O350" t="str">
        <v>FA</v>
      </c>
      <c r="P350" t="str">
        <v>Fallow, idle or otherwise not irrigated</v>
      </c>
      <c r="Q350">
        <v>8.3129344415492756</v>
      </c>
      <c r="R350" t="str">
        <v>4</v>
      </c>
      <c r="S350" t="str">
        <v>Not irrigated</v>
      </c>
      <c r="T350" t="str">
        <v xml:space="preserve"> </v>
      </c>
      <c r="U350">
        <v>0</v>
      </c>
      <c r="V350" t="str">
        <v>4</v>
      </c>
      <c r="W350">
        <v>0</v>
      </c>
      <c r="X350" t="str">
        <v>SS-23,24</v>
      </c>
      <c r="Y350">
        <v>0</v>
      </c>
      <c r="Z350">
        <v>0</v>
      </c>
      <c r="AA350">
        <v>0</v>
      </c>
      <c r="AB350" t="str">
        <v>HI</v>
      </c>
      <c r="AC350" t="str">
        <v>State of New Mexico</v>
      </c>
      <c r="AD350" t="str">
        <v>1945</v>
      </c>
      <c r="AE350">
        <v>0</v>
      </c>
      <c r="AF350">
        <v>0</v>
      </c>
      <c r="AG350">
        <v>0</v>
      </c>
      <c r="AH350">
        <v>0</v>
      </c>
      <c r="AI350">
        <v>797.15374812544803</v>
      </c>
      <c r="AJ350">
        <v>33641.38669918607</v>
      </c>
      <c r="AK350">
        <v>0</v>
      </c>
    </row>
    <row r="351" spans="1:37" x14ac:dyDescent="0.25">
      <c r="A351">
        <v>47</v>
      </c>
      <c r="B351" t="str">
        <v>SS-00071</v>
      </c>
      <c r="C351" t="str">
        <v>SS</v>
      </c>
      <c r="D351">
        <v>0</v>
      </c>
      <c r="E351" t="str">
        <v>MM</v>
      </c>
      <c r="F351">
        <v>0</v>
      </c>
      <c r="G351">
        <v>45819</v>
      </c>
      <c r="H351">
        <v>0</v>
      </c>
      <c r="I351" t="str">
        <v>Arizona v California</v>
      </c>
      <c r="J351" t="str">
        <v>San Simon Creek</v>
      </c>
      <c r="K351" t="str">
        <v>SC</v>
      </c>
      <c r="L351" t="str">
        <v>San Simon</v>
      </c>
      <c r="M351" t="str">
        <v>SS</v>
      </c>
      <c r="N351">
        <v>0</v>
      </c>
      <c r="O351" t="str">
        <v>FA</v>
      </c>
      <c r="P351" t="str">
        <v>Fallow, idle or otherwise not irrigated</v>
      </c>
      <c r="Q351">
        <v>0.79433023331515884</v>
      </c>
      <c r="R351" t="str">
        <v>4</v>
      </c>
      <c r="S351" t="str">
        <v>Not irrigated</v>
      </c>
      <c r="T351">
        <v>0</v>
      </c>
      <c r="U351">
        <v>0</v>
      </c>
      <c r="V351" t="str">
        <v>5</v>
      </c>
      <c r="W351">
        <v>0</v>
      </c>
      <c r="X351" t="str">
        <v xml:space="preserve"> </v>
      </c>
      <c r="Y351">
        <v>0</v>
      </c>
      <c r="Z351">
        <v>0</v>
      </c>
      <c r="AA351">
        <v>0</v>
      </c>
      <c r="AB351" t="str">
        <v>HI</v>
      </c>
      <c r="AC351" t="str">
        <v xml:space="preserve"> </v>
      </c>
      <c r="AD351" t="str">
        <v>0</v>
      </c>
      <c r="AE351">
        <v>0</v>
      </c>
      <c r="AF351">
        <v>0</v>
      </c>
      <c r="AG351">
        <v>0</v>
      </c>
      <c r="AH351">
        <v>0</v>
      </c>
      <c r="AI351">
        <v>227.3840403265732</v>
      </c>
      <c r="AJ351">
        <v>3214.5532643981401</v>
      </c>
      <c r="AK351">
        <v>0</v>
      </c>
    </row>
    <row r="352" spans="1:37" x14ac:dyDescent="0.25">
      <c r="A352">
        <v>48</v>
      </c>
      <c r="B352" t="str">
        <v>SS-00072</v>
      </c>
      <c r="C352" t="str">
        <v>SS</v>
      </c>
      <c r="D352">
        <v>0</v>
      </c>
      <c r="E352" t="str">
        <v>MM</v>
      </c>
      <c r="F352">
        <v>0</v>
      </c>
      <c r="G352">
        <v>45819</v>
      </c>
      <c r="H352">
        <v>0</v>
      </c>
      <c r="I352" t="str">
        <v>Arizona v California</v>
      </c>
      <c r="J352" t="str">
        <v>San Simon Creek</v>
      </c>
      <c r="K352" t="str">
        <v>SC</v>
      </c>
      <c r="L352" t="str">
        <v>San Simon</v>
      </c>
      <c r="M352" t="str">
        <v>SS</v>
      </c>
      <c r="N352">
        <v>0</v>
      </c>
      <c r="O352" t="str">
        <v>FA</v>
      </c>
      <c r="P352" t="str">
        <v>Fallow, idle or otherwise not irrigated</v>
      </c>
      <c r="Q352">
        <v>9.4869422163348371</v>
      </c>
      <c r="R352" t="str">
        <v>4</v>
      </c>
      <c r="S352" t="str">
        <v>Not irrigated</v>
      </c>
      <c r="T352">
        <v>0</v>
      </c>
      <c r="U352">
        <v>0</v>
      </c>
      <c r="V352" t="str">
        <v>6</v>
      </c>
      <c r="W352">
        <v>0</v>
      </c>
      <c r="X352" t="str">
        <v xml:space="preserve"> </v>
      </c>
      <c r="Y352">
        <v>0</v>
      </c>
      <c r="Z352">
        <v>0</v>
      </c>
      <c r="AA352">
        <v>0</v>
      </c>
      <c r="AB352" t="str">
        <v>HI</v>
      </c>
      <c r="AC352" t="str">
        <v>James F. Richards</v>
      </c>
      <c r="AD352" t="str">
        <v>0</v>
      </c>
      <c r="AE352">
        <v>0</v>
      </c>
      <c r="AF352">
        <v>0</v>
      </c>
      <c r="AG352">
        <v>0</v>
      </c>
      <c r="AH352">
        <v>0</v>
      </c>
      <c r="AI352">
        <v>915.71359175068096</v>
      </c>
      <c r="AJ352">
        <v>38392.446606745179</v>
      </c>
      <c r="AK352">
        <v>0</v>
      </c>
    </row>
    <row r="353" spans="1:37" x14ac:dyDescent="0.25">
      <c r="A353">
        <v>49</v>
      </c>
      <c r="B353" t="str">
        <v>SS-00073</v>
      </c>
      <c r="C353" t="str">
        <v>SS</v>
      </c>
      <c r="D353">
        <v>0</v>
      </c>
      <c r="E353" t="str">
        <v>MM</v>
      </c>
      <c r="F353">
        <v>0</v>
      </c>
      <c r="G353">
        <v>45819</v>
      </c>
      <c r="H353">
        <v>0</v>
      </c>
      <c r="I353" t="str">
        <v>Arizona v California</v>
      </c>
      <c r="J353" t="str">
        <v>San Simon Creek</v>
      </c>
      <c r="K353" t="str">
        <v>SC</v>
      </c>
      <c r="L353" t="str">
        <v>San Simon</v>
      </c>
      <c r="M353" t="str">
        <v>SS</v>
      </c>
      <c r="N353">
        <v>0</v>
      </c>
      <c r="O353" t="str">
        <v>FA</v>
      </c>
      <c r="P353" t="str">
        <v>Fallow, idle or otherwise not irrigated</v>
      </c>
      <c r="Q353">
        <v>36.223893416117448</v>
      </c>
      <c r="R353" t="str">
        <v>4</v>
      </c>
      <c r="S353" t="str">
        <v>Not irrigated</v>
      </c>
      <c r="T353">
        <v>0</v>
      </c>
      <c r="U353">
        <v>0</v>
      </c>
      <c r="V353" t="str">
        <v>6</v>
      </c>
      <c r="W353">
        <v>0</v>
      </c>
      <c r="X353" t="str">
        <v xml:space="preserve"> </v>
      </c>
      <c r="Y353">
        <v>0</v>
      </c>
      <c r="Z353">
        <v>0</v>
      </c>
      <c r="AA353">
        <v>0</v>
      </c>
      <c r="AB353" t="str">
        <v>HI</v>
      </c>
      <c r="AC353" t="str">
        <v>James F. Richards and Sally Ann Richards</v>
      </c>
      <c r="AD353" t="str">
        <v>0</v>
      </c>
      <c r="AE353">
        <v>0</v>
      </c>
      <c r="AF353">
        <v>0</v>
      </c>
      <c r="AG353">
        <v>0</v>
      </c>
      <c r="AH353">
        <v>0</v>
      </c>
      <c r="AI353">
        <v>1908.285679544246</v>
      </c>
      <c r="AJ353">
        <v>146593.48208869001</v>
      </c>
      <c r="AK353">
        <v>0</v>
      </c>
    </row>
    <row r="354" spans="1:37" x14ac:dyDescent="0.25">
      <c r="A354">
        <v>50</v>
      </c>
      <c r="B354" t="str">
        <v>SS-00074</v>
      </c>
      <c r="C354" t="str">
        <v>SS</v>
      </c>
      <c r="D354">
        <v>0</v>
      </c>
      <c r="E354" t="str">
        <v>MM</v>
      </c>
      <c r="F354">
        <v>0</v>
      </c>
      <c r="G354">
        <v>45819</v>
      </c>
      <c r="H354">
        <v>0</v>
      </c>
      <c r="I354" t="str">
        <v>Arizona v California</v>
      </c>
      <c r="J354" t="str">
        <v>San Simon Creek</v>
      </c>
      <c r="K354" t="str">
        <v>SC</v>
      </c>
      <c r="L354" t="str">
        <v>San Simon</v>
      </c>
      <c r="M354" t="str">
        <v>SS</v>
      </c>
      <c r="N354">
        <v>0</v>
      </c>
      <c r="O354" t="str">
        <v>FA</v>
      </c>
      <c r="P354" t="str">
        <v>Fallow, idle or otherwise not irrigated</v>
      </c>
      <c r="Q354">
        <v>0.29974335936414948</v>
      </c>
      <c r="R354" t="str">
        <v>4</v>
      </c>
      <c r="S354" t="str">
        <v>Not irrigated</v>
      </c>
      <c r="T354">
        <v>0</v>
      </c>
      <c r="U354">
        <v>0</v>
      </c>
      <c r="V354" t="str">
        <v>6</v>
      </c>
      <c r="W354">
        <v>0</v>
      </c>
      <c r="X354" t="str">
        <v xml:space="preserve"> </v>
      </c>
      <c r="Y354">
        <v>0</v>
      </c>
      <c r="Z354">
        <v>0</v>
      </c>
      <c r="AA354">
        <v>0</v>
      </c>
      <c r="AB354" t="str">
        <v>HI</v>
      </c>
      <c r="AC354" t="str">
        <v>James F. Richards</v>
      </c>
      <c r="AD354" t="str">
        <v>0</v>
      </c>
      <c r="AE354">
        <v>0</v>
      </c>
      <c r="AF354">
        <v>0</v>
      </c>
      <c r="AG354">
        <v>0</v>
      </c>
      <c r="AH354">
        <v>0</v>
      </c>
      <c r="AI354">
        <v>152.7779796596044</v>
      </c>
      <c r="AJ354">
        <v>1213.023191002472</v>
      </c>
      <c r="AK354">
        <v>0</v>
      </c>
    </row>
    <row r="355" spans="1:37" x14ac:dyDescent="0.25">
      <c r="A355">
        <v>51</v>
      </c>
      <c r="B355" t="str">
        <v>SS-00075</v>
      </c>
      <c r="C355" t="str">
        <v>SS</v>
      </c>
      <c r="D355">
        <v>0</v>
      </c>
      <c r="E355" t="str">
        <v>MM</v>
      </c>
      <c r="F355">
        <v>0</v>
      </c>
      <c r="G355">
        <v>45819</v>
      </c>
      <c r="H355">
        <v>0</v>
      </c>
      <c r="I355" t="str">
        <v>Arizona v California</v>
      </c>
      <c r="J355" t="str">
        <v>San Simon Creek</v>
      </c>
      <c r="K355" t="str">
        <v>SC</v>
      </c>
      <c r="L355" t="str">
        <v>San Simon</v>
      </c>
      <c r="M355" t="str">
        <v>SS</v>
      </c>
      <c r="N355">
        <v>0</v>
      </c>
      <c r="O355" t="str">
        <v>FA</v>
      </c>
      <c r="P355" t="str">
        <v>Fallow, idle or otherwise not irrigated</v>
      </c>
      <c r="Q355">
        <v>2.8513802603388911</v>
      </c>
      <c r="R355" t="str">
        <v>4</v>
      </c>
      <c r="S355" t="str">
        <v>Not irrigated</v>
      </c>
      <c r="T355">
        <v>0</v>
      </c>
      <c r="U355">
        <v>0</v>
      </c>
      <c r="V355" t="str">
        <v>6</v>
      </c>
      <c r="W355">
        <v>0</v>
      </c>
      <c r="X355" t="str">
        <v xml:space="preserve"> </v>
      </c>
      <c r="Y355">
        <v>0</v>
      </c>
      <c r="Z355">
        <v>0</v>
      </c>
      <c r="AA355">
        <v>0</v>
      </c>
      <c r="AB355" t="str">
        <v>HI</v>
      </c>
      <c r="AC355" t="str">
        <v>James F. Richards</v>
      </c>
      <c r="AD355" t="str">
        <v>0</v>
      </c>
      <c r="AE355">
        <v>0</v>
      </c>
      <c r="AF355">
        <v>0</v>
      </c>
      <c r="AG355">
        <v>0</v>
      </c>
      <c r="AH355">
        <v>0</v>
      </c>
      <c r="AI355">
        <v>807.05599188604572</v>
      </c>
      <c r="AJ355">
        <v>11539.172675901569</v>
      </c>
      <c r="AK355">
        <v>0</v>
      </c>
    </row>
    <row r="356" spans="1:37" x14ac:dyDescent="0.25">
      <c r="A356">
        <v>52</v>
      </c>
      <c r="B356" t="str">
        <v>SS-00076</v>
      </c>
      <c r="C356" t="str">
        <v>SS</v>
      </c>
      <c r="D356">
        <v>0</v>
      </c>
      <c r="E356" t="str">
        <v>MM</v>
      </c>
      <c r="F356">
        <v>0</v>
      </c>
      <c r="G356">
        <v>45819</v>
      </c>
      <c r="H356">
        <v>0</v>
      </c>
      <c r="I356" t="str">
        <v>Arizona v California</v>
      </c>
      <c r="J356" t="str">
        <v>San Simon Creek</v>
      </c>
      <c r="K356" t="str">
        <v>SC</v>
      </c>
      <c r="L356" t="str">
        <v>San Simon</v>
      </c>
      <c r="M356" t="str">
        <v>SS</v>
      </c>
      <c r="N356">
        <v>0</v>
      </c>
      <c r="O356" t="str">
        <v>FA</v>
      </c>
      <c r="P356" t="str">
        <v>Fallow, idle or otherwise not irrigated</v>
      </c>
      <c r="Q356">
        <v>2.0127077102153672</v>
      </c>
      <c r="R356" t="str">
        <v>4</v>
      </c>
      <c r="S356" t="str">
        <v>Not irrigated</v>
      </c>
      <c r="T356" t="str">
        <v xml:space="preserve"> </v>
      </c>
      <c r="U356">
        <v>0</v>
      </c>
      <c r="V356" t="str">
        <v>7</v>
      </c>
      <c r="W356">
        <v>0</v>
      </c>
      <c r="X356" t="str">
        <v>SS-6</v>
      </c>
      <c r="Y356">
        <v>0</v>
      </c>
      <c r="Z356">
        <v>0</v>
      </c>
      <c r="AA356">
        <v>0</v>
      </c>
      <c r="AB356" t="str">
        <v>HI</v>
      </c>
      <c r="AC356" t="str">
        <v>C.L. Johnston and Fay Rose Johnston</v>
      </c>
      <c r="AD356" t="str">
        <v>1952</v>
      </c>
      <c r="AE356">
        <v>0</v>
      </c>
      <c r="AF356">
        <v>0</v>
      </c>
      <c r="AG356">
        <v>0</v>
      </c>
      <c r="AH356">
        <v>0</v>
      </c>
      <c r="AI356">
        <v>527.64281493660201</v>
      </c>
      <c r="AJ356">
        <v>8145.1717041532929</v>
      </c>
      <c r="AK356">
        <v>0</v>
      </c>
    </row>
    <row r="357" spans="1:37" x14ac:dyDescent="0.25">
      <c r="A357">
        <v>53</v>
      </c>
      <c r="B357" t="str">
        <v>SS-00077</v>
      </c>
      <c r="C357" t="str">
        <v>SS</v>
      </c>
      <c r="D357">
        <v>0</v>
      </c>
      <c r="E357" t="str">
        <v>MM</v>
      </c>
      <c r="F357">
        <v>0</v>
      </c>
      <c r="G357">
        <v>45819</v>
      </c>
      <c r="H357">
        <v>0</v>
      </c>
      <c r="I357" t="str">
        <v>Arizona v California</v>
      </c>
      <c r="J357" t="str">
        <v>San Simon Creek</v>
      </c>
      <c r="K357" t="str">
        <v>SC</v>
      </c>
      <c r="L357" t="str">
        <v>San Simon</v>
      </c>
      <c r="M357" t="str">
        <v>SS</v>
      </c>
      <c r="N357">
        <v>0</v>
      </c>
      <c r="O357" t="str">
        <v>FA</v>
      </c>
      <c r="P357" t="str">
        <v>Fallow, idle or otherwise not irrigated</v>
      </c>
      <c r="Q357">
        <v>17.654752755920789</v>
      </c>
      <c r="R357" t="str">
        <v>4</v>
      </c>
      <c r="S357" t="str">
        <v>Not irrigated</v>
      </c>
      <c r="T357" t="str">
        <v xml:space="preserve"> </v>
      </c>
      <c r="U357">
        <v>0</v>
      </c>
      <c r="V357" t="str">
        <v>7</v>
      </c>
      <c r="W357">
        <v>0</v>
      </c>
      <c r="X357" t="str">
        <v>SS-6</v>
      </c>
      <c r="Y357">
        <v>0</v>
      </c>
      <c r="Z357">
        <v>0</v>
      </c>
      <c r="AA357">
        <v>0</v>
      </c>
      <c r="AB357" t="str">
        <v>HI</v>
      </c>
      <c r="AC357" t="str">
        <v>C.L. Johnston and Fay Rose Johnston</v>
      </c>
      <c r="AD357" t="str">
        <v>1952</v>
      </c>
      <c r="AE357">
        <v>0</v>
      </c>
      <c r="AF357">
        <v>0</v>
      </c>
      <c r="AG357">
        <v>0</v>
      </c>
      <c r="AH357">
        <v>0</v>
      </c>
      <c r="AI357">
        <v>1151.686452081686</v>
      </c>
      <c r="AJ357">
        <v>71446.535362037816</v>
      </c>
      <c r="AK357">
        <v>0</v>
      </c>
    </row>
    <row r="358" spans="1:37" x14ac:dyDescent="0.25">
      <c r="A358">
        <v>54</v>
      </c>
      <c r="B358" t="str">
        <v>SS-00079</v>
      </c>
      <c r="C358" t="str">
        <v>SS</v>
      </c>
      <c r="D358">
        <v>0</v>
      </c>
      <c r="E358" t="str">
        <v>MM</v>
      </c>
      <c r="F358">
        <v>0</v>
      </c>
      <c r="G358">
        <v>45819</v>
      </c>
      <c r="H358">
        <v>0</v>
      </c>
      <c r="I358" t="str">
        <v>Arizona v California</v>
      </c>
      <c r="J358" t="str">
        <v>San Simon Creek</v>
      </c>
      <c r="K358" t="str">
        <v>SC</v>
      </c>
      <c r="L358" t="str">
        <v>San Simon</v>
      </c>
      <c r="M358" t="str">
        <v>SS</v>
      </c>
      <c r="N358">
        <v>0</v>
      </c>
      <c r="O358" t="str">
        <v>FA</v>
      </c>
      <c r="P358" t="str">
        <v>Fallow, idle or otherwise not irrigated</v>
      </c>
      <c r="Q358">
        <v>0.38943096009740041</v>
      </c>
      <c r="R358" t="str">
        <v>4</v>
      </c>
      <c r="S358" t="str">
        <v>Not irrigated</v>
      </c>
      <c r="T358" t="str">
        <v xml:space="preserve"> </v>
      </c>
      <c r="U358">
        <v>0</v>
      </c>
      <c r="V358" t="str">
        <v>7</v>
      </c>
      <c r="W358">
        <v>0</v>
      </c>
      <c r="X358" t="str">
        <v>SS-6</v>
      </c>
      <c r="Y358">
        <v>0</v>
      </c>
      <c r="Z358">
        <v>0</v>
      </c>
      <c r="AA358">
        <v>0</v>
      </c>
      <c r="AB358" t="str">
        <v>HI</v>
      </c>
      <c r="AC358" t="str">
        <v>C.L. Johnston and Fay Rose Johnston</v>
      </c>
      <c r="AD358" t="str">
        <v>1952</v>
      </c>
      <c r="AE358">
        <v>0</v>
      </c>
      <c r="AF358">
        <v>0</v>
      </c>
      <c r="AG358">
        <v>0</v>
      </c>
      <c r="AH358">
        <v>0</v>
      </c>
      <c r="AI358">
        <v>161.39995258315361</v>
      </c>
      <c r="AJ358">
        <v>1575.9774858552021</v>
      </c>
      <c r="AK358">
        <v>0</v>
      </c>
    </row>
    <row r="359" spans="1:37" x14ac:dyDescent="0.25">
      <c r="A359">
        <v>55</v>
      </c>
      <c r="B359" t="str">
        <v>SS-00080</v>
      </c>
      <c r="C359" t="str">
        <v>SS</v>
      </c>
      <c r="D359">
        <v>0</v>
      </c>
      <c r="E359" t="str">
        <v>MM</v>
      </c>
      <c r="F359">
        <v>0</v>
      </c>
      <c r="G359">
        <v>45819</v>
      </c>
      <c r="H359">
        <v>0</v>
      </c>
      <c r="I359" t="str">
        <v>Arizona v California</v>
      </c>
      <c r="J359" t="str">
        <v>San Simon Creek</v>
      </c>
      <c r="K359" t="str">
        <v>SC</v>
      </c>
      <c r="L359" t="str">
        <v>San Simon</v>
      </c>
      <c r="M359" t="str">
        <v>SS</v>
      </c>
      <c r="N359">
        <v>0</v>
      </c>
      <c r="O359" t="str">
        <v>FA</v>
      </c>
      <c r="P359" t="str">
        <v>Fallow, idle or otherwise not irrigated</v>
      </c>
      <c r="Q359">
        <v>16.745444257062751</v>
      </c>
      <c r="R359" t="str">
        <v>4</v>
      </c>
      <c r="S359" t="str">
        <v>Not irrigated</v>
      </c>
      <c r="T359" t="str">
        <v xml:space="preserve"> </v>
      </c>
      <c r="U359">
        <v>0</v>
      </c>
      <c r="V359" t="str">
        <v>7</v>
      </c>
      <c r="W359">
        <v>0</v>
      </c>
      <c r="X359" t="str">
        <v>SS-6</v>
      </c>
      <c r="Y359">
        <v>0</v>
      </c>
      <c r="Z359">
        <v>0</v>
      </c>
      <c r="AA359">
        <v>0</v>
      </c>
      <c r="AB359" t="str">
        <v>HI</v>
      </c>
      <c r="AC359" t="str">
        <v>C.L. Johnston and Fay Rose Johnston</v>
      </c>
      <c r="AD359" t="str">
        <v>1952</v>
      </c>
      <c r="AE359">
        <v>0</v>
      </c>
      <c r="AF359">
        <v>0</v>
      </c>
      <c r="AG359">
        <v>0</v>
      </c>
      <c r="AH359">
        <v>0</v>
      </c>
      <c r="AI359">
        <v>1130.4740279121829</v>
      </c>
      <c r="AJ359">
        <v>67766.679704083333</v>
      </c>
      <c r="AK359">
        <v>0</v>
      </c>
    </row>
    <row r="360" spans="1:37" x14ac:dyDescent="0.25">
      <c r="A360">
        <v>56</v>
      </c>
      <c r="B360" t="str">
        <v>SS-00082</v>
      </c>
      <c r="C360" t="str">
        <v>SS</v>
      </c>
      <c r="D360">
        <v>0</v>
      </c>
      <c r="E360" t="str">
        <v>MM</v>
      </c>
      <c r="F360">
        <v>0</v>
      </c>
      <c r="G360">
        <v>45819</v>
      </c>
      <c r="H360">
        <v>0</v>
      </c>
      <c r="I360" t="str">
        <v>Arizona v California</v>
      </c>
      <c r="J360" t="str">
        <v>San Simon Creek</v>
      </c>
      <c r="K360" t="str">
        <v>SC</v>
      </c>
      <c r="L360" t="str">
        <v>San Simon</v>
      </c>
      <c r="M360" t="str">
        <v>SS</v>
      </c>
      <c r="N360">
        <v>0</v>
      </c>
      <c r="O360" t="str">
        <v>FA</v>
      </c>
      <c r="P360" t="str">
        <v>Fallow, idle or otherwise not irrigated</v>
      </c>
      <c r="Q360">
        <v>2.592855638510335</v>
      </c>
      <c r="R360" t="str">
        <v>4</v>
      </c>
      <c r="S360" t="str">
        <v>Not irrigated</v>
      </c>
      <c r="T360" t="str">
        <v xml:space="preserve"> </v>
      </c>
      <c r="U360">
        <v>0</v>
      </c>
      <c r="V360" t="str">
        <v>7</v>
      </c>
      <c r="W360">
        <v>0</v>
      </c>
      <c r="X360" t="str">
        <v>SS-6</v>
      </c>
      <c r="Y360">
        <v>0</v>
      </c>
      <c r="Z360">
        <v>0</v>
      </c>
      <c r="AA360">
        <v>0</v>
      </c>
      <c r="AB360" t="str">
        <v>HI</v>
      </c>
      <c r="AC360" t="str">
        <v>C.L. Johnston and Fay Rose Johnston</v>
      </c>
      <c r="AD360" t="str">
        <v>1952</v>
      </c>
      <c r="AE360">
        <v>0</v>
      </c>
      <c r="AF360">
        <v>0</v>
      </c>
      <c r="AG360">
        <v>0</v>
      </c>
      <c r="AH360">
        <v>0</v>
      </c>
      <c r="AI360">
        <v>868.20328576148381</v>
      </c>
      <c r="AJ360">
        <v>10492.956464845491</v>
      </c>
      <c r="AK360">
        <v>0</v>
      </c>
    </row>
    <row r="361" spans="1:37" x14ac:dyDescent="0.25">
      <c r="A361">
        <v>57</v>
      </c>
      <c r="B361" t="str">
        <v>SS-00083</v>
      </c>
      <c r="C361" t="str">
        <v>SS</v>
      </c>
      <c r="D361">
        <v>0</v>
      </c>
      <c r="E361" t="str">
        <v>MM</v>
      </c>
      <c r="F361">
        <v>0</v>
      </c>
      <c r="G361">
        <v>45819</v>
      </c>
      <c r="H361">
        <v>0</v>
      </c>
      <c r="I361" t="str">
        <v>Arizona v California</v>
      </c>
      <c r="J361" t="str">
        <v>San Simon Creek</v>
      </c>
      <c r="K361" t="str">
        <v>SC</v>
      </c>
      <c r="L361" t="str">
        <v>San Simon</v>
      </c>
      <c r="M361" t="str">
        <v>SS</v>
      </c>
      <c r="N361">
        <v>0</v>
      </c>
      <c r="O361" t="str">
        <v>FA</v>
      </c>
      <c r="P361" t="str">
        <v>Fallow, idle or otherwise not irrigated</v>
      </c>
      <c r="Q361">
        <v>51.953226136370191</v>
      </c>
      <c r="R361" t="str">
        <v>4</v>
      </c>
      <c r="S361" t="str">
        <v>Not irrigated</v>
      </c>
      <c r="T361" t="str">
        <v xml:space="preserve"> </v>
      </c>
      <c r="U361">
        <v>0</v>
      </c>
      <c r="V361" t="str">
        <v>7</v>
      </c>
      <c r="W361">
        <v>0</v>
      </c>
      <c r="X361" t="str">
        <v>SS-33,37</v>
      </c>
      <c r="Y361">
        <v>0</v>
      </c>
      <c r="Z361">
        <v>0</v>
      </c>
      <c r="AA361">
        <v>0</v>
      </c>
      <c r="AB361" t="str">
        <v>HI</v>
      </c>
      <c r="AC361" t="str">
        <v>Jack Hoggett and Annie Lee Hoggett</v>
      </c>
      <c r="AD361" t="str">
        <v>1949</v>
      </c>
      <c r="AE361">
        <v>0</v>
      </c>
      <c r="AF361">
        <v>0</v>
      </c>
      <c r="AG361">
        <v>0</v>
      </c>
      <c r="AH361">
        <v>0</v>
      </c>
      <c r="AI361">
        <v>2103.88299655234</v>
      </c>
      <c r="AJ361">
        <v>210248.08784587961</v>
      </c>
      <c r="AK361">
        <v>0</v>
      </c>
    </row>
    <row r="362" spans="1:37" x14ac:dyDescent="0.25">
      <c r="A362">
        <v>58</v>
      </c>
      <c r="B362" t="str">
        <v>SS-00085</v>
      </c>
      <c r="C362" t="str">
        <v>SS</v>
      </c>
      <c r="D362">
        <v>0</v>
      </c>
      <c r="E362" t="str">
        <v>MM</v>
      </c>
      <c r="F362">
        <v>0</v>
      </c>
      <c r="G362">
        <v>45819</v>
      </c>
      <c r="H362">
        <v>0</v>
      </c>
      <c r="I362" t="str">
        <v>Arizona v California</v>
      </c>
      <c r="J362" t="str">
        <v>San Simon Creek</v>
      </c>
      <c r="K362" t="str">
        <v>SC</v>
      </c>
      <c r="L362" t="str">
        <v>San Simon</v>
      </c>
      <c r="M362" t="str">
        <v>SS</v>
      </c>
      <c r="N362">
        <v>0</v>
      </c>
      <c r="O362" t="str">
        <v>FA</v>
      </c>
      <c r="P362" t="str">
        <v>Fallow, idle or otherwise not irrigated</v>
      </c>
      <c r="Q362">
        <v>7.3579957458113414</v>
      </c>
      <c r="R362" t="str">
        <v>4</v>
      </c>
      <c r="S362" t="str">
        <v>Not irrigated</v>
      </c>
      <c r="T362" t="str">
        <v xml:space="preserve"> </v>
      </c>
      <c r="U362">
        <v>0</v>
      </c>
      <c r="V362" t="str">
        <v>7</v>
      </c>
      <c r="W362">
        <v>0</v>
      </c>
      <c r="X362" t="str">
        <v>SS-27,28</v>
      </c>
      <c r="Y362">
        <v>0</v>
      </c>
      <c r="Z362">
        <v>0</v>
      </c>
      <c r="AA362">
        <v>0</v>
      </c>
      <c r="AB362" t="str">
        <v>HI</v>
      </c>
      <c r="AC362" t="str">
        <v>Rosalio Alba and Maria Alba</v>
      </c>
      <c r="AD362" t="str">
        <v>1953</v>
      </c>
      <c r="AE362">
        <v>0</v>
      </c>
      <c r="AF362">
        <v>0</v>
      </c>
      <c r="AG362">
        <v>0</v>
      </c>
      <c r="AH362">
        <v>0</v>
      </c>
      <c r="AI362">
        <v>776.31517786460176</v>
      </c>
      <c r="AJ362">
        <v>29776.87144729518</v>
      </c>
      <c r="AK362">
        <v>0</v>
      </c>
    </row>
    <row r="363" spans="1:37" x14ac:dyDescent="0.25">
      <c r="A363">
        <v>59</v>
      </c>
      <c r="B363" t="str">
        <v>SS-00086</v>
      </c>
      <c r="C363" t="str">
        <v>SS</v>
      </c>
      <c r="D363">
        <v>0</v>
      </c>
      <c r="E363" t="str">
        <v>MM</v>
      </c>
      <c r="F363">
        <v>0</v>
      </c>
      <c r="G363">
        <v>45819</v>
      </c>
      <c r="H363">
        <v>0</v>
      </c>
      <c r="I363" t="str">
        <v>Arizona v California</v>
      </c>
      <c r="J363" t="str">
        <v>San Simon Creek</v>
      </c>
      <c r="K363" t="str">
        <v>SC</v>
      </c>
      <c r="L363" t="str">
        <v>San Simon</v>
      </c>
      <c r="M363" t="str">
        <v>SS</v>
      </c>
      <c r="N363">
        <v>0</v>
      </c>
      <c r="O363" t="str">
        <v>FA</v>
      </c>
      <c r="P363" t="str">
        <v>Fallow, idle or otherwise not irrigated</v>
      </c>
      <c r="Q363">
        <v>34.838202061212421</v>
      </c>
      <c r="R363" t="str">
        <v>4</v>
      </c>
      <c r="S363" t="str">
        <v>Not irrigated</v>
      </c>
      <c r="T363" t="str">
        <v xml:space="preserve"> </v>
      </c>
      <c r="U363">
        <v>0</v>
      </c>
      <c r="V363" t="str">
        <v>7</v>
      </c>
      <c r="W363">
        <v>0</v>
      </c>
      <c r="X363" t="str">
        <v>SS-41</v>
      </c>
      <c r="Y363">
        <v>0</v>
      </c>
      <c r="Z363">
        <v>0</v>
      </c>
      <c r="AA363">
        <v>0</v>
      </c>
      <c r="AB363" t="str">
        <v>HI</v>
      </c>
      <c r="AC363" t="str">
        <v>Earl A. Merrell and Mary Merrell</v>
      </c>
      <c r="AD363" t="str">
        <v>1953</v>
      </c>
      <c r="AE363">
        <v>0</v>
      </c>
      <c r="AF363">
        <v>0</v>
      </c>
      <c r="AG363">
        <v>0</v>
      </c>
      <c r="AH363">
        <v>0</v>
      </c>
      <c r="AI363">
        <v>1616.261066617531</v>
      </c>
      <c r="AJ363">
        <v>140985.76569878531</v>
      </c>
      <c r="AK363">
        <v>0</v>
      </c>
    </row>
    <row r="364" spans="1:37" x14ac:dyDescent="0.25">
      <c r="A364">
        <v>60</v>
      </c>
      <c r="B364" t="str">
        <v>SS-00087</v>
      </c>
      <c r="C364" t="str">
        <v>SS</v>
      </c>
      <c r="D364">
        <v>0</v>
      </c>
      <c r="E364" t="str">
        <v>MM</v>
      </c>
      <c r="F364">
        <v>0</v>
      </c>
      <c r="G364">
        <v>45819</v>
      </c>
      <c r="H364">
        <v>0</v>
      </c>
      <c r="I364" t="str">
        <v>Arizona v California</v>
      </c>
      <c r="J364" t="str">
        <v>San Simon Creek</v>
      </c>
      <c r="K364" t="str">
        <v>SC</v>
      </c>
      <c r="L364" t="str">
        <v>San Simon</v>
      </c>
      <c r="M364" t="str">
        <v>SS</v>
      </c>
      <c r="N364">
        <v>0</v>
      </c>
      <c r="O364" t="str">
        <v>RD</v>
      </c>
      <c r="P364" t="str">
        <v>Reservoir Dry</v>
      </c>
      <c r="Q364">
        <v>0.86556914216076719</v>
      </c>
      <c r="R364">
        <v>0</v>
      </c>
      <c r="S364" t="str">
        <v>&lt;Null&gt;</v>
      </c>
      <c r="T364">
        <v>0</v>
      </c>
      <c r="U364">
        <v>0</v>
      </c>
      <c r="V364" t="str">
        <v>7</v>
      </c>
      <c r="W364">
        <v>0</v>
      </c>
      <c r="X364" t="str">
        <v xml:space="preserve"> </v>
      </c>
      <c r="Y364">
        <v>0</v>
      </c>
      <c r="Z364">
        <v>0</v>
      </c>
      <c r="AA364">
        <v>0</v>
      </c>
      <c r="AB364" t="str">
        <v>HI</v>
      </c>
      <c r="AC364" t="str">
        <v>Earl A. Merrell and Mary Merrell</v>
      </c>
      <c r="AD364" t="str">
        <v>1953</v>
      </c>
      <c r="AE364">
        <v>0</v>
      </c>
      <c r="AF364">
        <v>0</v>
      </c>
      <c r="AG364">
        <v>0</v>
      </c>
      <c r="AH364">
        <v>0</v>
      </c>
      <c r="AI364">
        <v>227.93434041098911</v>
      </c>
      <c r="AJ364">
        <v>3502.8480533627612</v>
      </c>
      <c r="AK364">
        <v>0</v>
      </c>
    </row>
    <row r="365" spans="1:37" x14ac:dyDescent="0.25">
      <c r="A365">
        <v>61</v>
      </c>
      <c r="B365" t="str">
        <v>SS-00089</v>
      </c>
      <c r="C365" t="str">
        <v>SS</v>
      </c>
      <c r="D365">
        <v>0</v>
      </c>
      <c r="E365" t="str">
        <v>MM</v>
      </c>
      <c r="F365">
        <v>0</v>
      </c>
      <c r="G365">
        <v>45819</v>
      </c>
      <c r="H365">
        <v>0</v>
      </c>
      <c r="I365" t="str">
        <v>Arizona v California</v>
      </c>
      <c r="J365" t="str">
        <v>San Simon Creek</v>
      </c>
      <c r="K365" t="str">
        <v>SC</v>
      </c>
      <c r="L365" t="str">
        <v>San Simon</v>
      </c>
      <c r="M365" t="str">
        <v>SS</v>
      </c>
      <c r="N365">
        <v>0</v>
      </c>
      <c r="O365" t="str">
        <v>FA</v>
      </c>
      <c r="P365" t="str">
        <v>Fallow, idle or otherwise not irrigated</v>
      </c>
      <c r="Q365">
        <v>3.7486625414208099</v>
      </c>
      <c r="R365" t="str">
        <v>4</v>
      </c>
      <c r="S365" t="str">
        <v>Not irrigated</v>
      </c>
      <c r="T365">
        <v>0</v>
      </c>
      <c r="U365">
        <v>0</v>
      </c>
      <c r="V365" t="str">
        <v>7</v>
      </c>
      <c r="W365">
        <v>0</v>
      </c>
      <c r="X365" t="str">
        <v>SS-33,37</v>
      </c>
      <c r="Y365">
        <v>0</v>
      </c>
      <c r="Z365">
        <v>0</v>
      </c>
      <c r="AA365">
        <v>0</v>
      </c>
      <c r="AB365" t="str">
        <v>HI</v>
      </c>
      <c r="AC365" t="str">
        <v>Jack Hoggett and Annie Lee Hoggett</v>
      </c>
      <c r="AD365" t="str">
        <v>1949</v>
      </c>
      <c r="AE365">
        <v>0</v>
      </c>
      <c r="AF365">
        <v>0</v>
      </c>
      <c r="AG365">
        <v>0</v>
      </c>
      <c r="AH365">
        <v>0</v>
      </c>
      <c r="AI365">
        <v>691.42243530597932</v>
      </c>
      <c r="AJ365">
        <v>15170.35976253748</v>
      </c>
      <c r="AK365">
        <v>0</v>
      </c>
    </row>
    <row r="366" spans="1:37" x14ac:dyDescent="0.25">
      <c r="A366">
        <v>62</v>
      </c>
      <c r="B366" t="str">
        <v>SS-00090</v>
      </c>
      <c r="C366" t="str">
        <v>SS</v>
      </c>
      <c r="D366">
        <v>0</v>
      </c>
      <c r="E366" t="str">
        <v>MM</v>
      </c>
      <c r="F366">
        <v>0</v>
      </c>
      <c r="G366">
        <v>45819</v>
      </c>
      <c r="H366">
        <v>0</v>
      </c>
      <c r="I366" t="str">
        <v>Arizona v California</v>
      </c>
      <c r="J366" t="str">
        <v>San Simon Creek</v>
      </c>
      <c r="K366" t="str">
        <v>SC</v>
      </c>
      <c r="L366" t="str">
        <v>San Simon</v>
      </c>
      <c r="M366" t="str">
        <v>SS</v>
      </c>
      <c r="N366">
        <v>0</v>
      </c>
      <c r="O366" t="str">
        <v>FA</v>
      </c>
      <c r="P366" t="str">
        <v>Fallow, idle or otherwise not irrigated</v>
      </c>
      <c r="Q366">
        <v>0.8431049963930205</v>
      </c>
      <c r="R366" t="str">
        <v>4</v>
      </c>
      <c r="S366" t="str">
        <v>Not irrigated</v>
      </c>
      <c r="T366" t="str">
        <v xml:space="preserve"> </v>
      </c>
      <c r="U366">
        <v>0</v>
      </c>
      <c r="V366" t="str">
        <v>7</v>
      </c>
      <c r="W366">
        <v>0</v>
      </c>
      <c r="X366" t="str">
        <v>None</v>
      </c>
      <c r="Y366">
        <v>0</v>
      </c>
      <c r="Z366">
        <v>0</v>
      </c>
      <c r="AA366">
        <v>0</v>
      </c>
      <c r="AB366" t="str">
        <v>HI</v>
      </c>
      <c r="AC366" t="str">
        <v>Bufford Martin</v>
      </c>
      <c r="AD366" t="str">
        <v>1947</v>
      </c>
      <c r="AE366">
        <v>0</v>
      </c>
      <c r="AF366">
        <v>0</v>
      </c>
      <c r="AG366">
        <v>0</v>
      </c>
      <c r="AH366">
        <v>0</v>
      </c>
      <c r="AI366">
        <v>284.49804068334799</v>
      </c>
      <c r="AJ366">
        <v>3411.9385171510439</v>
      </c>
      <c r="AK366">
        <v>0</v>
      </c>
    </row>
    <row r="367" spans="1:37" x14ac:dyDescent="0.25">
      <c r="A367">
        <v>63</v>
      </c>
      <c r="B367" t="str">
        <v>SS-00091</v>
      </c>
      <c r="C367" t="str">
        <v>SS</v>
      </c>
      <c r="D367">
        <v>0</v>
      </c>
      <c r="E367" t="str">
        <v>MM</v>
      </c>
      <c r="F367">
        <v>0</v>
      </c>
      <c r="G367">
        <v>45819</v>
      </c>
      <c r="H367">
        <v>0</v>
      </c>
      <c r="I367" t="str">
        <v>Arizona v California</v>
      </c>
      <c r="J367" t="str">
        <v>San Simon Creek</v>
      </c>
      <c r="K367" t="str">
        <v>SC</v>
      </c>
      <c r="L367" t="str">
        <v>San Simon</v>
      </c>
      <c r="M367" t="str">
        <v>SS</v>
      </c>
      <c r="N367">
        <v>0</v>
      </c>
      <c r="O367" t="str">
        <v>FA</v>
      </c>
      <c r="P367" t="str">
        <v>Fallow, idle or otherwise not irrigated</v>
      </c>
      <c r="Q367">
        <v>2.4921016856585592</v>
      </c>
      <c r="R367" t="str">
        <v>4</v>
      </c>
      <c r="S367" t="str">
        <v>Not irrigated</v>
      </c>
      <c r="T367" t="str">
        <v xml:space="preserve"> </v>
      </c>
      <c r="U367">
        <v>0</v>
      </c>
      <c r="V367" t="str">
        <v>7</v>
      </c>
      <c r="W367">
        <v>0</v>
      </c>
      <c r="X367" t="str">
        <v>SS-27,28</v>
      </c>
      <c r="Y367">
        <v>0</v>
      </c>
      <c r="Z367">
        <v>0</v>
      </c>
      <c r="AA367">
        <v>0</v>
      </c>
      <c r="AB367" t="str">
        <v>HI</v>
      </c>
      <c r="AC367" t="str">
        <v xml:space="preserve"> </v>
      </c>
      <c r="AD367" t="str">
        <v>1953</v>
      </c>
      <c r="AE367">
        <v>0</v>
      </c>
      <c r="AF367">
        <v>0</v>
      </c>
      <c r="AG367">
        <v>0</v>
      </c>
      <c r="AH367">
        <v>0</v>
      </c>
      <c r="AI367">
        <v>494.78049103459642</v>
      </c>
      <c r="AJ367">
        <v>10085.218052713069</v>
      </c>
      <c r="AK367">
        <v>0</v>
      </c>
    </row>
    <row r="368" spans="1:37" x14ac:dyDescent="0.25">
      <c r="A368">
        <v>64</v>
      </c>
      <c r="B368" t="str">
        <v>SS-00092</v>
      </c>
      <c r="C368" t="str">
        <v>SS</v>
      </c>
      <c r="D368">
        <v>0</v>
      </c>
      <c r="E368" t="str">
        <v>MM</v>
      </c>
      <c r="F368">
        <v>0</v>
      </c>
      <c r="G368">
        <v>45819</v>
      </c>
      <c r="H368">
        <v>0</v>
      </c>
      <c r="I368" t="str">
        <v>Arizona v California</v>
      </c>
      <c r="J368" t="str">
        <v>San Simon Creek</v>
      </c>
      <c r="K368" t="str">
        <v>SC</v>
      </c>
      <c r="L368" t="str">
        <v>San Simon</v>
      </c>
      <c r="M368" t="str">
        <v>SS</v>
      </c>
      <c r="N368">
        <v>0</v>
      </c>
      <c r="O368" t="str">
        <v>FA</v>
      </c>
      <c r="P368" t="str">
        <v>Fallow, idle or otherwise not irrigated</v>
      </c>
      <c r="Q368">
        <v>1.2841178652883121</v>
      </c>
      <c r="R368" t="str">
        <v>4</v>
      </c>
      <c r="S368" t="str">
        <v>Not irrigated</v>
      </c>
      <c r="T368">
        <v>0</v>
      </c>
      <c r="U368">
        <v>0</v>
      </c>
      <c r="V368" t="str">
        <v>7</v>
      </c>
      <c r="W368">
        <v>0</v>
      </c>
      <c r="X368" t="str">
        <v xml:space="preserve"> </v>
      </c>
      <c r="Y368">
        <v>0</v>
      </c>
      <c r="Z368">
        <v>0</v>
      </c>
      <c r="AA368">
        <v>0</v>
      </c>
      <c r="AB368" t="str">
        <v>HI</v>
      </c>
      <c r="AC368" t="str">
        <v xml:space="preserve"> </v>
      </c>
      <c r="AD368" t="str">
        <v>0</v>
      </c>
      <c r="AE368">
        <v>0</v>
      </c>
      <c r="AF368">
        <v>0</v>
      </c>
      <c r="AG368">
        <v>0</v>
      </c>
      <c r="AH368">
        <v>0</v>
      </c>
      <c r="AI368">
        <v>386.71441385988612</v>
      </c>
      <c r="AJ368">
        <v>5196.6614168854649</v>
      </c>
      <c r="AK368">
        <v>0</v>
      </c>
    </row>
    <row r="369" spans="1:37" x14ac:dyDescent="0.25">
      <c r="A369">
        <v>65</v>
      </c>
      <c r="B369" t="str">
        <v>SS-00093</v>
      </c>
      <c r="C369" t="str">
        <v>SS</v>
      </c>
      <c r="D369">
        <v>0</v>
      </c>
      <c r="E369" t="str">
        <v>MM</v>
      </c>
      <c r="F369">
        <v>0</v>
      </c>
      <c r="G369">
        <v>45819</v>
      </c>
      <c r="H369">
        <v>0</v>
      </c>
      <c r="I369" t="str">
        <v>Arizona v California</v>
      </c>
      <c r="J369" t="str">
        <v>San Simon Creek</v>
      </c>
      <c r="K369" t="str">
        <v>SC</v>
      </c>
      <c r="L369" t="str">
        <v>San Simon</v>
      </c>
      <c r="M369" t="str">
        <v>SS</v>
      </c>
      <c r="N369">
        <v>0</v>
      </c>
      <c r="O369" t="str">
        <v>FA</v>
      </c>
      <c r="P369" t="str">
        <v>Fallow, idle or otherwise not irrigated</v>
      </c>
      <c r="Q369">
        <v>0.40315196443129869</v>
      </c>
      <c r="R369" t="str">
        <v>4</v>
      </c>
      <c r="S369" t="str">
        <v>Not irrigated</v>
      </c>
      <c r="T369" t="str">
        <v xml:space="preserve"> </v>
      </c>
      <c r="U369">
        <v>0</v>
      </c>
      <c r="V369" t="str">
        <v>7</v>
      </c>
      <c r="W369">
        <v>0</v>
      </c>
      <c r="X369" t="str">
        <v>SS-37</v>
      </c>
      <c r="Y369">
        <v>0</v>
      </c>
      <c r="Z369">
        <v>0</v>
      </c>
      <c r="AA369">
        <v>0</v>
      </c>
      <c r="AB369" t="str">
        <v>HI</v>
      </c>
      <c r="AC369" t="str">
        <v xml:space="preserve"> </v>
      </c>
      <c r="AD369" t="str">
        <v>1958</v>
      </c>
      <c r="AE369">
        <v>0</v>
      </c>
      <c r="AF369">
        <v>0</v>
      </c>
      <c r="AG369">
        <v>0</v>
      </c>
      <c r="AH369">
        <v>0</v>
      </c>
      <c r="AI369">
        <v>246.5225948704973</v>
      </c>
      <c r="AJ369">
        <v>1631.504642474021</v>
      </c>
      <c r="AK369">
        <v>0</v>
      </c>
    </row>
    <row r="370" spans="1:37" x14ac:dyDescent="0.25">
      <c r="A370">
        <v>66</v>
      </c>
      <c r="B370" t="str">
        <v>SS-00094</v>
      </c>
      <c r="C370" t="str">
        <v>SS</v>
      </c>
      <c r="D370">
        <v>0</v>
      </c>
      <c r="E370" t="str">
        <v>MM</v>
      </c>
      <c r="F370">
        <v>0</v>
      </c>
      <c r="G370">
        <v>45819</v>
      </c>
      <c r="H370">
        <v>0</v>
      </c>
      <c r="I370" t="str">
        <v>Arizona v California</v>
      </c>
      <c r="J370" t="str">
        <v>San Simon Creek</v>
      </c>
      <c r="K370" t="str">
        <v>SC</v>
      </c>
      <c r="L370" t="str">
        <v>San Simon</v>
      </c>
      <c r="M370" t="str">
        <v>SS</v>
      </c>
      <c r="N370">
        <v>0</v>
      </c>
      <c r="O370" t="str">
        <v>FA</v>
      </c>
      <c r="P370" t="str">
        <v>Fallow, idle or otherwise not irrigated</v>
      </c>
      <c r="Q370">
        <v>0.58560351657925691</v>
      </c>
      <c r="R370" t="str">
        <v>4</v>
      </c>
      <c r="S370" t="str">
        <v>Not irrigated</v>
      </c>
      <c r="T370" t="str">
        <v xml:space="preserve"> </v>
      </c>
      <c r="U370">
        <v>0</v>
      </c>
      <c r="V370" t="str">
        <v>7</v>
      </c>
      <c r="W370">
        <v>0</v>
      </c>
      <c r="X370" t="str">
        <v xml:space="preserve"> </v>
      </c>
      <c r="Y370">
        <v>0</v>
      </c>
      <c r="Z370">
        <v>0</v>
      </c>
      <c r="AA370">
        <v>0</v>
      </c>
      <c r="AB370" t="str">
        <v>HI</v>
      </c>
      <c r="AC370" t="str">
        <v>Jack Hoggett and Annie Lee Hoggett</v>
      </c>
      <c r="AD370" t="str">
        <v>1949</v>
      </c>
      <c r="AE370">
        <v>0</v>
      </c>
      <c r="AF370">
        <v>0</v>
      </c>
      <c r="AG370">
        <v>0</v>
      </c>
      <c r="AH370">
        <v>0</v>
      </c>
      <c r="AI370">
        <v>192.38362850136079</v>
      </c>
      <c r="AJ370">
        <v>2369.8628314906368</v>
      </c>
      <c r="AK370">
        <v>0</v>
      </c>
    </row>
    <row r="371" spans="1:37" x14ac:dyDescent="0.25">
      <c r="A371">
        <v>67</v>
      </c>
      <c r="B371" t="str">
        <v>SS-00095</v>
      </c>
      <c r="C371" t="str">
        <v>SS</v>
      </c>
      <c r="D371">
        <v>0</v>
      </c>
      <c r="E371" t="str">
        <v>MM</v>
      </c>
      <c r="F371">
        <v>0</v>
      </c>
      <c r="G371">
        <v>45819</v>
      </c>
      <c r="H371">
        <v>0</v>
      </c>
      <c r="I371" t="str">
        <v>Arizona v California</v>
      </c>
      <c r="J371" t="str">
        <v>San Simon Creek</v>
      </c>
      <c r="K371" t="str">
        <v>SC</v>
      </c>
      <c r="L371" t="str">
        <v>San Simon</v>
      </c>
      <c r="M371" t="str">
        <v>SS</v>
      </c>
      <c r="N371">
        <v>0</v>
      </c>
      <c r="O371" t="str">
        <v>FA</v>
      </c>
      <c r="P371" t="str">
        <v>Fallow, idle or otherwise not irrigated</v>
      </c>
      <c r="Q371">
        <v>1.541014229383453</v>
      </c>
      <c r="R371" t="str">
        <v>4</v>
      </c>
      <c r="S371" t="str">
        <v>Not irrigated</v>
      </c>
      <c r="T371">
        <v>0</v>
      </c>
      <c r="U371">
        <v>0</v>
      </c>
      <c r="V371" t="str">
        <v>7</v>
      </c>
      <c r="W371">
        <v>0</v>
      </c>
      <c r="X371" t="str">
        <v>SS-33,37</v>
      </c>
      <c r="Y371">
        <v>0</v>
      </c>
      <c r="Z371">
        <v>0</v>
      </c>
      <c r="AA371">
        <v>0</v>
      </c>
      <c r="AB371" t="str">
        <v>HI</v>
      </c>
      <c r="AC371" t="str">
        <v>Jack Hoggett and Annie Lee Hoggett</v>
      </c>
      <c r="AD371" t="str">
        <v>1949</v>
      </c>
      <c r="AE371">
        <v>0</v>
      </c>
      <c r="AF371">
        <v>0</v>
      </c>
      <c r="AG371">
        <v>0</v>
      </c>
      <c r="AH371">
        <v>0</v>
      </c>
      <c r="AI371">
        <v>500.95660218804318</v>
      </c>
      <c r="AJ371">
        <v>6236.2882763183716</v>
      </c>
      <c r="AK371">
        <v>0</v>
      </c>
    </row>
    <row r="372" spans="1:37" x14ac:dyDescent="0.25">
      <c r="A372">
        <v>68</v>
      </c>
      <c r="B372" t="str">
        <v>SS-00096</v>
      </c>
      <c r="C372" t="str">
        <v>SS</v>
      </c>
      <c r="D372">
        <v>0</v>
      </c>
      <c r="E372" t="str">
        <v>MM</v>
      </c>
      <c r="F372">
        <v>0</v>
      </c>
      <c r="G372">
        <v>45819</v>
      </c>
      <c r="H372">
        <v>0</v>
      </c>
      <c r="I372" t="str">
        <v>Arizona v California</v>
      </c>
      <c r="J372" t="str">
        <v>San Simon Creek</v>
      </c>
      <c r="K372" t="str">
        <v>SC</v>
      </c>
      <c r="L372" t="str">
        <v>San Simon</v>
      </c>
      <c r="M372" t="str">
        <v>SS</v>
      </c>
      <c r="N372">
        <v>0</v>
      </c>
      <c r="O372" t="str">
        <v>FA</v>
      </c>
      <c r="P372" t="str">
        <v>Fallow, idle or otherwise not irrigated</v>
      </c>
      <c r="Q372">
        <v>40.069454371443783</v>
      </c>
      <c r="R372" t="str">
        <v>4</v>
      </c>
      <c r="S372" t="str">
        <v>Not irrigated</v>
      </c>
      <c r="T372" t="str">
        <v xml:space="preserve"> </v>
      </c>
      <c r="U372">
        <v>0</v>
      </c>
      <c r="V372" t="str">
        <v>8</v>
      </c>
      <c r="W372">
        <v>0</v>
      </c>
      <c r="X372" t="str">
        <v xml:space="preserve"> </v>
      </c>
      <c r="Y372">
        <v>0</v>
      </c>
      <c r="Z372">
        <v>0</v>
      </c>
      <c r="AA372">
        <v>0</v>
      </c>
      <c r="AB372" t="str">
        <v>HI</v>
      </c>
      <c r="AC372" t="str">
        <v xml:space="preserve"> </v>
      </c>
      <c r="AD372" t="str">
        <v>0</v>
      </c>
      <c r="AE372">
        <v>0</v>
      </c>
      <c r="AF372">
        <v>0</v>
      </c>
      <c r="AG372">
        <v>0</v>
      </c>
      <c r="AH372">
        <v>0</v>
      </c>
      <c r="AI372">
        <v>1609.305337317428</v>
      </c>
      <c r="AJ372">
        <v>162155.97738840189</v>
      </c>
      <c r="AK372">
        <v>0</v>
      </c>
    </row>
    <row r="373" spans="1:37" x14ac:dyDescent="0.25">
      <c r="A373">
        <v>69</v>
      </c>
      <c r="B373" t="str">
        <v>SS-00097</v>
      </c>
      <c r="C373" t="str">
        <v>SS</v>
      </c>
      <c r="D373">
        <v>0</v>
      </c>
      <c r="E373" t="str">
        <v>MM</v>
      </c>
      <c r="F373">
        <v>0</v>
      </c>
      <c r="G373">
        <v>45819</v>
      </c>
      <c r="H373">
        <v>0</v>
      </c>
      <c r="I373" t="str">
        <v>Arizona v California</v>
      </c>
      <c r="J373" t="str">
        <v>San Simon Creek</v>
      </c>
      <c r="K373" t="str">
        <v>SC</v>
      </c>
      <c r="L373" t="str">
        <v>San Simon</v>
      </c>
      <c r="M373" t="str">
        <v>SS</v>
      </c>
      <c r="N373">
        <v>0</v>
      </c>
      <c r="O373" t="str">
        <v>FA</v>
      </c>
      <c r="P373" t="str">
        <v>Fallow, idle or otherwise not irrigated</v>
      </c>
      <c r="Q373">
        <v>0.23377010758270281</v>
      </c>
      <c r="R373" t="str">
        <v>4</v>
      </c>
      <c r="S373" t="str">
        <v>Not irrigated</v>
      </c>
      <c r="T373" t="str">
        <v xml:space="preserve"> </v>
      </c>
      <c r="U373">
        <v>0</v>
      </c>
      <c r="V373" t="str">
        <v>7</v>
      </c>
      <c r="W373">
        <v>0</v>
      </c>
      <c r="X373" t="str">
        <v>SS-27,28</v>
      </c>
      <c r="Y373">
        <v>0</v>
      </c>
      <c r="Z373">
        <v>0</v>
      </c>
      <c r="AA373">
        <v>0</v>
      </c>
      <c r="AB373" t="str">
        <v>HI</v>
      </c>
      <c r="AC373" t="str">
        <v xml:space="preserve"> </v>
      </c>
      <c r="AD373" t="str">
        <v>1953</v>
      </c>
      <c r="AE373">
        <v>0</v>
      </c>
      <c r="AF373">
        <v>0</v>
      </c>
      <c r="AG373">
        <v>0</v>
      </c>
      <c r="AH373">
        <v>0</v>
      </c>
      <c r="AI373">
        <v>144.80381418146911</v>
      </c>
      <c r="AJ373">
        <v>946.03784538379705</v>
      </c>
      <c r="AK373">
        <v>0</v>
      </c>
    </row>
    <row r="374" spans="1:37" x14ac:dyDescent="0.25">
      <c r="A374">
        <v>70</v>
      </c>
      <c r="B374" t="str">
        <v>SS-00098</v>
      </c>
      <c r="C374" t="str">
        <v>SS</v>
      </c>
      <c r="D374">
        <v>0</v>
      </c>
      <c r="E374" t="str">
        <v>MM</v>
      </c>
      <c r="F374">
        <v>0</v>
      </c>
      <c r="G374">
        <v>45819</v>
      </c>
      <c r="H374">
        <v>0</v>
      </c>
      <c r="I374" t="str">
        <v>Arizona v California</v>
      </c>
      <c r="J374" t="str">
        <v>San Simon Creek</v>
      </c>
      <c r="K374" t="str">
        <v>SC</v>
      </c>
      <c r="L374" t="str">
        <v>San Simon</v>
      </c>
      <c r="M374" t="str">
        <v>SS</v>
      </c>
      <c r="N374">
        <v>0</v>
      </c>
      <c r="O374" t="str">
        <v>FA</v>
      </c>
      <c r="P374" t="str">
        <v>Fallow, idle or otherwise not irrigated</v>
      </c>
      <c r="Q374">
        <v>10.763121435770589</v>
      </c>
      <c r="R374" t="str">
        <v>4</v>
      </c>
      <c r="S374" t="str">
        <v>Not irrigated</v>
      </c>
      <c r="T374" t="str">
        <v xml:space="preserve"> </v>
      </c>
      <c r="U374">
        <v>0</v>
      </c>
      <c r="V374" t="str">
        <v>8</v>
      </c>
      <c r="W374">
        <v>0</v>
      </c>
      <c r="X374" t="str">
        <v>SS-27,28</v>
      </c>
      <c r="Y374">
        <v>0</v>
      </c>
      <c r="Z374">
        <v>0</v>
      </c>
      <c r="AA374">
        <v>0</v>
      </c>
      <c r="AB374" t="str">
        <v>HI</v>
      </c>
      <c r="AC374" t="str">
        <v>Rosalio Alba and Maria Alba</v>
      </c>
      <c r="AD374" t="str">
        <v>1953</v>
      </c>
      <c r="AE374">
        <v>0</v>
      </c>
      <c r="AF374">
        <v>0</v>
      </c>
      <c r="AG374">
        <v>0</v>
      </c>
      <c r="AH374">
        <v>0</v>
      </c>
      <c r="AI374">
        <v>989.43179034775494</v>
      </c>
      <c r="AJ374">
        <v>43556.981335170443</v>
      </c>
      <c r="AK374">
        <v>0</v>
      </c>
    </row>
    <row r="375" spans="1:37" x14ac:dyDescent="0.25">
      <c r="A375">
        <v>71</v>
      </c>
      <c r="B375" t="str">
        <v>SS-00099</v>
      </c>
      <c r="C375" t="str">
        <v>SS</v>
      </c>
      <c r="D375">
        <v>0</v>
      </c>
      <c r="E375" t="str">
        <v>MM</v>
      </c>
      <c r="F375">
        <v>0</v>
      </c>
      <c r="G375">
        <v>45819</v>
      </c>
      <c r="H375">
        <v>0</v>
      </c>
      <c r="I375" t="str">
        <v>Arizona v California</v>
      </c>
      <c r="J375" t="str">
        <v>San Simon Creek</v>
      </c>
      <c r="K375" t="str">
        <v>SC</v>
      </c>
      <c r="L375" t="str">
        <v>San Simon</v>
      </c>
      <c r="M375" t="str">
        <v>SS</v>
      </c>
      <c r="N375">
        <v>0</v>
      </c>
      <c r="O375" t="str">
        <v>FA</v>
      </c>
      <c r="P375" t="str">
        <v>Fallow, idle or otherwise not irrigated</v>
      </c>
      <c r="Q375">
        <v>50.482145990957861</v>
      </c>
      <c r="R375" t="str">
        <v>4</v>
      </c>
      <c r="S375" t="str">
        <v>Not irrigated</v>
      </c>
      <c r="T375" t="str">
        <v xml:space="preserve"> </v>
      </c>
      <c r="U375">
        <v>0</v>
      </c>
      <c r="V375" t="str">
        <v>8</v>
      </c>
      <c r="W375">
        <v>0</v>
      </c>
      <c r="X375" t="str">
        <v>SS-27,28</v>
      </c>
      <c r="Y375">
        <v>0</v>
      </c>
      <c r="Z375">
        <v>0</v>
      </c>
      <c r="AA375">
        <v>0</v>
      </c>
      <c r="AB375" t="str">
        <v>HI</v>
      </c>
      <c r="AC375" t="str">
        <v>Rosalio Alba and Maria Alba</v>
      </c>
      <c r="AD375" t="str">
        <v>1953</v>
      </c>
      <c r="AE375">
        <v>0</v>
      </c>
      <c r="AF375">
        <v>0</v>
      </c>
      <c r="AG375">
        <v>0</v>
      </c>
      <c r="AH375">
        <v>0</v>
      </c>
      <c r="AI375">
        <v>2193.7795888708079</v>
      </c>
      <c r="AJ375">
        <v>204294.81389848061</v>
      </c>
      <c r="AK375">
        <v>0</v>
      </c>
    </row>
    <row r="376" spans="1:37" x14ac:dyDescent="0.25">
      <c r="A376">
        <v>72</v>
      </c>
      <c r="B376" t="str">
        <v>SS-00100</v>
      </c>
      <c r="C376" t="str">
        <v>SS</v>
      </c>
      <c r="D376">
        <v>0</v>
      </c>
      <c r="E376" t="str">
        <v>MM</v>
      </c>
      <c r="F376">
        <v>0</v>
      </c>
      <c r="G376">
        <v>45819</v>
      </c>
      <c r="H376">
        <v>0</v>
      </c>
      <c r="I376" t="str">
        <v>Arizona v California</v>
      </c>
      <c r="J376" t="str">
        <v>San Simon Creek</v>
      </c>
      <c r="K376" t="str">
        <v>SC</v>
      </c>
      <c r="L376" t="str">
        <v>San Simon</v>
      </c>
      <c r="M376" t="str">
        <v>SS</v>
      </c>
      <c r="N376">
        <v>0</v>
      </c>
      <c r="O376" t="str">
        <v>FA</v>
      </c>
      <c r="P376" t="str">
        <v>Fallow, idle or otherwise not irrigated</v>
      </c>
      <c r="Q376">
        <v>11.41423733301048</v>
      </c>
      <c r="R376" t="str">
        <v>4</v>
      </c>
      <c r="S376" t="str">
        <v>Not irrigated</v>
      </c>
      <c r="T376" t="str">
        <v xml:space="preserve"> </v>
      </c>
      <c r="U376">
        <v>0</v>
      </c>
      <c r="V376" t="str">
        <v>8</v>
      </c>
      <c r="W376">
        <v>0</v>
      </c>
      <c r="X376" t="str">
        <v>SS-2</v>
      </c>
      <c r="Y376">
        <v>0</v>
      </c>
      <c r="Z376">
        <v>0</v>
      </c>
      <c r="AA376">
        <v>0</v>
      </c>
      <c r="AB376" t="str">
        <v>HI</v>
      </c>
      <c r="AC376" t="str">
        <v>Boyce H. Lines and Carol M. Lines</v>
      </c>
      <c r="AD376" t="str">
        <v>1950</v>
      </c>
      <c r="AE376">
        <v>0</v>
      </c>
      <c r="AF376">
        <v>0</v>
      </c>
      <c r="AG376">
        <v>0</v>
      </c>
      <c r="AH376">
        <v>0</v>
      </c>
      <c r="AI376">
        <v>1029.132002225994</v>
      </c>
      <c r="AJ376">
        <v>46191.964425564249</v>
      </c>
      <c r="AK376">
        <v>0</v>
      </c>
    </row>
    <row r="377" spans="1:37" x14ac:dyDescent="0.25">
      <c r="A377">
        <v>73</v>
      </c>
      <c r="B377" t="str">
        <v>SS-00101</v>
      </c>
      <c r="C377" t="str">
        <v>SS</v>
      </c>
      <c r="D377">
        <v>0</v>
      </c>
      <c r="E377" t="str">
        <v>MM</v>
      </c>
      <c r="F377">
        <v>0</v>
      </c>
      <c r="G377">
        <v>45819</v>
      </c>
      <c r="H377">
        <v>0</v>
      </c>
      <c r="I377" t="str">
        <v>Arizona v California</v>
      </c>
      <c r="J377" t="str">
        <v>San Simon Creek</v>
      </c>
      <c r="K377" t="str">
        <v>SC</v>
      </c>
      <c r="L377" t="str">
        <v>San Simon</v>
      </c>
      <c r="M377" t="str">
        <v>SS</v>
      </c>
      <c r="N377">
        <v>0</v>
      </c>
      <c r="O377" t="str">
        <v>FA</v>
      </c>
      <c r="P377" t="str">
        <v>Fallow, idle or otherwise not irrigated</v>
      </c>
      <c r="Q377">
        <v>36.842220132651477</v>
      </c>
      <c r="R377" t="str">
        <v>4</v>
      </c>
      <c r="S377" t="str">
        <v>Not irrigated</v>
      </c>
      <c r="T377" t="str">
        <v xml:space="preserve"> </v>
      </c>
      <c r="U377">
        <v>0</v>
      </c>
      <c r="V377" t="str">
        <v>8</v>
      </c>
      <c r="W377">
        <v>0</v>
      </c>
      <c r="X377" t="str">
        <v>SS-2</v>
      </c>
      <c r="Y377">
        <v>0</v>
      </c>
      <c r="Z377">
        <v>0</v>
      </c>
      <c r="AA377">
        <v>0</v>
      </c>
      <c r="AB377" t="str">
        <v>HI</v>
      </c>
      <c r="AC377" t="str">
        <v>Boyce H. Lines and Carol M. Lines</v>
      </c>
      <c r="AD377" t="str">
        <v>1950</v>
      </c>
      <c r="AE377">
        <v>0</v>
      </c>
      <c r="AF377">
        <v>0</v>
      </c>
      <c r="AG377">
        <v>0</v>
      </c>
      <c r="AH377">
        <v>0</v>
      </c>
      <c r="AI377">
        <v>2092.603547666788</v>
      </c>
      <c r="AJ377">
        <v>149095.77154178501</v>
      </c>
      <c r="AK377">
        <v>0</v>
      </c>
    </row>
    <row r="378" spans="1:37" x14ac:dyDescent="0.25">
      <c r="A378">
        <v>74</v>
      </c>
      <c r="B378" t="str">
        <v>SS-00102</v>
      </c>
      <c r="C378" t="str">
        <v>SS</v>
      </c>
      <c r="D378">
        <v>0</v>
      </c>
      <c r="E378" t="str">
        <v>MM</v>
      </c>
      <c r="F378">
        <v>0</v>
      </c>
      <c r="G378">
        <v>45819</v>
      </c>
      <c r="H378">
        <v>0</v>
      </c>
      <c r="I378" t="str">
        <v>Arizona v California</v>
      </c>
      <c r="J378" t="str">
        <v>San Simon Creek</v>
      </c>
      <c r="K378" t="str">
        <v>SC</v>
      </c>
      <c r="L378" t="str">
        <v>San Simon</v>
      </c>
      <c r="M378" t="str">
        <v>SS</v>
      </c>
      <c r="N378">
        <v>0</v>
      </c>
      <c r="O378" t="str">
        <v>FA</v>
      </c>
      <c r="P378" t="str">
        <v>Fallow, idle or otherwise not irrigated</v>
      </c>
      <c r="Q378">
        <v>33.406532545492347</v>
      </c>
      <c r="R378" t="str">
        <v>4</v>
      </c>
      <c r="S378" t="str">
        <v>Not irrigated</v>
      </c>
      <c r="T378" t="str">
        <v xml:space="preserve"> </v>
      </c>
      <c r="U378">
        <v>0</v>
      </c>
      <c r="V378" t="str">
        <v>8</v>
      </c>
      <c r="W378">
        <v>0</v>
      </c>
      <c r="X378" t="str">
        <v>SS-2</v>
      </c>
      <c r="Y378">
        <v>0</v>
      </c>
      <c r="Z378">
        <v>0</v>
      </c>
      <c r="AA378">
        <v>0</v>
      </c>
      <c r="AB378" t="str">
        <v>HI</v>
      </c>
      <c r="AC378" t="str">
        <v>Boyce H. Lines and Carol M. Lines</v>
      </c>
      <c r="AD378" t="str">
        <v>1950</v>
      </c>
      <c r="AE378">
        <v>0</v>
      </c>
      <c r="AF378">
        <v>0</v>
      </c>
      <c r="AG378">
        <v>0</v>
      </c>
      <c r="AH378">
        <v>0</v>
      </c>
      <c r="AI378">
        <v>1939.35063399248</v>
      </c>
      <c r="AJ378">
        <v>135191.98154922569</v>
      </c>
      <c r="AK378">
        <v>0</v>
      </c>
    </row>
    <row r="379" spans="1:37" x14ac:dyDescent="0.25">
      <c r="A379">
        <v>75</v>
      </c>
      <c r="B379" t="str">
        <v>SS-00103</v>
      </c>
      <c r="C379" t="str">
        <v>SS</v>
      </c>
      <c r="D379">
        <v>0</v>
      </c>
      <c r="E379" t="str">
        <v>MM</v>
      </c>
      <c r="F379">
        <v>0</v>
      </c>
      <c r="G379">
        <v>45819</v>
      </c>
      <c r="H379">
        <v>0</v>
      </c>
      <c r="I379" t="str">
        <v>Arizona v California</v>
      </c>
      <c r="J379" t="str">
        <v>San Simon Creek</v>
      </c>
      <c r="K379" t="str">
        <v>SC</v>
      </c>
      <c r="L379" t="str">
        <v>San Simon</v>
      </c>
      <c r="M379" t="str">
        <v>SS</v>
      </c>
      <c r="N379">
        <v>0</v>
      </c>
      <c r="O379" t="str">
        <v>FA</v>
      </c>
      <c r="P379" t="str">
        <v>Fallow, idle or otherwise not irrigated</v>
      </c>
      <c r="Q379">
        <v>4.2772343447122809</v>
      </c>
      <c r="R379" t="str">
        <v>4</v>
      </c>
      <c r="S379" t="str">
        <v>Not irrigated</v>
      </c>
      <c r="T379" t="str">
        <v xml:space="preserve"> </v>
      </c>
      <c r="U379">
        <v>0</v>
      </c>
      <c r="V379" t="str">
        <v>8</v>
      </c>
      <c r="W379">
        <v>0</v>
      </c>
      <c r="X379" t="str">
        <v>SS-33,38</v>
      </c>
      <c r="Y379">
        <v>0</v>
      </c>
      <c r="Z379">
        <v>0</v>
      </c>
      <c r="AA379">
        <v>0</v>
      </c>
      <c r="AB379" t="str">
        <v>HI</v>
      </c>
      <c r="AC379" t="str">
        <v>Jack Hoggett</v>
      </c>
      <c r="AD379" t="str">
        <v>1949</v>
      </c>
      <c r="AE379">
        <v>0</v>
      </c>
      <c r="AF379">
        <v>0</v>
      </c>
      <c r="AG379">
        <v>0</v>
      </c>
      <c r="AH379">
        <v>0</v>
      </c>
      <c r="AI379">
        <v>545.8555428894224</v>
      </c>
      <c r="AJ379">
        <v>17309.422515629569</v>
      </c>
      <c r="AK379">
        <v>0</v>
      </c>
    </row>
    <row r="380" spans="1:37" x14ac:dyDescent="0.25">
      <c r="A380">
        <v>76</v>
      </c>
      <c r="B380" t="str">
        <v>SS-00104</v>
      </c>
      <c r="C380" t="str">
        <v>SS</v>
      </c>
      <c r="D380">
        <v>0</v>
      </c>
      <c r="E380" t="str">
        <v>MM</v>
      </c>
      <c r="F380">
        <v>0</v>
      </c>
      <c r="G380">
        <v>45819</v>
      </c>
      <c r="H380">
        <v>0</v>
      </c>
      <c r="I380" t="str">
        <v>Arizona v California</v>
      </c>
      <c r="J380" t="str">
        <v>San Simon Creek</v>
      </c>
      <c r="K380" t="str">
        <v>SC</v>
      </c>
      <c r="L380" t="str">
        <v>San Simon</v>
      </c>
      <c r="M380" t="str">
        <v>SS</v>
      </c>
      <c r="N380">
        <v>0</v>
      </c>
      <c r="O380" t="str">
        <v>FA</v>
      </c>
      <c r="P380" t="str">
        <v>Fallow, idle or otherwise not irrigated</v>
      </c>
      <c r="Q380">
        <v>5.7443554924971716</v>
      </c>
      <c r="R380" t="str">
        <v>4</v>
      </c>
      <c r="S380" t="str">
        <v>Not irrigated</v>
      </c>
      <c r="T380" t="str">
        <v xml:space="preserve"> </v>
      </c>
      <c r="U380">
        <v>0</v>
      </c>
      <c r="V380" t="str">
        <v>8</v>
      </c>
      <c r="W380">
        <v>0</v>
      </c>
      <c r="X380" t="str">
        <v>SS-33,38</v>
      </c>
      <c r="Y380">
        <v>0</v>
      </c>
      <c r="Z380">
        <v>0</v>
      </c>
      <c r="AA380">
        <v>0</v>
      </c>
      <c r="AB380" t="str">
        <v>HI</v>
      </c>
      <c r="AC380" t="str">
        <v>Jack Hoggett</v>
      </c>
      <c r="AD380" t="str">
        <v>1949</v>
      </c>
      <c r="AE380">
        <v>0</v>
      </c>
      <c r="AF380">
        <v>0</v>
      </c>
      <c r="AG380">
        <v>0</v>
      </c>
      <c r="AH380">
        <v>0</v>
      </c>
      <c r="AI380">
        <v>768.31099626331104</v>
      </c>
      <c r="AJ380">
        <v>23246.67490396752</v>
      </c>
      <c r="AK380">
        <v>0</v>
      </c>
    </row>
    <row r="381" spans="1:37" x14ac:dyDescent="0.25">
      <c r="A381">
        <v>77</v>
      </c>
      <c r="B381" t="str">
        <v>SS-00105</v>
      </c>
      <c r="C381" t="str">
        <v>SS</v>
      </c>
      <c r="D381">
        <v>0</v>
      </c>
      <c r="E381" t="str">
        <v>MM</v>
      </c>
      <c r="F381">
        <v>0</v>
      </c>
      <c r="G381">
        <v>45819</v>
      </c>
      <c r="H381">
        <v>0</v>
      </c>
      <c r="I381" t="str">
        <v>Arizona v California</v>
      </c>
      <c r="J381" t="str">
        <v>San Simon Creek</v>
      </c>
      <c r="K381" t="str">
        <v>SC</v>
      </c>
      <c r="L381" t="str">
        <v>San Simon</v>
      </c>
      <c r="M381" t="str">
        <v>SS</v>
      </c>
      <c r="N381">
        <v>0</v>
      </c>
      <c r="O381" t="str">
        <v>FA</v>
      </c>
      <c r="P381" t="str">
        <v>Fallow, idle or otherwise not irrigated</v>
      </c>
      <c r="Q381">
        <v>41.257745365921018</v>
      </c>
      <c r="R381" t="str">
        <v>4</v>
      </c>
      <c r="S381" t="str">
        <v>Not irrigated</v>
      </c>
      <c r="T381" t="str">
        <v xml:space="preserve"> </v>
      </c>
      <c r="U381">
        <v>0</v>
      </c>
      <c r="V381" t="str">
        <v>8</v>
      </c>
      <c r="W381">
        <v>0</v>
      </c>
      <c r="X381" t="str">
        <v>SS-27,28</v>
      </c>
      <c r="Y381">
        <v>0</v>
      </c>
      <c r="Z381">
        <v>0</v>
      </c>
      <c r="AA381">
        <v>0</v>
      </c>
      <c r="AB381" t="str">
        <v>HI</v>
      </c>
      <c r="AC381" t="str">
        <v>Rosalio Alba and Maria Alba</v>
      </c>
      <c r="AD381" t="str">
        <v>1953</v>
      </c>
      <c r="AE381">
        <v>0</v>
      </c>
      <c r="AF381">
        <v>0</v>
      </c>
      <c r="AG381">
        <v>0</v>
      </c>
      <c r="AH381">
        <v>0</v>
      </c>
      <c r="AI381">
        <v>1765.0977807783579</v>
      </c>
      <c r="AJ381">
        <v>166964.8396665121</v>
      </c>
      <c r="AK381">
        <v>0</v>
      </c>
    </row>
    <row r="382" spans="1:37" x14ac:dyDescent="0.25">
      <c r="A382">
        <v>78</v>
      </c>
      <c r="B382" t="str">
        <v>SS-00106</v>
      </c>
      <c r="C382" t="str">
        <v>SS</v>
      </c>
      <c r="D382">
        <v>0</v>
      </c>
      <c r="E382" t="str">
        <v>MM</v>
      </c>
      <c r="F382">
        <v>0</v>
      </c>
      <c r="G382">
        <v>45819</v>
      </c>
      <c r="H382">
        <v>0</v>
      </c>
      <c r="I382" t="str">
        <v>Arizona v California</v>
      </c>
      <c r="J382" t="str">
        <v>San Simon Creek</v>
      </c>
      <c r="K382" t="str">
        <v>SC</v>
      </c>
      <c r="L382" t="str">
        <v>San Simon</v>
      </c>
      <c r="M382" t="str">
        <v>SS</v>
      </c>
      <c r="N382">
        <v>0</v>
      </c>
      <c r="O382" t="str">
        <v>FA</v>
      </c>
      <c r="P382" t="str">
        <v>Fallow, idle or otherwise not irrigated</v>
      </c>
      <c r="Q382">
        <v>9.9955854395242696</v>
      </c>
      <c r="R382" t="str">
        <v>4</v>
      </c>
      <c r="S382" t="str">
        <v>Not irrigated</v>
      </c>
      <c r="T382" t="str">
        <v xml:space="preserve"> </v>
      </c>
      <c r="U382">
        <v>0</v>
      </c>
      <c r="V382" t="str">
        <v>8</v>
      </c>
      <c r="W382">
        <v>0</v>
      </c>
      <c r="X382" t="str">
        <v>SS-27,28</v>
      </c>
      <c r="Y382">
        <v>0</v>
      </c>
      <c r="Z382">
        <v>0</v>
      </c>
      <c r="AA382">
        <v>0</v>
      </c>
      <c r="AB382" t="str">
        <v>HI</v>
      </c>
      <c r="AC382" t="str">
        <v>Rosalio Alba and Maria Alba</v>
      </c>
      <c r="AD382" t="str">
        <v>1953</v>
      </c>
      <c r="AE382">
        <v>0</v>
      </c>
      <c r="AF382">
        <v>0</v>
      </c>
      <c r="AG382">
        <v>0</v>
      </c>
      <c r="AH382">
        <v>0</v>
      </c>
      <c r="AI382">
        <v>1129.1151703636949</v>
      </c>
      <c r="AJ382">
        <v>40450.860934868651</v>
      </c>
      <c r="AK382">
        <v>0</v>
      </c>
    </row>
    <row r="383" spans="1:37" x14ac:dyDescent="0.25">
      <c r="A383">
        <v>79</v>
      </c>
      <c r="B383" t="str">
        <v>SS-00107</v>
      </c>
      <c r="C383" t="str">
        <v>SS</v>
      </c>
      <c r="D383">
        <v>0</v>
      </c>
      <c r="E383" t="str">
        <v>MM</v>
      </c>
      <c r="F383">
        <v>0</v>
      </c>
      <c r="G383">
        <v>45819</v>
      </c>
      <c r="H383">
        <v>0</v>
      </c>
      <c r="I383" t="str">
        <v>Arizona v California</v>
      </c>
      <c r="J383" t="str">
        <v>San Simon Creek</v>
      </c>
      <c r="K383" t="str">
        <v>SC</v>
      </c>
      <c r="L383" t="str">
        <v>San Simon</v>
      </c>
      <c r="M383" t="str">
        <v>SS</v>
      </c>
      <c r="N383">
        <v>0</v>
      </c>
      <c r="O383" t="str">
        <v>FA</v>
      </c>
      <c r="P383" t="str">
        <v>Fallow, idle or otherwise not irrigated</v>
      </c>
      <c r="Q383">
        <v>4.7663960445369176</v>
      </c>
      <c r="R383" t="str">
        <v>4</v>
      </c>
      <c r="S383" t="str">
        <v>Not irrigated</v>
      </c>
      <c r="T383" t="str">
        <v xml:space="preserve"> </v>
      </c>
      <c r="U383">
        <v>0</v>
      </c>
      <c r="V383" t="str">
        <v>8</v>
      </c>
      <c r="W383">
        <v>0</v>
      </c>
      <c r="X383" t="str">
        <v>SS-2</v>
      </c>
      <c r="Y383">
        <v>0</v>
      </c>
      <c r="Z383">
        <v>0</v>
      </c>
      <c r="AA383">
        <v>0</v>
      </c>
      <c r="AB383" t="str">
        <v>HI</v>
      </c>
      <c r="AC383" t="str">
        <v>Boyce H. Lines and Carol M. Lines</v>
      </c>
      <c r="AD383" t="str">
        <v>1950</v>
      </c>
      <c r="AE383">
        <v>0</v>
      </c>
      <c r="AF383">
        <v>0</v>
      </c>
      <c r="AG383">
        <v>0</v>
      </c>
      <c r="AH383">
        <v>0</v>
      </c>
      <c r="AI383">
        <v>582.52042009882155</v>
      </c>
      <c r="AJ383">
        <v>19288.997600449431</v>
      </c>
      <c r="AK383">
        <v>0</v>
      </c>
    </row>
    <row r="384" spans="1:37" x14ac:dyDescent="0.25">
      <c r="A384">
        <v>80</v>
      </c>
      <c r="B384" t="str">
        <v>SS-00108</v>
      </c>
      <c r="C384" t="str">
        <v>SS</v>
      </c>
      <c r="D384">
        <v>0</v>
      </c>
      <c r="E384" t="str">
        <v>MM</v>
      </c>
      <c r="F384">
        <v>0</v>
      </c>
      <c r="G384">
        <v>45819</v>
      </c>
      <c r="H384">
        <v>0</v>
      </c>
      <c r="I384" t="str">
        <v>Arizona v California</v>
      </c>
      <c r="J384" t="str">
        <v>San Simon Creek</v>
      </c>
      <c r="K384" t="str">
        <v>SC</v>
      </c>
      <c r="L384" t="str">
        <v>San Simon</v>
      </c>
      <c r="M384" t="str">
        <v>SS</v>
      </c>
      <c r="N384">
        <v>0</v>
      </c>
      <c r="O384" t="str">
        <v>FA</v>
      </c>
      <c r="P384" t="str">
        <v>Fallow, idle or otherwise not irrigated</v>
      </c>
      <c r="Q384">
        <v>6.5134696378214647</v>
      </c>
      <c r="R384" t="str">
        <v>4</v>
      </c>
      <c r="S384" t="str">
        <v>Not irrigated</v>
      </c>
      <c r="T384" t="str">
        <v xml:space="preserve"> </v>
      </c>
      <c r="U384">
        <v>0</v>
      </c>
      <c r="V384" t="str">
        <v>8</v>
      </c>
      <c r="W384">
        <v>0</v>
      </c>
      <c r="X384" t="str">
        <v>SS-33,38</v>
      </c>
      <c r="Y384">
        <v>0</v>
      </c>
      <c r="Z384">
        <v>0</v>
      </c>
      <c r="AA384">
        <v>0</v>
      </c>
      <c r="AB384" t="str">
        <v>HI</v>
      </c>
      <c r="AC384" t="str">
        <v>Jack Hoggett</v>
      </c>
      <c r="AD384" t="str">
        <v>1949</v>
      </c>
      <c r="AE384">
        <v>0</v>
      </c>
      <c r="AF384">
        <v>0</v>
      </c>
      <c r="AG384">
        <v>0</v>
      </c>
      <c r="AH384">
        <v>0</v>
      </c>
      <c r="AI384">
        <v>791.1783143247269</v>
      </c>
      <c r="AJ384">
        <v>26359.181872547251</v>
      </c>
      <c r="AK384">
        <v>0</v>
      </c>
    </row>
    <row r="385" spans="1:37" x14ac:dyDescent="0.25">
      <c r="A385">
        <v>81</v>
      </c>
      <c r="B385" t="str">
        <v>SS-00109</v>
      </c>
      <c r="C385" t="str">
        <v>SS</v>
      </c>
      <c r="D385">
        <v>0</v>
      </c>
      <c r="E385" t="str">
        <v>MM</v>
      </c>
      <c r="F385">
        <v>0</v>
      </c>
      <c r="G385">
        <v>45819</v>
      </c>
      <c r="H385">
        <v>0</v>
      </c>
      <c r="I385" t="str">
        <v>Arizona v California</v>
      </c>
      <c r="J385" t="str">
        <v>San Simon Creek</v>
      </c>
      <c r="K385" t="str">
        <v>SC</v>
      </c>
      <c r="L385" t="str">
        <v>San Simon</v>
      </c>
      <c r="M385" t="str">
        <v>SS</v>
      </c>
      <c r="N385">
        <v>0</v>
      </c>
      <c r="O385" t="str">
        <v>FA</v>
      </c>
      <c r="P385" t="str">
        <v>Fallow, idle or otherwise not irrigated</v>
      </c>
      <c r="Q385">
        <v>43.342744031198961</v>
      </c>
      <c r="R385" t="str">
        <v>4</v>
      </c>
      <c r="S385" t="str">
        <v>Not irrigated</v>
      </c>
      <c r="T385">
        <v>0</v>
      </c>
      <c r="U385">
        <v>0</v>
      </c>
      <c r="V385" t="str">
        <v>8</v>
      </c>
      <c r="W385">
        <v>0</v>
      </c>
      <c r="X385" t="str">
        <v>SS-7,8,9</v>
      </c>
      <c r="Y385">
        <v>0</v>
      </c>
      <c r="Z385">
        <v>0</v>
      </c>
      <c r="AA385">
        <v>0</v>
      </c>
      <c r="AB385" t="str">
        <v>HI</v>
      </c>
      <c r="AC385" t="str">
        <v>Bill Veck</v>
      </c>
      <c r="AD385" t="str">
        <v>1953</v>
      </c>
      <c r="AE385">
        <v>0</v>
      </c>
      <c r="AF385">
        <v>0</v>
      </c>
      <c r="AG385">
        <v>0</v>
      </c>
      <c r="AH385">
        <v>0</v>
      </c>
      <c r="AI385">
        <v>1675.295452983016</v>
      </c>
      <c r="AJ385">
        <v>175402.56365664981</v>
      </c>
      <c r="AK385">
        <v>0</v>
      </c>
    </row>
    <row r="386" spans="1:37" x14ac:dyDescent="0.25">
      <c r="A386">
        <v>82</v>
      </c>
      <c r="B386" t="str">
        <v>SS-00110</v>
      </c>
      <c r="C386" t="str">
        <v>SS</v>
      </c>
      <c r="D386">
        <v>0</v>
      </c>
      <c r="E386" t="str">
        <v>MM</v>
      </c>
      <c r="F386">
        <v>0</v>
      </c>
      <c r="G386">
        <v>45819</v>
      </c>
      <c r="H386">
        <v>0</v>
      </c>
      <c r="I386" t="str">
        <v>Arizona v California</v>
      </c>
      <c r="J386" t="str">
        <v>San Simon Creek</v>
      </c>
      <c r="K386" t="str">
        <v>SC</v>
      </c>
      <c r="L386" t="str">
        <v>San Simon</v>
      </c>
      <c r="M386" t="str">
        <v>SS</v>
      </c>
      <c r="N386">
        <v>0</v>
      </c>
      <c r="O386" t="str">
        <v>FA</v>
      </c>
      <c r="P386" t="str">
        <v>Fallow, idle or otherwise not irrigated</v>
      </c>
      <c r="Q386">
        <v>18.37712394244053</v>
      </c>
      <c r="R386" t="str">
        <v>4</v>
      </c>
      <c r="S386" t="str">
        <v>Not irrigated</v>
      </c>
      <c r="T386" t="str">
        <v xml:space="preserve"> </v>
      </c>
      <c r="U386">
        <v>0</v>
      </c>
      <c r="V386" t="str">
        <v>8</v>
      </c>
      <c r="W386">
        <v>0</v>
      </c>
      <c r="X386" t="str">
        <v>SS-27,28</v>
      </c>
      <c r="Y386">
        <v>0</v>
      </c>
      <c r="Z386">
        <v>0</v>
      </c>
      <c r="AA386">
        <v>0</v>
      </c>
      <c r="AB386" t="str">
        <v>HI</v>
      </c>
      <c r="AC386" t="str">
        <v>Rosalio Alba and Maria Alba</v>
      </c>
      <c r="AD386" t="str">
        <v>1953</v>
      </c>
      <c r="AE386">
        <v>0</v>
      </c>
      <c r="AF386">
        <v>0</v>
      </c>
      <c r="AG386">
        <v>0</v>
      </c>
      <c r="AH386">
        <v>0</v>
      </c>
      <c r="AI386">
        <v>1197.49744916589</v>
      </c>
      <c r="AJ386">
        <v>74369.87953092689</v>
      </c>
      <c r="AK386">
        <v>0</v>
      </c>
    </row>
    <row r="387" spans="1:37" x14ac:dyDescent="0.25">
      <c r="A387">
        <v>83</v>
      </c>
      <c r="B387" t="str">
        <v>SS-00111</v>
      </c>
      <c r="C387" t="str">
        <v>SS</v>
      </c>
      <c r="D387">
        <v>0</v>
      </c>
      <c r="E387" t="str">
        <v>MM</v>
      </c>
      <c r="F387">
        <v>0</v>
      </c>
      <c r="G387">
        <v>45819</v>
      </c>
      <c r="H387">
        <v>0</v>
      </c>
      <c r="I387" t="str">
        <v>Arizona v California</v>
      </c>
      <c r="J387" t="str">
        <v>San Simon Creek</v>
      </c>
      <c r="K387" t="str">
        <v>SC</v>
      </c>
      <c r="L387" t="str">
        <v>San Simon</v>
      </c>
      <c r="M387" t="str">
        <v>SS</v>
      </c>
      <c r="N387">
        <v>0</v>
      </c>
      <c r="O387" t="str">
        <v>FA</v>
      </c>
      <c r="P387" t="str">
        <v>Fallow, idle or otherwise not irrigated</v>
      </c>
      <c r="Q387">
        <v>1.6721964489913539</v>
      </c>
      <c r="R387" t="str">
        <v>4</v>
      </c>
      <c r="S387" t="str">
        <v>Not irrigated</v>
      </c>
      <c r="T387" t="str">
        <v xml:space="preserve"> </v>
      </c>
      <c r="U387">
        <v>0</v>
      </c>
      <c r="V387" t="str">
        <v>8</v>
      </c>
      <c r="W387">
        <v>0</v>
      </c>
      <c r="X387" t="str">
        <v>SS-33,38</v>
      </c>
      <c r="Y387">
        <v>0</v>
      </c>
      <c r="Z387">
        <v>0</v>
      </c>
      <c r="AA387">
        <v>0</v>
      </c>
      <c r="AB387" t="str">
        <v>HI</v>
      </c>
      <c r="AC387" t="str">
        <v>Jack Hoggett</v>
      </c>
      <c r="AD387" t="str">
        <v>1949</v>
      </c>
      <c r="AE387">
        <v>0</v>
      </c>
      <c r="AF387">
        <v>0</v>
      </c>
      <c r="AG387">
        <v>0</v>
      </c>
      <c r="AH387">
        <v>0</v>
      </c>
      <c r="AI387">
        <v>794.40278335168557</v>
      </c>
      <c r="AJ387">
        <v>6767.1660077520983</v>
      </c>
      <c r="AK387">
        <v>0</v>
      </c>
    </row>
    <row r="388" spans="1:37" x14ac:dyDescent="0.25">
      <c r="A388">
        <v>84</v>
      </c>
      <c r="B388" t="str">
        <v>SS-00112</v>
      </c>
      <c r="C388" t="str">
        <v>SS</v>
      </c>
      <c r="D388">
        <v>0</v>
      </c>
      <c r="E388" t="str">
        <v>MM</v>
      </c>
      <c r="F388">
        <v>0</v>
      </c>
      <c r="G388">
        <v>45819</v>
      </c>
      <c r="H388">
        <v>0</v>
      </c>
      <c r="I388" t="str">
        <v>Arizona v California</v>
      </c>
      <c r="J388" t="str">
        <v>San Simon Creek</v>
      </c>
      <c r="K388" t="str">
        <v>SC</v>
      </c>
      <c r="L388" t="str">
        <v>San Simon</v>
      </c>
      <c r="M388" t="str">
        <v>SS</v>
      </c>
      <c r="N388">
        <v>0</v>
      </c>
      <c r="O388" t="str">
        <v>FA</v>
      </c>
      <c r="P388" t="str">
        <v>Fallow, idle or otherwise not irrigated</v>
      </c>
      <c r="Q388">
        <v>58.639688015602907</v>
      </c>
      <c r="R388" t="str">
        <v>4</v>
      </c>
      <c r="S388" t="str">
        <v>Not irrigated</v>
      </c>
      <c r="T388" t="str">
        <v xml:space="preserve"> </v>
      </c>
      <c r="U388">
        <v>0</v>
      </c>
      <c r="V388" t="str">
        <v>8</v>
      </c>
      <c r="W388">
        <v>0</v>
      </c>
      <c r="X388" t="str">
        <v>SS-33,38</v>
      </c>
      <c r="Y388">
        <v>0</v>
      </c>
      <c r="Z388">
        <v>0</v>
      </c>
      <c r="AA388">
        <v>0</v>
      </c>
      <c r="AB388" t="str">
        <v>HI</v>
      </c>
      <c r="AC388" t="str">
        <v>Jack Hoggett</v>
      </c>
      <c r="AD388" t="str">
        <v>1949</v>
      </c>
      <c r="AE388">
        <v>0</v>
      </c>
      <c r="AF388">
        <v>0</v>
      </c>
      <c r="AG388">
        <v>0</v>
      </c>
      <c r="AH388">
        <v>0</v>
      </c>
      <c r="AI388">
        <v>2970.0561742724062</v>
      </c>
      <c r="AJ388">
        <v>237307.34728191479</v>
      </c>
      <c r="AK388">
        <v>0</v>
      </c>
    </row>
    <row r="389" spans="1:37" x14ac:dyDescent="0.25">
      <c r="A389">
        <v>85</v>
      </c>
      <c r="B389" t="str">
        <v>SS-00113</v>
      </c>
      <c r="C389" t="str">
        <v>SS</v>
      </c>
      <c r="D389">
        <v>0</v>
      </c>
      <c r="E389" t="str">
        <v>MM</v>
      </c>
      <c r="F389">
        <v>0</v>
      </c>
      <c r="G389">
        <v>45819</v>
      </c>
      <c r="H389">
        <v>0</v>
      </c>
      <c r="I389" t="str">
        <v>Arizona v California</v>
      </c>
      <c r="J389" t="str">
        <v>San Simon Creek</v>
      </c>
      <c r="K389" t="str">
        <v>SC</v>
      </c>
      <c r="L389" t="str">
        <v>San Simon</v>
      </c>
      <c r="M389" t="str">
        <v>SS</v>
      </c>
      <c r="N389">
        <v>0</v>
      </c>
      <c r="O389" t="str">
        <v>FA</v>
      </c>
      <c r="P389" t="str">
        <v>Fallow, idle or otherwise not irrigated</v>
      </c>
      <c r="Q389">
        <v>0.20145103498740571</v>
      </c>
      <c r="R389" t="str">
        <v>4</v>
      </c>
      <c r="S389" t="str">
        <v>Not irrigated</v>
      </c>
      <c r="T389" t="str">
        <v xml:space="preserve"> </v>
      </c>
      <c r="U389">
        <v>0</v>
      </c>
      <c r="V389" t="str">
        <v>8</v>
      </c>
      <c r="W389">
        <v>0</v>
      </c>
      <c r="X389" t="str">
        <v>SS-33,38</v>
      </c>
      <c r="Y389">
        <v>0</v>
      </c>
      <c r="Z389">
        <v>0</v>
      </c>
      <c r="AA389">
        <v>0</v>
      </c>
      <c r="AB389" t="str">
        <v>HI</v>
      </c>
      <c r="AC389" t="str">
        <v>Jack Hoggett</v>
      </c>
      <c r="AD389" t="str">
        <v>1949</v>
      </c>
      <c r="AE389">
        <v>0</v>
      </c>
      <c r="AF389">
        <v>0</v>
      </c>
      <c r="AG389">
        <v>0</v>
      </c>
      <c r="AH389">
        <v>0</v>
      </c>
      <c r="AI389">
        <v>343.28797707633578</v>
      </c>
      <c r="AJ389">
        <v>815.24667572135183</v>
      </c>
      <c r="AK389">
        <v>0</v>
      </c>
    </row>
    <row r="390" spans="1:37" x14ac:dyDescent="0.25">
      <c r="A390">
        <v>86</v>
      </c>
      <c r="B390" t="str">
        <v>SS-00114</v>
      </c>
      <c r="C390" t="str">
        <v>SS</v>
      </c>
      <c r="D390">
        <v>0</v>
      </c>
      <c r="E390" t="str">
        <v>MM</v>
      </c>
      <c r="F390">
        <v>0</v>
      </c>
      <c r="G390">
        <v>45819</v>
      </c>
      <c r="H390">
        <v>0</v>
      </c>
      <c r="I390" t="str">
        <v>Arizona v California</v>
      </c>
      <c r="J390" t="str">
        <v>San Simon Creek</v>
      </c>
      <c r="K390" t="str">
        <v>SC</v>
      </c>
      <c r="L390" t="str">
        <v>San Simon</v>
      </c>
      <c r="M390" t="str">
        <v>SS</v>
      </c>
      <c r="N390">
        <v>0</v>
      </c>
      <c r="O390" t="str">
        <v>PEI</v>
      </c>
      <c r="P390" t="str">
        <v>Pecans ISC</v>
      </c>
      <c r="Q390">
        <v>8.8011554244807666</v>
      </c>
      <c r="R390" t="str">
        <v>2</v>
      </c>
      <c r="S390" t="str">
        <v>Sprinkler irrigated</v>
      </c>
      <c r="T390" t="str">
        <v xml:space="preserve"> </v>
      </c>
      <c r="U390">
        <v>0</v>
      </c>
      <c r="V390" t="str">
        <v>8</v>
      </c>
      <c r="W390">
        <v>0</v>
      </c>
      <c r="X390" t="str">
        <v xml:space="preserve"> </v>
      </c>
      <c r="Y390">
        <v>0</v>
      </c>
      <c r="Z390">
        <v>0</v>
      </c>
      <c r="AA390">
        <v>0</v>
      </c>
      <c r="AB390" t="str">
        <v>HI</v>
      </c>
      <c r="AC390" t="str">
        <v xml:space="preserve"> </v>
      </c>
      <c r="AD390" t="str">
        <v>0</v>
      </c>
      <c r="AE390">
        <v>0</v>
      </c>
      <c r="AF390">
        <v>0</v>
      </c>
      <c r="AG390">
        <v>0</v>
      </c>
      <c r="AH390">
        <v>0</v>
      </c>
      <c r="AI390">
        <v>781.28721146491239</v>
      </c>
      <c r="AJ390">
        <v>35617.15482257741</v>
      </c>
      <c r="AK390">
        <v>0</v>
      </c>
    </row>
    <row r="391" spans="1:37" x14ac:dyDescent="0.25">
      <c r="A391">
        <v>87</v>
      </c>
      <c r="B391" t="str">
        <v>SS-00115</v>
      </c>
      <c r="C391" t="str">
        <v>SS</v>
      </c>
      <c r="D391">
        <v>0</v>
      </c>
      <c r="E391" t="str">
        <v>MM</v>
      </c>
      <c r="F391">
        <v>0</v>
      </c>
      <c r="G391">
        <v>45819</v>
      </c>
      <c r="H391">
        <v>0</v>
      </c>
      <c r="I391" t="str">
        <v>Arizona v California</v>
      </c>
      <c r="J391" t="str">
        <v>San Simon Creek</v>
      </c>
      <c r="K391" t="str">
        <v>SC</v>
      </c>
      <c r="L391" t="str">
        <v>San Simon</v>
      </c>
      <c r="M391" t="str">
        <v>SS</v>
      </c>
      <c r="N391">
        <v>0</v>
      </c>
      <c r="O391" t="str">
        <v>FA</v>
      </c>
      <c r="P391" t="str">
        <v>Fallow, idle or otherwise not irrigated</v>
      </c>
      <c r="Q391">
        <v>0.95775295477968114</v>
      </c>
      <c r="R391" t="str">
        <v>4</v>
      </c>
      <c r="S391" t="str">
        <v>Not irrigated</v>
      </c>
      <c r="T391" t="str">
        <v xml:space="preserve"> </v>
      </c>
      <c r="U391">
        <v>0</v>
      </c>
      <c r="V391" t="str">
        <v>8</v>
      </c>
      <c r="W391">
        <v>0</v>
      </c>
      <c r="X391" t="str">
        <v>SS-27</v>
      </c>
      <c r="Y391">
        <v>0</v>
      </c>
      <c r="Z391">
        <v>0</v>
      </c>
      <c r="AA391">
        <v>0</v>
      </c>
      <c r="AB391" t="str">
        <v>HI</v>
      </c>
      <c r="AC391" t="str">
        <v xml:space="preserve"> </v>
      </c>
      <c r="AD391" t="str">
        <v>1953</v>
      </c>
      <c r="AE391">
        <v>0</v>
      </c>
      <c r="AF391">
        <v>0</v>
      </c>
      <c r="AG391">
        <v>0</v>
      </c>
      <c r="AH391">
        <v>0</v>
      </c>
      <c r="AI391">
        <v>248.21586695359289</v>
      </c>
      <c r="AJ391">
        <v>3875.9041997240251</v>
      </c>
      <c r="AK391">
        <v>0</v>
      </c>
    </row>
    <row r="392" spans="1:37" x14ac:dyDescent="0.25">
      <c r="A392">
        <v>88</v>
      </c>
      <c r="B392" t="str">
        <v>SS-00116</v>
      </c>
      <c r="C392" t="str">
        <v>SS</v>
      </c>
      <c r="D392">
        <v>0</v>
      </c>
      <c r="E392" t="str">
        <v>MM</v>
      </c>
      <c r="F392">
        <v>0</v>
      </c>
      <c r="G392">
        <v>45819</v>
      </c>
      <c r="H392">
        <v>0</v>
      </c>
      <c r="I392" t="str">
        <v>Arizona v California</v>
      </c>
      <c r="J392" t="str">
        <v>San Simon Creek</v>
      </c>
      <c r="K392" t="str">
        <v>SC</v>
      </c>
      <c r="L392" t="str">
        <v>San Simon</v>
      </c>
      <c r="M392" t="str">
        <v>SS</v>
      </c>
      <c r="N392">
        <v>0</v>
      </c>
      <c r="O392" t="str">
        <v>FA</v>
      </c>
      <c r="P392" t="str">
        <v>Fallow, idle or otherwise not irrigated</v>
      </c>
      <c r="Q392">
        <v>54.465130729013417</v>
      </c>
      <c r="R392" t="str">
        <v>4</v>
      </c>
      <c r="S392" t="str">
        <v>Not irrigated</v>
      </c>
      <c r="T392" t="str">
        <v xml:space="preserve"> </v>
      </c>
      <c r="U392">
        <v>0</v>
      </c>
      <c r="V392" t="str">
        <v>8</v>
      </c>
      <c r="W392">
        <v>0</v>
      </c>
      <c r="X392" t="str">
        <v>SS-7,8,9</v>
      </c>
      <c r="Y392">
        <v>0</v>
      </c>
      <c r="Z392">
        <v>0</v>
      </c>
      <c r="AA392">
        <v>0</v>
      </c>
      <c r="AB392" t="str">
        <v>HI</v>
      </c>
      <c r="AC392" t="str">
        <v>Bill Veck</v>
      </c>
      <c r="AD392" t="str">
        <v>1953</v>
      </c>
      <c r="AE392">
        <v>0</v>
      </c>
      <c r="AF392">
        <v>0</v>
      </c>
      <c r="AG392">
        <v>0</v>
      </c>
      <c r="AH392">
        <v>0</v>
      </c>
      <c r="AI392">
        <v>2149.3505659383118</v>
      </c>
      <c r="AJ392">
        <v>220413.44574046481</v>
      </c>
      <c r="AK392">
        <v>0</v>
      </c>
    </row>
    <row r="393" spans="1:37" x14ac:dyDescent="0.25">
      <c r="A393">
        <v>89</v>
      </c>
      <c r="B393" t="str">
        <v>SS-00117</v>
      </c>
      <c r="C393" t="str">
        <v>SS</v>
      </c>
      <c r="D393">
        <v>0</v>
      </c>
      <c r="E393" t="str">
        <v>MM</v>
      </c>
      <c r="F393">
        <v>0</v>
      </c>
      <c r="G393">
        <v>45819</v>
      </c>
      <c r="H393">
        <v>0</v>
      </c>
      <c r="I393" t="str">
        <v>Arizona v California</v>
      </c>
      <c r="J393" t="str">
        <v>San Simon Creek</v>
      </c>
      <c r="K393" t="str">
        <v>SC</v>
      </c>
      <c r="L393" t="str">
        <v>San Simon</v>
      </c>
      <c r="M393" t="str">
        <v>SS</v>
      </c>
      <c r="N393">
        <v>0</v>
      </c>
      <c r="O393" t="str">
        <v>FA</v>
      </c>
      <c r="P393" t="str">
        <v>Fallow, idle or otherwise not irrigated</v>
      </c>
      <c r="Q393">
        <v>1.2589307568975601</v>
      </c>
      <c r="R393" t="str">
        <v>4</v>
      </c>
      <c r="S393" t="str">
        <v>Not irrigated</v>
      </c>
      <c r="T393" t="str">
        <v xml:space="preserve"> </v>
      </c>
      <c r="U393">
        <v>0</v>
      </c>
      <c r="V393" t="str">
        <v>8</v>
      </c>
      <c r="W393">
        <v>0</v>
      </c>
      <c r="X393" t="str">
        <v>SS-33,38</v>
      </c>
      <c r="Y393">
        <v>0</v>
      </c>
      <c r="Z393">
        <v>0</v>
      </c>
      <c r="AA393">
        <v>0</v>
      </c>
      <c r="AB393" t="str">
        <v>HI</v>
      </c>
      <c r="AC393" t="str">
        <v>Jack Hoggett</v>
      </c>
      <c r="AD393" t="str">
        <v>1949</v>
      </c>
      <c r="AE393">
        <v>0</v>
      </c>
      <c r="AF393">
        <v>0</v>
      </c>
      <c r="AG393">
        <v>0</v>
      </c>
      <c r="AH393">
        <v>0</v>
      </c>
      <c r="AI393">
        <v>498.48760913128149</v>
      </c>
      <c r="AJ393">
        <v>5094.7323978169952</v>
      </c>
      <c r="AK393">
        <v>0</v>
      </c>
    </row>
    <row r="394" spans="1:37" x14ac:dyDescent="0.25">
      <c r="A394">
        <v>90</v>
      </c>
      <c r="B394" t="str">
        <v>SS-00118</v>
      </c>
      <c r="C394" t="str">
        <v>SS</v>
      </c>
      <c r="D394">
        <v>0</v>
      </c>
      <c r="E394" t="str">
        <v>MM</v>
      </c>
      <c r="F394">
        <v>0</v>
      </c>
      <c r="G394">
        <v>45819</v>
      </c>
      <c r="H394">
        <v>0</v>
      </c>
      <c r="I394" t="str">
        <v>Arizona v California</v>
      </c>
      <c r="J394" t="str">
        <v>San Simon Creek</v>
      </c>
      <c r="K394" t="str">
        <v>SC</v>
      </c>
      <c r="L394" t="str">
        <v>San Simon</v>
      </c>
      <c r="M394" t="str">
        <v>SS</v>
      </c>
      <c r="N394">
        <v>0</v>
      </c>
      <c r="O394" t="str">
        <v>FA</v>
      </c>
      <c r="P394" t="str">
        <v>Fallow, idle or otherwise not irrigated</v>
      </c>
      <c r="Q394">
        <v>67.91262393657054</v>
      </c>
      <c r="R394" t="str">
        <v>4</v>
      </c>
      <c r="S394" t="str">
        <v>Not irrigated</v>
      </c>
      <c r="T394" t="str">
        <v xml:space="preserve"> </v>
      </c>
      <c r="U394">
        <v>0</v>
      </c>
      <c r="V394" t="str">
        <v>8</v>
      </c>
      <c r="W394">
        <v>0</v>
      </c>
      <c r="X394" t="str">
        <v>SS-28,29</v>
      </c>
      <c r="Y394">
        <v>0</v>
      </c>
      <c r="Z394">
        <v>0</v>
      </c>
      <c r="AA394">
        <v>0</v>
      </c>
      <c r="AB394" t="str">
        <v>HI</v>
      </c>
      <c r="AC394" t="str">
        <v>Rosalio Alba and Maria Alba</v>
      </c>
      <c r="AD394" t="str">
        <v>1953</v>
      </c>
      <c r="AE394">
        <v>0</v>
      </c>
      <c r="AF394">
        <v>0</v>
      </c>
      <c r="AG394">
        <v>0</v>
      </c>
      <c r="AH394">
        <v>0</v>
      </c>
      <c r="AI394">
        <v>2260.8002260880921</v>
      </c>
      <c r="AJ394">
        <v>274833.73767359782</v>
      </c>
      <c r="AK394">
        <v>0</v>
      </c>
    </row>
    <row r="395" spans="1:37" x14ac:dyDescent="0.25">
      <c r="A395">
        <v>91</v>
      </c>
      <c r="B395" t="str">
        <v>SS-00119</v>
      </c>
      <c r="C395" t="str">
        <v>SS</v>
      </c>
      <c r="D395">
        <v>0</v>
      </c>
      <c r="E395" t="str">
        <v>MM</v>
      </c>
      <c r="F395">
        <v>0</v>
      </c>
      <c r="G395">
        <v>45819</v>
      </c>
      <c r="H395">
        <v>0</v>
      </c>
      <c r="I395" t="str">
        <v>Arizona v California</v>
      </c>
      <c r="J395" t="str">
        <v>San Simon Creek</v>
      </c>
      <c r="K395" t="str">
        <v>SC</v>
      </c>
      <c r="L395" t="str">
        <v>San Simon</v>
      </c>
      <c r="M395" t="str">
        <v>SS</v>
      </c>
      <c r="N395">
        <v>0</v>
      </c>
      <c r="O395" t="str">
        <v>FA</v>
      </c>
      <c r="P395" t="str">
        <v>Fallow, idle or otherwise not irrigated</v>
      </c>
      <c r="Q395">
        <v>31.237770381237979</v>
      </c>
      <c r="R395" t="str">
        <v>4</v>
      </c>
      <c r="S395" t="str">
        <v>Not irrigated</v>
      </c>
      <c r="T395" t="str">
        <v xml:space="preserve"> </v>
      </c>
      <c r="U395">
        <v>0</v>
      </c>
      <c r="V395" t="str">
        <v>8</v>
      </c>
      <c r="W395">
        <v>0</v>
      </c>
      <c r="X395" t="str">
        <v>SS-28,29</v>
      </c>
      <c r="Y395">
        <v>0</v>
      </c>
      <c r="Z395">
        <v>0</v>
      </c>
      <c r="AA395">
        <v>0</v>
      </c>
      <c r="AB395" t="str">
        <v>HI</v>
      </c>
      <c r="AC395" t="str">
        <v>Rosalio Alba and Maria Alba</v>
      </c>
      <c r="AD395" t="str">
        <v>1953</v>
      </c>
      <c r="AE395">
        <v>0</v>
      </c>
      <c r="AF395">
        <v>0</v>
      </c>
      <c r="AG395">
        <v>0</v>
      </c>
      <c r="AH395">
        <v>0</v>
      </c>
      <c r="AI395">
        <v>1672.2765844401199</v>
      </c>
      <c r="AJ395">
        <v>126415.27734937309</v>
      </c>
      <c r="AK395">
        <v>0</v>
      </c>
    </row>
    <row r="396" spans="1:37" x14ac:dyDescent="0.25">
      <c r="A396">
        <v>92</v>
      </c>
      <c r="B396" t="str">
        <v>SS-00120</v>
      </c>
      <c r="C396" t="str">
        <v>SS</v>
      </c>
      <c r="D396">
        <v>0</v>
      </c>
      <c r="E396" t="str">
        <v>MM</v>
      </c>
      <c r="F396">
        <v>0</v>
      </c>
      <c r="G396">
        <v>45819</v>
      </c>
      <c r="H396">
        <v>0</v>
      </c>
      <c r="I396" t="str">
        <v>Arizona v California</v>
      </c>
      <c r="J396" t="str">
        <v>San Simon Creek</v>
      </c>
      <c r="K396" t="str">
        <v>SC</v>
      </c>
      <c r="L396" t="str">
        <v>San Simon</v>
      </c>
      <c r="M396" t="str">
        <v>SS</v>
      </c>
      <c r="N396">
        <v>0</v>
      </c>
      <c r="O396" t="str">
        <v>FA</v>
      </c>
      <c r="P396" t="str">
        <v>Fallow, idle or otherwise not irrigated</v>
      </c>
      <c r="Q396">
        <v>9.005201615673684</v>
      </c>
      <c r="R396" t="str">
        <v>4</v>
      </c>
      <c r="S396" t="str">
        <v>Not irrigated</v>
      </c>
      <c r="T396" t="str">
        <v xml:space="preserve"> </v>
      </c>
      <c r="U396">
        <v>0</v>
      </c>
      <c r="V396" t="str">
        <v>8</v>
      </c>
      <c r="W396">
        <v>0</v>
      </c>
      <c r="X396" t="str">
        <v xml:space="preserve"> </v>
      </c>
      <c r="Y396">
        <v>0</v>
      </c>
      <c r="Z396">
        <v>0</v>
      </c>
      <c r="AA396">
        <v>0</v>
      </c>
      <c r="AB396" t="str">
        <v>HI</v>
      </c>
      <c r="AC396" t="str">
        <v xml:space="preserve"> </v>
      </c>
      <c r="AD396" t="str">
        <v>0</v>
      </c>
      <c r="AE396">
        <v>0</v>
      </c>
      <c r="AF396">
        <v>0</v>
      </c>
      <c r="AG396">
        <v>0</v>
      </c>
      <c r="AH396">
        <v>0</v>
      </c>
      <c r="AI396">
        <v>925.9089142479877</v>
      </c>
      <c r="AJ396">
        <v>36442.903764865187</v>
      </c>
      <c r="AK396">
        <v>0</v>
      </c>
    </row>
    <row r="397" spans="1:37" x14ac:dyDescent="0.25">
      <c r="A397">
        <v>93</v>
      </c>
      <c r="B397" t="str">
        <v>SS-00121</v>
      </c>
      <c r="C397" t="str">
        <v>SS</v>
      </c>
      <c r="D397">
        <v>0</v>
      </c>
      <c r="E397" t="str">
        <v>MM</v>
      </c>
      <c r="F397">
        <v>0</v>
      </c>
      <c r="G397">
        <v>45819</v>
      </c>
      <c r="H397">
        <v>0</v>
      </c>
      <c r="I397" t="str">
        <v>Arizona v California</v>
      </c>
      <c r="J397" t="str">
        <v>San Simon Creek</v>
      </c>
      <c r="K397" t="str">
        <v>SC</v>
      </c>
      <c r="L397" t="str">
        <v>San Simon</v>
      </c>
      <c r="M397" t="str">
        <v>SS</v>
      </c>
      <c r="N397">
        <v>0</v>
      </c>
      <c r="O397" t="str">
        <v>FA</v>
      </c>
      <c r="P397" t="str">
        <v>Fallow, idle or otherwise not irrigated</v>
      </c>
      <c r="Q397">
        <v>16.78507755359318</v>
      </c>
      <c r="R397" t="str">
        <v>4</v>
      </c>
      <c r="S397" t="str">
        <v>Not irrigated</v>
      </c>
      <c r="T397" t="str">
        <v xml:space="preserve"> </v>
      </c>
      <c r="U397">
        <v>0</v>
      </c>
      <c r="V397" t="str">
        <v>8</v>
      </c>
      <c r="W397">
        <v>0</v>
      </c>
      <c r="X397" t="str">
        <v>SS-1</v>
      </c>
      <c r="Y397">
        <v>0</v>
      </c>
      <c r="Z397">
        <v>0</v>
      </c>
      <c r="AA397">
        <v>0</v>
      </c>
      <c r="AB397" t="str">
        <v>HI</v>
      </c>
      <c r="AC397" t="str">
        <v>Harry D. and Rosemary Turner</v>
      </c>
      <c r="AD397" t="str">
        <v>1950</v>
      </c>
      <c r="AE397">
        <v>0</v>
      </c>
      <c r="AF397">
        <v>0</v>
      </c>
      <c r="AG397">
        <v>0</v>
      </c>
      <c r="AH397">
        <v>0</v>
      </c>
      <c r="AI397">
        <v>1262.8359543361171</v>
      </c>
      <c r="AJ397">
        <v>67927.070606251335</v>
      </c>
      <c r="AK397">
        <v>0</v>
      </c>
    </row>
    <row r="398" spans="1:37" x14ac:dyDescent="0.25">
      <c r="A398">
        <v>94</v>
      </c>
      <c r="B398" t="str">
        <v>SS-00122</v>
      </c>
      <c r="C398" t="str">
        <v>SS</v>
      </c>
      <c r="D398">
        <v>0</v>
      </c>
      <c r="E398" t="str">
        <v>MM</v>
      </c>
      <c r="F398">
        <v>0</v>
      </c>
      <c r="G398">
        <v>45819</v>
      </c>
      <c r="H398">
        <v>0</v>
      </c>
      <c r="I398" t="str">
        <v>Arizona v California</v>
      </c>
      <c r="J398" t="str">
        <v>San Simon Creek</v>
      </c>
      <c r="K398" t="str">
        <v>SC</v>
      </c>
      <c r="L398" t="str">
        <v>San Simon</v>
      </c>
      <c r="M398" t="str">
        <v>SS</v>
      </c>
      <c r="N398">
        <v>0</v>
      </c>
      <c r="O398" t="str">
        <v>FA</v>
      </c>
      <c r="P398" t="str">
        <v>Fallow, idle or otherwise not irrigated</v>
      </c>
      <c r="Q398">
        <v>12.22126192762107</v>
      </c>
      <c r="R398" t="str">
        <v>4</v>
      </c>
      <c r="S398" t="str">
        <v>Not irrigated</v>
      </c>
      <c r="T398" t="str">
        <v xml:space="preserve"> </v>
      </c>
      <c r="U398">
        <v>0</v>
      </c>
      <c r="V398" t="str">
        <v>8</v>
      </c>
      <c r="W398">
        <v>0</v>
      </c>
      <c r="X398" t="str">
        <v>SS-1</v>
      </c>
      <c r="Y398">
        <v>0</v>
      </c>
      <c r="Z398">
        <v>0</v>
      </c>
      <c r="AA398">
        <v>0</v>
      </c>
      <c r="AB398" t="str">
        <v>HI</v>
      </c>
      <c r="AC398" t="str">
        <v>Harry D. and Rosemary Turner</v>
      </c>
      <c r="AD398" t="str">
        <v>1950</v>
      </c>
      <c r="AE398">
        <v>0</v>
      </c>
      <c r="AF398">
        <v>0</v>
      </c>
      <c r="AG398">
        <v>0</v>
      </c>
      <c r="AH398">
        <v>0</v>
      </c>
      <c r="AI398">
        <v>1192.3481398732181</v>
      </c>
      <c r="AJ398">
        <v>49457.890152988723</v>
      </c>
      <c r="AK398">
        <v>0</v>
      </c>
    </row>
    <row r="399" spans="1:37" x14ac:dyDescent="0.25">
      <c r="A399">
        <v>95</v>
      </c>
      <c r="B399" t="str">
        <v>SS-00123</v>
      </c>
      <c r="C399" t="str">
        <v>SS</v>
      </c>
      <c r="D399">
        <v>0</v>
      </c>
      <c r="E399" t="str">
        <v>MM</v>
      </c>
      <c r="F399">
        <v>0</v>
      </c>
      <c r="G399">
        <v>45819</v>
      </c>
      <c r="H399">
        <v>0</v>
      </c>
      <c r="I399" t="str">
        <v>Arizona v California</v>
      </c>
      <c r="J399" t="str">
        <v>San Simon Creek</v>
      </c>
      <c r="K399" t="str">
        <v>SC</v>
      </c>
      <c r="L399" t="str">
        <v>San Simon</v>
      </c>
      <c r="M399" t="str">
        <v>SS</v>
      </c>
      <c r="N399">
        <v>0</v>
      </c>
      <c r="O399" t="str">
        <v>FA</v>
      </c>
      <c r="P399" t="str">
        <v>Fallow, idle or otherwise not irrigated</v>
      </c>
      <c r="Q399">
        <v>59.300742216039303</v>
      </c>
      <c r="R399" t="str">
        <v>4</v>
      </c>
      <c r="S399" t="str">
        <v>Not irrigated</v>
      </c>
      <c r="T399">
        <v>0</v>
      </c>
      <c r="U399">
        <v>0</v>
      </c>
      <c r="V399" t="str">
        <v>8</v>
      </c>
      <c r="W399">
        <v>0</v>
      </c>
      <c r="X399" t="str">
        <v>SS-7,8,9</v>
      </c>
      <c r="Y399">
        <v>0</v>
      </c>
      <c r="Z399">
        <v>0</v>
      </c>
      <c r="AA399">
        <v>0</v>
      </c>
      <c r="AB399" t="str">
        <v>HI</v>
      </c>
      <c r="AC399" t="str">
        <v>Bill Veck</v>
      </c>
      <c r="AD399" t="str">
        <v>1953</v>
      </c>
      <c r="AE399">
        <v>0</v>
      </c>
      <c r="AF399">
        <v>0</v>
      </c>
      <c r="AG399">
        <v>0</v>
      </c>
      <c r="AH399">
        <v>0</v>
      </c>
      <c r="AI399">
        <v>2192.9737359601731</v>
      </c>
      <c r="AJ399">
        <v>239982.54941930319</v>
      </c>
      <c r="AK399">
        <v>0</v>
      </c>
    </row>
    <row r="400" spans="1:37" x14ac:dyDescent="0.25">
      <c r="A400">
        <v>96</v>
      </c>
      <c r="B400" t="str">
        <v>SS-00124</v>
      </c>
      <c r="C400" t="str">
        <v>SS</v>
      </c>
      <c r="D400">
        <v>0</v>
      </c>
      <c r="E400" t="str">
        <v>MM</v>
      </c>
      <c r="F400">
        <v>0</v>
      </c>
      <c r="G400">
        <v>45819</v>
      </c>
      <c r="H400">
        <v>0</v>
      </c>
      <c r="I400" t="str">
        <v>Arizona v California</v>
      </c>
      <c r="J400" t="str">
        <v>San Simon Creek</v>
      </c>
      <c r="K400" t="str">
        <v>SC</v>
      </c>
      <c r="L400" t="str">
        <v>San Simon</v>
      </c>
      <c r="M400" t="str">
        <v>SS</v>
      </c>
      <c r="N400">
        <v>0</v>
      </c>
      <c r="O400" t="str">
        <v>FA</v>
      </c>
      <c r="P400" t="str">
        <v>Fallow, idle or otherwise not irrigated</v>
      </c>
      <c r="Q400">
        <v>64.959319310494507</v>
      </c>
      <c r="R400" t="str">
        <v>4</v>
      </c>
      <c r="S400" t="str">
        <v>Not irrigated</v>
      </c>
      <c r="T400" t="str">
        <v xml:space="preserve"> </v>
      </c>
      <c r="U400">
        <v>0</v>
      </c>
      <c r="V400" t="str">
        <v>8</v>
      </c>
      <c r="W400">
        <v>0</v>
      </c>
      <c r="X400" t="str">
        <v>SS-1</v>
      </c>
      <c r="Y400">
        <v>0</v>
      </c>
      <c r="Z400">
        <v>0</v>
      </c>
      <c r="AA400">
        <v>0</v>
      </c>
      <c r="AB400" t="str">
        <v>HI</v>
      </c>
      <c r="AC400" t="str">
        <v>Harry D. and Rosemary Turner</v>
      </c>
      <c r="AD400" t="str">
        <v>1950</v>
      </c>
      <c r="AE400">
        <v>0</v>
      </c>
      <c r="AF400">
        <v>0</v>
      </c>
      <c r="AG400">
        <v>0</v>
      </c>
      <c r="AH400">
        <v>0</v>
      </c>
      <c r="AI400">
        <v>2012.7466084857399</v>
      </c>
      <c r="AJ400">
        <v>262882.09007371578</v>
      </c>
      <c r="AK400">
        <v>0</v>
      </c>
    </row>
    <row r="401" spans="1:37" x14ac:dyDescent="0.25">
      <c r="A401">
        <v>97</v>
      </c>
      <c r="B401" t="str">
        <v>SS-00125</v>
      </c>
      <c r="C401" t="str">
        <v>SS</v>
      </c>
      <c r="D401">
        <v>0</v>
      </c>
      <c r="E401" t="str">
        <v>MM</v>
      </c>
      <c r="F401">
        <v>0</v>
      </c>
      <c r="G401">
        <v>45819</v>
      </c>
      <c r="H401">
        <v>0</v>
      </c>
      <c r="I401" t="str">
        <v>Arizona v California</v>
      </c>
      <c r="J401" t="str">
        <v>San Simon Creek</v>
      </c>
      <c r="K401" t="str">
        <v>SC</v>
      </c>
      <c r="L401" t="str">
        <v>San Simon</v>
      </c>
      <c r="M401" t="str">
        <v>SS</v>
      </c>
      <c r="N401">
        <v>0</v>
      </c>
      <c r="O401" t="str">
        <v>FA</v>
      </c>
      <c r="P401" t="str">
        <v>Fallow, idle or otherwise not irrigated</v>
      </c>
      <c r="Q401">
        <v>5.6700954965051578</v>
      </c>
      <c r="R401" t="str">
        <v>4</v>
      </c>
      <c r="S401" t="str">
        <v>Not irrigated</v>
      </c>
      <c r="T401" t="str">
        <v xml:space="preserve"> </v>
      </c>
      <c r="U401">
        <v>0</v>
      </c>
      <c r="V401" t="str">
        <v>8</v>
      </c>
      <c r="W401">
        <v>0</v>
      </c>
      <c r="X401" t="str">
        <v>SS-28,29</v>
      </c>
      <c r="Y401">
        <v>0</v>
      </c>
      <c r="Z401">
        <v>0</v>
      </c>
      <c r="AA401">
        <v>0</v>
      </c>
      <c r="AB401" t="str">
        <v>HI</v>
      </c>
      <c r="AC401" t="str">
        <v>Rosalio Alba and Maria Alba</v>
      </c>
      <c r="AD401" t="str">
        <v>1953</v>
      </c>
      <c r="AE401">
        <v>0</v>
      </c>
      <c r="AF401">
        <v>0</v>
      </c>
      <c r="AG401">
        <v>0</v>
      </c>
      <c r="AH401">
        <v>0</v>
      </c>
      <c r="AI401">
        <v>874.74247226131877</v>
      </c>
      <c r="AJ401">
        <v>22946.15416017807</v>
      </c>
      <c r="AK401">
        <v>0</v>
      </c>
    </row>
    <row r="402" spans="1:37" x14ac:dyDescent="0.25">
      <c r="A402">
        <v>98</v>
      </c>
      <c r="B402" t="str">
        <v>SS-00126</v>
      </c>
      <c r="C402" t="str">
        <v>SS</v>
      </c>
      <c r="D402">
        <v>0</v>
      </c>
      <c r="E402" t="str">
        <v>MM</v>
      </c>
      <c r="F402">
        <v>0</v>
      </c>
      <c r="G402">
        <v>45819</v>
      </c>
      <c r="H402">
        <v>0</v>
      </c>
      <c r="I402" t="str">
        <v>Arizona v California</v>
      </c>
      <c r="J402" t="str">
        <v>San Simon Creek</v>
      </c>
      <c r="K402" t="str">
        <v>SC</v>
      </c>
      <c r="L402" t="str">
        <v>San Simon</v>
      </c>
      <c r="M402" t="str">
        <v>SS</v>
      </c>
      <c r="N402">
        <v>0</v>
      </c>
      <c r="O402" t="str">
        <v>FA</v>
      </c>
      <c r="P402" t="str">
        <v>Fallow, idle or otherwise not irrigated</v>
      </c>
      <c r="Q402">
        <v>37.261812359664447</v>
      </c>
      <c r="R402" t="str">
        <v>4</v>
      </c>
      <c r="S402" t="str">
        <v>Not irrigated</v>
      </c>
      <c r="T402" t="str">
        <v xml:space="preserve"> </v>
      </c>
      <c r="U402">
        <v>0</v>
      </c>
      <c r="V402" t="str">
        <v>8</v>
      </c>
      <c r="W402">
        <v>0</v>
      </c>
      <c r="X402" t="str">
        <v>SS-28,29</v>
      </c>
      <c r="Y402">
        <v>0</v>
      </c>
      <c r="Z402">
        <v>0</v>
      </c>
      <c r="AA402">
        <v>0</v>
      </c>
      <c r="AB402" t="str">
        <v>HI</v>
      </c>
      <c r="AC402" t="str">
        <v>Rosalio Alba and Maria Alba</v>
      </c>
      <c r="AD402" t="str">
        <v>1953</v>
      </c>
      <c r="AE402">
        <v>0</v>
      </c>
      <c r="AF402">
        <v>0</v>
      </c>
      <c r="AG402">
        <v>0</v>
      </c>
      <c r="AH402">
        <v>0</v>
      </c>
      <c r="AI402">
        <v>1585.306521202682</v>
      </c>
      <c r="AJ402">
        <v>150793.80783259991</v>
      </c>
      <c r="AK402">
        <v>0</v>
      </c>
    </row>
    <row r="403" spans="1:37" x14ac:dyDescent="0.25">
      <c r="A403">
        <v>99</v>
      </c>
      <c r="B403" t="str">
        <v>SS-00127</v>
      </c>
      <c r="C403" t="str">
        <v>SS</v>
      </c>
      <c r="D403">
        <v>0</v>
      </c>
      <c r="E403" t="str">
        <v>MM</v>
      </c>
      <c r="F403">
        <v>0</v>
      </c>
      <c r="G403">
        <v>45819</v>
      </c>
      <c r="H403">
        <v>0</v>
      </c>
      <c r="I403" t="str">
        <v>Arizona v California</v>
      </c>
      <c r="J403" t="str">
        <v>San Simon Creek</v>
      </c>
      <c r="K403" t="str">
        <v>SC</v>
      </c>
      <c r="L403" t="str">
        <v>San Simon</v>
      </c>
      <c r="M403" t="str">
        <v>SS</v>
      </c>
      <c r="N403">
        <v>0</v>
      </c>
      <c r="O403" t="str">
        <v>FA</v>
      </c>
      <c r="P403" t="str">
        <v>Fallow, idle or otherwise not irrigated</v>
      </c>
      <c r="Q403">
        <v>5.0774115378022451</v>
      </c>
      <c r="R403" t="str">
        <v>4</v>
      </c>
      <c r="S403" t="str">
        <v>Not irrigated</v>
      </c>
      <c r="T403" t="str">
        <v xml:space="preserve"> </v>
      </c>
      <c r="U403">
        <v>0</v>
      </c>
      <c r="V403" t="str">
        <v>8</v>
      </c>
      <c r="W403">
        <v>0</v>
      </c>
      <c r="X403" t="str">
        <v xml:space="preserve"> </v>
      </c>
      <c r="Y403">
        <v>0</v>
      </c>
      <c r="Z403">
        <v>0</v>
      </c>
      <c r="AA403">
        <v>0</v>
      </c>
      <c r="AB403" t="str">
        <v>HI</v>
      </c>
      <c r="AC403" t="str">
        <v xml:space="preserve"> </v>
      </c>
      <c r="AD403" t="str">
        <v>0</v>
      </c>
      <c r="AE403">
        <v>0</v>
      </c>
      <c r="AF403">
        <v>0</v>
      </c>
      <c r="AG403">
        <v>0</v>
      </c>
      <c r="AH403">
        <v>0</v>
      </c>
      <c r="AI403">
        <v>669.31086536533087</v>
      </c>
      <c r="AJ403">
        <v>20547.63768139141</v>
      </c>
      <c r="AK403">
        <v>0</v>
      </c>
    </row>
    <row r="404" spans="1:37" x14ac:dyDescent="0.25">
      <c r="A404">
        <v>100</v>
      </c>
      <c r="B404" t="str">
        <v>SS-00128</v>
      </c>
      <c r="C404" t="str">
        <v>SS</v>
      </c>
      <c r="D404">
        <v>0</v>
      </c>
      <c r="E404" t="str">
        <v>MM</v>
      </c>
      <c r="F404">
        <v>0</v>
      </c>
      <c r="G404">
        <v>45819</v>
      </c>
      <c r="H404">
        <v>0</v>
      </c>
      <c r="I404" t="str">
        <v>Arizona v California</v>
      </c>
      <c r="J404" t="str">
        <v>San Simon Creek</v>
      </c>
      <c r="K404" t="str">
        <v>SC</v>
      </c>
      <c r="L404" t="str">
        <v>San Simon</v>
      </c>
      <c r="M404" t="str">
        <v>SS</v>
      </c>
      <c r="N404">
        <v>0</v>
      </c>
      <c r="O404" t="str">
        <v>FA</v>
      </c>
      <c r="P404" t="str">
        <v>Fallow, idle or otherwise not irrigated</v>
      </c>
      <c r="Q404">
        <v>35.995556031254722</v>
      </c>
      <c r="R404" t="str">
        <v>4</v>
      </c>
      <c r="S404" t="str">
        <v>Not irrigated</v>
      </c>
      <c r="T404">
        <v>0</v>
      </c>
      <c r="U404">
        <v>0</v>
      </c>
      <c r="V404" t="str">
        <v>8</v>
      </c>
      <c r="W404">
        <v>0</v>
      </c>
      <c r="X404" t="str">
        <v>SS-9</v>
      </c>
      <c r="Y404">
        <v>0</v>
      </c>
      <c r="Z404">
        <v>0</v>
      </c>
      <c r="AA404">
        <v>0</v>
      </c>
      <c r="AB404" t="str">
        <v>HI</v>
      </c>
      <c r="AC404" t="str">
        <v xml:space="preserve"> </v>
      </c>
      <c r="AD404" t="str">
        <v>0</v>
      </c>
      <c r="AE404">
        <v>0</v>
      </c>
      <c r="AF404">
        <v>0</v>
      </c>
      <c r="AG404">
        <v>0</v>
      </c>
      <c r="AH404">
        <v>0</v>
      </c>
      <c r="AI404">
        <v>1982.8710961764109</v>
      </c>
      <c r="AJ404">
        <v>145669.4297800787</v>
      </c>
      <c r="AK404">
        <v>0</v>
      </c>
    </row>
    <row r="405" spans="1:37" x14ac:dyDescent="0.25">
      <c r="A405">
        <v>101</v>
      </c>
      <c r="B405" t="str">
        <v>SS-00129</v>
      </c>
      <c r="C405" t="str">
        <v>SS</v>
      </c>
      <c r="D405">
        <v>0</v>
      </c>
      <c r="E405" t="str">
        <v>MM</v>
      </c>
      <c r="F405">
        <v>0</v>
      </c>
      <c r="G405">
        <v>45819</v>
      </c>
      <c r="H405">
        <v>0</v>
      </c>
      <c r="I405" t="str">
        <v>Arizona v California</v>
      </c>
      <c r="J405" t="str">
        <v>San Simon Creek</v>
      </c>
      <c r="K405" t="str">
        <v>SC</v>
      </c>
      <c r="L405" t="str">
        <v>San Simon</v>
      </c>
      <c r="M405" t="str">
        <v>SS</v>
      </c>
      <c r="N405">
        <v>0</v>
      </c>
      <c r="O405" t="str">
        <v>FA</v>
      </c>
      <c r="P405" t="str">
        <v>Fallow, idle or otherwise not irrigated</v>
      </c>
      <c r="Q405">
        <v>1.1759727143638741</v>
      </c>
      <c r="R405" t="str">
        <v>4</v>
      </c>
      <c r="S405" t="str">
        <v>Not irrigated</v>
      </c>
      <c r="T405" t="str">
        <v xml:space="preserve"> </v>
      </c>
      <c r="U405">
        <v>0</v>
      </c>
      <c r="V405" t="str">
        <v>8</v>
      </c>
      <c r="W405">
        <v>0</v>
      </c>
      <c r="X405" t="str">
        <v xml:space="preserve"> </v>
      </c>
      <c r="Y405">
        <v>0</v>
      </c>
      <c r="Z405">
        <v>0</v>
      </c>
      <c r="AA405">
        <v>0</v>
      </c>
      <c r="AB405" t="str">
        <v>HI</v>
      </c>
      <c r="AC405" t="str">
        <v xml:space="preserve"> </v>
      </c>
      <c r="AD405" t="str">
        <v>0</v>
      </c>
      <c r="AE405">
        <v>0</v>
      </c>
      <c r="AF405">
        <v>0</v>
      </c>
      <c r="AG405">
        <v>0</v>
      </c>
      <c r="AH405">
        <v>0</v>
      </c>
      <c r="AI405">
        <v>267.28690510308019</v>
      </c>
      <c r="AJ405">
        <v>4759.0117677186372</v>
      </c>
      <c r="AK405">
        <v>0</v>
      </c>
    </row>
    <row r="406" spans="1:37" x14ac:dyDescent="0.25">
      <c r="A406">
        <v>102</v>
      </c>
      <c r="B406" t="str">
        <v>SS-00130</v>
      </c>
      <c r="C406" t="str">
        <v>SS</v>
      </c>
      <c r="D406">
        <v>0</v>
      </c>
      <c r="E406" t="str">
        <v>MM</v>
      </c>
      <c r="F406">
        <v>0</v>
      </c>
      <c r="G406">
        <v>45819</v>
      </c>
      <c r="H406">
        <v>0</v>
      </c>
      <c r="I406" t="str">
        <v>Arizona v California</v>
      </c>
      <c r="J406" t="str">
        <v>San Simon Creek</v>
      </c>
      <c r="K406" t="str">
        <v>SC</v>
      </c>
      <c r="L406" t="str">
        <v>San Simon</v>
      </c>
      <c r="M406" t="str">
        <v>SS</v>
      </c>
      <c r="N406">
        <v>0</v>
      </c>
      <c r="O406" t="str">
        <v>FA</v>
      </c>
      <c r="P406" t="str">
        <v>Fallow, idle or otherwise not irrigated</v>
      </c>
      <c r="Q406">
        <v>0.97269165161075954</v>
      </c>
      <c r="R406" t="str">
        <v>4</v>
      </c>
      <c r="S406" t="str">
        <v>Not irrigated</v>
      </c>
      <c r="T406" t="str">
        <v xml:space="preserve"> </v>
      </c>
      <c r="U406">
        <v>0</v>
      </c>
      <c r="V406" t="str">
        <v>8</v>
      </c>
      <c r="W406">
        <v>0</v>
      </c>
      <c r="X406" t="str">
        <v>SS-28,29</v>
      </c>
      <c r="Y406">
        <v>0</v>
      </c>
      <c r="Z406">
        <v>0</v>
      </c>
      <c r="AA406">
        <v>0</v>
      </c>
      <c r="AB406" t="str">
        <v>HI</v>
      </c>
      <c r="AC406" t="str">
        <v xml:space="preserve"> </v>
      </c>
      <c r="AD406" t="str">
        <v>1953</v>
      </c>
      <c r="AE406">
        <v>0</v>
      </c>
      <c r="AF406">
        <v>0</v>
      </c>
      <c r="AG406">
        <v>0</v>
      </c>
      <c r="AH406">
        <v>0</v>
      </c>
      <c r="AI406">
        <v>263.69717214126263</v>
      </c>
      <c r="AJ406">
        <v>3936.3592027569312</v>
      </c>
      <c r="AK406">
        <v>0</v>
      </c>
    </row>
    <row r="407" spans="1:37" x14ac:dyDescent="0.25">
      <c r="A407">
        <v>103</v>
      </c>
      <c r="B407" t="str">
        <v>SS-00131</v>
      </c>
      <c r="C407" t="str">
        <v>SS</v>
      </c>
      <c r="D407">
        <v>0</v>
      </c>
      <c r="E407" t="str">
        <v>MM</v>
      </c>
      <c r="F407">
        <v>0</v>
      </c>
      <c r="G407">
        <v>45819</v>
      </c>
      <c r="H407">
        <v>0</v>
      </c>
      <c r="I407" t="str">
        <v>Arizona v California</v>
      </c>
      <c r="J407" t="str">
        <v>San Simon Creek</v>
      </c>
      <c r="K407" t="str">
        <v>SC</v>
      </c>
      <c r="L407" t="str">
        <v>San Simon</v>
      </c>
      <c r="M407" t="str">
        <v>SS</v>
      </c>
      <c r="N407">
        <v>0</v>
      </c>
      <c r="O407" t="str">
        <v>FA</v>
      </c>
      <c r="P407" t="str">
        <v>Fallow, idle or otherwise not irrigated</v>
      </c>
      <c r="Q407">
        <v>17.233243025306528</v>
      </c>
      <c r="R407" t="str">
        <v>4</v>
      </c>
      <c r="S407" t="str">
        <v>Not irrigated</v>
      </c>
      <c r="T407">
        <v>0</v>
      </c>
      <c r="U407">
        <v>0</v>
      </c>
      <c r="V407" t="str">
        <v>9</v>
      </c>
      <c r="W407">
        <v>0</v>
      </c>
      <c r="X407" t="str">
        <v>SS-9</v>
      </c>
      <c r="Y407">
        <v>0</v>
      </c>
      <c r="Z407">
        <v>0</v>
      </c>
      <c r="AA407">
        <v>0</v>
      </c>
      <c r="AB407" t="str">
        <v>HI</v>
      </c>
      <c r="AC407" t="str">
        <v xml:space="preserve"> </v>
      </c>
      <c r="AD407" t="str">
        <v>1953</v>
      </c>
      <c r="AE407">
        <v>0</v>
      </c>
      <c r="AF407">
        <v>0</v>
      </c>
      <c r="AG407">
        <v>0</v>
      </c>
      <c r="AH407">
        <v>0</v>
      </c>
      <c r="AI407">
        <v>2203.0652207850871</v>
      </c>
      <c r="AJ407">
        <v>69740.739178419477</v>
      </c>
      <c r="AK407">
        <v>0</v>
      </c>
    </row>
    <row r="408" spans="1:37" x14ac:dyDescent="0.25">
      <c r="A408">
        <v>104</v>
      </c>
      <c r="B408" t="str">
        <v>SS-00132</v>
      </c>
      <c r="C408" t="str">
        <v>SS</v>
      </c>
      <c r="D408">
        <v>0</v>
      </c>
      <c r="E408" t="str">
        <v>MM</v>
      </c>
      <c r="F408">
        <v>0</v>
      </c>
      <c r="G408">
        <v>45819</v>
      </c>
      <c r="H408">
        <v>0</v>
      </c>
      <c r="I408" t="str">
        <v>Arizona v California</v>
      </c>
      <c r="J408" t="str">
        <v>San Simon Creek</v>
      </c>
      <c r="K408" t="str">
        <v>SC</v>
      </c>
      <c r="L408" t="str">
        <v>San Simon</v>
      </c>
      <c r="M408" t="str">
        <v>SS</v>
      </c>
      <c r="N408">
        <v>0</v>
      </c>
      <c r="O408" t="str">
        <v>RD</v>
      </c>
      <c r="P408" t="str">
        <v>Reservoir Dry</v>
      </c>
      <c r="Q408">
        <v>0.32360082917881289</v>
      </c>
      <c r="R408">
        <v>0</v>
      </c>
      <c r="S408" t="str">
        <v>&lt;Null&gt;</v>
      </c>
      <c r="T408" t="str">
        <v xml:space="preserve"> </v>
      </c>
      <c r="U408">
        <v>0</v>
      </c>
      <c r="V408" t="str">
        <v>8</v>
      </c>
      <c r="W408">
        <v>0</v>
      </c>
      <c r="X408" t="str">
        <v>SS-1</v>
      </c>
      <c r="Y408">
        <v>0</v>
      </c>
      <c r="Z408">
        <v>0</v>
      </c>
      <c r="AA408">
        <v>0</v>
      </c>
      <c r="AB408" t="str">
        <v>HI</v>
      </c>
      <c r="AC408" t="str">
        <v>Harry D. and Rosemary Turner</v>
      </c>
      <c r="AD408" t="str">
        <v>1950</v>
      </c>
      <c r="AE408">
        <v>0</v>
      </c>
      <c r="AF408">
        <v>0</v>
      </c>
      <c r="AG408">
        <v>0</v>
      </c>
      <c r="AH408">
        <v>0</v>
      </c>
      <c r="AI408">
        <v>142.6577812268664</v>
      </c>
      <c r="AJ408">
        <v>1309.5713321363339</v>
      </c>
      <c r="AK408">
        <v>0</v>
      </c>
    </row>
    <row r="409" spans="1:37" x14ac:dyDescent="0.25">
      <c r="A409">
        <v>105</v>
      </c>
      <c r="B409" t="str">
        <v>SS-00134</v>
      </c>
      <c r="C409" t="str">
        <v>SS</v>
      </c>
      <c r="D409">
        <v>0</v>
      </c>
      <c r="E409" t="str">
        <v>MM</v>
      </c>
      <c r="F409">
        <v>0</v>
      </c>
      <c r="G409">
        <v>45819</v>
      </c>
      <c r="H409">
        <v>0</v>
      </c>
      <c r="I409" t="str">
        <v>Arizona v California</v>
      </c>
      <c r="J409" t="str">
        <v>San Simon Creek</v>
      </c>
      <c r="K409" t="str">
        <v>SC</v>
      </c>
      <c r="L409" t="str">
        <v>San Simon</v>
      </c>
      <c r="M409" t="str">
        <v>SS</v>
      </c>
      <c r="N409">
        <v>0</v>
      </c>
      <c r="O409" t="str">
        <v>FA</v>
      </c>
      <c r="P409" t="str">
        <v>Fallow, idle or otherwise not irrigated</v>
      </c>
      <c r="Q409">
        <v>7.248715042222118</v>
      </c>
      <c r="R409" t="str">
        <v>4</v>
      </c>
      <c r="S409" t="str">
        <v>Not irrigated</v>
      </c>
      <c r="T409" t="str">
        <v xml:space="preserve"> </v>
      </c>
      <c r="U409">
        <v>0</v>
      </c>
      <c r="V409" t="str">
        <v>9</v>
      </c>
      <c r="W409">
        <v>0</v>
      </c>
      <c r="X409" t="str">
        <v>SS-4,5</v>
      </c>
      <c r="Y409">
        <v>0</v>
      </c>
      <c r="Z409">
        <v>0</v>
      </c>
      <c r="AA409">
        <v>0</v>
      </c>
      <c r="AB409" t="str">
        <v>HI</v>
      </c>
      <c r="AC409" t="str">
        <v>Walter A. Turner and Jacqueline Turner</v>
      </c>
      <c r="AD409" t="str">
        <v>1952</v>
      </c>
      <c r="AE409">
        <v>0</v>
      </c>
      <c r="AF409">
        <v>0</v>
      </c>
      <c r="AG409">
        <v>0</v>
      </c>
      <c r="AH409">
        <v>0</v>
      </c>
      <c r="AI409">
        <v>708.90460103576038</v>
      </c>
      <c r="AJ409">
        <v>29334.626361152172</v>
      </c>
      <c r="AK409">
        <v>0</v>
      </c>
    </row>
    <row r="410" spans="1:37" x14ac:dyDescent="0.25">
      <c r="A410">
        <v>106</v>
      </c>
      <c r="B410" t="str">
        <v>SS-00135</v>
      </c>
      <c r="C410" t="str">
        <v>SS</v>
      </c>
      <c r="D410">
        <v>0</v>
      </c>
      <c r="E410" t="str">
        <v>MM</v>
      </c>
      <c r="F410">
        <v>0</v>
      </c>
      <c r="G410">
        <v>45819</v>
      </c>
      <c r="H410">
        <v>0</v>
      </c>
      <c r="I410" t="str">
        <v>Arizona v California</v>
      </c>
      <c r="J410" t="str">
        <v>San Simon Creek</v>
      </c>
      <c r="K410" t="str">
        <v>SC</v>
      </c>
      <c r="L410" t="str">
        <v>San Simon</v>
      </c>
      <c r="M410" t="str">
        <v>SS</v>
      </c>
      <c r="N410">
        <v>0</v>
      </c>
      <c r="O410" t="str">
        <v>FA</v>
      </c>
      <c r="P410" t="str">
        <v>Fallow, idle or otherwise not irrigated</v>
      </c>
      <c r="Q410">
        <v>8.009259949627852</v>
      </c>
      <c r="R410" t="str">
        <v>4</v>
      </c>
      <c r="S410" t="str">
        <v>Not irrigated</v>
      </c>
      <c r="T410" t="str">
        <v xml:space="preserve"> </v>
      </c>
      <c r="U410">
        <v>0</v>
      </c>
      <c r="V410" t="str">
        <v>9</v>
      </c>
      <c r="W410">
        <v>0</v>
      </c>
      <c r="X410" t="str">
        <v>SS-4,5</v>
      </c>
      <c r="Y410">
        <v>0</v>
      </c>
      <c r="Z410">
        <v>0</v>
      </c>
      <c r="AA410">
        <v>0</v>
      </c>
      <c r="AB410" t="str">
        <v>HI</v>
      </c>
      <c r="AC410" t="str">
        <v>Walter A. Turner and Jacqueline Turner</v>
      </c>
      <c r="AD410" t="str">
        <v>1952</v>
      </c>
      <c r="AE410">
        <v>0</v>
      </c>
      <c r="AF410">
        <v>0</v>
      </c>
      <c r="AG410">
        <v>0</v>
      </c>
      <c r="AH410">
        <v>0</v>
      </c>
      <c r="AI410">
        <v>1022.521862422806</v>
      </c>
      <c r="AJ410">
        <v>32412.45471551178</v>
      </c>
      <c r="AK410">
        <v>0</v>
      </c>
    </row>
    <row r="411" spans="1:37" x14ac:dyDescent="0.25">
      <c r="A411">
        <v>107</v>
      </c>
      <c r="B411" t="str">
        <v>SS-00136</v>
      </c>
      <c r="C411" t="str">
        <v>SS</v>
      </c>
      <c r="D411">
        <v>0</v>
      </c>
      <c r="E411" t="str">
        <v>MM</v>
      </c>
      <c r="F411">
        <v>0</v>
      </c>
      <c r="G411">
        <v>45819</v>
      </c>
      <c r="H411">
        <v>0</v>
      </c>
      <c r="I411" t="str">
        <v>Arizona v California</v>
      </c>
      <c r="J411" t="str">
        <v>San Simon Creek</v>
      </c>
      <c r="K411" t="str">
        <v>SC</v>
      </c>
      <c r="L411" t="str">
        <v>San Simon</v>
      </c>
      <c r="M411" t="str">
        <v>SS</v>
      </c>
      <c r="N411">
        <v>0</v>
      </c>
      <c r="O411" t="str">
        <v>FA</v>
      </c>
      <c r="P411" t="str">
        <v>Fallow, idle or otherwise not irrigated</v>
      </c>
      <c r="Q411">
        <v>8.580267057998558</v>
      </c>
      <c r="R411" t="str">
        <v>4</v>
      </c>
      <c r="S411" t="str">
        <v>Not irrigated</v>
      </c>
      <c r="T411" t="str">
        <v xml:space="preserve"> </v>
      </c>
      <c r="U411">
        <v>0</v>
      </c>
      <c r="V411" t="str">
        <v>9</v>
      </c>
      <c r="W411">
        <v>0</v>
      </c>
      <c r="X411" t="str">
        <v xml:space="preserve"> </v>
      </c>
      <c r="Y411">
        <v>0</v>
      </c>
      <c r="Z411">
        <v>0</v>
      </c>
      <c r="AA411">
        <v>0</v>
      </c>
      <c r="AB411" t="str">
        <v>HI</v>
      </c>
      <c r="AC411" t="str">
        <v xml:space="preserve"> </v>
      </c>
      <c r="AD411" t="str">
        <v>0</v>
      </c>
      <c r="AE411">
        <v>0</v>
      </c>
      <c r="AF411">
        <v>0</v>
      </c>
      <c r="AG411">
        <v>0</v>
      </c>
      <c r="AH411">
        <v>0</v>
      </c>
      <c r="AI411">
        <v>1032.3891680045431</v>
      </c>
      <c r="AJ411">
        <v>34723.247742420703</v>
      </c>
      <c r="AK411">
        <v>0</v>
      </c>
    </row>
    <row r="412" spans="1:37" x14ac:dyDescent="0.25">
      <c r="A412">
        <v>108</v>
      </c>
      <c r="B412" t="str">
        <v>SS-00137</v>
      </c>
      <c r="C412" t="str">
        <v>SS</v>
      </c>
      <c r="D412">
        <v>0</v>
      </c>
      <c r="E412" t="str">
        <v>MM</v>
      </c>
      <c r="F412">
        <v>0</v>
      </c>
      <c r="G412">
        <v>45819</v>
      </c>
      <c r="H412">
        <v>0</v>
      </c>
      <c r="I412" t="str">
        <v>Arizona v California</v>
      </c>
      <c r="J412" t="str">
        <v>San Simon Creek</v>
      </c>
      <c r="K412" t="str">
        <v>SC</v>
      </c>
      <c r="L412" t="str">
        <v>San Simon</v>
      </c>
      <c r="M412" t="str">
        <v>SS</v>
      </c>
      <c r="N412">
        <v>0</v>
      </c>
      <c r="O412" t="str">
        <v>FA</v>
      </c>
      <c r="P412" t="str">
        <v>Fallow, idle or otherwise not irrigated</v>
      </c>
      <c r="Q412">
        <v>18.791781886887641</v>
      </c>
      <c r="R412" t="str">
        <v>4</v>
      </c>
      <c r="S412" t="str">
        <v>Not irrigated</v>
      </c>
      <c r="T412" t="str">
        <v xml:space="preserve"> </v>
      </c>
      <c r="U412">
        <v>0</v>
      </c>
      <c r="V412" t="str">
        <v>9</v>
      </c>
      <c r="W412">
        <v>0</v>
      </c>
      <c r="X412" t="str">
        <v>SS-4,5</v>
      </c>
      <c r="Y412">
        <v>0</v>
      </c>
      <c r="Z412">
        <v>0</v>
      </c>
      <c r="AA412">
        <v>0</v>
      </c>
      <c r="AB412" t="str">
        <v>HI</v>
      </c>
      <c r="AC412" t="str">
        <v>Walter A. Turner and Jacqueline Turner</v>
      </c>
      <c r="AD412" t="str">
        <v>1952</v>
      </c>
      <c r="AE412">
        <v>0</v>
      </c>
      <c r="AF412">
        <v>0</v>
      </c>
      <c r="AG412">
        <v>0</v>
      </c>
      <c r="AH412">
        <v>0</v>
      </c>
      <c r="AI412">
        <v>1152.013086933971</v>
      </c>
      <c r="AJ412">
        <v>76047.947408776687</v>
      </c>
      <c r="AK412">
        <v>0</v>
      </c>
    </row>
    <row r="413" spans="1:37" x14ac:dyDescent="0.25">
      <c r="A413">
        <v>109</v>
      </c>
      <c r="B413" t="str">
        <v>SS-00138</v>
      </c>
      <c r="C413" t="str">
        <v>SS</v>
      </c>
      <c r="D413">
        <v>0</v>
      </c>
      <c r="E413" t="str">
        <v>MM</v>
      </c>
      <c r="F413">
        <v>0</v>
      </c>
      <c r="G413">
        <v>45819</v>
      </c>
      <c r="H413">
        <v>0</v>
      </c>
      <c r="I413" t="str">
        <v>Arizona v California</v>
      </c>
      <c r="J413" t="str">
        <v>San Simon Creek</v>
      </c>
      <c r="K413" t="str">
        <v>SC</v>
      </c>
      <c r="L413" t="str">
        <v>San Simon</v>
      </c>
      <c r="M413" t="str">
        <v>SS</v>
      </c>
      <c r="N413">
        <v>0</v>
      </c>
      <c r="O413" t="str">
        <v>FA</v>
      </c>
      <c r="P413" t="str">
        <v>Fallow, idle or otherwise not irrigated</v>
      </c>
      <c r="Q413">
        <v>13.251597069923569</v>
      </c>
      <c r="R413" t="str">
        <v>4</v>
      </c>
      <c r="S413" t="str">
        <v>Not irrigated</v>
      </c>
      <c r="T413" t="str">
        <v xml:space="preserve"> </v>
      </c>
      <c r="U413">
        <v>0</v>
      </c>
      <c r="V413" t="str">
        <v>9</v>
      </c>
      <c r="W413">
        <v>0</v>
      </c>
      <c r="X413" t="str">
        <v>SS-4,5</v>
      </c>
      <c r="Y413">
        <v>0</v>
      </c>
      <c r="Z413">
        <v>0</v>
      </c>
      <c r="AA413">
        <v>0</v>
      </c>
      <c r="AB413" t="str">
        <v>HI</v>
      </c>
      <c r="AC413" t="str">
        <v>Walter A. Turner and Jacqueline Turner</v>
      </c>
      <c r="AD413" t="str">
        <v>1952</v>
      </c>
      <c r="AE413">
        <v>0</v>
      </c>
      <c r="AF413">
        <v>0</v>
      </c>
      <c r="AG413">
        <v>0</v>
      </c>
      <c r="AH413">
        <v>0</v>
      </c>
      <c r="AI413">
        <v>929.81449708793252</v>
      </c>
      <c r="AJ413">
        <v>53627.525219363582</v>
      </c>
      <c r="AK413">
        <v>0</v>
      </c>
    </row>
    <row r="414" spans="1:37" x14ac:dyDescent="0.25">
      <c r="A414">
        <v>110</v>
      </c>
      <c r="B414" t="str">
        <v>SS-00139</v>
      </c>
      <c r="C414" t="str">
        <v>SS</v>
      </c>
      <c r="D414">
        <v>0</v>
      </c>
      <c r="E414" t="str">
        <v>MM</v>
      </c>
      <c r="F414">
        <v>0</v>
      </c>
      <c r="G414">
        <v>45819</v>
      </c>
      <c r="H414">
        <v>0</v>
      </c>
      <c r="I414" t="str">
        <v>Arizona v California</v>
      </c>
      <c r="J414" t="str">
        <v>San Simon Creek</v>
      </c>
      <c r="K414" t="str">
        <v>SC</v>
      </c>
      <c r="L414" t="str">
        <v>San Simon</v>
      </c>
      <c r="M414" t="str">
        <v>SS</v>
      </c>
      <c r="N414">
        <v>0</v>
      </c>
      <c r="O414" t="str">
        <v>FA</v>
      </c>
      <c r="P414" t="str">
        <v>Fallow, idle or otherwise not irrigated</v>
      </c>
      <c r="Q414">
        <v>1.24971412044471</v>
      </c>
      <c r="R414" t="str">
        <v>4</v>
      </c>
      <c r="S414" t="str">
        <v>Not irrigated</v>
      </c>
      <c r="T414" t="str">
        <v xml:space="preserve"> </v>
      </c>
      <c r="U414">
        <v>0</v>
      </c>
      <c r="V414" t="str">
        <v>9</v>
      </c>
      <c r="W414">
        <v>0</v>
      </c>
      <c r="X414" t="str">
        <v>SS-7,9</v>
      </c>
      <c r="Y414">
        <v>0</v>
      </c>
      <c r="Z414">
        <v>0</v>
      </c>
      <c r="AA414">
        <v>0</v>
      </c>
      <c r="AB414" t="str">
        <v>HI</v>
      </c>
      <c r="AC414" t="str">
        <v>Bill Veck</v>
      </c>
      <c r="AD414" t="str">
        <v>1953</v>
      </c>
      <c r="AE414">
        <v>0</v>
      </c>
      <c r="AF414">
        <v>0</v>
      </c>
      <c r="AG414">
        <v>0</v>
      </c>
      <c r="AH414">
        <v>0</v>
      </c>
      <c r="AI414">
        <v>1127.164489323882</v>
      </c>
      <c r="AJ414">
        <v>5057.4338442007866</v>
      </c>
      <c r="AK414">
        <v>0</v>
      </c>
    </row>
    <row r="415" spans="1:37" x14ac:dyDescent="0.25">
      <c r="A415">
        <v>111</v>
      </c>
      <c r="B415" t="str">
        <v>SS-00141</v>
      </c>
      <c r="C415" t="str">
        <v>SS</v>
      </c>
      <c r="D415">
        <v>0</v>
      </c>
      <c r="E415" t="str">
        <v>MM</v>
      </c>
      <c r="F415">
        <v>0</v>
      </c>
      <c r="G415">
        <v>45819</v>
      </c>
      <c r="H415">
        <v>0</v>
      </c>
      <c r="I415" t="str">
        <v>Arizona v California</v>
      </c>
      <c r="J415" t="str">
        <v>San Simon Creek</v>
      </c>
      <c r="K415" t="str">
        <v>SC</v>
      </c>
      <c r="L415" t="str">
        <v>San Simon</v>
      </c>
      <c r="M415" t="str">
        <v>SS</v>
      </c>
      <c r="N415">
        <v>0</v>
      </c>
      <c r="O415" t="str">
        <v>FA</v>
      </c>
      <c r="P415" t="str">
        <v>Fallow, idle or otherwise not irrigated</v>
      </c>
      <c r="Q415">
        <v>10.2589111585098</v>
      </c>
      <c r="R415" t="str">
        <v>4</v>
      </c>
      <c r="S415" t="str">
        <v>Not irrigated</v>
      </c>
      <c r="T415" t="str">
        <v xml:space="preserve"> </v>
      </c>
      <c r="U415">
        <v>0</v>
      </c>
      <c r="V415" t="str">
        <v>9</v>
      </c>
      <c r="W415">
        <v>0</v>
      </c>
      <c r="X415" t="str">
        <v>SS-4,5</v>
      </c>
      <c r="Y415">
        <v>0</v>
      </c>
      <c r="Z415">
        <v>0</v>
      </c>
      <c r="AA415">
        <v>0</v>
      </c>
      <c r="AB415" t="str">
        <v>HI</v>
      </c>
      <c r="AC415" t="str">
        <v>Walter A. Turner and Jacqueline Turner</v>
      </c>
      <c r="AD415" t="str">
        <v>1952</v>
      </c>
      <c r="AE415">
        <v>0</v>
      </c>
      <c r="AF415">
        <v>0</v>
      </c>
      <c r="AG415">
        <v>0</v>
      </c>
      <c r="AH415">
        <v>0</v>
      </c>
      <c r="AI415">
        <v>1257.887721360923</v>
      </c>
      <c r="AJ415">
        <v>41516.506574506653</v>
      </c>
      <c r="AK415">
        <v>0</v>
      </c>
    </row>
    <row r="416" spans="1:37" x14ac:dyDescent="0.25">
      <c r="A416">
        <v>112</v>
      </c>
      <c r="B416" t="str">
        <v>SS-00142</v>
      </c>
      <c r="C416" t="str">
        <v>SS</v>
      </c>
      <c r="D416">
        <v>0</v>
      </c>
      <c r="E416" t="str">
        <v>MM</v>
      </c>
      <c r="F416">
        <v>0</v>
      </c>
      <c r="G416">
        <v>45819</v>
      </c>
      <c r="H416">
        <v>0</v>
      </c>
      <c r="I416" t="str">
        <v>Arizona v California</v>
      </c>
      <c r="J416" t="str">
        <v>San Simon Creek</v>
      </c>
      <c r="K416" t="str">
        <v>SC</v>
      </c>
      <c r="L416" t="str">
        <v>San Simon</v>
      </c>
      <c r="M416" t="str">
        <v>SS</v>
      </c>
      <c r="N416">
        <v>0</v>
      </c>
      <c r="O416" t="str">
        <v>FA</v>
      </c>
      <c r="P416" t="str">
        <v>Fallow, idle or otherwise not irrigated</v>
      </c>
      <c r="Q416">
        <v>12.47294654555972</v>
      </c>
      <c r="R416" t="str">
        <v>4</v>
      </c>
      <c r="S416" t="str">
        <v>Not irrigated</v>
      </c>
      <c r="T416" t="str">
        <v xml:space="preserve"> </v>
      </c>
      <c r="U416">
        <v>0</v>
      </c>
      <c r="V416" t="str">
        <v>9</v>
      </c>
      <c r="W416">
        <v>0</v>
      </c>
      <c r="X416" t="str">
        <v>SS-4,5</v>
      </c>
      <c r="Y416">
        <v>0</v>
      </c>
      <c r="Z416">
        <v>0</v>
      </c>
      <c r="AA416">
        <v>0</v>
      </c>
      <c r="AB416" t="str">
        <v>HI</v>
      </c>
      <c r="AC416" t="str">
        <v>Walter A. Turner and Jacqueline Turner</v>
      </c>
      <c r="AD416" t="str">
        <v>1952</v>
      </c>
      <c r="AE416">
        <v>0</v>
      </c>
      <c r="AF416">
        <v>0</v>
      </c>
      <c r="AG416">
        <v>0</v>
      </c>
      <c r="AH416">
        <v>0</v>
      </c>
      <c r="AI416">
        <v>947.5465071229097</v>
      </c>
      <c r="AJ416">
        <v>50476.425739651277</v>
      </c>
      <c r="AK416">
        <v>0</v>
      </c>
    </row>
    <row r="417" spans="1:37" x14ac:dyDescent="0.25">
      <c r="A417">
        <v>113</v>
      </c>
      <c r="B417" t="str">
        <v>SS-00144</v>
      </c>
      <c r="C417" t="str">
        <v>SS</v>
      </c>
      <c r="D417">
        <v>0</v>
      </c>
      <c r="E417" t="str">
        <v>MM</v>
      </c>
      <c r="F417">
        <v>0</v>
      </c>
      <c r="G417">
        <v>45819</v>
      </c>
      <c r="H417">
        <v>0</v>
      </c>
      <c r="I417" t="str">
        <v>Arizona v California</v>
      </c>
      <c r="J417" t="str">
        <v>San Simon Creek</v>
      </c>
      <c r="K417" t="str">
        <v>SC</v>
      </c>
      <c r="L417" t="str">
        <v>San Simon</v>
      </c>
      <c r="M417" t="str">
        <v>SS</v>
      </c>
      <c r="N417">
        <v>0</v>
      </c>
      <c r="O417" t="str">
        <v>FA</v>
      </c>
      <c r="P417" t="str">
        <v>Fallow, idle or otherwise not irrigated</v>
      </c>
      <c r="Q417">
        <v>18.749087589050561</v>
      </c>
      <c r="R417" t="str">
        <v>4</v>
      </c>
      <c r="S417" t="str">
        <v>Not irrigated</v>
      </c>
      <c r="T417">
        <v>0</v>
      </c>
      <c r="U417">
        <v>0</v>
      </c>
      <c r="V417" t="str">
        <v>9</v>
      </c>
      <c r="W417">
        <v>0</v>
      </c>
      <c r="X417" t="str">
        <v>SS-9</v>
      </c>
      <c r="Y417">
        <v>0</v>
      </c>
      <c r="Z417">
        <v>0</v>
      </c>
      <c r="AA417">
        <v>0</v>
      </c>
      <c r="AB417" t="str">
        <v>HI</v>
      </c>
      <c r="AC417" t="str">
        <v xml:space="preserve"> </v>
      </c>
      <c r="AD417" t="str">
        <v>1953</v>
      </c>
      <c r="AE417">
        <v>0</v>
      </c>
      <c r="AF417">
        <v>0</v>
      </c>
      <c r="AG417">
        <v>0</v>
      </c>
      <c r="AH417">
        <v>0</v>
      </c>
      <c r="AI417">
        <v>2257.5366095091822</v>
      </c>
      <c r="AJ417">
        <v>75875.169024261981</v>
      </c>
      <c r="AK417">
        <v>0</v>
      </c>
    </row>
    <row r="418" spans="1:37" x14ac:dyDescent="0.25">
      <c r="A418">
        <v>114</v>
      </c>
      <c r="B418" t="str">
        <v>SS-00145</v>
      </c>
      <c r="C418" t="str">
        <v>SS</v>
      </c>
      <c r="D418">
        <v>0</v>
      </c>
      <c r="E418" t="str">
        <v>MM</v>
      </c>
      <c r="F418">
        <v>0</v>
      </c>
      <c r="G418">
        <v>45819</v>
      </c>
      <c r="H418">
        <v>0</v>
      </c>
      <c r="I418" t="str">
        <v>Arizona v California</v>
      </c>
      <c r="J418" t="str">
        <v>San Simon Creek</v>
      </c>
      <c r="K418" t="str">
        <v>SC</v>
      </c>
      <c r="L418" t="str">
        <v>San Simon</v>
      </c>
      <c r="M418" t="str">
        <v>SS</v>
      </c>
      <c r="N418">
        <v>0</v>
      </c>
      <c r="O418" t="str">
        <v>FA</v>
      </c>
      <c r="P418" t="str">
        <v>Fallow, idle or otherwise not irrigated</v>
      </c>
      <c r="Q418">
        <v>0.9877295102884206</v>
      </c>
      <c r="R418" t="str">
        <v>4</v>
      </c>
      <c r="S418" t="str">
        <v>Not irrigated</v>
      </c>
      <c r="T418" t="str">
        <v xml:space="preserve"> </v>
      </c>
      <c r="U418">
        <v>0</v>
      </c>
      <c r="V418" t="str">
        <v>9</v>
      </c>
      <c r="W418">
        <v>0</v>
      </c>
      <c r="X418" t="str">
        <v>SS-4,5</v>
      </c>
      <c r="Y418">
        <v>0</v>
      </c>
      <c r="Z418">
        <v>0</v>
      </c>
      <c r="AA418">
        <v>0</v>
      </c>
      <c r="AB418" t="str">
        <v>HI</v>
      </c>
      <c r="AC418" t="str">
        <v>Walter A. Turner and Jacqueline Turner</v>
      </c>
      <c r="AD418" t="str">
        <v>1952</v>
      </c>
      <c r="AE418">
        <v>0</v>
      </c>
      <c r="AF418">
        <v>0</v>
      </c>
      <c r="AG418">
        <v>0</v>
      </c>
      <c r="AH418">
        <v>0</v>
      </c>
      <c r="AI418">
        <v>379.61680749450289</v>
      </c>
      <c r="AJ418">
        <v>3997.215501150718</v>
      </c>
      <c r="AK418">
        <v>0</v>
      </c>
    </row>
    <row r="419" spans="1:37" x14ac:dyDescent="0.25">
      <c r="A419">
        <v>115</v>
      </c>
      <c r="B419" t="str">
        <v>SS-00148</v>
      </c>
      <c r="C419" t="str">
        <v>SS</v>
      </c>
      <c r="D419">
        <v>0</v>
      </c>
      <c r="E419" t="str">
        <v>MM</v>
      </c>
      <c r="F419">
        <v>0</v>
      </c>
      <c r="G419">
        <v>45819</v>
      </c>
      <c r="H419">
        <v>0</v>
      </c>
      <c r="I419" t="str">
        <v>Arizona v California</v>
      </c>
      <c r="J419" t="str">
        <v>San Simon Creek</v>
      </c>
      <c r="K419" t="str">
        <v>SC</v>
      </c>
      <c r="L419" t="str">
        <v>San Simon</v>
      </c>
      <c r="M419" t="str">
        <v>SS</v>
      </c>
      <c r="N419">
        <v>0</v>
      </c>
      <c r="O419" t="str">
        <v>FA</v>
      </c>
      <c r="P419" t="str">
        <v>Fallow, idle or otherwise not irrigated</v>
      </c>
      <c r="Q419">
        <v>17.276910684653441</v>
      </c>
      <c r="R419" t="str">
        <v>4</v>
      </c>
      <c r="S419" t="str">
        <v>Not irrigated</v>
      </c>
      <c r="T419" t="str">
        <v xml:space="preserve"> </v>
      </c>
      <c r="U419">
        <v>0</v>
      </c>
      <c r="V419" t="str">
        <v>9</v>
      </c>
      <c r="W419">
        <v>0</v>
      </c>
      <c r="X419" t="str">
        <v>SS-15,16</v>
      </c>
      <c r="Y419">
        <v>0</v>
      </c>
      <c r="Z419">
        <v>0</v>
      </c>
      <c r="AA419">
        <v>0</v>
      </c>
      <c r="AB419" t="str">
        <v>HI</v>
      </c>
      <c r="AC419" t="str">
        <v>Harry D. and Rosemary Turner</v>
      </c>
      <c r="AD419" t="str">
        <v>1959</v>
      </c>
      <c r="AE419">
        <v>0</v>
      </c>
      <c r="AF419">
        <v>0</v>
      </c>
      <c r="AG419">
        <v>0</v>
      </c>
      <c r="AH419">
        <v>0</v>
      </c>
      <c r="AI419">
        <v>2298.489733932845</v>
      </c>
      <c r="AJ419">
        <v>69917.45663296782</v>
      </c>
      <c r="AK419">
        <v>0</v>
      </c>
    </row>
    <row r="420" spans="1:37" x14ac:dyDescent="0.25">
      <c r="A420">
        <v>117</v>
      </c>
      <c r="B420" t="str">
        <v>SS-00151</v>
      </c>
      <c r="C420" t="str">
        <v>SS</v>
      </c>
      <c r="D420">
        <v>0</v>
      </c>
      <c r="E420" t="str">
        <v>MM</v>
      </c>
      <c r="F420">
        <v>0</v>
      </c>
      <c r="G420">
        <v>45819</v>
      </c>
      <c r="H420">
        <v>0</v>
      </c>
      <c r="I420" t="str">
        <v>Arizona v California</v>
      </c>
      <c r="J420" t="str">
        <v>San Simon Creek</v>
      </c>
      <c r="K420" t="str">
        <v>SC</v>
      </c>
      <c r="L420" t="str">
        <v>San Simon</v>
      </c>
      <c r="M420" t="str">
        <v>SS</v>
      </c>
      <c r="N420">
        <v>0</v>
      </c>
      <c r="O420" t="str">
        <v>FA</v>
      </c>
      <c r="P420" t="str">
        <v>Fallow, idle or otherwise not irrigated</v>
      </c>
      <c r="Q420">
        <v>3.455382092405491</v>
      </c>
      <c r="R420" t="str">
        <v>4</v>
      </c>
      <c r="S420" t="str">
        <v>Not irrigated</v>
      </c>
      <c r="T420" t="str">
        <v xml:space="preserve"> </v>
      </c>
      <c r="U420">
        <v>0</v>
      </c>
      <c r="V420" t="str">
        <v>9</v>
      </c>
      <c r="W420">
        <v>0</v>
      </c>
      <c r="X420" t="str">
        <v>SS-4,5</v>
      </c>
      <c r="Y420">
        <v>0</v>
      </c>
      <c r="Z420">
        <v>0</v>
      </c>
      <c r="AA420">
        <v>0</v>
      </c>
      <c r="AB420" t="str">
        <v>HI</v>
      </c>
      <c r="AC420" t="str">
        <v>Walter A. Turner and Jacqueline Turner</v>
      </c>
      <c r="AD420" t="str">
        <v>1952</v>
      </c>
      <c r="AE420">
        <v>0</v>
      </c>
      <c r="AF420">
        <v>0</v>
      </c>
      <c r="AG420">
        <v>0</v>
      </c>
      <c r="AH420">
        <v>0</v>
      </c>
      <c r="AI420">
        <v>635.24207636032213</v>
      </c>
      <c r="AJ420">
        <v>13983.49114640576</v>
      </c>
      <c r="AK420">
        <v>0</v>
      </c>
    </row>
    <row r="421" spans="1:37" x14ac:dyDescent="0.25">
      <c r="A421">
        <v>118</v>
      </c>
      <c r="B421" t="str">
        <v>SS-00152</v>
      </c>
      <c r="C421" t="str">
        <v>SS</v>
      </c>
      <c r="D421">
        <v>0</v>
      </c>
      <c r="E421" t="str">
        <v>MM</v>
      </c>
      <c r="F421">
        <v>0</v>
      </c>
      <c r="G421">
        <v>45819</v>
      </c>
      <c r="H421">
        <v>0</v>
      </c>
      <c r="I421" t="str">
        <v>Arizona v California</v>
      </c>
      <c r="J421" t="str">
        <v>San Simon Creek</v>
      </c>
      <c r="K421" t="str">
        <v>SC</v>
      </c>
      <c r="L421" t="str">
        <v>San Simon</v>
      </c>
      <c r="M421" t="str">
        <v>SS</v>
      </c>
      <c r="N421">
        <v>0</v>
      </c>
      <c r="O421" t="str">
        <v>FA</v>
      </c>
      <c r="P421" t="str">
        <v>Fallow, idle or otherwise not irrigated</v>
      </c>
      <c r="Q421">
        <v>5.4366940325557902</v>
      </c>
      <c r="R421" t="str">
        <v>4</v>
      </c>
      <c r="S421" t="str">
        <v>Not irrigated</v>
      </c>
      <c r="T421" t="str">
        <v xml:space="preserve"> </v>
      </c>
      <c r="U421">
        <v>0</v>
      </c>
      <c r="V421" t="str">
        <v>9</v>
      </c>
      <c r="W421">
        <v>0</v>
      </c>
      <c r="X421" t="str">
        <v>SS-4,5</v>
      </c>
      <c r="Y421">
        <v>0</v>
      </c>
      <c r="Z421">
        <v>0</v>
      </c>
      <c r="AA421">
        <v>0</v>
      </c>
      <c r="AB421" t="str">
        <v>HI</v>
      </c>
      <c r="AC421" t="str">
        <v>Walter A. Turner and Jacqueline Turner</v>
      </c>
      <c r="AD421" t="str">
        <v>1952</v>
      </c>
      <c r="AE421">
        <v>0</v>
      </c>
      <c r="AF421">
        <v>0</v>
      </c>
      <c r="AG421">
        <v>0</v>
      </c>
      <c r="AH421">
        <v>0</v>
      </c>
      <c r="AI421">
        <v>920.26895005026699</v>
      </c>
      <c r="AJ421">
        <v>22001.608168616822</v>
      </c>
      <c r="AK421">
        <v>0</v>
      </c>
    </row>
    <row r="422" spans="1:37" x14ac:dyDescent="0.25">
      <c r="A422">
        <v>119</v>
      </c>
      <c r="B422" t="str">
        <v>SS-00153</v>
      </c>
      <c r="C422" t="str">
        <v>SS</v>
      </c>
      <c r="D422">
        <v>0</v>
      </c>
      <c r="E422" t="str">
        <v>MM</v>
      </c>
      <c r="F422">
        <v>0</v>
      </c>
      <c r="G422">
        <v>45819</v>
      </c>
      <c r="H422">
        <v>0</v>
      </c>
      <c r="I422" t="str">
        <v>Arizona v California</v>
      </c>
      <c r="J422" t="str">
        <v>San Simon Creek</v>
      </c>
      <c r="K422" t="str">
        <v>SC</v>
      </c>
      <c r="L422" t="str">
        <v>San Simon</v>
      </c>
      <c r="M422" t="str">
        <v>SS</v>
      </c>
      <c r="N422">
        <v>0</v>
      </c>
      <c r="O422" t="str">
        <v>FA</v>
      </c>
      <c r="P422" t="str">
        <v>Fallow, idle or otherwise not irrigated</v>
      </c>
      <c r="Q422">
        <v>0.54483448449636029</v>
      </c>
      <c r="R422" t="str">
        <v>4</v>
      </c>
      <c r="S422" t="str">
        <v>Not irrigated</v>
      </c>
      <c r="T422" t="str">
        <v xml:space="preserve"> </v>
      </c>
      <c r="U422">
        <v>0</v>
      </c>
      <c r="V422" t="str">
        <v>9</v>
      </c>
      <c r="W422">
        <v>0</v>
      </c>
      <c r="X422" t="str">
        <v>SS-4,5</v>
      </c>
      <c r="Y422">
        <v>0</v>
      </c>
      <c r="Z422">
        <v>0</v>
      </c>
      <c r="AA422">
        <v>0</v>
      </c>
      <c r="AB422" t="str">
        <v>HI</v>
      </c>
      <c r="AC422" t="str">
        <v>Walter A. Turner and Jacqueline Turner</v>
      </c>
      <c r="AD422" t="str">
        <v>1952</v>
      </c>
      <c r="AE422">
        <v>0</v>
      </c>
      <c r="AF422">
        <v>0</v>
      </c>
      <c r="AG422">
        <v>0</v>
      </c>
      <c r="AH422">
        <v>0</v>
      </c>
      <c r="AI422">
        <v>342.11375213675927</v>
      </c>
      <c r="AJ422">
        <v>2204.8757522232781</v>
      </c>
      <c r="AK422">
        <v>0</v>
      </c>
    </row>
    <row r="423" spans="1:37" x14ac:dyDescent="0.25">
      <c r="A423">
        <v>120</v>
      </c>
      <c r="B423" t="str">
        <v>SS-00159</v>
      </c>
      <c r="C423" t="str">
        <v>SS</v>
      </c>
      <c r="D423">
        <v>0</v>
      </c>
      <c r="E423" t="str">
        <v>MM</v>
      </c>
      <c r="F423">
        <v>0</v>
      </c>
      <c r="G423">
        <v>45819</v>
      </c>
      <c r="H423">
        <v>0</v>
      </c>
      <c r="I423" t="str">
        <v>Arizona v California</v>
      </c>
      <c r="J423" t="str">
        <v>San Simon Creek</v>
      </c>
      <c r="K423" t="str">
        <v>SC</v>
      </c>
      <c r="L423" t="str">
        <v>San Simon</v>
      </c>
      <c r="M423" t="str">
        <v>SS</v>
      </c>
      <c r="N423">
        <v>0</v>
      </c>
      <c r="O423" t="str">
        <v>FA</v>
      </c>
      <c r="P423" t="str">
        <v>Fallow, idle or otherwise not irrigated</v>
      </c>
      <c r="Q423">
        <v>7.6326027122660474</v>
      </c>
      <c r="R423" t="str">
        <v>4</v>
      </c>
      <c r="S423" t="str">
        <v>Not irrigated</v>
      </c>
      <c r="T423" t="str">
        <v xml:space="preserve"> </v>
      </c>
      <c r="U423">
        <v>0</v>
      </c>
      <c r="V423" t="str">
        <v>9</v>
      </c>
      <c r="W423">
        <v>0</v>
      </c>
      <c r="X423" t="str">
        <v>SS-16</v>
      </c>
      <c r="Y423">
        <v>0</v>
      </c>
      <c r="Z423">
        <v>0</v>
      </c>
      <c r="AA423">
        <v>0</v>
      </c>
      <c r="AB423" t="str">
        <v>HI</v>
      </c>
      <c r="AC423" t="str">
        <v xml:space="preserve"> </v>
      </c>
      <c r="AD423" t="str">
        <v>1959</v>
      </c>
      <c r="AE423">
        <v>0</v>
      </c>
      <c r="AF423">
        <v>0</v>
      </c>
      <c r="AG423">
        <v>0</v>
      </c>
      <c r="AH423">
        <v>0</v>
      </c>
      <c r="AI423">
        <v>951.02093686573812</v>
      </c>
      <c r="AJ423">
        <v>30888.170858321391</v>
      </c>
      <c r="AK423">
        <v>0</v>
      </c>
    </row>
    <row r="424" spans="1:37" x14ac:dyDescent="0.25">
      <c r="A424">
        <v>121</v>
      </c>
      <c r="B424" t="str">
        <v>SS-00160</v>
      </c>
      <c r="C424" t="str">
        <v>SS</v>
      </c>
      <c r="D424">
        <v>0</v>
      </c>
      <c r="E424" t="str">
        <v>MM</v>
      </c>
      <c r="F424">
        <v>0</v>
      </c>
      <c r="G424">
        <v>45819</v>
      </c>
      <c r="H424">
        <v>0</v>
      </c>
      <c r="I424" t="str">
        <v>Arizona v California</v>
      </c>
      <c r="J424" t="str">
        <v>San Simon Creek</v>
      </c>
      <c r="K424" t="str">
        <v>SC</v>
      </c>
      <c r="L424" t="str">
        <v>San Simon</v>
      </c>
      <c r="M424" t="str">
        <v>SS</v>
      </c>
      <c r="N424">
        <v>0</v>
      </c>
      <c r="O424" t="str">
        <v>FA</v>
      </c>
      <c r="P424" t="str">
        <v>Fallow, idle or otherwise not irrigated</v>
      </c>
      <c r="Q424">
        <v>9.2567111369963833</v>
      </c>
      <c r="R424" t="str">
        <v>4</v>
      </c>
      <c r="S424" t="str">
        <v>Not irrigated</v>
      </c>
      <c r="T424" t="str">
        <v xml:space="preserve"> </v>
      </c>
      <c r="U424">
        <v>0</v>
      </c>
      <c r="V424" t="str">
        <v>9</v>
      </c>
      <c r="W424">
        <v>0</v>
      </c>
      <c r="X424" t="str">
        <v>SS-16</v>
      </c>
      <c r="Y424">
        <v>0</v>
      </c>
      <c r="Z424">
        <v>0</v>
      </c>
      <c r="AA424">
        <v>0</v>
      </c>
      <c r="AB424" t="str">
        <v>HI</v>
      </c>
      <c r="AC424" t="str">
        <v xml:space="preserve"> </v>
      </c>
      <c r="AD424" t="str">
        <v>1959</v>
      </c>
      <c r="AE424">
        <v>0</v>
      </c>
      <c r="AF424">
        <v>0</v>
      </c>
      <c r="AG424">
        <v>0</v>
      </c>
      <c r="AH424">
        <v>0</v>
      </c>
      <c r="AI424">
        <v>1338.875938488475</v>
      </c>
      <c r="AJ424">
        <v>37460.730757828613</v>
      </c>
      <c r="AK424">
        <v>0</v>
      </c>
    </row>
    <row r="425" spans="1:37" x14ac:dyDescent="0.25">
      <c r="A425">
        <v>122</v>
      </c>
      <c r="B425" t="str">
        <v>SS-00167</v>
      </c>
      <c r="C425" t="str">
        <v>SS</v>
      </c>
      <c r="D425">
        <v>0</v>
      </c>
      <c r="E425" t="str">
        <v>MM</v>
      </c>
      <c r="F425">
        <v>0</v>
      </c>
      <c r="G425">
        <v>45819</v>
      </c>
      <c r="H425">
        <v>0</v>
      </c>
      <c r="I425" t="str">
        <v>Arizona v California</v>
      </c>
      <c r="J425" t="str">
        <v>San Simon Creek</v>
      </c>
      <c r="K425" t="str">
        <v>SC</v>
      </c>
      <c r="L425" t="str">
        <v>San Simon</v>
      </c>
      <c r="M425" t="str">
        <v>SS</v>
      </c>
      <c r="N425">
        <v>0</v>
      </c>
      <c r="O425" t="str">
        <v>FA</v>
      </c>
      <c r="P425" t="str">
        <v>Fallow, idle or otherwise not irrigated</v>
      </c>
      <c r="Q425">
        <v>44.89938038205463</v>
      </c>
      <c r="R425" t="str">
        <v>4</v>
      </c>
      <c r="S425" t="str">
        <v>Not irrigated</v>
      </c>
      <c r="T425" t="str">
        <v xml:space="preserve"> </v>
      </c>
      <c r="U425">
        <v>0</v>
      </c>
      <c r="V425" t="str">
        <v>10</v>
      </c>
      <c r="W425">
        <v>0</v>
      </c>
      <c r="X425" t="str">
        <v>SS-3,17,</v>
      </c>
      <c r="Y425">
        <v>0</v>
      </c>
      <c r="Z425">
        <v>0</v>
      </c>
      <c r="AA425">
        <v>0</v>
      </c>
      <c r="AB425" t="str">
        <v>HI</v>
      </c>
      <c r="AC425" t="str">
        <v>William G. Richards and Ruby Lee Richards</v>
      </c>
      <c r="AD425" t="str">
        <v>1950</v>
      </c>
      <c r="AE425">
        <v>0</v>
      </c>
      <c r="AF425">
        <v>0</v>
      </c>
      <c r="AG425">
        <v>0</v>
      </c>
      <c r="AH425">
        <v>0</v>
      </c>
      <c r="AI425">
        <v>1709.9902457807491</v>
      </c>
      <c r="AJ425">
        <v>181702.07266846221</v>
      </c>
      <c r="AK425">
        <v>0</v>
      </c>
    </row>
    <row r="426" spans="1:37" x14ac:dyDescent="0.25">
      <c r="A426">
        <v>123</v>
      </c>
      <c r="B426" t="str">
        <v>SS-00171</v>
      </c>
      <c r="C426" t="str">
        <v>SS</v>
      </c>
      <c r="D426">
        <v>0</v>
      </c>
      <c r="E426" t="str">
        <v>MM</v>
      </c>
      <c r="F426">
        <v>0</v>
      </c>
      <c r="G426">
        <v>45819</v>
      </c>
      <c r="H426">
        <v>0</v>
      </c>
      <c r="I426" t="str">
        <v>Arizona v California</v>
      </c>
      <c r="J426" t="str">
        <v>San Simon Creek</v>
      </c>
      <c r="K426" t="str">
        <v>SC</v>
      </c>
      <c r="L426" t="str">
        <v>San Simon</v>
      </c>
      <c r="M426" t="str">
        <v>SS</v>
      </c>
      <c r="N426">
        <v>0</v>
      </c>
      <c r="O426" t="str">
        <v>FA</v>
      </c>
      <c r="P426" t="str">
        <v>Fallow, idle or otherwise not irrigated</v>
      </c>
      <c r="Q426">
        <v>34.397907757860452</v>
      </c>
      <c r="R426" t="str">
        <v>4</v>
      </c>
      <c r="S426" t="str">
        <v>Not irrigated</v>
      </c>
      <c r="T426" t="str">
        <v xml:space="preserve"> </v>
      </c>
      <c r="U426">
        <v>0</v>
      </c>
      <c r="V426" t="str">
        <v>10</v>
      </c>
      <c r="W426">
        <v>0</v>
      </c>
      <c r="X426" t="str">
        <v>SS-3,17,</v>
      </c>
      <c r="Y426">
        <v>0</v>
      </c>
      <c r="Z426">
        <v>0</v>
      </c>
      <c r="AA426">
        <v>0</v>
      </c>
      <c r="AB426" t="str">
        <v>HI</v>
      </c>
      <c r="AC426" t="str">
        <v>William G. Richards and Ruby Lee Richards</v>
      </c>
      <c r="AD426" t="str">
        <v>1950</v>
      </c>
      <c r="AE426">
        <v>0</v>
      </c>
      <c r="AF426">
        <v>0</v>
      </c>
      <c r="AG426">
        <v>0</v>
      </c>
      <c r="AH426">
        <v>0</v>
      </c>
      <c r="AI426">
        <v>1492.955381055722</v>
      </c>
      <c r="AJ426">
        <v>139203.95074226649</v>
      </c>
      <c r="AK426">
        <v>0</v>
      </c>
    </row>
    <row r="427" spans="1:37" x14ac:dyDescent="0.25">
      <c r="A427">
        <v>124</v>
      </c>
      <c r="B427" t="str">
        <v>SS-00172</v>
      </c>
      <c r="C427" t="str">
        <v>SS</v>
      </c>
      <c r="D427">
        <v>0</v>
      </c>
      <c r="E427" t="str">
        <v>MM</v>
      </c>
      <c r="F427">
        <v>0</v>
      </c>
      <c r="G427">
        <v>45819</v>
      </c>
      <c r="H427">
        <v>0</v>
      </c>
      <c r="I427" t="str">
        <v>Arizona v California</v>
      </c>
      <c r="J427" t="str">
        <v>San Simon Creek</v>
      </c>
      <c r="K427" t="str">
        <v>SC</v>
      </c>
      <c r="L427" t="str">
        <v>San Simon</v>
      </c>
      <c r="M427" t="str">
        <v>SS</v>
      </c>
      <c r="N427">
        <v>0</v>
      </c>
      <c r="O427" t="str">
        <v>RD</v>
      </c>
      <c r="P427" t="str">
        <v>Reservoir Dry</v>
      </c>
      <c r="Q427">
        <v>0.80674251602671465</v>
      </c>
      <c r="R427">
        <v>0</v>
      </c>
      <c r="S427" t="str">
        <v>&lt;Null&gt;</v>
      </c>
      <c r="T427">
        <v>0</v>
      </c>
      <c r="U427">
        <v>0</v>
      </c>
      <c r="V427" t="str">
        <v>10</v>
      </c>
      <c r="W427">
        <v>0</v>
      </c>
      <c r="X427" t="str">
        <v xml:space="preserve"> </v>
      </c>
      <c r="Y427">
        <v>0</v>
      </c>
      <c r="Z427">
        <v>0</v>
      </c>
      <c r="AA427">
        <v>0</v>
      </c>
      <c r="AB427" t="str">
        <v>HI</v>
      </c>
      <c r="AC427" t="str">
        <v xml:space="preserve"> </v>
      </c>
      <c r="AD427" t="str">
        <v>0</v>
      </c>
      <c r="AE427">
        <v>0</v>
      </c>
      <c r="AF427">
        <v>0</v>
      </c>
      <c r="AG427">
        <v>0</v>
      </c>
      <c r="AH427">
        <v>0</v>
      </c>
      <c r="AI427">
        <v>220.00442624522901</v>
      </c>
      <c r="AJ427">
        <v>3264.784191329551</v>
      </c>
      <c r="AK427">
        <v>0</v>
      </c>
    </row>
    <row r="428" spans="1:37" x14ac:dyDescent="0.25">
      <c r="A428">
        <v>125</v>
      </c>
      <c r="B428" t="str">
        <v>SS-00173</v>
      </c>
      <c r="C428" t="str">
        <v>SS</v>
      </c>
      <c r="D428">
        <v>0</v>
      </c>
      <c r="E428" t="str">
        <v>MM</v>
      </c>
      <c r="F428">
        <v>0</v>
      </c>
      <c r="G428">
        <v>45819</v>
      </c>
      <c r="H428">
        <v>0</v>
      </c>
      <c r="I428" t="str">
        <v>Arizona v California</v>
      </c>
      <c r="J428" t="str">
        <v>San Simon Creek</v>
      </c>
      <c r="K428" t="str">
        <v>SC</v>
      </c>
      <c r="L428" t="str">
        <v>San Simon</v>
      </c>
      <c r="M428" t="str">
        <v>SS</v>
      </c>
      <c r="N428">
        <v>0</v>
      </c>
      <c r="O428" t="str">
        <v>RD</v>
      </c>
      <c r="P428" t="str">
        <v>Reservoir Dry</v>
      </c>
      <c r="Q428">
        <v>1.724510210318281</v>
      </c>
      <c r="R428">
        <v>0</v>
      </c>
      <c r="S428" t="str">
        <v>&lt;Null&gt;</v>
      </c>
      <c r="T428">
        <v>0</v>
      </c>
      <c r="U428">
        <v>0</v>
      </c>
      <c r="V428" t="str">
        <v>10</v>
      </c>
      <c r="W428">
        <v>0</v>
      </c>
      <c r="X428" t="str">
        <v xml:space="preserve"> </v>
      </c>
      <c r="Y428">
        <v>0</v>
      </c>
      <c r="Z428">
        <v>0</v>
      </c>
      <c r="AA428">
        <v>0</v>
      </c>
      <c r="AB428" t="str">
        <v>HI</v>
      </c>
      <c r="AC428" t="str">
        <v xml:space="preserve"> </v>
      </c>
      <c r="AD428" t="str">
        <v>0</v>
      </c>
      <c r="AE428">
        <v>0</v>
      </c>
      <c r="AF428">
        <v>0</v>
      </c>
      <c r="AG428">
        <v>0</v>
      </c>
      <c r="AH428">
        <v>0</v>
      </c>
      <c r="AI428">
        <v>348.55398489091141</v>
      </c>
      <c r="AJ428">
        <v>6978.8731355855389</v>
      </c>
      <c r="AK428">
        <v>0</v>
      </c>
    </row>
    <row r="429" spans="1:37" x14ac:dyDescent="0.25">
      <c r="A429">
        <v>126</v>
      </c>
      <c r="B429" t="str">
        <v>SS-00175</v>
      </c>
      <c r="C429" t="str">
        <v>SS</v>
      </c>
      <c r="D429">
        <v>0</v>
      </c>
      <c r="E429" t="str">
        <v>MM</v>
      </c>
      <c r="F429">
        <v>0</v>
      </c>
      <c r="G429">
        <v>45819</v>
      </c>
      <c r="H429">
        <v>0</v>
      </c>
      <c r="I429" t="str">
        <v>Arizona v California</v>
      </c>
      <c r="J429" t="str">
        <v>San Simon Creek</v>
      </c>
      <c r="K429" t="str">
        <v>SC</v>
      </c>
      <c r="L429" t="str">
        <v>San Simon</v>
      </c>
      <c r="M429" t="str">
        <v>SS</v>
      </c>
      <c r="N429">
        <v>0</v>
      </c>
      <c r="O429" t="str">
        <v>RD</v>
      </c>
      <c r="P429" t="str">
        <v>Reservoir Dry</v>
      </c>
      <c r="Q429">
        <v>0.68444697001244426</v>
      </c>
      <c r="R429">
        <v>0</v>
      </c>
      <c r="S429" t="str">
        <v>&lt;Null&gt;</v>
      </c>
      <c r="T429">
        <v>0</v>
      </c>
      <c r="U429">
        <v>0</v>
      </c>
      <c r="V429" t="str">
        <v>10</v>
      </c>
      <c r="W429">
        <v>0</v>
      </c>
      <c r="X429" t="str">
        <v>SS-18</v>
      </c>
      <c r="Y429">
        <v>0</v>
      </c>
      <c r="Z429">
        <v>0</v>
      </c>
      <c r="AA429">
        <v>0</v>
      </c>
      <c r="AB429" t="str">
        <v>HI</v>
      </c>
      <c r="AC429" t="str">
        <v xml:space="preserve"> </v>
      </c>
      <c r="AD429" t="str">
        <v>1950</v>
      </c>
      <c r="AE429">
        <v>0</v>
      </c>
      <c r="AF429">
        <v>0</v>
      </c>
      <c r="AG429">
        <v>0</v>
      </c>
      <c r="AH429">
        <v>0</v>
      </c>
      <c r="AI429">
        <v>194.59828970264769</v>
      </c>
      <c r="AJ429">
        <v>2769.8696958547839</v>
      </c>
      <c r="AK429">
        <v>0</v>
      </c>
    </row>
    <row r="430" spans="1:37" x14ac:dyDescent="0.25">
      <c r="A430">
        <v>127</v>
      </c>
      <c r="B430" t="str">
        <v>SS-00176</v>
      </c>
      <c r="C430" t="str">
        <v>SS</v>
      </c>
      <c r="D430">
        <v>0</v>
      </c>
      <c r="E430" t="str">
        <v>MM</v>
      </c>
      <c r="F430">
        <v>0</v>
      </c>
      <c r="G430">
        <v>45819</v>
      </c>
      <c r="H430">
        <v>0</v>
      </c>
      <c r="I430" t="str">
        <v>Arizona v California</v>
      </c>
      <c r="J430" t="str">
        <v>San Simon Creek</v>
      </c>
      <c r="K430" t="str">
        <v>SC</v>
      </c>
      <c r="L430" t="str">
        <v>San Simon</v>
      </c>
      <c r="M430" t="str">
        <v>SS</v>
      </c>
      <c r="N430">
        <v>0</v>
      </c>
      <c r="O430" t="str">
        <v>FA</v>
      </c>
      <c r="P430" t="str">
        <v>Fallow, idle or otherwise not irrigated</v>
      </c>
      <c r="Q430">
        <v>0.69648982173037599</v>
      </c>
      <c r="R430" t="str">
        <v>4</v>
      </c>
      <c r="S430" t="str">
        <v>Not irrigated</v>
      </c>
      <c r="T430" t="str">
        <v xml:space="preserve"> </v>
      </c>
      <c r="U430">
        <v>0</v>
      </c>
      <c r="V430" t="str">
        <v>10</v>
      </c>
      <c r="W430">
        <v>0</v>
      </c>
      <c r="X430" t="str">
        <v>SS-3,17,</v>
      </c>
      <c r="Y430">
        <v>0</v>
      </c>
      <c r="Z430">
        <v>0</v>
      </c>
      <c r="AA430">
        <v>0</v>
      </c>
      <c r="AB430" t="str">
        <v>HI</v>
      </c>
      <c r="AC430" t="str">
        <v>William G. Richards and Ruby Lee Richards</v>
      </c>
      <c r="AD430" t="str">
        <v>1950</v>
      </c>
      <c r="AE430">
        <v>0</v>
      </c>
      <c r="AF430">
        <v>0</v>
      </c>
      <c r="AG430">
        <v>0</v>
      </c>
      <c r="AH430">
        <v>0</v>
      </c>
      <c r="AI430">
        <v>505.98150655369523</v>
      </c>
      <c r="AJ430">
        <v>2818.605582616859</v>
      </c>
      <c r="AK430">
        <v>0</v>
      </c>
    </row>
    <row r="431" spans="1:37" x14ac:dyDescent="0.25">
      <c r="A431">
        <v>128</v>
      </c>
      <c r="B431" t="str">
        <v>SS-00177</v>
      </c>
      <c r="C431" t="str">
        <v>SS</v>
      </c>
      <c r="D431">
        <v>0</v>
      </c>
      <c r="E431" t="str">
        <v>MM</v>
      </c>
      <c r="F431">
        <v>0</v>
      </c>
      <c r="G431">
        <v>45819</v>
      </c>
      <c r="H431">
        <v>0</v>
      </c>
      <c r="I431" t="str">
        <v>Arizona v California</v>
      </c>
      <c r="J431" t="str">
        <v>San Simon Creek</v>
      </c>
      <c r="K431" t="str">
        <v>SC</v>
      </c>
      <c r="L431" t="str">
        <v>San Simon</v>
      </c>
      <c r="M431" t="str">
        <v>SS</v>
      </c>
      <c r="N431">
        <v>0</v>
      </c>
      <c r="O431" t="str">
        <v>FA</v>
      </c>
      <c r="P431" t="str">
        <v>Fallow, idle or otherwise not irrigated</v>
      </c>
      <c r="Q431">
        <v>1.5966051052508921</v>
      </c>
      <c r="R431" t="str">
        <v>4</v>
      </c>
      <c r="S431" t="str">
        <v>Not irrigated</v>
      </c>
      <c r="T431" t="str">
        <v xml:space="preserve"> </v>
      </c>
      <c r="U431">
        <v>0</v>
      </c>
      <c r="V431" t="str">
        <v>10</v>
      </c>
      <c r="W431">
        <v>0</v>
      </c>
      <c r="X431" t="str">
        <v>SS-3,17,</v>
      </c>
      <c r="Y431">
        <v>0</v>
      </c>
      <c r="Z431">
        <v>0</v>
      </c>
      <c r="AA431">
        <v>0</v>
      </c>
      <c r="AB431" t="str">
        <v>HI</v>
      </c>
      <c r="AC431" t="str">
        <v>William G. Richards and Ruby Lee Richards</v>
      </c>
      <c r="AD431" t="str">
        <v>1950</v>
      </c>
      <c r="AE431">
        <v>0</v>
      </c>
      <c r="AF431">
        <v>0</v>
      </c>
      <c r="AG431">
        <v>0</v>
      </c>
      <c r="AH431">
        <v>0</v>
      </c>
      <c r="AI431">
        <v>1327.187867653312</v>
      </c>
      <c r="AJ431">
        <v>6461.2574692252319</v>
      </c>
      <c r="AK431">
        <v>0</v>
      </c>
    </row>
    <row r="432" spans="1:37" x14ac:dyDescent="0.25">
      <c r="A432">
        <v>129</v>
      </c>
      <c r="B432" t="str">
        <v>SS-00178</v>
      </c>
      <c r="C432" t="str">
        <v>SS</v>
      </c>
      <c r="D432">
        <v>0</v>
      </c>
      <c r="E432" t="str">
        <v>MM</v>
      </c>
      <c r="F432">
        <v>0</v>
      </c>
      <c r="G432">
        <v>45819</v>
      </c>
      <c r="H432">
        <v>0</v>
      </c>
      <c r="I432" t="str">
        <v>Arizona v California</v>
      </c>
      <c r="J432" t="str">
        <v>San Simon Creek</v>
      </c>
      <c r="K432" t="str">
        <v>SC</v>
      </c>
      <c r="L432" t="str">
        <v>San Simon</v>
      </c>
      <c r="M432" t="str">
        <v>SS</v>
      </c>
      <c r="N432">
        <v>0</v>
      </c>
      <c r="O432" t="str">
        <v>FA</v>
      </c>
      <c r="P432" t="str">
        <v>Fallow, idle or otherwise not irrigated</v>
      </c>
      <c r="Q432">
        <v>0.27182091435632899</v>
      </c>
      <c r="R432" t="str">
        <v>4</v>
      </c>
      <c r="S432" t="str">
        <v>Not irrigated</v>
      </c>
      <c r="T432" t="str">
        <v xml:space="preserve"> </v>
      </c>
      <c r="U432">
        <v>0</v>
      </c>
      <c r="V432" t="str">
        <v>10</v>
      </c>
      <c r="W432">
        <v>0</v>
      </c>
      <c r="X432" t="str">
        <v>SS-3,17,</v>
      </c>
      <c r="Y432">
        <v>0</v>
      </c>
      <c r="Z432">
        <v>0</v>
      </c>
      <c r="AA432">
        <v>0</v>
      </c>
      <c r="AB432" t="str">
        <v>HI</v>
      </c>
      <c r="AC432" t="str">
        <v>William G. Richards and Ruby Lee Richards</v>
      </c>
      <c r="AD432" t="str">
        <v>1950</v>
      </c>
      <c r="AE432">
        <v>0</v>
      </c>
      <c r="AF432">
        <v>0</v>
      </c>
      <c r="AG432">
        <v>0</v>
      </c>
      <c r="AH432">
        <v>0</v>
      </c>
      <c r="AI432">
        <v>368.0225248647933</v>
      </c>
      <c r="AJ432">
        <v>1100.0246130996029</v>
      </c>
      <c r="AK432">
        <v>0</v>
      </c>
    </row>
    <row r="433" spans="1:37" x14ac:dyDescent="0.25">
      <c r="A433">
        <v>130</v>
      </c>
      <c r="B433" t="str">
        <v>SS-00179</v>
      </c>
      <c r="C433" t="str">
        <v>SS</v>
      </c>
      <c r="D433">
        <v>0</v>
      </c>
      <c r="E433" t="str">
        <v>MM</v>
      </c>
      <c r="F433">
        <v>0</v>
      </c>
      <c r="G433">
        <v>45819</v>
      </c>
      <c r="H433">
        <v>0</v>
      </c>
      <c r="I433" t="str">
        <v>Arizona v California</v>
      </c>
      <c r="J433" t="str">
        <v>San Simon Creek</v>
      </c>
      <c r="K433" t="str">
        <v>SC</v>
      </c>
      <c r="L433" t="str">
        <v>San Simon</v>
      </c>
      <c r="M433" t="str">
        <v>SS</v>
      </c>
      <c r="N433">
        <v>0</v>
      </c>
      <c r="O433" t="str">
        <v>RD</v>
      </c>
      <c r="P433" t="str">
        <v>Reservoir Dry</v>
      </c>
      <c r="Q433">
        <v>1.130462453750982</v>
      </c>
      <c r="R433">
        <v>0</v>
      </c>
      <c r="S433" t="str">
        <v>&lt;Null&gt;</v>
      </c>
      <c r="T433" t="str">
        <v xml:space="preserve"> </v>
      </c>
      <c r="U433">
        <v>0</v>
      </c>
      <c r="V433" t="str">
        <v>10</v>
      </c>
      <c r="W433">
        <v>0</v>
      </c>
      <c r="X433" t="str">
        <v>SS-3</v>
      </c>
      <c r="Y433">
        <v>0</v>
      </c>
      <c r="Z433">
        <v>0</v>
      </c>
      <c r="AA433">
        <v>0</v>
      </c>
      <c r="AB433" t="str">
        <v>HI</v>
      </c>
      <c r="AC433" t="str">
        <v xml:space="preserve"> </v>
      </c>
      <c r="AD433" t="str">
        <v>1954</v>
      </c>
      <c r="AE433">
        <v>0</v>
      </c>
      <c r="AF433">
        <v>0</v>
      </c>
      <c r="AG433">
        <v>0</v>
      </c>
      <c r="AH433">
        <v>0</v>
      </c>
      <c r="AI433">
        <v>255.68331548967339</v>
      </c>
      <c r="AJ433">
        <v>4574.8375405760853</v>
      </c>
      <c r="AK433">
        <v>0</v>
      </c>
    </row>
    <row r="434" spans="1:37" x14ac:dyDescent="0.25">
      <c r="A434">
        <v>131</v>
      </c>
      <c r="B434" t="str">
        <v>SS-00180</v>
      </c>
      <c r="C434" t="str">
        <v>SS</v>
      </c>
      <c r="D434">
        <v>0</v>
      </c>
      <c r="E434" t="str">
        <v>MM</v>
      </c>
      <c r="F434">
        <v>0</v>
      </c>
      <c r="G434">
        <v>45819</v>
      </c>
      <c r="H434">
        <v>0</v>
      </c>
      <c r="I434" t="str">
        <v>Arizona v California</v>
      </c>
      <c r="J434" t="str">
        <v>San Simon Creek</v>
      </c>
      <c r="K434" t="str">
        <v>SC</v>
      </c>
      <c r="L434" t="str">
        <v>San Simon</v>
      </c>
      <c r="M434" t="str">
        <v>SS</v>
      </c>
      <c r="N434">
        <v>0</v>
      </c>
      <c r="O434" t="str">
        <v>FA</v>
      </c>
      <c r="P434" t="str">
        <v>Fallow, idle or otherwise not irrigated</v>
      </c>
      <c r="Q434">
        <v>1.9177461037939421</v>
      </c>
      <c r="R434" t="str">
        <v>4</v>
      </c>
      <c r="S434" t="str">
        <v>Not irrigated</v>
      </c>
      <c r="T434" t="str">
        <v xml:space="preserve"> </v>
      </c>
      <c r="U434">
        <v>0</v>
      </c>
      <c r="V434" t="str">
        <v>3</v>
      </c>
      <c r="W434">
        <v>0</v>
      </c>
      <c r="X434" t="str">
        <v>SS-108</v>
      </c>
      <c r="Y434">
        <v>0</v>
      </c>
      <c r="Z434">
        <v>0</v>
      </c>
      <c r="AA434">
        <v>0</v>
      </c>
      <c r="AB434" t="str">
        <v>HI</v>
      </c>
      <c r="AC434" t="str">
        <v xml:space="preserve"> </v>
      </c>
      <c r="AD434" t="str">
        <v>0</v>
      </c>
      <c r="AE434">
        <v>0</v>
      </c>
      <c r="AF434">
        <v>0</v>
      </c>
      <c r="AG434">
        <v>0</v>
      </c>
      <c r="AH434">
        <v>0</v>
      </c>
      <c r="AI434">
        <v>591.55345911745837</v>
      </c>
      <c r="AJ434">
        <v>7760.8741801367678</v>
      </c>
      <c r="AK434">
        <v>0</v>
      </c>
    </row>
    <row r="435" spans="1:37" x14ac:dyDescent="0.25">
      <c r="A435">
        <v>132</v>
      </c>
      <c r="B435" t="str">
        <v>SS-00181</v>
      </c>
      <c r="C435" t="str">
        <v>SS</v>
      </c>
      <c r="D435">
        <v>0</v>
      </c>
      <c r="E435" t="str">
        <v>MM</v>
      </c>
      <c r="F435">
        <v>0</v>
      </c>
      <c r="G435">
        <v>45819</v>
      </c>
      <c r="H435">
        <v>0</v>
      </c>
      <c r="I435" t="str">
        <v>Arizona v California</v>
      </c>
      <c r="J435" t="str">
        <v>San Simon Creek</v>
      </c>
      <c r="K435" t="str">
        <v>SC</v>
      </c>
      <c r="L435" t="str">
        <v>San Simon</v>
      </c>
      <c r="M435" t="str">
        <v>SS</v>
      </c>
      <c r="N435">
        <v>0</v>
      </c>
      <c r="O435" t="str">
        <v>FA</v>
      </c>
      <c r="P435" t="str">
        <v>Fallow, idle or otherwise not irrigated</v>
      </c>
      <c r="Q435">
        <v>0.89258437812223079</v>
      </c>
      <c r="R435" t="str">
        <v>4</v>
      </c>
      <c r="S435" t="str">
        <v>Not irrigated</v>
      </c>
      <c r="T435" t="str">
        <v xml:space="preserve"> </v>
      </c>
      <c r="U435">
        <v>0</v>
      </c>
      <c r="V435" t="str">
        <v>2</v>
      </c>
      <c r="W435">
        <v>0</v>
      </c>
      <c r="X435" t="str">
        <v xml:space="preserve"> </v>
      </c>
      <c r="Y435" t="str">
        <v>T26S</v>
      </c>
      <c r="Z435" t="str">
        <v>R22W</v>
      </c>
      <c r="AA435" t="str">
        <v>12</v>
      </c>
      <c r="AB435" t="str">
        <v>HI</v>
      </c>
      <c r="AC435" t="str">
        <v xml:space="preserve"> </v>
      </c>
      <c r="AD435" t="str">
        <v>0</v>
      </c>
      <c r="AE435">
        <v>0</v>
      </c>
      <c r="AF435">
        <v>0</v>
      </c>
      <c r="AG435">
        <v>0</v>
      </c>
      <c r="AH435">
        <v>0</v>
      </c>
      <c r="AI435">
        <v>261.26384700357067</v>
      </c>
      <c r="AJ435">
        <v>3612.1752718244979</v>
      </c>
      <c r="AK435">
        <v>0</v>
      </c>
    </row>
    <row r="436" spans="1:37" x14ac:dyDescent="0.25">
      <c r="A436">
        <v>133</v>
      </c>
      <c r="B436" t="str">
        <v>SS-00182</v>
      </c>
      <c r="C436" t="str">
        <v>SS</v>
      </c>
      <c r="D436">
        <v>0</v>
      </c>
      <c r="E436" t="str">
        <v>MM</v>
      </c>
      <c r="F436">
        <v>0</v>
      </c>
      <c r="G436">
        <v>45819</v>
      </c>
      <c r="H436">
        <v>0</v>
      </c>
      <c r="I436" t="str">
        <v>Arizona v California</v>
      </c>
      <c r="J436" t="str">
        <v>San Simon Creek</v>
      </c>
      <c r="K436" t="str">
        <v>SC</v>
      </c>
      <c r="L436" t="str">
        <v>San Simon</v>
      </c>
      <c r="M436" t="str">
        <v>SS</v>
      </c>
      <c r="N436">
        <v>0</v>
      </c>
      <c r="O436" t="str">
        <v>FA</v>
      </c>
      <c r="P436" t="str">
        <v>Fallow, idle or otherwise not irrigated</v>
      </c>
      <c r="Q436">
        <v>11.247129166742869</v>
      </c>
      <c r="R436" t="str">
        <v>4</v>
      </c>
      <c r="S436" t="str">
        <v>Not irrigated</v>
      </c>
      <c r="T436" t="str">
        <v xml:space="preserve"> </v>
      </c>
      <c r="U436">
        <v>0</v>
      </c>
      <c r="V436" t="str">
        <v>2</v>
      </c>
      <c r="W436">
        <v>0</v>
      </c>
      <c r="X436" t="str">
        <v xml:space="preserve"> </v>
      </c>
      <c r="Y436" t="str">
        <v>T26S</v>
      </c>
      <c r="Z436" t="str">
        <v>R22W</v>
      </c>
      <c r="AA436" t="str">
        <v>12</v>
      </c>
      <c r="AB436" t="str">
        <v>HI</v>
      </c>
      <c r="AC436" t="str">
        <v xml:space="preserve"> </v>
      </c>
      <c r="AD436" t="str">
        <v>0</v>
      </c>
      <c r="AE436">
        <v>0</v>
      </c>
      <c r="AF436">
        <v>0</v>
      </c>
      <c r="AG436">
        <v>0</v>
      </c>
      <c r="AH436">
        <v>0</v>
      </c>
      <c r="AI436">
        <v>1142.302569282351</v>
      </c>
      <c r="AJ436">
        <v>45515.698964609539</v>
      </c>
      <c r="AK436">
        <v>0</v>
      </c>
    </row>
    <row r="437" spans="1:37" x14ac:dyDescent="0.25">
      <c r="A437">
        <v>134</v>
      </c>
      <c r="B437" t="str">
        <v>SS-00183</v>
      </c>
      <c r="C437" t="str">
        <v>SS</v>
      </c>
      <c r="D437">
        <v>0</v>
      </c>
      <c r="E437" t="str">
        <v>MM</v>
      </c>
      <c r="F437">
        <v>0</v>
      </c>
      <c r="G437">
        <v>45819</v>
      </c>
      <c r="H437">
        <v>0</v>
      </c>
      <c r="I437" t="str">
        <v>Arizona v California</v>
      </c>
      <c r="J437" t="str">
        <v>San Simon Creek</v>
      </c>
      <c r="K437" t="str">
        <v>SC</v>
      </c>
      <c r="L437" t="str">
        <v>San Simon</v>
      </c>
      <c r="M437" t="str">
        <v>SS</v>
      </c>
      <c r="N437">
        <v>0</v>
      </c>
      <c r="O437" t="str">
        <v>FA</v>
      </c>
      <c r="P437" t="str">
        <v>Fallow, idle or otherwise not irrigated</v>
      </c>
      <c r="Q437">
        <v>6.1278271249714606</v>
      </c>
      <c r="R437" t="str">
        <v>4</v>
      </c>
      <c r="S437" t="str">
        <v>Not irrigated</v>
      </c>
      <c r="T437" t="str">
        <v xml:space="preserve"> </v>
      </c>
      <c r="U437">
        <v>0</v>
      </c>
      <c r="V437" t="str">
        <v>3</v>
      </c>
      <c r="W437">
        <v>0</v>
      </c>
      <c r="X437" t="str">
        <v xml:space="preserve"> </v>
      </c>
      <c r="Y437">
        <v>0</v>
      </c>
      <c r="Z437">
        <v>0</v>
      </c>
      <c r="AA437">
        <v>0</v>
      </c>
      <c r="AB437" t="str">
        <v>HI</v>
      </c>
      <c r="AC437" t="str">
        <v xml:space="preserve"> </v>
      </c>
      <c r="AD437" t="str">
        <v>0</v>
      </c>
      <c r="AE437">
        <v>0</v>
      </c>
      <c r="AF437">
        <v>0</v>
      </c>
      <c r="AG437">
        <v>0</v>
      </c>
      <c r="AH437">
        <v>0</v>
      </c>
      <c r="AI437">
        <v>683.12609831246243</v>
      </c>
      <c r="AJ437">
        <v>24798.535750091491</v>
      </c>
      <c r="AK437">
        <v>0</v>
      </c>
    </row>
    <row r="438" spans="1:37" x14ac:dyDescent="0.25">
      <c r="A438">
        <v>135</v>
      </c>
      <c r="B438" t="str">
        <v>SS-00184</v>
      </c>
      <c r="C438" t="str">
        <v>SS</v>
      </c>
      <c r="D438">
        <v>0</v>
      </c>
      <c r="E438" t="str">
        <v>MM</v>
      </c>
      <c r="F438">
        <v>0</v>
      </c>
      <c r="G438">
        <v>45819</v>
      </c>
      <c r="H438">
        <v>0</v>
      </c>
      <c r="I438" t="str">
        <v>Arizona v California</v>
      </c>
      <c r="J438" t="str">
        <v>San Simon Creek</v>
      </c>
      <c r="K438" t="str">
        <v>SC</v>
      </c>
      <c r="L438" t="str">
        <v>San Simon</v>
      </c>
      <c r="M438" t="str">
        <v>SS</v>
      </c>
      <c r="N438">
        <v>0</v>
      </c>
      <c r="O438" t="str">
        <v>FA</v>
      </c>
      <c r="P438" t="str">
        <v>Fallow, idle or otherwise not irrigated</v>
      </c>
      <c r="Q438">
        <v>3.7971732769374071</v>
      </c>
      <c r="R438" t="str">
        <v>4</v>
      </c>
      <c r="S438" t="str">
        <v>Not irrigated</v>
      </c>
      <c r="T438" t="str">
        <v xml:space="preserve"> </v>
      </c>
      <c r="U438">
        <v>0</v>
      </c>
      <c r="V438" t="str">
        <v>3</v>
      </c>
      <c r="W438">
        <v>0</v>
      </c>
      <c r="X438" t="str">
        <v xml:space="preserve"> </v>
      </c>
      <c r="Y438">
        <v>0</v>
      </c>
      <c r="Z438">
        <v>0</v>
      </c>
      <c r="AA438">
        <v>0</v>
      </c>
      <c r="AB438" t="str">
        <v>HI</v>
      </c>
      <c r="AC438" t="str">
        <v xml:space="preserve"> </v>
      </c>
      <c r="AD438" t="str">
        <v>0</v>
      </c>
      <c r="AE438">
        <v>0</v>
      </c>
      <c r="AF438">
        <v>0</v>
      </c>
      <c r="AG438">
        <v>0</v>
      </c>
      <c r="AH438">
        <v>0</v>
      </c>
      <c r="AI438">
        <v>500.45215408493277</v>
      </c>
      <c r="AJ438">
        <v>15366.676529384449</v>
      </c>
      <c r="AK438">
        <v>0</v>
      </c>
    </row>
    <row r="439" spans="1:37" x14ac:dyDescent="0.25">
      <c r="A439">
        <v>136</v>
      </c>
      <c r="B439" t="str">
        <v>SS-00185</v>
      </c>
      <c r="C439" t="str">
        <v>SS</v>
      </c>
      <c r="D439">
        <v>0</v>
      </c>
      <c r="E439" t="str">
        <v>MM</v>
      </c>
      <c r="F439">
        <v>0</v>
      </c>
      <c r="G439">
        <v>45819</v>
      </c>
      <c r="H439">
        <v>0</v>
      </c>
      <c r="I439" t="str">
        <v>Arizona v California</v>
      </c>
      <c r="J439" t="str">
        <v>San Simon Creek</v>
      </c>
      <c r="K439" t="str">
        <v>SC</v>
      </c>
      <c r="L439" t="str">
        <v>San Simon</v>
      </c>
      <c r="M439" t="str">
        <v>SS</v>
      </c>
      <c r="N439">
        <v>0</v>
      </c>
      <c r="O439" t="str">
        <v>FA</v>
      </c>
      <c r="P439" t="str">
        <v>Fallow, idle or otherwise not irrigated</v>
      </c>
      <c r="Q439">
        <v>2.8891140958230781</v>
      </c>
      <c r="R439" t="str">
        <v>4</v>
      </c>
      <c r="S439" t="str">
        <v>Not irrigated</v>
      </c>
      <c r="T439" t="str">
        <v xml:space="preserve"> </v>
      </c>
      <c r="U439">
        <v>0</v>
      </c>
      <c r="V439" t="str">
        <v>3</v>
      </c>
      <c r="W439">
        <v>0</v>
      </c>
      <c r="X439" t="str">
        <v xml:space="preserve"> </v>
      </c>
      <c r="Y439">
        <v>0</v>
      </c>
      <c r="Z439">
        <v>0</v>
      </c>
      <c r="AA439">
        <v>0</v>
      </c>
      <c r="AB439" t="str">
        <v>HI</v>
      </c>
      <c r="AC439" t="str">
        <v xml:space="preserve"> </v>
      </c>
      <c r="AD439" t="str">
        <v>0</v>
      </c>
      <c r="AE439">
        <v>0</v>
      </c>
      <c r="AF439">
        <v>0</v>
      </c>
      <c r="AG439">
        <v>0</v>
      </c>
      <c r="AH439">
        <v>0</v>
      </c>
      <c r="AI439">
        <v>771.72976692159602</v>
      </c>
      <c r="AJ439">
        <v>11691.87670118803</v>
      </c>
      <c r="AK439">
        <v>0</v>
      </c>
    </row>
    <row r="440" spans="1:37" x14ac:dyDescent="0.25">
      <c r="A440">
        <v>137</v>
      </c>
      <c r="B440" t="str">
        <v>SS-00189</v>
      </c>
      <c r="C440" t="str">
        <v>SS</v>
      </c>
      <c r="D440">
        <v>0</v>
      </c>
      <c r="E440" t="str">
        <v>MM</v>
      </c>
      <c r="F440">
        <v>0</v>
      </c>
      <c r="G440">
        <v>45819</v>
      </c>
      <c r="H440">
        <v>0</v>
      </c>
      <c r="I440" t="str">
        <v>Arizona v California</v>
      </c>
      <c r="J440" t="str">
        <v>San Simon Creek</v>
      </c>
      <c r="K440" t="str">
        <v>SC</v>
      </c>
      <c r="L440" t="str">
        <v>San Simon</v>
      </c>
      <c r="M440" t="str">
        <v>SS</v>
      </c>
      <c r="N440">
        <v>0</v>
      </c>
      <c r="O440" t="str">
        <v>FA</v>
      </c>
      <c r="P440" t="str">
        <v>Fallow, idle or otherwise not irrigated</v>
      </c>
      <c r="Q440">
        <v>22.898146087995251</v>
      </c>
      <c r="R440" t="str">
        <v>4</v>
      </c>
      <c r="S440" t="str">
        <v>Not irrigated</v>
      </c>
      <c r="T440" t="str">
        <v xml:space="preserve"> </v>
      </c>
      <c r="U440">
        <v>0</v>
      </c>
      <c r="V440" t="str">
        <v>4A</v>
      </c>
      <c r="W440">
        <v>0</v>
      </c>
      <c r="X440" t="str">
        <v xml:space="preserve"> </v>
      </c>
      <c r="Y440">
        <v>0</v>
      </c>
      <c r="Z440">
        <v>0</v>
      </c>
      <c r="AA440">
        <v>0</v>
      </c>
      <c r="AB440" t="str">
        <v>HI</v>
      </c>
      <c r="AC440" t="str">
        <v xml:space="preserve"> </v>
      </c>
      <c r="AD440" t="str">
        <v>0</v>
      </c>
      <c r="AE440">
        <v>0</v>
      </c>
      <c r="AF440">
        <v>0</v>
      </c>
      <c r="AG440">
        <v>0</v>
      </c>
      <c r="AH440">
        <v>0</v>
      </c>
      <c r="AI440">
        <v>1302.5433760482979</v>
      </c>
      <c r="AJ440">
        <v>92665.880220407213</v>
      </c>
      <c r="AK440">
        <v>0</v>
      </c>
    </row>
    <row r="441" spans="1:37" x14ac:dyDescent="0.25">
      <c r="A441">
        <v>138</v>
      </c>
      <c r="B441" t="str">
        <v>SS-00190</v>
      </c>
      <c r="C441" t="str">
        <v>SS</v>
      </c>
      <c r="D441">
        <v>0</v>
      </c>
      <c r="E441" t="str">
        <v>MM</v>
      </c>
      <c r="F441">
        <v>0</v>
      </c>
      <c r="G441">
        <v>45819</v>
      </c>
      <c r="H441">
        <v>0</v>
      </c>
      <c r="I441" t="str">
        <v>Arizona v California</v>
      </c>
      <c r="J441" t="str">
        <v>San Simon Creek</v>
      </c>
      <c r="K441" t="str">
        <v>SC</v>
      </c>
      <c r="L441" t="str">
        <v>San Simon</v>
      </c>
      <c r="M441" t="str">
        <v>SS</v>
      </c>
      <c r="N441">
        <v>0</v>
      </c>
      <c r="O441" t="str">
        <v>FA</v>
      </c>
      <c r="P441" t="str">
        <v>Fallow, idle or otherwise not irrigated</v>
      </c>
      <c r="Q441">
        <v>16.28032290071679</v>
      </c>
      <c r="R441" t="str">
        <v>4</v>
      </c>
      <c r="S441" t="str">
        <v>Not irrigated</v>
      </c>
      <c r="T441" t="str">
        <v xml:space="preserve"> </v>
      </c>
      <c r="U441">
        <v>0</v>
      </c>
      <c r="V441" t="str">
        <v>4A</v>
      </c>
      <c r="W441">
        <v>0</v>
      </c>
      <c r="X441" t="str">
        <v xml:space="preserve"> </v>
      </c>
      <c r="Y441">
        <v>0</v>
      </c>
      <c r="Z441">
        <v>0</v>
      </c>
      <c r="AA441">
        <v>0</v>
      </c>
      <c r="AB441" t="str">
        <v>HI</v>
      </c>
      <c r="AC441" t="str">
        <v xml:space="preserve"> </v>
      </c>
      <c r="AD441" t="str">
        <v>0</v>
      </c>
      <c r="AE441">
        <v>0</v>
      </c>
      <c r="AF441">
        <v>0</v>
      </c>
      <c r="AG441">
        <v>0</v>
      </c>
      <c r="AH441">
        <v>0</v>
      </c>
      <c r="AI441">
        <v>1445.678767175863</v>
      </c>
      <c r="AJ441">
        <v>65884.392826819298</v>
      </c>
      <c r="AK441">
        <v>0</v>
      </c>
    </row>
    <row r="442" spans="1:37" x14ac:dyDescent="0.25">
      <c r="A442">
        <v>139</v>
      </c>
      <c r="B442" t="str">
        <v>SS-00192</v>
      </c>
      <c r="C442" t="str">
        <v>SS</v>
      </c>
      <c r="D442">
        <v>0</v>
      </c>
      <c r="E442" t="str">
        <v>MM</v>
      </c>
      <c r="F442">
        <v>0</v>
      </c>
      <c r="G442">
        <v>45819</v>
      </c>
      <c r="H442">
        <v>0</v>
      </c>
      <c r="I442" t="str">
        <v>Arizona v California</v>
      </c>
      <c r="J442" t="str">
        <v>San Simon Creek</v>
      </c>
      <c r="K442" t="str">
        <v>SC</v>
      </c>
      <c r="L442" t="str">
        <v>San Simon</v>
      </c>
      <c r="M442" t="str">
        <v>SS</v>
      </c>
      <c r="N442">
        <v>0</v>
      </c>
      <c r="O442" t="str">
        <v>FA</v>
      </c>
      <c r="P442" t="str">
        <v>Fallow, idle or otherwise not irrigated</v>
      </c>
      <c r="Q442">
        <v>0.57965883469050683</v>
      </c>
      <c r="R442" t="str">
        <v>4</v>
      </c>
      <c r="S442" t="str">
        <v>Not irrigated</v>
      </c>
      <c r="T442" t="str">
        <v xml:space="preserve"> </v>
      </c>
      <c r="U442">
        <v>0</v>
      </c>
      <c r="V442" t="str">
        <v>9</v>
      </c>
      <c r="W442">
        <v>0</v>
      </c>
      <c r="X442" t="str">
        <v>SS-16</v>
      </c>
      <c r="Y442">
        <v>0</v>
      </c>
      <c r="Z442">
        <v>0</v>
      </c>
      <c r="AA442">
        <v>0</v>
      </c>
      <c r="AB442" t="str">
        <v>HI</v>
      </c>
      <c r="AC442" t="str">
        <v xml:space="preserve"> </v>
      </c>
      <c r="AD442" t="str">
        <v>1959</v>
      </c>
      <c r="AE442">
        <v>0</v>
      </c>
      <c r="AF442">
        <v>0</v>
      </c>
      <c r="AG442">
        <v>0</v>
      </c>
      <c r="AH442">
        <v>0</v>
      </c>
      <c r="AI442">
        <v>565.65535712062831</v>
      </c>
      <c r="AJ442">
        <v>2345.8054611806392</v>
      </c>
      <c r="AK442">
        <v>0</v>
      </c>
    </row>
    <row r="443" spans="1:37" x14ac:dyDescent="0.25">
      <c r="A443">
        <v>140</v>
      </c>
      <c r="B443" t="str">
        <v>SS-00193</v>
      </c>
      <c r="C443" t="str">
        <v>SS</v>
      </c>
      <c r="D443">
        <v>0</v>
      </c>
      <c r="E443" t="str">
        <v>MM</v>
      </c>
      <c r="F443">
        <v>0</v>
      </c>
      <c r="G443">
        <v>45819</v>
      </c>
      <c r="H443">
        <v>0</v>
      </c>
      <c r="I443" t="str">
        <v>Arizona v California</v>
      </c>
      <c r="J443" t="str">
        <v>San Simon Creek</v>
      </c>
      <c r="K443" t="str">
        <v>SC</v>
      </c>
      <c r="L443" t="str">
        <v>San Simon</v>
      </c>
      <c r="M443" t="str">
        <v>SS</v>
      </c>
      <c r="N443">
        <v>0</v>
      </c>
      <c r="O443" t="str">
        <v>FA</v>
      </c>
      <c r="P443" t="str">
        <v>Fallow, idle or otherwise not irrigated</v>
      </c>
      <c r="Q443">
        <v>1.4786534735890471</v>
      </c>
      <c r="R443" t="str">
        <v>4</v>
      </c>
      <c r="S443" t="str">
        <v>Not irrigated</v>
      </c>
      <c r="T443" t="str">
        <v xml:space="preserve"> </v>
      </c>
      <c r="U443">
        <v>0</v>
      </c>
      <c r="V443" t="str">
        <v>9</v>
      </c>
      <c r="W443">
        <v>0</v>
      </c>
      <c r="X443" t="str">
        <v>SS-16</v>
      </c>
      <c r="Y443">
        <v>0</v>
      </c>
      <c r="Z443">
        <v>0</v>
      </c>
      <c r="AA443">
        <v>0</v>
      </c>
      <c r="AB443" t="str">
        <v>HI</v>
      </c>
      <c r="AC443" t="str">
        <v xml:space="preserve"> </v>
      </c>
      <c r="AD443" t="str">
        <v>1959</v>
      </c>
      <c r="AE443">
        <v>0</v>
      </c>
      <c r="AF443">
        <v>0</v>
      </c>
      <c r="AG443">
        <v>0</v>
      </c>
      <c r="AH443">
        <v>0</v>
      </c>
      <c r="AI443">
        <v>589.5182438243155</v>
      </c>
      <c r="AJ443">
        <v>5983.9222417629344</v>
      </c>
      <c r="AK443">
        <v>0</v>
      </c>
    </row>
    <row r="444" spans="1:37" x14ac:dyDescent="0.25">
      <c r="A444">
        <v>141</v>
      </c>
      <c r="B444" t="str">
        <v>SS-00194</v>
      </c>
      <c r="C444" t="str">
        <v>SS</v>
      </c>
      <c r="D444">
        <v>0</v>
      </c>
      <c r="E444" t="str">
        <v>MM</v>
      </c>
      <c r="F444">
        <v>0</v>
      </c>
      <c r="G444">
        <v>45819</v>
      </c>
      <c r="H444">
        <v>0</v>
      </c>
      <c r="I444" t="str">
        <v>Arizona v California</v>
      </c>
      <c r="J444" t="str">
        <v>San Simon Creek</v>
      </c>
      <c r="K444" t="str">
        <v>SC</v>
      </c>
      <c r="L444" t="str">
        <v>San Simon</v>
      </c>
      <c r="M444" t="str">
        <v>SS</v>
      </c>
      <c r="N444">
        <v>0</v>
      </c>
      <c r="O444" t="str">
        <v>FA</v>
      </c>
      <c r="P444" t="str">
        <v>Fallow, idle or otherwise not irrigated</v>
      </c>
      <c r="Q444">
        <v>4.9997202611514062</v>
      </c>
      <c r="R444" t="str">
        <v>4</v>
      </c>
      <c r="S444" t="str">
        <v>Not irrigated</v>
      </c>
      <c r="T444" t="str">
        <v xml:space="preserve"> </v>
      </c>
      <c r="U444">
        <v>0</v>
      </c>
      <c r="V444" t="str">
        <v>7</v>
      </c>
      <c r="W444">
        <v>0</v>
      </c>
      <c r="X444" t="str">
        <v>SS-6</v>
      </c>
      <c r="Y444">
        <v>0</v>
      </c>
      <c r="Z444">
        <v>0</v>
      </c>
      <c r="AA444">
        <v>0</v>
      </c>
      <c r="AB444" t="str">
        <v>HI</v>
      </c>
      <c r="AC444" t="str">
        <v>C.L. Johnston and Fay Rose Johnston</v>
      </c>
      <c r="AD444" t="str">
        <v>1952</v>
      </c>
      <c r="AE444">
        <v>0</v>
      </c>
      <c r="AF444">
        <v>0</v>
      </c>
      <c r="AG444">
        <v>0</v>
      </c>
      <c r="AH444">
        <v>0</v>
      </c>
      <c r="AI444">
        <v>1341.398452992132</v>
      </c>
      <c r="AJ444">
        <v>20233.230981886969</v>
      </c>
      <c r="AK444">
        <v>0</v>
      </c>
    </row>
    <row r="445" spans="1:37" x14ac:dyDescent="0.25">
      <c r="A445">
        <v>142</v>
      </c>
      <c r="B445" t="str">
        <v>SS-00195</v>
      </c>
      <c r="C445" t="str">
        <v>SS</v>
      </c>
      <c r="D445">
        <v>0</v>
      </c>
      <c r="E445" t="str">
        <v>MM</v>
      </c>
      <c r="F445">
        <v>0</v>
      </c>
      <c r="G445">
        <v>45819</v>
      </c>
      <c r="H445">
        <v>0</v>
      </c>
      <c r="I445" t="str">
        <v>Arizona v California</v>
      </c>
      <c r="J445" t="str">
        <v>San Simon Creek</v>
      </c>
      <c r="K445" t="str">
        <v>SC</v>
      </c>
      <c r="L445" t="str">
        <v>San Simon</v>
      </c>
      <c r="M445" t="str">
        <v>SS</v>
      </c>
      <c r="N445">
        <v>0</v>
      </c>
      <c r="O445" t="str">
        <v>PIW</v>
      </c>
      <c r="P445" t="str">
        <v>Pasture (improved/Planted, Warm Grass)</v>
      </c>
      <c r="Q445">
        <v>30.42733844404551</v>
      </c>
      <c r="R445" t="str">
        <v>2</v>
      </c>
      <c r="S445" t="str">
        <v>Sprinkler irrigated</v>
      </c>
      <c r="T445">
        <v>0</v>
      </c>
      <c r="U445">
        <v>0</v>
      </c>
      <c r="V445" t="str">
        <v>7</v>
      </c>
      <c r="W445">
        <v>0</v>
      </c>
      <c r="X445">
        <v>0</v>
      </c>
      <c r="Y445">
        <v>0</v>
      </c>
      <c r="Z445">
        <v>0</v>
      </c>
      <c r="AA445">
        <v>0</v>
      </c>
      <c r="AB445" t="str">
        <v>HI</v>
      </c>
      <c r="AC445">
        <v>0</v>
      </c>
      <c r="AD445" t="str">
        <v>0</v>
      </c>
      <c r="AE445">
        <v>0</v>
      </c>
      <c r="AF445">
        <v>0</v>
      </c>
      <c r="AG445">
        <v>0</v>
      </c>
      <c r="AH445">
        <v>0</v>
      </c>
      <c r="AI445">
        <v>1243.9321182012111</v>
      </c>
      <c r="AJ445">
        <v>123135.5625405816</v>
      </c>
      <c r="AK445">
        <v>0</v>
      </c>
    </row>
    <row r="446" spans="1:37" x14ac:dyDescent="0.25">
      <c r="A446">
        <v>143</v>
      </c>
      <c r="B446" t="str">
        <v>SS-00196</v>
      </c>
      <c r="C446" t="str">
        <v>SS</v>
      </c>
      <c r="D446">
        <v>0</v>
      </c>
      <c r="E446" t="str">
        <v>MM</v>
      </c>
      <c r="F446">
        <v>0</v>
      </c>
      <c r="G446">
        <v>45819</v>
      </c>
      <c r="H446">
        <v>0</v>
      </c>
      <c r="I446" t="str">
        <v>Arizona v California</v>
      </c>
      <c r="J446" t="str">
        <v>San Simon Creek</v>
      </c>
      <c r="K446" t="str">
        <v>SC</v>
      </c>
      <c r="L446" t="str">
        <v>San Simon</v>
      </c>
      <c r="M446" t="str">
        <v>SS</v>
      </c>
      <c r="N446">
        <v>0</v>
      </c>
      <c r="O446" t="str">
        <v>AL</v>
      </c>
      <c r="P446" t="str">
        <v>Alfalfa</v>
      </c>
      <c r="Q446">
        <v>30.673384327805969</v>
      </c>
      <c r="R446" t="str">
        <v>2</v>
      </c>
      <c r="S446" t="str">
        <v>Sprinkler irrigated</v>
      </c>
      <c r="T446">
        <v>0</v>
      </c>
      <c r="U446">
        <v>0</v>
      </c>
      <c r="V446" t="str">
        <v>7</v>
      </c>
      <c r="W446">
        <v>0</v>
      </c>
      <c r="X446">
        <v>0</v>
      </c>
      <c r="Y446">
        <v>0</v>
      </c>
      <c r="Z446">
        <v>0</v>
      </c>
      <c r="AA446">
        <v>0</v>
      </c>
      <c r="AB446" t="str">
        <v>HI</v>
      </c>
      <c r="AC446">
        <v>0</v>
      </c>
      <c r="AD446" t="str">
        <v>0</v>
      </c>
      <c r="AE446">
        <v>0</v>
      </c>
      <c r="AF446">
        <v>0</v>
      </c>
      <c r="AG446">
        <v>0</v>
      </c>
      <c r="AH446">
        <v>0</v>
      </c>
      <c r="AI446">
        <v>1248.9514223320739</v>
      </c>
      <c r="AJ446">
        <v>124131.2788883441</v>
      </c>
      <c r="AK446">
        <v>0</v>
      </c>
    </row>
    <row r="447" spans="1:37" x14ac:dyDescent="0.25">
      <c r="A447">
        <v>144</v>
      </c>
      <c r="B447" t="str">
        <v>SS-00197</v>
      </c>
      <c r="C447" t="str">
        <v>SS</v>
      </c>
      <c r="D447">
        <v>0</v>
      </c>
      <c r="E447" t="str">
        <v>MM</v>
      </c>
      <c r="F447">
        <v>0</v>
      </c>
      <c r="G447">
        <v>45819</v>
      </c>
      <c r="H447">
        <v>0</v>
      </c>
      <c r="I447" t="str">
        <v>Arizona v California</v>
      </c>
      <c r="J447" t="str">
        <v>San Simon Creek</v>
      </c>
      <c r="K447" t="str">
        <v>SC</v>
      </c>
      <c r="L447" t="str">
        <v>San Simon</v>
      </c>
      <c r="M447" t="str">
        <v>SS</v>
      </c>
      <c r="N447">
        <v>0</v>
      </c>
      <c r="O447" t="str">
        <v>FA</v>
      </c>
      <c r="P447" t="str">
        <v>Fallow, idle or otherwise not irrigated</v>
      </c>
      <c r="Q447">
        <v>136.37705810256659</v>
      </c>
      <c r="R447" t="str">
        <v>4</v>
      </c>
      <c r="S447" t="str">
        <v>Not irrigated</v>
      </c>
      <c r="T447">
        <v>0</v>
      </c>
      <c r="U447">
        <v>0</v>
      </c>
      <c r="V447" t="str">
        <v>4A</v>
      </c>
      <c r="W447">
        <v>0</v>
      </c>
      <c r="X447" t="str">
        <v>SS-10</v>
      </c>
      <c r="Y447">
        <v>0</v>
      </c>
      <c r="Z447">
        <v>0</v>
      </c>
      <c r="AA447">
        <v>0</v>
      </c>
      <c r="AB447" t="str">
        <v>HI</v>
      </c>
      <c r="AC447" t="str">
        <v>HOLLY HUGHES LAPIN</v>
      </c>
      <c r="AD447" t="str">
        <v>0</v>
      </c>
      <c r="AE447">
        <v>0</v>
      </c>
      <c r="AF447">
        <v>0</v>
      </c>
      <c r="AG447">
        <v>0</v>
      </c>
      <c r="AH447">
        <v>0</v>
      </c>
      <c r="AI447">
        <v>2633.5123397775892</v>
      </c>
      <c r="AJ447">
        <v>551900.58105050598</v>
      </c>
      <c r="AK447">
        <v>0</v>
      </c>
    </row>
    <row r="448" spans="1:37" x14ac:dyDescent="0.25">
      <c r="A448">
        <v>145</v>
      </c>
      <c r="B448" t="str">
        <v>SS-00198</v>
      </c>
      <c r="C448" t="str">
        <v>SS</v>
      </c>
      <c r="D448">
        <v>0</v>
      </c>
      <c r="E448" t="str">
        <v>MM</v>
      </c>
      <c r="F448">
        <v>0</v>
      </c>
      <c r="G448">
        <v>45819</v>
      </c>
      <c r="H448">
        <v>0</v>
      </c>
      <c r="I448" t="str">
        <v>Arizona v California</v>
      </c>
      <c r="J448" t="str">
        <v>San Simon Creek</v>
      </c>
      <c r="K448" t="str">
        <v>SC</v>
      </c>
      <c r="L448" t="str">
        <v>San Simon</v>
      </c>
      <c r="M448" t="str">
        <v>SS</v>
      </c>
      <c r="N448">
        <v>0</v>
      </c>
      <c r="O448" t="str">
        <v>FA</v>
      </c>
      <c r="P448" t="str">
        <v>Fallow, idle or otherwise not irrigated</v>
      </c>
      <c r="Q448">
        <v>141.91473363400559</v>
      </c>
      <c r="R448" t="str">
        <v>4</v>
      </c>
      <c r="S448" t="str">
        <v>Not irrigated</v>
      </c>
      <c r="T448">
        <v>0</v>
      </c>
      <c r="U448">
        <v>0</v>
      </c>
      <c r="V448" t="str">
        <v>4A</v>
      </c>
      <c r="W448">
        <v>0</v>
      </c>
      <c r="X448" t="str">
        <v>SS-10</v>
      </c>
      <c r="Y448">
        <v>0</v>
      </c>
      <c r="Z448">
        <v>0</v>
      </c>
      <c r="AA448">
        <v>0</v>
      </c>
      <c r="AB448" t="str">
        <v>HI</v>
      </c>
      <c r="AC448" t="str">
        <v>HOLLY HUGHES LAPIN</v>
      </c>
      <c r="AD448" t="str">
        <v>0</v>
      </c>
      <c r="AE448">
        <v>0</v>
      </c>
      <c r="AF448">
        <v>0</v>
      </c>
      <c r="AG448">
        <v>0</v>
      </c>
      <c r="AH448">
        <v>0</v>
      </c>
      <c r="AI448">
        <v>2686.4480210605311</v>
      </c>
      <c r="AJ448">
        <v>574310.84848105733</v>
      </c>
      <c r="AK448">
        <v>0</v>
      </c>
    </row>
    <row r="449" spans="1:37" x14ac:dyDescent="0.25">
      <c r="A449">
        <v>146</v>
      </c>
      <c r="B449">
        <v>0</v>
      </c>
      <c r="C449" t="str">
        <v>SS</v>
      </c>
      <c r="D449">
        <v>0</v>
      </c>
      <c r="E449" t="str">
        <v>MM</v>
      </c>
      <c r="F449">
        <v>0</v>
      </c>
      <c r="G449">
        <v>45819</v>
      </c>
      <c r="H449">
        <v>0</v>
      </c>
      <c r="I449" t="str">
        <v>Arizona v California</v>
      </c>
      <c r="J449" t="str">
        <v>San Simon Creek</v>
      </c>
      <c r="K449" t="str">
        <v>SC</v>
      </c>
      <c r="L449" t="str">
        <v>San Simon</v>
      </c>
      <c r="M449" t="str">
        <v>SS</v>
      </c>
      <c r="N449">
        <v>0</v>
      </c>
      <c r="O449" t="str">
        <v>PIW</v>
      </c>
      <c r="P449" t="str">
        <v>Pasture (improved/Planted, Warm Grass)</v>
      </c>
      <c r="Q449">
        <v>120.31647525462181</v>
      </c>
      <c r="R449" t="str">
        <v>2</v>
      </c>
      <c r="S449" t="str">
        <v>Sprinkler irrigated</v>
      </c>
      <c r="T449">
        <v>0</v>
      </c>
      <c r="U449">
        <v>0</v>
      </c>
      <c r="V449" t="str">
        <v>9</v>
      </c>
      <c r="W449">
        <v>0</v>
      </c>
      <c r="X449">
        <v>0</v>
      </c>
      <c r="Y449">
        <v>0</v>
      </c>
      <c r="Z449">
        <v>0</v>
      </c>
      <c r="AA449">
        <v>0</v>
      </c>
      <c r="AB449" t="str">
        <v>HI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2473.587337560627</v>
      </c>
      <c r="AJ449">
        <v>486905.44822454231</v>
      </c>
      <c r="AK449">
        <v>0</v>
      </c>
    </row>
    <row r="450" spans="1:37" x14ac:dyDescent="0.25">
      <c r="A450">
        <v>147</v>
      </c>
      <c r="B450">
        <v>0</v>
      </c>
      <c r="C450" t="str">
        <v>SS</v>
      </c>
      <c r="D450">
        <v>0</v>
      </c>
      <c r="E450" t="str">
        <v>MM</v>
      </c>
      <c r="F450">
        <v>0</v>
      </c>
      <c r="G450">
        <v>45819</v>
      </c>
      <c r="H450">
        <v>0</v>
      </c>
      <c r="I450" t="str">
        <v>Arizona v California</v>
      </c>
      <c r="J450" t="str">
        <v>San Simon Creek</v>
      </c>
      <c r="K450" t="str">
        <v>SC</v>
      </c>
      <c r="L450" t="str">
        <v>San Simon</v>
      </c>
      <c r="M450" t="str">
        <v>SS</v>
      </c>
      <c r="N450">
        <v>0</v>
      </c>
      <c r="O450" t="str">
        <v>HA</v>
      </c>
      <c r="P450" t="str">
        <v>Hay (all other)</v>
      </c>
      <c r="Q450">
        <v>119.0500545990988</v>
      </c>
      <c r="R450" t="str">
        <v>2</v>
      </c>
      <c r="S450" t="str">
        <v>Sprinkler irrigated</v>
      </c>
      <c r="T450">
        <v>0</v>
      </c>
      <c r="U450">
        <v>0</v>
      </c>
      <c r="V450" t="str">
        <v>9</v>
      </c>
      <c r="W450">
        <v>0</v>
      </c>
      <c r="X450">
        <v>0</v>
      </c>
      <c r="Y450">
        <v>0</v>
      </c>
      <c r="Z450">
        <v>0</v>
      </c>
      <c r="AA450">
        <v>0</v>
      </c>
      <c r="AB450" t="str">
        <v>HI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2460.5347235897411</v>
      </c>
      <c r="AJ450">
        <v>481780.40516112722</v>
      </c>
      <c r="AK450">
        <v>0</v>
      </c>
    </row>
    <row r="451" spans="1:37" x14ac:dyDescent="0.25">
      <c r="A451">
        <v>148</v>
      </c>
      <c r="B451">
        <v>0</v>
      </c>
      <c r="C451" t="str">
        <v>SS</v>
      </c>
      <c r="D451">
        <v>0</v>
      </c>
      <c r="E451" t="str">
        <v>MM</v>
      </c>
      <c r="F451">
        <v>0</v>
      </c>
      <c r="G451">
        <v>45819</v>
      </c>
      <c r="H451">
        <v>0</v>
      </c>
      <c r="I451" t="str">
        <v>Arizona v California</v>
      </c>
      <c r="J451" t="str">
        <v>San Simon Creek</v>
      </c>
      <c r="K451" t="str">
        <v>SC</v>
      </c>
      <c r="L451" t="str">
        <v>San Simon</v>
      </c>
      <c r="M451" t="str">
        <v>SS</v>
      </c>
      <c r="N451">
        <v>0</v>
      </c>
      <c r="O451" t="str">
        <v>AL</v>
      </c>
      <c r="P451" t="str">
        <v>Alfalfa</v>
      </c>
      <c r="Q451">
        <v>125.7233659679659</v>
      </c>
      <c r="R451" t="str">
        <v>2</v>
      </c>
      <c r="S451" t="str">
        <v>Sprinkler irrigated</v>
      </c>
      <c r="T451">
        <v>0</v>
      </c>
      <c r="U451">
        <v>0</v>
      </c>
      <c r="V451" t="str">
        <v>4</v>
      </c>
      <c r="W451">
        <v>0</v>
      </c>
      <c r="X451">
        <v>0</v>
      </c>
      <c r="Y451">
        <v>0</v>
      </c>
      <c r="Z451">
        <v>0</v>
      </c>
      <c r="AA451">
        <v>0</v>
      </c>
      <c r="AB451" t="str">
        <v>HI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2528.5567120337701</v>
      </c>
      <c r="AJ451">
        <v>508786.44615695789</v>
      </c>
      <c r="AK451">
        <v>0</v>
      </c>
    </row>
    <row r="452" spans="1:37" x14ac:dyDescent="0.25">
      <c r="A452">
        <v>149</v>
      </c>
      <c r="B452">
        <v>0</v>
      </c>
      <c r="C452" t="str">
        <v>SS</v>
      </c>
      <c r="D452">
        <v>0</v>
      </c>
      <c r="E452" t="str">
        <v>MM</v>
      </c>
      <c r="F452">
        <v>0</v>
      </c>
      <c r="G452">
        <v>45819</v>
      </c>
      <c r="H452">
        <v>0</v>
      </c>
      <c r="I452" t="str">
        <v>Arizona v California</v>
      </c>
      <c r="J452" t="str">
        <v>San Simon Creek</v>
      </c>
      <c r="K452" t="str">
        <v>SC</v>
      </c>
      <c r="L452" t="str">
        <v>San Simon</v>
      </c>
      <c r="M452" t="str">
        <v>SS</v>
      </c>
      <c r="N452">
        <v>0</v>
      </c>
      <c r="O452" t="str">
        <v>PIW</v>
      </c>
      <c r="P452" t="str">
        <v>Pasture (improved/Planted, Warm Grass)</v>
      </c>
      <c r="Q452">
        <v>43.343795642506777</v>
      </c>
      <c r="R452" t="str">
        <v>2</v>
      </c>
      <c r="S452" t="str">
        <v>Sprinkler irrigated</v>
      </c>
      <c r="T452">
        <v>0</v>
      </c>
      <c r="U452">
        <v>0</v>
      </c>
      <c r="V452" t="str">
        <v>3</v>
      </c>
      <c r="W452">
        <v>0</v>
      </c>
      <c r="X452">
        <v>0</v>
      </c>
      <c r="Y452">
        <v>0</v>
      </c>
      <c r="Z452">
        <v>0</v>
      </c>
      <c r="AA452">
        <v>0</v>
      </c>
      <c r="AB452" t="str">
        <v>HI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1484.663968979695</v>
      </c>
      <c r="AJ452">
        <v>175406.8193936476</v>
      </c>
      <c r="AK452">
        <v>0</v>
      </c>
    </row>
    <row r="453" spans="1:37" x14ac:dyDescent="0.25">
      <c r="A453">
        <v>150</v>
      </c>
      <c r="B453" t="str">
        <v>SS-00090</v>
      </c>
      <c r="C453" t="str">
        <v>SS</v>
      </c>
      <c r="D453">
        <v>0</v>
      </c>
      <c r="E453" t="str">
        <v>MM</v>
      </c>
      <c r="F453">
        <v>0</v>
      </c>
      <c r="G453">
        <v>45819</v>
      </c>
      <c r="H453">
        <v>0</v>
      </c>
      <c r="I453" t="str">
        <v>Arizona v California</v>
      </c>
      <c r="J453" t="str">
        <v>San Simon Creek</v>
      </c>
      <c r="K453" t="str">
        <v>SC</v>
      </c>
      <c r="L453" t="str">
        <v>San Simon</v>
      </c>
      <c r="M453" t="str">
        <v>SS</v>
      </c>
      <c r="N453">
        <v>0</v>
      </c>
      <c r="O453" t="str">
        <v>ONG</v>
      </c>
      <c r="P453" t="str">
        <v>Orchard (no ground cover)</v>
      </c>
      <c r="Q453">
        <v>0.26217608318449948</v>
      </c>
      <c r="R453" t="str">
        <v>3</v>
      </c>
      <c r="S453" t="str">
        <v>Drip irrigated</v>
      </c>
      <c r="T453" t="str">
        <v xml:space="preserve"> </v>
      </c>
      <c r="U453">
        <v>0</v>
      </c>
      <c r="V453" t="str">
        <v>7</v>
      </c>
      <c r="W453">
        <v>0</v>
      </c>
      <c r="X453" t="str">
        <v>None</v>
      </c>
      <c r="Y453">
        <v>0</v>
      </c>
      <c r="Z453">
        <v>0</v>
      </c>
      <c r="AA453">
        <v>0</v>
      </c>
      <c r="AB453" t="str">
        <v>HI</v>
      </c>
      <c r="AC453" t="str">
        <v>Bufford Martin</v>
      </c>
      <c r="AD453" t="str">
        <v>1947</v>
      </c>
      <c r="AE453">
        <v>0</v>
      </c>
      <c r="AF453">
        <v>0</v>
      </c>
      <c r="AG453">
        <v>0</v>
      </c>
      <c r="AH453">
        <v>0</v>
      </c>
      <c r="AI453">
        <v>130.32283613073429</v>
      </c>
      <c r="AJ453">
        <v>1060.993210003465</v>
      </c>
      <c r="AK453">
        <v>0</v>
      </c>
    </row>
    <row r="454" spans="1:37" x14ac:dyDescent="0.25">
      <c r="A454">
        <v>151</v>
      </c>
      <c r="B454" t="str">
        <v>SS-00177</v>
      </c>
      <c r="C454" t="str">
        <v>SS</v>
      </c>
      <c r="D454">
        <v>0</v>
      </c>
      <c r="E454" t="str">
        <v>MM</v>
      </c>
      <c r="F454">
        <v>0</v>
      </c>
      <c r="G454">
        <v>45819</v>
      </c>
      <c r="H454">
        <v>0</v>
      </c>
      <c r="I454" t="str">
        <v>Arizona v California</v>
      </c>
      <c r="J454" t="str">
        <v>San Simon Creek</v>
      </c>
      <c r="K454" t="str">
        <v>SC</v>
      </c>
      <c r="L454" t="str">
        <v>San Simon</v>
      </c>
      <c r="M454" t="str">
        <v>SS</v>
      </c>
      <c r="N454">
        <v>0</v>
      </c>
      <c r="O454" t="str">
        <v>FA</v>
      </c>
      <c r="P454" t="str">
        <v>Fallow, idle or otherwise not irrigated</v>
      </c>
      <c r="Q454">
        <v>17.783873842745049</v>
      </c>
      <c r="R454" t="str">
        <v>4</v>
      </c>
      <c r="S454" t="str">
        <v>Not irrigated</v>
      </c>
      <c r="T454" t="str">
        <v xml:space="preserve"> </v>
      </c>
      <c r="U454">
        <v>0</v>
      </c>
      <c r="V454" t="str">
        <v>10</v>
      </c>
      <c r="W454">
        <v>0</v>
      </c>
      <c r="X454" t="str">
        <v>SS-3,17,</v>
      </c>
      <c r="Y454">
        <v>0</v>
      </c>
      <c r="Z454">
        <v>0</v>
      </c>
      <c r="AA454">
        <v>0</v>
      </c>
      <c r="AB454" t="str">
        <v>HI</v>
      </c>
      <c r="AC454" t="str">
        <v>William G. Richards and Ruby Lee Richards</v>
      </c>
      <c r="AD454" t="str">
        <v>1950</v>
      </c>
      <c r="AE454">
        <v>0</v>
      </c>
      <c r="AF454">
        <v>0</v>
      </c>
      <c r="AG454">
        <v>0</v>
      </c>
      <c r="AH454">
        <v>0</v>
      </c>
      <c r="AI454">
        <v>1127.811175331198</v>
      </c>
      <c r="AJ454">
        <v>71969.071951664111</v>
      </c>
      <c r="AK454">
        <v>0</v>
      </c>
    </row>
    <row r="455" spans="1:37" x14ac:dyDescent="0.25">
      <c r="A455">
        <v>152</v>
      </c>
      <c r="B455">
        <v>0</v>
      </c>
      <c r="C455" t="str">
        <v>SS</v>
      </c>
      <c r="D455">
        <v>0</v>
      </c>
      <c r="E455" t="str">
        <v>MM</v>
      </c>
      <c r="F455">
        <v>0</v>
      </c>
      <c r="G455">
        <v>45819</v>
      </c>
      <c r="H455">
        <v>0</v>
      </c>
      <c r="I455" t="str">
        <v>Arizona v California</v>
      </c>
      <c r="J455" t="str">
        <v>San Simon Creek</v>
      </c>
      <c r="K455" t="str">
        <v>SC</v>
      </c>
      <c r="L455" t="str">
        <v>San Simon</v>
      </c>
      <c r="M455" t="str">
        <v>SS</v>
      </c>
      <c r="N455">
        <v>0</v>
      </c>
      <c r="O455" t="str">
        <v>FA</v>
      </c>
      <c r="P455" t="str">
        <v>Fallow, idle or otherwise not irrigated</v>
      </c>
      <c r="Q455">
        <v>58.341181438930597</v>
      </c>
      <c r="R455" t="str">
        <v>4</v>
      </c>
      <c r="S455" t="str">
        <v>Not irrigated</v>
      </c>
      <c r="T455">
        <v>0</v>
      </c>
      <c r="U455">
        <v>0</v>
      </c>
      <c r="V455" t="str">
        <v>10</v>
      </c>
      <c r="W455">
        <v>0</v>
      </c>
      <c r="X455">
        <v>0</v>
      </c>
      <c r="Y455">
        <v>0</v>
      </c>
      <c r="Z455">
        <v>0</v>
      </c>
      <c r="AA455">
        <v>0</v>
      </c>
      <c r="AB455" t="str">
        <v>HI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1992.153309599254</v>
      </c>
      <c r="AJ455">
        <v>236099.32919291241</v>
      </c>
      <c r="AK455">
        <v>0</v>
      </c>
    </row>
    <row r="456" spans="1:37" x14ac:dyDescent="0.25">
      <c r="A456">
        <v>153</v>
      </c>
      <c r="B456" t="str">
        <v>SS-00069</v>
      </c>
      <c r="C456" t="str">
        <v>SS</v>
      </c>
      <c r="D456">
        <v>0</v>
      </c>
      <c r="E456" t="str">
        <v>MM</v>
      </c>
      <c r="F456">
        <v>0</v>
      </c>
      <c r="G456">
        <v>45819</v>
      </c>
      <c r="H456">
        <v>0</v>
      </c>
      <c r="I456" t="str">
        <v>Arizona v California</v>
      </c>
      <c r="J456" t="str">
        <v>San Simon Creek</v>
      </c>
      <c r="K456" t="str">
        <v>SC</v>
      </c>
      <c r="L456" t="str">
        <v>San Simon</v>
      </c>
      <c r="M456" t="str">
        <v>SS</v>
      </c>
      <c r="N456">
        <v>0</v>
      </c>
      <c r="O456" t="str">
        <v>FA</v>
      </c>
      <c r="P456" t="str">
        <v>Fallow, idle or otherwise not irrigated</v>
      </c>
      <c r="Q456">
        <v>96.042738308678693</v>
      </c>
      <c r="R456" t="str">
        <v>4</v>
      </c>
      <c r="S456" t="str">
        <v>Not irrigated</v>
      </c>
      <c r="T456">
        <v>0</v>
      </c>
      <c r="U456">
        <v>0</v>
      </c>
      <c r="V456" t="str">
        <v>5</v>
      </c>
      <c r="W456">
        <v>0</v>
      </c>
      <c r="X456" t="str">
        <v>SS-34,35</v>
      </c>
      <c r="Y456">
        <v>0</v>
      </c>
      <c r="Z456">
        <v>0</v>
      </c>
      <c r="AA456">
        <v>0</v>
      </c>
      <c r="AB456" t="str">
        <v>HI</v>
      </c>
      <c r="AC456" t="str">
        <v>Jack Hoggett and Annie Lee Hoggett</v>
      </c>
      <c r="AD456" t="str">
        <v>1952</v>
      </c>
      <c r="AE456">
        <v>0</v>
      </c>
      <c r="AF456">
        <v>0</v>
      </c>
      <c r="AG456">
        <v>0</v>
      </c>
      <c r="AH456">
        <v>0</v>
      </c>
      <c r="AI456">
        <v>3584.2217398211228</v>
      </c>
      <c r="AJ456">
        <v>388672.7270387123</v>
      </c>
      <c r="AK456">
        <v>0</v>
      </c>
    </row>
    <row r="457" spans="1:37" x14ac:dyDescent="0.25">
      <c r="A457">
        <v>154</v>
      </c>
      <c r="B457" t="str">
        <v>SS-00070</v>
      </c>
      <c r="C457" t="str">
        <v>SS</v>
      </c>
      <c r="D457">
        <v>0</v>
      </c>
      <c r="E457" t="str">
        <v>MM</v>
      </c>
      <c r="F457">
        <v>0</v>
      </c>
      <c r="G457">
        <v>45819</v>
      </c>
      <c r="H457">
        <v>0</v>
      </c>
      <c r="I457" t="str">
        <v>Arizona v California</v>
      </c>
      <c r="J457" t="str">
        <v>San Simon Creek</v>
      </c>
      <c r="K457" t="str">
        <v>SC</v>
      </c>
      <c r="L457" t="str">
        <v>San Simon</v>
      </c>
      <c r="M457" t="str">
        <v>SS</v>
      </c>
      <c r="N457">
        <v>0</v>
      </c>
      <c r="O457" t="str">
        <v>RD</v>
      </c>
      <c r="P457" t="str">
        <v>Reservoir Dry</v>
      </c>
      <c r="Q457">
        <v>0.54272128621168836</v>
      </c>
      <c r="R457">
        <v>0</v>
      </c>
      <c r="S457" t="str">
        <v>&lt;Null&gt;</v>
      </c>
      <c r="T457" t="str">
        <v xml:space="preserve"> </v>
      </c>
      <c r="U457">
        <v>0</v>
      </c>
      <c r="V457" t="str">
        <v>5</v>
      </c>
      <c r="W457">
        <v>0</v>
      </c>
      <c r="X457" t="str">
        <v>SS-36</v>
      </c>
      <c r="Y457">
        <v>0</v>
      </c>
      <c r="Z457">
        <v>0</v>
      </c>
      <c r="AA457">
        <v>0</v>
      </c>
      <c r="AB457" t="str">
        <v>HI</v>
      </c>
      <c r="AC457" t="str">
        <v>Jack Hoggett and Annie Lee Hoggett</v>
      </c>
      <c r="AD457" t="str">
        <v>1953</v>
      </c>
      <c r="AE457">
        <v>0</v>
      </c>
      <c r="AF457">
        <v>0</v>
      </c>
      <c r="AG457">
        <v>0</v>
      </c>
      <c r="AH457">
        <v>0</v>
      </c>
      <c r="AI457">
        <v>191.3805665747154</v>
      </c>
      <c r="AJ457">
        <v>2196.323907965806</v>
      </c>
      <c r="AK457">
        <v>0</v>
      </c>
    </row>
    <row r="458" spans="1:37" x14ac:dyDescent="0.25">
      <c r="A458">
        <v>155</v>
      </c>
      <c r="B458" t="str">
        <v>SS-00133</v>
      </c>
      <c r="C458" t="str">
        <v>SS</v>
      </c>
      <c r="D458">
        <v>0</v>
      </c>
      <c r="E458" t="str">
        <v>MM</v>
      </c>
      <c r="F458">
        <v>0</v>
      </c>
      <c r="G458">
        <v>45819</v>
      </c>
      <c r="H458">
        <v>0</v>
      </c>
      <c r="I458" t="str">
        <v>Arizona v California</v>
      </c>
      <c r="J458" t="str">
        <v>San Simon Creek</v>
      </c>
      <c r="K458" t="str">
        <v>SC</v>
      </c>
      <c r="L458" t="str">
        <v>San Simon</v>
      </c>
      <c r="M458" t="str">
        <v>SS</v>
      </c>
      <c r="N458">
        <v>0</v>
      </c>
      <c r="O458" t="str">
        <v>FA</v>
      </c>
      <c r="P458" t="str">
        <v>Fallow, idle or otherwise not irrigated</v>
      </c>
      <c r="Q458">
        <v>16.7089147165821</v>
      </c>
      <c r="R458" t="str">
        <v>4</v>
      </c>
      <c r="S458" t="str">
        <v>Not irrigated</v>
      </c>
      <c r="T458" t="str">
        <v xml:space="preserve"> </v>
      </c>
      <c r="U458">
        <v>0</v>
      </c>
      <c r="V458" t="str">
        <v>9</v>
      </c>
      <c r="W458">
        <v>0</v>
      </c>
      <c r="X458" t="str">
        <v>SS-14,15</v>
      </c>
      <c r="Y458">
        <v>0</v>
      </c>
      <c r="Z458">
        <v>0</v>
      </c>
      <c r="AA458">
        <v>0</v>
      </c>
      <c r="AB458" t="str">
        <v>HI</v>
      </c>
      <c r="AC458" t="str">
        <v>Harry D. and Rosemary Turner</v>
      </c>
      <c r="AD458" t="str">
        <v>1959</v>
      </c>
      <c r="AE458">
        <v>0</v>
      </c>
      <c r="AF458">
        <v>0</v>
      </c>
      <c r="AG458">
        <v>0</v>
      </c>
      <c r="AH458">
        <v>0</v>
      </c>
      <c r="AI458">
        <v>2050.257968024338</v>
      </c>
      <c r="AJ458">
        <v>67618.849307260884</v>
      </c>
      <c r="AK458">
        <v>0</v>
      </c>
    </row>
    <row r="459" spans="1:37" x14ac:dyDescent="0.25">
      <c r="A459">
        <v>156</v>
      </c>
      <c r="B459" t="str">
        <v>SS-00140</v>
      </c>
      <c r="C459" t="str">
        <v>SS</v>
      </c>
      <c r="D459">
        <v>0</v>
      </c>
      <c r="E459" t="str">
        <v>MM</v>
      </c>
      <c r="F459">
        <v>0</v>
      </c>
      <c r="G459">
        <v>45819</v>
      </c>
      <c r="H459">
        <v>0</v>
      </c>
      <c r="I459" t="str">
        <v>Arizona v California</v>
      </c>
      <c r="J459" t="str">
        <v>San Simon Creek</v>
      </c>
      <c r="K459" t="str">
        <v>SC</v>
      </c>
      <c r="L459" t="str">
        <v>San Simon</v>
      </c>
      <c r="M459" t="str">
        <v>SS</v>
      </c>
      <c r="N459">
        <v>0</v>
      </c>
      <c r="O459" t="str">
        <v>FA</v>
      </c>
      <c r="P459" t="str">
        <v>Fallow, idle or otherwise not irrigated</v>
      </c>
      <c r="Q459">
        <v>3.9513318419625798</v>
      </c>
      <c r="R459" t="str">
        <v>4</v>
      </c>
      <c r="S459" t="str">
        <v>Not irrigated</v>
      </c>
      <c r="T459" t="str">
        <v xml:space="preserve"> </v>
      </c>
      <c r="U459">
        <v>0</v>
      </c>
      <c r="V459" t="str">
        <v>9</v>
      </c>
      <c r="W459">
        <v>0</v>
      </c>
      <c r="X459" t="str">
        <v>SS-14,15</v>
      </c>
      <c r="Y459">
        <v>0</v>
      </c>
      <c r="Z459">
        <v>0</v>
      </c>
      <c r="AA459">
        <v>0</v>
      </c>
      <c r="AB459" t="str">
        <v>HI</v>
      </c>
      <c r="AC459" t="str">
        <v>Harry D. and Rosemary Turner</v>
      </c>
      <c r="AD459" t="str">
        <v>1959</v>
      </c>
      <c r="AE459">
        <v>0</v>
      </c>
      <c r="AF459">
        <v>0</v>
      </c>
      <c r="AG459">
        <v>0</v>
      </c>
      <c r="AH459">
        <v>0</v>
      </c>
      <c r="AI459">
        <v>1293.5740835822189</v>
      </c>
      <c r="AJ459">
        <v>15990.536603762341</v>
      </c>
      <c r="AK459">
        <v>0</v>
      </c>
    </row>
    <row r="460" spans="1:37" x14ac:dyDescent="0.25">
      <c r="A460">
        <v>157</v>
      </c>
      <c r="B460" t="str">
        <v>SS-00146</v>
      </c>
      <c r="C460" t="str">
        <v>SS</v>
      </c>
      <c r="D460">
        <v>0</v>
      </c>
      <c r="E460" t="str">
        <v>MM</v>
      </c>
      <c r="F460">
        <v>0</v>
      </c>
      <c r="G460">
        <v>45819</v>
      </c>
      <c r="H460">
        <v>0</v>
      </c>
      <c r="I460" t="str">
        <v>Arizona v California</v>
      </c>
      <c r="J460" t="str">
        <v>San Simon Creek</v>
      </c>
      <c r="K460" t="str">
        <v>SC</v>
      </c>
      <c r="L460" t="str">
        <v>San Simon</v>
      </c>
      <c r="M460" t="str">
        <v>SS</v>
      </c>
      <c r="N460">
        <v>0</v>
      </c>
      <c r="O460" t="str">
        <v>FA</v>
      </c>
      <c r="P460" t="str">
        <v>Fallow, idle or otherwise not irrigated</v>
      </c>
      <c r="Q460">
        <v>19.671440363165569</v>
      </c>
      <c r="R460" t="str">
        <v>4</v>
      </c>
      <c r="S460" t="str">
        <v>Not irrigated</v>
      </c>
      <c r="T460" t="str">
        <v xml:space="preserve"> </v>
      </c>
      <c r="U460">
        <v>0</v>
      </c>
      <c r="V460" t="str">
        <v>9</v>
      </c>
      <c r="W460">
        <v>0</v>
      </c>
      <c r="X460" t="str">
        <v>SS-14,15</v>
      </c>
      <c r="Y460">
        <v>0</v>
      </c>
      <c r="Z460">
        <v>0</v>
      </c>
      <c r="AA460">
        <v>0</v>
      </c>
      <c r="AB460" t="str">
        <v>HI</v>
      </c>
      <c r="AC460" t="str">
        <v>Harry D. and Rosemary Turner</v>
      </c>
      <c r="AD460" t="str">
        <v>1959</v>
      </c>
      <c r="AE460">
        <v>0</v>
      </c>
      <c r="AF460">
        <v>0</v>
      </c>
      <c r="AG460">
        <v>0</v>
      </c>
      <c r="AH460">
        <v>0</v>
      </c>
      <c r="AI460">
        <v>2339.3026384064501</v>
      </c>
      <c r="AJ460">
        <v>79607.813202469537</v>
      </c>
      <c r="AK460">
        <v>0</v>
      </c>
    </row>
    <row r="461" spans="1:37" x14ac:dyDescent="0.25">
      <c r="A461">
        <v>158</v>
      </c>
      <c r="B461" t="str">
        <v>SS-00147</v>
      </c>
      <c r="C461" t="str">
        <v>SS</v>
      </c>
      <c r="D461">
        <v>0</v>
      </c>
      <c r="E461" t="str">
        <v>MM</v>
      </c>
      <c r="F461">
        <v>0</v>
      </c>
      <c r="G461">
        <v>45819</v>
      </c>
      <c r="H461">
        <v>0</v>
      </c>
      <c r="I461" t="str">
        <v>Arizona v California</v>
      </c>
      <c r="J461" t="str">
        <v>San Simon Creek</v>
      </c>
      <c r="K461" t="str">
        <v>SC</v>
      </c>
      <c r="L461" t="str">
        <v>San Simon</v>
      </c>
      <c r="M461" t="str">
        <v>SS</v>
      </c>
      <c r="N461">
        <v>0</v>
      </c>
      <c r="O461" t="str">
        <v>RD</v>
      </c>
      <c r="P461" t="str">
        <v>Reservoir Dry</v>
      </c>
      <c r="Q461">
        <v>0.94006741240727953</v>
      </c>
      <c r="R461">
        <v>0</v>
      </c>
      <c r="S461" t="str">
        <v>&lt;Null&gt;</v>
      </c>
      <c r="T461" t="str">
        <v xml:space="preserve"> </v>
      </c>
      <c r="U461">
        <v>0</v>
      </c>
      <c r="V461" t="str">
        <v>9</v>
      </c>
      <c r="W461">
        <v>0</v>
      </c>
      <c r="X461" t="str">
        <v>SS-14</v>
      </c>
      <c r="Y461">
        <v>0</v>
      </c>
      <c r="Z461">
        <v>0</v>
      </c>
      <c r="AA461">
        <v>0</v>
      </c>
      <c r="AB461" t="str">
        <v>HI</v>
      </c>
      <c r="AC461" t="str">
        <v xml:space="preserve"> </v>
      </c>
      <c r="AD461" t="str">
        <v>1959</v>
      </c>
      <c r="AE461">
        <v>0</v>
      </c>
      <c r="AF461">
        <v>0</v>
      </c>
      <c r="AG461">
        <v>0</v>
      </c>
      <c r="AH461">
        <v>0</v>
      </c>
      <c r="AI461">
        <v>246.32519606356979</v>
      </c>
      <c r="AJ461">
        <v>3804.333062706382</v>
      </c>
      <c r="AK461">
        <v>0</v>
      </c>
    </row>
    <row r="462" spans="1:37" x14ac:dyDescent="0.25">
      <c r="A462">
        <v>159</v>
      </c>
      <c r="B462">
        <v>0</v>
      </c>
      <c r="C462" t="str">
        <v>SS</v>
      </c>
      <c r="D462">
        <v>0</v>
      </c>
      <c r="E462" t="str">
        <v>MM</v>
      </c>
      <c r="F462">
        <v>0</v>
      </c>
      <c r="G462">
        <v>45819</v>
      </c>
      <c r="H462">
        <v>0</v>
      </c>
      <c r="I462" t="str">
        <v>Arizona v California</v>
      </c>
      <c r="J462" t="str">
        <v>San Simon Creek</v>
      </c>
      <c r="K462" t="str">
        <v>SC</v>
      </c>
      <c r="L462" t="str">
        <v>San Simon</v>
      </c>
      <c r="M462" t="str">
        <v>SS</v>
      </c>
      <c r="N462">
        <v>0</v>
      </c>
      <c r="O462" t="str">
        <v>SSG</v>
      </c>
      <c r="P462" t="str">
        <v>Spring Small Grains</v>
      </c>
      <c r="Q462">
        <v>114.22295469882761</v>
      </c>
      <c r="R462" t="str">
        <v>2</v>
      </c>
      <c r="S462" t="str">
        <v>Sprinkler irrigated</v>
      </c>
      <c r="T462">
        <v>0</v>
      </c>
      <c r="U462">
        <v>0</v>
      </c>
      <c r="V462" t="str">
        <v>9</v>
      </c>
      <c r="W462">
        <v>0</v>
      </c>
      <c r="X462">
        <v>0</v>
      </c>
      <c r="Y462">
        <v>0</v>
      </c>
      <c r="Z462">
        <v>0</v>
      </c>
      <c r="AA462">
        <v>0</v>
      </c>
      <c r="AB462" t="str">
        <v>HI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2410.1351350223599</v>
      </c>
      <c r="AJ462">
        <v>462245.7467895929</v>
      </c>
      <c r="AK462">
        <v>0</v>
      </c>
    </row>
    <row r="463" spans="1:37" x14ac:dyDescent="0.25">
      <c r="A463">
        <v>160</v>
      </c>
      <c r="B463" t="str">
        <v>SS-00155</v>
      </c>
      <c r="C463" t="str">
        <v>SS</v>
      </c>
      <c r="D463">
        <v>0</v>
      </c>
      <c r="E463" t="str">
        <v>MM</v>
      </c>
      <c r="F463">
        <v>0</v>
      </c>
      <c r="G463">
        <v>45819</v>
      </c>
      <c r="H463">
        <v>0</v>
      </c>
      <c r="I463" t="str">
        <v>Arizona v California</v>
      </c>
      <c r="J463" t="str">
        <v>San Simon Creek</v>
      </c>
      <c r="K463" t="str">
        <v>SC</v>
      </c>
      <c r="L463" t="str">
        <v>San Simon</v>
      </c>
      <c r="M463" t="str">
        <v>SS</v>
      </c>
      <c r="N463">
        <v>0</v>
      </c>
      <c r="O463" t="str">
        <v>RD</v>
      </c>
      <c r="P463" t="str">
        <v>Reservoir Dry</v>
      </c>
      <c r="Q463">
        <v>0.93585829260535514</v>
      </c>
      <c r="R463">
        <v>0</v>
      </c>
      <c r="S463" t="str">
        <v>&lt;Null&gt;</v>
      </c>
      <c r="T463" t="str">
        <v>Abandoned</v>
      </c>
      <c r="U463">
        <v>0</v>
      </c>
      <c r="V463" t="str">
        <v>9</v>
      </c>
      <c r="W463">
        <v>0</v>
      </c>
      <c r="X463" t="str">
        <v xml:space="preserve"> </v>
      </c>
      <c r="Y463">
        <v>0</v>
      </c>
      <c r="Z463">
        <v>0</v>
      </c>
      <c r="AA463">
        <v>0</v>
      </c>
      <c r="AB463" t="str">
        <v>HI</v>
      </c>
      <c r="AC463" t="str">
        <v xml:space="preserve"> </v>
      </c>
      <c r="AD463" t="str">
        <v>0</v>
      </c>
      <c r="AE463">
        <v>0</v>
      </c>
      <c r="AF463">
        <v>0</v>
      </c>
      <c r="AG463">
        <v>0</v>
      </c>
      <c r="AH463">
        <v>0</v>
      </c>
      <c r="AI463">
        <v>236.0163239690408</v>
      </c>
      <c r="AJ463">
        <v>3787.2992910682951</v>
      </c>
      <c r="AK463">
        <v>0</v>
      </c>
    </row>
    <row r="464" spans="1:37" x14ac:dyDescent="0.25">
      <c r="A464">
        <v>161</v>
      </c>
      <c r="B464" t="str">
        <v>SS-00161</v>
      </c>
      <c r="C464" t="str">
        <v>SS</v>
      </c>
      <c r="D464">
        <v>0</v>
      </c>
      <c r="E464" t="str">
        <v>MM</v>
      </c>
      <c r="F464">
        <v>0</v>
      </c>
      <c r="G464">
        <v>45819</v>
      </c>
      <c r="H464">
        <v>0</v>
      </c>
      <c r="I464" t="str">
        <v>Arizona v California</v>
      </c>
      <c r="J464" t="str">
        <v>San Simon Creek</v>
      </c>
      <c r="K464" t="str">
        <v>SC</v>
      </c>
      <c r="L464" t="str">
        <v>San Simon</v>
      </c>
      <c r="M464" t="str">
        <v>SS</v>
      </c>
      <c r="N464">
        <v>0</v>
      </c>
      <c r="O464" t="str">
        <v>FA</v>
      </c>
      <c r="P464" t="str">
        <v>Fallow, idle or otherwise not irrigated</v>
      </c>
      <c r="Q464">
        <v>20.841462467946581</v>
      </c>
      <c r="R464" t="str">
        <v>4</v>
      </c>
      <c r="S464" t="str">
        <v>Not irrigated</v>
      </c>
      <c r="T464" t="str">
        <v xml:space="preserve"> </v>
      </c>
      <c r="U464">
        <v>0</v>
      </c>
      <c r="V464" t="str">
        <v>9</v>
      </c>
      <c r="W464">
        <v>0</v>
      </c>
      <c r="X464" t="str">
        <v>SS-4</v>
      </c>
      <c r="Y464">
        <v>0</v>
      </c>
      <c r="Z464">
        <v>0</v>
      </c>
      <c r="AA464">
        <v>0</v>
      </c>
      <c r="AB464" t="str">
        <v>HI</v>
      </c>
      <c r="AC464" t="str">
        <v xml:space="preserve"> </v>
      </c>
      <c r="AD464" t="str">
        <v>1952</v>
      </c>
      <c r="AE464">
        <v>0</v>
      </c>
      <c r="AF464">
        <v>0</v>
      </c>
      <c r="AG464">
        <v>0</v>
      </c>
      <c r="AH464">
        <v>0</v>
      </c>
      <c r="AI464">
        <v>1273.7781556497971</v>
      </c>
      <c r="AJ464">
        <v>84342.743611255224</v>
      </c>
      <c r="AK464">
        <v>0</v>
      </c>
    </row>
    <row r="465" spans="1:37" x14ac:dyDescent="0.25">
      <c r="A465">
        <v>162</v>
      </c>
      <c r="B465" t="str">
        <v>SS-00163</v>
      </c>
      <c r="C465" t="str">
        <v>SS</v>
      </c>
      <c r="D465">
        <v>0</v>
      </c>
      <c r="E465" t="str">
        <v>MM</v>
      </c>
      <c r="F465">
        <v>0</v>
      </c>
      <c r="G465">
        <v>45819</v>
      </c>
      <c r="H465">
        <v>0</v>
      </c>
      <c r="I465" t="str">
        <v>Arizona v California</v>
      </c>
      <c r="J465" t="str">
        <v>San Simon Creek</v>
      </c>
      <c r="K465" t="str">
        <v>SC</v>
      </c>
      <c r="L465" t="str">
        <v>San Simon</v>
      </c>
      <c r="M465" t="str">
        <v>SS</v>
      </c>
      <c r="N465">
        <v>0</v>
      </c>
      <c r="O465" t="str">
        <v>RD</v>
      </c>
      <c r="P465" t="str">
        <v>Reservoir Dry</v>
      </c>
      <c r="Q465">
        <v>1.0120035695106731</v>
      </c>
      <c r="R465">
        <v>0</v>
      </c>
      <c r="S465" t="str">
        <v>&lt;Null&gt;</v>
      </c>
      <c r="T465" t="str">
        <v>Empty</v>
      </c>
      <c r="U465">
        <v>0</v>
      </c>
      <c r="V465" t="str">
        <v>9</v>
      </c>
      <c r="W465">
        <v>0</v>
      </c>
      <c r="X465" t="str">
        <v>SS-4</v>
      </c>
      <c r="Y465">
        <v>0</v>
      </c>
      <c r="Z465">
        <v>0</v>
      </c>
      <c r="AA465">
        <v>0</v>
      </c>
      <c r="AB465" t="str">
        <v>HI</v>
      </c>
      <c r="AC465" t="str">
        <v xml:space="preserve"> </v>
      </c>
      <c r="AD465" t="str">
        <v>1952</v>
      </c>
      <c r="AE465">
        <v>0</v>
      </c>
      <c r="AF465">
        <v>0</v>
      </c>
      <c r="AG465">
        <v>0</v>
      </c>
      <c r="AH465">
        <v>0</v>
      </c>
      <c r="AI465">
        <v>241.05685792928321</v>
      </c>
      <c r="AJ465">
        <v>4095.4495265477181</v>
      </c>
      <c r="AK465">
        <v>0</v>
      </c>
    </row>
    <row r="466" spans="1:37" x14ac:dyDescent="0.25">
      <c r="A466">
        <v>163</v>
      </c>
      <c r="B466" t="str">
        <v>SS-00154</v>
      </c>
      <c r="C466" t="str">
        <v>SS</v>
      </c>
      <c r="D466">
        <v>0</v>
      </c>
      <c r="E466" t="str">
        <v>MM</v>
      </c>
      <c r="F466">
        <v>0</v>
      </c>
      <c r="G466">
        <v>45819</v>
      </c>
      <c r="H466">
        <v>0</v>
      </c>
      <c r="I466" t="str">
        <v>Arizona v California</v>
      </c>
      <c r="J466" t="str">
        <v>San Simon Creek</v>
      </c>
      <c r="K466" t="str">
        <v>SC</v>
      </c>
      <c r="L466" t="str">
        <v>San Simon</v>
      </c>
      <c r="M466" t="str">
        <v>SS</v>
      </c>
      <c r="N466">
        <v>0</v>
      </c>
      <c r="O466" t="str">
        <v>FA</v>
      </c>
      <c r="P466" t="str">
        <v>Fallow, idle or otherwise not irrigated</v>
      </c>
      <c r="Q466">
        <v>11.14583213755974</v>
      </c>
      <c r="R466" t="str">
        <v>4</v>
      </c>
      <c r="S466" t="str">
        <v>Not irrigated</v>
      </c>
      <c r="T466" t="str">
        <v xml:space="preserve"> </v>
      </c>
      <c r="U466">
        <v>0</v>
      </c>
      <c r="V466" t="str">
        <v>9</v>
      </c>
      <c r="W466">
        <v>0</v>
      </c>
      <c r="X466" t="str">
        <v>SS-4</v>
      </c>
      <c r="Y466">
        <v>0</v>
      </c>
      <c r="Z466">
        <v>0</v>
      </c>
      <c r="AA466">
        <v>0</v>
      </c>
      <c r="AB466" t="str">
        <v>HI</v>
      </c>
      <c r="AC466" t="str">
        <v xml:space="preserve"> </v>
      </c>
      <c r="AD466" t="str">
        <v>1952</v>
      </c>
      <c r="AE466">
        <v>0</v>
      </c>
      <c r="AF466">
        <v>0</v>
      </c>
      <c r="AG466">
        <v>0</v>
      </c>
      <c r="AH466">
        <v>0</v>
      </c>
      <c r="AI466">
        <v>1538.3250280425809</v>
      </c>
      <c r="AJ466">
        <v>45105.762791746703</v>
      </c>
      <c r="AK466">
        <v>0</v>
      </c>
    </row>
    <row r="467" spans="1:37" x14ac:dyDescent="0.25">
      <c r="A467">
        <v>164</v>
      </c>
      <c r="B467" t="str">
        <v>SS-00156</v>
      </c>
      <c r="C467" t="str">
        <v>SS</v>
      </c>
      <c r="D467">
        <v>0</v>
      </c>
      <c r="E467" t="str">
        <v>MM</v>
      </c>
      <c r="F467">
        <v>0</v>
      </c>
      <c r="G467">
        <v>45819</v>
      </c>
      <c r="H467">
        <v>0</v>
      </c>
      <c r="I467" t="str">
        <v>Arizona v California</v>
      </c>
      <c r="J467" t="str">
        <v>San Simon Creek</v>
      </c>
      <c r="K467" t="str">
        <v>SC</v>
      </c>
      <c r="L467" t="str">
        <v>San Simon</v>
      </c>
      <c r="M467" t="str">
        <v>SS</v>
      </c>
      <c r="N467">
        <v>0</v>
      </c>
      <c r="O467" t="str">
        <v>FA</v>
      </c>
      <c r="P467" t="str">
        <v>Fallow, idle or otherwise not irrigated</v>
      </c>
      <c r="Q467">
        <v>0.33275798291997999</v>
      </c>
      <c r="R467" t="str">
        <v>4</v>
      </c>
      <c r="S467" t="str">
        <v>Not irrigated</v>
      </c>
      <c r="T467" t="str">
        <v>Found out January 1961</v>
      </c>
      <c r="U467">
        <v>0</v>
      </c>
      <c r="V467" t="str">
        <v>9</v>
      </c>
      <c r="W467">
        <v>0</v>
      </c>
      <c r="X467" t="str">
        <v xml:space="preserve"> </v>
      </c>
      <c r="Y467">
        <v>0</v>
      </c>
      <c r="Z467">
        <v>0</v>
      </c>
      <c r="AA467">
        <v>0</v>
      </c>
      <c r="AB467" t="str">
        <v>HI</v>
      </c>
      <c r="AC467" t="str">
        <v xml:space="preserve"> </v>
      </c>
      <c r="AD467" t="str">
        <v>0</v>
      </c>
      <c r="AE467">
        <v>0</v>
      </c>
      <c r="AF467">
        <v>0</v>
      </c>
      <c r="AG467">
        <v>0</v>
      </c>
      <c r="AH467">
        <v>0</v>
      </c>
      <c r="AI467">
        <v>225.5316623922653</v>
      </c>
      <c r="AJ467">
        <v>1346.629166795871</v>
      </c>
      <c r="AK467">
        <v>0</v>
      </c>
    </row>
    <row r="468" spans="1:37" x14ac:dyDescent="0.25">
      <c r="A468">
        <v>165</v>
      </c>
      <c r="B468" t="str">
        <v>SS-00157</v>
      </c>
      <c r="C468" t="str">
        <v>SS</v>
      </c>
      <c r="D468">
        <v>0</v>
      </c>
      <c r="E468" t="str">
        <v>MM</v>
      </c>
      <c r="F468">
        <v>0</v>
      </c>
      <c r="G468">
        <v>45819</v>
      </c>
      <c r="H468">
        <v>0</v>
      </c>
      <c r="I468" t="str">
        <v>Arizona v California</v>
      </c>
      <c r="J468" t="str">
        <v>San Simon Creek</v>
      </c>
      <c r="K468" t="str">
        <v>SC</v>
      </c>
      <c r="L468" t="str">
        <v>San Simon</v>
      </c>
      <c r="M468" t="str">
        <v>SS</v>
      </c>
      <c r="N468">
        <v>0</v>
      </c>
      <c r="O468" t="str">
        <v>FA</v>
      </c>
      <c r="P468" t="str">
        <v>Fallow, idle or otherwise not irrigated</v>
      </c>
      <c r="Q468">
        <v>4.9123540804737624</v>
      </c>
      <c r="R468" t="str">
        <v>4</v>
      </c>
      <c r="S468" t="str">
        <v>Not irrigated</v>
      </c>
      <c r="T468" t="str">
        <v xml:space="preserve"> </v>
      </c>
      <c r="U468">
        <v>0</v>
      </c>
      <c r="V468" t="str">
        <v>9</v>
      </c>
      <c r="W468">
        <v>0</v>
      </c>
      <c r="X468" t="str">
        <v>SS-4</v>
      </c>
      <c r="Y468">
        <v>0</v>
      </c>
      <c r="Z468">
        <v>0</v>
      </c>
      <c r="AA468">
        <v>0</v>
      </c>
      <c r="AB468" t="str">
        <v>HI</v>
      </c>
      <c r="AC468" t="str">
        <v xml:space="preserve"> </v>
      </c>
      <c r="AD468" t="str">
        <v>1952</v>
      </c>
      <c r="AE468">
        <v>0</v>
      </c>
      <c r="AF468">
        <v>0</v>
      </c>
      <c r="AG468">
        <v>0</v>
      </c>
      <c r="AH468">
        <v>0</v>
      </c>
      <c r="AI468">
        <v>603.14559739313313</v>
      </c>
      <c r="AJ468">
        <v>19879.671178273289</v>
      </c>
      <c r="AK468">
        <v>0</v>
      </c>
    </row>
    <row r="469" spans="1:37" x14ac:dyDescent="0.25">
      <c r="A469">
        <v>166</v>
      </c>
      <c r="B469" t="str">
        <v>SS-00161</v>
      </c>
      <c r="C469" t="str">
        <v>SS</v>
      </c>
      <c r="D469">
        <v>0</v>
      </c>
      <c r="E469" t="str">
        <v>MM</v>
      </c>
      <c r="F469">
        <v>0</v>
      </c>
      <c r="G469">
        <v>45819</v>
      </c>
      <c r="H469">
        <v>0</v>
      </c>
      <c r="I469" t="str">
        <v>Arizona v California</v>
      </c>
      <c r="J469" t="str">
        <v>San Simon Creek</v>
      </c>
      <c r="K469" t="str">
        <v>SC</v>
      </c>
      <c r="L469" t="str">
        <v>San Simon</v>
      </c>
      <c r="M469" t="str">
        <v>SS</v>
      </c>
      <c r="N469">
        <v>0</v>
      </c>
      <c r="O469" t="str">
        <v>FA</v>
      </c>
      <c r="P469" t="str">
        <v>Fallow, idle or otherwise not irrigated</v>
      </c>
      <c r="Q469">
        <v>7.481077524907743</v>
      </c>
      <c r="R469" t="str">
        <v>4</v>
      </c>
      <c r="S469" t="str">
        <v>Not irrigated</v>
      </c>
      <c r="T469" t="str">
        <v xml:space="preserve"> </v>
      </c>
      <c r="U469">
        <v>0</v>
      </c>
      <c r="V469" t="str">
        <v>9</v>
      </c>
      <c r="W469">
        <v>0</v>
      </c>
      <c r="X469" t="str">
        <v>SS-4</v>
      </c>
      <c r="Y469">
        <v>0</v>
      </c>
      <c r="Z469">
        <v>0</v>
      </c>
      <c r="AA469">
        <v>0</v>
      </c>
      <c r="AB469" t="str">
        <v>HI</v>
      </c>
      <c r="AC469" t="str">
        <v xml:space="preserve"> </v>
      </c>
      <c r="AD469" t="str">
        <v>1952</v>
      </c>
      <c r="AE469">
        <v>0</v>
      </c>
      <c r="AF469">
        <v>0</v>
      </c>
      <c r="AG469">
        <v>0</v>
      </c>
      <c r="AH469">
        <v>0</v>
      </c>
      <c r="AI469">
        <v>1267.9890550211919</v>
      </c>
      <c r="AJ469">
        <v>30274.967727895011</v>
      </c>
      <c r="AK469">
        <v>0</v>
      </c>
    </row>
    <row r="470" spans="1:37" x14ac:dyDescent="0.25">
      <c r="A470">
        <v>167</v>
      </c>
      <c r="B470" t="str">
        <v>SS-00162</v>
      </c>
      <c r="C470" t="str">
        <v>SS</v>
      </c>
      <c r="D470">
        <v>0</v>
      </c>
      <c r="E470" t="str">
        <v>MM</v>
      </c>
      <c r="F470">
        <v>0</v>
      </c>
      <c r="G470">
        <v>45819</v>
      </c>
      <c r="H470">
        <v>0</v>
      </c>
      <c r="I470" t="str">
        <v>Arizona v California</v>
      </c>
      <c r="J470" t="str">
        <v>San Simon Creek</v>
      </c>
      <c r="K470" t="str">
        <v>SC</v>
      </c>
      <c r="L470" t="str">
        <v>San Simon</v>
      </c>
      <c r="M470" t="str">
        <v>SS</v>
      </c>
      <c r="N470">
        <v>0</v>
      </c>
      <c r="O470" t="str">
        <v>FA</v>
      </c>
      <c r="P470" t="str">
        <v>Fallow, idle or otherwise not irrigated</v>
      </c>
      <c r="Q470">
        <v>2.9104535763429018</v>
      </c>
      <c r="R470" t="str">
        <v>4</v>
      </c>
      <c r="S470" t="str">
        <v>Not irrigated</v>
      </c>
      <c r="T470" t="str">
        <v xml:space="preserve"> </v>
      </c>
      <c r="U470">
        <v>0</v>
      </c>
      <c r="V470" t="str">
        <v>9</v>
      </c>
      <c r="W470">
        <v>0</v>
      </c>
      <c r="X470" t="str">
        <v>SS-4</v>
      </c>
      <c r="Y470">
        <v>0</v>
      </c>
      <c r="Z470">
        <v>0</v>
      </c>
      <c r="AA470">
        <v>0</v>
      </c>
      <c r="AB470" t="str">
        <v>HI</v>
      </c>
      <c r="AC470" t="str">
        <v xml:space="preserve"> </v>
      </c>
      <c r="AD470" t="str">
        <v>1952</v>
      </c>
      <c r="AE470">
        <v>0</v>
      </c>
      <c r="AF470">
        <v>0</v>
      </c>
      <c r="AG470">
        <v>0</v>
      </c>
      <c r="AH470">
        <v>0</v>
      </c>
      <c r="AI470">
        <v>487.55597095204092</v>
      </c>
      <c r="AJ470">
        <v>11778.234860412649</v>
      </c>
      <c r="AK470">
        <v>0</v>
      </c>
    </row>
    <row r="471" spans="1:37" x14ac:dyDescent="0.25">
      <c r="A471">
        <v>168</v>
      </c>
      <c r="B471">
        <v>0</v>
      </c>
      <c r="C471" t="str">
        <v>SS</v>
      </c>
      <c r="D471">
        <v>0</v>
      </c>
      <c r="E471" t="str">
        <v>MM</v>
      </c>
      <c r="F471">
        <v>0</v>
      </c>
      <c r="G471">
        <v>45819</v>
      </c>
      <c r="H471">
        <v>0</v>
      </c>
      <c r="I471" t="str">
        <v>Arizona v California</v>
      </c>
      <c r="J471" t="str">
        <v>San Simon Creek</v>
      </c>
      <c r="K471" t="str">
        <v>SC</v>
      </c>
      <c r="L471" t="str">
        <v>San Simon</v>
      </c>
      <c r="M471" t="str">
        <v>SS</v>
      </c>
      <c r="N471">
        <v>0</v>
      </c>
      <c r="O471" t="str">
        <v>FA</v>
      </c>
      <c r="P471" t="str">
        <v>Fallow, idle or otherwise not irrigated</v>
      </c>
      <c r="Q471">
        <v>57.493438590893383</v>
      </c>
      <c r="R471" t="str">
        <v>4</v>
      </c>
      <c r="S471" t="str">
        <v>Not irrigated</v>
      </c>
      <c r="T471">
        <v>0</v>
      </c>
      <c r="U471">
        <v>0</v>
      </c>
      <c r="V471" t="str">
        <v>10</v>
      </c>
      <c r="W471">
        <v>0</v>
      </c>
      <c r="X471">
        <v>0</v>
      </c>
      <c r="Y471">
        <v>0</v>
      </c>
      <c r="Z471">
        <v>0</v>
      </c>
      <c r="AA471">
        <v>0</v>
      </c>
      <c r="AB471" t="str">
        <v>HI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2007.395993559438</v>
      </c>
      <c r="AJ471">
        <v>232668.62188097369</v>
      </c>
      <c r="AK471">
        <v>0</v>
      </c>
    </row>
    <row r="472" spans="1:37" x14ac:dyDescent="0.25">
      <c r="A472">
        <v>169</v>
      </c>
      <c r="B472">
        <v>0</v>
      </c>
      <c r="C472" t="str">
        <v>SS</v>
      </c>
      <c r="D472">
        <v>0</v>
      </c>
      <c r="E472" t="str">
        <v>MM</v>
      </c>
      <c r="F472">
        <v>0</v>
      </c>
      <c r="G472">
        <v>45819</v>
      </c>
      <c r="H472">
        <v>0</v>
      </c>
      <c r="I472" t="str">
        <v>Arizona v California</v>
      </c>
      <c r="J472" t="str">
        <v>San Simon Creek</v>
      </c>
      <c r="K472" t="str">
        <v>SC</v>
      </c>
      <c r="L472" t="str">
        <v>San Simon</v>
      </c>
      <c r="M472" t="str">
        <v>SS</v>
      </c>
      <c r="N472">
        <v>0</v>
      </c>
      <c r="O472" t="str">
        <v>SSG</v>
      </c>
      <c r="P472" t="str">
        <v>Spring Small Grains</v>
      </c>
      <c r="Q472">
        <v>35.320374616818967</v>
      </c>
      <c r="R472" t="str">
        <v>2</v>
      </c>
      <c r="S472" t="str">
        <v>Sprinkler irrigated</v>
      </c>
      <c r="T472">
        <v>0</v>
      </c>
      <c r="U472">
        <v>0</v>
      </c>
      <c r="V472" t="str">
        <v>4</v>
      </c>
      <c r="W472">
        <v>0</v>
      </c>
      <c r="X472">
        <v>0</v>
      </c>
      <c r="Y472">
        <v>0</v>
      </c>
      <c r="Z472">
        <v>0</v>
      </c>
      <c r="AA472">
        <v>0</v>
      </c>
      <c r="AB472" t="str">
        <v>HI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1550.9881248334079</v>
      </c>
      <c r="AJ472">
        <v>142937.05660730251</v>
      </c>
      <c r="AK472">
        <v>0</v>
      </c>
    </row>
    <row r="473" spans="1:37" x14ac:dyDescent="0.25">
      <c r="A473">
        <v>170</v>
      </c>
      <c r="B473">
        <v>0</v>
      </c>
      <c r="C473" t="str">
        <v>SS</v>
      </c>
      <c r="D473">
        <v>0</v>
      </c>
      <c r="E473" t="str">
        <v>MM</v>
      </c>
      <c r="F473">
        <v>0</v>
      </c>
      <c r="G473">
        <v>45819</v>
      </c>
      <c r="H473">
        <v>0</v>
      </c>
      <c r="I473" t="str">
        <v>Arizona v California</v>
      </c>
      <c r="J473" t="str">
        <v>San Simon Creek</v>
      </c>
      <c r="K473" t="str">
        <v>SC</v>
      </c>
      <c r="L473" t="str">
        <v>San Simon</v>
      </c>
      <c r="M473" t="str">
        <v>SS</v>
      </c>
      <c r="N473">
        <v>0</v>
      </c>
      <c r="O473" t="str">
        <v>FA</v>
      </c>
      <c r="P473" t="str">
        <v>Fallow, idle or otherwise not irrigated</v>
      </c>
      <c r="Q473">
        <v>57.979418977397387</v>
      </c>
      <c r="R473" t="str">
        <v>4</v>
      </c>
      <c r="S473" t="str">
        <v>Not irrigated</v>
      </c>
      <c r="T473">
        <v>0</v>
      </c>
      <c r="U473">
        <v>0</v>
      </c>
      <c r="V473" t="str">
        <v>10</v>
      </c>
      <c r="W473">
        <v>0</v>
      </c>
      <c r="X473">
        <v>0</v>
      </c>
      <c r="Y473">
        <v>0</v>
      </c>
      <c r="Z473">
        <v>0</v>
      </c>
      <c r="AA473">
        <v>0</v>
      </c>
      <c r="AB473" t="str">
        <v>HI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1988.371229252404</v>
      </c>
      <c r="AJ473">
        <v>234635.32259605289</v>
      </c>
      <c r="AK473">
        <v>0</v>
      </c>
    </row>
    <row r="474" spans="1:37" x14ac:dyDescent="0.25">
      <c r="A474">
        <v>171</v>
      </c>
      <c r="B474" t="str">
        <v>SS-00161</v>
      </c>
      <c r="C474" t="str">
        <v>SS</v>
      </c>
      <c r="D474">
        <v>0</v>
      </c>
      <c r="E474" t="str">
        <v>MM</v>
      </c>
      <c r="F474">
        <v>0</v>
      </c>
      <c r="G474">
        <v>45819</v>
      </c>
      <c r="H474">
        <v>0</v>
      </c>
      <c r="I474" t="str">
        <v>Arizona v California</v>
      </c>
      <c r="J474" t="str">
        <v>San Simon Creek</v>
      </c>
      <c r="K474" t="str">
        <v>SC</v>
      </c>
      <c r="L474" t="str">
        <v>San Simon</v>
      </c>
      <c r="M474" t="str">
        <v>SS</v>
      </c>
      <c r="N474">
        <v>0</v>
      </c>
      <c r="O474" t="str">
        <v>FA</v>
      </c>
      <c r="P474" t="str">
        <v>Fallow, idle or otherwise not irrigated</v>
      </c>
      <c r="Q474">
        <v>26.264402979872521</v>
      </c>
      <c r="R474" t="str">
        <v>4</v>
      </c>
      <c r="S474" t="str">
        <v>Not irrigated</v>
      </c>
      <c r="T474" t="str">
        <v xml:space="preserve"> </v>
      </c>
      <c r="U474">
        <v>0</v>
      </c>
      <c r="V474" t="str">
        <v>9</v>
      </c>
      <c r="W474">
        <v>0</v>
      </c>
      <c r="X474" t="str">
        <v>SS-4</v>
      </c>
      <c r="Y474">
        <v>0</v>
      </c>
      <c r="Z474">
        <v>0</v>
      </c>
      <c r="AA474">
        <v>0</v>
      </c>
      <c r="AB474" t="str">
        <v>HI</v>
      </c>
      <c r="AC474" t="str">
        <v xml:space="preserve"> </v>
      </c>
      <c r="AD474" t="str">
        <v>1952</v>
      </c>
      <c r="AE474">
        <v>0</v>
      </c>
      <c r="AF474">
        <v>0</v>
      </c>
      <c r="AG474">
        <v>0</v>
      </c>
      <c r="AH474">
        <v>0</v>
      </c>
      <c r="AI474">
        <v>1372.9453073693339</v>
      </c>
      <c r="AJ474">
        <v>106288.6930339458</v>
      </c>
      <c r="AK474">
        <v>0</v>
      </c>
    </row>
    <row r="475" spans="1:37" x14ac:dyDescent="0.25">
      <c r="A475">
        <v>172</v>
      </c>
      <c r="B475" t="str">
        <v>SS-00161</v>
      </c>
      <c r="C475" t="str">
        <v>SS</v>
      </c>
      <c r="D475">
        <v>0</v>
      </c>
      <c r="E475" t="str">
        <v>MM</v>
      </c>
      <c r="F475">
        <v>0</v>
      </c>
      <c r="G475">
        <v>45819</v>
      </c>
      <c r="H475">
        <v>0</v>
      </c>
      <c r="I475" t="str">
        <v>Arizona v California</v>
      </c>
      <c r="J475" t="str">
        <v>San Simon Creek</v>
      </c>
      <c r="K475" t="str">
        <v>SC</v>
      </c>
      <c r="L475" t="str">
        <v>San Simon</v>
      </c>
      <c r="M475" t="str">
        <v>SS</v>
      </c>
      <c r="N475">
        <v>0</v>
      </c>
      <c r="O475" t="str">
        <v>FA</v>
      </c>
      <c r="P475" t="str">
        <v>Fallow, idle or otherwise not irrigated</v>
      </c>
      <c r="Q475">
        <v>19.6886700869848</v>
      </c>
      <c r="R475" t="str">
        <v>4</v>
      </c>
      <c r="S475" t="str">
        <v>Not irrigated</v>
      </c>
      <c r="T475" t="str">
        <v xml:space="preserve"> </v>
      </c>
      <c r="U475">
        <v>0</v>
      </c>
      <c r="V475" t="str">
        <v>9</v>
      </c>
      <c r="W475">
        <v>0</v>
      </c>
      <c r="X475" t="str">
        <v>SS-4</v>
      </c>
      <c r="Y475">
        <v>0</v>
      </c>
      <c r="Z475">
        <v>0</v>
      </c>
      <c r="AA475">
        <v>0</v>
      </c>
      <c r="AB475" t="str">
        <v>HI</v>
      </c>
      <c r="AC475" t="str">
        <v xml:space="preserve"> </v>
      </c>
      <c r="AD475" t="str">
        <v>1952</v>
      </c>
      <c r="AE475">
        <v>0</v>
      </c>
      <c r="AF475">
        <v>0</v>
      </c>
      <c r="AG475">
        <v>0</v>
      </c>
      <c r="AH475">
        <v>0</v>
      </c>
      <c r="AI475">
        <v>1304.2156821147171</v>
      </c>
      <c r="AJ475">
        <v>79677.539699869303</v>
      </c>
      <c r="AK475">
        <v>0</v>
      </c>
    </row>
    <row r="476" spans="1:37" x14ac:dyDescent="0.25">
      <c r="A476">
        <v>173</v>
      </c>
      <c r="B476" t="str">
        <v>SS-00035</v>
      </c>
      <c r="C476" t="str">
        <v>SS</v>
      </c>
      <c r="D476">
        <v>0</v>
      </c>
      <c r="E476" t="str">
        <v>MM</v>
      </c>
      <c r="F476">
        <v>0</v>
      </c>
      <c r="G476">
        <v>45819</v>
      </c>
      <c r="H476">
        <v>0</v>
      </c>
      <c r="I476" t="str">
        <v>Arizona v California</v>
      </c>
      <c r="J476" t="str">
        <v>San Simon Creek</v>
      </c>
      <c r="K476" t="str">
        <v>SC</v>
      </c>
      <c r="L476" t="str">
        <v>San Simon</v>
      </c>
      <c r="M476" t="str">
        <v>SS</v>
      </c>
      <c r="N476">
        <v>0</v>
      </c>
      <c r="O476" t="str">
        <v>FA</v>
      </c>
      <c r="P476" t="str">
        <v>Fallow, idle or otherwise not irrigated</v>
      </c>
      <c r="Q476">
        <v>6.8830344081709276</v>
      </c>
      <c r="R476" t="str">
        <v>4</v>
      </c>
      <c r="S476" t="str">
        <v>Not irrigated</v>
      </c>
      <c r="T476" t="str">
        <v xml:space="preserve"> </v>
      </c>
      <c r="U476">
        <v>0</v>
      </c>
      <c r="V476" t="str">
        <v>4A</v>
      </c>
      <c r="W476">
        <v>0</v>
      </c>
      <c r="X476" t="str">
        <v xml:space="preserve"> </v>
      </c>
      <c r="Y476">
        <v>0</v>
      </c>
      <c r="Z476">
        <v>0</v>
      </c>
      <c r="AA476">
        <v>0</v>
      </c>
      <c r="AB476" t="str">
        <v>HI</v>
      </c>
      <c r="AC476" t="str">
        <v xml:space="preserve"> </v>
      </c>
      <c r="AD476" t="str">
        <v>0</v>
      </c>
      <c r="AE476">
        <v>0</v>
      </c>
      <c r="AF476">
        <v>0</v>
      </c>
      <c r="AG476">
        <v>0</v>
      </c>
      <c r="AH476">
        <v>0</v>
      </c>
      <c r="AI476">
        <v>791.86115456399193</v>
      </c>
      <c r="AJ476">
        <v>27854.76341924896</v>
      </c>
      <c r="AK476">
        <v>0</v>
      </c>
    </row>
    <row r="477" spans="1:37" x14ac:dyDescent="0.25">
      <c r="A477">
        <v>174</v>
      </c>
      <c r="B477">
        <v>0</v>
      </c>
      <c r="C477" t="str">
        <v>SS</v>
      </c>
      <c r="D477">
        <v>0</v>
      </c>
      <c r="E477" t="str">
        <v>MM</v>
      </c>
      <c r="F477">
        <v>0</v>
      </c>
      <c r="G477">
        <v>45819</v>
      </c>
      <c r="H477">
        <v>0</v>
      </c>
      <c r="I477" t="str">
        <v>Arizona v California</v>
      </c>
      <c r="J477" t="str">
        <v>San Simon Creek</v>
      </c>
      <c r="K477" t="str">
        <v>SC</v>
      </c>
      <c r="L477" t="str">
        <v>San Simon</v>
      </c>
      <c r="M477" t="str">
        <v>SS</v>
      </c>
      <c r="N477">
        <v>0</v>
      </c>
      <c r="O477" t="str">
        <v>FA</v>
      </c>
      <c r="P477" t="str">
        <v>Fallow, idle or otherwise not irrigated</v>
      </c>
      <c r="Q477">
        <v>0.3709989626472987</v>
      </c>
      <c r="R477" t="str">
        <v>4</v>
      </c>
      <c r="S477" t="str">
        <v>Not irrigated</v>
      </c>
      <c r="T477">
        <v>0</v>
      </c>
      <c r="U477">
        <v>0</v>
      </c>
      <c r="V477" t="str">
        <v>4A</v>
      </c>
      <c r="W477">
        <v>0</v>
      </c>
      <c r="X477">
        <v>0</v>
      </c>
      <c r="Y477">
        <v>0</v>
      </c>
      <c r="Z477">
        <v>0</v>
      </c>
      <c r="AA477">
        <v>0</v>
      </c>
      <c r="AB477" t="str">
        <v>HI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277.63603791352938</v>
      </c>
      <c r="AJ477">
        <v>1501.385540229114</v>
      </c>
      <c r="AK477">
        <v>0</v>
      </c>
    </row>
    <row r="478" spans="1:37" x14ac:dyDescent="0.25">
      <c r="A478">
        <v>178</v>
      </c>
      <c r="B478">
        <v>0</v>
      </c>
      <c r="C478" t="str">
        <v>SS</v>
      </c>
      <c r="D478">
        <v>0</v>
      </c>
      <c r="E478" t="str">
        <v>MM</v>
      </c>
      <c r="F478">
        <v>0</v>
      </c>
      <c r="G478">
        <v>45819</v>
      </c>
      <c r="H478">
        <v>0</v>
      </c>
      <c r="I478" t="str">
        <v>Arizona v California</v>
      </c>
      <c r="J478" t="str">
        <v>San Simon Creek</v>
      </c>
      <c r="K478" t="str">
        <v>SC</v>
      </c>
      <c r="L478" t="str">
        <v>San Simon</v>
      </c>
      <c r="M478" t="str">
        <v>SS</v>
      </c>
      <c r="N478">
        <v>0</v>
      </c>
      <c r="O478" t="str">
        <v>FA</v>
      </c>
      <c r="P478" t="str">
        <v>Fallow, idle or otherwise not irrigated</v>
      </c>
      <c r="Q478">
        <v>111.8478747620848</v>
      </c>
      <c r="R478" t="str">
        <v>4</v>
      </c>
      <c r="S478" t="str">
        <v>Not irrigated</v>
      </c>
      <c r="T478">
        <v>0</v>
      </c>
      <c r="U478">
        <v>0</v>
      </c>
      <c r="V478" t="str">
        <v>9</v>
      </c>
      <c r="W478">
        <v>0</v>
      </c>
      <c r="X478">
        <v>0</v>
      </c>
      <c r="Y478">
        <v>0</v>
      </c>
      <c r="Z478">
        <v>0</v>
      </c>
      <c r="AA478">
        <v>0</v>
      </c>
      <c r="AB478" t="str">
        <v>HI</v>
      </c>
      <c r="AC478">
        <v>0</v>
      </c>
      <c r="AD478" t="str">
        <v>1953</v>
      </c>
      <c r="AE478">
        <v>0</v>
      </c>
      <c r="AF478">
        <v>0</v>
      </c>
      <c r="AG478">
        <v>0</v>
      </c>
      <c r="AH478">
        <v>0</v>
      </c>
      <c r="AI478">
        <v>2384.9460924609461</v>
      </c>
      <c r="AJ478">
        <v>452634.10084732668</v>
      </c>
      <c r="AK478">
        <v>0</v>
      </c>
    </row>
    <row r="479" spans="1:37" x14ac:dyDescent="0.25">
      <c r="A479">
        <v>180</v>
      </c>
      <c r="B479">
        <v>0</v>
      </c>
      <c r="C479" t="str">
        <v>SS</v>
      </c>
      <c r="D479">
        <v>0</v>
      </c>
      <c r="E479" t="str">
        <v>MM</v>
      </c>
      <c r="F479">
        <v>0</v>
      </c>
      <c r="G479">
        <v>45819</v>
      </c>
      <c r="H479">
        <v>0</v>
      </c>
      <c r="I479" t="str">
        <v>Arizona v California</v>
      </c>
      <c r="J479" t="str">
        <v>San Simon Creek</v>
      </c>
      <c r="K479" t="str">
        <v>SC</v>
      </c>
      <c r="L479" t="str">
        <v>San Simon</v>
      </c>
      <c r="M479" t="str">
        <v>SS</v>
      </c>
      <c r="N479">
        <v>0</v>
      </c>
      <c r="O479" t="str">
        <v>FA</v>
      </c>
      <c r="P479" t="str">
        <v>Fallow, idle or otherwise not irrigated</v>
      </c>
      <c r="Q479">
        <v>4.955233249735004</v>
      </c>
      <c r="R479" t="str">
        <v>4</v>
      </c>
      <c r="S479" t="str">
        <v>Not irrigated</v>
      </c>
      <c r="T479">
        <v>0</v>
      </c>
      <c r="U479">
        <v>0</v>
      </c>
      <c r="V479" t="str">
        <v>4</v>
      </c>
      <c r="W479">
        <v>0</v>
      </c>
      <c r="X479">
        <v>0</v>
      </c>
      <c r="Y479">
        <v>0</v>
      </c>
      <c r="Z479">
        <v>0</v>
      </c>
      <c r="AA479">
        <v>0</v>
      </c>
      <c r="AB479" t="str">
        <v>HI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738.95667429634057</v>
      </c>
      <c r="AJ479">
        <v>20053.19771389076</v>
      </c>
      <c r="AK479">
        <v>0</v>
      </c>
    </row>
    <row r="480" spans="1:37" x14ac:dyDescent="0.25">
      <c r="A480">
        <v>181</v>
      </c>
      <c r="B480">
        <v>0</v>
      </c>
      <c r="C480" t="str">
        <v>SS</v>
      </c>
      <c r="D480">
        <v>0</v>
      </c>
      <c r="E480" t="str">
        <v>MM</v>
      </c>
      <c r="F480">
        <v>0</v>
      </c>
      <c r="G480">
        <v>45819</v>
      </c>
      <c r="H480">
        <v>0</v>
      </c>
      <c r="I480" t="str">
        <v>Arizona v California</v>
      </c>
      <c r="J480" t="str">
        <v>San Simon Creek</v>
      </c>
      <c r="K480" t="str">
        <v>SC</v>
      </c>
      <c r="L480" t="str">
        <v>San Simon</v>
      </c>
      <c r="M480" t="str">
        <v>SS</v>
      </c>
      <c r="N480">
        <v>0</v>
      </c>
      <c r="O480" t="str">
        <v>PEI</v>
      </c>
      <c r="P480" t="str">
        <v>Pecans ISC</v>
      </c>
      <c r="Q480">
        <v>0.44021573298094202</v>
      </c>
      <c r="R480" t="str">
        <v>3</v>
      </c>
      <c r="S480" t="str">
        <v>Drip irrigated</v>
      </c>
      <c r="T480">
        <v>0</v>
      </c>
      <c r="U480">
        <v>0</v>
      </c>
      <c r="V480" t="str">
        <v>8</v>
      </c>
      <c r="W480">
        <v>0</v>
      </c>
      <c r="X480">
        <v>0</v>
      </c>
      <c r="Y480">
        <v>0</v>
      </c>
      <c r="Z480">
        <v>0</v>
      </c>
      <c r="AA480">
        <v>0</v>
      </c>
      <c r="AB480" t="str">
        <v>HI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268.50725544790038</v>
      </c>
      <c r="AJ480">
        <v>1781.496992236292</v>
      </c>
      <c r="AK480"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CE66-4708-4C42-A9F6-1E2CFC36F16A}">
  <sheetPr filterMode="1"/>
  <dimension ref="A1:L3066"/>
  <sheetViews>
    <sheetView workbookViewId="0">
      <pane ySplit="1" topLeftCell="A23" activePane="bottomLeft" state="frozen"/>
      <selection pane="bottomLeft" activeCell="H26" sqref="H26"/>
    </sheetView>
  </sheetViews>
  <sheetFormatPr defaultRowHeight="15" x14ac:dyDescent="0.25"/>
  <cols>
    <col min="1" max="1" width="9.28515625" bestFit="1" customWidth="1"/>
    <col min="2" max="2" width="19.85546875" customWidth="1"/>
    <col min="3" max="3" width="7" bestFit="1" customWidth="1"/>
    <col min="4" max="4" width="23.28515625" bestFit="1" customWidth="1"/>
    <col min="5" max="5" width="13" bestFit="1" customWidth="1"/>
    <col min="6" max="6" width="48.85546875" bestFit="1" customWidth="1"/>
    <col min="7" max="7" width="18.7109375" bestFit="1" customWidth="1"/>
    <col min="8" max="8" width="8.5703125" bestFit="1" customWidth="1"/>
    <col min="9" max="9" width="17.28515625" bestFit="1" customWidth="1"/>
    <col min="10" max="10" width="56.140625" customWidth="1"/>
    <col min="11" max="12" width="13.5703125" bestFit="1" customWidth="1"/>
  </cols>
  <sheetData>
    <row r="1" spans="1:12" s="3" customFormat="1" x14ac:dyDescent="0.25">
      <c r="A1" s="3" t="s">
        <v>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34</v>
      </c>
      <c r="L1" s="3" t="s">
        <v>35</v>
      </c>
    </row>
    <row r="2" spans="1:12" hidden="1" x14ac:dyDescent="0.25">
      <c r="A2">
        <v>92</v>
      </c>
      <c r="C2" t="s">
        <v>3970</v>
      </c>
      <c r="D2" t="s">
        <v>57</v>
      </c>
      <c r="E2" t="str">
        <f>_xlfn.XLOOKUP(F2, Keys!B:B, Keys!A:A, "找不到")</f>
        <v>AL</v>
      </c>
      <c r="F2" t="s">
        <v>45</v>
      </c>
      <c r="G2">
        <v>0.40700059947932771</v>
      </c>
      <c r="H2" t="s">
        <v>64</v>
      </c>
      <c r="I2" t="s">
        <v>65</v>
      </c>
      <c r="J2" t="s">
        <v>4148</v>
      </c>
      <c r="K2">
        <v>0</v>
      </c>
      <c r="L2">
        <v>0</v>
      </c>
    </row>
    <row r="3" spans="1:12" hidden="1" x14ac:dyDescent="0.25">
      <c r="A3">
        <v>186</v>
      </c>
      <c r="B3" t="s">
        <v>2605</v>
      </c>
      <c r="C3" t="s">
        <v>2606</v>
      </c>
      <c r="D3" t="s">
        <v>2702</v>
      </c>
      <c r="E3" t="str">
        <f>_xlfn.XLOOKUP(F3, Keys!B:B, Keys!A:A, "找不到")</f>
        <v>AL</v>
      </c>
      <c r="F3" t="s">
        <v>45</v>
      </c>
      <c r="G3">
        <v>6.2856278988972756</v>
      </c>
      <c r="H3" t="s">
        <v>64</v>
      </c>
      <c r="I3" t="s">
        <v>65</v>
      </c>
      <c r="J3" t="s">
        <v>2883</v>
      </c>
      <c r="K3">
        <v>0</v>
      </c>
      <c r="L3">
        <v>836.70490484344134</v>
      </c>
    </row>
    <row r="4" spans="1:12" hidden="1" x14ac:dyDescent="0.25">
      <c r="A4">
        <v>508</v>
      </c>
      <c r="B4" t="s">
        <v>2605</v>
      </c>
      <c r="C4" t="s">
        <v>2606</v>
      </c>
      <c r="D4" t="s">
        <v>3027</v>
      </c>
      <c r="E4" t="str">
        <f>_xlfn.XLOOKUP(F4, Keys!B:B, Keys!A:A, "找不到")</f>
        <v>AL</v>
      </c>
      <c r="F4" t="s">
        <v>45</v>
      </c>
      <c r="G4">
        <v>10.80749445788433</v>
      </c>
      <c r="H4" t="s">
        <v>46</v>
      </c>
      <c r="I4" t="s">
        <v>47</v>
      </c>
      <c r="J4" t="s">
        <v>3364</v>
      </c>
      <c r="K4">
        <v>0</v>
      </c>
      <c r="L4">
        <v>838.76846297578322</v>
      </c>
    </row>
    <row r="5" spans="1:12" hidden="1" x14ac:dyDescent="0.25">
      <c r="A5">
        <v>515</v>
      </c>
      <c r="B5" t="s">
        <v>2605</v>
      </c>
      <c r="C5" t="s">
        <v>2606</v>
      </c>
      <c r="D5" t="s">
        <v>3027</v>
      </c>
      <c r="E5" t="str">
        <f>_xlfn.XLOOKUP(F5, Keys!B:B, Keys!A:A, "找不到")</f>
        <v>AL</v>
      </c>
      <c r="F5" t="s">
        <v>45</v>
      </c>
      <c r="G5">
        <v>9.5732770409614929</v>
      </c>
      <c r="H5" t="s">
        <v>46</v>
      </c>
      <c r="I5" t="s">
        <v>47</v>
      </c>
      <c r="J5" t="s">
        <v>3364</v>
      </c>
      <c r="K5">
        <v>0</v>
      </c>
      <c r="L5">
        <v>790.04188970765495</v>
      </c>
    </row>
    <row r="6" spans="1:12" hidden="1" x14ac:dyDescent="0.25">
      <c r="A6">
        <v>516</v>
      </c>
      <c r="B6" t="s">
        <v>2605</v>
      </c>
      <c r="C6" t="s">
        <v>2606</v>
      </c>
      <c r="D6" t="s">
        <v>3027</v>
      </c>
      <c r="E6" t="str">
        <f>_xlfn.XLOOKUP(F6, Keys!B:B, Keys!A:A, "找不到")</f>
        <v>AL</v>
      </c>
      <c r="F6" t="s">
        <v>45</v>
      </c>
      <c r="G6">
        <v>2.2629051755329801</v>
      </c>
      <c r="H6" t="s">
        <v>46</v>
      </c>
      <c r="I6" t="s">
        <v>47</v>
      </c>
      <c r="J6" t="s">
        <v>3097</v>
      </c>
      <c r="K6">
        <v>0</v>
      </c>
      <c r="L6">
        <v>394.75856195462279</v>
      </c>
    </row>
    <row r="7" spans="1:12" hidden="1" x14ac:dyDescent="0.25">
      <c r="A7">
        <v>523</v>
      </c>
      <c r="B7" t="s">
        <v>2605</v>
      </c>
      <c r="C7" t="s">
        <v>2606</v>
      </c>
      <c r="D7" t="s">
        <v>3027</v>
      </c>
      <c r="E7" t="str">
        <f>_xlfn.XLOOKUP(F7, Keys!B:B, Keys!A:A, "找不到")</f>
        <v>AL</v>
      </c>
      <c r="F7" t="s">
        <v>45</v>
      </c>
      <c r="G7">
        <v>9.9646902975911384</v>
      </c>
      <c r="H7" t="s">
        <v>46</v>
      </c>
      <c r="I7" t="s">
        <v>47</v>
      </c>
      <c r="J7" t="s">
        <v>3364</v>
      </c>
      <c r="K7">
        <v>0</v>
      </c>
      <c r="L7">
        <v>796.16895606686955</v>
      </c>
    </row>
    <row r="8" spans="1:12" hidden="1" x14ac:dyDescent="0.25">
      <c r="A8">
        <v>614</v>
      </c>
      <c r="B8" t="s">
        <v>2605</v>
      </c>
      <c r="C8" t="s">
        <v>2606</v>
      </c>
      <c r="D8">
        <v>0</v>
      </c>
      <c r="E8" t="str">
        <f>_xlfn.XLOOKUP(F8, Keys!B:B, Keys!A:A, "找不到")</f>
        <v>AL</v>
      </c>
      <c r="F8" t="s">
        <v>45</v>
      </c>
      <c r="G8">
        <v>24.47045100514277</v>
      </c>
      <c r="H8" t="s">
        <v>46</v>
      </c>
      <c r="I8" t="s">
        <v>47</v>
      </c>
      <c r="J8" t="s">
        <v>3548</v>
      </c>
      <c r="K8">
        <v>0</v>
      </c>
      <c r="L8">
        <v>1212.763602642556</v>
      </c>
    </row>
    <row r="9" spans="1:12" hidden="1" x14ac:dyDescent="0.25">
      <c r="A9">
        <v>807</v>
      </c>
      <c r="B9" t="s">
        <v>2605</v>
      </c>
      <c r="C9" t="s">
        <v>2606</v>
      </c>
      <c r="D9">
        <v>0</v>
      </c>
      <c r="E9" t="str">
        <f>_xlfn.XLOOKUP(F9, Keys!B:B, Keys!A:A, "找不到")</f>
        <v>AL</v>
      </c>
      <c r="F9" t="s">
        <v>45</v>
      </c>
      <c r="G9">
        <v>4.2504970392927088</v>
      </c>
      <c r="H9" t="s">
        <v>46</v>
      </c>
      <c r="I9" t="s">
        <v>47</v>
      </c>
      <c r="J9" t="s">
        <v>3816</v>
      </c>
      <c r="K9">
        <v>0</v>
      </c>
      <c r="L9">
        <v>702.86204256131862</v>
      </c>
    </row>
    <row r="10" spans="1:12" hidden="1" x14ac:dyDescent="0.25">
      <c r="A10">
        <v>898</v>
      </c>
      <c r="B10" t="s">
        <v>2605</v>
      </c>
      <c r="C10" t="s">
        <v>2606</v>
      </c>
      <c r="D10" t="s">
        <v>3027</v>
      </c>
      <c r="E10" t="str">
        <f>_xlfn.XLOOKUP(F10, Keys!B:B, Keys!A:A, "找不到")</f>
        <v>AL</v>
      </c>
      <c r="F10" t="s">
        <v>45</v>
      </c>
      <c r="G10">
        <v>3.5145889782384812</v>
      </c>
      <c r="H10" t="s">
        <v>46</v>
      </c>
      <c r="I10" t="s">
        <v>47</v>
      </c>
      <c r="J10" t="s">
        <v>3097</v>
      </c>
      <c r="K10">
        <v>0</v>
      </c>
      <c r="L10">
        <v>475.76543941873638</v>
      </c>
    </row>
    <row r="11" spans="1:12" hidden="1" x14ac:dyDescent="0.25">
      <c r="A11">
        <v>921</v>
      </c>
      <c r="B11" t="s">
        <v>2605</v>
      </c>
      <c r="C11" t="s">
        <v>2606</v>
      </c>
      <c r="D11">
        <v>0</v>
      </c>
      <c r="E11" t="str">
        <f>_xlfn.XLOOKUP(F11, Keys!B:B, Keys!A:A, "找不到")</f>
        <v>AL</v>
      </c>
      <c r="F11" t="s">
        <v>45</v>
      </c>
      <c r="G11">
        <v>1.695851487855105</v>
      </c>
      <c r="H11" t="s">
        <v>46</v>
      </c>
      <c r="I11" t="s">
        <v>47</v>
      </c>
      <c r="J11" t="s">
        <v>3902</v>
      </c>
      <c r="K11">
        <v>0</v>
      </c>
      <c r="L11">
        <v>340.22451085588358</v>
      </c>
    </row>
    <row r="12" spans="1:12" hidden="1" x14ac:dyDescent="0.25">
      <c r="A12">
        <v>998</v>
      </c>
      <c r="B12" t="s">
        <v>2605</v>
      </c>
      <c r="C12" t="s">
        <v>2606</v>
      </c>
      <c r="D12" t="s">
        <v>3027</v>
      </c>
      <c r="E12" t="str">
        <f>_xlfn.XLOOKUP(F12, Keys!B:B, Keys!A:A, "找不到")</f>
        <v>AL</v>
      </c>
      <c r="F12" t="s">
        <v>45</v>
      </c>
      <c r="G12">
        <v>2.2167062970654219</v>
      </c>
      <c r="H12" t="s">
        <v>46</v>
      </c>
      <c r="I12" t="s">
        <v>47</v>
      </c>
      <c r="J12" t="s">
        <v>3097</v>
      </c>
      <c r="K12">
        <v>0</v>
      </c>
      <c r="L12">
        <v>382.52743661923648</v>
      </c>
    </row>
    <row r="13" spans="1:12" hidden="1" x14ac:dyDescent="0.25">
      <c r="A13">
        <v>1009</v>
      </c>
      <c r="B13" t="s">
        <v>2605</v>
      </c>
      <c r="C13" t="s">
        <v>2606</v>
      </c>
      <c r="D13" t="s">
        <v>3027</v>
      </c>
      <c r="E13" t="str">
        <f>_xlfn.XLOOKUP(F13, Keys!B:B, Keys!A:A, "找不到")</f>
        <v>AL</v>
      </c>
      <c r="F13" t="s">
        <v>45</v>
      </c>
      <c r="G13">
        <v>4.8598713945210239</v>
      </c>
      <c r="H13" t="s">
        <v>46</v>
      </c>
      <c r="I13" t="s">
        <v>47</v>
      </c>
      <c r="J13" t="s">
        <v>3364</v>
      </c>
      <c r="K13">
        <v>0</v>
      </c>
      <c r="L13">
        <v>600.74892465412768</v>
      </c>
    </row>
    <row r="14" spans="1:12" hidden="1" x14ac:dyDescent="0.25">
      <c r="A14">
        <v>1010</v>
      </c>
      <c r="B14" t="s">
        <v>2605</v>
      </c>
      <c r="C14" t="s">
        <v>2606</v>
      </c>
      <c r="D14" t="s">
        <v>3027</v>
      </c>
      <c r="E14" t="str">
        <f>_xlfn.XLOOKUP(F14, Keys!B:B, Keys!A:A, "找不到")</f>
        <v>AL</v>
      </c>
      <c r="F14" t="s">
        <v>45</v>
      </c>
      <c r="G14">
        <v>4.8351249433084016</v>
      </c>
      <c r="H14" t="s">
        <v>46</v>
      </c>
      <c r="I14" t="s">
        <v>47</v>
      </c>
      <c r="J14" t="s">
        <v>3364</v>
      </c>
      <c r="K14">
        <v>0</v>
      </c>
      <c r="L14">
        <v>605.70237261145598</v>
      </c>
    </row>
    <row r="15" spans="1:12" hidden="1" x14ac:dyDescent="0.25">
      <c r="A15">
        <v>1013</v>
      </c>
      <c r="B15" t="s">
        <v>2605</v>
      </c>
      <c r="C15" t="s">
        <v>2606</v>
      </c>
      <c r="D15" t="s">
        <v>3027</v>
      </c>
      <c r="E15" t="str">
        <f>_xlfn.XLOOKUP(F15, Keys!B:B, Keys!A:A, "找不到")</f>
        <v>AL</v>
      </c>
      <c r="F15" t="s">
        <v>45</v>
      </c>
      <c r="G15">
        <v>5.1265346085585151</v>
      </c>
      <c r="H15" t="s">
        <v>46</v>
      </c>
      <c r="I15" t="s">
        <v>47</v>
      </c>
      <c r="J15" t="s">
        <v>3364</v>
      </c>
      <c r="K15">
        <v>0</v>
      </c>
      <c r="L15">
        <v>1019.25708798302</v>
      </c>
    </row>
    <row r="16" spans="1:12" hidden="1" x14ac:dyDescent="0.25">
      <c r="A16">
        <v>1022</v>
      </c>
      <c r="B16" t="s">
        <v>2605</v>
      </c>
      <c r="C16" t="s">
        <v>2606</v>
      </c>
      <c r="D16" t="s">
        <v>2702</v>
      </c>
      <c r="E16" t="str">
        <f>_xlfn.XLOOKUP(F16, Keys!B:B, Keys!A:A, "找不到")</f>
        <v>AL</v>
      </c>
      <c r="F16" t="s">
        <v>45</v>
      </c>
      <c r="G16">
        <v>6.7985049015507659</v>
      </c>
      <c r="H16" t="s">
        <v>46</v>
      </c>
      <c r="I16" t="s">
        <v>47</v>
      </c>
      <c r="J16" t="s">
        <v>2883</v>
      </c>
      <c r="K16">
        <v>0</v>
      </c>
      <c r="L16">
        <v>837.46077883199268</v>
      </c>
    </row>
    <row r="17" spans="1:12" hidden="1" x14ac:dyDescent="0.25">
      <c r="A17">
        <v>1048</v>
      </c>
      <c r="B17" t="s">
        <v>2605</v>
      </c>
      <c r="C17" t="s">
        <v>2606</v>
      </c>
      <c r="D17" t="s">
        <v>3027</v>
      </c>
      <c r="E17" t="str">
        <f>_xlfn.XLOOKUP(F17, Keys!B:B, Keys!A:A, "找不到")</f>
        <v>AL</v>
      </c>
      <c r="F17" t="s">
        <v>45</v>
      </c>
      <c r="G17">
        <v>1.728785783867318</v>
      </c>
      <c r="H17" t="s">
        <v>46</v>
      </c>
      <c r="I17" t="s">
        <v>47</v>
      </c>
      <c r="J17" t="s">
        <v>3364</v>
      </c>
      <c r="K17">
        <v>0</v>
      </c>
      <c r="L17">
        <v>455.95937820243188</v>
      </c>
    </row>
    <row r="18" spans="1:12" hidden="1" x14ac:dyDescent="0.25">
      <c r="A18">
        <v>1070</v>
      </c>
      <c r="B18" t="s">
        <v>2605</v>
      </c>
      <c r="C18" t="s">
        <v>2606</v>
      </c>
      <c r="D18" t="s">
        <v>2702</v>
      </c>
      <c r="E18" t="str">
        <f>_xlfn.XLOOKUP(F18, Keys!B:B, Keys!A:A, "找不到")</f>
        <v>AL</v>
      </c>
      <c r="F18" t="s">
        <v>45</v>
      </c>
      <c r="G18">
        <v>1.3592577507009611</v>
      </c>
      <c r="H18" t="s">
        <v>46</v>
      </c>
      <c r="I18" t="s">
        <v>47</v>
      </c>
      <c r="J18">
        <v>0</v>
      </c>
      <c r="K18">
        <v>0</v>
      </c>
      <c r="L18">
        <v>391.52742181827188</v>
      </c>
    </row>
    <row r="19" spans="1:12" hidden="1" x14ac:dyDescent="0.25">
      <c r="A19">
        <v>10</v>
      </c>
      <c r="B19" t="s">
        <v>1026</v>
      </c>
      <c r="C19" t="s">
        <v>1027</v>
      </c>
      <c r="D19">
        <v>0</v>
      </c>
      <c r="E19" t="str">
        <f>_xlfn.XLOOKUP(F19, Keys!B:B, Keys!A:A, "找不到")</f>
        <v>AL</v>
      </c>
      <c r="F19" t="s">
        <v>45</v>
      </c>
      <c r="G19">
        <v>1.3532892304678821</v>
      </c>
      <c r="H19" t="s">
        <v>46</v>
      </c>
      <c r="I19" t="s">
        <v>47</v>
      </c>
      <c r="J19" t="s">
        <v>1028</v>
      </c>
      <c r="K19">
        <v>311.03408151923071</v>
      </c>
      <c r="L19">
        <v>5476.589120018275</v>
      </c>
    </row>
    <row r="20" spans="1:12" hidden="1" x14ac:dyDescent="0.25">
      <c r="A20">
        <v>274</v>
      </c>
      <c r="B20" t="s">
        <v>1026</v>
      </c>
      <c r="C20" t="s">
        <v>1027</v>
      </c>
      <c r="D20">
        <v>0</v>
      </c>
      <c r="E20" t="str">
        <f>_xlfn.XLOOKUP(F20, Keys!B:B, Keys!A:A, "找不到")</f>
        <v>AL</v>
      </c>
      <c r="F20" t="s">
        <v>45</v>
      </c>
      <c r="G20">
        <v>1.1252430051727951</v>
      </c>
      <c r="H20" t="s">
        <v>46</v>
      </c>
      <c r="I20" t="s">
        <v>47</v>
      </c>
      <c r="J20" t="s">
        <v>1028</v>
      </c>
      <c r="K20">
        <v>278.180379585835</v>
      </c>
      <c r="L20">
        <v>4553.715097086374</v>
      </c>
    </row>
    <row r="21" spans="1:12" hidden="1" x14ac:dyDescent="0.25">
      <c r="A21">
        <v>143</v>
      </c>
      <c r="B21" t="s">
        <v>152</v>
      </c>
      <c r="C21" t="s">
        <v>149</v>
      </c>
      <c r="D21">
        <v>0</v>
      </c>
      <c r="E21" t="str">
        <f>_xlfn.XLOOKUP(F21, Keys!B:B, Keys!A:A, "找不到")</f>
        <v>AL</v>
      </c>
      <c r="F21" t="s">
        <v>45</v>
      </c>
      <c r="G21">
        <v>30.673384327805969</v>
      </c>
      <c r="H21" t="s">
        <v>60</v>
      </c>
      <c r="I21" t="s">
        <v>66</v>
      </c>
      <c r="J21">
        <v>0</v>
      </c>
      <c r="K21">
        <v>1248.9514223320739</v>
      </c>
      <c r="L21">
        <v>124131.2788883441</v>
      </c>
    </row>
    <row r="22" spans="1:12" hidden="1" x14ac:dyDescent="0.25">
      <c r="A22">
        <v>148</v>
      </c>
      <c r="B22" t="s">
        <v>152</v>
      </c>
      <c r="C22" t="s">
        <v>149</v>
      </c>
      <c r="D22">
        <v>0</v>
      </c>
      <c r="E22" t="str">
        <f>_xlfn.XLOOKUP(F22, Keys!B:B, Keys!A:A, "找不到")</f>
        <v>AL</v>
      </c>
      <c r="F22" t="s">
        <v>45</v>
      </c>
      <c r="G22">
        <v>125.7233659679659</v>
      </c>
      <c r="H22" t="s">
        <v>60</v>
      </c>
      <c r="I22" t="s">
        <v>66</v>
      </c>
      <c r="J22">
        <v>0</v>
      </c>
      <c r="K22">
        <v>2528.5567120337701</v>
      </c>
      <c r="L22">
        <v>508786.44615695789</v>
      </c>
    </row>
    <row r="23" spans="1:12" x14ac:dyDescent="0.25">
      <c r="A23">
        <v>248</v>
      </c>
      <c r="B23" t="s">
        <v>42</v>
      </c>
      <c r="C23" t="s">
        <v>36</v>
      </c>
      <c r="D23" t="s">
        <v>43</v>
      </c>
      <c r="E23" t="str">
        <f>_xlfn.XLOOKUP(F23, Keys!B:B, Keys!A:A, "找不到")</f>
        <v>RD</v>
      </c>
      <c r="F23" t="s">
        <v>142</v>
      </c>
      <c r="G23">
        <v>0.37265839440589649</v>
      </c>
      <c r="H23">
        <v>0</v>
      </c>
      <c r="I23" t="s">
        <v>38</v>
      </c>
      <c r="J23">
        <v>0</v>
      </c>
      <c r="K23">
        <v>177.21535573307281</v>
      </c>
      <c r="L23">
        <v>1508.1010491609391</v>
      </c>
    </row>
    <row r="24" spans="1:12" x14ac:dyDescent="0.25">
      <c r="A24">
        <v>203</v>
      </c>
      <c r="B24" t="s">
        <v>42</v>
      </c>
      <c r="C24" t="s">
        <v>36</v>
      </c>
      <c r="D24" t="s">
        <v>126</v>
      </c>
      <c r="E24" t="str">
        <f>_xlfn.XLOOKUP(F24, Keys!B:B, Keys!A:A, "找不到")</f>
        <v>RW</v>
      </c>
      <c r="F24" t="s">
        <v>137</v>
      </c>
      <c r="G24">
        <v>0.96094632609354813</v>
      </c>
      <c r="H24">
        <v>0</v>
      </c>
      <c r="I24">
        <v>0</v>
      </c>
      <c r="J24" t="s">
        <v>138</v>
      </c>
      <c r="K24">
        <v>337.56254341067751</v>
      </c>
      <c r="L24">
        <v>3888.8273666272712</v>
      </c>
    </row>
    <row r="25" spans="1:12" x14ac:dyDescent="0.25">
      <c r="A25">
        <v>117</v>
      </c>
      <c r="B25" t="s">
        <v>42</v>
      </c>
      <c r="C25" t="s">
        <v>36</v>
      </c>
      <c r="D25" t="s">
        <v>43</v>
      </c>
      <c r="E25" t="str">
        <f>_xlfn.XLOOKUP(F25, Keys!B:B, Keys!A:A, "找不到")</f>
        <v>STW</v>
      </c>
      <c r="F25" t="s">
        <v>116</v>
      </c>
      <c r="G25">
        <v>0.59961224285715753</v>
      </c>
      <c r="H25">
        <v>0</v>
      </c>
      <c r="I25">
        <v>0</v>
      </c>
      <c r="J25" t="s">
        <v>117</v>
      </c>
      <c r="K25">
        <v>216.50054627092629</v>
      </c>
      <c r="L25">
        <v>2426.554362163899</v>
      </c>
    </row>
    <row r="26" spans="1:12" x14ac:dyDescent="0.25">
      <c r="A26">
        <v>1</v>
      </c>
      <c r="B26" t="s">
        <v>42</v>
      </c>
      <c r="C26" t="s">
        <v>36</v>
      </c>
      <c r="D26" t="s">
        <v>43</v>
      </c>
      <c r="E26" t="str">
        <f>_xlfn.XLOOKUP(F26, Keys!B:B, Keys!A:A, "找不到")</f>
        <v>AL</v>
      </c>
      <c r="F26" t="s">
        <v>45</v>
      </c>
      <c r="G26">
        <v>8.9024415056037984</v>
      </c>
      <c r="H26" t="s">
        <v>46</v>
      </c>
      <c r="I26" t="s">
        <v>47</v>
      </c>
      <c r="J26">
        <v>0</v>
      </c>
      <c r="K26">
        <v>785.18480685272937</v>
      </c>
      <c r="L26">
        <v>36027.046690035713</v>
      </c>
    </row>
    <row r="27" spans="1:12" x14ac:dyDescent="0.25">
      <c r="A27">
        <v>7</v>
      </c>
      <c r="B27" t="s">
        <v>42</v>
      </c>
      <c r="C27" t="s">
        <v>36</v>
      </c>
      <c r="D27" t="s">
        <v>43</v>
      </c>
      <c r="E27" t="str">
        <f>_xlfn.XLOOKUP(F27, Keys!B:B, Keys!A:A, "找不到")</f>
        <v>AL</v>
      </c>
      <c r="F27" t="s">
        <v>45</v>
      </c>
      <c r="G27">
        <v>48.433275930875674</v>
      </c>
      <c r="H27" t="s">
        <v>46</v>
      </c>
      <c r="I27" t="s">
        <v>47</v>
      </c>
      <c r="J27" t="s">
        <v>38</v>
      </c>
      <c r="K27">
        <v>1787.780211181454</v>
      </c>
      <c r="L27">
        <v>196003.29777114259</v>
      </c>
    </row>
    <row r="28" spans="1:12" x14ac:dyDescent="0.25">
      <c r="A28">
        <v>8</v>
      </c>
      <c r="B28" t="s">
        <v>42</v>
      </c>
      <c r="C28" t="s">
        <v>36</v>
      </c>
      <c r="D28" t="s">
        <v>43</v>
      </c>
      <c r="E28" t="str">
        <f>_xlfn.XLOOKUP(F28, Keys!B:B, Keys!A:A, "找不到")</f>
        <v>AL</v>
      </c>
      <c r="F28" t="s">
        <v>45</v>
      </c>
      <c r="G28">
        <v>32.227444855471859</v>
      </c>
      <c r="H28" t="s">
        <v>46</v>
      </c>
      <c r="I28" t="s">
        <v>47</v>
      </c>
      <c r="J28">
        <v>0</v>
      </c>
      <c r="K28">
        <v>1479.6009788097069</v>
      </c>
      <c r="L28">
        <v>130420.3638718419</v>
      </c>
    </row>
    <row r="29" spans="1:12" x14ac:dyDescent="0.25">
      <c r="A29">
        <v>13</v>
      </c>
      <c r="B29" t="s">
        <v>42</v>
      </c>
      <c r="C29" t="s">
        <v>36</v>
      </c>
      <c r="D29" t="s">
        <v>43</v>
      </c>
      <c r="E29" t="str">
        <f>_xlfn.XLOOKUP(F29, Keys!B:B, Keys!A:A, "找不到")</f>
        <v>AL</v>
      </c>
      <c r="F29" t="s">
        <v>45</v>
      </c>
      <c r="G29">
        <v>8.6086988025098794</v>
      </c>
      <c r="H29" t="s">
        <v>46</v>
      </c>
      <c r="I29" t="s">
        <v>47</v>
      </c>
      <c r="J29">
        <v>0</v>
      </c>
      <c r="K29">
        <v>986.45269319561328</v>
      </c>
      <c r="L29">
        <v>34838.307390534501</v>
      </c>
    </row>
    <row r="30" spans="1:12" x14ac:dyDescent="0.25">
      <c r="A30">
        <v>45</v>
      </c>
      <c r="B30" t="s">
        <v>42</v>
      </c>
      <c r="C30" t="s">
        <v>36</v>
      </c>
      <c r="D30" t="s">
        <v>43</v>
      </c>
      <c r="E30" t="str">
        <f>_xlfn.XLOOKUP(F30, Keys!B:B, Keys!A:A, "找不到")</f>
        <v>AL</v>
      </c>
      <c r="F30" t="s">
        <v>45</v>
      </c>
      <c r="G30">
        <v>18.74249787182162</v>
      </c>
      <c r="H30" t="s">
        <v>46</v>
      </c>
      <c r="I30" t="s">
        <v>47</v>
      </c>
      <c r="J30">
        <v>0</v>
      </c>
      <c r="K30">
        <v>1234.131495312427</v>
      </c>
      <c r="L30">
        <v>75848.501278101365</v>
      </c>
    </row>
    <row r="31" spans="1:12" x14ac:dyDescent="0.25">
      <c r="A31">
        <v>136</v>
      </c>
      <c r="B31" t="s">
        <v>42</v>
      </c>
      <c r="C31" t="s">
        <v>36</v>
      </c>
      <c r="D31" t="s">
        <v>43</v>
      </c>
      <c r="E31" t="str">
        <f>_xlfn.XLOOKUP(F31, Keys!B:B, Keys!A:A, "找不到")</f>
        <v>AL</v>
      </c>
      <c r="F31" t="s">
        <v>45</v>
      </c>
      <c r="G31">
        <v>22.93839131424027</v>
      </c>
      <c r="H31" t="s">
        <v>46</v>
      </c>
      <c r="I31" t="s">
        <v>47</v>
      </c>
      <c r="J31">
        <v>0</v>
      </c>
      <c r="K31">
        <v>1275.692272177557</v>
      </c>
      <c r="L31">
        <v>92828.747524176375</v>
      </c>
    </row>
    <row r="32" spans="1:12" x14ac:dyDescent="0.25">
      <c r="A32">
        <v>229</v>
      </c>
      <c r="B32" t="s">
        <v>42</v>
      </c>
      <c r="C32" t="s">
        <v>36</v>
      </c>
      <c r="D32" t="s">
        <v>43</v>
      </c>
      <c r="E32" t="str">
        <f>_xlfn.XLOOKUP(F32, Keys!B:B, Keys!A:A, "找不到")</f>
        <v>AL</v>
      </c>
      <c r="F32" t="s">
        <v>45</v>
      </c>
      <c r="G32">
        <v>26.35119118254546</v>
      </c>
      <c r="H32" t="s">
        <v>46</v>
      </c>
      <c r="I32" t="s">
        <v>47</v>
      </c>
      <c r="J32">
        <v>0</v>
      </c>
      <c r="K32">
        <v>1667.210673197447</v>
      </c>
      <c r="L32">
        <v>106639.91383420309</v>
      </c>
    </row>
    <row r="33" spans="1:12" x14ac:dyDescent="0.25">
      <c r="A33">
        <v>230</v>
      </c>
      <c r="B33" t="s">
        <v>42</v>
      </c>
      <c r="C33" t="s">
        <v>36</v>
      </c>
      <c r="D33">
        <v>0</v>
      </c>
      <c r="E33" t="str">
        <f>_xlfn.XLOOKUP(F33, Keys!B:B, Keys!A:A, "找不到")</f>
        <v>AL</v>
      </c>
      <c r="F33" t="s">
        <v>45</v>
      </c>
      <c r="G33">
        <v>10.73951466504194</v>
      </c>
      <c r="H33" t="s">
        <v>46</v>
      </c>
      <c r="I33" t="s">
        <v>47</v>
      </c>
      <c r="J33">
        <v>0</v>
      </c>
      <c r="K33">
        <v>830.21403672300789</v>
      </c>
      <c r="L33">
        <v>43461.447741301068</v>
      </c>
    </row>
    <row r="34" spans="1:12" x14ac:dyDescent="0.25">
      <c r="A34">
        <v>231</v>
      </c>
      <c r="B34" t="s">
        <v>42</v>
      </c>
      <c r="C34" t="s">
        <v>36</v>
      </c>
      <c r="D34" t="s">
        <v>43</v>
      </c>
      <c r="E34" t="str">
        <f>_xlfn.XLOOKUP(F34, Keys!B:B, Keys!A:A, "找不到")</f>
        <v>AL</v>
      </c>
      <c r="F34" t="s">
        <v>45</v>
      </c>
      <c r="G34">
        <v>10.223619301414139</v>
      </c>
      <c r="H34" t="s">
        <v>46</v>
      </c>
      <c r="I34" t="s">
        <v>47</v>
      </c>
      <c r="J34">
        <v>0</v>
      </c>
      <c r="K34">
        <v>816.823935775574</v>
      </c>
      <c r="L34">
        <v>41373.684924674621</v>
      </c>
    </row>
    <row r="35" spans="1:12" x14ac:dyDescent="0.25">
      <c r="A35">
        <v>232</v>
      </c>
      <c r="B35" t="s">
        <v>42</v>
      </c>
      <c r="C35" t="s">
        <v>36</v>
      </c>
      <c r="D35" t="s">
        <v>43</v>
      </c>
      <c r="E35" t="str">
        <f>_xlfn.XLOOKUP(F35, Keys!B:B, Keys!A:A, "找不到")</f>
        <v>AL</v>
      </c>
      <c r="F35" t="s">
        <v>45</v>
      </c>
      <c r="G35">
        <v>18.443240637932359</v>
      </c>
      <c r="H35" t="s">
        <v>46</v>
      </c>
      <c r="I35" t="s">
        <v>47</v>
      </c>
      <c r="J35">
        <v>0</v>
      </c>
      <c r="K35">
        <v>1250.0051473584649</v>
      </c>
      <c r="L35">
        <v>74637.445374968185</v>
      </c>
    </row>
    <row r="36" spans="1:12" x14ac:dyDescent="0.25">
      <c r="A36">
        <v>257</v>
      </c>
      <c r="B36" t="s">
        <v>42</v>
      </c>
      <c r="C36" t="s">
        <v>36</v>
      </c>
      <c r="D36" t="s">
        <v>43</v>
      </c>
      <c r="E36" t="str">
        <f>_xlfn.XLOOKUP(F36, Keys!B:B, Keys!A:A, "找不到")</f>
        <v>AL</v>
      </c>
      <c r="F36" t="s">
        <v>45</v>
      </c>
      <c r="G36">
        <v>13.825141109876579</v>
      </c>
      <c r="H36" t="s">
        <v>46</v>
      </c>
      <c r="I36" t="s">
        <v>47</v>
      </c>
      <c r="J36">
        <v>0</v>
      </c>
      <c r="K36">
        <v>1024.7713693880121</v>
      </c>
      <c r="L36">
        <v>55948.584885206052</v>
      </c>
    </row>
    <row r="37" spans="1:12" x14ac:dyDescent="0.25">
      <c r="A37">
        <v>258</v>
      </c>
      <c r="B37" t="s">
        <v>42</v>
      </c>
      <c r="C37" t="s">
        <v>36</v>
      </c>
      <c r="D37" t="s">
        <v>43</v>
      </c>
      <c r="E37" t="str">
        <f>_xlfn.XLOOKUP(F37, Keys!B:B, Keys!A:A, "找不到")</f>
        <v>AL</v>
      </c>
      <c r="F37" t="s">
        <v>45</v>
      </c>
      <c r="G37">
        <v>4.3914431596271797</v>
      </c>
      <c r="H37" t="s">
        <v>46</v>
      </c>
      <c r="I37" t="s">
        <v>47</v>
      </c>
      <c r="J37">
        <v>0</v>
      </c>
      <c r="K37">
        <v>578.0828799134016</v>
      </c>
      <c r="L37">
        <v>17771.611040514879</v>
      </c>
    </row>
    <row r="38" spans="1:12" x14ac:dyDescent="0.25">
      <c r="A38">
        <v>259</v>
      </c>
      <c r="B38" t="s">
        <v>42</v>
      </c>
      <c r="C38" t="s">
        <v>36</v>
      </c>
      <c r="D38" t="s">
        <v>43</v>
      </c>
      <c r="E38" t="str">
        <f>_xlfn.XLOOKUP(F38, Keys!B:B, Keys!A:A, "找不到")</f>
        <v>AL</v>
      </c>
      <c r="F38" t="s">
        <v>45</v>
      </c>
      <c r="G38">
        <v>9.6778166549350733</v>
      </c>
      <c r="H38" t="s">
        <v>46</v>
      </c>
      <c r="I38" t="s">
        <v>47</v>
      </c>
      <c r="J38">
        <v>0</v>
      </c>
      <c r="K38">
        <v>833.73675370603303</v>
      </c>
      <c r="L38">
        <v>39164.891144241599</v>
      </c>
    </row>
    <row r="39" spans="1:12" x14ac:dyDescent="0.25">
      <c r="A39">
        <v>260</v>
      </c>
      <c r="B39" t="s">
        <v>42</v>
      </c>
      <c r="C39" t="s">
        <v>36</v>
      </c>
      <c r="D39" t="s">
        <v>43</v>
      </c>
      <c r="E39" t="str">
        <f>_xlfn.XLOOKUP(F39, Keys!B:B, Keys!A:A, "找不到")</f>
        <v>AL</v>
      </c>
      <c r="F39" t="s">
        <v>45</v>
      </c>
      <c r="G39">
        <v>6.4914896895261984</v>
      </c>
      <c r="H39" t="s">
        <v>46</v>
      </c>
      <c r="I39" t="s">
        <v>47</v>
      </c>
      <c r="J39">
        <v>0</v>
      </c>
      <c r="K39">
        <v>799.38939421752866</v>
      </c>
      <c r="L39">
        <v>26270.23182182468</v>
      </c>
    </row>
    <row r="40" spans="1:12" x14ac:dyDescent="0.25">
      <c r="A40">
        <v>276</v>
      </c>
      <c r="B40" t="s">
        <v>42</v>
      </c>
      <c r="C40" t="s">
        <v>36</v>
      </c>
      <c r="D40" t="s">
        <v>43</v>
      </c>
      <c r="E40" t="str">
        <f>_xlfn.XLOOKUP(F40, Keys!B:B, Keys!A:A, "找不到")</f>
        <v>AL</v>
      </c>
      <c r="F40" t="s">
        <v>45</v>
      </c>
      <c r="G40">
        <v>2.6116508422717271</v>
      </c>
      <c r="H40" t="s">
        <v>46</v>
      </c>
      <c r="I40" t="s">
        <v>47</v>
      </c>
      <c r="J40">
        <v>0</v>
      </c>
      <c r="K40">
        <v>771.39418430655337</v>
      </c>
      <c r="L40">
        <v>10569.01826014447</v>
      </c>
    </row>
    <row r="41" spans="1:12" x14ac:dyDescent="0.25">
      <c r="A41">
        <v>283</v>
      </c>
      <c r="B41" t="s">
        <v>42</v>
      </c>
      <c r="C41" t="s">
        <v>36</v>
      </c>
      <c r="D41" t="s">
        <v>43</v>
      </c>
      <c r="E41" t="str">
        <f>_xlfn.XLOOKUP(F41, Keys!B:B, Keys!A:A, "找不到")</f>
        <v>AL</v>
      </c>
      <c r="F41" t="s">
        <v>45</v>
      </c>
      <c r="G41">
        <v>5.3034644312059918</v>
      </c>
      <c r="H41" t="s">
        <v>46</v>
      </c>
      <c r="I41" t="s">
        <v>47</v>
      </c>
      <c r="J41">
        <v>0</v>
      </c>
      <c r="K41">
        <v>740.93294398065507</v>
      </c>
      <c r="L41">
        <v>21462.444944089861</v>
      </c>
    </row>
    <row r="42" spans="1:12" x14ac:dyDescent="0.25">
      <c r="A42">
        <v>291</v>
      </c>
      <c r="B42" t="s">
        <v>42</v>
      </c>
      <c r="C42" t="s">
        <v>36</v>
      </c>
      <c r="D42" t="s">
        <v>43</v>
      </c>
      <c r="E42" t="str">
        <f>_xlfn.XLOOKUP(F42, Keys!B:B, Keys!A:A, "找不到")</f>
        <v>AL</v>
      </c>
      <c r="F42" t="s">
        <v>45</v>
      </c>
      <c r="G42">
        <v>11.34298256452532</v>
      </c>
      <c r="H42" t="s">
        <v>46</v>
      </c>
      <c r="I42" t="s">
        <v>47</v>
      </c>
      <c r="J42">
        <v>0</v>
      </c>
      <c r="K42">
        <v>1413.561956431347</v>
      </c>
      <c r="L42">
        <v>45903.605454658711</v>
      </c>
    </row>
    <row r="43" spans="1:12" x14ac:dyDescent="0.25">
      <c r="A43">
        <v>304</v>
      </c>
      <c r="B43" t="s">
        <v>42</v>
      </c>
      <c r="C43" t="s">
        <v>36</v>
      </c>
      <c r="D43" t="s">
        <v>43</v>
      </c>
      <c r="E43" t="str">
        <f>_xlfn.XLOOKUP(F43, Keys!B:B, Keys!A:A, "找不到")</f>
        <v>AL</v>
      </c>
      <c r="F43" t="s">
        <v>45</v>
      </c>
      <c r="G43">
        <v>9.2249779156421768E-2</v>
      </c>
      <c r="H43" t="s">
        <v>46</v>
      </c>
      <c r="I43" t="s">
        <v>47</v>
      </c>
      <c r="J43">
        <v>0</v>
      </c>
      <c r="K43">
        <v>157.79966138743339</v>
      </c>
      <c r="L43">
        <v>373.32310453507188</v>
      </c>
    </row>
    <row r="44" spans="1:12" hidden="1" x14ac:dyDescent="0.25">
      <c r="A44">
        <v>801</v>
      </c>
      <c r="B44" t="s">
        <v>2605</v>
      </c>
      <c r="C44" t="s">
        <v>2606</v>
      </c>
      <c r="D44">
        <v>0</v>
      </c>
      <c r="E44" t="str">
        <f>_xlfn.XLOOKUP(F44, Keys!B:B, Keys!A:A, "找不到")</f>
        <v>CT</v>
      </c>
      <c r="F44" t="s">
        <v>135</v>
      </c>
      <c r="G44">
        <v>1.0037517586374161</v>
      </c>
      <c r="H44" t="s">
        <v>73</v>
      </c>
      <c r="I44" t="s">
        <v>74</v>
      </c>
      <c r="J44" t="s">
        <v>2691</v>
      </c>
      <c r="K44">
        <v>0</v>
      </c>
      <c r="L44">
        <v>460.03054813125777</v>
      </c>
    </row>
    <row r="45" spans="1:12" hidden="1" x14ac:dyDescent="0.25">
      <c r="A45">
        <v>378</v>
      </c>
      <c r="B45" t="s">
        <v>2042</v>
      </c>
      <c r="C45" t="s">
        <v>972</v>
      </c>
      <c r="D45">
        <v>0</v>
      </c>
      <c r="E45" t="str">
        <f>_xlfn.XLOOKUP(F45, Keys!B:B, Keys!A:A, "找不到")</f>
        <v>CT</v>
      </c>
      <c r="F45" t="s">
        <v>135</v>
      </c>
      <c r="G45">
        <v>6.5794345801238385E-2</v>
      </c>
      <c r="H45" t="s">
        <v>73</v>
      </c>
      <c r="I45" t="s">
        <v>74</v>
      </c>
      <c r="J45">
        <v>0</v>
      </c>
      <c r="K45">
        <v>107.1061575915751</v>
      </c>
      <c r="L45">
        <v>266.26133590762657</v>
      </c>
    </row>
    <row r="46" spans="1:12" x14ac:dyDescent="0.25">
      <c r="A46">
        <v>305</v>
      </c>
      <c r="B46" t="s">
        <v>42</v>
      </c>
      <c r="C46" t="s">
        <v>36</v>
      </c>
      <c r="D46" t="s">
        <v>43</v>
      </c>
      <c r="E46" t="str">
        <f>_xlfn.XLOOKUP(F46, Keys!B:B, Keys!A:A, "找不到")</f>
        <v>AL</v>
      </c>
      <c r="F46" t="s">
        <v>45</v>
      </c>
      <c r="G46">
        <v>1.730578116068721</v>
      </c>
      <c r="H46" t="s">
        <v>46</v>
      </c>
      <c r="I46" t="s">
        <v>47</v>
      </c>
      <c r="J46">
        <v>0</v>
      </c>
      <c r="K46">
        <v>416.03806832978768</v>
      </c>
      <c r="L46">
        <v>7003.4291771662893</v>
      </c>
    </row>
    <row r="47" spans="1:12" x14ac:dyDescent="0.25">
      <c r="A47">
        <v>306</v>
      </c>
      <c r="B47" t="s">
        <v>42</v>
      </c>
      <c r="C47" t="s">
        <v>36</v>
      </c>
      <c r="D47" t="s">
        <v>43</v>
      </c>
      <c r="E47" t="str">
        <f>_xlfn.XLOOKUP(F47, Keys!B:B, Keys!A:A, "找不到")</f>
        <v>AL</v>
      </c>
      <c r="F47" t="s">
        <v>45</v>
      </c>
      <c r="G47">
        <v>8.1086288050388582</v>
      </c>
      <c r="H47" t="s">
        <v>46</v>
      </c>
      <c r="I47" t="s">
        <v>47</v>
      </c>
      <c r="J47">
        <v>0</v>
      </c>
      <c r="K47">
        <v>1045.6801753706111</v>
      </c>
      <c r="L47">
        <v>32814.587814749138</v>
      </c>
    </row>
    <row r="48" spans="1:12" x14ac:dyDescent="0.25">
      <c r="A48">
        <v>178</v>
      </c>
      <c r="B48" t="s">
        <v>42</v>
      </c>
      <c r="C48" t="s">
        <v>36</v>
      </c>
      <c r="D48">
        <v>0</v>
      </c>
      <c r="E48" t="str">
        <f>_xlfn.XLOOKUP(F48, Keys!B:B, Keys!A:A, "找不到")</f>
        <v>CT</v>
      </c>
      <c r="F48" t="s">
        <v>135</v>
      </c>
      <c r="G48">
        <v>0.34033576098402091</v>
      </c>
      <c r="H48" t="s">
        <v>46</v>
      </c>
      <c r="I48" t="s">
        <v>47</v>
      </c>
      <c r="J48" t="s">
        <v>57</v>
      </c>
      <c r="K48">
        <v>158.4101653906678</v>
      </c>
      <c r="L48">
        <v>1377.2954692869439</v>
      </c>
    </row>
    <row r="49" spans="1:12" hidden="1" x14ac:dyDescent="0.25">
      <c r="A49">
        <v>1046</v>
      </c>
      <c r="B49" t="s">
        <v>2605</v>
      </c>
      <c r="C49" t="s">
        <v>2606</v>
      </c>
      <c r="D49">
        <v>0</v>
      </c>
      <c r="E49" t="str">
        <f>_xlfn.XLOOKUP(F49, Keys!B:B, Keys!A:A, "找不到")</f>
        <v>CS</v>
      </c>
      <c r="F49" t="s">
        <v>53</v>
      </c>
      <c r="G49">
        <v>3.989465095263935</v>
      </c>
      <c r="H49" t="s">
        <v>46</v>
      </c>
      <c r="I49" t="s">
        <v>47</v>
      </c>
      <c r="J49" t="s">
        <v>3816</v>
      </c>
      <c r="K49">
        <v>0</v>
      </c>
      <c r="L49">
        <v>655.23330412745509</v>
      </c>
    </row>
    <row r="50" spans="1:12" x14ac:dyDescent="0.25">
      <c r="A50">
        <v>218</v>
      </c>
      <c r="B50" t="s">
        <v>42</v>
      </c>
      <c r="C50" t="s">
        <v>36</v>
      </c>
      <c r="D50" t="s">
        <v>43</v>
      </c>
      <c r="E50" t="str">
        <f>_xlfn.XLOOKUP(F50, Keys!B:B, Keys!A:A, "找不到")</f>
        <v>CT</v>
      </c>
      <c r="F50" t="s">
        <v>135</v>
      </c>
      <c r="G50">
        <v>0.33359305322081639</v>
      </c>
      <c r="H50" t="s">
        <v>46</v>
      </c>
      <c r="I50" t="s">
        <v>47</v>
      </c>
      <c r="J50">
        <v>0</v>
      </c>
      <c r="K50">
        <v>215.03014108457779</v>
      </c>
      <c r="L50">
        <v>1350.0085899236451</v>
      </c>
    </row>
    <row r="51" spans="1:12" x14ac:dyDescent="0.25">
      <c r="A51">
        <v>220</v>
      </c>
      <c r="B51" t="s">
        <v>42</v>
      </c>
      <c r="C51" t="s">
        <v>36</v>
      </c>
      <c r="D51" t="s">
        <v>43</v>
      </c>
      <c r="E51" t="str">
        <f>_xlfn.XLOOKUP(F51, Keys!B:B, Keys!A:A, "找不到")</f>
        <v>CT</v>
      </c>
      <c r="F51" t="s">
        <v>135</v>
      </c>
      <c r="G51">
        <v>2.2191495763561728</v>
      </c>
      <c r="H51" t="s">
        <v>46</v>
      </c>
      <c r="I51" t="s">
        <v>47</v>
      </c>
      <c r="J51">
        <v>0</v>
      </c>
      <c r="K51">
        <v>611.09150689986927</v>
      </c>
      <c r="L51">
        <v>8980.6156377698462</v>
      </c>
    </row>
    <row r="52" spans="1:12" x14ac:dyDescent="0.25">
      <c r="A52">
        <v>2</v>
      </c>
      <c r="B52" t="s">
        <v>42</v>
      </c>
      <c r="C52" t="s">
        <v>36</v>
      </c>
      <c r="D52" t="s">
        <v>43</v>
      </c>
      <c r="E52" t="str">
        <f>_xlfn.XLOOKUP(F52, Keys!B:B, Keys!A:A, "找不到")</f>
        <v>CS</v>
      </c>
      <c r="F52" t="s">
        <v>53</v>
      </c>
      <c r="G52">
        <v>32.615800635641918</v>
      </c>
      <c r="H52" t="s">
        <v>46</v>
      </c>
      <c r="I52" t="s">
        <v>47</v>
      </c>
      <c r="J52">
        <v>0</v>
      </c>
      <c r="K52">
        <v>1488.6522418550369</v>
      </c>
      <c r="L52">
        <v>131991.99024149851</v>
      </c>
    </row>
    <row r="53" spans="1:12" x14ac:dyDescent="0.25">
      <c r="A53">
        <v>16</v>
      </c>
      <c r="B53" t="s">
        <v>42</v>
      </c>
      <c r="C53" t="s">
        <v>36</v>
      </c>
      <c r="D53" t="s">
        <v>43</v>
      </c>
      <c r="E53" t="str">
        <f>_xlfn.XLOOKUP(F53, Keys!B:B, Keys!A:A, "找不到")</f>
        <v>CS</v>
      </c>
      <c r="F53" t="s">
        <v>53</v>
      </c>
      <c r="G53">
        <v>36.439709898692243</v>
      </c>
      <c r="H53" t="s">
        <v>46</v>
      </c>
      <c r="I53" t="s">
        <v>47</v>
      </c>
      <c r="J53">
        <v>0</v>
      </c>
      <c r="K53">
        <v>1618.0892903128879</v>
      </c>
      <c r="L53">
        <v>147466.86390078129</v>
      </c>
    </row>
    <row r="54" spans="1:12" x14ac:dyDescent="0.25">
      <c r="A54">
        <v>36</v>
      </c>
      <c r="B54" t="s">
        <v>42</v>
      </c>
      <c r="C54" t="s">
        <v>36</v>
      </c>
      <c r="D54" t="s">
        <v>43</v>
      </c>
      <c r="E54" t="str">
        <f>_xlfn.XLOOKUP(F54, Keys!B:B, Keys!A:A, "找不到")</f>
        <v>CS</v>
      </c>
      <c r="F54" t="s">
        <v>53</v>
      </c>
      <c r="G54">
        <v>16.817689691525342</v>
      </c>
      <c r="H54" t="s">
        <v>46</v>
      </c>
      <c r="I54" t="s">
        <v>47</v>
      </c>
      <c r="J54">
        <v>0</v>
      </c>
      <c r="K54">
        <v>1113.5764507654001</v>
      </c>
      <c r="L54">
        <v>68059.047773998464</v>
      </c>
    </row>
    <row r="55" spans="1:12" x14ac:dyDescent="0.25">
      <c r="A55">
        <v>42</v>
      </c>
      <c r="B55" t="s">
        <v>42</v>
      </c>
      <c r="C55" t="s">
        <v>36</v>
      </c>
      <c r="D55" t="s">
        <v>43</v>
      </c>
      <c r="E55" t="str">
        <f>_xlfn.XLOOKUP(F55, Keys!B:B, Keys!A:A, "找不到")</f>
        <v>CS</v>
      </c>
      <c r="F55" t="s">
        <v>53</v>
      </c>
      <c r="G55">
        <v>37.78643649590046</v>
      </c>
      <c r="H55" t="s">
        <v>46</v>
      </c>
      <c r="I55" t="s">
        <v>47</v>
      </c>
      <c r="J55">
        <v>0</v>
      </c>
      <c r="K55">
        <v>1544.08531511194</v>
      </c>
      <c r="L55">
        <v>152916.89488001241</v>
      </c>
    </row>
    <row r="56" spans="1:12" x14ac:dyDescent="0.25">
      <c r="A56">
        <v>43</v>
      </c>
      <c r="B56" t="s">
        <v>42</v>
      </c>
      <c r="C56" t="s">
        <v>36</v>
      </c>
      <c r="D56" t="s">
        <v>43</v>
      </c>
      <c r="E56" t="str">
        <f>_xlfn.XLOOKUP(F56, Keys!B:B, Keys!A:A, "找不到")</f>
        <v>CS</v>
      </c>
      <c r="F56" t="s">
        <v>53</v>
      </c>
      <c r="G56">
        <v>36.404137036380547</v>
      </c>
      <c r="H56" t="s">
        <v>46</v>
      </c>
      <c r="I56" t="s">
        <v>47</v>
      </c>
      <c r="J56">
        <v>0</v>
      </c>
      <c r="K56">
        <v>1506.175217756921</v>
      </c>
      <c r="L56">
        <v>147322.90505863729</v>
      </c>
    </row>
    <row r="57" spans="1:12" x14ac:dyDescent="0.25">
      <c r="A57">
        <v>52</v>
      </c>
      <c r="B57" t="s">
        <v>42</v>
      </c>
      <c r="C57" t="s">
        <v>36</v>
      </c>
      <c r="D57" t="s">
        <v>43</v>
      </c>
      <c r="E57" t="str">
        <f>_xlfn.XLOOKUP(F57, Keys!B:B, Keys!A:A, "找不到")</f>
        <v>CS</v>
      </c>
      <c r="F57" t="s">
        <v>53</v>
      </c>
      <c r="G57">
        <v>9.4668610105355349</v>
      </c>
      <c r="H57" t="s">
        <v>46</v>
      </c>
      <c r="I57" t="s">
        <v>47</v>
      </c>
      <c r="J57">
        <v>0</v>
      </c>
      <c r="K57">
        <v>856.91571832815657</v>
      </c>
      <c r="L57">
        <v>38311.180525022733</v>
      </c>
    </row>
    <row r="58" spans="1:12" x14ac:dyDescent="0.25">
      <c r="A58">
        <v>53</v>
      </c>
      <c r="B58" t="s">
        <v>42</v>
      </c>
      <c r="C58" t="s">
        <v>36</v>
      </c>
      <c r="D58" t="s">
        <v>43</v>
      </c>
      <c r="E58" t="str">
        <f>_xlfn.XLOOKUP(F58, Keys!B:B, Keys!A:A, "找不到")</f>
        <v>CS</v>
      </c>
      <c r="F58" t="s">
        <v>53</v>
      </c>
      <c r="G58">
        <v>18.025186515132859</v>
      </c>
      <c r="H58" t="s">
        <v>46</v>
      </c>
      <c r="I58" t="s">
        <v>47</v>
      </c>
      <c r="J58">
        <v>0</v>
      </c>
      <c r="K58">
        <v>1144.2856533405429</v>
      </c>
      <c r="L58">
        <v>72945.633595965861</v>
      </c>
    </row>
    <row r="59" spans="1:12" x14ac:dyDescent="0.25">
      <c r="A59">
        <v>225</v>
      </c>
      <c r="B59" t="s">
        <v>42</v>
      </c>
      <c r="C59" t="s">
        <v>36</v>
      </c>
      <c r="D59" t="s">
        <v>43</v>
      </c>
      <c r="E59" t="str">
        <f>_xlfn.XLOOKUP(F59, Keys!B:B, Keys!A:A, "找不到")</f>
        <v>CS</v>
      </c>
      <c r="F59" t="s">
        <v>53</v>
      </c>
      <c r="G59">
        <v>8.0509925771009687</v>
      </c>
      <c r="H59" t="s">
        <v>46</v>
      </c>
      <c r="I59" t="s">
        <v>47</v>
      </c>
      <c r="J59">
        <v>0</v>
      </c>
      <c r="K59">
        <v>846.47492769076098</v>
      </c>
      <c r="L59">
        <v>32581.341342570831</v>
      </c>
    </row>
    <row r="60" spans="1:12" x14ac:dyDescent="0.25">
      <c r="A60">
        <v>234</v>
      </c>
      <c r="B60" t="s">
        <v>42</v>
      </c>
      <c r="C60" t="s">
        <v>36</v>
      </c>
      <c r="D60" t="s">
        <v>43</v>
      </c>
      <c r="E60" t="str">
        <f>_xlfn.XLOOKUP(F60, Keys!B:B, Keys!A:A, "找不到")</f>
        <v>CS</v>
      </c>
      <c r="F60" t="s">
        <v>53</v>
      </c>
      <c r="G60">
        <v>14.918414386800849</v>
      </c>
      <c r="H60" t="s">
        <v>46</v>
      </c>
      <c r="I60" t="s">
        <v>47</v>
      </c>
      <c r="J60">
        <v>0</v>
      </c>
      <c r="K60">
        <v>973.66974756935861</v>
      </c>
      <c r="L60">
        <v>60372.92256469834</v>
      </c>
    </row>
    <row r="61" spans="1:12" x14ac:dyDescent="0.25">
      <c r="A61">
        <v>235</v>
      </c>
      <c r="B61" t="s">
        <v>42</v>
      </c>
      <c r="C61" t="s">
        <v>36</v>
      </c>
      <c r="D61" t="s">
        <v>43</v>
      </c>
      <c r="E61" t="str">
        <f>_xlfn.XLOOKUP(F61, Keys!B:B, Keys!A:A, "找不到")</f>
        <v>CS</v>
      </c>
      <c r="F61" t="s">
        <v>53</v>
      </c>
      <c r="G61">
        <v>7.7545822989534381</v>
      </c>
      <c r="H61" t="s">
        <v>46</v>
      </c>
      <c r="I61" t="s">
        <v>47</v>
      </c>
      <c r="J61">
        <v>0</v>
      </c>
      <c r="K61">
        <v>758.61488417823125</v>
      </c>
      <c r="L61">
        <v>31381.806706650379</v>
      </c>
    </row>
    <row r="62" spans="1:12" x14ac:dyDescent="0.25">
      <c r="A62">
        <v>236</v>
      </c>
      <c r="B62" t="s">
        <v>42</v>
      </c>
      <c r="C62" t="s">
        <v>36</v>
      </c>
      <c r="D62" t="s">
        <v>43</v>
      </c>
      <c r="E62" t="str">
        <f>_xlfn.XLOOKUP(F62, Keys!B:B, Keys!A:A, "找不到")</f>
        <v>CS</v>
      </c>
      <c r="F62" t="s">
        <v>53</v>
      </c>
      <c r="G62">
        <v>3.3113953364693991</v>
      </c>
      <c r="H62" t="s">
        <v>46</v>
      </c>
      <c r="I62" t="s">
        <v>47</v>
      </c>
      <c r="J62">
        <v>0</v>
      </c>
      <c r="K62">
        <v>480.65524425887509</v>
      </c>
      <c r="L62">
        <v>13400.795087623341</v>
      </c>
    </row>
    <row r="63" spans="1:12" x14ac:dyDescent="0.25">
      <c r="A63">
        <v>241</v>
      </c>
      <c r="B63" t="s">
        <v>42</v>
      </c>
      <c r="C63" t="s">
        <v>36</v>
      </c>
      <c r="D63" t="s">
        <v>43</v>
      </c>
      <c r="E63" t="str">
        <f>_xlfn.XLOOKUP(F63, Keys!B:B, Keys!A:A, "找不到")</f>
        <v>CS</v>
      </c>
      <c r="F63" t="s">
        <v>53</v>
      </c>
      <c r="G63">
        <v>15.224449717500001</v>
      </c>
      <c r="H63" t="s">
        <v>46</v>
      </c>
      <c r="I63" t="s">
        <v>47</v>
      </c>
      <c r="J63">
        <v>0</v>
      </c>
      <c r="K63">
        <v>1076.4805368521349</v>
      </c>
      <c r="L63">
        <v>61611.408562158533</v>
      </c>
    </row>
    <row r="64" spans="1:12" x14ac:dyDescent="0.25">
      <c r="A64">
        <v>242</v>
      </c>
      <c r="B64" t="s">
        <v>42</v>
      </c>
      <c r="C64" t="s">
        <v>36</v>
      </c>
      <c r="D64" t="s">
        <v>43</v>
      </c>
      <c r="E64" t="str">
        <f>_xlfn.XLOOKUP(F64, Keys!B:B, Keys!A:A, "找不到")</f>
        <v>CS</v>
      </c>
      <c r="F64" t="s">
        <v>53</v>
      </c>
      <c r="G64">
        <v>6.6414484531606952</v>
      </c>
      <c r="H64" t="s">
        <v>46</v>
      </c>
      <c r="I64" t="s">
        <v>47</v>
      </c>
      <c r="J64">
        <v>0</v>
      </c>
      <c r="K64">
        <v>743.2200840278831</v>
      </c>
      <c r="L64">
        <v>26877.09583498774</v>
      </c>
    </row>
    <row r="65" spans="1:12" x14ac:dyDescent="0.25">
      <c r="A65">
        <v>5</v>
      </c>
      <c r="B65" t="s">
        <v>42</v>
      </c>
      <c r="C65" t="s">
        <v>36</v>
      </c>
      <c r="D65" t="s">
        <v>43</v>
      </c>
      <c r="E65" t="str">
        <f>_xlfn.XLOOKUP(F65, Keys!B:B, Keys!A:A, "找不到")</f>
        <v>CO</v>
      </c>
      <c r="F65" t="s">
        <v>59</v>
      </c>
      <c r="G65">
        <v>47.615659985115343</v>
      </c>
      <c r="H65" t="s">
        <v>46</v>
      </c>
      <c r="I65" t="s">
        <v>47</v>
      </c>
      <c r="J65">
        <v>0</v>
      </c>
      <c r="K65">
        <v>1755.7591999470401</v>
      </c>
      <c r="L65">
        <v>192694.5101948487</v>
      </c>
    </row>
    <row r="66" spans="1:12" x14ac:dyDescent="0.25">
      <c r="A66">
        <v>6</v>
      </c>
      <c r="B66" t="s">
        <v>42</v>
      </c>
      <c r="C66" t="s">
        <v>36</v>
      </c>
      <c r="D66" t="s">
        <v>43</v>
      </c>
      <c r="E66" t="str">
        <f>_xlfn.XLOOKUP(F66, Keys!B:B, Keys!A:A, "找不到")</f>
        <v>CO</v>
      </c>
      <c r="F66" t="s">
        <v>59</v>
      </c>
      <c r="G66">
        <v>8.5517097556433104</v>
      </c>
      <c r="H66" t="s">
        <v>46</v>
      </c>
      <c r="I66" t="s">
        <v>47</v>
      </c>
      <c r="J66" t="s">
        <v>38</v>
      </c>
      <c r="K66">
        <v>748.91577172751829</v>
      </c>
      <c r="L66">
        <v>34607.679977707347</v>
      </c>
    </row>
    <row r="67" spans="1:12" x14ac:dyDescent="0.25">
      <c r="A67">
        <v>9</v>
      </c>
      <c r="B67" t="s">
        <v>42</v>
      </c>
      <c r="C67" t="s">
        <v>36</v>
      </c>
      <c r="D67" t="s">
        <v>43</v>
      </c>
      <c r="E67" t="str">
        <f>_xlfn.XLOOKUP(F67, Keys!B:B, Keys!A:A, "找不到")</f>
        <v>CO</v>
      </c>
      <c r="F67" t="s">
        <v>59</v>
      </c>
      <c r="G67">
        <v>9.2245431512817309</v>
      </c>
      <c r="H67" t="s">
        <v>46</v>
      </c>
      <c r="I67" t="s">
        <v>47</v>
      </c>
      <c r="J67">
        <v>0</v>
      </c>
      <c r="K67">
        <v>982.0223682634612</v>
      </c>
      <c r="L67">
        <v>37330.551017525147</v>
      </c>
    </row>
    <row r="68" spans="1:12" x14ac:dyDescent="0.25">
      <c r="A68">
        <v>37</v>
      </c>
      <c r="B68" t="s">
        <v>42</v>
      </c>
      <c r="C68" t="s">
        <v>36</v>
      </c>
      <c r="D68" t="s">
        <v>43</v>
      </c>
      <c r="E68" t="str">
        <f>_xlfn.XLOOKUP(F68, Keys!B:B, Keys!A:A, "找不到")</f>
        <v>CO</v>
      </c>
      <c r="F68" t="s">
        <v>59</v>
      </c>
      <c r="G68">
        <v>27.643710442610761</v>
      </c>
      <c r="H68" t="s">
        <v>46</v>
      </c>
      <c r="I68" t="s">
        <v>47</v>
      </c>
      <c r="J68">
        <v>0</v>
      </c>
      <c r="K68">
        <v>1418.8356929179331</v>
      </c>
      <c r="L68">
        <v>111870.5746254963</v>
      </c>
    </row>
    <row r="69" spans="1:12" x14ac:dyDescent="0.25">
      <c r="A69">
        <v>44</v>
      </c>
      <c r="B69" t="s">
        <v>42</v>
      </c>
      <c r="C69" t="s">
        <v>36</v>
      </c>
      <c r="D69" t="s">
        <v>43</v>
      </c>
      <c r="E69" t="str">
        <f>_xlfn.XLOOKUP(F69, Keys!B:B, Keys!A:A, "找不到")</f>
        <v>CO</v>
      </c>
      <c r="F69" t="s">
        <v>59</v>
      </c>
      <c r="G69">
        <v>56.168202156456431</v>
      </c>
      <c r="H69" t="s">
        <v>46</v>
      </c>
      <c r="I69" t="s">
        <v>47</v>
      </c>
      <c r="J69">
        <v>0</v>
      </c>
      <c r="K69">
        <v>1966.0789195073889</v>
      </c>
      <c r="L69">
        <v>227305.55885284339</v>
      </c>
    </row>
    <row r="70" spans="1:12" x14ac:dyDescent="0.25">
      <c r="A70">
        <v>54</v>
      </c>
      <c r="B70" t="s">
        <v>42</v>
      </c>
      <c r="C70" t="s">
        <v>36</v>
      </c>
      <c r="D70" t="s">
        <v>43</v>
      </c>
      <c r="E70" t="str">
        <f>_xlfn.XLOOKUP(F70, Keys!B:B, Keys!A:A, "找不到")</f>
        <v>CO</v>
      </c>
      <c r="F70" t="s">
        <v>59</v>
      </c>
      <c r="G70">
        <v>43.498075836807622</v>
      </c>
      <c r="H70" t="s">
        <v>46</v>
      </c>
      <c r="I70" t="s">
        <v>47</v>
      </c>
      <c r="J70">
        <v>0</v>
      </c>
      <c r="K70">
        <v>1673.668627710741</v>
      </c>
      <c r="L70">
        <v>176031.1716862098</v>
      </c>
    </row>
    <row r="71" spans="1:12" x14ac:dyDescent="0.25">
      <c r="A71">
        <v>223</v>
      </c>
      <c r="B71" t="s">
        <v>42</v>
      </c>
      <c r="C71" t="s">
        <v>36</v>
      </c>
      <c r="D71" t="s">
        <v>43</v>
      </c>
      <c r="E71" t="str">
        <f>_xlfn.XLOOKUP(F71, Keys!B:B, Keys!A:A, "找不到")</f>
        <v>CO</v>
      </c>
      <c r="F71" t="s">
        <v>59</v>
      </c>
      <c r="G71">
        <v>19.91262346434161</v>
      </c>
      <c r="H71" t="s">
        <v>46</v>
      </c>
      <c r="I71" t="s">
        <v>47</v>
      </c>
      <c r="J71">
        <v>0</v>
      </c>
      <c r="K71">
        <v>1198.199234067401</v>
      </c>
      <c r="L71">
        <v>80583.850488583412</v>
      </c>
    </row>
    <row r="72" spans="1:12" x14ac:dyDescent="0.25">
      <c r="A72">
        <v>224</v>
      </c>
      <c r="B72" t="s">
        <v>42</v>
      </c>
      <c r="C72" t="s">
        <v>36</v>
      </c>
      <c r="D72" t="s">
        <v>43</v>
      </c>
      <c r="E72" t="str">
        <f>_xlfn.XLOOKUP(F72, Keys!B:B, Keys!A:A, "找不到")</f>
        <v>CO</v>
      </c>
      <c r="F72" t="s">
        <v>59</v>
      </c>
      <c r="G72">
        <v>17.287799651590081</v>
      </c>
      <c r="H72" t="s">
        <v>46</v>
      </c>
      <c r="I72" t="s">
        <v>47</v>
      </c>
      <c r="J72">
        <v>0</v>
      </c>
      <c r="K72">
        <v>1149.0678716094251</v>
      </c>
      <c r="L72">
        <v>69961.52289501355</v>
      </c>
    </row>
    <row r="73" spans="1:12" x14ac:dyDescent="0.25">
      <c r="A73">
        <v>226</v>
      </c>
      <c r="B73" t="s">
        <v>42</v>
      </c>
      <c r="C73" t="s">
        <v>36</v>
      </c>
      <c r="D73" t="s">
        <v>43</v>
      </c>
      <c r="E73" t="str">
        <f>_xlfn.XLOOKUP(F73, Keys!B:B, Keys!A:A, "找不到")</f>
        <v>CO</v>
      </c>
      <c r="F73" t="s">
        <v>59</v>
      </c>
      <c r="G73">
        <v>14.327912771106289</v>
      </c>
      <c r="H73" t="s">
        <v>46</v>
      </c>
      <c r="I73" t="s">
        <v>47</v>
      </c>
      <c r="J73">
        <v>0</v>
      </c>
      <c r="K73">
        <v>1031.557510171114</v>
      </c>
      <c r="L73">
        <v>57983.237750057517</v>
      </c>
    </row>
    <row r="74" spans="1:12" x14ac:dyDescent="0.25">
      <c r="A74">
        <v>243</v>
      </c>
      <c r="B74" t="s">
        <v>42</v>
      </c>
      <c r="C74" t="s">
        <v>36</v>
      </c>
      <c r="D74" t="s">
        <v>43</v>
      </c>
      <c r="E74" t="str">
        <f>_xlfn.XLOOKUP(F74, Keys!B:B, Keys!A:A, "找不到")</f>
        <v>CO</v>
      </c>
      <c r="F74" t="s">
        <v>59</v>
      </c>
      <c r="G74">
        <v>11.41117670769296</v>
      </c>
      <c r="H74" t="s">
        <v>46</v>
      </c>
      <c r="I74" t="s">
        <v>47</v>
      </c>
      <c r="J74">
        <v>0</v>
      </c>
      <c r="K74">
        <v>908.21399297588675</v>
      </c>
      <c r="L74">
        <v>46179.578464797691</v>
      </c>
    </row>
    <row r="75" spans="1:12" x14ac:dyDescent="0.25">
      <c r="A75">
        <v>249</v>
      </c>
      <c r="B75" t="s">
        <v>42</v>
      </c>
      <c r="C75" t="s">
        <v>36</v>
      </c>
      <c r="D75" t="s">
        <v>43</v>
      </c>
      <c r="E75" t="str">
        <f>_xlfn.XLOOKUP(F75, Keys!B:B, Keys!A:A, "找不到")</f>
        <v>CO</v>
      </c>
      <c r="F75" t="s">
        <v>59</v>
      </c>
      <c r="G75">
        <v>9.4281199419485642</v>
      </c>
      <c r="H75" t="s">
        <v>46</v>
      </c>
      <c r="I75" t="s">
        <v>47</v>
      </c>
      <c r="J75">
        <v>0</v>
      </c>
      <c r="K75">
        <v>908.02720085158273</v>
      </c>
      <c r="L75">
        <v>38154.400355680868</v>
      </c>
    </row>
    <row r="76" spans="1:12" x14ac:dyDescent="0.25">
      <c r="A76">
        <v>250</v>
      </c>
      <c r="B76" t="s">
        <v>42</v>
      </c>
      <c r="C76" t="s">
        <v>36</v>
      </c>
      <c r="D76" t="s">
        <v>43</v>
      </c>
      <c r="E76" t="str">
        <f>_xlfn.XLOOKUP(F76, Keys!B:B, Keys!A:A, "找不到")</f>
        <v>CO</v>
      </c>
      <c r="F76" t="s">
        <v>59</v>
      </c>
      <c r="G76">
        <v>14.354131220836599</v>
      </c>
      <c r="H76" t="s">
        <v>46</v>
      </c>
      <c r="I76" t="s">
        <v>47</v>
      </c>
      <c r="J76">
        <v>0</v>
      </c>
      <c r="K76">
        <v>1068.9081152552769</v>
      </c>
      <c r="L76">
        <v>58089.340476144498</v>
      </c>
    </row>
    <row r="77" spans="1:12" x14ac:dyDescent="0.25">
      <c r="A77">
        <v>284</v>
      </c>
      <c r="B77" t="s">
        <v>42</v>
      </c>
      <c r="C77" t="s">
        <v>36</v>
      </c>
      <c r="D77" t="s">
        <v>43</v>
      </c>
      <c r="E77" t="str">
        <f>_xlfn.XLOOKUP(F77, Keys!B:B, Keys!A:A, "找不到")</f>
        <v>CO</v>
      </c>
      <c r="F77" t="s">
        <v>59</v>
      </c>
      <c r="G77">
        <v>62.060916325771132</v>
      </c>
      <c r="H77" t="s">
        <v>46</v>
      </c>
      <c r="I77" t="s">
        <v>47</v>
      </c>
      <c r="J77">
        <v>0</v>
      </c>
      <c r="K77">
        <v>2085.980102716479</v>
      </c>
      <c r="L77">
        <v>251152.62242246099</v>
      </c>
    </row>
    <row r="78" spans="1:12" x14ac:dyDescent="0.25">
      <c r="A78">
        <v>315</v>
      </c>
      <c r="B78" t="s">
        <v>42</v>
      </c>
      <c r="C78" t="s">
        <v>36</v>
      </c>
      <c r="D78" t="s">
        <v>43</v>
      </c>
      <c r="E78" t="str">
        <f>_xlfn.XLOOKUP(F78, Keys!B:B, Keys!A:A, "找不到")</f>
        <v>HA</v>
      </c>
      <c r="F78" t="s">
        <v>82</v>
      </c>
      <c r="G78">
        <v>2.5412084263310128</v>
      </c>
      <c r="H78" t="s">
        <v>46</v>
      </c>
      <c r="I78" t="s">
        <v>47</v>
      </c>
      <c r="J78">
        <v>0</v>
      </c>
      <c r="K78">
        <v>672.77187855871171</v>
      </c>
      <c r="L78">
        <v>10283.94677650063</v>
      </c>
    </row>
    <row r="79" spans="1:12" x14ac:dyDescent="0.25">
      <c r="A79">
        <v>41</v>
      </c>
      <c r="B79" t="s">
        <v>42</v>
      </c>
      <c r="C79" t="s">
        <v>36</v>
      </c>
      <c r="D79" t="s">
        <v>43</v>
      </c>
      <c r="E79" t="str">
        <f>_xlfn.XLOOKUP(F79, Keys!B:B, Keys!A:A, "找不到")</f>
        <v>HA</v>
      </c>
      <c r="F79" t="s">
        <v>82</v>
      </c>
      <c r="G79">
        <v>20.94408480207538</v>
      </c>
      <c r="H79" t="s">
        <v>46</v>
      </c>
      <c r="I79" t="s">
        <v>47</v>
      </c>
      <c r="J79">
        <v>0</v>
      </c>
      <c r="K79">
        <v>1227.9670035036329</v>
      </c>
      <c r="L79">
        <v>84758.043124402437</v>
      </c>
    </row>
    <row r="80" spans="1:12" x14ac:dyDescent="0.25">
      <c r="A80">
        <v>133</v>
      </c>
      <c r="B80" t="s">
        <v>42</v>
      </c>
      <c r="C80" t="s">
        <v>36</v>
      </c>
      <c r="D80" t="s">
        <v>43</v>
      </c>
      <c r="E80" t="str">
        <f>_xlfn.XLOOKUP(F80, Keys!B:B, Keys!A:A, "找不到")</f>
        <v>HA</v>
      </c>
      <c r="F80" t="s">
        <v>82</v>
      </c>
      <c r="G80">
        <v>21.208964251008009</v>
      </c>
      <c r="H80" t="s">
        <v>46</v>
      </c>
      <c r="I80" t="s">
        <v>47</v>
      </c>
      <c r="J80">
        <v>0</v>
      </c>
      <c r="K80">
        <v>1214.278091668062</v>
      </c>
      <c r="L80">
        <v>85829.976511206492</v>
      </c>
    </row>
    <row r="81" spans="1:12" x14ac:dyDescent="0.25">
      <c r="A81">
        <v>134</v>
      </c>
      <c r="B81" t="s">
        <v>42</v>
      </c>
      <c r="C81" t="s">
        <v>36</v>
      </c>
      <c r="D81" t="s">
        <v>43</v>
      </c>
      <c r="E81" t="str">
        <f>_xlfn.XLOOKUP(F81, Keys!B:B, Keys!A:A, "找不到")</f>
        <v>HA</v>
      </c>
      <c r="F81" t="s">
        <v>82</v>
      </c>
      <c r="G81">
        <v>8.8114946243121679</v>
      </c>
      <c r="H81" t="s">
        <v>46</v>
      </c>
      <c r="I81" t="s">
        <v>47</v>
      </c>
      <c r="J81">
        <v>0</v>
      </c>
      <c r="K81">
        <v>971.30746386264184</v>
      </c>
      <c r="L81">
        <v>35658.996247183117</v>
      </c>
    </row>
    <row r="82" spans="1:12" x14ac:dyDescent="0.25">
      <c r="A82">
        <v>135</v>
      </c>
      <c r="B82" t="s">
        <v>42</v>
      </c>
      <c r="C82" t="s">
        <v>36</v>
      </c>
      <c r="D82" t="s">
        <v>43</v>
      </c>
      <c r="E82" t="str">
        <f>_xlfn.XLOOKUP(F82, Keys!B:B, Keys!A:A, "找不到")</f>
        <v>HA</v>
      </c>
      <c r="F82" t="s">
        <v>82</v>
      </c>
      <c r="G82">
        <v>18.031947377134969</v>
      </c>
      <c r="H82" t="s">
        <v>46</v>
      </c>
      <c r="I82" t="s">
        <v>47</v>
      </c>
      <c r="J82">
        <v>0</v>
      </c>
      <c r="K82">
        <v>1151.769168523633</v>
      </c>
      <c r="L82">
        <v>72972.993943221372</v>
      </c>
    </row>
    <row r="83" spans="1:12" x14ac:dyDescent="0.25">
      <c r="A83">
        <v>137</v>
      </c>
      <c r="B83" t="s">
        <v>42</v>
      </c>
      <c r="C83" t="s">
        <v>36</v>
      </c>
      <c r="D83">
        <v>0</v>
      </c>
      <c r="E83" t="str">
        <f>_xlfn.XLOOKUP(F83, Keys!B:B, Keys!A:A, "找不到")</f>
        <v>HA</v>
      </c>
      <c r="F83" t="s">
        <v>82</v>
      </c>
      <c r="G83">
        <v>11.3279318465048</v>
      </c>
      <c r="H83" t="s">
        <v>46</v>
      </c>
      <c r="I83" t="s">
        <v>47</v>
      </c>
      <c r="J83">
        <v>0</v>
      </c>
      <c r="K83">
        <v>963.25596982226136</v>
      </c>
      <c r="L83">
        <v>45842.697116142517</v>
      </c>
    </row>
    <row r="84" spans="1:12" x14ac:dyDescent="0.25">
      <c r="A84">
        <v>145</v>
      </c>
      <c r="B84" t="s">
        <v>42</v>
      </c>
      <c r="C84" t="s">
        <v>36</v>
      </c>
      <c r="D84" t="s">
        <v>43</v>
      </c>
      <c r="E84" t="str">
        <f>_xlfn.XLOOKUP(F84, Keys!B:B, Keys!A:A, "找不到")</f>
        <v>HA</v>
      </c>
      <c r="F84" t="s">
        <v>82</v>
      </c>
      <c r="G84">
        <v>7.8459462097225066</v>
      </c>
      <c r="H84" t="s">
        <v>46</v>
      </c>
      <c r="I84" t="s">
        <v>47</v>
      </c>
      <c r="J84">
        <v>0</v>
      </c>
      <c r="K84">
        <v>1080.5209665506279</v>
      </c>
      <c r="L84">
        <v>31751.54481467271</v>
      </c>
    </row>
    <row r="85" spans="1:12" x14ac:dyDescent="0.25">
      <c r="A85">
        <v>251</v>
      </c>
      <c r="B85" t="s">
        <v>42</v>
      </c>
      <c r="C85" t="s">
        <v>36</v>
      </c>
      <c r="D85" t="s">
        <v>43</v>
      </c>
      <c r="E85" t="str">
        <f>_xlfn.XLOOKUP(F85, Keys!B:B, Keys!A:A, "找不到")</f>
        <v>HA</v>
      </c>
      <c r="F85" t="s">
        <v>82</v>
      </c>
      <c r="G85">
        <v>9.1915994046220888</v>
      </c>
      <c r="H85" t="s">
        <v>46</v>
      </c>
      <c r="I85" t="s">
        <v>47</v>
      </c>
      <c r="J85">
        <v>0</v>
      </c>
      <c r="K85">
        <v>973.00360614682359</v>
      </c>
      <c r="L85">
        <v>37197.231871501608</v>
      </c>
    </row>
    <row r="86" spans="1:12" x14ac:dyDescent="0.25">
      <c r="A86">
        <v>292</v>
      </c>
      <c r="B86" t="s">
        <v>42</v>
      </c>
      <c r="C86" t="s">
        <v>36</v>
      </c>
      <c r="D86" t="s">
        <v>43</v>
      </c>
      <c r="E86" t="str">
        <f>_xlfn.XLOOKUP(F86, Keys!B:B, Keys!A:A, "找不到")</f>
        <v>HA</v>
      </c>
      <c r="F86" t="s">
        <v>82</v>
      </c>
      <c r="G86">
        <v>16.043121678629191</v>
      </c>
      <c r="H86" t="s">
        <v>46</v>
      </c>
      <c r="I86" t="s">
        <v>47</v>
      </c>
      <c r="J86">
        <v>0</v>
      </c>
      <c r="K86">
        <v>1146.860587581546</v>
      </c>
      <c r="L86">
        <v>64924.469698124303</v>
      </c>
    </row>
    <row r="87" spans="1:12" x14ac:dyDescent="0.25">
      <c r="A87">
        <v>298</v>
      </c>
      <c r="B87" t="s">
        <v>42</v>
      </c>
      <c r="C87" t="s">
        <v>36</v>
      </c>
      <c r="D87">
        <v>0</v>
      </c>
      <c r="E87" t="str">
        <f>_xlfn.XLOOKUP(F87, Keys!B:B, Keys!A:A, "找不到")</f>
        <v>HA</v>
      </c>
      <c r="F87" t="s">
        <v>82</v>
      </c>
      <c r="G87">
        <v>3.0683971785819151</v>
      </c>
      <c r="H87" t="s">
        <v>46</v>
      </c>
      <c r="I87" t="s">
        <v>47</v>
      </c>
      <c r="J87">
        <v>0</v>
      </c>
      <c r="K87">
        <v>488.24487340989612</v>
      </c>
      <c r="L87">
        <v>12417.41249821858</v>
      </c>
    </row>
    <row r="88" spans="1:12" x14ac:dyDescent="0.25">
      <c r="A88">
        <v>59</v>
      </c>
      <c r="B88" t="s">
        <v>91</v>
      </c>
      <c r="C88" t="s">
        <v>36</v>
      </c>
      <c r="D88" t="s">
        <v>95</v>
      </c>
      <c r="E88" t="str">
        <f>_xlfn.XLOOKUP(F88, Keys!B:B, Keys!A:A, "找不到")</f>
        <v>MON</v>
      </c>
      <c r="F88" t="s">
        <v>100</v>
      </c>
      <c r="G88">
        <v>1.1611198220278449</v>
      </c>
      <c r="H88" t="s">
        <v>46</v>
      </c>
      <c r="I88" t="s">
        <v>47</v>
      </c>
      <c r="J88">
        <v>0</v>
      </c>
      <c r="K88">
        <v>277.30924832891731</v>
      </c>
      <c r="L88">
        <v>4698.9040045465536</v>
      </c>
    </row>
    <row r="89" spans="1:12" x14ac:dyDescent="0.25">
      <c r="A89">
        <v>66</v>
      </c>
      <c r="B89" t="s">
        <v>91</v>
      </c>
      <c r="C89" t="s">
        <v>36</v>
      </c>
      <c r="D89" t="s">
        <v>95</v>
      </c>
      <c r="E89" t="str">
        <f>_xlfn.XLOOKUP(F89, Keys!B:B, Keys!A:A, "找不到")</f>
        <v>MON</v>
      </c>
      <c r="F89" t="s">
        <v>100</v>
      </c>
      <c r="G89">
        <v>0.32858124640542491</v>
      </c>
      <c r="H89" t="s">
        <v>46</v>
      </c>
      <c r="I89" t="s">
        <v>47</v>
      </c>
      <c r="J89">
        <v>0</v>
      </c>
      <c r="K89">
        <v>162.42458959726261</v>
      </c>
      <c r="L89">
        <v>1329.726446196456</v>
      </c>
    </row>
    <row r="90" spans="1:12" x14ac:dyDescent="0.25">
      <c r="A90">
        <v>67</v>
      </c>
      <c r="B90" t="s">
        <v>91</v>
      </c>
      <c r="C90" t="s">
        <v>36</v>
      </c>
      <c r="D90" t="s">
        <v>95</v>
      </c>
      <c r="E90" t="str">
        <f>_xlfn.XLOOKUP(F90, Keys!B:B, Keys!A:A, "找不到")</f>
        <v>MON</v>
      </c>
      <c r="F90" t="s">
        <v>100</v>
      </c>
      <c r="G90">
        <v>0.77245130534693018</v>
      </c>
      <c r="H90" t="s">
        <v>46</v>
      </c>
      <c r="I90" t="s">
        <v>47</v>
      </c>
      <c r="J90">
        <v>0</v>
      </c>
      <c r="K90">
        <v>223.94287301087661</v>
      </c>
      <c r="L90">
        <v>3126.0120300701042</v>
      </c>
    </row>
    <row r="91" spans="1:12" hidden="1" x14ac:dyDescent="0.25">
      <c r="A91">
        <v>121</v>
      </c>
      <c r="B91">
        <v>0</v>
      </c>
      <c r="C91" t="s">
        <v>2606</v>
      </c>
      <c r="D91">
        <v>0</v>
      </c>
      <c r="E91" t="str">
        <f>_xlfn.XLOOKUP(F91, Keys!B:B, Keys!A:A, "找不到")</f>
        <v>FA</v>
      </c>
      <c r="F91" t="s">
        <v>63</v>
      </c>
      <c r="G91">
        <v>6.8760473090120531</v>
      </c>
      <c r="H91" t="s">
        <v>64</v>
      </c>
      <c r="I91" t="s">
        <v>65</v>
      </c>
      <c r="J91" t="s">
        <v>673</v>
      </c>
      <c r="K91">
        <v>0</v>
      </c>
      <c r="L91">
        <v>878.66525409451879</v>
      </c>
    </row>
    <row r="92" spans="1:12" hidden="1" x14ac:dyDescent="0.25">
      <c r="A92">
        <v>295</v>
      </c>
      <c r="B92">
        <v>0</v>
      </c>
      <c r="C92" t="s">
        <v>2606</v>
      </c>
      <c r="D92">
        <v>0</v>
      </c>
      <c r="E92" t="str">
        <f>_xlfn.XLOOKUP(F92, Keys!B:B, Keys!A:A, "找不到")</f>
        <v>FA</v>
      </c>
      <c r="F92" t="s">
        <v>63</v>
      </c>
      <c r="G92">
        <v>4.2722671870168556</v>
      </c>
      <c r="H92" t="s">
        <v>64</v>
      </c>
      <c r="I92" t="s">
        <v>65</v>
      </c>
      <c r="J92" t="s">
        <v>2883</v>
      </c>
      <c r="K92">
        <v>0</v>
      </c>
      <c r="L92">
        <v>563.28600681285866</v>
      </c>
    </row>
    <row r="93" spans="1:12" hidden="1" x14ac:dyDescent="0.25">
      <c r="A93">
        <v>338</v>
      </c>
      <c r="B93">
        <v>0</v>
      </c>
      <c r="C93" t="s">
        <v>2606</v>
      </c>
      <c r="D93">
        <v>0</v>
      </c>
      <c r="E93" t="str">
        <f>_xlfn.XLOOKUP(F93, Keys!B:B, Keys!A:A, "找不到")</f>
        <v>FA</v>
      </c>
      <c r="F93" t="s">
        <v>63</v>
      </c>
      <c r="G93">
        <v>1.0223808449863641</v>
      </c>
      <c r="H93" t="s">
        <v>64</v>
      </c>
      <c r="I93" t="s">
        <v>65</v>
      </c>
      <c r="J93" t="s">
        <v>3143</v>
      </c>
      <c r="K93">
        <v>0</v>
      </c>
      <c r="L93">
        <v>264.30780050122883</v>
      </c>
    </row>
    <row r="94" spans="1:12" hidden="1" x14ac:dyDescent="0.25">
      <c r="A94">
        <v>363</v>
      </c>
      <c r="B94">
        <v>0</v>
      </c>
      <c r="C94" t="s">
        <v>2606</v>
      </c>
      <c r="D94">
        <v>0</v>
      </c>
      <c r="E94" t="str">
        <f>_xlfn.XLOOKUP(F94, Keys!B:B, Keys!A:A, "找不到")</f>
        <v>FA</v>
      </c>
      <c r="F94" t="s">
        <v>63</v>
      </c>
      <c r="G94">
        <v>8.9524689905373958</v>
      </c>
      <c r="H94" t="s">
        <v>64</v>
      </c>
      <c r="I94" t="s">
        <v>65</v>
      </c>
      <c r="J94" t="s">
        <v>2883</v>
      </c>
      <c r="K94">
        <v>0</v>
      </c>
      <c r="L94">
        <v>1081.674190119109</v>
      </c>
    </row>
    <row r="95" spans="1:12" hidden="1" x14ac:dyDescent="0.25">
      <c r="A95">
        <v>391</v>
      </c>
      <c r="B95" t="s">
        <v>2605</v>
      </c>
      <c r="C95" t="s">
        <v>2606</v>
      </c>
      <c r="D95">
        <v>0</v>
      </c>
      <c r="E95" t="str">
        <f>_xlfn.XLOOKUP(F95, Keys!B:B, Keys!A:A, "找不到")</f>
        <v>FA</v>
      </c>
      <c r="F95" t="s">
        <v>63</v>
      </c>
      <c r="G95">
        <v>8.2880530604022571</v>
      </c>
      <c r="H95" t="s">
        <v>64</v>
      </c>
      <c r="I95" t="s">
        <v>65</v>
      </c>
      <c r="J95" t="s">
        <v>3230</v>
      </c>
      <c r="K95">
        <v>0</v>
      </c>
      <c r="L95">
        <v>808.64611588197317</v>
      </c>
    </row>
    <row r="96" spans="1:12" hidden="1" x14ac:dyDescent="0.25">
      <c r="A96">
        <v>980</v>
      </c>
      <c r="B96">
        <v>0</v>
      </c>
      <c r="C96" t="s">
        <v>2606</v>
      </c>
      <c r="D96">
        <v>0</v>
      </c>
      <c r="E96" t="str">
        <f>_xlfn.XLOOKUP(F96, Keys!B:B, Keys!A:A, "找不到")</f>
        <v>FA</v>
      </c>
      <c r="F96" t="s">
        <v>63</v>
      </c>
      <c r="G96">
        <v>0.64398222959621976</v>
      </c>
      <c r="H96" t="s">
        <v>64</v>
      </c>
      <c r="I96" t="s">
        <v>65</v>
      </c>
      <c r="J96" t="s">
        <v>2801</v>
      </c>
      <c r="K96">
        <v>0</v>
      </c>
      <c r="L96">
        <v>229.9497169210988</v>
      </c>
    </row>
    <row r="97" spans="1:12" hidden="1" x14ac:dyDescent="0.25">
      <c r="A97">
        <v>1056</v>
      </c>
      <c r="B97" t="s">
        <v>2605</v>
      </c>
      <c r="C97" t="s">
        <v>2606</v>
      </c>
      <c r="D97">
        <v>0</v>
      </c>
      <c r="E97" t="str">
        <f>_xlfn.XLOOKUP(F97, Keys!B:B, Keys!A:A, "找不到")</f>
        <v>FA</v>
      </c>
      <c r="F97" t="s">
        <v>63</v>
      </c>
      <c r="G97">
        <v>0.1579867900831172</v>
      </c>
      <c r="H97" t="s">
        <v>64</v>
      </c>
      <c r="I97" t="s">
        <v>65</v>
      </c>
      <c r="J97">
        <v>0</v>
      </c>
      <c r="K97">
        <v>0</v>
      </c>
      <c r="L97">
        <v>127.6196460366663</v>
      </c>
    </row>
    <row r="98" spans="1:12" hidden="1" x14ac:dyDescent="0.25">
      <c r="A98">
        <v>1059</v>
      </c>
      <c r="B98" t="s">
        <v>2605</v>
      </c>
      <c r="C98" t="s">
        <v>2606</v>
      </c>
      <c r="D98">
        <v>0</v>
      </c>
      <c r="E98" t="str">
        <f>_xlfn.XLOOKUP(F98, Keys!B:B, Keys!A:A, "找不到")</f>
        <v>FA</v>
      </c>
      <c r="F98" t="s">
        <v>63</v>
      </c>
      <c r="G98">
        <v>2.4450912542666878</v>
      </c>
      <c r="H98" t="s">
        <v>64</v>
      </c>
      <c r="I98" t="s">
        <v>65</v>
      </c>
      <c r="J98" t="s">
        <v>3230</v>
      </c>
      <c r="K98">
        <v>0</v>
      </c>
      <c r="L98">
        <v>450.57746661435118</v>
      </c>
    </row>
    <row r="99" spans="1:12" hidden="1" x14ac:dyDescent="0.25">
      <c r="A99">
        <v>1061</v>
      </c>
      <c r="B99" t="s">
        <v>2605</v>
      </c>
      <c r="C99" t="s">
        <v>2606</v>
      </c>
      <c r="D99">
        <v>0</v>
      </c>
      <c r="E99" t="str">
        <f>_xlfn.XLOOKUP(F99, Keys!B:B, Keys!A:A, "找不到")</f>
        <v>FA</v>
      </c>
      <c r="F99" t="s">
        <v>63</v>
      </c>
      <c r="G99">
        <v>0.60811616622994558</v>
      </c>
      <c r="H99" t="s">
        <v>64</v>
      </c>
      <c r="I99" t="s">
        <v>65</v>
      </c>
      <c r="J99" t="s">
        <v>3230</v>
      </c>
      <c r="K99">
        <v>0</v>
      </c>
      <c r="L99">
        <v>344.82668197707761</v>
      </c>
    </row>
    <row r="100" spans="1:12" hidden="1" x14ac:dyDescent="0.25">
      <c r="A100">
        <v>1087</v>
      </c>
      <c r="B100">
        <v>0</v>
      </c>
      <c r="C100" t="s">
        <v>2606</v>
      </c>
      <c r="D100">
        <v>0</v>
      </c>
      <c r="E100" t="str">
        <f>_xlfn.XLOOKUP(F100, Keys!B:B, Keys!A:A, "找不到")</f>
        <v>FA</v>
      </c>
      <c r="F100" t="s">
        <v>63</v>
      </c>
      <c r="G100">
        <v>0.12647096826572071</v>
      </c>
      <c r="H100" t="s">
        <v>64</v>
      </c>
      <c r="I100" t="s">
        <v>65</v>
      </c>
      <c r="J100" t="s">
        <v>2883</v>
      </c>
      <c r="K100">
        <v>0</v>
      </c>
      <c r="L100">
        <v>140.85075307069161</v>
      </c>
    </row>
    <row r="101" spans="1:12" hidden="1" x14ac:dyDescent="0.25">
      <c r="A101">
        <v>1093</v>
      </c>
      <c r="B101">
        <v>0</v>
      </c>
      <c r="C101" t="s">
        <v>2606</v>
      </c>
      <c r="D101">
        <v>0</v>
      </c>
      <c r="E101" t="str">
        <f>_xlfn.XLOOKUP(F101, Keys!B:B, Keys!A:A, "找不到")</f>
        <v>FA</v>
      </c>
      <c r="F101" t="s">
        <v>63</v>
      </c>
      <c r="G101">
        <v>1.336808452858866</v>
      </c>
      <c r="H101" t="s">
        <v>64</v>
      </c>
      <c r="I101" t="s">
        <v>65</v>
      </c>
      <c r="J101" t="s">
        <v>2883</v>
      </c>
      <c r="K101">
        <v>0</v>
      </c>
      <c r="L101">
        <v>325.79505224285089</v>
      </c>
    </row>
    <row r="102" spans="1:12" hidden="1" x14ac:dyDescent="0.25">
      <c r="A102">
        <v>1101</v>
      </c>
      <c r="B102">
        <v>0</v>
      </c>
      <c r="C102" t="s">
        <v>2606</v>
      </c>
      <c r="D102">
        <v>0</v>
      </c>
      <c r="E102" t="str">
        <f>_xlfn.XLOOKUP(F102, Keys!B:B, Keys!A:A, "找不到")</f>
        <v>FA</v>
      </c>
      <c r="F102" t="s">
        <v>63</v>
      </c>
      <c r="G102">
        <v>0.32293719570502988</v>
      </c>
      <c r="H102" t="s">
        <v>64</v>
      </c>
      <c r="I102" t="s">
        <v>65</v>
      </c>
      <c r="J102" t="s">
        <v>2756</v>
      </c>
      <c r="K102">
        <v>0</v>
      </c>
      <c r="L102">
        <v>176.43534534707231</v>
      </c>
    </row>
    <row r="103" spans="1:12" hidden="1" x14ac:dyDescent="0.25">
      <c r="A103">
        <v>1113</v>
      </c>
      <c r="B103">
        <v>0</v>
      </c>
      <c r="C103" t="s">
        <v>2606</v>
      </c>
      <c r="D103">
        <v>0</v>
      </c>
      <c r="E103" t="str">
        <f>_xlfn.XLOOKUP(F103, Keys!B:B, Keys!A:A, "找不到")</f>
        <v>FA</v>
      </c>
      <c r="F103" t="s">
        <v>63</v>
      </c>
      <c r="G103">
        <v>1.2277602127509959</v>
      </c>
      <c r="H103" t="s">
        <v>64</v>
      </c>
      <c r="I103" t="s">
        <v>65</v>
      </c>
      <c r="J103" t="s">
        <v>2722</v>
      </c>
      <c r="K103">
        <v>0</v>
      </c>
      <c r="L103">
        <v>451.06332952690281</v>
      </c>
    </row>
    <row r="104" spans="1:12" hidden="1" x14ac:dyDescent="0.25">
      <c r="A104">
        <v>1114</v>
      </c>
      <c r="B104">
        <v>0</v>
      </c>
      <c r="C104" t="s">
        <v>2606</v>
      </c>
      <c r="D104">
        <v>0</v>
      </c>
      <c r="E104" t="str">
        <f>_xlfn.XLOOKUP(F104, Keys!B:B, Keys!A:A, "找不到")</f>
        <v>FA</v>
      </c>
      <c r="F104" t="s">
        <v>63</v>
      </c>
      <c r="G104">
        <v>0.57689021336784208</v>
      </c>
      <c r="H104" t="s">
        <v>64</v>
      </c>
      <c r="I104" t="s">
        <v>65</v>
      </c>
      <c r="J104" t="s">
        <v>2722</v>
      </c>
      <c r="K104">
        <v>0</v>
      </c>
      <c r="L104">
        <v>312.07650424279399</v>
      </c>
    </row>
    <row r="105" spans="1:12" hidden="1" x14ac:dyDescent="0.25">
      <c r="A105">
        <v>1124</v>
      </c>
      <c r="B105">
        <v>0</v>
      </c>
      <c r="C105" t="s">
        <v>2606</v>
      </c>
      <c r="D105">
        <v>0</v>
      </c>
      <c r="E105" t="str">
        <f>_xlfn.XLOOKUP(F105, Keys!B:B, Keys!A:A, "找不到")</f>
        <v>FA</v>
      </c>
      <c r="F105" t="s">
        <v>63</v>
      </c>
      <c r="G105">
        <v>1.3372055732730841</v>
      </c>
      <c r="H105" t="s">
        <v>64</v>
      </c>
      <c r="I105" t="s">
        <v>65</v>
      </c>
      <c r="J105" t="s">
        <v>3638</v>
      </c>
      <c r="K105">
        <v>0</v>
      </c>
      <c r="L105">
        <v>440.97150490573739</v>
      </c>
    </row>
    <row r="106" spans="1:12" hidden="1" x14ac:dyDescent="0.25">
      <c r="A106">
        <v>1125</v>
      </c>
      <c r="B106">
        <v>0</v>
      </c>
      <c r="C106" t="s">
        <v>2606</v>
      </c>
      <c r="D106">
        <v>0</v>
      </c>
      <c r="E106" t="str">
        <f>_xlfn.XLOOKUP(F106, Keys!B:B, Keys!A:A, "找不到")</f>
        <v>FA</v>
      </c>
      <c r="F106" t="s">
        <v>63</v>
      </c>
      <c r="G106">
        <v>6.5026318169313058</v>
      </c>
      <c r="H106" t="s">
        <v>64</v>
      </c>
      <c r="I106" t="s">
        <v>65</v>
      </c>
      <c r="J106" t="s">
        <v>3638</v>
      </c>
      <c r="K106">
        <v>0</v>
      </c>
      <c r="L106">
        <v>660.09326615112661</v>
      </c>
    </row>
    <row r="107" spans="1:12" hidden="1" x14ac:dyDescent="0.25">
      <c r="A107">
        <v>86</v>
      </c>
      <c r="C107" t="s">
        <v>3970</v>
      </c>
      <c r="D107" t="s">
        <v>57</v>
      </c>
      <c r="E107" t="str">
        <f>_xlfn.XLOOKUP(F107, Keys!B:B, Keys!A:A, "找不到")</f>
        <v>FA</v>
      </c>
      <c r="F107" t="s">
        <v>63</v>
      </c>
      <c r="G107">
        <v>3.1631490444115928</v>
      </c>
      <c r="H107">
        <v>0</v>
      </c>
      <c r="I107" t="s">
        <v>38</v>
      </c>
      <c r="J107" t="s">
        <v>4136</v>
      </c>
      <c r="K107">
        <v>0</v>
      </c>
      <c r="L107">
        <v>0</v>
      </c>
    </row>
    <row r="108" spans="1:12" hidden="1" x14ac:dyDescent="0.25">
      <c r="A108">
        <v>51</v>
      </c>
      <c r="C108" t="s">
        <v>3970</v>
      </c>
      <c r="D108" t="s">
        <v>57</v>
      </c>
      <c r="E108" t="str">
        <f>_xlfn.XLOOKUP(F108, Keys!B:B, Keys!A:A, "找不到")</f>
        <v>FA</v>
      </c>
      <c r="F108" t="s">
        <v>63</v>
      </c>
      <c r="G108">
        <v>0.5906457942061788</v>
      </c>
      <c r="H108">
        <v>4</v>
      </c>
      <c r="I108" t="s">
        <v>65</v>
      </c>
      <c r="J108" t="s">
        <v>673</v>
      </c>
      <c r="K108">
        <v>0</v>
      </c>
      <c r="L108">
        <v>0</v>
      </c>
    </row>
    <row r="109" spans="1:12" hidden="1" x14ac:dyDescent="0.25">
      <c r="A109">
        <v>61</v>
      </c>
      <c r="C109" t="s">
        <v>3970</v>
      </c>
      <c r="D109" t="s">
        <v>57</v>
      </c>
      <c r="E109" t="str">
        <f>_xlfn.XLOOKUP(F109, Keys!B:B, Keys!A:A, "找不到")</f>
        <v>FA</v>
      </c>
      <c r="F109" t="s">
        <v>63</v>
      </c>
      <c r="G109">
        <v>2.214645788698165</v>
      </c>
      <c r="H109">
        <v>4</v>
      </c>
      <c r="I109" t="s">
        <v>65</v>
      </c>
      <c r="J109" t="s">
        <v>57</v>
      </c>
      <c r="K109">
        <v>0</v>
      </c>
      <c r="L109">
        <v>0</v>
      </c>
    </row>
    <row r="110" spans="1:12" hidden="1" x14ac:dyDescent="0.25">
      <c r="A110">
        <v>8</v>
      </c>
      <c r="C110" t="s">
        <v>3970</v>
      </c>
      <c r="D110" t="s">
        <v>57</v>
      </c>
      <c r="E110" t="str">
        <f>_xlfn.XLOOKUP(F110, Keys!B:B, Keys!A:A, "找不到")</f>
        <v>FA</v>
      </c>
      <c r="F110" t="s">
        <v>63</v>
      </c>
      <c r="G110">
        <v>0.144474880116501</v>
      </c>
      <c r="H110" t="s">
        <v>64</v>
      </c>
      <c r="I110" t="s">
        <v>65</v>
      </c>
      <c r="J110" t="s">
        <v>3986</v>
      </c>
      <c r="K110">
        <v>0</v>
      </c>
      <c r="L110">
        <v>0</v>
      </c>
    </row>
    <row r="111" spans="1:12" hidden="1" x14ac:dyDescent="0.25">
      <c r="A111">
        <v>9</v>
      </c>
      <c r="C111" t="s">
        <v>3970</v>
      </c>
      <c r="D111" t="s">
        <v>57</v>
      </c>
      <c r="E111" t="str">
        <f>_xlfn.XLOOKUP(F111, Keys!B:B, Keys!A:A, "找不到")</f>
        <v>FA</v>
      </c>
      <c r="F111" t="s">
        <v>63</v>
      </c>
      <c r="G111">
        <v>3.3734159821583197E-2</v>
      </c>
      <c r="H111" t="s">
        <v>64</v>
      </c>
      <c r="I111" t="s">
        <v>65</v>
      </c>
      <c r="J111" t="s">
        <v>3980</v>
      </c>
      <c r="K111">
        <v>0</v>
      </c>
      <c r="L111">
        <v>0</v>
      </c>
    </row>
    <row r="112" spans="1:12" hidden="1" x14ac:dyDescent="0.25">
      <c r="A112">
        <v>11</v>
      </c>
      <c r="C112" t="s">
        <v>3970</v>
      </c>
      <c r="D112" t="s">
        <v>57</v>
      </c>
      <c r="E112" t="str">
        <f>_xlfn.XLOOKUP(F112, Keys!B:B, Keys!A:A, "找不到")</f>
        <v>FA</v>
      </c>
      <c r="F112" t="s">
        <v>63</v>
      </c>
      <c r="G112">
        <v>0.23828318704742019</v>
      </c>
      <c r="H112" t="s">
        <v>64</v>
      </c>
      <c r="I112" t="s">
        <v>65</v>
      </c>
      <c r="J112" t="s">
        <v>3991</v>
      </c>
      <c r="K112">
        <v>0</v>
      </c>
      <c r="L112">
        <v>0</v>
      </c>
    </row>
    <row r="113" spans="1:12" hidden="1" x14ac:dyDescent="0.25">
      <c r="A113">
        <v>14</v>
      </c>
      <c r="C113" t="s">
        <v>3970</v>
      </c>
      <c r="D113" t="s">
        <v>57</v>
      </c>
      <c r="E113" t="str">
        <f>_xlfn.XLOOKUP(F113, Keys!B:B, Keys!A:A, "找不到")</f>
        <v>FA</v>
      </c>
      <c r="F113" t="s">
        <v>63</v>
      </c>
      <c r="G113">
        <v>0.58761801450650997</v>
      </c>
      <c r="H113" t="s">
        <v>64</v>
      </c>
      <c r="I113" t="s">
        <v>65</v>
      </c>
      <c r="J113" t="s">
        <v>3998</v>
      </c>
      <c r="K113">
        <v>0</v>
      </c>
      <c r="L113">
        <v>0</v>
      </c>
    </row>
    <row r="114" spans="1:12" hidden="1" x14ac:dyDescent="0.25">
      <c r="A114">
        <v>18</v>
      </c>
      <c r="C114" t="s">
        <v>3970</v>
      </c>
      <c r="D114" t="s">
        <v>57</v>
      </c>
      <c r="E114" t="str">
        <f>_xlfn.XLOOKUP(F114, Keys!B:B, Keys!A:A, "找不到")</f>
        <v>FA</v>
      </c>
      <c r="F114" t="s">
        <v>63</v>
      </c>
      <c r="G114">
        <v>3.1141258864940382</v>
      </c>
      <c r="H114" t="s">
        <v>64</v>
      </c>
      <c r="I114" t="s">
        <v>65</v>
      </c>
      <c r="J114" t="s">
        <v>57</v>
      </c>
      <c r="K114">
        <v>0</v>
      </c>
      <c r="L114">
        <v>0</v>
      </c>
    </row>
    <row r="115" spans="1:12" hidden="1" x14ac:dyDescent="0.25">
      <c r="A115">
        <v>22</v>
      </c>
      <c r="C115" t="s">
        <v>3970</v>
      </c>
      <c r="D115" t="s">
        <v>57</v>
      </c>
      <c r="E115" t="str">
        <f>_xlfn.XLOOKUP(F115, Keys!B:B, Keys!A:A, "找不到")</f>
        <v>FA</v>
      </c>
      <c r="F115" t="s">
        <v>63</v>
      </c>
      <c r="G115">
        <v>0.71693312315969604</v>
      </c>
      <c r="H115" t="s">
        <v>64</v>
      </c>
      <c r="I115" t="s">
        <v>65</v>
      </c>
      <c r="J115" t="s">
        <v>4019</v>
      </c>
      <c r="K115">
        <v>0</v>
      </c>
      <c r="L115">
        <v>0</v>
      </c>
    </row>
    <row r="116" spans="1:12" hidden="1" x14ac:dyDescent="0.25">
      <c r="A116">
        <v>24</v>
      </c>
      <c r="C116" t="s">
        <v>3970</v>
      </c>
      <c r="D116">
        <v>0</v>
      </c>
      <c r="E116" t="str">
        <f>_xlfn.XLOOKUP(F116, Keys!B:B, Keys!A:A, "找不到")</f>
        <v>FA</v>
      </c>
      <c r="F116" t="s">
        <v>63</v>
      </c>
      <c r="G116">
        <v>0.66300724828052493</v>
      </c>
      <c r="H116" t="s">
        <v>64</v>
      </c>
      <c r="I116" t="s">
        <v>65</v>
      </c>
      <c r="J116" t="s">
        <v>57</v>
      </c>
      <c r="K116">
        <v>0</v>
      </c>
      <c r="L116">
        <v>0</v>
      </c>
    </row>
    <row r="117" spans="1:12" hidden="1" x14ac:dyDescent="0.25">
      <c r="A117">
        <v>31</v>
      </c>
      <c r="C117" t="s">
        <v>3970</v>
      </c>
      <c r="D117" t="s">
        <v>57</v>
      </c>
      <c r="E117" t="str">
        <f>_xlfn.XLOOKUP(F117, Keys!B:B, Keys!A:A, "找不到")</f>
        <v>FA</v>
      </c>
      <c r="F117" t="s">
        <v>63</v>
      </c>
      <c r="G117">
        <v>0.97906797933772916</v>
      </c>
      <c r="H117" t="s">
        <v>64</v>
      </c>
      <c r="I117" t="s">
        <v>65</v>
      </c>
      <c r="J117" t="s">
        <v>57</v>
      </c>
      <c r="K117">
        <v>0</v>
      </c>
      <c r="L117">
        <v>0</v>
      </c>
    </row>
    <row r="118" spans="1:12" hidden="1" x14ac:dyDescent="0.25">
      <c r="A118">
        <v>39</v>
      </c>
      <c r="C118" t="s">
        <v>3970</v>
      </c>
      <c r="D118" t="s">
        <v>57</v>
      </c>
      <c r="E118" t="str">
        <f>_xlfn.XLOOKUP(F118, Keys!B:B, Keys!A:A, "找不到")</f>
        <v>FA</v>
      </c>
      <c r="F118" t="s">
        <v>63</v>
      </c>
      <c r="G118">
        <v>1.0294205981734159</v>
      </c>
      <c r="H118" t="s">
        <v>64</v>
      </c>
      <c r="I118" t="s">
        <v>65</v>
      </c>
      <c r="J118" t="s">
        <v>57</v>
      </c>
      <c r="K118">
        <v>0</v>
      </c>
      <c r="L118">
        <v>0</v>
      </c>
    </row>
    <row r="119" spans="1:12" hidden="1" x14ac:dyDescent="0.25">
      <c r="A119">
        <v>40</v>
      </c>
      <c r="C119" t="s">
        <v>3970</v>
      </c>
      <c r="D119" t="s">
        <v>57</v>
      </c>
      <c r="E119" t="str">
        <f>_xlfn.XLOOKUP(F119, Keys!B:B, Keys!A:A, "找不到")</f>
        <v>FA</v>
      </c>
      <c r="F119" t="s">
        <v>63</v>
      </c>
      <c r="G119">
        <v>0.8879661043894328</v>
      </c>
      <c r="H119" t="s">
        <v>64</v>
      </c>
      <c r="I119" t="s">
        <v>65</v>
      </c>
      <c r="J119" t="s">
        <v>57</v>
      </c>
      <c r="K119">
        <v>0</v>
      </c>
      <c r="L119">
        <v>0</v>
      </c>
    </row>
    <row r="120" spans="1:12" hidden="1" x14ac:dyDescent="0.25">
      <c r="A120">
        <v>41</v>
      </c>
      <c r="C120" t="s">
        <v>3970</v>
      </c>
      <c r="D120" t="s">
        <v>57</v>
      </c>
      <c r="E120" t="str">
        <f>_xlfn.XLOOKUP(F120, Keys!B:B, Keys!A:A, "找不到")</f>
        <v>FA</v>
      </c>
      <c r="F120" t="s">
        <v>63</v>
      </c>
      <c r="G120">
        <v>0.1174782417131997</v>
      </c>
      <c r="H120" t="s">
        <v>64</v>
      </c>
      <c r="I120" t="s">
        <v>65</v>
      </c>
      <c r="J120" t="s">
        <v>57</v>
      </c>
      <c r="K120">
        <v>0</v>
      </c>
      <c r="L120">
        <v>0</v>
      </c>
    </row>
    <row r="121" spans="1:12" hidden="1" x14ac:dyDescent="0.25">
      <c r="A121">
        <v>42</v>
      </c>
      <c r="C121" t="s">
        <v>3970</v>
      </c>
      <c r="D121" t="s">
        <v>57</v>
      </c>
      <c r="E121" t="str">
        <f>_xlfn.XLOOKUP(F121, Keys!B:B, Keys!A:A, "找不到")</f>
        <v>FA</v>
      </c>
      <c r="F121" t="s">
        <v>63</v>
      </c>
      <c r="G121">
        <v>0.2390205881637637</v>
      </c>
      <c r="H121" t="s">
        <v>64</v>
      </c>
      <c r="I121" t="s">
        <v>65</v>
      </c>
      <c r="J121" t="s">
        <v>57</v>
      </c>
      <c r="K121">
        <v>0</v>
      </c>
      <c r="L121">
        <v>0</v>
      </c>
    </row>
    <row r="122" spans="1:12" hidden="1" x14ac:dyDescent="0.25">
      <c r="A122">
        <v>43</v>
      </c>
      <c r="C122" t="s">
        <v>3970</v>
      </c>
      <c r="D122" t="s">
        <v>57</v>
      </c>
      <c r="E122" t="str">
        <f>_xlfn.XLOOKUP(F122, Keys!B:B, Keys!A:A, "找不到")</f>
        <v>FA</v>
      </c>
      <c r="F122" t="s">
        <v>63</v>
      </c>
      <c r="G122">
        <v>0.48404973086918179</v>
      </c>
      <c r="H122" t="s">
        <v>64</v>
      </c>
      <c r="I122" t="s">
        <v>65</v>
      </c>
      <c r="J122" t="s">
        <v>57</v>
      </c>
      <c r="K122">
        <v>0</v>
      </c>
      <c r="L122">
        <v>0</v>
      </c>
    </row>
    <row r="123" spans="1:12" hidden="1" x14ac:dyDescent="0.25">
      <c r="A123">
        <v>44</v>
      </c>
      <c r="C123" t="s">
        <v>3970</v>
      </c>
      <c r="D123" t="s">
        <v>57</v>
      </c>
      <c r="E123" t="str">
        <f>_xlfn.XLOOKUP(F123, Keys!B:B, Keys!A:A, "找不到")</f>
        <v>FA</v>
      </c>
      <c r="F123" t="s">
        <v>63</v>
      </c>
      <c r="G123">
        <v>2.4730751564914288</v>
      </c>
      <c r="H123" t="s">
        <v>64</v>
      </c>
      <c r="I123" t="s">
        <v>65</v>
      </c>
      <c r="J123" t="s">
        <v>57</v>
      </c>
      <c r="K123">
        <v>0</v>
      </c>
      <c r="L123">
        <v>0</v>
      </c>
    </row>
    <row r="124" spans="1:12" hidden="1" x14ac:dyDescent="0.25">
      <c r="A124">
        <v>45</v>
      </c>
      <c r="C124" t="s">
        <v>3970</v>
      </c>
      <c r="D124" t="s">
        <v>57</v>
      </c>
      <c r="E124" t="str">
        <f>_xlfn.XLOOKUP(F124, Keys!B:B, Keys!A:A, "找不到")</f>
        <v>FA</v>
      </c>
      <c r="F124" t="s">
        <v>63</v>
      </c>
      <c r="G124">
        <v>2.8866385631009752</v>
      </c>
      <c r="H124" t="s">
        <v>64</v>
      </c>
      <c r="I124" t="s">
        <v>65</v>
      </c>
      <c r="J124" t="s">
        <v>57</v>
      </c>
      <c r="K124">
        <v>0</v>
      </c>
      <c r="L124">
        <v>0</v>
      </c>
    </row>
    <row r="125" spans="1:12" hidden="1" x14ac:dyDescent="0.25">
      <c r="A125">
        <v>48</v>
      </c>
      <c r="C125" t="s">
        <v>3970</v>
      </c>
      <c r="D125" t="s">
        <v>57</v>
      </c>
      <c r="E125" t="str">
        <f>_xlfn.XLOOKUP(F125, Keys!B:B, Keys!A:A, "找不到")</f>
        <v>FA</v>
      </c>
      <c r="F125" t="s">
        <v>63</v>
      </c>
      <c r="G125">
        <v>2.996542221889507</v>
      </c>
      <c r="H125" t="s">
        <v>64</v>
      </c>
      <c r="I125" t="s">
        <v>65</v>
      </c>
      <c r="J125" t="s">
        <v>57</v>
      </c>
      <c r="K125">
        <v>0</v>
      </c>
      <c r="L125">
        <v>0</v>
      </c>
    </row>
    <row r="126" spans="1:12" hidden="1" x14ac:dyDescent="0.25">
      <c r="A126">
        <v>49</v>
      </c>
      <c r="C126" t="s">
        <v>3970</v>
      </c>
      <c r="D126" t="s">
        <v>57</v>
      </c>
      <c r="E126" t="str">
        <f>_xlfn.XLOOKUP(F126, Keys!B:B, Keys!A:A, "找不到")</f>
        <v>FA</v>
      </c>
      <c r="F126" t="s">
        <v>63</v>
      </c>
      <c r="G126">
        <v>0.18124558554680351</v>
      </c>
      <c r="H126" t="s">
        <v>64</v>
      </c>
      <c r="I126" t="s">
        <v>65</v>
      </c>
      <c r="J126" t="s">
        <v>673</v>
      </c>
      <c r="K126">
        <v>0</v>
      </c>
      <c r="L126">
        <v>0</v>
      </c>
    </row>
    <row r="127" spans="1:12" hidden="1" x14ac:dyDescent="0.25">
      <c r="A127">
        <v>67</v>
      </c>
      <c r="C127" t="s">
        <v>3970</v>
      </c>
      <c r="D127" t="s">
        <v>57</v>
      </c>
      <c r="E127" t="str">
        <f>_xlfn.XLOOKUP(F127, Keys!B:B, Keys!A:A, "找不到")</f>
        <v>FA</v>
      </c>
      <c r="F127" t="s">
        <v>63</v>
      </c>
      <c r="G127">
        <v>0.76383168249790567</v>
      </c>
      <c r="H127" t="s">
        <v>64</v>
      </c>
      <c r="I127" t="s">
        <v>65</v>
      </c>
      <c r="J127" t="s">
        <v>57</v>
      </c>
      <c r="K127">
        <v>0</v>
      </c>
      <c r="L127">
        <v>0</v>
      </c>
    </row>
    <row r="128" spans="1:12" hidden="1" x14ac:dyDescent="0.25">
      <c r="A128">
        <v>93</v>
      </c>
      <c r="C128" t="s">
        <v>3970</v>
      </c>
      <c r="D128" t="s">
        <v>57</v>
      </c>
      <c r="E128" t="str">
        <f>_xlfn.XLOOKUP(F128, Keys!B:B, Keys!A:A, "找不到")</f>
        <v>FA</v>
      </c>
      <c r="F128" t="s">
        <v>63</v>
      </c>
      <c r="G128">
        <v>7.282024244615747</v>
      </c>
      <c r="H128" t="s">
        <v>64</v>
      </c>
      <c r="I128" t="s">
        <v>65</v>
      </c>
      <c r="J128" t="s">
        <v>57</v>
      </c>
      <c r="K128">
        <v>0</v>
      </c>
      <c r="L128">
        <v>0</v>
      </c>
    </row>
    <row r="129" spans="1:12" hidden="1" x14ac:dyDescent="0.25">
      <c r="A129">
        <v>94</v>
      </c>
      <c r="C129" t="s">
        <v>3970</v>
      </c>
      <c r="D129" t="s">
        <v>57</v>
      </c>
      <c r="E129" t="str">
        <f>_xlfn.XLOOKUP(F129, Keys!B:B, Keys!A:A, "找不到")</f>
        <v>FA</v>
      </c>
      <c r="F129" t="s">
        <v>63</v>
      </c>
      <c r="G129">
        <v>3.6705800765650212</v>
      </c>
      <c r="H129" t="s">
        <v>64</v>
      </c>
      <c r="I129" t="s">
        <v>65</v>
      </c>
      <c r="J129" t="s">
        <v>57</v>
      </c>
      <c r="K129">
        <v>0</v>
      </c>
      <c r="L129">
        <v>0</v>
      </c>
    </row>
    <row r="130" spans="1:12" hidden="1" x14ac:dyDescent="0.25">
      <c r="A130">
        <v>95</v>
      </c>
      <c r="C130" t="s">
        <v>3970</v>
      </c>
      <c r="D130">
        <v>0</v>
      </c>
      <c r="E130" t="str">
        <f>_xlfn.XLOOKUP(F130, Keys!B:B, Keys!A:A, "找不到")</f>
        <v>FA</v>
      </c>
      <c r="F130" t="s">
        <v>63</v>
      </c>
      <c r="G130">
        <v>8.7661022233427719</v>
      </c>
      <c r="H130" t="s">
        <v>64</v>
      </c>
      <c r="I130" t="s">
        <v>65</v>
      </c>
      <c r="J130" t="s">
        <v>57</v>
      </c>
      <c r="K130">
        <v>0</v>
      </c>
      <c r="L130">
        <v>0</v>
      </c>
    </row>
    <row r="131" spans="1:12" hidden="1" x14ac:dyDescent="0.25">
      <c r="A131">
        <v>97</v>
      </c>
      <c r="C131" t="s">
        <v>3970</v>
      </c>
      <c r="D131" t="s">
        <v>57</v>
      </c>
      <c r="E131" t="str">
        <f>_xlfn.XLOOKUP(F131, Keys!B:B, Keys!A:A, "找不到")</f>
        <v>FA</v>
      </c>
      <c r="F131" t="s">
        <v>63</v>
      </c>
      <c r="G131">
        <v>0.50105006693560983</v>
      </c>
      <c r="H131" t="s">
        <v>64</v>
      </c>
      <c r="I131" t="s">
        <v>65</v>
      </c>
      <c r="J131" t="s">
        <v>57</v>
      </c>
      <c r="K131">
        <v>0</v>
      </c>
      <c r="L131">
        <v>0</v>
      </c>
    </row>
    <row r="132" spans="1:12" hidden="1" x14ac:dyDescent="0.25">
      <c r="A132">
        <v>98</v>
      </c>
      <c r="C132" t="s">
        <v>3970</v>
      </c>
      <c r="D132" t="s">
        <v>57</v>
      </c>
      <c r="E132" t="str">
        <f>_xlfn.XLOOKUP(F132, Keys!B:B, Keys!A:A, "找不到")</f>
        <v>FA</v>
      </c>
      <c r="F132" t="s">
        <v>63</v>
      </c>
      <c r="G132">
        <v>7.0520413184616713</v>
      </c>
      <c r="H132" t="s">
        <v>64</v>
      </c>
      <c r="I132" t="s">
        <v>65</v>
      </c>
      <c r="J132" t="s">
        <v>57</v>
      </c>
      <c r="K132">
        <v>0</v>
      </c>
      <c r="L132">
        <v>0</v>
      </c>
    </row>
    <row r="133" spans="1:12" hidden="1" x14ac:dyDescent="0.25">
      <c r="A133">
        <v>99</v>
      </c>
      <c r="C133" t="s">
        <v>3970</v>
      </c>
      <c r="D133" t="s">
        <v>57</v>
      </c>
      <c r="E133" t="str">
        <f>_xlfn.XLOOKUP(F133, Keys!B:B, Keys!A:A, "找不到")</f>
        <v>FA</v>
      </c>
      <c r="F133" t="s">
        <v>63</v>
      </c>
      <c r="G133">
        <v>8.6294103455127585E-2</v>
      </c>
      <c r="H133" t="s">
        <v>64</v>
      </c>
      <c r="I133" t="s">
        <v>65</v>
      </c>
      <c r="J133" t="s">
        <v>673</v>
      </c>
      <c r="K133">
        <v>0</v>
      </c>
      <c r="L133">
        <v>0</v>
      </c>
    </row>
    <row r="134" spans="1:12" hidden="1" x14ac:dyDescent="0.25">
      <c r="A134">
        <v>101</v>
      </c>
      <c r="C134" t="s">
        <v>3970</v>
      </c>
      <c r="D134" t="s">
        <v>57</v>
      </c>
      <c r="E134" t="str">
        <f>_xlfn.XLOOKUP(F134, Keys!B:B, Keys!A:A, "找不到")</f>
        <v>FA</v>
      </c>
      <c r="F134" t="s">
        <v>63</v>
      </c>
      <c r="G134">
        <v>24.119774922832381</v>
      </c>
      <c r="H134" t="s">
        <v>64</v>
      </c>
      <c r="I134" t="s">
        <v>65</v>
      </c>
      <c r="J134" t="s">
        <v>57</v>
      </c>
      <c r="K134">
        <v>0</v>
      </c>
      <c r="L134">
        <v>0</v>
      </c>
    </row>
    <row r="135" spans="1:12" hidden="1" x14ac:dyDescent="0.25">
      <c r="A135">
        <v>104</v>
      </c>
      <c r="C135" t="s">
        <v>3970</v>
      </c>
      <c r="D135" t="s">
        <v>57</v>
      </c>
      <c r="E135" t="str">
        <f>_xlfn.XLOOKUP(F135, Keys!B:B, Keys!A:A, "找不到")</f>
        <v>FA</v>
      </c>
      <c r="F135" t="s">
        <v>63</v>
      </c>
      <c r="G135">
        <v>13.38763154105686</v>
      </c>
      <c r="H135" t="s">
        <v>64</v>
      </c>
      <c r="I135" t="s">
        <v>65</v>
      </c>
      <c r="J135" t="s">
        <v>4166</v>
      </c>
      <c r="K135">
        <v>0</v>
      </c>
      <c r="L135">
        <v>0</v>
      </c>
    </row>
    <row r="136" spans="1:12" hidden="1" x14ac:dyDescent="0.25">
      <c r="A136">
        <v>105</v>
      </c>
      <c r="C136" t="s">
        <v>3970</v>
      </c>
      <c r="D136" t="s">
        <v>57</v>
      </c>
      <c r="E136" t="str">
        <f>_xlfn.XLOOKUP(F136, Keys!B:B, Keys!A:A, "找不到")</f>
        <v>FA</v>
      </c>
      <c r="F136" t="s">
        <v>63</v>
      </c>
      <c r="G136">
        <v>5.7023763283579463</v>
      </c>
      <c r="H136" t="s">
        <v>64</v>
      </c>
      <c r="I136" t="s">
        <v>65</v>
      </c>
      <c r="J136" t="s">
        <v>4166</v>
      </c>
      <c r="K136">
        <v>0</v>
      </c>
      <c r="L136">
        <v>0</v>
      </c>
    </row>
    <row r="137" spans="1:12" hidden="1" x14ac:dyDescent="0.25">
      <c r="A137">
        <v>106</v>
      </c>
      <c r="C137" t="s">
        <v>3970</v>
      </c>
      <c r="D137" t="s">
        <v>57</v>
      </c>
      <c r="E137" t="str">
        <f>_xlfn.XLOOKUP(F137, Keys!B:B, Keys!A:A, "找不到")</f>
        <v>FA</v>
      </c>
      <c r="F137" t="s">
        <v>63</v>
      </c>
      <c r="G137">
        <v>21.369058133432599</v>
      </c>
      <c r="H137" t="s">
        <v>64</v>
      </c>
      <c r="I137" t="s">
        <v>65</v>
      </c>
      <c r="J137" t="s">
        <v>4166</v>
      </c>
      <c r="K137">
        <v>0</v>
      </c>
      <c r="L137">
        <v>0</v>
      </c>
    </row>
    <row r="138" spans="1:12" hidden="1" x14ac:dyDescent="0.25">
      <c r="A138">
        <v>107</v>
      </c>
      <c r="C138" t="s">
        <v>3970</v>
      </c>
      <c r="D138" t="s">
        <v>57</v>
      </c>
      <c r="E138" t="str">
        <f>_xlfn.XLOOKUP(F138, Keys!B:B, Keys!A:A, "找不到")</f>
        <v>FA</v>
      </c>
      <c r="F138" t="s">
        <v>63</v>
      </c>
      <c r="G138">
        <v>2.2200812431525221</v>
      </c>
      <c r="H138" t="s">
        <v>64</v>
      </c>
      <c r="I138" t="s">
        <v>65</v>
      </c>
      <c r="J138" t="s">
        <v>4166</v>
      </c>
      <c r="K138">
        <v>0</v>
      </c>
      <c r="L138">
        <v>0</v>
      </c>
    </row>
    <row r="139" spans="1:12" hidden="1" x14ac:dyDescent="0.25">
      <c r="A139">
        <v>108</v>
      </c>
      <c r="C139" t="s">
        <v>3970</v>
      </c>
      <c r="D139" t="s">
        <v>57</v>
      </c>
      <c r="E139" t="str">
        <f>_xlfn.XLOOKUP(F139, Keys!B:B, Keys!A:A, "找不到")</f>
        <v>FA</v>
      </c>
      <c r="F139" t="s">
        <v>63</v>
      </c>
      <c r="G139">
        <v>3.6112420701272829</v>
      </c>
      <c r="H139" t="s">
        <v>64</v>
      </c>
      <c r="I139" t="s">
        <v>65</v>
      </c>
      <c r="J139" t="s">
        <v>4166</v>
      </c>
      <c r="K139">
        <v>0</v>
      </c>
      <c r="L139">
        <v>0</v>
      </c>
    </row>
    <row r="140" spans="1:12" hidden="1" x14ac:dyDescent="0.25">
      <c r="A140">
        <v>109</v>
      </c>
      <c r="C140" t="s">
        <v>3970</v>
      </c>
      <c r="D140" t="s">
        <v>57</v>
      </c>
      <c r="E140" t="str">
        <f>_xlfn.XLOOKUP(F140, Keys!B:B, Keys!A:A, "找不到")</f>
        <v>FA</v>
      </c>
      <c r="F140" t="s">
        <v>63</v>
      </c>
      <c r="G140">
        <v>2.1441971052157021</v>
      </c>
      <c r="H140" t="s">
        <v>64</v>
      </c>
      <c r="I140" t="s">
        <v>65</v>
      </c>
      <c r="J140" t="s">
        <v>4166</v>
      </c>
      <c r="K140">
        <v>0</v>
      </c>
      <c r="L140">
        <v>0</v>
      </c>
    </row>
    <row r="141" spans="1:12" hidden="1" x14ac:dyDescent="0.25">
      <c r="A141">
        <v>110</v>
      </c>
      <c r="C141" t="s">
        <v>3970</v>
      </c>
      <c r="D141" t="s">
        <v>57</v>
      </c>
      <c r="E141" t="str">
        <f>_xlfn.XLOOKUP(F141, Keys!B:B, Keys!A:A, "找不到")</f>
        <v>FA</v>
      </c>
      <c r="F141" t="s">
        <v>63</v>
      </c>
      <c r="G141">
        <v>2.884763006506585</v>
      </c>
      <c r="H141" t="s">
        <v>64</v>
      </c>
      <c r="I141" t="s">
        <v>65</v>
      </c>
      <c r="J141" t="s">
        <v>4166</v>
      </c>
      <c r="K141">
        <v>0</v>
      </c>
      <c r="L141">
        <v>0</v>
      </c>
    </row>
    <row r="142" spans="1:12" hidden="1" x14ac:dyDescent="0.25">
      <c r="A142">
        <v>111</v>
      </c>
      <c r="C142" t="s">
        <v>3970</v>
      </c>
      <c r="D142" t="s">
        <v>57</v>
      </c>
      <c r="E142" t="str">
        <f>_xlfn.XLOOKUP(F142, Keys!B:B, Keys!A:A, "找不到")</f>
        <v>FA</v>
      </c>
      <c r="F142" t="s">
        <v>63</v>
      </c>
      <c r="G142">
        <v>5.5265557908452108</v>
      </c>
      <c r="H142" t="s">
        <v>64</v>
      </c>
      <c r="I142" t="s">
        <v>65</v>
      </c>
      <c r="J142" t="s">
        <v>57</v>
      </c>
      <c r="K142">
        <v>0</v>
      </c>
      <c r="L142">
        <v>0</v>
      </c>
    </row>
    <row r="143" spans="1:12" hidden="1" x14ac:dyDescent="0.25">
      <c r="A143">
        <v>113</v>
      </c>
      <c r="C143" t="s">
        <v>3970</v>
      </c>
      <c r="D143" t="s">
        <v>57</v>
      </c>
      <c r="E143" t="str">
        <f>_xlfn.XLOOKUP(F143, Keys!B:B, Keys!A:A, "找不到")</f>
        <v>FA</v>
      </c>
      <c r="F143" t="s">
        <v>63</v>
      </c>
      <c r="G143">
        <v>1.630424086500553</v>
      </c>
      <c r="H143" t="s">
        <v>64</v>
      </c>
      <c r="I143" t="s">
        <v>65</v>
      </c>
      <c r="J143" t="s">
        <v>57</v>
      </c>
      <c r="K143">
        <v>0</v>
      </c>
      <c r="L143">
        <v>0</v>
      </c>
    </row>
    <row r="144" spans="1:12" hidden="1" x14ac:dyDescent="0.25">
      <c r="A144">
        <v>114</v>
      </c>
      <c r="C144" t="s">
        <v>3970</v>
      </c>
      <c r="D144" t="s">
        <v>57</v>
      </c>
      <c r="E144" t="str">
        <f>_xlfn.XLOOKUP(F144, Keys!B:B, Keys!A:A, "找不到")</f>
        <v>FA</v>
      </c>
      <c r="F144" t="s">
        <v>63</v>
      </c>
      <c r="G144">
        <v>5.2821969791005339</v>
      </c>
      <c r="H144" t="s">
        <v>64</v>
      </c>
      <c r="I144" t="s">
        <v>65</v>
      </c>
      <c r="J144" t="s">
        <v>57</v>
      </c>
      <c r="K144">
        <v>0</v>
      </c>
      <c r="L144">
        <v>0</v>
      </c>
    </row>
    <row r="145" spans="1:12" hidden="1" x14ac:dyDescent="0.25">
      <c r="A145">
        <v>118</v>
      </c>
      <c r="C145" t="s">
        <v>3970</v>
      </c>
      <c r="D145" t="s">
        <v>57</v>
      </c>
      <c r="E145" t="str">
        <f>_xlfn.XLOOKUP(F145, Keys!B:B, Keys!A:A, "找不到")</f>
        <v>FA</v>
      </c>
      <c r="F145" t="s">
        <v>63</v>
      </c>
      <c r="G145">
        <v>1.0039887269783481</v>
      </c>
      <c r="H145" t="s">
        <v>64</v>
      </c>
      <c r="I145" t="s">
        <v>65</v>
      </c>
      <c r="J145" t="s">
        <v>4185</v>
      </c>
      <c r="K145">
        <v>0</v>
      </c>
      <c r="L145">
        <v>0</v>
      </c>
    </row>
    <row r="146" spans="1:12" hidden="1" x14ac:dyDescent="0.25">
      <c r="A146">
        <v>130</v>
      </c>
      <c r="C146" t="s">
        <v>3970</v>
      </c>
      <c r="D146" t="s">
        <v>57</v>
      </c>
      <c r="E146" t="str">
        <f>_xlfn.XLOOKUP(F146, Keys!B:B, Keys!A:A, "找不到")</f>
        <v>FA</v>
      </c>
      <c r="F146" t="s">
        <v>63</v>
      </c>
      <c r="G146">
        <v>0.21766287692032291</v>
      </c>
      <c r="H146" t="s">
        <v>64</v>
      </c>
      <c r="I146" t="s">
        <v>65</v>
      </c>
      <c r="J146" t="s">
        <v>3980</v>
      </c>
      <c r="K146">
        <v>0</v>
      </c>
      <c r="L146">
        <v>0</v>
      </c>
    </row>
    <row r="147" spans="1:12" hidden="1" x14ac:dyDescent="0.25">
      <c r="A147">
        <v>137</v>
      </c>
      <c r="C147" t="s">
        <v>3970</v>
      </c>
      <c r="D147" t="s">
        <v>57</v>
      </c>
      <c r="E147" t="str">
        <f>_xlfn.XLOOKUP(F147, Keys!B:B, Keys!A:A, "找不到")</f>
        <v>FA</v>
      </c>
      <c r="F147" t="s">
        <v>63</v>
      </c>
      <c r="G147">
        <v>0.2398474560573666</v>
      </c>
      <c r="H147" t="s">
        <v>64</v>
      </c>
      <c r="I147" t="s">
        <v>65</v>
      </c>
      <c r="J147" t="s">
        <v>3980</v>
      </c>
      <c r="K147">
        <v>0</v>
      </c>
      <c r="L147">
        <v>0</v>
      </c>
    </row>
    <row r="148" spans="1:12" hidden="1" x14ac:dyDescent="0.25">
      <c r="A148">
        <v>144</v>
      </c>
      <c r="C148" t="s">
        <v>3970</v>
      </c>
      <c r="D148">
        <v>0</v>
      </c>
      <c r="E148" t="str">
        <f>_xlfn.XLOOKUP(F148, Keys!B:B, Keys!A:A, "找不到")</f>
        <v>FA</v>
      </c>
      <c r="F148" t="s">
        <v>63</v>
      </c>
      <c r="G148">
        <v>0.53579226782619882</v>
      </c>
      <c r="H148" t="s">
        <v>64</v>
      </c>
      <c r="I148" t="s">
        <v>65</v>
      </c>
      <c r="J148">
        <v>0</v>
      </c>
      <c r="K148">
        <v>0</v>
      </c>
      <c r="L148">
        <v>0</v>
      </c>
    </row>
    <row r="149" spans="1:12" hidden="1" x14ac:dyDescent="0.25">
      <c r="A149">
        <v>150</v>
      </c>
      <c r="C149" t="s">
        <v>3970</v>
      </c>
      <c r="D149">
        <v>0</v>
      </c>
      <c r="E149" t="str">
        <f>_xlfn.XLOOKUP(F149, Keys!B:B, Keys!A:A, "找不到")</f>
        <v>FA</v>
      </c>
      <c r="F149" t="s">
        <v>63</v>
      </c>
      <c r="G149">
        <v>2.4735811074000331</v>
      </c>
      <c r="H149" t="s">
        <v>64</v>
      </c>
      <c r="I149" t="s">
        <v>65</v>
      </c>
      <c r="J149">
        <v>0</v>
      </c>
      <c r="K149">
        <v>0</v>
      </c>
      <c r="L149">
        <v>0</v>
      </c>
    </row>
    <row r="150" spans="1:12" hidden="1" x14ac:dyDescent="0.25">
      <c r="A150">
        <v>151</v>
      </c>
      <c r="C150" t="s">
        <v>3970</v>
      </c>
      <c r="D150">
        <v>0</v>
      </c>
      <c r="E150" t="str">
        <f>_xlfn.XLOOKUP(F150, Keys!B:B, Keys!A:A, "找不到")</f>
        <v>FA</v>
      </c>
      <c r="F150" t="s">
        <v>63</v>
      </c>
      <c r="G150">
        <v>0.6635905523904494</v>
      </c>
      <c r="H150" t="s">
        <v>64</v>
      </c>
      <c r="I150" t="s">
        <v>65</v>
      </c>
      <c r="J150">
        <v>0</v>
      </c>
      <c r="K150">
        <v>0</v>
      </c>
      <c r="L150">
        <v>0</v>
      </c>
    </row>
    <row r="151" spans="1:12" hidden="1" x14ac:dyDescent="0.25">
      <c r="A151">
        <v>152</v>
      </c>
      <c r="C151" t="s">
        <v>3970</v>
      </c>
      <c r="D151">
        <v>0</v>
      </c>
      <c r="E151" t="str">
        <f>_xlfn.XLOOKUP(F151, Keys!B:B, Keys!A:A, "找不到")</f>
        <v>FA</v>
      </c>
      <c r="F151" t="s">
        <v>63</v>
      </c>
      <c r="G151">
        <v>4.9761206765064951</v>
      </c>
      <c r="H151" t="s">
        <v>64</v>
      </c>
      <c r="I151" t="s">
        <v>65</v>
      </c>
      <c r="J151">
        <v>0</v>
      </c>
      <c r="K151">
        <v>0</v>
      </c>
      <c r="L151">
        <v>0</v>
      </c>
    </row>
    <row r="152" spans="1:12" hidden="1" x14ac:dyDescent="0.25">
      <c r="A152">
        <v>153</v>
      </c>
      <c r="C152" t="s">
        <v>3970</v>
      </c>
      <c r="D152">
        <v>0</v>
      </c>
      <c r="E152" t="str">
        <f>_xlfn.XLOOKUP(F152, Keys!B:B, Keys!A:A, "找不到")</f>
        <v>FA</v>
      </c>
      <c r="F152" t="s">
        <v>63</v>
      </c>
      <c r="G152">
        <v>7.0393371464929837</v>
      </c>
      <c r="H152" t="s">
        <v>64</v>
      </c>
      <c r="I152" t="s">
        <v>65</v>
      </c>
      <c r="J152">
        <v>0</v>
      </c>
      <c r="K152">
        <v>0</v>
      </c>
      <c r="L152">
        <v>0</v>
      </c>
    </row>
    <row r="153" spans="1:12" hidden="1" x14ac:dyDescent="0.25">
      <c r="A153">
        <v>154</v>
      </c>
      <c r="C153" t="s">
        <v>3970</v>
      </c>
      <c r="D153">
        <v>0</v>
      </c>
      <c r="E153" t="str">
        <f>_xlfn.XLOOKUP(F153, Keys!B:B, Keys!A:A, "找不到")</f>
        <v>FA</v>
      </c>
      <c r="F153" t="s">
        <v>63</v>
      </c>
      <c r="G153">
        <v>4.9940343488108063E-3</v>
      </c>
      <c r="H153" t="s">
        <v>64</v>
      </c>
      <c r="I153" t="s">
        <v>65</v>
      </c>
      <c r="J153" t="s">
        <v>4234</v>
      </c>
      <c r="K153">
        <v>0</v>
      </c>
      <c r="L153">
        <v>0</v>
      </c>
    </row>
    <row r="154" spans="1:12" hidden="1" x14ac:dyDescent="0.25">
      <c r="A154">
        <v>161</v>
      </c>
      <c r="C154" t="s">
        <v>3970</v>
      </c>
      <c r="D154">
        <v>0</v>
      </c>
      <c r="E154" t="str">
        <f>_xlfn.XLOOKUP(F154, Keys!B:B, Keys!A:A, "找不到")</f>
        <v>FA</v>
      </c>
      <c r="F154" t="s">
        <v>63</v>
      </c>
      <c r="G154">
        <v>0.53290247667246415</v>
      </c>
      <c r="H154" t="s">
        <v>64</v>
      </c>
      <c r="I154" t="s">
        <v>65</v>
      </c>
      <c r="J154">
        <v>0</v>
      </c>
      <c r="K154">
        <v>0</v>
      </c>
      <c r="L154">
        <v>0</v>
      </c>
    </row>
    <row r="155" spans="1:12" hidden="1" x14ac:dyDescent="0.25">
      <c r="A155">
        <v>162</v>
      </c>
      <c r="C155" t="s">
        <v>3970</v>
      </c>
      <c r="D155">
        <v>0</v>
      </c>
      <c r="E155" t="str">
        <f>_xlfn.XLOOKUP(F155, Keys!B:B, Keys!A:A, "找不到")</f>
        <v>FA</v>
      </c>
      <c r="F155" t="s">
        <v>63</v>
      </c>
      <c r="G155">
        <v>0.45122519542249362</v>
      </c>
      <c r="H155" t="s">
        <v>64</v>
      </c>
      <c r="I155" t="s">
        <v>65</v>
      </c>
      <c r="J155">
        <v>0</v>
      </c>
      <c r="K155">
        <v>0</v>
      </c>
      <c r="L155">
        <v>0</v>
      </c>
    </row>
    <row r="156" spans="1:12" hidden="1" x14ac:dyDescent="0.25">
      <c r="A156">
        <v>163</v>
      </c>
      <c r="C156" t="s">
        <v>3970</v>
      </c>
      <c r="D156">
        <v>0</v>
      </c>
      <c r="E156" t="str">
        <f>_xlfn.XLOOKUP(F156, Keys!B:B, Keys!A:A, "找不到")</f>
        <v>FA</v>
      </c>
      <c r="F156" t="s">
        <v>63</v>
      </c>
      <c r="G156">
        <v>0.58208653818492295</v>
      </c>
      <c r="H156" t="s">
        <v>64</v>
      </c>
      <c r="I156" t="s">
        <v>65</v>
      </c>
      <c r="J156" t="s">
        <v>2621</v>
      </c>
      <c r="K156">
        <v>0</v>
      </c>
      <c r="L156">
        <v>0</v>
      </c>
    </row>
    <row r="157" spans="1:12" hidden="1" x14ac:dyDescent="0.25">
      <c r="A157">
        <v>164</v>
      </c>
      <c r="C157" t="s">
        <v>3970</v>
      </c>
      <c r="D157">
        <v>0</v>
      </c>
      <c r="E157" t="str">
        <f>_xlfn.XLOOKUP(F157, Keys!B:B, Keys!A:A, "找不到")</f>
        <v>FA</v>
      </c>
      <c r="F157" t="s">
        <v>63</v>
      </c>
      <c r="G157">
        <v>0.18799691796338069</v>
      </c>
      <c r="H157" t="s">
        <v>64</v>
      </c>
      <c r="I157" t="s">
        <v>65</v>
      </c>
      <c r="J157" t="s">
        <v>2621</v>
      </c>
      <c r="K157">
        <v>0</v>
      </c>
      <c r="L157">
        <v>0</v>
      </c>
    </row>
    <row r="158" spans="1:12" hidden="1" x14ac:dyDescent="0.25">
      <c r="A158">
        <v>168</v>
      </c>
      <c r="C158" t="s">
        <v>3970</v>
      </c>
      <c r="D158" t="s">
        <v>57</v>
      </c>
      <c r="E158" t="str">
        <f>_xlfn.XLOOKUP(F158, Keys!B:B, Keys!A:A, "找不到")</f>
        <v>FA</v>
      </c>
      <c r="F158" t="s">
        <v>63</v>
      </c>
      <c r="G158">
        <v>0.215568191060764</v>
      </c>
      <c r="H158" t="s">
        <v>64</v>
      </c>
      <c r="I158" t="s">
        <v>65</v>
      </c>
      <c r="J158" t="s">
        <v>57</v>
      </c>
      <c r="K158">
        <v>0</v>
      </c>
      <c r="L158">
        <v>0</v>
      </c>
    </row>
    <row r="159" spans="1:12" hidden="1" x14ac:dyDescent="0.25">
      <c r="A159">
        <v>169</v>
      </c>
      <c r="C159" t="s">
        <v>3970</v>
      </c>
      <c r="D159" t="s">
        <v>57</v>
      </c>
      <c r="E159" t="str">
        <f>_xlfn.XLOOKUP(F159, Keys!B:B, Keys!A:A, "找不到")</f>
        <v>FA</v>
      </c>
      <c r="F159" t="s">
        <v>63</v>
      </c>
      <c r="G159">
        <v>9.1184392362488306E-2</v>
      </c>
      <c r="H159" t="s">
        <v>64</v>
      </c>
      <c r="I159" t="s">
        <v>65</v>
      </c>
      <c r="J159" t="s">
        <v>57</v>
      </c>
      <c r="K159">
        <v>0</v>
      </c>
      <c r="L159">
        <v>0</v>
      </c>
    </row>
    <row r="160" spans="1:12" hidden="1" x14ac:dyDescent="0.25">
      <c r="A160">
        <v>170</v>
      </c>
      <c r="C160" t="s">
        <v>3970</v>
      </c>
      <c r="D160" t="s">
        <v>57</v>
      </c>
      <c r="E160" t="str">
        <f>_xlfn.XLOOKUP(F160, Keys!B:B, Keys!A:A, "找不到")</f>
        <v>FA</v>
      </c>
      <c r="F160" t="s">
        <v>63</v>
      </c>
      <c r="G160">
        <v>3.0493345506664329</v>
      </c>
      <c r="H160" t="s">
        <v>64</v>
      </c>
      <c r="I160" t="s">
        <v>65</v>
      </c>
      <c r="J160" t="s">
        <v>57</v>
      </c>
      <c r="K160">
        <v>0</v>
      </c>
      <c r="L160">
        <v>0</v>
      </c>
    </row>
    <row r="161" spans="1:12" hidden="1" x14ac:dyDescent="0.25">
      <c r="A161">
        <v>179</v>
      </c>
      <c r="C161" t="s">
        <v>3970</v>
      </c>
      <c r="D161">
        <v>0</v>
      </c>
      <c r="E161" t="str">
        <f>_xlfn.XLOOKUP(F161, Keys!B:B, Keys!A:A, "找不到")</f>
        <v>FA</v>
      </c>
      <c r="F161" t="s">
        <v>63</v>
      </c>
      <c r="G161">
        <v>5.3074515020949216</v>
      </c>
      <c r="H161" t="s">
        <v>64</v>
      </c>
      <c r="I161" t="s">
        <v>65</v>
      </c>
      <c r="J161" t="s">
        <v>57</v>
      </c>
      <c r="K161">
        <v>0</v>
      </c>
      <c r="L161">
        <v>0</v>
      </c>
    </row>
    <row r="162" spans="1:12" hidden="1" x14ac:dyDescent="0.25">
      <c r="A162">
        <v>7</v>
      </c>
      <c r="B162" t="s">
        <v>2605</v>
      </c>
      <c r="C162" t="s">
        <v>2606</v>
      </c>
      <c r="D162" t="s">
        <v>38</v>
      </c>
      <c r="E162" t="str">
        <f>_xlfn.XLOOKUP(F162, Keys!B:B, Keys!A:A, "找不到")</f>
        <v>FA</v>
      </c>
      <c r="F162" t="s">
        <v>63</v>
      </c>
      <c r="G162">
        <v>3.6017973646031119E-2</v>
      </c>
      <c r="H162" t="s">
        <v>64</v>
      </c>
      <c r="I162" t="s">
        <v>65</v>
      </c>
      <c r="J162" t="s">
        <v>2621</v>
      </c>
      <c r="K162">
        <v>0</v>
      </c>
      <c r="L162">
        <v>56.503796037893537</v>
      </c>
    </row>
    <row r="163" spans="1:12" hidden="1" x14ac:dyDescent="0.25">
      <c r="A163">
        <v>8</v>
      </c>
      <c r="B163" t="s">
        <v>2605</v>
      </c>
      <c r="C163" t="s">
        <v>2606</v>
      </c>
      <c r="D163" t="s">
        <v>38</v>
      </c>
      <c r="E163" t="str">
        <f>_xlfn.XLOOKUP(F163, Keys!B:B, Keys!A:A, "找不到")</f>
        <v>FA</v>
      </c>
      <c r="F163" t="s">
        <v>63</v>
      </c>
      <c r="G163">
        <v>2.437480542675461E-2</v>
      </c>
      <c r="H163" t="s">
        <v>64</v>
      </c>
      <c r="I163" t="s">
        <v>65</v>
      </c>
      <c r="J163" t="s">
        <v>2621</v>
      </c>
      <c r="K163">
        <v>0</v>
      </c>
      <c r="L163">
        <v>42.003004224244727</v>
      </c>
    </row>
    <row r="164" spans="1:12" hidden="1" x14ac:dyDescent="0.25">
      <c r="A164">
        <v>9</v>
      </c>
      <c r="B164" t="s">
        <v>2605</v>
      </c>
      <c r="C164" t="s">
        <v>2606</v>
      </c>
      <c r="D164" t="s">
        <v>38</v>
      </c>
      <c r="E164" t="str">
        <f>_xlfn.XLOOKUP(F164, Keys!B:B, Keys!A:A, "找不到")</f>
        <v>FA</v>
      </c>
      <c r="F164" t="s">
        <v>63</v>
      </c>
      <c r="G164">
        <v>0.27958647357593502</v>
      </c>
      <c r="H164" t="s">
        <v>64</v>
      </c>
      <c r="I164" t="s">
        <v>65</v>
      </c>
      <c r="J164" t="s">
        <v>2621</v>
      </c>
      <c r="K164">
        <v>0</v>
      </c>
      <c r="L164">
        <v>163.6262774288958</v>
      </c>
    </row>
    <row r="165" spans="1:12" hidden="1" x14ac:dyDescent="0.25">
      <c r="A165">
        <v>10</v>
      </c>
      <c r="B165" t="s">
        <v>2605</v>
      </c>
      <c r="C165" t="s">
        <v>2606</v>
      </c>
      <c r="D165">
        <v>0</v>
      </c>
      <c r="E165" t="str">
        <f>_xlfn.XLOOKUP(F165, Keys!B:B, Keys!A:A, "找不到")</f>
        <v>FA</v>
      </c>
      <c r="F165" t="s">
        <v>63</v>
      </c>
      <c r="G165">
        <v>3.0427457893323719</v>
      </c>
      <c r="H165" t="s">
        <v>64</v>
      </c>
      <c r="I165" t="s">
        <v>65</v>
      </c>
      <c r="J165" t="s">
        <v>2628</v>
      </c>
      <c r="K165">
        <v>0</v>
      </c>
      <c r="L165">
        <v>548.68157302681402</v>
      </c>
    </row>
    <row r="166" spans="1:12" hidden="1" x14ac:dyDescent="0.25">
      <c r="A166">
        <v>11</v>
      </c>
      <c r="B166" t="s">
        <v>2605</v>
      </c>
      <c r="C166" t="s">
        <v>2606</v>
      </c>
      <c r="D166">
        <v>0</v>
      </c>
      <c r="E166" t="str">
        <f>_xlfn.XLOOKUP(F166, Keys!B:B, Keys!A:A, "找不到")</f>
        <v>FA</v>
      </c>
      <c r="F166" t="s">
        <v>63</v>
      </c>
      <c r="G166">
        <v>25.536132523880099</v>
      </c>
      <c r="H166" t="s">
        <v>64</v>
      </c>
      <c r="I166" t="s">
        <v>65</v>
      </c>
      <c r="J166" t="s">
        <v>2628</v>
      </c>
      <c r="K166">
        <v>0</v>
      </c>
      <c r="L166">
        <v>1652.406288540823</v>
      </c>
    </row>
    <row r="167" spans="1:12" hidden="1" x14ac:dyDescent="0.25">
      <c r="A167">
        <v>12</v>
      </c>
      <c r="B167" t="s">
        <v>2605</v>
      </c>
      <c r="C167" t="s">
        <v>2606</v>
      </c>
      <c r="D167">
        <v>0</v>
      </c>
      <c r="E167" t="str">
        <f>_xlfn.XLOOKUP(F167, Keys!B:B, Keys!A:A, "找不到")</f>
        <v>FA</v>
      </c>
      <c r="F167" t="s">
        <v>63</v>
      </c>
      <c r="G167">
        <v>0.65714796786664254</v>
      </c>
      <c r="H167" t="s">
        <v>64</v>
      </c>
      <c r="I167" t="s">
        <v>65</v>
      </c>
      <c r="J167" t="s">
        <v>2634</v>
      </c>
      <c r="K167">
        <v>0</v>
      </c>
      <c r="L167">
        <v>344.69371588630793</v>
      </c>
    </row>
    <row r="168" spans="1:12" hidden="1" x14ac:dyDescent="0.25">
      <c r="A168">
        <v>13</v>
      </c>
      <c r="B168" t="s">
        <v>2605</v>
      </c>
      <c r="C168" t="s">
        <v>2606</v>
      </c>
      <c r="D168">
        <v>0</v>
      </c>
      <c r="E168" t="str">
        <f>_xlfn.XLOOKUP(F168, Keys!B:B, Keys!A:A, "找不到")</f>
        <v>FA</v>
      </c>
      <c r="F168" t="s">
        <v>63</v>
      </c>
      <c r="G168">
        <v>5.4266852839044466</v>
      </c>
      <c r="H168" t="s">
        <v>64</v>
      </c>
      <c r="I168" t="s">
        <v>65</v>
      </c>
      <c r="J168" t="s">
        <v>2634</v>
      </c>
      <c r="K168">
        <v>0</v>
      </c>
      <c r="L168">
        <v>828.00786052677381</v>
      </c>
    </row>
    <row r="169" spans="1:12" hidden="1" x14ac:dyDescent="0.25">
      <c r="A169">
        <v>14</v>
      </c>
      <c r="B169" t="s">
        <v>2605</v>
      </c>
      <c r="C169" t="s">
        <v>2606</v>
      </c>
      <c r="D169">
        <v>0</v>
      </c>
      <c r="E169" t="str">
        <f>_xlfn.XLOOKUP(F169, Keys!B:B, Keys!A:A, "找不到")</f>
        <v>FA</v>
      </c>
      <c r="F169" t="s">
        <v>63</v>
      </c>
      <c r="G169">
        <v>5.1356691536643639</v>
      </c>
      <c r="H169" t="s">
        <v>64</v>
      </c>
      <c r="I169" t="s">
        <v>65</v>
      </c>
      <c r="J169" t="s">
        <v>2634</v>
      </c>
      <c r="K169">
        <v>0</v>
      </c>
      <c r="L169">
        <v>1390.2540100660181</v>
      </c>
    </row>
    <row r="170" spans="1:12" hidden="1" x14ac:dyDescent="0.25">
      <c r="A170">
        <v>15</v>
      </c>
      <c r="B170" t="s">
        <v>2605</v>
      </c>
      <c r="C170" t="s">
        <v>2606</v>
      </c>
      <c r="D170">
        <v>0</v>
      </c>
      <c r="E170" t="str">
        <f>_xlfn.XLOOKUP(F170, Keys!B:B, Keys!A:A, "找不到")</f>
        <v>FA</v>
      </c>
      <c r="F170" t="s">
        <v>63</v>
      </c>
      <c r="G170">
        <v>3.304912958461903</v>
      </c>
      <c r="H170" t="s">
        <v>64</v>
      </c>
      <c r="I170" t="s">
        <v>65</v>
      </c>
      <c r="J170" t="s">
        <v>2634</v>
      </c>
      <c r="K170">
        <v>0</v>
      </c>
      <c r="L170">
        <v>1370.288114683535</v>
      </c>
    </row>
    <row r="171" spans="1:12" hidden="1" x14ac:dyDescent="0.25">
      <c r="A171">
        <v>16</v>
      </c>
      <c r="B171" t="s">
        <v>2605</v>
      </c>
      <c r="C171" t="s">
        <v>2606</v>
      </c>
      <c r="D171">
        <v>0</v>
      </c>
      <c r="E171" t="str">
        <f>_xlfn.XLOOKUP(F171, Keys!B:B, Keys!A:A, "找不到")</f>
        <v>FA</v>
      </c>
      <c r="F171" t="s">
        <v>63</v>
      </c>
      <c r="G171">
        <v>0.32083057246647562</v>
      </c>
      <c r="H171" t="s">
        <v>64</v>
      </c>
      <c r="I171" t="s">
        <v>65</v>
      </c>
      <c r="J171" t="s">
        <v>2639</v>
      </c>
      <c r="K171">
        <v>0</v>
      </c>
      <c r="L171">
        <v>203.50337794595271</v>
      </c>
    </row>
    <row r="172" spans="1:12" hidden="1" x14ac:dyDescent="0.25">
      <c r="A172">
        <v>17</v>
      </c>
      <c r="B172" t="s">
        <v>2605</v>
      </c>
      <c r="C172" t="s">
        <v>2606</v>
      </c>
      <c r="D172">
        <v>0</v>
      </c>
      <c r="E172" t="str">
        <f>_xlfn.XLOOKUP(F172, Keys!B:B, Keys!A:A, "找不到")</f>
        <v>FA</v>
      </c>
      <c r="F172" t="s">
        <v>63</v>
      </c>
      <c r="G172">
        <v>9.7692074272760969</v>
      </c>
      <c r="H172" t="s">
        <v>64</v>
      </c>
      <c r="I172" t="s">
        <v>65</v>
      </c>
      <c r="J172" t="s">
        <v>2639</v>
      </c>
      <c r="K172">
        <v>0</v>
      </c>
      <c r="L172">
        <v>1295.0318626402459</v>
      </c>
    </row>
    <row r="173" spans="1:12" hidden="1" x14ac:dyDescent="0.25">
      <c r="A173">
        <v>18</v>
      </c>
      <c r="B173" t="s">
        <v>2605</v>
      </c>
      <c r="C173" t="s">
        <v>2606</v>
      </c>
      <c r="D173">
        <v>0</v>
      </c>
      <c r="E173" t="str">
        <f>_xlfn.XLOOKUP(F173, Keys!B:B, Keys!A:A, "找不到")</f>
        <v>FA</v>
      </c>
      <c r="F173" t="s">
        <v>63</v>
      </c>
      <c r="G173">
        <v>0.86766204353955556</v>
      </c>
      <c r="H173" t="s">
        <v>64</v>
      </c>
      <c r="I173" t="s">
        <v>65</v>
      </c>
      <c r="J173" t="s">
        <v>1172</v>
      </c>
      <c r="K173">
        <v>0</v>
      </c>
      <c r="L173">
        <v>293.37656836008802</v>
      </c>
    </row>
    <row r="174" spans="1:12" hidden="1" x14ac:dyDescent="0.25">
      <c r="A174">
        <v>19</v>
      </c>
      <c r="B174" t="s">
        <v>2605</v>
      </c>
      <c r="C174" t="s">
        <v>2606</v>
      </c>
      <c r="D174">
        <v>0</v>
      </c>
      <c r="E174" t="str">
        <f>_xlfn.XLOOKUP(F174, Keys!B:B, Keys!A:A, "找不到")</f>
        <v>FA</v>
      </c>
      <c r="F174" t="s">
        <v>63</v>
      </c>
      <c r="G174">
        <v>5.0530011491041789</v>
      </c>
      <c r="H174" t="s">
        <v>64</v>
      </c>
      <c r="I174" t="s">
        <v>65</v>
      </c>
      <c r="J174" t="s">
        <v>2639</v>
      </c>
      <c r="K174">
        <v>0</v>
      </c>
      <c r="L174">
        <v>694.24752338706867</v>
      </c>
    </row>
    <row r="175" spans="1:12" hidden="1" x14ac:dyDescent="0.25">
      <c r="A175">
        <v>20</v>
      </c>
      <c r="B175" t="s">
        <v>2605</v>
      </c>
      <c r="C175" t="s">
        <v>2606</v>
      </c>
      <c r="D175">
        <v>0</v>
      </c>
      <c r="E175" t="str">
        <f>_xlfn.XLOOKUP(F175, Keys!B:B, Keys!A:A, "找不到")</f>
        <v>FA</v>
      </c>
      <c r="F175" t="s">
        <v>63</v>
      </c>
      <c r="G175">
        <v>0.52581166461930484</v>
      </c>
      <c r="H175" t="s">
        <v>64</v>
      </c>
      <c r="I175" t="s">
        <v>65</v>
      </c>
      <c r="J175" t="s">
        <v>2646</v>
      </c>
      <c r="K175">
        <v>0</v>
      </c>
      <c r="L175">
        <v>217.9682968147066</v>
      </c>
    </row>
    <row r="176" spans="1:12" hidden="1" x14ac:dyDescent="0.25">
      <c r="A176">
        <v>21</v>
      </c>
      <c r="B176" t="s">
        <v>2605</v>
      </c>
      <c r="C176" t="s">
        <v>2606</v>
      </c>
      <c r="D176">
        <v>0</v>
      </c>
      <c r="E176" t="str">
        <f>_xlfn.XLOOKUP(F176, Keys!B:B, Keys!A:A, "找不到")</f>
        <v>FA</v>
      </c>
      <c r="F176" t="s">
        <v>63</v>
      </c>
      <c r="G176">
        <v>35.494901488599808</v>
      </c>
      <c r="H176" t="s">
        <v>64</v>
      </c>
      <c r="I176" t="s">
        <v>65</v>
      </c>
      <c r="J176" t="s">
        <v>2649</v>
      </c>
      <c r="K176">
        <v>0</v>
      </c>
      <c r="L176">
        <v>3091.8899606416499</v>
      </c>
    </row>
    <row r="177" spans="1:12" hidden="1" x14ac:dyDescent="0.25">
      <c r="A177">
        <v>22</v>
      </c>
      <c r="B177" t="s">
        <v>2605</v>
      </c>
      <c r="C177" t="s">
        <v>2606</v>
      </c>
      <c r="D177">
        <v>0</v>
      </c>
      <c r="E177" t="str">
        <f>_xlfn.XLOOKUP(F177, Keys!B:B, Keys!A:A, "找不到")</f>
        <v>FA</v>
      </c>
      <c r="F177" t="s">
        <v>63</v>
      </c>
      <c r="G177">
        <v>1.78374225013551</v>
      </c>
      <c r="H177" t="s">
        <v>64</v>
      </c>
      <c r="I177" t="s">
        <v>65</v>
      </c>
      <c r="J177" t="s">
        <v>2649</v>
      </c>
      <c r="K177">
        <v>0</v>
      </c>
      <c r="L177">
        <v>348.12365649822237</v>
      </c>
    </row>
    <row r="178" spans="1:12" hidden="1" x14ac:dyDescent="0.25">
      <c r="A178">
        <v>27</v>
      </c>
      <c r="B178" t="s">
        <v>2605</v>
      </c>
      <c r="C178" t="s">
        <v>2606</v>
      </c>
      <c r="D178">
        <v>0</v>
      </c>
      <c r="E178" t="str">
        <f>_xlfn.XLOOKUP(F178, Keys!B:B, Keys!A:A, "找不到")</f>
        <v>FA</v>
      </c>
      <c r="F178" t="s">
        <v>63</v>
      </c>
      <c r="G178">
        <v>8.215360055981634</v>
      </c>
      <c r="H178" t="s">
        <v>64</v>
      </c>
      <c r="I178" t="s">
        <v>65</v>
      </c>
      <c r="J178" t="s">
        <v>2665</v>
      </c>
      <c r="K178">
        <v>0</v>
      </c>
      <c r="L178">
        <v>765.82106036188122</v>
      </c>
    </row>
    <row r="179" spans="1:12" hidden="1" x14ac:dyDescent="0.25">
      <c r="A179">
        <v>28</v>
      </c>
      <c r="B179" t="s">
        <v>2605</v>
      </c>
      <c r="C179" t="s">
        <v>2606</v>
      </c>
      <c r="D179">
        <v>0</v>
      </c>
      <c r="E179" t="str">
        <f>_xlfn.XLOOKUP(F179, Keys!B:B, Keys!A:A, "找不到")</f>
        <v>FA</v>
      </c>
      <c r="F179" t="s">
        <v>63</v>
      </c>
      <c r="G179">
        <v>5.6398310692491442</v>
      </c>
      <c r="H179" t="s">
        <v>64</v>
      </c>
      <c r="I179" t="s">
        <v>65</v>
      </c>
      <c r="J179">
        <v>0</v>
      </c>
      <c r="K179">
        <v>0</v>
      </c>
      <c r="L179">
        <v>766.16153031284466</v>
      </c>
    </row>
    <row r="180" spans="1:12" hidden="1" x14ac:dyDescent="0.25">
      <c r="A180">
        <v>29</v>
      </c>
      <c r="B180" t="s">
        <v>2605</v>
      </c>
      <c r="C180" t="s">
        <v>2606</v>
      </c>
      <c r="D180">
        <v>0</v>
      </c>
      <c r="E180" t="str">
        <f>_xlfn.XLOOKUP(F180, Keys!B:B, Keys!A:A, "找不到")</f>
        <v>FA</v>
      </c>
      <c r="F180" t="s">
        <v>63</v>
      </c>
      <c r="G180">
        <v>0.9435821339271494</v>
      </c>
      <c r="H180" t="s">
        <v>64</v>
      </c>
      <c r="I180" t="s">
        <v>65</v>
      </c>
      <c r="J180" t="s">
        <v>2670</v>
      </c>
      <c r="K180">
        <v>0</v>
      </c>
      <c r="L180">
        <v>257.46338413868142</v>
      </c>
    </row>
    <row r="181" spans="1:12" hidden="1" x14ac:dyDescent="0.25">
      <c r="A181">
        <v>30</v>
      </c>
      <c r="B181" t="s">
        <v>2605</v>
      </c>
      <c r="C181" t="s">
        <v>2606</v>
      </c>
      <c r="D181">
        <v>0</v>
      </c>
      <c r="E181" t="str">
        <f>_xlfn.XLOOKUP(F181, Keys!B:B, Keys!A:A, "找不到")</f>
        <v>FA</v>
      </c>
      <c r="F181" t="s">
        <v>63</v>
      </c>
      <c r="G181">
        <v>6.618605347913558</v>
      </c>
      <c r="H181" t="s">
        <v>64</v>
      </c>
      <c r="I181" t="s">
        <v>65</v>
      </c>
      <c r="J181" t="s">
        <v>2665</v>
      </c>
      <c r="K181">
        <v>0</v>
      </c>
      <c r="L181">
        <v>665.53813905590164</v>
      </c>
    </row>
    <row r="182" spans="1:12" hidden="1" x14ac:dyDescent="0.25">
      <c r="A182">
        <v>32</v>
      </c>
      <c r="B182" t="s">
        <v>2605</v>
      </c>
      <c r="C182" t="s">
        <v>2606</v>
      </c>
      <c r="D182">
        <v>0</v>
      </c>
      <c r="E182" t="str">
        <f>_xlfn.XLOOKUP(F182, Keys!B:B, Keys!A:A, "找不到")</f>
        <v>FA</v>
      </c>
      <c r="F182" t="s">
        <v>63</v>
      </c>
      <c r="G182">
        <v>4.7653082318149851</v>
      </c>
      <c r="H182" t="s">
        <v>64</v>
      </c>
      <c r="I182" t="s">
        <v>65</v>
      </c>
      <c r="J182" t="s">
        <v>2665</v>
      </c>
      <c r="K182">
        <v>0</v>
      </c>
      <c r="L182">
        <v>592.07959774579945</v>
      </c>
    </row>
    <row r="183" spans="1:12" hidden="1" x14ac:dyDescent="0.25">
      <c r="A183">
        <v>33</v>
      </c>
      <c r="B183" t="s">
        <v>2605</v>
      </c>
      <c r="C183" t="s">
        <v>2606</v>
      </c>
      <c r="D183">
        <v>0</v>
      </c>
      <c r="E183" t="str">
        <f>_xlfn.XLOOKUP(F183, Keys!B:B, Keys!A:A, "找不到")</f>
        <v>FA</v>
      </c>
      <c r="F183" t="s">
        <v>63</v>
      </c>
      <c r="G183">
        <v>5.0352508763192833E-2</v>
      </c>
      <c r="H183" t="s">
        <v>64</v>
      </c>
      <c r="I183" t="s">
        <v>65</v>
      </c>
      <c r="J183" t="s">
        <v>2676</v>
      </c>
      <c r="K183">
        <v>0</v>
      </c>
      <c r="L183">
        <v>55.624824633699667</v>
      </c>
    </row>
    <row r="184" spans="1:12" hidden="1" x14ac:dyDescent="0.25">
      <c r="A184">
        <v>34</v>
      </c>
      <c r="B184" t="s">
        <v>2605</v>
      </c>
      <c r="C184" t="s">
        <v>2606</v>
      </c>
      <c r="D184">
        <v>0</v>
      </c>
      <c r="E184" t="str">
        <f>_xlfn.XLOOKUP(F184, Keys!B:B, Keys!A:A, "找不到")</f>
        <v>FA</v>
      </c>
      <c r="F184" t="s">
        <v>63</v>
      </c>
      <c r="G184">
        <v>4.1797467668548967</v>
      </c>
      <c r="H184" t="s">
        <v>64</v>
      </c>
      <c r="I184" t="s">
        <v>65</v>
      </c>
      <c r="J184" t="s">
        <v>2665</v>
      </c>
      <c r="K184">
        <v>0</v>
      </c>
      <c r="L184">
        <v>718.45036161064252</v>
      </c>
    </row>
    <row r="185" spans="1:12" hidden="1" x14ac:dyDescent="0.25">
      <c r="A185">
        <v>36</v>
      </c>
      <c r="B185" t="s">
        <v>2605</v>
      </c>
      <c r="C185" t="s">
        <v>2606</v>
      </c>
      <c r="D185">
        <v>0</v>
      </c>
      <c r="E185" t="str">
        <f>_xlfn.XLOOKUP(F185, Keys!B:B, Keys!A:A, "找不到")</f>
        <v>FA</v>
      </c>
      <c r="F185" t="s">
        <v>63</v>
      </c>
      <c r="G185">
        <v>1.332667195102003</v>
      </c>
      <c r="H185" t="s">
        <v>64</v>
      </c>
      <c r="I185" t="s">
        <v>65</v>
      </c>
      <c r="J185" t="s">
        <v>2683</v>
      </c>
      <c r="K185">
        <v>0</v>
      </c>
      <c r="L185">
        <v>335.02385268514507</v>
      </c>
    </row>
    <row r="186" spans="1:12" hidden="1" x14ac:dyDescent="0.25">
      <c r="A186">
        <v>37</v>
      </c>
      <c r="B186" t="s">
        <v>2605</v>
      </c>
      <c r="C186" t="s">
        <v>2606</v>
      </c>
      <c r="D186">
        <v>0</v>
      </c>
      <c r="E186" t="str">
        <f>_xlfn.XLOOKUP(F186, Keys!B:B, Keys!A:A, "找不到")</f>
        <v>FA</v>
      </c>
      <c r="F186" t="s">
        <v>63</v>
      </c>
      <c r="G186">
        <v>2.5899613998817319</v>
      </c>
      <c r="H186" t="s">
        <v>64</v>
      </c>
      <c r="I186" t="s">
        <v>65</v>
      </c>
      <c r="J186" t="s">
        <v>2686</v>
      </c>
      <c r="K186">
        <v>0</v>
      </c>
      <c r="L186">
        <v>550.47416018475735</v>
      </c>
    </row>
    <row r="187" spans="1:12" hidden="1" x14ac:dyDescent="0.25">
      <c r="A187">
        <v>40</v>
      </c>
      <c r="B187" t="s">
        <v>2605</v>
      </c>
      <c r="C187" t="s">
        <v>2606</v>
      </c>
      <c r="D187">
        <v>0</v>
      </c>
      <c r="E187" t="str">
        <f>_xlfn.XLOOKUP(F187, Keys!B:B, Keys!A:A, "找不到")</f>
        <v>FA</v>
      </c>
      <c r="F187" t="s">
        <v>63</v>
      </c>
      <c r="G187">
        <v>0.40488684506415079</v>
      </c>
      <c r="H187" t="s">
        <v>64</v>
      </c>
      <c r="I187" t="s">
        <v>65</v>
      </c>
      <c r="J187" t="s">
        <v>2694</v>
      </c>
      <c r="K187">
        <v>0</v>
      </c>
      <c r="L187">
        <v>187.86667593691189</v>
      </c>
    </row>
    <row r="188" spans="1:12" hidden="1" x14ac:dyDescent="0.25">
      <c r="A188">
        <v>41</v>
      </c>
      <c r="B188" t="s">
        <v>2605</v>
      </c>
      <c r="C188" t="s">
        <v>2606</v>
      </c>
      <c r="D188">
        <v>0</v>
      </c>
      <c r="E188" t="str">
        <f>_xlfn.XLOOKUP(F188, Keys!B:B, Keys!A:A, "找不到")</f>
        <v>FA</v>
      </c>
      <c r="F188" t="s">
        <v>63</v>
      </c>
      <c r="G188">
        <v>0.32498555121800732</v>
      </c>
      <c r="H188" t="s">
        <v>64</v>
      </c>
      <c r="I188" t="s">
        <v>65</v>
      </c>
      <c r="J188" t="s">
        <v>2686</v>
      </c>
      <c r="K188">
        <v>0</v>
      </c>
      <c r="L188">
        <v>146.41702700366599</v>
      </c>
    </row>
    <row r="189" spans="1:12" hidden="1" x14ac:dyDescent="0.25">
      <c r="A189">
        <v>42</v>
      </c>
      <c r="B189" t="s">
        <v>2605</v>
      </c>
      <c r="C189" t="s">
        <v>2606</v>
      </c>
      <c r="D189">
        <v>0</v>
      </c>
      <c r="E189" t="str">
        <f>_xlfn.XLOOKUP(F189, Keys!B:B, Keys!A:A, "找不到")</f>
        <v>FA</v>
      </c>
      <c r="F189" t="s">
        <v>63</v>
      </c>
      <c r="G189">
        <v>1.4080601753549171E-2</v>
      </c>
      <c r="H189" t="s">
        <v>64</v>
      </c>
      <c r="I189" t="s">
        <v>65</v>
      </c>
      <c r="J189" t="s">
        <v>2694</v>
      </c>
      <c r="K189">
        <v>0</v>
      </c>
      <c r="L189">
        <v>30.98189159619297</v>
      </c>
    </row>
    <row r="190" spans="1:12" hidden="1" x14ac:dyDescent="0.25">
      <c r="A190">
        <v>45</v>
      </c>
      <c r="B190" t="s">
        <v>2605</v>
      </c>
      <c r="C190" t="s">
        <v>2606</v>
      </c>
      <c r="D190" t="s">
        <v>2702</v>
      </c>
      <c r="E190" t="str">
        <f>_xlfn.XLOOKUP(F190, Keys!B:B, Keys!A:A, "找不到")</f>
        <v>FA</v>
      </c>
      <c r="F190" t="s">
        <v>63</v>
      </c>
      <c r="G190">
        <v>9.3299718810714811</v>
      </c>
      <c r="H190" t="s">
        <v>64</v>
      </c>
      <c r="I190" t="s">
        <v>65</v>
      </c>
      <c r="J190" t="s">
        <v>2703</v>
      </c>
      <c r="K190">
        <v>0</v>
      </c>
      <c r="L190">
        <v>1152.2688481621051</v>
      </c>
    </row>
    <row r="191" spans="1:12" hidden="1" x14ac:dyDescent="0.25">
      <c r="A191">
        <v>46</v>
      </c>
      <c r="B191" t="s">
        <v>2605</v>
      </c>
      <c r="C191" t="s">
        <v>2606</v>
      </c>
      <c r="D191">
        <v>0</v>
      </c>
      <c r="E191" t="str">
        <f>_xlfn.XLOOKUP(F191, Keys!B:B, Keys!A:A, "找不到")</f>
        <v>FA</v>
      </c>
      <c r="F191" t="s">
        <v>63</v>
      </c>
      <c r="G191">
        <v>4.6543379205469986</v>
      </c>
      <c r="H191" t="s">
        <v>64</v>
      </c>
      <c r="I191" t="s">
        <v>65</v>
      </c>
      <c r="J191" t="s">
        <v>2706</v>
      </c>
      <c r="K191">
        <v>0</v>
      </c>
      <c r="L191">
        <v>597.62718506393003</v>
      </c>
    </row>
    <row r="192" spans="1:12" hidden="1" x14ac:dyDescent="0.25">
      <c r="A192">
        <v>47</v>
      </c>
      <c r="B192" t="s">
        <v>2605</v>
      </c>
      <c r="C192" t="s">
        <v>2606</v>
      </c>
      <c r="D192">
        <v>0</v>
      </c>
      <c r="E192" t="str">
        <f>_xlfn.XLOOKUP(F192, Keys!B:B, Keys!A:A, "找不到")</f>
        <v>FA</v>
      </c>
      <c r="F192" t="s">
        <v>63</v>
      </c>
      <c r="G192">
        <v>1.453860116805217</v>
      </c>
      <c r="H192" t="s">
        <v>64</v>
      </c>
      <c r="I192" t="s">
        <v>65</v>
      </c>
      <c r="J192" t="s">
        <v>2709</v>
      </c>
      <c r="K192">
        <v>0</v>
      </c>
      <c r="L192">
        <v>366.49634603309153</v>
      </c>
    </row>
    <row r="193" spans="1:12" hidden="1" x14ac:dyDescent="0.25">
      <c r="A193">
        <v>48</v>
      </c>
      <c r="B193" t="s">
        <v>2605</v>
      </c>
      <c r="C193" t="s">
        <v>2606</v>
      </c>
      <c r="D193" t="s">
        <v>2712</v>
      </c>
      <c r="E193" t="str">
        <f>_xlfn.XLOOKUP(F193, Keys!B:B, Keys!A:A, "找不到")</f>
        <v>FA</v>
      </c>
      <c r="F193" t="s">
        <v>63</v>
      </c>
      <c r="G193">
        <v>0.81925716071091426</v>
      </c>
      <c r="H193" t="s">
        <v>64</v>
      </c>
      <c r="I193" t="s">
        <v>65</v>
      </c>
      <c r="J193" t="s">
        <v>2713</v>
      </c>
      <c r="K193">
        <v>0</v>
      </c>
      <c r="L193">
        <v>396.53375333583682</v>
      </c>
    </row>
    <row r="194" spans="1:12" hidden="1" x14ac:dyDescent="0.25">
      <c r="A194">
        <v>49</v>
      </c>
      <c r="B194" t="s">
        <v>2605</v>
      </c>
      <c r="C194" t="s">
        <v>2606</v>
      </c>
      <c r="D194" t="s">
        <v>2712</v>
      </c>
      <c r="E194" t="str">
        <f>_xlfn.XLOOKUP(F194, Keys!B:B, Keys!A:A, "找不到")</f>
        <v>FA</v>
      </c>
      <c r="F194" t="s">
        <v>63</v>
      </c>
      <c r="G194">
        <v>0.36451205504216388</v>
      </c>
      <c r="H194" t="s">
        <v>64</v>
      </c>
      <c r="I194" t="s">
        <v>65</v>
      </c>
      <c r="J194" t="s">
        <v>2713</v>
      </c>
      <c r="K194">
        <v>0</v>
      </c>
      <c r="L194">
        <v>189.61768869494509</v>
      </c>
    </row>
    <row r="195" spans="1:12" hidden="1" x14ac:dyDescent="0.25">
      <c r="A195">
        <v>51</v>
      </c>
      <c r="B195" t="s">
        <v>2605</v>
      </c>
      <c r="C195" t="s">
        <v>2606</v>
      </c>
      <c r="D195">
        <v>0</v>
      </c>
      <c r="E195" t="str">
        <f>_xlfn.XLOOKUP(F195, Keys!B:B, Keys!A:A, "找不到")</f>
        <v>FA</v>
      </c>
      <c r="F195" t="s">
        <v>63</v>
      </c>
      <c r="G195">
        <v>0.58995108322071765</v>
      </c>
      <c r="H195" t="s">
        <v>64</v>
      </c>
      <c r="I195" t="s">
        <v>65</v>
      </c>
      <c r="J195" t="s">
        <v>2718</v>
      </c>
      <c r="K195">
        <v>0</v>
      </c>
      <c r="L195">
        <v>197.42309457741149</v>
      </c>
    </row>
    <row r="196" spans="1:12" hidden="1" x14ac:dyDescent="0.25">
      <c r="A196">
        <v>53</v>
      </c>
      <c r="B196" t="s">
        <v>2605</v>
      </c>
      <c r="C196" t="s">
        <v>2606</v>
      </c>
      <c r="D196" t="s">
        <v>2712</v>
      </c>
      <c r="E196" t="str">
        <f>_xlfn.XLOOKUP(F196, Keys!B:B, Keys!A:A, "找不到")</f>
        <v>FA</v>
      </c>
      <c r="F196" t="s">
        <v>63</v>
      </c>
      <c r="G196">
        <v>0.11568257589962259</v>
      </c>
      <c r="H196" t="s">
        <v>64</v>
      </c>
      <c r="I196" t="s">
        <v>65</v>
      </c>
      <c r="J196" t="s">
        <v>2722</v>
      </c>
      <c r="K196">
        <v>0</v>
      </c>
      <c r="L196">
        <v>89.779500421561565</v>
      </c>
    </row>
    <row r="197" spans="1:12" hidden="1" x14ac:dyDescent="0.25">
      <c r="A197">
        <v>56</v>
      </c>
      <c r="B197" t="s">
        <v>2605</v>
      </c>
      <c r="C197" t="s">
        <v>2606</v>
      </c>
      <c r="D197">
        <v>0</v>
      </c>
      <c r="E197" t="str">
        <f>_xlfn.XLOOKUP(F197, Keys!B:B, Keys!A:A, "找不到")</f>
        <v>FA</v>
      </c>
      <c r="F197" t="s">
        <v>63</v>
      </c>
      <c r="G197">
        <v>42.502045142711729</v>
      </c>
      <c r="H197" t="s">
        <v>64</v>
      </c>
      <c r="I197" t="s">
        <v>65</v>
      </c>
      <c r="J197" t="s">
        <v>2724</v>
      </c>
      <c r="K197">
        <v>0</v>
      </c>
      <c r="L197">
        <v>1862.8056522097791</v>
      </c>
    </row>
    <row r="198" spans="1:12" hidden="1" x14ac:dyDescent="0.25">
      <c r="A198">
        <v>59</v>
      </c>
      <c r="B198" t="s">
        <v>2605</v>
      </c>
      <c r="C198" t="s">
        <v>2606</v>
      </c>
      <c r="D198">
        <v>0</v>
      </c>
      <c r="E198" t="str">
        <f>_xlfn.XLOOKUP(F198, Keys!B:B, Keys!A:A, "找不到")</f>
        <v>FA</v>
      </c>
      <c r="F198" t="s">
        <v>63</v>
      </c>
      <c r="G198">
        <v>2.2802909881910249</v>
      </c>
      <c r="H198" t="s">
        <v>64</v>
      </c>
      <c r="I198" t="s">
        <v>65</v>
      </c>
      <c r="J198" t="s">
        <v>2732</v>
      </c>
      <c r="K198">
        <v>0</v>
      </c>
      <c r="L198">
        <v>466.27139861278312</v>
      </c>
    </row>
    <row r="199" spans="1:12" hidden="1" x14ac:dyDescent="0.25">
      <c r="A199">
        <v>61</v>
      </c>
      <c r="B199" t="s">
        <v>2605</v>
      </c>
      <c r="C199" t="s">
        <v>2606</v>
      </c>
      <c r="D199">
        <v>0</v>
      </c>
      <c r="E199" t="str">
        <f>_xlfn.XLOOKUP(F199, Keys!B:B, Keys!A:A, "找不到")</f>
        <v>FA</v>
      </c>
      <c r="F199" t="s">
        <v>63</v>
      </c>
      <c r="G199">
        <v>0.63535297107212019</v>
      </c>
      <c r="H199" t="s">
        <v>64</v>
      </c>
      <c r="I199" t="s">
        <v>65</v>
      </c>
      <c r="J199" t="s">
        <v>2736</v>
      </c>
      <c r="K199">
        <v>0</v>
      </c>
      <c r="L199">
        <v>223.00271003876799</v>
      </c>
    </row>
    <row r="200" spans="1:12" hidden="1" x14ac:dyDescent="0.25">
      <c r="A200">
        <v>62</v>
      </c>
      <c r="B200" t="s">
        <v>2605</v>
      </c>
      <c r="C200" t="s">
        <v>2606</v>
      </c>
      <c r="D200">
        <v>0</v>
      </c>
      <c r="E200" t="str">
        <f>_xlfn.XLOOKUP(F200, Keys!B:B, Keys!A:A, "找不到")</f>
        <v>FA</v>
      </c>
      <c r="F200" t="s">
        <v>63</v>
      </c>
      <c r="G200">
        <v>2.3873873891201249</v>
      </c>
      <c r="H200" t="s">
        <v>64</v>
      </c>
      <c r="I200" t="s">
        <v>65</v>
      </c>
      <c r="J200" t="s">
        <v>2724</v>
      </c>
      <c r="K200">
        <v>0</v>
      </c>
      <c r="L200">
        <v>422.34240330458073</v>
      </c>
    </row>
    <row r="201" spans="1:12" hidden="1" x14ac:dyDescent="0.25">
      <c r="A201">
        <v>65</v>
      </c>
      <c r="B201" t="s">
        <v>2605</v>
      </c>
      <c r="C201" t="s">
        <v>2606</v>
      </c>
      <c r="D201">
        <v>0</v>
      </c>
      <c r="E201" t="str">
        <f>_xlfn.XLOOKUP(F201, Keys!B:B, Keys!A:A, "找不到")</f>
        <v>FA</v>
      </c>
      <c r="F201" t="s">
        <v>63</v>
      </c>
      <c r="G201">
        <v>11.419657221227</v>
      </c>
      <c r="H201" t="s">
        <v>64</v>
      </c>
      <c r="I201" t="s">
        <v>65</v>
      </c>
      <c r="J201" t="s">
        <v>2732</v>
      </c>
      <c r="K201">
        <v>0</v>
      </c>
      <c r="L201">
        <v>972.92880628404498</v>
      </c>
    </row>
    <row r="202" spans="1:12" hidden="1" x14ac:dyDescent="0.25">
      <c r="A202">
        <v>66</v>
      </c>
      <c r="B202" t="s">
        <v>2605</v>
      </c>
      <c r="C202" t="s">
        <v>2606</v>
      </c>
      <c r="D202">
        <v>0</v>
      </c>
      <c r="E202" t="str">
        <f>_xlfn.XLOOKUP(F202, Keys!B:B, Keys!A:A, "找不到")</f>
        <v>FA</v>
      </c>
      <c r="F202" t="s">
        <v>63</v>
      </c>
      <c r="G202">
        <v>0.1952525132501888</v>
      </c>
      <c r="H202" t="s">
        <v>64</v>
      </c>
      <c r="I202" t="s">
        <v>65</v>
      </c>
      <c r="J202" t="s">
        <v>2732</v>
      </c>
      <c r="K202">
        <v>0</v>
      </c>
      <c r="L202">
        <v>149.90565161635499</v>
      </c>
    </row>
    <row r="203" spans="1:12" hidden="1" x14ac:dyDescent="0.25">
      <c r="A203">
        <v>67</v>
      </c>
      <c r="B203" t="s">
        <v>2605</v>
      </c>
      <c r="C203" t="s">
        <v>2606</v>
      </c>
      <c r="D203">
        <v>0</v>
      </c>
      <c r="E203" t="str">
        <f>_xlfn.XLOOKUP(F203, Keys!B:B, Keys!A:A, "找不到")</f>
        <v>FA</v>
      </c>
      <c r="F203" t="s">
        <v>63</v>
      </c>
      <c r="G203">
        <v>0.42929101500374878</v>
      </c>
      <c r="H203" t="s">
        <v>64</v>
      </c>
      <c r="I203" t="s">
        <v>65</v>
      </c>
      <c r="J203" t="s">
        <v>2745</v>
      </c>
      <c r="K203">
        <v>0</v>
      </c>
      <c r="L203">
        <v>184.64797678197979</v>
      </c>
    </row>
    <row r="204" spans="1:12" hidden="1" x14ac:dyDescent="0.25">
      <c r="A204">
        <v>69</v>
      </c>
      <c r="B204" t="s">
        <v>2605</v>
      </c>
      <c r="C204" t="s">
        <v>2606</v>
      </c>
      <c r="D204">
        <v>0</v>
      </c>
      <c r="E204" t="str">
        <f>_xlfn.XLOOKUP(F204, Keys!B:B, Keys!A:A, "找不到")</f>
        <v>FA</v>
      </c>
      <c r="F204" t="s">
        <v>63</v>
      </c>
      <c r="G204">
        <v>5.063741299338384E-2</v>
      </c>
      <c r="H204" t="s">
        <v>64</v>
      </c>
      <c r="I204" t="s">
        <v>65</v>
      </c>
      <c r="J204" t="s">
        <v>2747</v>
      </c>
      <c r="K204">
        <v>0</v>
      </c>
      <c r="L204">
        <v>68.506838806593862</v>
      </c>
    </row>
    <row r="205" spans="1:12" hidden="1" x14ac:dyDescent="0.25">
      <c r="A205">
        <v>70</v>
      </c>
      <c r="B205" t="s">
        <v>2605</v>
      </c>
      <c r="C205" t="s">
        <v>2606</v>
      </c>
      <c r="D205">
        <v>0</v>
      </c>
      <c r="E205" t="str">
        <f>_xlfn.XLOOKUP(F205, Keys!B:B, Keys!A:A, "找不到")</f>
        <v>FA</v>
      </c>
      <c r="F205" t="s">
        <v>63</v>
      </c>
      <c r="G205">
        <v>0.63990018410883487</v>
      </c>
      <c r="H205" t="s">
        <v>64</v>
      </c>
      <c r="I205" t="s">
        <v>65</v>
      </c>
      <c r="J205" t="s">
        <v>673</v>
      </c>
      <c r="K205">
        <v>0</v>
      </c>
      <c r="L205">
        <v>223.48729547600189</v>
      </c>
    </row>
    <row r="206" spans="1:12" hidden="1" x14ac:dyDescent="0.25">
      <c r="A206">
        <v>72</v>
      </c>
      <c r="B206" t="s">
        <v>2605</v>
      </c>
      <c r="C206" t="s">
        <v>2606</v>
      </c>
      <c r="D206">
        <v>0</v>
      </c>
      <c r="E206" t="str">
        <f>_xlfn.XLOOKUP(F206, Keys!B:B, Keys!A:A, "找不到")</f>
        <v>FA</v>
      </c>
      <c r="F206" t="s">
        <v>63</v>
      </c>
      <c r="G206">
        <v>2.333167003347314</v>
      </c>
      <c r="H206" t="s">
        <v>64</v>
      </c>
      <c r="I206" t="s">
        <v>65</v>
      </c>
      <c r="J206">
        <v>0</v>
      </c>
      <c r="K206">
        <v>0</v>
      </c>
      <c r="L206">
        <v>452.2627147667082</v>
      </c>
    </row>
    <row r="207" spans="1:12" hidden="1" x14ac:dyDescent="0.25">
      <c r="A207">
        <v>73</v>
      </c>
      <c r="B207" t="s">
        <v>2605</v>
      </c>
      <c r="C207" t="s">
        <v>2606</v>
      </c>
      <c r="D207" t="s">
        <v>2712</v>
      </c>
      <c r="E207" t="str">
        <f>_xlfn.XLOOKUP(F207, Keys!B:B, Keys!A:A, "找不到")</f>
        <v>FA</v>
      </c>
      <c r="F207" t="s">
        <v>63</v>
      </c>
      <c r="G207">
        <v>9.3285037837312572</v>
      </c>
      <c r="H207" t="s">
        <v>64</v>
      </c>
      <c r="I207" t="s">
        <v>65</v>
      </c>
      <c r="J207" t="s">
        <v>2713</v>
      </c>
      <c r="K207">
        <v>0</v>
      </c>
      <c r="L207">
        <v>907.29569779888084</v>
      </c>
    </row>
    <row r="208" spans="1:12" hidden="1" x14ac:dyDescent="0.25">
      <c r="A208">
        <v>74</v>
      </c>
      <c r="B208" t="s">
        <v>2605</v>
      </c>
      <c r="C208" t="s">
        <v>2606</v>
      </c>
      <c r="D208" t="s">
        <v>2712</v>
      </c>
      <c r="E208" t="str">
        <f>_xlfn.XLOOKUP(F208, Keys!B:B, Keys!A:A, "找不到")</f>
        <v>FA</v>
      </c>
      <c r="F208" t="s">
        <v>63</v>
      </c>
      <c r="G208">
        <v>0.1511547524619134</v>
      </c>
      <c r="H208" t="s">
        <v>64</v>
      </c>
      <c r="I208" t="s">
        <v>65</v>
      </c>
      <c r="J208" t="s">
        <v>2722</v>
      </c>
      <c r="K208">
        <v>0</v>
      </c>
      <c r="L208">
        <v>152.44297606350719</v>
      </c>
    </row>
    <row r="209" spans="1:12" hidden="1" x14ac:dyDescent="0.25">
      <c r="A209">
        <v>75</v>
      </c>
      <c r="B209" t="s">
        <v>2605</v>
      </c>
      <c r="C209" t="s">
        <v>2606</v>
      </c>
      <c r="D209">
        <v>0</v>
      </c>
      <c r="E209" t="str">
        <f>_xlfn.XLOOKUP(F209, Keys!B:B, Keys!A:A, "找不到")</f>
        <v>FA</v>
      </c>
      <c r="F209" t="s">
        <v>63</v>
      </c>
      <c r="G209">
        <v>3.1656172361733379</v>
      </c>
      <c r="H209" t="s">
        <v>64</v>
      </c>
      <c r="I209" t="s">
        <v>65</v>
      </c>
      <c r="J209" t="s">
        <v>2756</v>
      </c>
      <c r="K209">
        <v>0</v>
      </c>
      <c r="L209">
        <v>637.66349921572896</v>
      </c>
    </row>
    <row r="210" spans="1:12" hidden="1" x14ac:dyDescent="0.25">
      <c r="A210">
        <v>76</v>
      </c>
      <c r="B210" t="s">
        <v>2605</v>
      </c>
      <c r="C210" t="s">
        <v>2606</v>
      </c>
      <c r="D210">
        <v>0</v>
      </c>
      <c r="E210" t="str">
        <f>_xlfn.XLOOKUP(F210, Keys!B:B, Keys!A:A, "找不到")</f>
        <v>FA</v>
      </c>
      <c r="F210" t="s">
        <v>63</v>
      </c>
      <c r="G210">
        <v>2.2416852771825782</v>
      </c>
      <c r="H210" t="s">
        <v>64</v>
      </c>
      <c r="I210" t="s">
        <v>65</v>
      </c>
      <c r="J210" t="s">
        <v>2756</v>
      </c>
      <c r="K210">
        <v>0</v>
      </c>
      <c r="L210">
        <v>492.30738422737147</v>
      </c>
    </row>
    <row r="211" spans="1:12" hidden="1" x14ac:dyDescent="0.25">
      <c r="A211">
        <v>77</v>
      </c>
      <c r="B211" t="s">
        <v>2605</v>
      </c>
      <c r="C211" t="s">
        <v>2606</v>
      </c>
      <c r="D211">
        <v>0</v>
      </c>
      <c r="E211" t="str">
        <f>_xlfn.XLOOKUP(F211, Keys!B:B, Keys!A:A, "找不到")</f>
        <v>FA</v>
      </c>
      <c r="F211" t="s">
        <v>63</v>
      </c>
      <c r="G211">
        <v>16.432324231673871</v>
      </c>
      <c r="H211" t="s">
        <v>64</v>
      </c>
      <c r="I211" t="s">
        <v>65</v>
      </c>
      <c r="J211">
        <v>0</v>
      </c>
      <c r="K211">
        <v>0</v>
      </c>
      <c r="L211">
        <v>1083.06822251882</v>
      </c>
    </row>
    <row r="212" spans="1:12" hidden="1" x14ac:dyDescent="0.25">
      <c r="A212">
        <v>78</v>
      </c>
      <c r="B212" t="s">
        <v>2605</v>
      </c>
      <c r="C212" t="s">
        <v>2606</v>
      </c>
      <c r="D212" t="s">
        <v>2712</v>
      </c>
      <c r="E212" t="str">
        <f>_xlfn.XLOOKUP(F212, Keys!B:B, Keys!A:A, "找不到")</f>
        <v>FA</v>
      </c>
      <c r="F212" t="s">
        <v>63</v>
      </c>
      <c r="G212">
        <v>1.3452798129087089</v>
      </c>
      <c r="H212" t="s">
        <v>64</v>
      </c>
      <c r="I212" t="s">
        <v>65</v>
      </c>
      <c r="J212" t="s">
        <v>2762</v>
      </c>
      <c r="K212">
        <v>0</v>
      </c>
      <c r="L212">
        <v>407.14390114035479</v>
      </c>
    </row>
    <row r="213" spans="1:12" hidden="1" x14ac:dyDescent="0.25">
      <c r="A213">
        <v>79</v>
      </c>
      <c r="B213" t="s">
        <v>2605</v>
      </c>
      <c r="C213" t="s">
        <v>2606</v>
      </c>
      <c r="D213" t="s">
        <v>2712</v>
      </c>
      <c r="E213" t="str">
        <f>_xlfn.XLOOKUP(F213, Keys!B:B, Keys!A:A, "找不到")</f>
        <v>FA</v>
      </c>
      <c r="F213" t="s">
        <v>63</v>
      </c>
      <c r="G213">
        <v>3.0942987428533368</v>
      </c>
      <c r="H213" t="s">
        <v>64</v>
      </c>
      <c r="I213" t="s">
        <v>65</v>
      </c>
      <c r="J213" t="s">
        <v>2762</v>
      </c>
      <c r="K213">
        <v>0</v>
      </c>
      <c r="L213">
        <v>436.53487155328048</v>
      </c>
    </row>
    <row r="214" spans="1:12" hidden="1" x14ac:dyDescent="0.25">
      <c r="A214">
        <v>80</v>
      </c>
      <c r="B214" t="s">
        <v>2605</v>
      </c>
      <c r="C214" t="s">
        <v>2606</v>
      </c>
      <c r="D214" t="s">
        <v>2712</v>
      </c>
      <c r="E214" t="str">
        <f>_xlfn.XLOOKUP(F214, Keys!B:B, Keys!A:A, "找不到")</f>
        <v>FA</v>
      </c>
      <c r="F214" t="s">
        <v>63</v>
      </c>
      <c r="G214">
        <v>6.8260097050910362</v>
      </c>
      <c r="H214" t="s">
        <v>64</v>
      </c>
      <c r="I214" t="s">
        <v>65</v>
      </c>
      <c r="J214" t="s">
        <v>2762</v>
      </c>
      <c r="K214">
        <v>0</v>
      </c>
      <c r="L214">
        <v>790.48272762164925</v>
      </c>
    </row>
    <row r="215" spans="1:12" hidden="1" x14ac:dyDescent="0.25">
      <c r="A215">
        <v>81</v>
      </c>
      <c r="B215" t="s">
        <v>2605</v>
      </c>
      <c r="C215" t="s">
        <v>2606</v>
      </c>
      <c r="D215" t="s">
        <v>2712</v>
      </c>
      <c r="E215" t="str">
        <f>_xlfn.XLOOKUP(F215, Keys!B:B, Keys!A:A, "找不到")</f>
        <v>FA</v>
      </c>
      <c r="F215" t="s">
        <v>63</v>
      </c>
      <c r="G215">
        <v>0.82440027452524922</v>
      </c>
      <c r="H215" t="s">
        <v>64</v>
      </c>
      <c r="I215" t="s">
        <v>65</v>
      </c>
      <c r="J215" t="s">
        <v>2762</v>
      </c>
      <c r="K215">
        <v>0</v>
      </c>
      <c r="L215">
        <v>255.9939102808822</v>
      </c>
    </row>
    <row r="216" spans="1:12" hidden="1" x14ac:dyDescent="0.25">
      <c r="A216">
        <v>82</v>
      </c>
      <c r="B216" t="s">
        <v>2605</v>
      </c>
      <c r="C216" t="s">
        <v>2606</v>
      </c>
      <c r="D216" t="s">
        <v>2712</v>
      </c>
      <c r="E216" t="str">
        <f>_xlfn.XLOOKUP(F216, Keys!B:B, Keys!A:A, "找不到")</f>
        <v>FA</v>
      </c>
      <c r="F216" t="s">
        <v>63</v>
      </c>
      <c r="G216">
        <v>0.44621422232582758</v>
      </c>
      <c r="H216" t="s">
        <v>64</v>
      </c>
      <c r="I216" t="s">
        <v>65</v>
      </c>
      <c r="J216" t="s">
        <v>2768</v>
      </c>
      <c r="K216">
        <v>0</v>
      </c>
      <c r="L216">
        <v>217.53223957769711</v>
      </c>
    </row>
    <row r="217" spans="1:12" hidden="1" x14ac:dyDescent="0.25">
      <c r="A217">
        <v>88</v>
      </c>
      <c r="B217" t="s">
        <v>2605</v>
      </c>
      <c r="C217" t="s">
        <v>2606</v>
      </c>
      <c r="D217" t="s">
        <v>2712</v>
      </c>
      <c r="E217" t="str">
        <f>_xlfn.XLOOKUP(F217, Keys!B:B, Keys!A:A, "找不到")</f>
        <v>FA</v>
      </c>
      <c r="F217" t="s">
        <v>63</v>
      </c>
      <c r="G217">
        <v>0.27904144954554128</v>
      </c>
      <c r="H217" t="s">
        <v>64</v>
      </c>
      <c r="I217" t="s">
        <v>65</v>
      </c>
      <c r="J217" t="s">
        <v>2768</v>
      </c>
      <c r="K217">
        <v>0</v>
      </c>
      <c r="L217">
        <v>166.61760604311669</v>
      </c>
    </row>
    <row r="218" spans="1:12" hidden="1" x14ac:dyDescent="0.25">
      <c r="A218">
        <v>89</v>
      </c>
      <c r="B218" t="s">
        <v>2605</v>
      </c>
      <c r="C218" t="s">
        <v>2606</v>
      </c>
      <c r="D218" t="s">
        <v>2712</v>
      </c>
      <c r="E218" t="str">
        <f>_xlfn.XLOOKUP(F218, Keys!B:B, Keys!A:A, "找不到")</f>
        <v>FA</v>
      </c>
      <c r="F218" t="s">
        <v>63</v>
      </c>
      <c r="G218">
        <v>0.36028731506091038</v>
      </c>
      <c r="H218" t="s">
        <v>64</v>
      </c>
      <c r="I218" t="s">
        <v>65</v>
      </c>
      <c r="J218" t="s">
        <v>2768</v>
      </c>
      <c r="K218">
        <v>0</v>
      </c>
      <c r="L218">
        <v>171.5594380697126</v>
      </c>
    </row>
    <row r="219" spans="1:12" hidden="1" x14ac:dyDescent="0.25">
      <c r="A219">
        <v>90</v>
      </c>
      <c r="B219" t="s">
        <v>2605</v>
      </c>
      <c r="C219" t="s">
        <v>2606</v>
      </c>
      <c r="D219">
        <v>0</v>
      </c>
      <c r="E219" t="str">
        <f>_xlfn.XLOOKUP(F219, Keys!B:B, Keys!A:A, "找不到")</f>
        <v>FA</v>
      </c>
      <c r="F219" t="s">
        <v>63</v>
      </c>
      <c r="G219">
        <v>34.080033878471433</v>
      </c>
      <c r="H219" t="s">
        <v>64</v>
      </c>
      <c r="I219" t="s">
        <v>65</v>
      </c>
      <c r="J219" t="s">
        <v>2777</v>
      </c>
      <c r="K219">
        <v>0</v>
      </c>
      <c r="L219">
        <v>2078.5640740837762</v>
      </c>
    </row>
    <row r="220" spans="1:12" hidden="1" x14ac:dyDescent="0.25">
      <c r="A220">
        <v>94</v>
      </c>
      <c r="B220" t="s">
        <v>2605</v>
      </c>
      <c r="C220" t="s">
        <v>2606</v>
      </c>
      <c r="D220" t="s">
        <v>2712</v>
      </c>
      <c r="E220" t="str">
        <f>_xlfn.XLOOKUP(F220, Keys!B:B, Keys!A:A, "找不到")</f>
        <v>FA</v>
      </c>
      <c r="F220" t="s">
        <v>63</v>
      </c>
      <c r="G220">
        <v>0.21858935549834441</v>
      </c>
      <c r="H220" t="s">
        <v>64</v>
      </c>
      <c r="I220" t="s">
        <v>65</v>
      </c>
      <c r="J220" t="s">
        <v>2768</v>
      </c>
      <c r="K220">
        <v>0</v>
      </c>
      <c r="L220">
        <v>135.18475798277541</v>
      </c>
    </row>
    <row r="221" spans="1:12" hidden="1" x14ac:dyDescent="0.25">
      <c r="A221">
        <v>95</v>
      </c>
      <c r="B221" t="s">
        <v>2605</v>
      </c>
      <c r="C221" t="s">
        <v>2606</v>
      </c>
      <c r="D221" t="s">
        <v>2712</v>
      </c>
      <c r="E221" t="str">
        <f>_xlfn.XLOOKUP(F221, Keys!B:B, Keys!A:A, "找不到")</f>
        <v>FA</v>
      </c>
      <c r="F221" t="s">
        <v>63</v>
      </c>
      <c r="G221">
        <v>0.1843344154456906</v>
      </c>
      <c r="H221" t="s">
        <v>64</v>
      </c>
      <c r="I221" t="s">
        <v>65</v>
      </c>
      <c r="J221" t="s">
        <v>2768</v>
      </c>
      <c r="K221">
        <v>0</v>
      </c>
      <c r="L221">
        <v>124.5405358281121</v>
      </c>
    </row>
    <row r="222" spans="1:12" hidden="1" x14ac:dyDescent="0.25">
      <c r="A222">
        <v>96</v>
      </c>
      <c r="B222" t="s">
        <v>2605</v>
      </c>
      <c r="C222" t="s">
        <v>2606</v>
      </c>
      <c r="D222" t="s">
        <v>2712</v>
      </c>
      <c r="E222" t="str">
        <f>_xlfn.XLOOKUP(F222, Keys!B:B, Keys!A:A, "找不到")</f>
        <v>FA</v>
      </c>
      <c r="F222" t="s">
        <v>63</v>
      </c>
      <c r="G222">
        <v>0.14014855553442271</v>
      </c>
      <c r="H222" t="s">
        <v>64</v>
      </c>
      <c r="I222" t="s">
        <v>65</v>
      </c>
      <c r="J222" t="s">
        <v>2768</v>
      </c>
      <c r="K222">
        <v>0</v>
      </c>
      <c r="L222">
        <v>111.39038162166661</v>
      </c>
    </row>
    <row r="223" spans="1:12" hidden="1" x14ac:dyDescent="0.25">
      <c r="A223">
        <v>97</v>
      </c>
      <c r="B223" t="s">
        <v>2605</v>
      </c>
      <c r="C223" t="s">
        <v>2606</v>
      </c>
      <c r="D223">
        <v>0</v>
      </c>
      <c r="E223" t="str">
        <f>_xlfn.XLOOKUP(F223, Keys!B:B, Keys!A:A, "找不到")</f>
        <v>FA</v>
      </c>
      <c r="F223" t="s">
        <v>63</v>
      </c>
      <c r="G223">
        <v>0.70016506016455549</v>
      </c>
      <c r="H223" t="s">
        <v>64</v>
      </c>
      <c r="I223" t="s">
        <v>65</v>
      </c>
      <c r="J223" t="s">
        <v>2777</v>
      </c>
      <c r="K223">
        <v>0</v>
      </c>
      <c r="L223">
        <v>224.61863913364391</v>
      </c>
    </row>
    <row r="224" spans="1:12" hidden="1" x14ac:dyDescent="0.25">
      <c r="A224">
        <v>98</v>
      </c>
      <c r="B224" t="s">
        <v>2605</v>
      </c>
      <c r="C224" t="s">
        <v>2606</v>
      </c>
      <c r="D224">
        <v>0</v>
      </c>
      <c r="E224" t="str">
        <f>_xlfn.XLOOKUP(F224, Keys!B:B, Keys!A:A, "找不到")</f>
        <v>FA</v>
      </c>
      <c r="F224" t="s">
        <v>63</v>
      </c>
      <c r="G224">
        <v>5.7010657932428801</v>
      </c>
      <c r="H224" t="s">
        <v>64</v>
      </c>
      <c r="I224" t="s">
        <v>65</v>
      </c>
      <c r="J224" t="s">
        <v>2790</v>
      </c>
      <c r="K224">
        <v>0</v>
      </c>
      <c r="L224">
        <v>701.24817190709564</v>
      </c>
    </row>
    <row r="225" spans="1:12" hidden="1" x14ac:dyDescent="0.25">
      <c r="A225">
        <v>99</v>
      </c>
      <c r="B225" t="s">
        <v>2605</v>
      </c>
      <c r="C225" t="s">
        <v>2606</v>
      </c>
      <c r="D225">
        <v>0</v>
      </c>
      <c r="E225" t="str">
        <f>_xlfn.XLOOKUP(F225, Keys!B:B, Keys!A:A, "找不到")</f>
        <v>FA</v>
      </c>
      <c r="F225" t="s">
        <v>63</v>
      </c>
      <c r="G225">
        <v>10.298394546671879</v>
      </c>
      <c r="H225" t="s">
        <v>64</v>
      </c>
      <c r="I225" t="s">
        <v>65</v>
      </c>
      <c r="J225" t="s">
        <v>2790</v>
      </c>
      <c r="K225">
        <v>0</v>
      </c>
      <c r="L225">
        <v>930.37899377174574</v>
      </c>
    </row>
    <row r="226" spans="1:12" hidden="1" x14ac:dyDescent="0.25">
      <c r="A226">
        <v>100</v>
      </c>
      <c r="B226" t="s">
        <v>2605</v>
      </c>
      <c r="C226" t="s">
        <v>2606</v>
      </c>
      <c r="D226">
        <v>0</v>
      </c>
      <c r="E226" t="str">
        <f>_xlfn.XLOOKUP(F226, Keys!B:B, Keys!A:A, "找不到")</f>
        <v>FA</v>
      </c>
      <c r="F226" t="s">
        <v>63</v>
      </c>
      <c r="G226">
        <v>6.6086024634967888</v>
      </c>
      <c r="H226" t="s">
        <v>64</v>
      </c>
      <c r="I226" t="s">
        <v>65</v>
      </c>
      <c r="J226" t="s">
        <v>2756</v>
      </c>
      <c r="K226">
        <v>0</v>
      </c>
      <c r="L226">
        <v>757.01611108427062</v>
      </c>
    </row>
    <row r="227" spans="1:12" hidden="1" x14ac:dyDescent="0.25">
      <c r="A227">
        <v>101</v>
      </c>
      <c r="B227" t="s">
        <v>2605</v>
      </c>
      <c r="C227" t="s">
        <v>2606</v>
      </c>
      <c r="D227">
        <v>0</v>
      </c>
      <c r="E227" t="str">
        <f>_xlfn.XLOOKUP(F227, Keys!B:B, Keys!A:A, "找不到")</f>
        <v>FA</v>
      </c>
      <c r="F227" t="s">
        <v>63</v>
      </c>
      <c r="G227">
        <v>7.6413663669125071</v>
      </c>
      <c r="H227" t="s">
        <v>64</v>
      </c>
      <c r="I227" t="s">
        <v>65</v>
      </c>
      <c r="J227" t="s">
        <v>2777</v>
      </c>
      <c r="K227">
        <v>0</v>
      </c>
      <c r="L227">
        <v>708.10450358393905</v>
      </c>
    </row>
    <row r="228" spans="1:12" hidden="1" x14ac:dyDescent="0.25">
      <c r="A228">
        <v>103</v>
      </c>
      <c r="B228" t="s">
        <v>2605</v>
      </c>
      <c r="C228" t="s">
        <v>2606</v>
      </c>
      <c r="D228">
        <v>0</v>
      </c>
      <c r="E228" t="str">
        <f>_xlfn.XLOOKUP(F228, Keys!B:B, Keys!A:A, "找不到")</f>
        <v>FA</v>
      </c>
      <c r="F228" t="s">
        <v>63</v>
      </c>
      <c r="G228">
        <v>0.4584218085409052</v>
      </c>
      <c r="H228" t="s">
        <v>64</v>
      </c>
      <c r="I228" t="s">
        <v>65</v>
      </c>
      <c r="J228" t="s">
        <v>2798</v>
      </c>
      <c r="K228">
        <v>0</v>
      </c>
      <c r="L228">
        <v>191.34637904418079</v>
      </c>
    </row>
    <row r="229" spans="1:12" hidden="1" x14ac:dyDescent="0.25">
      <c r="A229">
        <v>104</v>
      </c>
      <c r="B229" t="s">
        <v>2605</v>
      </c>
      <c r="C229" t="s">
        <v>2606</v>
      </c>
      <c r="D229">
        <v>0</v>
      </c>
      <c r="E229" t="str">
        <f>_xlfn.XLOOKUP(F229, Keys!B:B, Keys!A:A, "找不到")</f>
        <v>FA</v>
      </c>
      <c r="F229" t="s">
        <v>63</v>
      </c>
      <c r="G229">
        <v>6.9813096351771904</v>
      </c>
      <c r="H229" t="s">
        <v>64</v>
      </c>
      <c r="I229" t="s">
        <v>65</v>
      </c>
      <c r="J229" t="s">
        <v>2801</v>
      </c>
      <c r="K229">
        <v>0</v>
      </c>
      <c r="L229">
        <v>798.52077697213178</v>
      </c>
    </row>
    <row r="230" spans="1:12" hidden="1" x14ac:dyDescent="0.25">
      <c r="A230">
        <v>108</v>
      </c>
      <c r="B230" t="s">
        <v>2605</v>
      </c>
      <c r="C230" t="s">
        <v>2606</v>
      </c>
      <c r="D230">
        <v>0</v>
      </c>
      <c r="E230" t="str">
        <f>_xlfn.XLOOKUP(F230, Keys!B:B, Keys!A:A, "找不到")</f>
        <v>FA</v>
      </c>
      <c r="F230" t="s">
        <v>63</v>
      </c>
      <c r="G230">
        <v>9.4945820260541094</v>
      </c>
      <c r="H230" t="s">
        <v>64</v>
      </c>
      <c r="I230" t="s">
        <v>65</v>
      </c>
      <c r="J230" t="s">
        <v>2777</v>
      </c>
      <c r="K230">
        <v>0</v>
      </c>
      <c r="L230">
        <v>780.84398645043154</v>
      </c>
    </row>
    <row r="231" spans="1:12" hidden="1" x14ac:dyDescent="0.25">
      <c r="A231">
        <v>113</v>
      </c>
      <c r="B231" t="s">
        <v>2605</v>
      </c>
      <c r="C231" t="s">
        <v>2606</v>
      </c>
      <c r="D231">
        <v>0</v>
      </c>
      <c r="E231" t="str">
        <f>_xlfn.XLOOKUP(F231, Keys!B:B, Keys!A:A, "找不到")</f>
        <v>FA</v>
      </c>
      <c r="F231" t="s">
        <v>63</v>
      </c>
      <c r="G231">
        <v>24.87828922446781</v>
      </c>
      <c r="H231" t="s">
        <v>64</v>
      </c>
      <c r="I231" t="s">
        <v>65</v>
      </c>
      <c r="J231" t="s">
        <v>2790</v>
      </c>
      <c r="K231">
        <v>0</v>
      </c>
      <c r="L231">
        <v>1452.332135768281</v>
      </c>
    </row>
    <row r="232" spans="1:12" hidden="1" x14ac:dyDescent="0.25">
      <c r="A232">
        <v>114</v>
      </c>
      <c r="B232" t="s">
        <v>2605</v>
      </c>
      <c r="C232" t="s">
        <v>2606</v>
      </c>
      <c r="D232">
        <v>0</v>
      </c>
      <c r="E232" t="str">
        <f>_xlfn.XLOOKUP(F232, Keys!B:B, Keys!A:A, "找不到")</f>
        <v>FA</v>
      </c>
      <c r="F232" t="s">
        <v>63</v>
      </c>
      <c r="G232">
        <v>12.040829857542709</v>
      </c>
      <c r="H232" t="s">
        <v>64</v>
      </c>
      <c r="I232" t="s">
        <v>65</v>
      </c>
      <c r="J232" t="s">
        <v>2790</v>
      </c>
      <c r="K232">
        <v>0</v>
      </c>
      <c r="L232">
        <v>983.88810490330968</v>
      </c>
    </row>
    <row r="233" spans="1:12" hidden="1" x14ac:dyDescent="0.25">
      <c r="A233">
        <v>115</v>
      </c>
      <c r="B233" t="s">
        <v>2605</v>
      </c>
      <c r="C233" t="s">
        <v>2606</v>
      </c>
      <c r="D233">
        <v>0</v>
      </c>
      <c r="E233" t="str">
        <f>_xlfn.XLOOKUP(F233, Keys!B:B, Keys!A:A, "找不到")</f>
        <v>FA</v>
      </c>
      <c r="F233" t="s">
        <v>63</v>
      </c>
      <c r="G233">
        <v>6.7489489144723658</v>
      </c>
      <c r="H233" t="s">
        <v>64</v>
      </c>
      <c r="I233" t="s">
        <v>65</v>
      </c>
      <c r="J233" t="s">
        <v>2801</v>
      </c>
      <c r="K233">
        <v>0</v>
      </c>
      <c r="L233">
        <v>961.20638788365841</v>
      </c>
    </row>
    <row r="234" spans="1:12" hidden="1" x14ac:dyDescent="0.25">
      <c r="A234">
        <v>119</v>
      </c>
      <c r="B234" t="s">
        <v>2605</v>
      </c>
      <c r="C234" t="s">
        <v>2606</v>
      </c>
      <c r="D234">
        <v>0</v>
      </c>
      <c r="E234" t="str">
        <f>_xlfn.XLOOKUP(F234, Keys!B:B, Keys!A:A, "找不到")</f>
        <v>FA</v>
      </c>
      <c r="F234" t="s">
        <v>63</v>
      </c>
      <c r="G234">
        <v>14.78603716863125</v>
      </c>
      <c r="H234" t="s">
        <v>64</v>
      </c>
      <c r="I234" t="s">
        <v>65</v>
      </c>
      <c r="J234" t="s">
        <v>2777</v>
      </c>
      <c r="K234">
        <v>0</v>
      </c>
      <c r="L234">
        <v>1316.614121114405</v>
      </c>
    </row>
    <row r="235" spans="1:12" hidden="1" x14ac:dyDescent="0.25">
      <c r="A235">
        <v>120</v>
      </c>
      <c r="B235" t="s">
        <v>2605</v>
      </c>
      <c r="C235" t="s">
        <v>2606</v>
      </c>
      <c r="D235">
        <v>0</v>
      </c>
      <c r="E235" t="str">
        <f>_xlfn.XLOOKUP(F235, Keys!B:B, Keys!A:A, "找不到")</f>
        <v>FA</v>
      </c>
      <c r="F235" t="s">
        <v>63</v>
      </c>
      <c r="G235">
        <v>8.7559961057418008</v>
      </c>
      <c r="H235" t="s">
        <v>64</v>
      </c>
      <c r="I235" t="s">
        <v>65</v>
      </c>
      <c r="J235" t="s">
        <v>2777</v>
      </c>
      <c r="K235">
        <v>0</v>
      </c>
      <c r="L235">
        <v>1357.1212695669601</v>
      </c>
    </row>
    <row r="236" spans="1:12" hidden="1" x14ac:dyDescent="0.25">
      <c r="A236">
        <v>123</v>
      </c>
      <c r="B236" t="s">
        <v>2605</v>
      </c>
      <c r="C236" t="s">
        <v>2606</v>
      </c>
      <c r="D236">
        <v>0</v>
      </c>
      <c r="E236" t="str">
        <f>_xlfn.XLOOKUP(F236, Keys!B:B, Keys!A:A, "找不到")</f>
        <v>FA</v>
      </c>
      <c r="F236" t="s">
        <v>63</v>
      </c>
      <c r="G236">
        <v>8.5809054717465401</v>
      </c>
      <c r="H236" t="s">
        <v>64</v>
      </c>
      <c r="I236" t="s">
        <v>65</v>
      </c>
      <c r="J236" t="s">
        <v>2790</v>
      </c>
      <c r="K236">
        <v>0</v>
      </c>
      <c r="L236">
        <v>745.52034439524641</v>
      </c>
    </row>
    <row r="237" spans="1:12" hidden="1" x14ac:dyDescent="0.25">
      <c r="A237">
        <v>124</v>
      </c>
      <c r="B237" t="s">
        <v>2605</v>
      </c>
      <c r="C237" t="s">
        <v>2606</v>
      </c>
      <c r="D237">
        <v>0</v>
      </c>
      <c r="E237" t="str">
        <f>_xlfn.XLOOKUP(F237, Keys!B:B, Keys!A:A, "找不到")</f>
        <v>FA</v>
      </c>
      <c r="F237" t="s">
        <v>63</v>
      </c>
      <c r="G237">
        <v>2.9974210597341049</v>
      </c>
      <c r="H237" t="s">
        <v>64</v>
      </c>
      <c r="I237" t="s">
        <v>65</v>
      </c>
      <c r="J237" t="s">
        <v>2791</v>
      </c>
      <c r="K237">
        <v>0</v>
      </c>
      <c r="L237">
        <v>518.54143887927387</v>
      </c>
    </row>
    <row r="238" spans="1:12" hidden="1" x14ac:dyDescent="0.25">
      <c r="A238">
        <v>125</v>
      </c>
      <c r="B238" t="s">
        <v>2605</v>
      </c>
      <c r="C238" t="s">
        <v>2606</v>
      </c>
      <c r="D238">
        <v>0</v>
      </c>
      <c r="E238" t="str">
        <f>_xlfn.XLOOKUP(F238, Keys!B:B, Keys!A:A, "找不到")</f>
        <v>FA</v>
      </c>
      <c r="F238" t="s">
        <v>63</v>
      </c>
      <c r="G238">
        <v>0.34715523606836068</v>
      </c>
      <c r="H238" t="s">
        <v>64</v>
      </c>
      <c r="I238" t="s">
        <v>65</v>
      </c>
      <c r="J238" t="s">
        <v>2756</v>
      </c>
      <c r="K238">
        <v>0</v>
      </c>
      <c r="L238">
        <v>193.488839141732</v>
      </c>
    </row>
    <row r="239" spans="1:12" hidden="1" x14ac:dyDescent="0.25">
      <c r="A239">
        <v>126</v>
      </c>
      <c r="B239" t="s">
        <v>2605</v>
      </c>
      <c r="C239" t="s">
        <v>2606</v>
      </c>
      <c r="D239" t="s">
        <v>2712</v>
      </c>
      <c r="E239" t="str">
        <f>_xlfn.XLOOKUP(F239, Keys!B:B, Keys!A:A, "找不到")</f>
        <v>FA</v>
      </c>
      <c r="F239" t="s">
        <v>63</v>
      </c>
      <c r="G239">
        <v>7.2286231287141067</v>
      </c>
      <c r="H239" t="s">
        <v>64</v>
      </c>
      <c r="I239" t="s">
        <v>65</v>
      </c>
      <c r="J239" t="s">
        <v>2722</v>
      </c>
      <c r="K239">
        <v>0</v>
      </c>
      <c r="L239">
        <v>775.75712492154628</v>
      </c>
    </row>
    <row r="240" spans="1:12" hidden="1" x14ac:dyDescent="0.25">
      <c r="A240">
        <v>127</v>
      </c>
      <c r="B240" t="s">
        <v>2605</v>
      </c>
      <c r="C240" t="s">
        <v>2606</v>
      </c>
      <c r="D240">
        <v>0</v>
      </c>
      <c r="E240" t="str">
        <f>_xlfn.XLOOKUP(F240, Keys!B:B, Keys!A:A, "找不到")</f>
        <v>FA</v>
      </c>
      <c r="F240" t="s">
        <v>63</v>
      </c>
      <c r="G240">
        <v>5.8126219468923503</v>
      </c>
      <c r="H240" t="s">
        <v>64</v>
      </c>
      <c r="I240" t="s">
        <v>65</v>
      </c>
      <c r="J240" t="s">
        <v>57</v>
      </c>
      <c r="K240">
        <v>0</v>
      </c>
      <c r="L240">
        <v>999.3928257686614</v>
      </c>
    </row>
    <row r="241" spans="1:12" hidden="1" x14ac:dyDescent="0.25">
      <c r="A241">
        <v>128</v>
      </c>
      <c r="B241" t="s">
        <v>2605</v>
      </c>
      <c r="C241" t="s">
        <v>2606</v>
      </c>
      <c r="D241">
        <v>0</v>
      </c>
      <c r="E241" t="str">
        <f>_xlfn.XLOOKUP(F241, Keys!B:B, Keys!A:A, "找不到")</f>
        <v>FA</v>
      </c>
      <c r="F241" t="s">
        <v>63</v>
      </c>
      <c r="G241">
        <v>0.79065407193724968</v>
      </c>
      <c r="H241" t="s">
        <v>64</v>
      </c>
      <c r="I241" t="s">
        <v>65</v>
      </c>
      <c r="J241" t="s">
        <v>2756</v>
      </c>
      <c r="K241">
        <v>0</v>
      </c>
      <c r="L241">
        <v>355.58762422003832</v>
      </c>
    </row>
    <row r="242" spans="1:12" hidden="1" x14ac:dyDescent="0.25">
      <c r="A242">
        <v>129</v>
      </c>
      <c r="B242" t="s">
        <v>2605</v>
      </c>
      <c r="C242" t="s">
        <v>2606</v>
      </c>
      <c r="D242">
        <v>0</v>
      </c>
      <c r="E242" t="str">
        <f>_xlfn.XLOOKUP(F242, Keys!B:B, Keys!A:A, "找不到")</f>
        <v>FA</v>
      </c>
      <c r="F242" t="s">
        <v>63</v>
      </c>
      <c r="G242">
        <v>0.54862217840917016</v>
      </c>
      <c r="H242" t="s">
        <v>64</v>
      </c>
      <c r="I242" t="s">
        <v>65</v>
      </c>
      <c r="J242" t="s">
        <v>2756</v>
      </c>
      <c r="K242">
        <v>0</v>
      </c>
      <c r="L242">
        <v>287.62291113683978</v>
      </c>
    </row>
    <row r="243" spans="1:12" hidden="1" x14ac:dyDescent="0.25">
      <c r="A243">
        <v>130</v>
      </c>
      <c r="B243" t="s">
        <v>2605</v>
      </c>
      <c r="C243" t="s">
        <v>2606</v>
      </c>
      <c r="D243">
        <v>0</v>
      </c>
      <c r="E243" t="str">
        <f>_xlfn.XLOOKUP(F243, Keys!B:B, Keys!A:A, "找不到")</f>
        <v>FA</v>
      </c>
      <c r="F243" t="s">
        <v>63</v>
      </c>
      <c r="G243">
        <v>48.100941887010137</v>
      </c>
      <c r="H243" t="s">
        <v>64</v>
      </c>
      <c r="I243" t="s">
        <v>65</v>
      </c>
      <c r="J243" t="s">
        <v>2790</v>
      </c>
      <c r="K243">
        <v>0</v>
      </c>
      <c r="L243">
        <v>2076.1137074733479</v>
      </c>
    </row>
    <row r="244" spans="1:12" hidden="1" x14ac:dyDescent="0.25">
      <c r="A244">
        <v>131</v>
      </c>
      <c r="B244" t="s">
        <v>2605</v>
      </c>
      <c r="C244" t="s">
        <v>2606</v>
      </c>
      <c r="D244">
        <v>0</v>
      </c>
      <c r="E244" t="str">
        <f>_xlfn.XLOOKUP(F244, Keys!B:B, Keys!A:A, "找不到")</f>
        <v>FA</v>
      </c>
      <c r="F244" t="s">
        <v>63</v>
      </c>
      <c r="G244">
        <v>0.32990657497311388</v>
      </c>
      <c r="H244" t="s">
        <v>64</v>
      </c>
      <c r="I244" t="s">
        <v>65</v>
      </c>
      <c r="J244" t="s">
        <v>2777</v>
      </c>
      <c r="K244">
        <v>0</v>
      </c>
      <c r="L244">
        <v>159.37052461285199</v>
      </c>
    </row>
    <row r="245" spans="1:12" hidden="1" x14ac:dyDescent="0.25">
      <c r="A245">
        <v>132</v>
      </c>
      <c r="B245" t="s">
        <v>2605</v>
      </c>
      <c r="C245" t="s">
        <v>2606</v>
      </c>
      <c r="D245">
        <v>0</v>
      </c>
      <c r="E245" t="str">
        <f>_xlfn.XLOOKUP(F245, Keys!B:B, Keys!A:A, "找不到")</f>
        <v>FA</v>
      </c>
      <c r="F245" t="s">
        <v>63</v>
      </c>
      <c r="G245">
        <v>12.044498390684559</v>
      </c>
      <c r="H245" t="s">
        <v>64</v>
      </c>
      <c r="I245" t="s">
        <v>65</v>
      </c>
      <c r="J245" t="s">
        <v>2790</v>
      </c>
      <c r="K245">
        <v>0</v>
      </c>
      <c r="L245">
        <v>1004.021521308305</v>
      </c>
    </row>
    <row r="246" spans="1:12" hidden="1" x14ac:dyDescent="0.25">
      <c r="A246">
        <v>134</v>
      </c>
      <c r="B246" t="s">
        <v>2605</v>
      </c>
      <c r="C246" t="s">
        <v>2606</v>
      </c>
      <c r="D246">
        <v>0</v>
      </c>
      <c r="E246" t="str">
        <f>_xlfn.XLOOKUP(F246, Keys!B:B, Keys!A:A, "找不到")</f>
        <v>FA</v>
      </c>
      <c r="F246" t="s">
        <v>63</v>
      </c>
      <c r="G246">
        <v>1.178952989552406</v>
      </c>
      <c r="H246" t="s">
        <v>64</v>
      </c>
      <c r="I246" t="s">
        <v>65</v>
      </c>
      <c r="J246" t="s">
        <v>2790</v>
      </c>
      <c r="K246">
        <v>0</v>
      </c>
      <c r="L246">
        <v>293.39837231997763</v>
      </c>
    </row>
    <row r="247" spans="1:12" hidden="1" x14ac:dyDescent="0.25">
      <c r="A247">
        <v>135</v>
      </c>
      <c r="B247" t="s">
        <v>2605</v>
      </c>
      <c r="C247" t="s">
        <v>2606</v>
      </c>
      <c r="D247">
        <v>0</v>
      </c>
      <c r="E247" t="str">
        <f>_xlfn.XLOOKUP(F247, Keys!B:B, Keys!A:A, "找不到")</f>
        <v>FA</v>
      </c>
      <c r="F247" t="s">
        <v>63</v>
      </c>
      <c r="G247">
        <v>0.52092154938958013</v>
      </c>
      <c r="H247" t="s">
        <v>64</v>
      </c>
      <c r="I247" t="s">
        <v>65</v>
      </c>
      <c r="J247" t="s">
        <v>2777</v>
      </c>
      <c r="K247">
        <v>0</v>
      </c>
      <c r="L247">
        <v>180.90882865341891</v>
      </c>
    </row>
    <row r="248" spans="1:12" hidden="1" x14ac:dyDescent="0.25">
      <c r="A248">
        <v>136</v>
      </c>
      <c r="B248" t="s">
        <v>2605</v>
      </c>
      <c r="C248" t="s">
        <v>2606</v>
      </c>
      <c r="D248">
        <v>0</v>
      </c>
      <c r="E248" t="str">
        <f>_xlfn.XLOOKUP(F248, Keys!B:B, Keys!A:A, "找不到")</f>
        <v>FA</v>
      </c>
      <c r="F248" t="s">
        <v>63</v>
      </c>
      <c r="G248">
        <v>3.1533269483983122</v>
      </c>
      <c r="H248" t="s">
        <v>64</v>
      </c>
      <c r="I248" t="s">
        <v>65</v>
      </c>
      <c r="J248" t="s">
        <v>2777</v>
      </c>
      <c r="K248">
        <v>0</v>
      </c>
      <c r="L248">
        <v>652.8055987595684</v>
      </c>
    </row>
    <row r="249" spans="1:12" hidden="1" x14ac:dyDescent="0.25">
      <c r="A249">
        <v>137</v>
      </c>
      <c r="B249" t="s">
        <v>2605</v>
      </c>
      <c r="C249" t="s">
        <v>2606</v>
      </c>
      <c r="D249">
        <v>0</v>
      </c>
      <c r="E249" t="str">
        <f>_xlfn.XLOOKUP(F249, Keys!B:B, Keys!A:A, "找不到")</f>
        <v>FA</v>
      </c>
      <c r="F249" t="s">
        <v>63</v>
      </c>
      <c r="G249">
        <v>0.15628701180553051</v>
      </c>
      <c r="H249" t="s">
        <v>64</v>
      </c>
      <c r="I249" t="s">
        <v>65</v>
      </c>
      <c r="J249" t="s">
        <v>2777</v>
      </c>
      <c r="K249">
        <v>0</v>
      </c>
      <c r="L249">
        <v>109.2792445467508</v>
      </c>
    </row>
    <row r="250" spans="1:12" hidden="1" x14ac:dyDescent="0.25">
      <c r="A250">
        <v>138</v>
      </c>
      <c r="B250" t="s">
        <v>2605</v>
      </c>
      <c r="C250" t="s">
        <v>2606</v>
      </c>
      <c r="D250">
        <v>0</v>
      </c>
      <c r="E250" t="str">
        <f>_xlfn.XLOOKUP(F250, Keys!B:B, Keys!A:A, "找不到")</f>
        <v>FA</v>
      </c>
      <c r="F250" t="s">
        <v>63</v>
      </c>
      <c r="G250">
        <v>0.37011327108338388</v>
      </c>
      <c r="H250" t="s">
        <v>64</v>
      </c>
      <c r="I250" t="s">
        <v>65</v>
      </c>
      <c r="J250" t="s">
        <v>2777</v>
      </c>
      <c r="K250">
        <v>0</v>
      </c>
      <c r="L250">
        <v>152.08286150027229</v>
      </c>
    </row>
    <row r="251" spans="1:12" hidden="1" x14ac:dyDescent="0.25">
      <c r="A251">
        <v>140</v>
      </c>
      <c r="B251" t="s">
        <v>2605</v>
      </c>
      <c r="C251" t="s">
        <v>2606</v>
      </c>
      <c r="D251" t="s">
        <v>2712</v>
      </c>
      <c r="E251" t="str">
        <f>_xlfn.XLOOKUP(F251, Keys!B:B, Keys!A:A, "找不到")</f>
        <v>FA</v>
      </c>
      <c r="F251" t="s">
        <v>63</v>
      </c>
      <c r="G251">
        <v>0.9471793230349953</v>
      </c>
      <c r="H251" t="s">
        <v>64</v>
      </c>
      <c r="I251" t="s">
        <v>65</v>
      </c>
      <c r="J251" t="s">
        <v>2846</v>
      </c>
      <c r="K251">
        <v>0</v>
      </c>
      <c r="L251">
        <v>383.70440908986222</v>
      </c>
    </row>
    <row r="252" spans="1:12" hidden="1" x14ac:dyDescent="0.25">
      <c r="A252">
        <v>142</v>
      </c>
      <c r="B252" t="s">
        <v>2605</v>
      </c>
      <c r="C252" t="s">
        <v>2606</v>
      </c>
      <c r="D252">
        <v>0</v>
      </c>
      <c r="E252" t="str">
        <f>_xlfn.XLOOKUP(F252, Keys!B:B, Keys!A:A, "找不到")</f>
        <v>FA</v>
      </c>
      <c r="F252" t="s">
        <v>63</v>
      </c>
      <c r="G252">
        <v>1.1122038993910639</v>
      </c>
      <c r="H252" t="s">
        <v>64</v>
      </c>
      <c r="I252" t="s">
        <v>65</v>
      </c>
      <c r="J252" t="s">
        <v>2849</v>
      </c>
      <c r="K252">
        <v>0</v>
      </c>
      <c r="L252">
        <v>316.29787752995668</v>
      </c>
    </row>
    <row r="253" spans="1:12" hidden="1" x14ac:dyDescent="0.25">
      <c r="A253">
        <v>143</v>
      </c>
      <c r="B253" t="s">
        <v>2605</v>
      </c>
      <c r="C253" t="s">
        <v>2606</v>
      </c>
      <c r="D253" t="s">
        <v>2712</v>
      </c>
      <c r="E253" t="str">
        <f>_xlfn.XLOOKUP(F253, Keys!B:B, Keys!A:A, "找不到")</f>
        <v>FA</v>
      </c>
      <c r="F253" t="s">
        <v>63</v>
      </c>
      <c r="G253">
        <v>0.59193953437153413</v>
      </c>
      <c r="H253" t="s">
        <v>64</v>
      </c>
      <c r="I253" t="s">
        <v>65</v>
      </c>
      <c r="J253" t="s">
        <v>2846</v>
      </c>
      <c r="K253">
        <v>0</v>
      </c>
      <c r="L253">
        <v>347.22624870747399</v>
      </c>
    </row>
    <row r="254" spans="1:12" hidden="1" x14ac:dyDescent="0.25">
      <c r="A254">
        <v>144</v>
      </c>
      <c r="B254" t="s">
        <v>2605</v>
      </c>
      <c r="C254" t="s">
        <v>2606</v>
      </c>
      <c r="D254">
        <v>0</v>
      </c>
      <c r="E254" t="str">
        <f>_xlfn.XLOOKUP(F254, Keys!B:B, Keys!A:A, "找不到")</f>
        <v>FA</v>
      </c>
      <c r="F254" t="s">
        <v>63</v>
      </c>
      <c r="G254">
        <v>17.722649268238939</v>
      </c>
      <c r="H254" t="s">
        <v>64</v>
      </c>
      <c r="I254" t="s">
        <v>65</v>
      </c>
      <c r="J254" t="s">
        <v>2756</v>
      </c>
      <c r="K254">
        <v>0</v>
      </c>
      <c r="L254">
        <v>1316.540131189807</v>
      </c>
    </row>
    <row r="255" spans="1:12" hidden="1" x14ac:dyDescent="0.25">
      <c r="A255">
        <v>147</v>
      </c>
      <c r="B255" t="s">
        <v>2605</v>
      </c>
      <c r="C255" t="s">
        <v>2606</v>
      </c>
      <c r="D255">
        <v>0</v>
      </c>
      <c r="E255" t="str">
        <f>_xlfn.XLOOKUP(F255, Keys!B:B, Keys!A:A, "找不到")</f>
        <v>FA</v>
      </c>
      <c r="F255" t="s">
        <v>63</v>
      </c>
      <c r="G255">
        <v>0.48381895961723809</v>
      </c>
      <c r="H255" t="s">
        <v>64</v>
      </c>
      <c r="I255" t="s">
        <v>65</v>
      </c>
      <c r="J255" t="s">
        <v>2756</v>
      </c>
      <c r="K255">
        <v>0</v>
      </c>
      <c r="L255">
        <v>188.62103845125051</v>
      </c>
    </row>
    <row r="256" spans="1:12" hidden="1" x14ac:dyDescent="0.25">
      <c r="A256">
        <v>151</v>
      </c>
      <c r="B256" t="s">
        <v>2605</v>
      </c>
      <c r="C256" t="s">
        <v>2606</v>
      </c>
      <c r="D256" t="s">
        <v>2712</v>
      </c>
      <c r="E256" t="str">
        <f>_xlfn.XLOOKUP(F256, Keys!B:B, Keys!A:A, "找不到")</f>
        <v>FA</v>
      </c>
      <c r="F256" t="s">
        <v>63</v>
      </c>
      <c r="G256">
        <v>6.5044682525641564</v>
      </c>
      <c r="H256" t="s">
        <v>64</v>
      </c>
      <c r="I256" t="s">
        <v>65</v>
      </c>
      <c r="J256" t="s">
        <v>2864</v>
      </c>
      <c r="K256">
        <v>0</v>
      </c>
      <c r="L256">
        <v>759.79650005213864</v>
      </c>
    </row>
    <row r="257" spans="1:12" hidden="1" x14ac:dyDescent="0.25">
      <c r="A257">
        <v>155</v>
      </c>
      <c r="B257" t="s">
        <v>2605</v>
      </c>
      <c r="C257" t="s">
        <v>2606</v>
      </c>
      <c r="D257">
        <v>0</v>
      </c>
      <c r="E257" t="str">
        <f>_xlfn.XLOOKUP(F257, Keys!B:B, Keys!A:A, "找不到")</f>
        <v>FA</v>
      </c>
      <c r="F257" t="s">
        <v>63</v>
      </c>
      <c r="G257">
        <v>5.7080923538839183</v>
      </c>
      <c r="H257" t="s">
        <v>64</v>
      </c>
      <c r="I257" t="s">
        <v>65</v>
      </c>
      <c r="J257" t="s">
        <v>2756</v>
      </c>
      <c r="K257">
        <v>0</v>
      </c>
      <c r="L257">
        <v>724.89688883669851</v>
      </c>
    </row>
    <row r="258" spans="1:12" hidden="1" x14ac:dyDescent="0.25">
      <c r="A258">
        <v>156</v>
      </c>
      <c r="B258" t="s">
        <v>2605</v>
      </c>
      <c r="C258" t="s">
        <v>2606</v>
      </c>
      <c r="D258" t="s">
        <v>2712</v>
      </c>
      <c r="E258" t="str">
        <f>_xlfn.XLOOKUP(F258, Keys!B:B, Keys!A:A, "找不到")</f>
        <v>FA</v>
      </c>
      <c r="F258" t="s">
        <v>63</v>
      </c>
      <c r="G258">
        <v>13.46215243585328</v>
      </c>
      <c r="H258" t="s">
        <v>64</v>
      </c>
      <c r="I258" t="s">
        <v>65</v>
      </c>
      <c r="J258" t="s">
        <v>2864</v>
      </c>
      <c r="K258">
        <v>0</v>
      </c>
      <c r="L258">
        <v>1360.3884129117471</v>
      </c>
    </row>
    <row r="259" spans="1:12" hidden="1" x14ac:dyDescent="0.25">
      <c r="A259">
        <v>160</v>
      </c>
      <c r="B259" t="s">
        <v>2605</v>
      </c>
      <c r="C259" t="s">
        <v>2606</v>
      </c>
      <c r="D259">
        <v>0</v>
      </c>
      <c r="E259" t="str">
        <f>_xlfn.XLOOKUP(F259, Keys!B:B, Keys!A:A, "找不到")</f>
        <v>FA</v>
      </c>
      <c r="F259" t="s">
        <v>63</v>
      </c>
      <c r="G259">
        <v>0.48561101887494562</v>
      </c>
      <c r="H259" t="s">
        <v>64</v>
      </c>
      <c r="I259" t="s">
        <v>65</v>
      </c>
      <c r="J259" t="s">
        <v>2885</v>
      </c>
      <c r="K259">
        <v>0</v>
      </c>
      <c r="L259">
        <v>183.53629181427641</v>
      </c>
    </row>
    <row r="260" spans="1:12" hidden="1" x14ac:dyDescent="0.25">
      <c r="A260">
        <v>163</v>
      </c>
      <c r="B260" t="s">
        <v>2605</v>
      </c>
      <c r="C260" t="s">
        <v>2606</v>
      </c>
      <c r="D260" t="s">
        <v>2712</v>
      </c>
      <c r="E260" t="str">
        <f>_xlfn.XLOOKUP(F260, Keys!B:B, Keys!A:A, "找不到")</f>
        <v>FA</v>
      </c>
      <c r="F260" t="s">
        <v>63</v>
      </c>
      <c r="G260">
        <v>0.86159808835242113</v>
      </c>
      <c r="H260" t="s">
        <v>64</v>
      </c>
      <c r="I260" t="s">
        <v>65</v>
      </c>
      <c r="J260" t="s">
        <v>2722</v>
      </c>
      <c r="K260">
        <v>0</v>
      </c>
      <c r="L260">
        <v>245.07568926469571</v>
      </c>
    </row>
    <row r="261" spans="1:12" hidden="1" x14ac:dyDescent="0.25">
      <c r="A261">
        <v>164</v>
      </c>
      <c r="B261" t="s">
        <v>2605</v>
      </c>
      <c r="C261" t="s">
        <v>2606</v>
      </c>
      <c r="D261" t="s">
        <v>2702</v>
      </c>
      <c r="E261" t="str">
        <f>_xlfn.XLOOKUP(F261, Keys!B:B, Keys!A:A, "找不到")</f>
        <v>FA</v>
      </c>
      <c r="F261" t="s">
        <v>63</v>
      </c>
      <c r="G261">
        <v>0.90910645296265358</v>
      </c>
      <c r="H261" t="s">
        <v>64</v>
      </c>
      <c r="I261" t="s">
        <v>65</v>
      </c>
      <c r="J261" t="s">
        <v>2892</v>
      </c>
      <c r="K261">
        <v>0</v>
      </c>
      <c r="L261">
        <v>245.58394808320961</v>
      </c>
    </row>
    <row r="262" spans="1:12" hidden="1" x14ac:dyDescent="0.25">
      <c r="A262">
        <v>165</v>
      </c>
      <c r="B262" t="s">
        <v>2605</v>
      </c>
      <c r="C262" t="s">
        <v>2606</v>
      </c>
      <c r="D262">
        <v>0</v>
      </c>
      <c r="E262" t="str">
        <f>_xlfn.XLOOKUP(F262, Keys!B:B, Keys!A:A, "找不到")</f>
        <v>FA</v>
      </c>
      <c r="F262" t="s">
        <v>63</v>
      </c>
      <c r="G262">
        <v>5.1420763802157579</v>
      </c>
      <c r="H262" t="s">
        <v>64</v>
      </c>
      <c r="I262" t="s">
        <v>65</v>
      </c>
      <c r="J262" t="s">
        <v>2895</v>
      </c>
      <c r="K262">
        <v>0</v>
      </c>
      <c r="L262">
        <v>676.93724356606708</v>
      </c>
    </row>
    <row r="263" spans="1:12" hidden="1" x14ac:dyDescent="0.25">
      <c r="A263">
        <v>166</v>
      </c>
      <c r="B263" t="s">
        <v>2605</v>
      </c>
      <c r="C263" t="s">
        <v>2606</v>
      </c>
      <c r="D263" t="s">
        <v>2712</v>
      </c>
      <c r="E263" t="str">
        <f>_xlfn.XLOOKUP(F263, Keys!B:B, Keys!A:A, "找不到")</f>
        <v>FA</v>
      </c>
      <c r="F263" t="s">
        <v>63</v>
      </c>
      <c r="G263">
        <v>2.6318071042635318</v>
      </c>
      <c r="H263" t="s">
        <v>64</v>
      </c>
      <c r="I263" t="s">
        <v>65</v>
      </c>
      <c r="J263" t="s">
        <v>2898</v>
      </c>
      <c r="K263">
        <v>0</v>
      </c>
      <c r="L263">
        <v>515.272382382675</v>
      </c>
    </row>
    <row r="264" spans="1:12" hidden="1" x14ac:dyDescent="0.25">
      <c r="A264">
        <v>167</v>
      </c>
      <c r="B264" t="s">
        <v>2605</v>
      </c>
      <c r="C264" t="s">
        <v>2606</v>
      </c>
      <c r="D264" t="s">
        <v>2702</v>
      </c>
      <c r="E264" t="str">
        <f>_xlfn.XLOOKUP(F264, Keys!B:B, Keys!A:A, "找不到")</f>
        <v>FA</v>
      </c>
      <c r="F264" t="s">
        <v>63</v>
      </c>
      <c r="G264">
        <v>14.515380753733989</v>
      </c>
      <c r="H264" t="s">
        <v>64</v>
      </c>
      <c r="I264" t="s">
        <v>65</v>
      </c>
      <c r="J264" t="s">
        <v>2892</v>
      </c>
      <c r="K264">
        <v>0</v>
      </c>
      <c r="L264">
        <v>1213.3011818202949</v>
      </c>
    </row>
    <row r="265" spans="1:12" hidden="1" x14ac:dyDescent="0.25">
      <c r="A265">
        <v>169</v>
      </c>
      <c r="B265" t="s">
        <v>2605</v>
      </c>
      <c r="C265" t="s">
        <v>2606</v>
      </c>
      <c r="D265" t="s">
        <v>2712</v>
      </c>
      <c r="E265" t="str">
        <f>_xlfn.XLOOKUP(F265, Keys!B:B, Keys!A:A, "找不到")</f>
        <v>FA</v>
      </c>
      <c r="F265" t="s">
        <v>63</v>
      </c>
      <c r="G265">
        <v>4.2143861878659896</v>
      </c>
      <c r="H265" t="s">
        <v>64</v>
      </c>
      <c r="I265" t="s">
        <v>65</v>
      </c>
      <c r="J265" t="s">
        <v>2898</v>
      </c>
      <c r="K265">
        <v>0</v>
      </c>
      <c r="L265">
        <v>619.29731443059802</v>
      </c>
    </row>
    <row r="266" spans="1:12" hidden="1" x14ac:dyDescent="0.25">
      <c r="A266">
        <v>170</v>
      </c>
      <c r="B266" t="s">
        <v>2605</v>
      </c>
      <c r="C266" t="s">
        <v>2606</v>
      </c>
      <c r="D266" t="s">
        <v>2702</v>
      </c>
      <c r="E266" t="str">
        <f>_xlfn.XLOOKUP(F266, Keys!B:B, Keys!A:A, "找不到")</f>
        <v>FA</v>
      </c>
      <c r="F266" t="s">
        <v>63</v>
      </c>
      <c r="G266">
        <v>12.402218380092791</v>
      </c>
      <c r="H266" t="s">
        <v>64</v>
      </c>
      <c r="I266" t="s">
        <v>65</v>
      </c>
      <c r="J266" t="s">
        <v>2904</v>
      </c>
      <c r="K266">
        <v>0</v>
      </c>
      <c r="L266">
        <v>933.39296843504371</v>
      </c>
    </row>
    <row r="267" spans="1:12" hidden="1" x14ac:dyDescent="0.25">
      <c r="A267">
        <v>174</v>
      </c>
      <c r="B267" t="s">
        <v>2605</v>
      </c>
      <c r="C267" t="s">
        <v>2606</v>
      </c>
      <c r="D267" t="s">
        <v>2712</v>
      </c>
      <c r="E267" t="str">
        <f>_xlfn.XLOOKUP(F267, Keys!B:B, Keys!A:A, "找不到")</f>
        <v>FA</v>
      </c>
      <c r="F267" t="s">
        <v>63</v>
      </c>
      <c r="G267">
        <v>0.16035665979595451</v>
      </c>
      <c r="H267" t="s">
        <v>64</v>
      </c>
      <c r="I267" t="s">
        <v>65</v>
      </c>
      <c r="J267" t="s">
        <v>2722</v>
      </c>
      <c r="K267">
        <v>0</v>
      </c>
      <c r="L267">
        <v>105.1133377699252</v>
      </c>
    </row>
    <row r="268" spans="1:12" hidden="1" x14ac:dyDescent="0.25">
      <c r="A268">
        <v>175</v>
      </c>
      <c r="B268" t="s">
        <v>2605</v>
      </c>
      <c r="C268" t="s">
        <v>2606</v>
      </c>
      <c r="D268" t="s">
        <v>2712</v>
      </c>
      <c r="E268" t="str">
        <f>_xlfn.XLOOKUP(F268, Keys!B:B, Keys!A:A, "找不到")</f>
        <v>FA</v>
      </c>
      <c r="F268" t="s">
        <v>63</v>
      </c>
      <c r="G268">
        <v>0.1571868464009501</v>
      </c>
      <c r="H268" t="s">
        <v>64</v>
      </c>
      <c r="I268" t="s">
        <v>65</v>
      </c>
      <c r="J268" t="s">
        <v>2722</v>
      </c>
      <c r="K268">
        <v>0</v>
      </c>
      <c r="L268">
        <v>99.228327015989024</v>
      </c>
    </row>
    <row r="269" spans="1:12" hidden="1" x14ac:dyDescent="0.25">
      <c r="A269">
        <v>179</v>
      </c>
      <c r="B269" t="s">
        <v>2605</v>
      </c>
      <c r="C269" t="s">
        <v>2606</v>
      </c>
      <c r="D269" t="s">
        <v>2702</v>
      </c>
      <c r="E269" t="str">
        <f>_xlfn.XLOOKUP(F269, Keys!B:B, Keys!A:A, "找不到")</f>
        <v>FA</v>
      </c>
      <c r="F269" t="s">
        <v>63</v>
      </c>
      <c r="G269">
        <v>2.0481153199519539</v>
      </c>
      <c r="H269" t="s">
        <v>64</v>
      </c>
      <c r="I269" t="s">
        <v>65</v>
      </c>
      <c r="J269" t="s">
        <v>2915</v>
      </c>
      <c r="K269">
        <v>0</v>
      </c>
      <c r="L269">
        <v>435.98679900058482</v>
      </c>
    </row>
    <row r="270" spans="1:12" hidden="1" x14ac:dyDescent="0.25">
      <c r="A270">
        <v>191</v>
      </c>
      <c r="B270" t="s">
        <v>2605</v>
      </c>
      <c r="C270" t="s">
        <v>2606</v>
      </c>
      <c r="D270" t="s">
        <v>2702</v>
      </c>
      <c r="E270" t="str">
        <f>_xlfn.XLOOKUP(F270, Keys!B:B, Keys!A:A, "找不到")</f>
        <v>FA</v>
      </c>
      <c r="F270" t="s">
        <v>63</v>
      </c>
      <c r="G270">
        <v>4.5293300137626451</v>
      </c>
      <c r="H270" t="s">
        <v>64</v>
      </c>
      <c r="I270" t="s">
        <v>65</v>
      </c>
      <c r="J270" t="s">
        <v>2923</v>
      </c>
      <c r="K270">
        <v>0</v>
      </c>
      <c r="L270">
        <v>590.04467482067116</v>
      </c>
    </row>
    <row r="271" spans="1:12" hidden="1" x14ac:dyDescent="0.25">
      <c r="A271">
        <v>192</v>
      </c>
      <c r="B271" t="s">
        <v>2605</v>
      </c>
      <c r="C271" t="s">
        <v>2606</v>
      </c>
      <c r="D271" t="s">
        <v>2702</v>
      </c>
      <c r="E271" t="str">
        <f>_xlfn.XLOOKUP(F271, Keys!B:B, Keys!A:A, "找不到")</f>
        <v>FA</v>
      </c>
      <c r="F271" t="s">
        <v>63</v>
      </c>
      <c r="G271">
        <v>0.73452611040441029</v>
      </c>
      <c r="H271" t="s">
        <v>64</v>
      </c>
      <c r="I271" t="s">
        <v>65</v>
      </c>
      <c r="J271" t="s">
        <v>2883</v>
      </c>
      <c r="K271">
        <v>0</v>
      </c>
      <c r="L271">
        <v>272.75953649888203</v>
      </c>
    </row>
    <row r="272" spans="1:12" hidden="1" x14ac:dyDescent="0.25">
      <c r="A272">
        <v>196</v>
      </c>
      <c r="B272" t="s">
        <v>2605</v>
      </c>
      <c r="C272" t="s">
        <v>2606</v>
      </c>
      <c r="D272" t="s">
        <v>2702</v>
      </c>
      <c r="E272" t="str">
        <f>_xlfn.XLOOKUP(F272, Keys!B:B, Keys!A:A, "找不到")</f>
        <v>FA</v>
      </c>
      <c r="F272" t="s">
        <v>63</v>
      </c>
      <c r="G272">
        <v>0.73814123681009458</v>
      </c>
      <c r="H272" t="s">
        <v>64</v>
      </c>
      <c r="I272" t="s">
        <v>65</v>
      </c>
      <c r="J272" t="s">
        <v>2883</v>
      </c>
      <c r="K272">
        <v>0</v>
      </c>
      <c r="L272">
        <v>305.57040758785149</v>
      </c>
    </row>
    <row r="273" spans="1:12" hidden="1" x14ac:dyDescent="0.25">
      <c r="A273">
        <v>202</v>
      </c>
      <c r="B273" t="s">
        <v>2605</v>
      </c>
      <c r="C273" t="s">
        <v>2606</v>
      </c>
      <c r="D273">
        <v>0</v>
      </c>
      <c r="E273" t="str">
        <f>_xlfn.XLOOKUP(F273, Keys!B:B, Keys!A:A, "找不到")</f>
        <v>FA</v>
      </c>
      <c r="F273" t="s">
        <v>63</v>
      </c>
      <c r="G273">
        <v>0.75252855602970514</v>
      </c>
      <c r="H273" t="s">
        <v>64</v>
      </c>
      <c r="I273" t="s">
        <v>65</v>
      </c>
      <c r="J273" t="s">
        <v>2947</v>
      </c>
      <c r="K273">
        <v>0</v>
      </c>
      <c r="L273">
        <v>221.42178526652569</v>
      </c>
    </row>
    <row r="274" spans="1:12" hidden="1" x14ac:dyDescent="0.25">
      <c r="A274">
        <v>205</v>
      </c>
      <c r="B274" t="s">
        <v>2605</v>
      </c>
      <c r="C274" t="s">
        <v>2606</v>
      </c>
      <c r="D274" t="s">
        <v>2712</v>
      </c>
      <c r="E274" t="str">
        <f>_xlfn.XLOOKUP(F274, Keys!B:B, Keys!A:A, "找不到")</f>
        <v>FA</v>
      </c>
      <c r="F274" t="s">
        <v>63</v>
      </c>
      <c r="G274">
        <v>14.297757995647091</v>
      </c>
      <c r="H274" t="s">
        <v>64</v>
      </c>
      <c r="I274" t="s">
        <v>65</v>
      </c>
      <c r="J274" t="s">
        <v>2846</v>
      </c>
      <c r="K274">
        <v>0</v>
      </c>
      <c r="L274">
        <v>1090.111174115719</v>
      </c>
    </row>
    <row r="275" spans="1:12" hidden="1" x14ac:dyDescent="0.25">
      <c r="A275">
        <v>206</v>
      </c>
      <c r="B275" t="s">
        <v>2605</v>
      </c>
      <c r="C275" t="s">
        <v>2606</v>
      </c>
      <c r="D275" t="s">
        <v>2712</v>
      </c>
      <c r="E275" t="str">
        <f>_xlfn.XLOOKUP(F275, Keys!B:B, Keys!A:A, "找不到")</f>
        <v>FA</v>
      </c>
      <c r="F275" t="s">
        <v>63</v>
      </c>
      <c r="G275">
        <v>0.53821037336128419</v>
      </c>
      <c r="H275" t="s">
        <v>64</v>
      </c>
      <c r="I275" t="s">
        <v>65</v>
      </c>
      <c r="J275" t="s">
        <v>2846</v>
      </c>
      <c r="K275">
        <v>0</v>
      </c>
      <c r="L275">
        <v>250.5494858109451</v>
      </c>
    </row>
    <row r="276" spans="1:12" hidden="1" x14ac:dyDescent="0.25">
      <c r="A276">
        <v>207</v>
      </c>
      <c r="B276" t="s">
        <v>2605</v>
      </c>
      <c r="C276" t="s">
        <v>2606</v>
      </c>
      <c r="D276">
        <v>0</v>
      </c>
      <c r="E276" t="str">
        <f>_xlfn.XLOOKUP(F276, Keys!B:B, Keys!A:A, "找不到")</f>
        <v>FA</v>
      </c>
      <c r="F276" t="s">
        <v>63</v>
      </c>
      <c r="G276">
        <v>0.98645690781222473</v>
      </c>
      <c r="H276" t="s">
        <v>64</v>
      </c>
      <c r="I276" t="s">
        <v>65</v>
      </c>
      <c r="J276" t="s">
        <v>495</v>
      </c>
      <c r="K276">
        <v>0</v>
      </c>
      <c r="L276">
        <v>257.6039862966208</v>
      </c>
    </row>
    <row r="277" spans="1:12" hidden="1" x14ac:dyDescent="0.25">
      <c r="A277">
        <v>208</v>
      </c>
      <c r="B277" t="s">
        <v>2605</v>
      </c>
      <c r="C277" t="s">
        <v>2606</v>
      </c>
      <c r="D277">
        <v>0</v>
      </c>
      <c r="E277" t="str">
        <f>_xlfn.XLOOKUP(F277, Keys!B:B, Keys!A:A, "找不到")</f>
        <v>FA</v>
      </c>
      <c r="F277" t="s">
        <v>63</v>
      </c>
      <c r="G277">
        <v>1.158675518228153</v>
      </c>
      <c r="H277" t="s">
        <v>64</v>
      </c>
      <c r="I277" t="s">
        <v>65</v>
      </c>
      <c r="J277" t="s">
        <v>2955</v>
      </c>
      <c r="K277">
        <v>0</v>
      </c>
      <c r="L277">
        <v>336.41102795900269</v>
      </c>
    </row>
    <row r="278" spans="1:12" hidden="1" x14ac:dyDescent="0.25">
      <c r="A278">
        <v>209</v>
      </c>
      <c r="B278" t="s">
        <v>2605</v>
      </c>
      <c r="C278" t="s">
        <v>2606</v>
      </c>
      <c r="D278">
        <v>0</v>
      </c>
      <c r="E278" t="str">
        <f>_xlfn.XLOOKUP(F278, Keys!B:B, Keys!A:A, "找不到")</f>
        <v>FA</v>
      </c>
      <c r="F278" t="s">
        <v>63</v>
      </c>
      <c r="G278">
        <v>1.0271525200403151</v>
      </c>
      <c r="H278" t="s">
        <v>64</v>
      </c>
      <c r="I278" t="s">
        <v>65</v>
      </c>
      <c r="J278" t="s">
        <v>2960</v>
      </c>
      <c r="K278">
        <v>0</v>
      </c>
      <c r="L278">
        <v>270.25290323024223</v>
      </c>
    </row>
    <row r="279" spans="1:12" hidden="1" x14ac:dyDescent="0.25">
      <c r="A279">
        <v>211</v>
      </c>
      <c r="B279" t="s">
        <v>2605</v>
      </c>
      <c r="C279" t="s">
        <v>2606</v>
      </c>
      <c r="D279">
        <v>0</v>
      </c>
      <c r="E279" t="str">
        <f>_xlfn.XLOOKUP(F279, Keys!B:B, Keys!A:A, "找不到")</f>
        <v>FA</v>
      </c>
      <c r="F279" t="s">
        <v>63</v>
      </c>
      <c r="G279">
        <v>0.1329133123510437</v>
      </c>
      <c r="H279" t="s">
        <v>64</v>
      </c>
      <c r="I279" t="s">
        <v>65</v>
      </c>
      <c r="J279" t="s">
        <v>2960</v>
      </c>
      <c r="K279">
        <v>0</v>
      </c>
      <c r="L279">
        <v>117.7810152216671</v>
      </c>
    </row>
    <row r="280" spans="1:12" hidden="1" x14ac:dyDescent="0.25">
      <c r="A280">
        <v>213</v>
      </c>
      <c r="B280" t="s">
        <v>2605</v>
      </c>
      <c r="C280" t="s">
        <v>2606</v>
      </c>
      <c r="D280">
        <v>0</v>
      </c>
      <c r="E280" t="str">
        <f>_xlfn.XLOOKUP(F280, Keys!B:B, Keys!A:A, "找不到")</f>
        <v>FA</v>
      </c>
      <c r="F280" t="s">
        <v>63</v>
      </c>
      <c r="G280">
        <v>1.1125937447537759</v>
      </c>
      <c r="H280" t="s">
        <v>64</v>
      </c>
      <c r="I280" t="s">
        <v>65</v>
      </c>
      <c r="J280" t="s">
        <v>2960</v>
      </c>
      <c r="K280">
        <v>0</v>
      </c>
      <c r="L280">
        <v>301.96284939623621</v>
      </c>
    </row>
    <row r="281" spans="1:12" hidden="1" x14ac:dyDescent="0.25">
      <c r="A281">
        <v>216</v>
      </c>
      <c r="B281" t="s">
        <v>2605</v>
      </c>
      <c r="C281" t="s">
        <v>2606</v>
      </c>
      <c r="D281">
        <v>0</v>
      </c>
      <c r="E281" t="str">
        <f>_xlfn.XLOOKUP(F281, Keys!B:B, Keys!A:A, "找不到")</f>
        <v>FA</v>
      </c>
      <c r="F281" t="s">
        <v>63</v>
      </c>
      <c r="G281">
        <v>0.15247432117014481</v>
      </c>
      <c r="H281" t="s">
        <v>64</v>
      </c>
      <c r="I281" t="s">
        <v>65</v>
      </c>
      <c r="J281" t="s">
        <v>2960</v>
      </c>
      <c r="K281">
        <v>0</v>
      </c>
      <c r="L281">
        <v>107.5052506843946</v>
      </c>
    </row>
    <row r="282" spans="1:12" hidden="1" x14ac:dyDescent="0.25">
      <c r="A282">
        <v>217</v>
      </c>
      <c r="B282" t="s">
        <v>2605</v>
      </c>
      <c r="C282" t="s">
        <v>2606</v>
      </c>
      <c r="D282">
        <v>0</v>
      </c>
      <c r="E282" t="str">
        <f>_xlfn.XLOOKUP(F282, Keys!B:B, Keys!A:A, "找不到")</f>
        <v>FA</v>
      </c>
      <c r="F282" t="s">
        <v>63</v>
      </c>
      <c r="G282">
        <v>0.1647039047337204</v>
      </c>
      <c r="H282" t="s">
        <v>64</v>
      </c>
      <c r="I282" t="s">
        <v>65</v>
      </c>
      <c r="J282" t="s">
        <v>2960</v>
      </c>
      <c r="K282">
        <v>0</v>
      </c>
      <c r="L282">
        <v>103.03568087438219</v>
      </c>
    </row>
    <row r="283" spans="1:12" hidden="1" x14ac:dyDescent="0.25">
      <c r="A283">
        <v>218</v>
      </c>
      <c r="B283" t="s">
        <v>2605</v>
      </c>
      <c r="C283" t="s">
        <v>2606</v>
      </c>
      <c r="D283">
        <v>0</v>
      </c>
      <c r="E283" t="str">
        <f>_xlfn.XLOOKUP(F283, Keys!B:B, Keys!A:A, "找不到")</f>
        <v>FA</v>
      </c>
      <c r="F283" t="s">
        <v>63</v>
      </c>
      <c r="G283">
        <v>0.16098509875520639</v>
      </c>
      <c r="H283" t="s">
        <v>64</v>
      </c>
      <c r="I283" t="s">
        <v>65</v>
      </c>
      <c r="J283" t="s">
        <v>2960</v>
      </c>
      <c r="K283">
        <v>0</v>
      </c>
      <c r="L283">
        <v>101.4336995741543</v>
      </c>
    </row>
    <row r="284" spans="1:12" hidden="1" x14ac:dyDescent="0.25">
      <c r="A284">
        <v>224</v>
      </c>
      <c r="B284" t="s">
        <v>2605</v>
      </c>
      <c r="C284" t="s">
        <v>2606</v>
      </c>
      <c r="D284">
        <v>0</v>
      </c>
      <c r="E284" t="str">
        <f>_xlfn.XLOOKUP(F284, Keys!B:B, Keys!A:A, "找不到")</f>
        <v>FA</v>
      </c>
      <c r="F284" t="s">
        <v>63</v>
      </c>
      <c r="G284">
        <v>0.1792240578131882</v>
      </c>
      <c r="H284" t="s">
        <v>64</v>
      </c>
      <c r="I284" t="s">
        <v>65</v>
      </c>
      <c r="J284" t="s">
        <v>2747</v>
      </c>
      <c r="K284">
        <v>0</v>
      </c>
      <c r="L284">
        <v>107.5639920395852</v>
      </c>
    </row>
    <row r="285" spans="1:12" hidden="1" x14ac:dyDescent="0.25">
      <c r="A285">
        <v>225</v>
      </c>
      <c r="B285" t="s">
        <v>2605</v>
      </c>
      <c r="C285" t="s">
        <v>2606</v>
      </c>
      <c r="D285">
        <v>0</v>
      </c>
      <c r="E285" t="str">
        <f>_xlfn.XLOOKUP(F285, Keys!B:B, Keys!A:A, "找不到")</f>
        <v>FA</v>
      </c>
      <c r="F285" t="s">
        <v>63</v>
      </c>
      <c r="G285">
        <v>1.455926288455563</v>
      </c>
      <c r="H285" t="s">
        <v>64</v>
      </c>
      <c r="I285" t="s">
        <v>65</v>
      </c>
      <c r="J285" t="s">
        <v>673</v>
      </c>
      <c r="K285">
        <v>0</v>
      </c>
      <c r="L285">
        <v>311.12726611573038</v>
      </c>
    </row>
    <row r="286" spans="1:12" hidden="1" x14ac:dyDescent="0.25">
      <c r="A286">
        <v>226</v>
      </c>
      <c r="B286" t="s">
        <v>2605</v>
      </c>
      <c r="C286" t="s">
        <v>2606</v>
      </c>
      <c r="D286">
        <v>0</v>
      </c>
      <c r="E286" t="str">
        <f>_xlfn.XLOOKUP(F286, Keys!B:B, Keys!A:A, "找不到")</f>
        <v>FA</v>
      </c>
      <c r="F286" t="s">
        <v>63</v>
      </c>
      <c r="G286">
        <v>5.2393500993121336</v>
      </c>
      <c r="H286" t="s">
        <v>64</v>
      </c>
      <c r="I286" t="s">
        <v>65</v>
      </c>
      <c r="J286" t="s">
        <v>673</v>
      </c>
      <c r="K286">
        <v>0</v>
      </c>
      <c r="L286">
        <v>870.07795299338784</v>
      </c>
    </row>
    <row r="287" spans="1:12" hidden="1" x14ac:dyDescent="0.25">
      <c r="A287">
        <v>227</v>
      </c>
      <c r="B287" t="s">
        <v>2605</v>
      </c>
      <c r="C287" t="s">
        <v>2606</v>
      </c>
      <c r="D287">
        <v>0</v>
      </c>
      <c r="E287" t="str">
        <f>_xlfn.XLOOKUP(F287, Keys!B:B, Keys!A:A, "找不到")</f>
        <v>FA</v>
      </c>
      <c r="F287" t="s">
        <v>63</v>
      </c>
      <c r="G287">
        <v>0.13119521573817461</v>
      </c>
      <c r="H287" t="s">
        <v>64</v>
      </c>
      <c r="I287" t="s">
        <v>65</v>
      </c>
      <c r="J287" t="s">
        <v>2691</v>
      </c>
      <c r="K287">
        <v>0</v>
      </c>
      <c r="L287">
        <v>106.0590395613544</v>
      </c>
    </row>
    <row r="288" spans="1:12" hidden="1" x14ac:dyDescent="0.25">
      <c r="A288">
        <v>228</v>
      </c>
      <c r="B288" t="s">
        <v>2605</v>
      </c>
      <c r="C288" t="s">
        <v>2606</v>
      </c>
      <c r="D288">
        <v>0</v>
      </c>
      <c r="E288" t="str">
        <f>_xlfn.XLOOKUP(F288, Keys!B:B, Keys!A:A, "找不到")</f>
        <v>FA</v>
      </c>
      <c r="F288" t="s">
        <v>63</v>
      </c>
      <c r="G288">
        <v>7.1871933222892093E-2</v>
      </c>
      <c r="H288" t="s">
        <v>64</v>
      </c>
      <c r="I288" t="s">
        <v>65</v>
      </c>
      <c r="J288" t="s">
        <v>2691</v>
      </c>
      <c r="K288">
        <v>0</v>
      </c>
      <c r="L288">
        <v>71.348736303534565</v>
      </c>
    </row>
    <row r="289" spans="1:12" hidden="1" x14ac:dyDescent="0.25">
      <c r="A289">
        <v>230</v>
      </c>
      <c r="B289" t="s">
        <v>2605</v>
      </c>
      <c r="C289" t="s">
        <v>2606</v>
      </c>
      <c r="D289">
        <v>0</v>
      </c>
      <c r="E289" t="str">
        <f>_xlfn.XLOOKUP(F289, Keys!B:B, Keys!A:A, "找不到")</f>
        <v>FA</v>
      </c>
      <c r="F289" t="s">
        <v>63</v>
      </c>
      <c r="G289">
        <v>0.2231582360740838</v>
      </c>
      <c r="H289" t="s">
        <v>64</v>
      </c>
      <c r="I289" t="s">
        <v>65</v>
      </c>
      <c r="J289" t="s">
        <v>2691</v>
      </c>
      <c r="K289">
        <v>0</v>
      </c>
      <c r="L289">
        <v>135.10163680039</v>
      </c>
    </row>
    <row r="290" spans="1:12" hidden="1" x14ac:dyDescent="0.25">
      <c r="A290">
        <v>237</v>
      </c>
      <c r="B290" t="s">
        <v>2605</v>
      </c>
      <c r="C290" t="s">
        <v>2606</v>
      </c>
      <c r="D290" t="s">
        <v>2702</v>
      </c>
      <c r="E290" t="str">
        <f>_xlfn.XLOOKUP(F290, Keys!B:B, Keys!A:A, "找不到")</f>
        <v>FA</v>
      </c>
      <c r="F290" t="s">
        <v>63</v>
      </c>
      <c r="G290">
        <v>1.85425784035255</v>
      </c>
      <c r="H290" t="s">
        <v>64</v>
      </c>
      <c r="I290" t="s">
        <v>65</v>
      </c>
      <c r="J290" t="s">
        <v>2993</v>
      </c>
      <c r="K290">
        <v>0</v>
      </c>
      <c r="L290">
        <v>384.04618667939832</v>
      </c>
    </row>
    <row r="291" spans="1:12" hidden="1" x14ac:dyDescent="0.25">
      <c r="A291">
        <v>240</v>
      </c>
      <c r="B291" t="s">
        <v>2605</v>
      </c>
      <c r="C291" t="s">
        <v>2606</v>
      </c>
      <c r="D291">
        <v>0</v>
      </c>
      <c r="E291" t="str">
        <f>_xlfn.XLOOKUP(F291, Keys!B:B, Keys!A:A, "找不到")</f>
        <v>FA</v>
      </c>
      <c r="F291" t="s">
        <v>63</v>
      </c>
      <c r="G291">
        <v>1.337764992721403</v>
      </c>
      <c r="H291" t="s">
        <v>64</v>
      </c>
      <c r="I291" t="s">
        <v>65</v>
      </c>
      <c r="J291" t="s">
        <v>3000</v>
      </c>
      <c r="K291">
        <v>0</v>
      </c>
      <c r="L291">
        <v>297.75908684681491</v>
      </c>
    </row>
    <row r="292" spans="1:12" hidden="1" x14ac:dyDescent="0.25">
      <c r="A292">
        <v>243</v>
      </c>
      <c r="B292" t="s">
        <v>2605</v>
      </c>
      <c r="C292" t="s">
        <v>2606</v>
      </c>
      <c r="D292">
        <v>0</v>
      </c>
      <c r="E292" t="str">
        <f>_xlfn.XLOOKUP(F292, Keys!B:B, Keys!A:A, "找不到")</f>
        <v>FA</v>
      </c>
      <c r="F292" t="s">
        <v>63</v>
      </c>
      <c r="G292">
        <v>3.813374048305509</v>
      </c>
      <c r="H292" t="s">
        <v>64</v>
      </c>
      <c r="I292" t="s">
        <v>65</v>
      </c>
      <c r="J292" t="s">
        <v>3005</v>
      </c>
      <c r="K292">
        <v>0</v>
      </c>
      <c r="L292">
        <v>567.81045105804344</v>
      </c>
    </row>
    <row r="293" spans="1:12" hidden="1" x14ac:dyDescent="0.25">
      <c r="A293">
        <v>244</v>
      </c>
      <c r="B293" t="s">
        <v>2605</v>
      </c>
      <c r="C293" t="s">
        <v>2606</v>
      </c>
      <c r="D293">
        <v>0</v>
      </c>
      <c r="E293" t="str">
        <f>_xlfn.XLOOKUP(F293, Keys!B:B, Keys!A:A, "找不到")</f>
        <v>FA</v>
      </c>
      <c r="F293" t="s">
        <v>63</v>
      </c>
      <c r="G293">
        <v>6.5852134961147106</v>
      </c>
      <c r="H293" t="s">
        <v>64</v>
      </c>
      <c r="I293" t="s">
        <v>65</v>
      </c>
      <c r="J293" t="s">
        <v>3005</v>
      </c>
      <c r="K293">
        <v>0</v>
      </c>
      <c r="L293">
        <v>817.01703915361259</v>
      </c>
    </row>
    <row r="294" spans="1:12" hidden="1" x14ac:dyDescent="0.25">
      <c r="A294">
        <v>245</v>
      </c>
      <c r="B294" t="s">
        <v>2605</v>
      </c>
      <c r="C294" t="s">
        <v>2606</v>
      </c>
      <c r="D294">
        <v>0</v>
      </c>
      <c r="E294" t="str">
        <f>_xlfn.XLOOKUP(F294, Keys!B:B, Keys!A:A, "找不到")</f>
        <v>FA</v>
      </c>
      <c r="F294" t="s">
        <v>63</v>
      </c>
      <c r="G294">
        <v>2.9991397741049468</v>
      </c>
      <c r="H294" t="s">
        <v>64</v>
      </c>
      <c r="I294" t="s">
        <v>65</v>
      </c>
      <c r="J294" t="s">
        <v>3009</v>
      </c>
      <c r="K294">
        <v>0</v>
      </c>
      <c r="L294">
        <v>602.75119440651019</v>
      </c>
    </row>
    <row r="295" spans="1:12" hidden="1" x14ac:dyDescent="0.25">
      <c r="A295">
        <v>246</v>
      </c>
      <c r="B295" t="s">
        <v>2605</v>
      </c>
      <c r="C295" t="s">
        <v>2606</v>
      </c>
      <c r="D295" t="s">
        <v>2712</v>
      </c>
      <c r="E295" t="str">
        <f>_xlfn.XLOOKUP(F295, Keys!B:B, Keys!A:A, "找不到")</f>
        <v>FA</v>
      </c>
      <c r="F295" t="s">
        <v>63</v>
      </c>
      <c r="G295">
        <v>17.40679624945388</v>
      </c>
      <c r="H295" t="s">
        <v>64</v>
      </c>
      <c r="I295" t="s">
        <v>65</v>
      </c>
      <c r="J295" t="s">
        <v>2996</v>
      </c>
      <c r="K295">
        <v>0</v>
      </c>
      <c r="L295">
        <v>1266.3439862779489</v>
      </c>
    </row>
    <row r="296" spans="1:12" hidden="1" x14ac:dyDescent="0.25">
      <c r="A296">
        <v>249</v>
      </c>
      <c r="B296" t="s">
        <v>2605</v>
      </c>
      <c r="C296" t="s">
        <v>2606</v>
      </c>
      <c r="D296">
        <v>0</v>
      </c>
      <c r="E296" t="str">
        <f>_xlfn.XLOOKUP(F296, Keys!B:B, Keys!A:A, "找不到")</f>
        <v>FA</v>
      </c>
      <c r="F296" t="s">
        <v>63</v>
      </c>
      <c r="G296">
        <v>4.2739058969212769E-2</v>
      </c>
      <c r="H296" t="s">
        <v>64</v>
      </c>
      <c r="I296" t="s">
        <v>65</v>
      </c>
      <c r="J296" t="s">
        <v>2747</v>
      </c>
      <c r="K296">
        <v>0</v>
      </c>
      <c r="L296">
        <v>52.822484764668253</v>
      </c>
    </row>
    <row r="297" spans="1:12" hidden="1" x14ac:dyDescent="0.25">
      <c r="A297">
        <v>250</v>
      </c>
      <c r="B297" t="s">
        <v>2605</v>
      </c>
      <c r="C297" t="s">
        <v>2606</v>
      </c>
      <c r="D297" t="s">
        <v>2702</v>
      </c>
      <c r="E297" t="str">
        <f>_xlfn.XLOOKUP(F297, Keys!B:B, Keys!A:A, "找不到")</f>
        <v>FA</v>
      </c>
      <c r="F297" t="s">
        <v>63</v>
      </c>
      <c r="G297">
        <v>0.87829515171328298</v>
      </c>
      <c r="H297" t="s">
        <v>64</v>
      </c>
      <c r="I297" t="s">
        <v>65</v>
      </c>
      <c r="J297" t="s">
        <v>2993</v>
      </c>
      <c r="K297">
        <v>0</v>
      </c>
      <c r="L297">
        <v>336.3284447944385</v>
      </c>
    </row>
    <row r="298" spans="1:12" hidden="1" x14ac:dyDescent="0.25">
      <c r="A298">
        <v>251</v>
      </c>
      <c r="B298" t="s">
        <v>2605</v>
      </c>
      <c r="C298" t="s">
        <v>2606</v>
      </c>
      <c r="D298" t="s">
        <v>2702</v>
      </c>
      <c r="E298" t="str">
        <f>_xlfn.XLOOKUP(F298, Keys!B:B, Keys!A:A, "找不到")</f>
        <v>FA</v>
      </c>
      <c r="F298" t="s">
        <v>63</v>
      </c>
      <c r="G298">
        <v>0.77372668791004939</v>
      </c>
      <c r="H298" t="s">
        <v>64</v>
      </c>
      <c r="I298" t="s">
        <v>65</v>
      </c>
      <c r="J298" t="s">
        <v>2993</v>
      </c>
      <c r="K298">
        <v>0</v>
      </c>
      <c r="L298">
        <v>260.27799960002068</v>
      </c>
    </row>
    <row r="299" spans="1:12" hidden="1" x14ac:dyDescent="0.25">
      <c r="A299">
        <v>253</v>
      </c>
      <c r="B299" t="s">
        <v>2605</v>
      </c>
      <c r="C299" t="s">
        <v>2606</v>
      </c>
      <c r="D299" t="s">
        <v>2702</v>
      </c>
      <c r="E299" t="str">
        <f>_xlfn.XLOOKUP(F299, Keys!B:B, Keys!A:A, "找不到")</f>
        <v>FA</v>
      </c>
      <c r="F299" t="s">
        <v>63</v>
      </c>
      <c r="G299">
        <v>2.800561823663577</v>
      </c>
      <c r="H299" t="s">
        <v>64</v>
      </c>
      <c r="I299" t="s">
        <v>65</v>
      </c>
      <c r="J299" t="s">
        <v>2993</v>
      </c>
      <c r="K299">
        <v>0</v>
      </c>
      <c r="L299">
        <v>543.54402167335616</v>
      </c>
    </row>
    <row r="300" spans="1:12" hidden="1" x14ac:dyDescent="0.25">
      <c r="A300">
        <v>254</v>
      </c>
      <c r="B300" t="s">
        <v>2605</v>
      </c>
      <c r="C300" t="s">
        <v>2606</v>
      </c>
      <c r="D300" t="s">
        <v>2702</v>
      </c>
      <c r="E300" t="str">
        <f>_xlfn.XLOOKUP(F300, Keys!B:B, Keys!A:A, "找不到")</f>
        <v>FA</v>
      </c>
      <c r="F300" t="s">
        <v>63</v>
      </c>
      <c r="G300">
        <v>3.8253698843403918</v>
      </c>
      <c r="H300" t="s">
        <v>64</v>
      </c>
      <c r="I300" t="s">
        <v>65</v>
      </c>
      <c r="J300" t="s">
        <v>2993</v>
      </c>
      <c r="K300">
        <v>0</v>
      </c>
      <c r="L300">
        <v>550.02587592328712</v>
      </c>
    </row>
    <row r="301" spans="1:12" hidden="1" x14ac:dyDescent="0.25">
      <c r="A301">
        <v>255</v>
      </c>
      <c r="B301" t="s">
        <v>2605</v>
      </c>
      <c r="C301" t="s">
        <v>2606</v>
      </c>
      <c r="D301" t="s">
        <v>3027</v>
      </c>
      <c r="E301" t="str">
        <f>_xlfn.XLOOKUP(F301, Keys!B:B, Keys!A:A, "找不到")</f>
        <v>FA</v>
      </c>
      <c r="F301" t="s">
        <v>63</v>
      </c>
      <c r="G301">
        <v>4.5703767924301344</v>
      </c>
      <c r="H301" t="s">
        <v>64</v>
      </c>
      <c r="I301" t="s">
        <v>65</v>
      </c>
      <c r="J301" t="s">
        <v>3028</v>
      </c>
      <c r="K301">
        <v>0</v>
      </c>
      <c r="L301">
        <v>599.41773567430869</v>
      </c>
    </row>
    <row r="302" spans="1:12" hidden="1" x14ac:dyDescent="0.25">
      <c r="A302">
        <v>257</v>
      </c>
      <c r="B302" t="s">
        <v>2605</v>
      </c>
      <c r="C302" t="s">
        <v>2606</v>
      </c>
      <c r="D302" t="s">
        <v>2712</v>
      </c>
      <c r="E302" t="str">
        <f>_xlfn.XLOOKUP(F302, Keys!B:B, Keys!A:A, "找不到")</f>
        <v>FA</v>
      </c>
      <c r="F302" t="s">
        <v>63</v>
      </c>
      <c r="G302">
        <v>1.81269634999133</v>
      </c>
      <c r="H302" t="s">
        <v>64</v>
      </c>
      <c r="I302" t="s">
        <v>65</v>
      </c>
      <c r="J302" t="s">
        <v>2996</v>
      </c>
      <c r="K302">
        <v>0</v>
      </c>
      <c r="L302">
        <v>386.50071511429309</v>
      </c>
    </row>
    <row r="303" spans="1:12" hidden="1" x14ac:dyDescent="0.25">
      <c r="A303">
        <v>259</v>
      </c>
      <c r="B303" t="s">
        <v>2605</v>
      </c>
      <c r="C303" t="s">
        <v>2606</v>
      </c>
      <c r="D303" t="s">
        <v>2702</v>
      </c>
      <c r="E303" t="str">
        <f>_xlfn.XLOOKUP(F303, Keys!B:B, Keys!A:A, "找不到")</f>
        <v>FA</v>
      </c>
      <c r="F303" t="s">
        <v>63</v>
      </c>
      <c r="G303">
        <v>0.35190992171134228</v>
      </c>
      <c r="H303" t="s">
        <v>64</v>
      </c>
      <c r="I303" t="s">
        <v>65</v>
      </c>
      <c r="J303" t="s">
        <v>3034</v>
      </c>
      <c r="K303">
        <v>0</v>
      </c>
      <c r="L303">
        <v>153.58793381580421</v>
      </c>
    </row>
    <row r="304" spans="1:12" hidden="1" x14ac:dyDescent="0.25">
      <c r="A304">
        <v>260</v>
      </c>
      <c r="B304" t="s">
        <v>2605</v>
      </c>
      <c r="C304" t="s">
        <v>2606</v>
      </c>
      <c r="D304" t="s">
        <v>2702</v>
      </c>
      <c r="E304" t="str">
        <f>_xlfn.XLOOKUP(F304, Keys!B:B, Keys!A:A, "找不到")</f>
        <v>FA</v>
      </c>
      <c r="F304" t="s">
        <v>63</v>
      </c>
      <c r="G304">
        <v>0.1124134522913454</v>
      </c>
      <c r="H304" t="s">
        <v>64</v>
      </c>
      <c r="I304" t="s">
        <v>65</v>
      </c>
      <c r="J304" t="s">
        <v>3034</v>
      </c>
      <c r="K304">
        <v>0</v>
      </c>
      <c r="L304">
        <v>102.79027167334139</v>
      </c>
    </row>
    <row r="305" spans="1:12" hidden="1" x14ac:dyDescent="0.25">
      <c r="A305">
        <v>261</v>
      </c>
      <c r="B305" t="s">
        <v>2605</v>
      </c>
      <c r="C305" t="s">
        <v>2606</v>
      </c>
      <c r="D305" t="s">
        <v>2702</v>
      </c>
      <c r="E305" t="str">
        <f>_xlfn.XLOOKUP(F305, Keys!B:B, Keys!A:A, "找不到")</f>
        <v>FA</v>
      </c>
      <c r="F305" t="s">
        <v>63</v>
      </c>
      <c r="G305">
        <v>0.43706621093468101</v>
      </c>
      <c r="H305" t="s">
        <v>64</v>
      </c>
      <c r="I305" t="s">
        <v>65</v>
      </c>
      <c r="J305" t="s">
        <v>3034</v>
      </c>
      <c r="K305">
        <v>0</v>
      </c>
      <c r="L305">
        <v>162.37798194966359</v>
      </c>
    </row>
    <row r="306" spans="1:12" hidden="1" x14ac:dyDescent="0.25">
      <c r="A306">
        <v>262</v>
      </c>
      <c r="B306" t="s">
        <v>2605</v>
      </c>
      <c r="C306" t="s">
        <v>2606</v>
      </c>
      <c r="D306">
        <v>0</v>
      </c>
      <c r="E306" t="str">
        <f>_xlfn.XLOOKUP(F306, Keys!B:B, Keys!A:A, "找不到")</f>
        <v>FA</v>
      </c>
      <c r="F306" t="s">
        <v>63</v>
      </c>
      <c r="G306">
        <v>2.3218815475651131</v>
      </c>
      <c r="H306" t="s">
        <v>64</v>
      </c>
      <c r="I306" t="s">
        <v>65</v>
      </c>
      <c r="J306" t="s">
        <v>3038</v>
      </c>
      <c r="K306">
        <v>0</v>
      </c>
      <c r="L306">
        <v>596.32205715429586</v>
      </c>
    </row>
    <row r="307" spans="1:12" hidden="1" x14ac:dyDescent="0.25">
      <c r="A307">
        <v>263</v>
      </c>
      <c r="B307" t="s">
        <v>2605</v>
      </c>
      <c r="C307" t="s">
        <v>2606</v>
      </c>
      <c r="D307">
        <v>0</v>
      </c>
      <c r="E307" t="str">
        <f>_xlfn.XLOOKUP(F307, Keys!B:B, Keys!A:A, "找不到")</f>
        <v>FA</v>
      </c>
      <c r="F307" t="s">
        <v>63</v>
      </c>
      <c r="G307">
        <v>0.41977471064331018</v>
      </c>
      <c r="H307" t="s">
        <v>64</v>
      </c>
      <c r="I307" t="s">
        <v>65</v>
      </c>
      <c r="J307">
        <v>0</v>
      </c>
      <c r="K307">
        <v>0</v>
      </c>
      <c r="L307">
        <v>187.37779994132899</v>
      </c>
    </row>
    <row r="308" spans="1:12" hidden="1" x14ac:dyDescent="0.25">
      <c r="A308">
        <v>268</v>
      </c>
      <c r="B308" t="s">
        <v>2605</v>
      </c>
      <c r="C308" t="s">
        <v>2606</v>
      </c>
      <c r="D308" t="s">
        <v>2712</v>
      </c>
      <c r="E308" t="str">
        <f>_xlfn.XLOOKUP(F308, Keys!B:B, Keys!A:A, "找不到")</f>
        <v>FA</v>
      </c>
      <c r="F308" t="s">
        <v>63</v>
      </c>
      <c r="G308">
        <v>27.93967176369372</v>
      </c>
      <c r="H308" t="s">
        <v>64</v>
      </c>
      <c r="I308" t="s">
        <v>65</v>
      </c>
      <c r="J308" t="s">
        <v>3049</v>
      </c>
      <c r="K308">
        <v>0</v>
      </c>
      <c r="L308">
        <v>1410.367719349749</v>
      </c>
    </row>
    <row r="309" spans="1:12" hidden="1" x14ac:dyDescent="0.25">
      <c r="A309">
        <v>269</v>
      </c>
      <c r="B309" t="s">
        <v>2605</v>
      </c>
      <c r="C309" t="s">
        <v>2606</v>
      </c>
      <c r="D309" t="s">
        <v>2712</v>
      </c>
      <c r="E309" t="str">
        <f>_xlfn.XLOOKUP(F309, Keys!B:B, Keys!A:A, "找不到")</f>
        <v>FA</v>
      </c>
      <c r="F309" t="s">
        <v>63</v>
      </c>
      <c r="G309">
        <v>27.318629614109359</v>
      </c>
      <c r="H309" t="s">
        <v>64</v>
      </c>
      <c r="I309" t="s">
        <v>65</v>
      </c>
      <c r="J309" t="s">
        <v>2846</v>
      </c>
      <c r="K309">
        <v>0</v>
      </c>
      <c r="L309">
        <v>1381.038157108974</v>
      </c>
    </row>
    <row r="310" spans="1:12" hidden="1" x14ac:dyDescent="0.25">
      <c r="A310">
        <v>272</v>
      </c>
      <c r="B310" t="s">
        <v>2605</v>
      </c>
      <c r="C310" t="s">
        <v>2606</v>
      </c>
      <c r="D310" t="s">
        <v>2712</v>
      </c>
      <c r="E310" t="str">
        <f>_xlfn.XLOOKUP(F310, Keys!B:B, Keys!A:A, "找不到")</f>
        <v>FA</v>
      </c>
      <c r="F310" t="s">
        <v>63</v>
      </c>
      <c r="G310">
        <v>17.750860649581689</v>
      </c>
      <c r="H310" t="s">
        <v>64</v>
      </c>
      <c r="I310" t="s">
        <v>65</v>
      </c>
      <c r="J310" t="s">
        <v>2846</v>
      </c>
      <c r="K310">
        <v>0</v>
      </c>
      <c r="L310">
        <v>1514.734795808851</v>
      </c>
    </row>
    <row r="311" spans="1:12" hidden="1" x14ac:dyDescent="0.25">
      <c r="A311">
        <v>273</v>
      </c>
      <c r="B311" t="s">
        <v>2605</v>
      </c>
      <c r="C311" t="s">
        <v>2606</v>
      </c>
      <c r="D311" t="s">
        <v>2712</v>
      </c>
      <c r="E311" t="str">
        <f>_xlfn.XLOOKUP(F311, Keys!B:B, Keys!A:A, "找不到")</f>
        <v>FA</v>
      </c>
      <c r="F311" t="s">
        <v>63</v>
      </c>
      <c r="G311">
        <v>0.92355170053483981</v>
      </c>
      <c r="H311" t="s">
        <v>64</v>
      </c>
      <c r="I311" t="s">
        <v>65</v>
      </c>
      <c r="J311" t="s">
        <v>2846</v>
      </c>
      <c r="K311">
        <v>0</v>
      </c>
      <c r="L311">
        <v>270.57996389246227</v>
      </c>
    </row>
    <row r="312" spans="1:12" hidden="1" x14ac:dyDescent="0.25">
      <c r="A312">
        <v>274</v>
      </c>
      <c r="B312" t="s">
        <v>2605</v>
      </c>
      <c r="C312" t="s">
        <v>2606</v>
      </c>
      <c r="D312" t="s">
        <v>2712</v>
      </c>
      <c r="E312" t="str">
        <f>_xlfn.XLOOKUP(F312, Keys!B:B, Keys!A:A, "找不到")</f>
        <v>FA</v>
      </c>
      <c r="F312" t="s">
        <v>63</v>
      </c>
      <c r="G312">
        <v>0.54316201414283449</v>
      </c>
      <c r="H312" t="s">
        <v>64</v>
      </c>
      <c r="I312" t="s">
        <v>65</v>
      </c>
      <c r="J312" t="s">
        <v>2846</v>
      </c>
      <c r="K312">
        <v>0</v>
      </c>
      <c r="L312">
        <v>219.1192185752204</v>
      </c>
    </row>
    <row r="313" spans="1:12" hidden="1" x14ac:dyDescent="0.25">
      <c r="A313">
        <v>275</v>
      </c>
      <c r="B313" t="s">
        <v>2605</v>
      </c>
      <c r="C313" t="s">
        <v>2606</v>
      </c>
      <c r="D313" t="s">
        <v>2712</v>
      </c>
      <c r="E313" t="str">
        <f>_xlfn.XLOOKUP(F313, Keys!B:B, Keys!A:A, "找不到")</f>
        <v>FA</v>
      </c>
      <c r="F313" t="s">
        <v>63</v>
      </c>
      <c r="G313">
        <v>1.167057440468535</v>
      </c>
      <c r="H313" t="s">
        <v>64</v>
      </c>
      <c r="I313" t="s">
        <v>65</v>
      </c>
      <c r="J313" t="s">
        <v>2846</v>
      </c>
      <c r="K313">
        <v>0</v>
      </c>
      <c r="L313">
        <v>324.00266339708162</v>
      </c>
    </row>
    <row r="314" spans="1:12" hidden="1" x14ac:dyDescent="0.25">
      <c r="A314">
        <v>276</v>
      </c>
      <c r="B314" t="s">
        <v>2605</v>
      </c>
      <c r="C314" t="s">
        <v>2606</v>
      </c>
      <c r="D314" t="s">
        <v>2712</v>
      </c>
      <c r="E314" t="str">
        <f>_xlfn.XLOOKUP(F314, Keys!B:B, Keys!A:A, "找不到")</f>
        <v>FA</v>
      </c>
      <c r="F314" t="s">
        <v>63</v>
      </c>
      <c r="G314">
        <v>1.42185790952049</v>
      </c>
      <c r="H314" t="s">
        <v>64</v>
      </c>
      <c r="I314" t="s">
        <v>65</v>
      </c>
      <c r="J314" t="s">
        <v>2846</v>
      </c>
      <c r="K314">
        <v>0</v>
      </c>
      <c r="L314">
        <v>302.81797915581808</v>
      </c>
    </row>
    <row r="315" spans="1:12" hidden="1" x14ac:dyDescent="0.25">
      <c r="A315">
        <v>277</v>
      </c>
      <c r="B315" t="s">
        <v>2605</v>
      </c>
      <c r="C315" t="s">
        <v>2606</v>
      </c>
      <c r="D315" t="s">
        <v>2712</v>
      </c>
      <c r="E315" t="str">
        <f>_xlfn.XLOOKUP(F315, Keys!B:B, Keys!A:A, "找不到")</f>
        <v>FA</v>
      </c>
      <c r="F315" t="s">
        <v>63</v>
      </c>
      <c r="G315">
        <v>0.40009672658803641</v>
      </c>
      <c r="H315" t="s">
        <v>64</v>
      </c>
      <c r="I315" t="s">
        <v>65</v>
      </c>
      <c r="J315" t="s">
        <v>2846</v>
      </c>
      <c r="K315">
        <v>0</v>
      </c>
      <c r="L315">
        <v>165.55845499839049</v>
      </c>
    </row>
    <row r="316" spans="1:12" hidden="1" x14ac:dyDescent="0.25">
      <c r="A316">
        <v>278</v>
      </c>
      <c r="B316" t="s">
        <v>2605</v>
      </c>
      <c r="C316" t="s">
        <v>2606</v>
      </c>
      <c r="D316" t="s">
        <v>2712</v>
      </c>
      <c r="E316" t="str">
        <f>_xlfn.XLOOKUP(F316, Keys!B:B, Keys!A:A, "找不到")</f>
        <v>FA</v>
      </c>
      <c r="F316" t="s">
        <v>63</v>
      </c>
      <c r="G316">
        <v>5.7446651787878231</v>
      </c>
      <c r="H316" t="s">
        <v>64</v>
      </c>
      <c r="I316" t="s">
        <v>65</v>
      </c>
      <c r="J316" t="s">
        <v>3049</v>
      </c>
      <c r="K316">
        <v>0</v>
      </c>
      <c r="L316">
        <v>914.7698237344157</v>
      </c>
    </row>
    <row r="317" spans="1:12" hidden="1" x14ac:dyDescent="0.25">
      <c r="A317">
        <v>279</v>
      </c>
      <c r="B317" t="s">
        <v>2605</v>
      </c>
      <c r="C317" t="s">
        <v>2606</v>
      </c>
      <c r="D317" t="s">
        <v>2712</v>
      </c>
      <c r="E317" t="str">
        <f>_xlfn.XLOOKUP(F317, Keys!B:B, Keys!A:A, "找不到")</f>
        <v>FA</v>
      </c>
      <c r="F317" t="s">
        <v>63</v>
      </c>
      <c r="G317">
        <v>1.69409100187858</v>
      </c>
      <c r="H317" t="s">
        <v>64</v>
      </c>
      <c r="I317" t="s">
        <v>65</v>
      </c>
      <c r="J317" t="s">
        <v>2846</v>
      </c>
      <c r="K317">
        <v>0</v>
      </c>
      <c r="L317">
        <v>568.81199929713307</v>
      </c>
    </row>
    <row r="318" spans="1:12" hidden="1" x14ac:dyDescent="0.25">
      <c r="A318">
        <v>280</v>
      </c>
      <c r="B318" t="s">
        <v>2605</v>
      </c>
      <c r="C318" t="s">
        <v>2606</v>
      </c>
      <c r="D318" t="s">
        <v>2712</v>
      </c>
      <c r="E318" t="str">
        <f>_xlfn.XLOOKUP(F318, Keys!B:B, Keys!A:A, "找不到")</f>
        <v>FA</v>
      </c>
      <c r="F318" t="s">
        <v>63</v>
      </c>
      <c r="G318">
        <v>11.6222277656556</v>
      </c>
      <c r="H318" t="s">
        <v>64</v>
      </c>
      <c r="I318" t="s">
        <v>65</v>
      </c>
      <c r="J318" t="s">
        <v>2846</v>
      </c>
      <c r="K318">
        <v>0</v>
      </c>
      <c r="L318">
        <v>1130.6409269127721</v>
      </c>
    </row>
    <row r="319" spans="1:12" hidden="1" x14ac:dyDescent="0.25">
      <c r="A319">
        <v>282</v>
      </c>
      <c r="B319" t="s">
        <v>2605</v>
      </c>
      <c r="C319" t="s">
        <v>2606</v>
      </c>
      <c r="D319" t="s">
        <v>2702</v>
      </c>
      <c r="E319" t="str">
        <f>_xlfn.XLOOKUP(F319, Keys!B:B, Keys!A:A, "找不到")</f>
        <v>FA</v>
      </c>
      <c r="F319" t="s">
        <v>63</v>
      </c>
      <c r="G319">
        <v>0.26462017363368973</v>
      </c>
      <c r="H319" t="s">
        <v>64</v>
      </c>
      <c r="I319" t="s">
        <v>65</v>
      </c>
      <c r="J319" t="s">
        <v>2883</v>
      </c>
      <c r="K319">
        <v>0</v>
      </c>
      <c r="L319">
        <v>181.1542417283805</v>
      </c>
    </row>
    <row r="320" spans="1:12" hidden="1" x14ac:dyDescent="0.25">
      <c r="A320">
        <v>283</v>
      </c>
      <c r="B320" t="s">
        <v>2605</v>
      </c>
      <c r="C320" t="s">
        <v>2606</v>
      </c>
      <c r="D320" t="s">
        <v>2702</v>
      </c>
      <c r="E320" t="str">
        <f>_xlfn.XLOOKUP(F320, Keys!B:B, Keys!A:A, "找不到")</f>
        <v>FA</v>
      </c>
      <c r="F320" t="s">
        <v>63</v>
      </c>
      <c r="G320">
        <v>1.1690860763779971</v>
      </c>
      <c r="H320" t="s">
        <v>64</v>
      </c>
      <c r="I320" t="s">
        <v>65</v>
      </c>
      <c r="J320" t="s">
        <v>2883</v>
      </c>
      <c r="K320">
        <v>0</v>
      </c>
      <c r="L320">
        <v>311.04387908021567</v>
      </c>
    </row>
    <row r="321" spans="1:12" hidden="1" x14ac:dyDescent="0.25">
      <c r="A321">
        <v>287</v>
      </c>
      <c r="B321" t="s">
        <v>2605</v>
      </c>
      <c r="C321" t="s">
        <v>2606</v>
      </c>
      <c r="D321" t="s">
        <v>2702</v>
      </c>
      <c r="E321" t="str">
        <f>_xlfn.XLOOKUP(F321, Keys!B:B, Keys!A:A, "找不到")</f>
        <v>FA</v>
      </c>
      <c r="F321" t="s">
        <v>63</v>
      </c>
      <c r="G321">
        <v>1.420789194477361E-2</v>
      </c>
      <c r="H321" t="s">
        <v>64</v>
      </c>
      <c r="I321" t="s">
        <v>65</v>
      </c>
      <c r="J321" t="s">
        <v>2883</v>
      </c>
      <c r="K321">
        <v>0</v>
      </c>
      <c r="L321">
        <v>32.00418598857307</v>
      </c>
    </row>
    <row r="322" spans="1:12" hidden="1" x14ac:dyDescent="0.25">
      <c r="A322">
        <v>288</v>
      </c>
      <c r="B322" t="s">
        <v>2605</v>
      </c>
      <c r="C322" t="s">
        <v>2606</v>
      </c>
      <c r="D322" t="s">
        <v>2702</v>
      </c>
      <c r="E322" t="str">
        <f>_xlfn.XLOOKUP(F322, Keys!B:B, Keys!A:A, "找不到")</f>
        <v>FA</v>
      </c>
      <c r="F322" t="s">
        <v>63</v>
      </c>
      <c r="G322">
        <v>0.18576032043018989</v>
      </c>
      <c r="H322" t="s">
        <v>64</v>
      </c>
      <c r="I322" t="s">
        <v>65</v>
      </c>
      <c r="J322" t="s">
        <v>2883</v>
      </c>
      <c r="K322">
        <v>0</v>
      </c>
      <c r="L322">
        <v>121.25897118298811</v>
      </c>
    </row>
    <row r="323" spans="1:12" hidden="1" x14ac:dyDescent="0.25">
      <c r="A323">
        <v>289</v>
      </c>
      <c r="B323" t="s">
        <v>2605</v>
      </c>
      <c r="C323" t="s">
        <v>2606</v>
      </c>
      <c r="D323">
        <v>0</v>
      </c>
      <c r="E323" t="str">
        <f>_xlfn.XLOOKUP(F323, Keys!B:B, Keys!A:A, "找不到")</f>
        <v>FA</v>
      </c>
      <c r="F323" t="s">
        <v>63</v>
      </c>
      <c r="G323">
        <v>1.3208520511302151</v>
      </c>
      <c r="H323" t="s">
        <v>64</v>
      </c>
      <c r="I323" t="s">
        <v>65</v>
      </c>
      <c r="J323" t="s">
        <v>673</v>
      </c>
      <c r="K323">
        <v>0</v>
      </c>
      <c r="L323">
        <v>292.9981274203692</v>
      </c>
    </row>
    <row r="324" spans="1:12" hidden="1" x14ac:dyDescent="0.25">
      <c r="A324">
        <v>291</v>
      </c>
      <c r="B324" t="s">
        <v>2605</v>
      </c>
      <c r="C324" t="s">
        <v>2606</v>
      </c>
      <c r="D324">
        <v>0</v>
      </c>
      <c r="E324" t="str">
        <f>_xlfn.XLOOKUP(F324, Keys!B:B, Keys!A:A, "找不到")</f>
        <v>FA</v>
      </c>
      <c r="F324" t="s">
        <v>63</v>
      </c>
      <c r="G324">
        <v>42.525266168319817</v>
      </c>
      <c r="H324" t="s">
        <v>64</v>
      </c>
      <c r="I324" t="s">
        <v>65</v>
      </c>
      <c r="J324" t="s">
        <v>3078</v>
      </c>
      <c r="K324">
        <v>0</v>
      </c>
      <c r="L324">
        <v>1745.9846307796649</v>
      </c>
    </row>
    <row r="325" spans="1:12" hidden="1" x14ac:dyDescent="0.25">
      <c r="A325">
        <v>293</v>
      </c>
      <c r="B325" t="s">
        <v>2605</v>
      </c>
      <c r="C325" t="s">
        <v>2606</v>
      </c>
      <c r="D325">
        <v>0</v>
      </c>
      <c r="E325" t="str">
        <f>_xlfn.XLOOKUP(F325, Keys!B:B, Keys!A:A, "找不到")</f>
        <v>FA</v>
      </c>
      <c r="F325" t="s">
        <v>63</v>
      </c>
      <c r="G325">
        <v>8.4978914168829736</v>
      </c>
      <c r="H325" t="s">
        <v>64</v>
      </c>
      <c r="I325" t="s">
        <v>65</v>
      </c>
      <c r="J325" t="s">
        <v>3078</v>
      </c>
      <c r="K325">
        <v>0</v>
      </c>
      <c r="L325">
        <v>1078.692954684004</v>
      </c>
    </row>
    <row r="326" spans="1:12" hidden="1" x14ac:dyDescent="0.25">
      <c r="A326">
        <v>294</v>
      </c>
      <c r="B326" t="s">
        <v>2605</v>
      </c>
      <c r="C326" t="s">
        <v>2606</v>
      </c>
      <c r="D326">
        <v>0</v>
      </c>
      <c r="E326" t="str">
        <f>_xlfn.XLOOKUP(F326, Keys!B:B, Keys!A:A, "找不到")</f>
        <v>FA</v>
      </c>
      <c r="F326" t="s">
        <v>63</v>
      </c>
      <c r="G326">
        <v>5.4988851355694814</v>
      </c>
      <c r="H326" t="s">
        <v>64</v>
      </c>
      <c r="I326" t="s">
        <v>65</v>
      </c>
      <c r="J326" t="s">
        <v>3078</v>
      </c>
      <c r="K326">
        <v>0</v>
      </c>
      <c r="L326">
        <v>927.4089909024176</v>
      </c>
    </row>
    <row r="327" spans="1:12" hidden="1" x14ac:dyDescent="0.25">
      <c r="A327">
        <v>298</v>
      </c>
      <c r="B327" t="s">
        <v>2605</v>
      </c>
      <c r="C327" t="s">
        <v>2606</v>
      </c>
      <c r="D327">
        <v>0</v>
      </c>
      <c r="E327" t="str">
        <f>_xlfn.XLOOKUP(F327, Keys!B:B, Keys!A:A, "找不到")</f>
        <v>FA</v>
      </c>
      <c r="F327" t="s">
        <v>63</v>
      </c>
      <c r="G327">
        <v>18.784152149056482</v>
      </c>
      <c r="H327" t="s">
        <v>64</v>
      </c>
      <c r="I327" t="s">
        <v>65</v>
      </c>
      <c r="J327" t="s">
        <v>3078</v>
      </c>
      <c r="K327">
        <v>0</v>
      </c>
      <c r="L327">
        <v>1103.395040948931</v>
      </c>
    </row>
    <row r="328" spans="1:12" hidden="1" x14ac:dyDescent="0.25">
      <c r="A328">
        <v>300</v>
      </c>
      <c r="B328" t="s">
        <v>2605</v>
      </c>
      <c r="C328" t="s">
        <v>2606</v>
      </c>
      <c r="D328">
        <v>0</v>
      </c>
      <c r="E328" t="str">
        <f>_xlfn.XLOOKUP(F328, Keys!B:B, Keys!A:A, "找不到")</f>
        <v>FA</v>
      </c>
      <c r="F328" t="s">
        <v>63</v>
      </c>
      <c r="G328">
        <v>0.53737580687852116</v>
      </c>
      <c r="H328" t="s">
        <v>64</v>
      </c>
      <c r="I328" t="s">
        <v>65</v>
      </c>
      <c r="J328" t="s">
        <v>3089</v>
      </c>
      <c r="K328">
        <v>0</v>
      </c>
      <c r="L328">
        <v>213.75430662309611</v>
      </c>
    </row>
    <row r="329" spans="1:12" hidden="1" x14ac:dyDescent="0.25">
      <c r="A329">
        <v>301</v>
      </c>
      <c r="B329" t="s">
        <v>2605</v>
      </c>
      <c r="C329" t="s">
        <v>2606</v>
      </c>
      <c r="D329">
        <v>0</v>
      </c>
      <c r="E329" t="str">
        <f>_xlfn.XLOOKUP(F329, Keys!B:B, Keys!A:A, "找不到")</f>
        <v>FA</v>
      </c>
      <c r="F329" t="s">
        <v>63</v>
      </c>
      <c r="G329">
        <v>14.51866646543985</v>
      </c>
      <c r="H329" t="s">
        <v>64</v>
      </c>
      <c r="I329" t="s">
        <v>65</v>
      </c>
      <c r="J329" t="s">
        <v>3094</v>
      </c>
      <c r="K329">
        <v>0</v>
      </c>
      <c r="L329">
        <v>1198.337152520133</v>
      </c>
    </row>
    <row r="330" spans="1:12" hidden="1" x14ac:dyDescent="0.25">
      <c r="A330">
        <v>302</v>
      </c>
      <c r="B330" t="s">
        <v>2605</v>
      </c>
      <c r="C330" t="s">
        <v>2606</v>
      </c>
      <c r="D330" t="s">
        <v>3027</v>
      </c>
      <c r="E330" t="str">
        <f>_xlfn.XLOOKUP(F330, Keys!B:B, Keys!A:A, "找不到")</f>
        <v>FA</v>
      </c>
      <c r="F330" t="s">
        <v>63</v>
      </c>
      <c r="G330">
        <v>19.08498276699919</v>
      </c>
      <c r="H330" t="s">
        <v>64</v>
      </c>
      <c r="I330" t="s">
        <v>65</v>
      </c>
      <c r="J330" t="s">
        <v>3097</v>
      </c>
      <c r="K330">
        <v>0</v>
      </c>
      <c r="L330">
        <v>1277.381171409113</v>
      </c>
    </row>
    <row r="331" spans="1:12" hidden="1" x14ac:dyDescent="0.25">
      <c r="A331">
        <v>303</v>
      </c>
      <c r="B331" t="s">
        <v>2605</v>
      </c>
      <c r="C331" t="s">
        <v>2606</v>
      </c>
      <c r="D331">
        <v>0</v>
      </c>
      <c r="E331" t="str">
        <f>_xlfn.XLOOKUP(F331, Keys!B:B, Keys!A:A, "找不到")</f>
        <v>FA</v>
      </c>
      <c r="F331" t="s">
        <v>63</v>
      </c>
      <c r="G331">
        <v>3.483014488337552</v>
      </c>
      <c r="H331" t="s">
        <v>64</v>
      </c>
      <c r="I331" t="s">
        <v>65</v>
      </c>
      <c r="J331" t="s">
        <v>3094</v>
      </c>
      <c r="K331">
        <v>0</v>
      </c>
      <c r="L331">
        <v>785.12586054215512</v>
      </c>
    </row>
    <row r="332" spans="1:12" hidden="1" x14ac:dyDescent="0.25">
      <c r="A332">
        <v>305</v>
      </c>
      <c r="B332" t="s">
        <v>2605</v>
      </c>
      <c r="C332" t="s">
        <v>2606</v>
      </c>
      <c r="D332">
        <v>0</v>
      </c>
      <c r="E332" t="str">
        <f>_xlfn.XLOOKUP(F332, Keys!B:B, Keys!A:A, "找不到")</f>
        <v>FA</v>
      </c>
      <c r="F332" t="s">
        <v>63</v>
      </c>
      <c r="G332">
        <v>11.9010576994001</v>
      </c>
      <c r="H332" t="s">
        <v>64</v>
      </c>
      <c r="I332" t="s">
        <v>65</v>
      </c>
      <c r="J332" t="s">
        <v>3094</v>
      </c>
      <c r="K332">
        <v>0</v>
      </c>
      <c r="L332">
        <v>1015.05965468109</v>
      </c>
    </row>
    <row r="333" spans="1:12" hidden="1" x14ac:dyDescent="0.25">
      <c r="A333">
        <v>307</v>
      </c>
      <c r="B333" t="s">
        <v>2605</v>
      </c>
      <c r="C333" t="s">
        <v>2606</v>
      </c>
      <c r="D333" t="s">
        <v>2712</v>
      </c>
      <c r="E333" t="str">
        <f>_xlfn.XLOOKUP(F333, Keys!B:B, Keys!A:A, "找不到")</f>
        <v>FA</v>
      </c>
      <c r="F333" t="s">
        <v>63</v>
      </c>
      <c r="G333">
        <v>1.3263504854022561</v>
      </c>
      <c r="H333" t="s">
        <v>64</v>
      </c>
      <c r="I333" t="s">
        <v>65</v>
      </c>
      <c r="J333" t="s">
        <v>2722</v>
      </c>
      <c r="K333">
        <v>0</v>
      </c>
      <c r="L333">
        <v>316.7039049081348</v>
      </c>
    </row>
    <row r="334" spans="1:12" hidden="1" x14ac:dyDescent="0.25">
      <c r="A334">
        <v>308</v>
      </c>
      <c r="B334" t="s">
        <v>2605</v>
      </c>
      <c r="C334" t="s">
        <v>2606</v>
      </c>
      <c r="D334" t="s">
        <v>2712</v>
      </c>
      <c r="E334" t="str">
        <f>_xlfn.XLOOKUP(F334, Keys!B:B, Keys!A:A, "找不到")</f>
        <v>FA</v>
      </c>
      <c r="F334" t="s">
        <v>63</v>
      </c>
      <c r="G334">
        <v>1.3693946258133931</v>
      </c>
      <c r="H334" t="s">
        <v>64</v>
      </c>
      <c r="I334" t="s">
        <v>65</v>
      </c>
      <c r="J334" t="s">
        <v>2722</v>
      </c>
      <c r="K334">
        <v>0</v>
      </c>
      <c r="L334">
        <v>307.5973689846158</v>
      </c>
    </row>
    <row r="335" spans="1:12" hidden="1" x14ac:dyDescent="0.25">
      <c r="A335">
        <v>311</v>
      </c>
      <c r="B335" t="s">
        <v>2605</v>
      </c>
      <c r="C335" t="s">
        <v>2606</v>
      </c>
      <c r="D335" t="s">
        <v>2712</v>
      </c>
      <c r="E335" t="str">
        <f>_xlfn.XLOOKUP(F335, Keys!B:B, Keys!A:A, "找不到")</f>
        <v>FA</v>
      </c>
      <c r="F335" t="s">
        <v>63</v>
      </c>
      <c r="G335">
        <v>1.1605719707366771</v>
      </c>
      <c r="H335" t="s">
        <v>64</v>
      </c>
      <c r="I335" t="s">
        <v>65</v>
      </c>
      <c r="J335" t="s">
        <v>2722</v>
      </c>
      <c r="K335">
        <v>0</v>
      </c>
      <c r="L335">
        <v>279.34896518038948</v>
      </c>
    </row>
    <row r="336" spans="1:12" hidden="1" x14ac:dyDescent="0.25">
      <c r="A336">
        <v>312</v>
      </c>
      <c r="B336" t="s">
        <v>2605</v>
      </c>
      <c r="C336" t="s">
        <v>2606</v>
      </c>
      <c r="D336" t="s">
        <v>2712</v>
      </c>
      <c r="E336" t="str">
        <f>_xlfn.XLOOKUP(F336, Keys!B:B, Keys!A:A, "找不到")</f>
        <v>FA</v>
      </c>
      <c r="F336" t="s">
        <v>63</v>
      </c>
      <c r="G336">
        <v>1.37226259729671</v>
      </c>
      <c r="H336" t="s">
        <v>64</v>
      </c>
      <c r="I336" t="s">
        <v>65</v>
      </c>
      <c r="J336" t="s">
        <v>2722</v>
      </c>
      <c r="K336">
        <v>0</v>
      </c>
      <c r="L336">
        <v>381.76203943283218</v>
      </c>
    </row>
    <row r="337" spans="1:12" hidden="1" x14ac:dyDescent="0.25">
      <c r="A337">
        <v>314</v>
      </c>
      <c r="B337" t="s">
        <v>2605</v>
      </c>
      <c r="C337" t="s">
        <v>2606</v>
      </c>
      <c r="D337" t="s">
        <v>3027</v>
      </c>
      <c r="E337" t="str">
        <f>_xlfn.XLOOKUP(F337, Keys!B:B, Keys!A:A, "找不到")</f>
        <v>FA</v>
      </c>
      <c r="F337" t="s">
        <v>63</v>
      </c>
      <c r="G337">
        <v>0.58808412004186494</v>
      </c>
      <c r="H337" t="s">
        <v>64</v>
      </c>
      <c r="I337" t="s">
        <v>65</v>
      </c>
      <c r="J337" t="s">
        <v>3113</v>
      </c>
      <c r="K337">
        <v>0</v>
      </c>
      <c r="L337">
        <v>229.57326044881049</v>
      </c>
    </row>
    <row r="338" spans="1:12" hidden="1" x14ac:dyDescent="0.25">
      <c r="A338">
        <v>316</v>
      </c>
      <c r="B338" t="s">
        <v>2605</v>
      </c>
      <c r="C338" t="s">
        <v>2606</v>
      </c>
      <c r="D338" t="s">
        <v>3027</v>
      </c>
      <c r="E338" t="str">
        <f>_xlfn.XLOOKUP(F338, Keys!B:B, Keys!A:A, "找不到")</f>
        <v>FA</v>
      </c>
      <c r="F338" t="s">
        <v>63</v>
      </c>
      <c r="G338">
        <v>0.75160924713985344</v>
      </c>
      <c r="H338" t="s">
        <v>64</v>
      </c>
      <c r="I338" t="s">
        <v>65</v>
      </c>
      <c r="J338" t="s">
        <v>3097</v>
      </c>
      <c r="K338">
        <v>0</v>
      </c>
      <c r="L338">
        <v>245.85583315046131</v>
      </c>
    </row>
    <row r="339" spans="1:12" hidden="1" x14ac:dyDescent="0.25">
      <c r="A339">
        <v>318</v>
      </c>
      <c r="B339" t="s">
        <v>2605</v>
      </c>
      <c r="C339" t="s">
        <v>2606</v>
      </c>
      <c r="D339" t="s">
        <v>3027</v>
      </c>
      <c r="E339" t="str">
        <f>_xlfn.XLOOKUP(F339, Keys!B:B, Keys!A:A, "找不到")</f>
        <v>FA</v>
      </c>
      <c r="F339" t="s">
        <v>63</v>
      </c>
      <c r="G339">
        <v>3.462824982886155</v>
      </c>
      <c r="H339" t="s">
        <v>64</v>
      </c>
      <c r="I339" t="s">
        <v>65</v>
      </c>
      <c r="J339" t="s">
        <v>3097</v>
      </c>
      <c r="K339">
        <v>0</v>
      </c>
      <c r="L339">
        <v>494.48208622476881</v>
      </c>
    </row>
    <row r="340" spans="1:12" hidden="1" x14ac:dyDescent="0.25">
      <c r="A340">
        <v>321</v>
      </c>
      <c r="B340" t="s">
        <v>2605</v>
      </c>
      <c r="C340" t="s">
        <v>2606</v>
      </c>
      <c r="D340" t="s">
        <v>2702</v>
      </c>
      <c r="E340" t="str">
        <f>_xlfn.XLOOKUP(F340, Keys!B:B, Keys!A:A, "找不到")</f>
        <v>FA</v>
      </c>
      <c r="F340" t="s">
        <v>63</v>
      </c>
      <c r="G340">
        <v>12.35649924879433</v>
      </c>
      <c r="H340" t="s">
        <v>64</v>
      </c>
      <c r="I340" t="s">
        <v>65</v>
      </c>
      <c r="J340" t="s">
        <v>2883</v>
      </c>
      <c r="K340">
        <v>0</v>
      </c>
      <c r="L340">
        <v>1333.5117427643479</v>
      </c>
    </row>
    <row r="341" spans="1:12" hidden="1" x14ac:dyDescent="0.25">
      <c r="A341">
        <v>323</v>
      </c>
      <c r="B341" t="s">
        <v>2605</v>
      </c>
      <c r="C341" t="s">
        <v>2606</v>
      </c>
      <c r="D341">
        <v>0</v>
      </c>
      <c r="E341" t="str">
        <f>_xlfn.XLOOKUP(F341, Keys!B:B, Keys!A:A, "找不到")</f>
        <v>FA</v>
      </c>
      <c r="F341" t="s">
        <v>63</v>
      </c>
      <c r="G341">
        <v>15.7588016552574</v>
      </c>
      <c r="H341" t="s">
        <v>64</v>
      </c>
      <c r="I341" t="s">
        <v>65</v>
      </c>
      <c r="J341" t="s">
        <v>3078</v>
      </c>
      <c r="K341">
        <v>0</v>
      </c>
      <c r="L341">
        <v>1382.9287356082859</v>
      </c>
    </row>
    <row r="342" spans="1:12" hidden="1" x14ac:dyDescent="0.25">
      <c r="A342">
        <v>324</v>
      </c>
      <c r="B342" t="s">
        <v>2605</v>
      </c>
      <c r="C342" t="s">
        <v>2606</v>
      </c>
      <c r="D342" t="s">
        <v>2712</v>
      </c>
      <c r="E342" t="str">
        <f>_xlfn.XLOOKUP(F342, Keys!B:B, Keys!A:A, "找不到")</f>
        <v>FA</v>
      </c>
      <c r="F342" t="s">
        <v>63</v>
      </c>
      <c r="G342">
        <v>1.4113209230410351</v>
      </c>
      <c r="H342" t="s">
        <v>64</v>
      </c>
      <c r="I342" t="s">
        <v>65</v>
      </c>
      <c r="J342" t="s">
        <v>2722</v>
      </c>
      <c r="K342">
        <v>0</v>
      </c>
      <c r="L342">
        <v>651.87403625143509</v>
      </c>
    </row>
    <row r="343" spans="1:12" hidden="1" x14ac:dyDescent="0.25">
      <c r="A343">
        <v>326</v>
      </c>
      <c r="B343" t="s">
        <v>2605</v>
      </c>
      <c r="C343" t="s">
        <v>2606</v>
      </c>
      <c r="D343">
        <v>0</v>
      </c>
      <c r="E343" t="str">
        <f>_xlfn.XLOOKUP(F343, Keys!B:B, Keys!A:A, "找不到")</f>
        <v>FA</v>
      </c>
      <c r="F343" t="s">
        <v>63</v>
      </c>
      <c r="G343">
        <v>7.6736065240505527</v>
      </c>
      <c r="H343" t="s">
        <v>64</v>
      </c>
      <c r="I343" t="s">
        <v>65</v>
      </c>
      <c r="J343" t="s">
        <v>3038</v>
      </c>
      <c r="K343">
        <v>0</v>
      </c>
      <c r="L343">
        <v>973.51464246970841</v>
      </c>
    </row>
    <row r="344" spans="1:12" hidden="1" x14ac:dyDescent="0.25">
      <c r="A344">
        <v>330</v>
      </c>
      <c r="B344" t="s">
        <v>2605</v>
      </c>
      <c r="C344" t="s">
        <v>2606</v>
      </c>
      <c r="D344" t="s">
        <v>3027</v>
      </c>
      <c r="E344" t="str">
        <f>_xlfn.XLOOKUP(F344, Keys!B:B, Keys!A:A, "找不到")</f>
        <v>FA</v>
      </c>
      <c r="F344" t="s">
        <v>63</v>
      </c>
      <c r="G344">
        <v>3.9143606364790191</v>
      </c>
      <c r="H344" t="s">
        <v>64</v>
      </c>
      <c r="I344" t="s">
        <v>65</v>
      </c>
      <c r="J344" t="s">
        <v>3097</v>
      </c>
      <c r="K344">
        <v>0</v>
      </c>
      <c r="L344">
        <v>501.82292084462739</v>
      </c>
    </row>
    <row r="345" spans="1:12" hidden="1" x14ac:dyDescent="0.25">
      <c r="A345">
        <v>333</v>
      </c>
      <c r="B345" t="s">
        <v>2605</v>
      </c>
      <c r="C345" t="s">
        <v>2606</v>
      </c>
      <c r="D345" t="s">
        <v>2702</v>
      </c>
      <c r="E345" t="str">
        <f>_xlfn.XLOOKUP(F345, Keys!B:B, Keys!A:A, "找不到")</f>
        <v>FA</v>
      </c>
      <c r="F345" t="s">
        <v>63</v>
      </c>
      <c r="G345">
        <v>1.247328520104964</v>
      </c>
      <c r="H345" t="s">
        <v>64</v>
      </c>
      <c r="I345" t="s">
        <v>65</v>
      </c>
      <c r="J345" t="s">
        <v>3135</v>
      </c>
      <c r="K345">
        <v>0</v>
      </c>
      <c r="L345">
        <v>284.9688975637423</v>
      </c>
    </row>
    <row r="346" spans="1:12" hidden="1" x14ac:dyDescent="0.25">
      <c r="A346">
        <v>334</v>
      </c>
      <c r="B346" t="s">
        <v>2605</v>
      </c>
      <c r="C346" t="s">
        <v>2606</v>
      </c>
      <c r="D346" t="s">
        <v>3027</v>
      </c>
      <c r="E346" t="str">
        <f>_xlfn.XLOOKUP(F346, Keys!B:B, Keys!A:A, "找不到")</f>
        <v>FA</v>
      </c>
      <c r="F346" t="s">
        <v>63</v>
      </c>
      <c r="G346">
        <v>9.6880059114173527</v>
      </c>
      <c r="H346" t="s">
        <v>64</v>
      </c>
      <c r="I346" t="s">
        <v>65</v>
      </c>
      <c r="J346" t="s">
        <v>3097</v>
      </c>
      <c r="K346">
        <v>0</v>
      </c>
      <c r="L346">
        <v>920.22046396094754</v>
      </c>
    </row>
    <row r="347" spans="1:12" hidden="1" x14ac:dyDescent="0.25">
      <c r="A347">
        <v>336</v>
      </c>
      <c r="B347" t="s">
        <v>2605</v>
      </c>
      <c r="C347" t="s">
        <v>2606</v>
      </c>
      <c r="D347">
        <v>0</v>
      </c>
      <c r="E347" t="str">
        <f>_xlfn.XLOOKUP(F347, Keys!B:B, Keys!A:A, "找不到")</f>
        <v>FA</v>
      </c>
      <c r="F347" t="s">
        <v>63</v>
      </c>
      <c r="G347">
        <v>0.1013200582679732</v>
      </c>
      <c r="H347" t="s">
        <v>64</v>
      </c>
      <c r="I347" t="s">
        <v>65</v>
      </c>
      <c r="J347" t="s">
        <v>3143</v>
      </c>
      <c r="K347">
        <v>0</v>
      </c>
      <c r="L347">
        <v>127.4043624957767</v>
      </c>
    </row>
    <row r="348" spans="1:12" hidden="1" x14ac:dyDescent="0.25">
      <c r="A348">
        <v>339</v>
      </c>
      <c r="B348" t="s">
        <v>2605</v>
      </c>
      <c r="C348" t="s">
        <v>2606</v>
      </c>
      <c r="D348">
        <v>0</v>
      </c>
      <c r="E348" t="str">
        <f>_xlfn.XLOOKUP(F348, Keys!B:B, Keys!A:A, "找不到")</f>
        <v>FA</v>
      </c>
      <c r="F348" t="s">
        <v>63</v>
      </c>
      <c r="G348">
        <v>11.4688980615819</v>
      </c>
      <c r="H348" t="s">
        <v>64</v>
      </c>
      <c r="I348" t="s">
        <v>65</v>
      </c>
      <c r="J348" t="s">
        <v>3078</v>
      </c>
      <c r="K348">
        <v>0</v>
      </c>
      <c r="L348">
        <v>869.41758092974305</v>
      </c>
    </row>
    <row r="349" spans="1:12" hidden="1" x14ac:dyDescent="0.25">
      <c r="A349">
        <v>340</v>
      </c>
      <c r="B349" t="s">
        <v>2605</v>
      </c>
      <c r="C349" t="s">
        <v>2606</v>
      </c>
      <c r="D349">
        <v>0</v>
      </c>
      <c r="E349" t="str">
        <f>_xlfn.XLOOKUP(F349, Keys!B:B, Keys!A:A, "找不到")</f>
        <v>FA</v>
      </c>
      <c r="F349" t="s">
        <v>63</v>
      </c>
      <c r="G349">
        <v>2.1594719813050269</v>
      </c>
      <c r="H349" t="s">
        <v>64</v>
      </c>
      <c r="I349" t="s">
        <v>65</v>
      </c>
      <c r="J349" t="s">
        <v>3038</v>
      </c>
      <c r="K349">
        <v>0</v>
      </c>
      <c r="L349">
        <v>434.36816280336512</v>
      </c>
    </row>
    <row r="350" spans="1:12" hidden="1" x14ac:dyDescent="0.25">
      <c r="A350">
        <v>341</v>
      </c>
      <c r="B350" t="s">
        <v>2605</v>
      </c>
      <c r="C350" t="s">
        <v>2606</v>
      </c>
      <c r="D350" t="s">
        <v>2702</v>
      </c>
      <c r="E350" t="str">
        <f>_xlfn.XLOOKUP(F350, Keys!B:B, Keys!A:A, "找不到")</f>
        <v>FA</v>
      </c>
      <c r="F350" t="s">
        <v>63</v>
      </c>
      <c r="G350">
        <v>0.62332842866255034</v>
      </c>
      <c r="H350" t="s">
        <v>64</v>
      </c>
      <c r="I350" t="s">
        <v>65</v>
      </c>
      <c r="J350" t="s">
        <v>2883</v>
      </c>
      <c r="K350">
        <v>0</v>
      </c>
      <c r="L350">
        <v>202.99860878618071</v>
      </c>
    </row>
    <row r="351" spans="1:12" hidden="1" x14ac:dyDescent="0.25">
      <c r="A351">
        <v>342</v>
      </c>
      <c r="B351" t="s">
        <v>2605</v>
      </c>
      <c r="C351" t="s">
        <v>2606</v>
      </c>
      <c r="D351" t="s">
        <v>2702</v>
      </c>
      <c r="E351" t="str">
        <f>_xlfn.XLOOKUP(F351, Keys!B:B, Keys!A:A, "找不到")</f>
        <v>FA</v>
      </c>
      <c r="F351" t="s">
        <v>63</v>
      </c>
      <c r="G351">
        <v>4.3332551994340669</v>
      </c>
      <c r="H351" t="s">
        <v>64</v>
      </c>
      <c r="I351" t="s">
        <v>65</v>
      </c>
      <c r="J351" t="s">
        <v>2883</v>
      </c>
      <c r="K351">
        <v>0</v>
      </c>
      <c r="L351">
        <v>712.6964302797827</v>
      </c>
    </row>
    <row r="352" spans="1:12" hidden="1" x14ac:dyDescent="0.25">
      <c r="A352">
        <v>343</v>
      </c>
      <c r="B352" t="s">
        <v>2605</v>
      </c>
      <c r="C352" t="s">
        <v>2606</v>
      </c>
      <c r="D352" t="s">
        <v>2702</v>
      </c>
      <c r="E352" t="str">
        <f>_xlfn.XLOOKUP(F352, Keys!B:B, Keys!A:A, "找不到")</f>
        <v>FA</v>
      </c>
      <c r="F352" t="s">
        <v>63</v>
      </c>
      <c r="G352">
        <v>0.52381560656222603</v>
      </c>
      <c r="H352" t="s">
        <v>64</v>
      </c>
      <c r="I352" t="s">
        <v>65</v>
      </c>
      <c r="J352" t="s">
        <v>2883</v>
      </c>
      <c r="K352">
        <v>0</v>
      </c>
      <c r="L352">
        <v>194.10496710080909</v>
      </c>
    </row>
    <row r="353" spans="1:12" hidden="1" x14ac:dyDescent="0.25">
      <c r="A353">
        <v>344</v>
      </c>
      <c r="B353" t="s">
        <v>2605</v>
      </c>
      <c r="C353" t="s">
        <v>2606</v>
      </c>
      <c r="D353">
        <v>0</v>
      </c>
      <c r="E353" t="str">
        <f>_xlfn.XLOOKUP(F353, Keys!B:B, Keys!A:A, "找不到")</f>
        <v>FA</v>
      </c>
      <c r="F353" t="s">
        <v>63</v>
      </c>
      <c r="G353">
        <v>0.22670103165309949</v>
      </c>
      <c r="H353" t="s">
        <v>64</v>
      </c>
      <c r="I353" t="s">
        <v>65</v>
      </c>
      <c r="J353" t="s">
        <v>3143</v>
      </c>
      <c r="K353">
        <v>0</v>
      </c>
      <c r="L353">
        <v>121.3678012379936</v>
      </c>
    </row>
    <row r="354" spans="1:12" hidden="1" x14ac:dyDescent="0.25">
      <c r="A354">
        <v>346</v>
      </c>
      <c r="B354" t="s">
        <v>2605</v>
      </c>
      <c r="C354" t="s">
        <v>2606</v>
      </c>
      <c r="D354">
        <v>0</v>
      </c>
      <c r="E354" t="str">
        <f>_xlfn.XLOOKUP(F354, Keys!B:B, Keys!A:A, "找不到")</f>
        <v>FA</v>
      </c>
      <c r="F354" t="s">
        <v>63</v>
      </c>
      <c r="G354">
        <v>1.4476947474099651</v>
      </c>
      <c r="H354" t="s">
        <v>64</v>
      </c>
      <c r="I354" t="s">
        <v>65</v>
      </c>
      <c r="J354" t="s">
        <v>3143</v>
      </c>
      <c r="K354">
        <v>0</v>
      </c>
      <c r="L354">
        <v>341.52522924208171</v>
      </c>
    </row>
    <row r="355" spans="1:12" hidden="1" x14ac:dyDescent="0.25">
      <c r="A355">
        <v>349</v>
      </c>
      <c r="B355" t="s">
        <v>2605</v>
      </c>
      <c r="C355" t="s">
        <v>2606</v>
      </c>
      <c r="D355">
        <v>0</v>
      </c>
      <c r="E355" t="str">
        <f>_xlfn.XLOOKUP(F355, Keys!B:B, Keys!A:A, "找不到")</f>
        <v>FA</v>
      </c>
      <c r="F355" t="s">
        <v>63</v>
      </c>
      <c r="G355">
        <v>1.6890380957370319</v>
      </c>
      <c r="H355" t="s">
        <v>64</v>
      </c>
      <c r="I355" t="s">
        <v>65</v>
      </c>
      <c r="J355" t="s">
        <v>3143</v>
      </c>
      <c r="K355">
        <v>0</v>
      </c>
      <c r="L355">
        <v>386.03079200110642</v>
      </c>
    </row>
    <row r="356" spans="1:12" hidden="1" x14ac:dyDescent="0.25">
      <c r="A356">
        <v>350</v>
      </c>
      <c r="B356" t="s">
        <v>2605</v>
      </c>
      <c r="C356" t="s">
        <v>2606</v>
      </c>
      <c r="D356" t="s">
        <v>2702</v>
      </c>
      <c r="E356" t="str">
        <f>_xlfn.XLOOKUP(F356, Keys!B:B, Keys!A:A, "找不到")</f>
        <v>FA</v>
      </c>
      <c r="F356" t="s">
        <v>63</v>
      </c>
      <c r="G356">
        <v>1.6623034694740011</v>
      </c>
      <c r="H356" t="s">
        <v>64</v>
      </c>
      <c r="I356" t="s">
        <v>65</v>
      </c>
      <c r="J356" t="s">
        <v>2883</v>
      </c>
      <c r="K356">
        <v>0</v>
      </c>
      <c r="L356">
        <v>340.53355909114248</v>
      </c>
    </row>
    <row r="357" spans="1:12" hidden="1" x14ac:dyDescent="0.25">
      <c r="A357">
        <v>351</v>
      </c>
      <c r="B357" t="s">
        <v>2605</v>
      </c>
      <c r="C357" t="s">
        <v>2606</v>
      </c>
      <c r="D357">
        <v>0</v>
      </c>
      <c r="E357" t="str">
        <f>_xlfn.XLOOKUP(F357, Keys!B:B, Keys!A:A, "找不到")</f>
        <v>FA</v>
      </c>
      <c r="F357" t="s">
        <v>63</v>
      </c>
      <c r="G357">
        <v>2.4068608324680238</v>
      </c>
      <c r="H357" t="s">
        <v>64</v>
      </c>
      <c r="I357" t="s">
        <v>65</v>
      </c>
      <c r="J357" t="s">
        <v>3143</v>
      </c>
      <c r="K357">
        <v>0</v>
      </c>
      <c r="L357">
        <v>405.76592316450211</v>
      </c>
    </row>
    <row r="358" spans="1:12" hidden="1" x14ac:dyDescent="0.25">
      <c r="A358">
        <v>352</v>
      </c>
      <c r="B358" t="s">
        <v>2605</v>
      </c>
      <c r="C358" t="s">
        <v>2606</v>
      </c>
      <c r="D358">
        <v>0</v>
      </c>
      <c r="E358" t="str">
        <f>_xlfn.XLOOKUP(F358, Keys!B:B, Keys!A:A, "找不到")</f>
        <v>FA</v>
      </c>
      <c r="F358" t="s">
        <v>63</v>
      </c>
      <c r="G358">
        <v>16.986108397482852</v>
      </c>
      <c r="H358" t="s">
        <v>64</v>
      </c>
      <c r="I358" t="s">
        <v>65</v>
      </c>
      <c r="J358" t="s">
        <v>3166</v>
      </c>
      <c r="K358">
        <v>0</v>
      </c>
      <c r="L358">
        <v>1029.9050434673709</v>
      </c>
    </row>
    <row r="359" spans="1:12" hidden="1" x14ac:dyDescent="0.25">
      <c r="A359">
        <v>353</v>
      </c>
      <c r="B359" t="s">
        <v>2605</v>
      </c>
      <c r="C359" t="s">
        <v>2606</v>
      </c>
      <c r="D359">
        <v>0</v>
      </c>
      <c r="E359" t="str">
        <f>_xlfn.XLOOKUP(F359, Keys!B:B, Keys!A:A, "找不到")</f>
        <v>FA</v>
      </c>
      <c r="F359" t="s">
        <v>63</v>
      </c>
      <c r="G359">
        <v>4.5603225343434639</v>
      </c>
      <c r="H359" t="s">
        <v>64</v>
      </c>
      <c r="I359" t="s">
        <v>65</v>
      </c>
      <c r="J359" t="s">
        <v>3169</v>
      </c>
      <c r="K359">
        <v>0</v>
      </c>
      <c r="L359">
        <v>536.67363985745681</v>
      </c>
    </row>
    <row r="360" spans="1:12" hidden="1" x14ac:dyDescent="0.25">
      <c r="A360">
        <v>354</v>
      </c>
      <c r="B360" t="s">
        <v>2605</v>
      </c>
      <c r="C360" t="s">
        <v>2606</v>
      </c>
      <c r="D360" t="s">
        <v>2702</v>
      </c>
      <c r="E360" t="str">
        <f>_xlfn.XLOOKUP(F360, Keys!B:B, Keys!A:A, "找不到")</f>
        <v>FA</v>
      </c>
      <c r="F360" t="s">
        <v>63</v>
      </c>
      <c r="G360">
        <v>0.4150002928093649</v>
      </c>
      <c r="H360" t="s">
        <v>64</v>
      </c>
      <c r="I360" t="s">
        <v>65</v>
      </c>
      <c r="J360" t="s">
        <v>2883</v>
      </c>
      <c r="K360">
        <v>0</v>
      </c>
      <c r="L360">
        <v>218.5764483010806</v>
      </c>
    </row>
    <row r="361" spans="1:12" hidden="1" x14ac:dyDescent="0.25">
      <c r="A361">
        <v>355</v>
      </c>
      <c r="B361" t="s">
        <v>2605</v>
      </c>
      <c r="C361" t="s">
        <v>2606</v>
      </c>
      <c r="D361">
        <v>0</v>
      </c>
      <c r="E361" t="str">
        <f>_xlfn.XLOOKUP(F361, Keys!B:B, Keys!A:A, "找不到")</f>
        <v>FA</v>
      </c>
      <c r="F361" t="s">
        <v>63</v>
      </c>
      <c r="G361">
        <v>4.9730886174003519</v>
      </c>
      <c r="H361" t="s">
        <v>64</v>
      </c>
      <c r="I361" t="s">
        <v>65</v>
      </c>
      <c r="J361" t="s">
        <v>3038</v>
      </c>
      <c r="K361">
        <v>0</v>
      </c>
      <c r="L361">
        <v>682.16218865100245</v>
      </c>
    </row>
    <row r="362" spans="1:12" hidden="1" x14ac:dyDescent="0.25">
      <c r="A362">
        <v>356</v>
      </c>
      <c r="B362" t="s">
        <v>2605</v>
      </c>
      <c r="C362" t="s">
        <v>2606</v>
      </c>
      <c r="D362">
        <v>0</v>
      </c>
      <c r="E362" t="str">
        <f>_xlfn.XLOOKUP(F362, Keys!B:B, Keys!A:A, "找不到")</f>
        <v>FA</v>
      </c>
      <c r="F362" t="s">
        <v>63</v>
      </c>
      <c r="G362">
        <v>4.4174974596362153</v>
      </c>
      <c r="H362" t="s">
        <v>64</v>
      </c>
      <c r="I362" t="s">
        <v>65</v>
      </c>
      <c r="J362" t="s">
        <v>3038</v>
      </c>
      <c r="K362">
        <v>0</v>
      </c>
      <c r="L362">
        <v>621.33526000782967</v>
      </c>
    </row>
    <row r="363" spans="1:12" hidden="1" x14ac:dyDescent="0.25">
      <c r="A363">
        <v>358</v>
      </c>
      <c r="B363" t="s">
        <v>2605</v>
      </c>
      <c r="C363" t="s">
        <v>2606</v>
      </c>
      <c r="D363">
        <v>0</v>
      </c>
      <c r="E363" t="str">
        <f>_xlfn.XLOOKUP(F363, Keys!B:B, Keys!A:A, "找不到")</f>
        <v>FA</v>
      </c>
      <c r="F363" t="s">
        <v>63</v>
      </c>
      <c r="G363">
        <v>2.8867122774907412</v>
      </c>
      <c r="H363" t="s">
        <v>64</v>
      </c>
      <c r="I363" t="s">
        <v>65</v>
      </c>
      <c r="J363" t="s">
        <v>3178</v>
      </c>
      <c r="K363">
        <v>0</v>
      </c>
      <c r="L363">
        <v>454.30590559657531</v>
      </c>
    </row>
    <row r="364" spans="1:12" hidden="1" x14ac:dyDescent="0.25">
      <c r="A364">
        <v>359</v>
      </c>
      <c r="B364" t="s">
        <v>2605</v>
      </c>
      <c r="C364" t="s">
        <v>2606</v>
      </c>
      <c r="D364">
        <v>0</v>
      </c>
      <c r="E364" t="str">
        <f>_xlfn.XLOOKUP(F364, Keys!B:B, Keys!A:A, "找不到")</f>
        <v>FA</v>
      </c>
      <c r="F364" t="s">
        <v>63</v>
      </c>
      <c r="G364">
        <v>2.6426341703875398</v>
      </c>
      <c r="H364" t="s">
        <v>64</v>
      </c>
      <c r="I364" t="s">
        <v>65</v>
      </c>
      <c r="J364" t="s">
        <v>3166</v>
      </c>
      <c r="K364">
        <v>0</v>
      </c>
      <c r="L364">
        <v>501.70024254478147</v>
      </c>
    </row>
    <row r="365" spans="1:12" hidden="1" x14ac:dyDescent="0.25">
      <c r="A365">
        <v>360</v>
      </c>
      <c r="B365" t="s">
        <v>2605</v>
      </c>
      <c r="C365" t="s">
        <v>2606</v>
      </c>
      <c r="D365">
        <v>0</v>
      </c>
      <c r="E365" t="str">
        <f>_xlfn.XLOOKUP(F365, Keys!B:B, Keys!A:A, "找不到")</f>
        <v>FA</v>
      </c>
      <c r="F365" t="s">
        <v>63</v>
      </c>
      <c r="G365">
        <v>0.54608193519232651</v>
      </c>
      <c r="H365" t="s">
        <v>64</v>
      </c>
      <c r="I365" t="s">
        <v>65</v>
      </c>
      <c r="J365" t="s">
        <v>3166</v>
      </c>
      <c r="K365">
        <v>0</v>
      </c>
      <c r="L365">
        <v>219.1597122849401</v>
      </c>
    </row>
    <row r="366" spans="1:12" hidden="1" x14ac:dyDescent="0.25">
      <c r="A366">
        <v>361</v>
      </c>
      <c r="B366" t="s">
        <v>2605</v>
      </c>
      <c r="C366" t="s">
        <v>2606</v>
      </c>
      <c r="D366">
        <v>0</v>
      </c>
      <c r="E366" t="str">
        <f>_xlfn.XLOOKUP(F366, Keys!B:B, Keys!A:A, "找不到")</f>
        <v>FA</v>
      </c>
      <c r="F366" t="s">
        <v>63</v>
      </c>
      <c r="G366">
        <v>3.526884605468481</v>
      </c>
      <c r="H366" t="s">
        <v>64</v>
      </c>
      <c r="I366" t="s">
        <v>65</v>
      </c>
      <c r="J366" t="s">
        <v>3166</v>
      </c>
      <c r="K366">
        <v>0</v>
      </c>
      <c r="L366">
        <v>492.53756431582099</v>
      </c>
    </row>
    <row r="367" spans="1:12" hidden="1" x14ac:dyDescent="0.25">
      <c r="A367">
        <v>362</v>
      </c>
      <c r="B367" t="s">
        <v>2605</v>
      </c>
      <c r="C367" t="s">
        <v>2606</v>
      </c>
      <c r="D367">
        <v>0</v>
      </c>
      <c r="E367" t="str">
        <f>_xlfn.XLOOKUP(F367, Keys!B:B, Keys!A:A, "找不到")</f>
        <v>FA</v>
      </c>
      <c r="F367" t="s">
        <v>63</v>
      </c>
      <c r="G367">
        <v>23.519536060811099</v>
      </c>
      <c r="H367" t="s">
        <v>64</v>
      </c>
      <c r="I367" t="s">
        <v>65</v>
      </c>
      <c r="J367" t="s">
        <v>3166</v>
      </c>
      <c r="K367">
        <v>0</v>
      </c>
      <c r="L367">
        <v>1252.344060928099</v>
      </c>
    </row>
    <row r="368" spans="1:12" hidden="1" x14ac:dyDescent="0.25">
      <c r="A368">
        <v>364</v>
      </c>
      <c r="B368" t="s">
        <v>2605</v>
      </c>
      <c r="C368" t="s">
        <v>2606</v>
      </c>
      <c r="D368">
        <v>0</v>
      </c>
      <c r="E368" t="str">
        <f>_xlfn.XLOOKUP(F368, Keys!B:B, Keys!A:A, "找不到")</f>
        <v>FA</v>
      </c>
      <c r="F368" t="s">
        <v>63</v>
      </c>
      <c r="G368">
        <v>0.50820001069644005</v>
      </c>
      <c r="H368" t="s">
        <v>64</v>
      </c>
      <c r="I368" t="s">
        <v>65</v>
      </c>
      <c r="J368" t="s">
        <v>3178</v>
      </c>
      <c r="K368">
        <v>0</v>
      </c>
      <c r="L368">
        <v>187.47202302827219</v>
      </c>
    </row>
    <row r="369" spans="1:12" hidden="1" x14ac:dyDescent="0.25">
      <c r="A369">
        <v>365</v>
      </c>
      <c r="B369" t="s">
        <v>2605</v>
      </c>
      <c r="C369" t="s">
        <v>2606</v>
      </c>
      <c r="D369">
        <v>0</v>
      </c>
      <c r="E369" t="str">
        <f>_xlfn.XLOOKUP(F369, Keys!B:B, Keys!A:A, "找不到")</f>
        <v>FA</v>
      </c>
      <c r="F369" t="s">
        <v>63</v>
      </c>
      <c r="G369">
        <v>8.7158547068556136E-2</v>
      </c>
      <c r="H369" t="s">
        <v>64</v>
      </c>
      <c r="I369" t="s">
        <v>65</v>
      </c>
      <c r="J369" t="s">
        <v>3188</v>
      </c>
      <c r="K369">
        <v>0</v>
      </c>
      <c r="L369">
        <v>77.293379823221386</v>
      </c>
    </row>
    <row r="370" spans="1:12" hidden="1" x14ac:dyDescent="0.25">
      <c r="A370">
        <v>366</v>
      </c>
      <c r="B370" t="s">
        <v>2605</v>
      </c>
      <c r="C370" t="s">
        <v>2606</v>
      </c>
      <c r="D370">
        <v>0</v>
      </c>
      <c r="E370" t="str">
        <f>_xlfn.XLOOKUP(F370, Keys!B:B, Keys!A:A, "找不到")</f>
        <v>FA</v>
      </c>
      <c r="F370" t="s">
        <v>63</v>
      </c>
      <c r="G370">
        <v>17.40066975735964</v>
      </c>
      <c r="H370" t="s">
        <v>64</v>
      </c>
      <c r="I370" t="s">
        <v>65</v>
      </c>
      <c r="J370" t="s">
        <v>3191</v>
      </c>
      <c r="K370">
        <v>0</v>
      </c>
      <c r="L370">
        <v>1715.6902189724001</v>
      </c>
    </row>
    <row r="371" spans="1:12" hidden="1" x14ac:dyDescent="0.25">
      <c r="A371">
        <v>367</v>
      </c>
      <c r="B371" t="s">
        <v>2605</v>
      </c>
      <c r="C371" t="s">
        <v>2606</v>
      </c>
      <c r="D371">
        <v>0</v>
      </c>
      <c r="E371" t="str">
        <f>_xlfn.XLOOKUP(F371, Keys!B:B, Keys!A:A, "找不到")</f>
        <v>FA</v>
      </c>
      <c r="F371" t="s">
        <v>63</v>
      </c>
      <c r="G371">
        <v>5.0986702916814588</v>
      </c>
      <c r="H371" t="s">
        <v>64</v>
      </c>
      <c r="I371" t="s">
        <v>65</v>
      </c>
      <c r="J371" t="s">
        <v>3178</v>
      </c>
      <c r="K371">
        <v>0</v>
      </c>
      <c r="L371">
        <v>655.63914799914426</v>
      </c>
    </row>
    <row r="372" spans="1:12" hidden="1" x14ac:dyDescent="0.25">
      <c r="A372">
        <v>368</v>
      </c>
      <c r="B372" t="s">
        <v>2605</v>
      </c>
      <c r="C372" t="s">
        <v>2606</v>
      </c>
      <c r="D372" t="s">
        <v>2702</v>
      </c>
      <c r="E372" t="str">
        <f>_xlfn.XLOOKUP(F372, Keys!B:B, Keys!A:A, "找不到")</f>
        <v>FA</v>
      </c>
      <c r="F372" t="s">
        <v>63</v>
      </c>
      <c r="G372">
        <v>3.1729306331193881</v>
      </c>
      <c r="H372" t="s">
        <v>64</v>
      </c>
      <c r="I372" t="s">
        <v>65</v>
      </c>
      <c r="J372" t="s">
        <v>3135</v>
      </c>
      <c r="K372">
        <v>0</v>
      </c>
      <c r="L372">
        <v>531.13748204302738</v>
      </c>
    </row>
    <row r="373" spans="1:12" hidden="1" x14ac:dyDescent="0.25">
      <c r="A373">
        <v>370</v>
      </c>
      <c r="B373" t="s">
        <v>2605</v>
      </c>
      <c r="C373" t="s">
        <v>2606</v>
      </c>
      <c r="D373" t="s">
        <v>3027</v>
      </c>
      <c r="E373" t="str">
        <f>_xlfn.XLOOKUP(F373, Keys!B:B, Keys!A:A, "找不到")</f>
        <v>FA</v>
      </c>
      <c r="F373" t="s">
        <v>63</v>
      </c>
      <c r="G373">
        <v>16.53020929026852</v>
      </c>
      <c r="H373" t="s">
        <v>64</v>
      </c>
      <c r="I373" t="s">
        <v>65</v>
      </c>
      <c r="J373" t="s">
        <v>3157</v>
      </c>
      <c r="K373">
        <v>0</v>
      </c>
      <c r="L373">
        <v>1480.8557430390069</v>
      </c>
    </row>
    <row r="374" spans="1:12" hidden="1" x14ac:dyDescent="0.25">
      <c r="A374">
        <v>371</v>
      </c>
      <c r="B374" t="s">
        <v>2605</v>
      </c>
      <c r="C374" t="s">
        <v>2606</v>
      </c>
      <c r="D374" t="s">
        <v>2702</v>
      </c>
      <c r="E374" t="str">
        <f>_xlfn.XLOOKUP(F374, Keys!B:B, Keys!A:A, "找不到")</f>
        <v>FA</v>
      </c>
      <c r="F374" t="s">
        <v>63</v>
      </c>
      <c r="G374">
        <v>1.7834484219083631</v>
      </c>
      <c r="H374" t="s">
        <v>64</v>
      </c>
      <c r="I374" t="s">
        <v>65</v>
      </c>
      <c r="J374" t="s">
        <v>3135</v>
      </c>
      <c r="K374">
        <v>0</v>
      </c>
      <c r="L374">
        <v>533.44095210629484</v>
      </c>
    </row>
    <row r="375" spans="1:12" hidden="1" x14ac:dyDescent="0.25">
      <c r="A375">
        <v>372</v>
      </c>
      <c r="B375" t="s">
        <v>2605</v>
      </c>
      <c r="C375" t="s">
        <v>2606</v>
      </c>
      <c r="D375">
        <v>0</v>
      </c>
      <c r="E375" t="str">
        <f>_xlfn.XLOOKUP(F375, Keys!B:B, Keys!A:A, "找不到")</f>
        <v>FA</v>
      </c>
      <c r="F375" t="s">
        <v>63</v>
      </c>
      <c r="G375">
        <v>0.82348898488924005</v>
      </c>
      <c r="H375" t="s">
        <v>64</v>
      </c>
      <c r="I375" t="s">
        <v>65</v>
      </c>
      <c r="J375" t="s">
        <v>3201</v>
      </c>
      <c r="K375">
        <v>0</v>
      </c>
      <c r="L375">
        <v>236.3523373547643</v>
      </c>
    </row>
    <row r="376" spans="1:12" hidden="1" x14ac:dyDescent="0.25">
      <c r="A376">
        <v>373</v>
      </c>
      <c r="B376" t="s">
        <v>2605</v>
      </c>
      <c r="C376" t="s">
        <v>2606</v>
      </c>
      <c r="D376">
        <v>0</v>
      </c>
      <c r="E376" t="str">
        <f>_xlfn.XLOOKUP(F376, Keys!B:B, Keys!A:A, "找不到")</f>
        <v>FA</v>
      </c>
      <c r="F376" t="s">
        <v>63</v>
      </c>
      <c r="G376">
        <v>3.186989935723143</v>
      </c>
      <c r="H376" t="s">
        <v>64</v>
      </c>
      <c r="I376" t="s">
        <v>65</v>
      </c>
      <c r="J376" t="s">
        <v>3204</v>
      </c>
      <c r="K376">
        <v>0</v>
      </c>
      <c r="L376">
        <v>1226.20336281805</v>
      </c>
    </row>
    <row r="377" spans="1:12" hidden="1" x14ac:dyDescent="0.25">
      <c r="A377">
        <v>374</v>
      </c>
      <c r="B377" t="s">
        <v>2605</v>
      </c>
      <c r="C377" t="s">
        <v>2606</v>
      </c>
      <c r="D377">
        <v>0</v>
      </c>
      <c r="E377" t="str">
        <f>_xlfn.XLOOKUP(F377, Keys!B:B, Keys!A:A, "找不到")</f>
        <v>FA</v>
      </c>
      <c r="F377" t="s">
        <v>63</v>
      </c>
      <c r="G377">
        <v>33.200444556128282</v>
      </c>
      <c r="H377" t="s">
        <v>64</v>
      </c>
      <c r="I377" t="s">
        <v>65</v>
      </c>
      <c r="J377" t="s">
        <v>3166</v>
      </c>
      <c r="K377">
        <v>0</v>
      </c>
      <c r="L377">
        <v>1805.05235172435</v>
      </c>
    </row>
    <row r="378" spans="1:12" hidden="1" x14ac:dyDescent="0.25">
      <c r="A378">
        <v>375</v>
      </c>
      <c r="B378" t="s">
        <v>2605</v>
      </c>
      <c r="C378" t="s">
        <v>2606</v>
      </c>
      <c r="D378">
        <v>0</v>
      </c>
      <c r="E378" t="str">
        <f>_xlfn.XLOOKUP(F378, Keys!B:B, Keys!A:A, "找不到")</f>
        <v>FA</v>
      </c>
      <c r="F378" t="s">
        <v>63</v>
      </c>
      <c r="G378">
        <v>5.2556970070808537</v>
      </c>
      <c r="H378" t="s">
        <v>64</v>
      </c>
      <c r="I378" t="s">
        <v>65</v>
      </c>
      <c r="J378" t="s">
        <v>3204</v>
      </c>
      <c r="K378">
        <v>0</v>
      </c>
      <c r="L378">
        <v>800.63427262929656</v>
      </c>
    </row>
    <row r="379" spans="1:12" hidden="1" x14ac:dyDescent="0.25">
      <c r="A379">
        <v>377</v>
      </c>
      <c r="B379" t="s">
        <v>2605</v>
      </c>
      <c r="C379" t="s">
        <v>2606</v>
      </c>
      <c r="D379">
        <v>0</v>
      </c>
      <c r="E379" t="str">
        <f>_xlfn.XLOOKUP(F379, Keys!B:B, Keys!A:A, "找不到")</f>
        <v>FA</v>
      </c>
      <c r="F379" t="s">
        <v>63</v>
      </c>
      <c r="G379">
        <v>0.27865999842310268</v>
      </c>
      <c r="H379" t="s">
        <v>64</v>
      </c>
      <c r="I379" t="s">
        <v>65</v>
      </c>
      <c r="J379" t="s">
        <v>3201</v>
      </c>
      <c r="K379">
        <v>0</v>
      </c>
      <c r="L379">
        <v>200.68160841266641</v>
      </c>
    </row>
    <row r="380" spans="1:12" hidden="1" x14ac:dyDescent="0.25">
      <c r="A380">
        <v>378</v>
      </c>
      <c r="B380" t="s">
        <v>2605</v>
      </c>
      <c r="C380" t="s">
        <v>2606</v>
      </c>
      <c r="D380">
        <v>0</v>
      </c>
      <c r="E380" t="str">
        <f>_xlfn.XLOOKUP(F380, Keys!B:B, Keys!A:A, "找不到")</f>
        <v>FA</v>
      </c>
      <c r="F380" t="s">
        <v>63</v>
      </c>
      <c r="G380">
        <v>0.21469147634764341</v>
      </c>
      <c r="H380" t="s">
        <v>64</v>
      </c>
      <c r="I380" t="s">
        <v>65</v>
      </c>
      <c r="J380" t="s">
        <v>3201</v>
      </c>
      <c r="K380">
        <v>0</v>
      </c>
      <c r="L380">
        <v>135.69335899088131</v>
      </c>
    </row>
    <row r="381" spans="1:12" hidden="1" x14ac:dyDescent="0.25">
      <c r="A381">
        <v>379</v>
      </c>
      <c r="B381" t="s">
        <v>2605</v>
      </c>
      <c r="C381" t="s">
        <v>2606</v>
      </c>
      <c r="D381">
        <v>0</v>
      </c>
      <c r="E381" t="str">
        <f>_xlfn.XLOOKUP(F381, Keys!B:B, Keys!A:A, "找不到")</f>
        <v>FA</v>
      </c>
      <c r="F381" t="s">
        <v>63</v>
      </c>
      <c r="G381">
        <v>22.154951976767499</v>
      </c>
      <c r="H381" t="s">
        <v>64</v>
      </c>
      <c r="I381" t="s">
        <v>65</v>
      </c>
      <c r="J381" t="s">
        <v>3211</v>
      </c>
      <c r="K381">
        <v>0</v>
      </c>
      <c r="L381">
        <v>1458.7675152616921</v>
      </c>
    </row>
    <row r="382" spans="1:12" hidden="1" x14ac:dyDescent="0.25">
      <c r="A382">
        <v>380</v>
      </c>
      <c r="B382" t="s">
        <v>2605</v>
      </c>
      <c r="C382" t="s">
        <v>2606</v>
      </c>
      <c r="D382">
        <v>0</v>
      </c>
      <c r="E382" t="str">
        <f>_xlfn.XLOOKUP(F382, Keys!B:B, Keys!A:A, "找不到")</f>
        <v>FA</v>
      </c>
      <c r="F382" t="s">
        <v>63</v>
      </c>
      <c r="G382">
        <v>9.9648763746970528E-2</v>
      </c>
      <c r="H382" t="s">
        <v>64</v>
      </c>
      <c r="I382" t="s">
        <v>65</v>
      </c>
      <c r="J382" t="s">
        <v>3213</v>
      </c>
      <c r="K382">
        <v>0</v>
      </c>
      <c r="L382">
        <v>82.583544037441797</v>
      </c>
    </row>
    <row r="383" spans="1:12" hidden="1" x14ac:dyDescent="0.25">
      <c r="A383">
        <v>381</v>
      </c>
      <c r="B383" t="s">
        <v>2605</v>
      </c>
      <c r="C383" t="s">
        <v>2606</v>
      </c>
      <c r="D383" t="s">
        <v>2702</v>
      </c>
      <c r="E383" t="str">
        <f>_xlfn.XLOOKUP(F383, Keys!B:B, Keys!A:A, "找不到")</f>
        <v>FA</v>
      </c>
      <c r="F383" t="s">
        <v>63</v>
      </c>
      <c r="G383">
        <v>4.6639883393469958E-2</v>
      </c>
      <c r="H383" t="s">
        <v>64</v>
      </c>
      <c r="I383" t="s">
        <v>65</v>
      </c>
      <c r="J383" t="s">
        <v>2883</v>
      </c>
      <c r="K383">
        <v>0</v>
      </c>
      <c r="L383">
        <v>82.052574052824696</v>
      </c>
    </row>
    <row r="384" spans="1:12" hidden="1" x14ac:dyDescent="0.25">
      <c r="A384">
        <v>382</v>
      </c>
      <c r="B384" t="s">
        <v>2605</v>
      </c>
      <c r="C384" t="s">
        <v>2606</v>
      </c>
      <c r="D384" t="s">
        <v>2702</v>
      </c>
      <c r="E384" t="str">
        <f>_xlfn.XLOOKUP(F384, Keys!B:B, Keys!A:A, "找不到")</f>
        <v>FA</v>
      </c>
      <c r="F384" t="s">
        <v>63</v>
      </c>
      <c r="G384">
        <v>0.1110511674575566</v>
      </c>
      <c r="H384" t="s">
        <v>64</v>
      </c>
      <c r="I384" t="s">
        <v>65</v>
      </c>
      <c r="J384" t="s">
        <v>2883</v>
      </c>
      <c r="K384">
        <v>0</v>
      </c>
      <c r="L384">
        <v>110.2985478544786</v>
      </c>
    </row>
    <row r="385" spans="1:12" hidden="1" x14ac:dyDescent="0.25">
      <c r="A385">
        <v>383</v>
      </c>
      <c r="B385" t="s">
        <v>2605</v>
      </c>
      <c r="C385" t="s">
        <v>2606</v>
      </c>
      <c r="D385">
        <v>0</v>
      </c>
      <c r="E385" t="str">
        <f>_xlfn.XLOOKUP(F385, Keys!B:B, Keys!A:A, "找不到")</f>
        <v>FA</v>
      </c>
      <c r="F385" t="s">
        <v>63</v>
      </c>
      <c r="G385">
        <v>5.6543222272145262E-2</v>
      </c>
      <c r="H385" t="s">
        <v>64</v>
      </c>
      <c r="I385" t="s">
        <v>65</v>
      </c>
      <c r="J385" t="s">
        <v>3218</v>
      </c>
      <c r="K385">
        <v>0</v>
      </c>
      <c r="L385">
        <v>72.15739788705514</v>
      </c>
    </row>
    <row r="386" spans="1:12" hidden="1" x14ac:dyDescent="0.25">
      <c r="A386">
        <v>385</v>
      </c>
      <c r="B386" t="s">
        <v>2605</v>
      </c>
      <c r="C386" t="s">
        <v>2606</v>
      </c>
      <c r="D386">
        <v>0</v>
      </c>
      <c r="E386" t="str">
        <f>_xlfn.XLOOKUP(F386, Keys!B:B, Keys!A:A, "找不到")</f>
        <v>FA</v>
      </c>
      <c r="F386" t="s">
        <v>63</v>
      </c>
      <c r="G386">
        <v>4.4044839662185427E-2</v>
      </c>
      <c r="H386" t="s">
        <v>64</v>
      </c>
      <c r="I386" t="s">
        <v>65</v>
      </c>
      <c r="J386" t="s">
        <v>3213</v>
      </c>
      <c r="K386">
        <v>0</v>
      </c>
      <c r="L386">
        <v>56.130029000549321</v>
      </c>
    </row>
    <row r="387" spans="1:12" hidden="1" x14ac:dyDescent="0.25">
      <c r="A387">
        <v>386</v>
      </c>
      <c r="B387" t="s">
        <v>2605</v>
      </c>
      <c r="C387" t="s">
        <v>2606</v>
      </c>
      <c r="D387">
        <v>0</v>
      </c>
      <c r="E387" t="str">
        <f>_xlfn.XLOOKUP(F387, Keys!B:B, Keys!A:A, "找不到")</f>
        <v>FA</v>
      </c>
      <c r="F387" t="s">
        <v>63</v>
      </c>
      <c r="G387">
        <v>7.3011297682593415E-2</v>
      </c>
      <c r="H387" t="s">
        <v>64</v>
      </c>
      <c r="I387" t="s">
        <v>65</v>
      </c>
      <c r="J387" t="s">
        <v>3218</v>
      </c>
      <c r="K387">
        <v>0</v>
      </c>
      <c r="L387">
        <v>72.172063552303939</v>
      </c>
    </row>
    <row r="388" spans="1:12" hidden="1" x14ac:dyDescent="0.25">
      <c r="A388">
        <v>388</v>
      </c>
      <c r="B388" t="s">
        <v>2605</v>
      </c>
      <c r="C388" t="s">
        <v>2606</v>
      </c>
      <c r="D388" t="s">
        <v>2702</v>
      </c>
      <c r="E388" t="str">
        <f>_xlfn.XLOOKUP(F388, Keys!B:B, Keys!A:A, "找不到")</f>
        <v>FA</v>
      </c>
      <c r="F388" t="s">
        <v>63</v>
      </c>
      <c r="G388">
        <v>3.2022665407169639</v>
      </c>
      <c r="H388" t="s">
        <v>64</v>
      </c>
      <c r="I388" t="s">
        <v>65</v>
      </c>
      <c r="J388" t="s">
        <v>2883</v>
      </c>
      <c r="K388">
        <v>0</v>
      </c>
      <c r="L388">
        <v>469.88729884764808</v>
      </c>
    </row>
    <row r="389" spans="1:12" hidden="1" x14ac:dyDescent="0.25">
      <c r="A389">
        <v>389</v>
      </c>
      <c r="B389" t="s">
        <v>2605</v>
      </c>
      <c r="C389" t="s">
        <v>2606</v>
      </c>
      <c r="D389" t="s">
        <v>2702</v>
      </c>
      <c r="E389" t="str">
        <f>_xlfn.XLOOKUP(F389, Keys!B:B, Keys!A:A, "找不到")</f>
        <v>FA</v>
      </c>
      <c r="F389" t="s">
        <v>63</v>
      </c>
      <c r="G389">
        <v>1.157422196439726</v>
      </c>
      <c r="H389" t="s">
        <v>64</v>
      </c>
      <c r="I389" t="s">
        <v>65</v>
      </c>
      <c r="J389" t="s">
        <v>2883</v>
      </c>
      <c r="K389">
        <v>0</v>
      </c>
      <c r="L389">
        <v>291.83231915528398</v>
      </c>
    </row>
    <row r="390" spans="1:12" hidden="1" x14ac:dyDescent="0.25">
      <c r="A390">
        <v>392</v>
      </c>
      <c r="B390" t="s">
        <v>2605</v>
      </c>
      <c r="C390" t="s">
        <v>2606</v>
      </c>
      <c r="D390" t="s">
        <v>2702</v>
      </c>
      <c r="E390" t="str">
        <f>_xlfn.XLOOKUP(F390, Keys!B:B, Keys!A:A, "找不到")</f>
        <v>FA</v>
      </c>
      <c r="F390" t="s">
        <v>63</v>
      </c>
      <c r="G390">
        <v>1.388632512170874</v>
      </c>
      <c r="H390" t="s">
        <v>64</v>
      </c>
      <c r="I390" t="s">
        <v>65</v>
      </c>
      <c r="J390" t="s">
        <v>2883</v>
      </c>
      <c r="K390">
        <v>0</v>
      </c>
      <c r="L390">
        <v>321.64890858193291</v>
      </c>
    </row>
    <row r="391" spans="1:12" hidden="1" x14ac:dyDescent="0.25">
      <c r="A391">
        <v>395</v>
      </c>
      <c r="B391" t="s">
        <v>2605</v>
      </c>
      <c r="C391" t="s">
        <v>2606</v>
      </c>
      <c r="D391" t="s">
        <v>2702</v>
      </c>
      <c r="E391" t="str">
        <f>_xlfn.XLOOKUP(F391, Keys!B:B, Keys!A:A, "找不到")</f>
        <v>FA</v>
      </c>
      <c r="F391" t="s">
        <v>63</v>
      </c>
      <c r="G391">
        <v>1.129935693970473</v>
      </c>
      <c r="H391" t="s">
        <v>64</v>
      </c>
      <c r="I391" t="s">
        <v>65</v>
      </c>
      <c r="J391" t="s">
        <v>2883</v>
      </c>
      <c r="K391">
        <v>0</v>
      </c>
      <c r="L391">
        <v>381.25475665272688</v>
      </c>
    </row>
    <row r="392" spans="1:12" hidden="1" x14ac:dyDescent="0.25">
      <c r="A392">
        <v>396</v>
      </c>
      <c r="B392" t="s">
        <v>2605</v>
      </c>
      <c r="C392" t="s">
        <v>2606</v>
      </c>
      <c r="D392" t="s">
        <v>2702</v>
      </c>
      <c r="E392" t="str">
        <f>_xlfn.XLOOKUP(F392, Keys!B:B, Keys!A:A, "找不到")</f>
        <v>FA</v>
      </c>
      <c r="F392" t="s">
        <v>63</v>
      </c>
      <c r="G392">
        <v>0.2154452483135206</v>
      </c>
      <c r="H392" t="s">
        <v>64</v>
      </c>
      <c r="I392" t="s">
        <v>65</v>
      </c>
      <c r="J392" t="s">
        <v>2883</v>
      </c>
      <c r="K392">
        <v>0</v>
      </c>
      <c r="L392">
        <v>147.31571809355609</v>
      </c>
    </row>
    <row r="393" spans="1:12" hidden="1" x14ac:dyDescent="0.25">
      <c r="A393">
        <v>398</v>
      </c>
      <c r="B393" t="s">
        <v>2605</v>
      </c>
      <c r="C393" t="s">
        <v>2606</v>
      </c>
      <c r="D393">
        <v>0</v>
      </c>
      <c r="E393" t="str">
        <f>_xlfn.XLOOKUP(F393, Keys!B:B, Keys!A:A, "找不到")</f>
        <v>FA</v>
      </c>
      <c r="F393" t="s">
        <v>63</v>
      </c>
      <c r="G393">
        <v>1.9213507207973901</v>
      </c>
      <c r="H393" t="s">
        <v>64</v>
      </c>
      <c r="I393" t="s">
        <v>65</v>
      </c>
      <c r="J393" t="s">
        <v>3241</v>
      </c>
      <c r="K393">
        <v>0</v>
      </c>
      <c r="L393">
        <v>512.89805541673286</v>
      </c>
    </row>
    <row r="394" spans="1:12" hidden="1" x14ac:dyDescent="0.25">
      <c r="A394">
        <v>399</v>
      </c>
      <c r="B394" t="s">
        <v>2605</v>
      </c>
      <c r="C394" t="s">
        <v>2606</v>
      </c>
      <c r="D394">
        <v>0</v>
      </c>
      <c r="E394" t="str">
        <f>_xlfn.XLOOKUP(F394, Keys!B:B, Keys!A:A, "找不到")</f>
        <v>FA</v>
      </c>
      <c r="F394" t="s">
        <v>63</v>
      </c>
      <c r="G394">
        <v>4.2642857866191921</v>
      </c>
      <c r="H394" t="s">
        <v>60</v>
      </c>
      <c r="I394" t="s">
        <v>66</v>
      </c>
      <c r="J394" t="s">
        <v>3191</v>
      </c>
      <c r="K394">
        <v>0</v>
      </c>
      <c r="L394">
        <v>752.42894029630338</v>
      </c>
    </row>
    <row r="395" spans="1:12" hidden="1" x14ac:dyDescent="0.25">
      <c r="A395">
        <v>400</v>
      </c>
      <c r="B395" t="s">
        <v>2605</v>
      </c>
      <c r="C395" t="s">
        <v>2606</v>
      </c>
      <c r="D395">
        <v>0</v>
      </c>
      <c r="E395" t="str">
        <f>_xlfn.XLOOKUP(F395, Keys!B:B, Keys!A:A, "找不到")</f>
        <v>FA</v>
      </c>
      <c r="F395" t="s">
        <v>63</v>
      </c>
      <c r="G395">
        <v>9.8339987104385127</v>
      </c>
      <c r="H395" t="s">
        <v>64</v>
      </c>
      <c r="I395" t="s">
        <v>65</v>
      </c>
      <c r="J395" t="s">
        <v>3191</v>
      </c>
      <c r="K395">
        <v>0</v>
      </c>
      <c r="L395">
        <v>879.99673809475848</v>
      </c>
    </row>
    <row r="396" spans="1:12" hidden="1" x14ac:dyDescent="0.25">
      <c r="A396">
        <v>402</v>
      </c>
      <c r="B396" t="s">
        <v>2605</v>
      </c>
      <c r="C396" t="s">
        <v>2606</v>
      </c>
      <c r="D396">
        <v>0</v>
      </c>
      <c r="E396" t="str">
        <f>_xlfn.XLOOKUP(F396, Keys!B:B, Keys!A:A, "找不到")</f>
        <v>FA</v>
      </c>
      <c r="F396" t="s">
        <v>63</v>
      </c>
      <c r="G396">
        <v>0.90047077971906375</v>
      </c>
      <c r="H396" t="s">
        <v>64</v>
      </c>
      <c r="I396" t="s">
        <v>65</v>
      </c>
      <c r="J396" t="s">
        <v>3241</v>
      </c>
      <c r="K396">
        <v>0</v>
      </c>
      <c r="L396">
        <v>305.79347833372913</v>
      </c>
    </row>
    <row r="397" spans="1:12" hidden="1" x14ac:dyDescent="0.25">
      <c r="A397">
        <v>403</v>
      </c>
      <c r="B397" t="s">
        <v>2605</v>
      </c>
      <c r="C397" t="s">
        <v>2606</v>
      </c>
      <c r="D397" t="s">
        <v>2702</v>
      </c>
      <c r="E397" t="str">
        <f>_xlfn.XLOOKUP(F397, Keys!B:B, Keys!A:A, "找不到")</f>
        <v>FA</v>
      </c>
      <c r="F397" t="s">
        <v>63</v>
      </c>
      <c r="G397">
        <v>0.27080431433189373</v>
      </c>
      <c r="H397" t="s">
        <v>64</v>
      </c>
      <c r="I397" t="s">
        <v>65</v>
      </c>
      <c r="J397" t="s">
        <v>2883</v>
      </c>
      <c r="K397">
        <v>0</v>
      </c>
      <c r="L397">
        <v>138.17926034053059</v>
      </c>
    </row>
    <row r="398" spans="1:12" hidden="1" x14ac:dyDescent="0.25">
      <c r="A398">
        <v>405</v>
      </c>
      <c r="B398" t="s">
        <v>2605</v>
      </c>
      <c r="C398" t="s">
        <v>2606</v>
      </c>
      <c r="D398">
        <v>0</v>
      </c>
      <c r="E398" t="str">
        <f>_xlfn.XLOOKUP(F398, Keys!B:B, Keys!A:A, "找不到")</f>
        <v>FA</v>
      </c>
      <c r="F398" t="s">
        <v>63</v>
      </c>
      <c r="G398">
        <v>2.386580687330889</v>
      </c>
      <c r="H398" t="s">
        <v>64</v>
      </c>
      <c r="I398" t="s">
        <v>65</v>
      </c>
      <c r="J398" t="s">
        <v>3191</v>
      </c>
      <c r="K398">
        <v>0</v>
      </c>
      <c r="L398">
        <v>576.09867116231976</v>
      </c>
    </row>
    <row r="399" spans="1:12" hidden="1" x14ac:dyDescent="0.25">
      <c r="A399">
        <v>406</v>
      </c>
      <c r="B399" t="s">
        <v>2605</v>
      </c>
      <c r="C399" t="s">
        <v>2606</v>
      </c>
      <c r="D399">
        <v>0</v>
      </c>
      <c r="E399" t="str">
        <f>_xlfn.XLOOKUP(F399, Keys!B:B, Keys!A:A, "找不到")</f>
        <v>FA</v>
      </c>
      <c r="F399" t="s">
        <v>63</v>
      </c>
      <c r="G399">
        <v>4.0801742571393342</v>
      </c>
      <c r="H399" t="s">
        <v>64</v>
      </c>
      <c r="I399" t="s">
        <v>65</v>
      </c>
      <c r="J399" t="s">
        <v>3252</v>
      </c>
      <c r="K399">
        <v>0</v>
      </c>
      <c r="L399">
        <v>592.73937836289281</v>
      </c>
    </row>
    <row r="400" spans="1:12" hidden="1" x14ac:dyDescent="0.25">
      <c r="A400">
        <v>407</v>
      </c>
      <c r="B400" t="s">
        <v>2605</v>
      </c>
      <c r="C400" t="s">
        <v>2606</v>
      </c>
      <c r="D400">
        <v>0</v>
      </c>
      <c r="E400" t="str">
        <f>_xlfn.XLOOKUP(F400, Keys!B:B, Keys!A:A, "找不到")</f>
        <v>FA</v>
      </c>
      <c r="F400" t="s">
        <v>63</v>
      </c>
      <c r="G400">
        <v>6.886788546706725E-2</v>
      </c>
      <c r="H400" t="s">
        <v>64</v>
      </c>
      <c r="I400" t="s">
        <v>65</v>
      </c>
      <c r="J400" t="s">
        <v>3254</v>
      </c>
      <c r="K400">
        <v>0</v>
      </c>
      <c r="L400">
        <v>69.659898454683159</v>
      </c>
    </row>
    <row r="401" spans="1:12" hidden="1" x14ac:dyDescent="0.25">
      <c r="A401">
        <v>409</v>
      </c>
      <c r="B401" t="s">
        <v>2605</v>
      </c>
      <c r="C401" t="s">
        <v>2606</v>
      </c>
      <c r="D401">
        <v>0</v>
      </c>
      <c r="E401" t="str">
        <f>_xlfn.XLOOKUP(F401, Keys!B:B, Keys!A:A, "找不到")</f>
        <v>FA</v>
      </c>
      <c r="F401" t="s">
        <v>63</v>
      </c>
      <c r="G401">
        <v>3.1902803857255448</v>
      </c>
      <c r="H401" t="s">
        <v>64</v>
      </c>
      <c r="I401" t="s">
        <v>65</v>
      </c>
      <c r="J401" t="s">
        <v>3191</v>
      </c>
      <c r="K401">
        <v>0</v>
      </c>
      <c r="L401">
        <v>485.47782068018421</v>
      </c>
    </row>
    <row r="402" spans="1:12" hidden="1" x14ac:dyDescent="0.25">
      <c r="A402">
        <v>411</v>
      </c>
      <c r="B402" t="s">
        <v>2605</v>
      </c>
      <c r="C402" t="s">
        <v>2606</v>
      </c>
      <c r="D402">
        <v>0</v>
      </c>
      <c r="E402" t="str">
        <f>_xlfn.XLOOKUP(F402, Keys!B:B, Keys!A:A, "找不到")</f>
        <v>FA</v>
      </c>
      <c r="F402" t="s">
        <v>63</v>
      </c>
      <c r="G402">
        <v>3.8901607568859231</v>
      </c>
      <c r="H402" t="s">
        <v>64</v>
      </c>
      <c r="I402" t="s">
        <v>65</v>
      </c>
      <c r="J402" t="s">
        <v>3166</v>
      </c>
      <c r="K402">
        <v>0</v>
      </c>
      <c r="L402">
        <v>919.20297253023705</v>
      </c>
    </row>
    <row r="403" spans="1:12" hidden="1" x14ac:dyDescent="0.25">
      <c r="A403">
        <v>412</v>
      </c>
      <c r="B403" t="s">
        <v>2605</v>
      </c>
      <c r="C403" t="s">
        <v>2606</v>
      </c>
      <c r="D403">
        <v>0</v>
      </c>
      <c r="E403" t="str">
        <f>_xlfn.XLOOKUP(F403, Keys!B:B, Keys!A:A, "找不到")</f>
        <v>FA</v>
      </c>
      <c r="F403" t="s">
        <v>63</v>
      </c>
      <c r="G403">
        <v>0.77268717634835926</v>
      </c>
      <c r="H403" t="s">
        <v>64</v>
      </c>
      <c r="I403" t="s">
        <v>65</v>
      </c>
      <c r="J403" t="s">
        <v>3038</v>
      </c>
      <c r="K403">
        <v>0</v>
      </c>
      <c r="L403">
        <v>320.44804366847671</v>
      </c>
    </row>
    <row r="404" spans="1:12" hidden="1" x14ac:dyDescent="0.25">
      <c r="A404">
        <v>416</v>
      </c>
      <c r="B404" t="s">
        <v>2605</v>
      </c>
      <c r="C404" t="s">
        <v>2606</v>
      </c>
      <c r="D404">
        <v>0</v>
      </c>
      <c r="E404" t="str">
        <f>_xlfn.XLOOKUP(F404, Keys!B:B, Keys!A:A, "找不到")</f>
        <v>FA</v>
      </c>
      <c r="F404" t="s">
        <v>63</v>
      </c>
      <c r="G404">
        <v>17.989209305553821</v>
      </c>
      <c r="H404" t="s">
        <v>64</v>
      </c>
      <c r="I404" t="s">
        <v>65</v>
      </c>
      <c r="J404" t="s">
        <v>3166</v>
      </c>
      <c r="K404">
        <v>0</v>
      </c>
      <c r="L404">
        <v>1163.8192156493899</v>
      </c>
    </row>
    <row r="405" spans="1:12" hidden="1" x14ac:dyDescent="0.25">
      <c r="A405">
        <v>421</v>
      </c>
      <c r="B405" t="s">
        <v>2605</v>
      </c>
      <c r="C405" t="s">
        <v>2606</v>
      </c>
      <c r="D405">
        <v>0</v>
      </c>
      <c r="E405" t="str">
        <f>_xlfn.XLOOKUP(F405, Keys!B:B, Keys!A:A, "找不到")</f>
        <v>FA</v>
      </c>
      <c r="F405" t="s">
        <v>63</v>
      </c>
      <c r="G405">
        <v>23.586430537650699</v>
      </c>
      <c r="H405" t="s">
        <v>64</v>
      </c>
      <c r="I405" t="s">
        <v>65</v>
      </c>
      <c r="J405" t="s">
        <v>3038</v>
      </c>
      <c r="K405">
        <v>0</v>
      </c>
      <c r="L405">
        <v>1307.200755659215</v>
      </c>
    </row>
    <row r="406" spans="1:12" hidden="1" x14ac:dyDescent="0.25">
      <c r="A406">
        <v>422</v>
      </c>
      <c r="B406" t="s">
        <v>2605</v>
      </c>
      <c r="C406" t="s">
        <v>2606</v>
      </c>
      <c r="D406">
        <v>0</v>
      </c>
      <c r="E406" t="str">
        <f>_xlfn.XLOOKUP(F406, Keys!B:B, Keys!A:A, "找不到")</f>
        <v>FA</v>
      </c>
      <c r="F406" t="s">
        <v>63</v>
      </c>
      <c r="G406">
        <v>1.994293149352675</v>
      </c>
      <c r="H406" t="s">
        <v>64</v>
      </c>
      <c r="I406" t="s">
        <v>65</v>
      </c>
      <c r="J406" t="s">
        <v>3038</v>
      </c>
      <c r="K406">
        <v>0</v>
      </c>
      <c r="L406">
        <v>380.99035795779218</v>
      </c>
    </row>
    <row r="407" spans="1:12" hidden="1" x14ac:dyDescent="0.25">
      <c r="A407">
        <v>423</v>
      </c>
      <c r="B407" t="s">
        <v>2605</v>
      </c>
      <c r="C407" t="s">
        <v>2606</v>
      </c>
      <c r="D407">
        <v>0</v>
      </c>
      <c r="E407" t="str">
        <f>_xlfn.XLOOKUP(F407, Keys!B:B, Keys!A:A, "找不到")</f>
        <v>FA</v>
      </c>
      <c r="F407" t="s">
        <v>63</v>
      </c>
      <c r="G407">
        <v>0.19027833535779201</v>
      </c>
      <c r="H407" t="s">
        <v>64</v>
      </c>
      <c r="I407" t="s">
        <v>65</v>
      </c>
      <c r="J407" t="s">
        <v>3211</v>
      </c>
      <c r="K407">
        <v>0</v>
      </c>
      <c r="L407">
        <v>131.83272911887491</v>
      </c>
    </row>
    <row r="408" spans="1:12" hidden="1" x14ac:dyDescent="0.25">
      <c r="A408">
        <v>425</v>
      </c>
      <c r="B408" t="s">
        <v>2605</v>
      </c>
      <c r="C408" t="s">
        <v>2606</v>
      </c>
      <c r="D408">
        <v>0</v>
      </c>
      <c r="E408" t="str">
        <f>_xlfn.XLOOKUP(F408, Keys!B:B, Keys!A:A, "找不到")</f>
        <v>FA</v>
      </c>
      <c r="F408" t="s">
        <v>63</v>
      </c>
      <c r="G408">
        <v>0.49925213779743799</v>
      </c>
      <c r="H408" t="s">
        <v>64</v>
      </c>
      <c r="I408" t="s">
        <v>65</v>
      </c>
      <c r="J408" t="s">
        <v>3191</v>
      </c>
      <c r="K408">
        <v>0</v>
      </c>
      <c r="L408">
        <v>235.59061674033379</v>
      </c>
    </row>
    <row r="409" spans="1:12" hidden="1" x14ac:dyDescent="0.25">
      <c r="A409">
        <v>426</v>
      </c>
      <c r="B409" t="s">
        <v>2605</v>
      </c>
      <c r="C409" t="s">
        <v>2606</v>
      </c>
      <c r="D409">
        <v>0</v>
      </c>
      <c r="E409" t="str">
        <f>_xlfn.XLOOKUP(F409, Keys!B:B, Keys!A:A, "找不到")</f>
        <v>FA</v>
      </c>
      <c r="F409" t="s">
        <v>63</v>
      </c>
      <c r="G409">
        <v>11.76187882063171</v>
      </c>
      <c r="H409" t="s">
        <v>64</v>
      </c>
      <c r="I409" t="s">
        <v>65</v>
      </c>
      <c r="J409" t="s">
        <v>3191</v>
      </c>
      <c r="K409">
        <v>0</v>
      </c>
      <c r="L409">
        <v>1009.489259793719</v>
      </c>
    </row>
    <row r="410" spans="1:12" hidden="1" x14ac:dyDescent="0.25">
      <c r="A410">
        <v>427</v>
      </c>
      <c r="B410" t="s">
        <v>2605</v>
      </c>
      <c r="C410" t="s">
        <v>2606</v>
      </c>
      <c r="D410">
        <v>0</v>
      </c>
      <c r="E410" t="str">
        <f>_xlfn.XLOOKUP(F410, Keys!B:B, Keys!A:A, "找不到")</f>
        <v>FA</v>
      </c>
      <c r="F410" t="s">
        <v>63</v>
      </c>
      <c r="G410">
        <v>17.182348864412951</v>
      </c>
      <c r="H410" t="s">
        <v>64</v>
      </c>
      <c r="I410" t="s">
        <v>65</v>
      </c>
      <c r="J410" t="s">
        <v>3191</v>
      </c>
      <c r="K410">
        <v>0</v>
      </c>
      <c r="L410">
        <v>1358.8225811239899</v>
      </c>
    </row>
    <row r="411" spans="1:12" hidden="1" x14ac:dyDescent="0.25">
      <c r="A411">
        <v>428</v>
      </c>
      <c r="B411" t="s">
        <v>2605</v>
      </c>
      <c r="C411" t="s">
        <v>2606</v>
      </c>
      <c r="D411">
        <v>0</v>
      </c>
      <c r="E411" t="str">
        <f>_xlfn.XLOOKUP(F411, Keys!B:B, Keys!A:A, "找不到")</f>
        <v>FA</v>
      </c>
      <c r="F411" t="s">
        <v>63</v>
      </c>
      <c r="G411">
        <v>2.4879080914997811</v>
      </c>
      <c r="H411" t="s">
        <v>64</v>
      </c>
      <c r="I411" t="s">
        <v>65</v>
      </c>
      <c r="J411" t="s">
        <v>3211</v>
      </c>
      <c r="K411">
        <v>0</v>
      </c>
      <c r="L411">
        <v>439.20131010730739</v>
      </c>
    </row>
    <row r="412" spans="1:12" hidden="1" x14ac:dyDescent="0.25">
      <c r="A412">
        <v>429</v>
      </c>
      <c r="B412" t="s">
        <v>2605</v>
      </c>
      <c r="C412" t="s">
        <v>2606</v>
      </c>
      <c r="D412">
        <v>0</v>
      </c>
      <c r="E412" t="str">
        <f>_xlfn.XLOOKUP(F412, Keys!B:B, Keys!A:A, "找不到")</f>
        <v>FA</v>
      </c>
      <c r="F412" t="s">
        <v>63</v>
      </c>
      <c r="G412">
        <v>0.33763493400138561</v>
      </c>
      <c r="H412" t="s">
        <v>64</v>
      </c>
      <c r="I412" t="s">
        <v>65</v>
      </c>
      <c r="J412" t="s">
        <v>3211</v>
      </c>
      <c r="K412">
        <v>0</v>
      </c>
      <c r="L412">
        <v>190.69634510815891</v>
      </c>
    </row>
    <row r="413" spans="1:12" hidden="1" x14ac:dyDescent="0.25">
      <c r="A413">
        <v>430</v>
      </c>
      <c r="B413" t="s">
        <v>2605</v>
      </c>
      <c r="C413" t="s">
        <v>2606</v>
      </c>
      <c r="D413">
        <v>0</v>
      </c>
      <c r="E413" t="str">
        <f>_xlfn.XLOOKUP(F413, Keys!B:B, Keys!A:A, "找不到")</f>
        <v>FA</v>
      </c>
      <c r="F413" t="s">
        <v>63</v>
      </c>
      <c r="G413">
        <v>3.413930618493044</v>
      </c>
      <c r="H413" t="s">
        <v>64</v>
      </c>
      <c r="I413" t="s">
        <v>65</v>
      </c>
      <c r="J413" t="s">
        <v>3191</v>
      </c>
      <c r="K413">
        <v>0</v>
      </c>
      <c r="L413">
        <v>579.52738484483314</v>
      </c>
    </row>
    <row r="414" spans="1:12" hidden="1" x14ac:dyDescent="0.25">
      <c r="A414">
        <v>431</v>
      </c>
      <c r="B414" t="s">
        <v>2605</v>
      </c>
      <c r="C414" t="s">
        <v>2606</v>
      </c>
      <c r="D414">
        <v>0</v>
      </c>
      <c r="E414" t="str">
        <f>_xlfn.XLOOKUP(F414, Keys!B:B, Keys!A:A, "找不到")</f>
        <v>FA</v>
      </c>
      <c r="F414" t="s">
        <v>63</v>
      </c>
      <c r="G414">
        <v>0.43309317533742681</v>
      </c>
      <c r="H414" t="s">
        <v>64</v>
      </c>
      <c r="I414" t="s">
        <v>65</v>
      </c>
      <c r="J414" t="s">
        <v>3038</v>
      </c>
      <c r="K414">
        <v>0</v>
      </c>
      <c r="L414">
        <v>178.97453135652569</v>
      </c>
    </row>
    <row r="415" spans="1:12" hidden="1" x14ac:dyDescent="0.25">
      <c r="A415">
        <v>433</v>
      </c>
      <c r="B415" t="s">
        <v>2605</v>
      </c>
      <c r="C415" t="s">
        <v>2606</v>
      </c>
      <c r="D415">
        <v>0</v>
      </c>
      <c r="E415" t="str">
        <f>_xlfn.XLOOKUP(F415, Keys!B:B, Keys!A:A, "找不到")</f>
        <v>FA</v>
      </c>
      <c r="F415" t="s">
        <v>63</v>
      </c>
      <c r="G415">
        <v>1.3808113593551159</v>
      </c>
      <c r="H415" t="s">
        <v>64</v>
      </c>
      <c r="I415" t="s">
        <v>65</v>
      </c>
      <c r="J415" t="s">
        <v>3287</v>
      </c>
      <c r="K415">
        <v>0</v>
      </c>
      <c r="L415">
        <v>382.44021946093437</v>
      </c>
    </row>
    <row r="416" spans="1:12" hidden="1" x14ac:dyDescent="0.25">
      <c r="A416">
        <v>435</v>
      </c>
      <c r="B416" t="s">
        <v>2605</v>
      </c>
      <c r="C416" t="s">
        <v>2606</v>
      </c>
      <c r="D416">
        <v>0</v>
      </c>
      <c r="E416" t="str">
        <f>_xlfn.XLOOKUP(F416, Keys!B:B, Keys!A:A, "找不到")</f>
        <v>FA</v>
      </c>
      <c r="F416" t="s">
        <v>63</v>
      </c>
      <c r="G416">
        <v>0.22985189341449311</v>
      </c>
      <c r="H416" t="s">
        <v>64</v>
      </c>
      <c r="I416" t="s">
        <v>65</v>
      </c>
      <c r="J416" t="s">
        <v>3191</v>
      </c>
      <c r="K416">
        <v>0</v>
      </c>
      <c r="L416">
        <v>200.6983087738183</v>
      </c>
    </row>
    <row r="417" spans="1:12" hidden="1" x14ac:dyDescent="0.25">
      <c r="A417">
        <v>438</v>
      </c>
      <c r="B417" t="s">
        <v>2605</v>
      </c>
      <c r="C417" t="s">
        <v>2606</v>
      </c>
      <c r="D417">
        <v>0</v>
      </c>
      <c r="E417" t="str">
        <f>_xlfn.XLOOKUP(F417, Keys!B:B, Keys!A:A, "找不到")</f>
        <v>FA</v>
      </c>
      <c r="F417" t="s">
        <v>63</v>
      </c>
      <c r="G417">
        <v>3.6440485887412</v>
      </c>
      <c r="H417" t="s">
        <v>64</v>
      </c>
      <c r="I417" t="s">
        <v>65</v>
      </c>
      <c r="J417" t="s">
        <v>3294</v>
      </c>
      <c r="K417">
        <v>0</v>
      </c>
      <c r="L417">
        <v>601.23807941840357</v>
      </c>
    </row>
    <row r="418" spans="1:12" hidden="1" x14ac:dyDescent="0.25">
      <c r="A418">
        <v>440</v>
      </c>
      <c r="B418" t="s">
        <v>2605</v>
      </c>
      <c r="C418" t="s">
        <v>2606</v>
      </c>
      <c r="D418">
        <v>0</v>
      </c>
      <c r="E418" t="str">
        <f>_xlfn.XLOOKUP(F418, Keys!B:B, Keys!A:A, "找不到")</f>
        <v>FA</v>
      </c>
      <c r="F418" t="s">
        <v>63</v>
      </c>
      <c r="G418">
        <v>0.65446169937189713</v>
      </c>
      <c r="H418" t="s">
        <v>64</v>
      </c>
      <c r="I418" t="s">
        <v>65</v>
      </c>
      <c r="J418" t="s">
        <v>3038</v>
      </c>
      <c r="K418">
        <v>0</v>
      </c>
      <c r="L418">
        <v>279.82258659115922</v>
      </c>
    </row>
    <row r="419" spans="1:12" hidden="1" x14ac:dyDescent="0.25">
      <c r="A419">
        <v>441</v>
      </c>
      <c r="B419" t="s">
        <v>2605</v>
      </c>
      <c r="C419" t="s">
        <v>2606</v>
      </c>
      <c r="D419">
        <v>0</v>
      </c>
      <c r="E419" t="str">
        <f>_xlfn.XLOOKUP(F419, Keys!B:B, Keys!A:A, "找不到")</f>
        <v>FA</v>
      </c>
      <c r="F419" t="s">
        <v>63</v>
      </c>
      <c r="G419">
        <v>3.552944144982574</v>
      </c>
      <c r="H419" t="s">
        <v>64</v>
      </c>
      <c r="I419" t="s">
        <v>65</v>
      </c>
      <c r="J419" t="s">
        <v>3038</v>
      </c>
      <c r="K419">
        <v>0</v>
      </c>
      <c r="L419">
        <v>471.14227471373192</v>
      </c>
    </row>
    <row r="420" spans="1:12" hidden="1" x14ac:dyDescent="0.25">
      <c r="A420">
        <v>442</v>
      </c>
      <c r="B420" t="s">
        <v>2605</v>
      </c>
      <c r="C420" t="s">
        <v>2606</v>
      </c>
      <c r="D420">
        <v>0</v>
      </c>
      <c r="E420" t="str">
        <f>_xlfn.XLOOKUP(F420, Keys!B:B, Keys!A:A, "找不到")</f>
        <v>FA</v>
      </c>
      <c r="F420" t="s">
        <v>63</v>
      </c>
      <c r="G420">
        <v>3.786044711207436</v>
      </c>
      <c r="H420" t="s">
        <v>64</v>
      </c>
      <c r="I420" t="s">
        <v>65</v>
      </c>
      <c r="J420" t="s">
        <v>3191</v>
      </c>
      <c r="K420">
        <v>0</v>
      </c>
      <c r="L420">
        <v>741.6391992026779</v>
      </c>
    </row>
    <row r="421" spans="1:12" hidden="1" x14ac:dyDescent="0.25">
      <c r="A421">
        <v>443</v>
      </c>
      <c r="B421" t="s">
        <v>2605</v>
      </c>
      <c r="C421" t="s">
        <v>2606</v>
      </c>
      <c r="D421" t="s">
        <v>3027</v>
      </c>
      <c r="E421" t="str">
        <f>_xlfn.XLOOKUP(F421, Keys!B:B, Keys!A:A, "找不到")</f>
        <v>FA</v>
      </c>
      <c r="F421" t="s">
        <v>63</v>
      </c>
      <c r="G421">
        <v>0.81403202429823207</v>
      </c>
      <c r="H421" t="s">
        <v>64</v>
      </c>
      <c r="I421" t="s">
        <v>65</v>
      </c>
      <c r="J421" t="s">
        <v>3097</v>
      </c>
      <c r="K421">
        <v>0</v>
      </c>
      <c r="L421">
        <v>236.27890946767269</v>
      </c>
    </row>
    <row r="422" spans="1:12" hidden="1" x14ac:dyDescent="0.25">
      <c r="A422">
        <v>444</v>
      </c>
      <c r="B422" t="s">
        <v>2605</v>
      </c>
      <c r="C422" t="s">
        <v>2606</v>
      </c>
      <c r="D422">
        <v>0</v>
      </c>
      <c r="E422" t="str">
        <f>_xlfn.XLOOKUP(F422, Keys!B:B, Keys!A:A, "找不到")</f>
        <v>FA</v>
      </c>
      <c r="F422" t="s">
        <v>63</v>
      </c>
      <c r="G422">
        <v>10.70954482705714</v>
      </c>
      <c r="H422" t="s">
        <v>64</v>
      </c>
      <c r="I422" t="s">
        <v>65</v>
      </c>
      <c r="J422" t="s">
        <v>3191</v>
      </c>
      <c r="K422">
        <v>0</v>
      </c>
      <c r="L422">
        <v>919.67350807615799</v>
      </c>
    </row>
    <row r="423" spans="1:12" hidden="1" x14ac:dyDescent="0.25">
      <c r="A423">
        <v>449</v>
      </c>
      <c r="B423" t="s">
        <v>2605</v>
      </c>
      <c r="C423" t="s">
        <v>2606</v>
      </c>
      <c r="D423">
        <v>0</v>
      </c>
      <c r="E423" t="str">
        <f>_xlfn.XLOOKUP(F423, Keys!B:B, Keys!A:A, "找不到")</f>
        <v>FA</v>
      </c>
      <c r="F423" t="s">
        <v>63</v>
      </c>
      <c r="G423">
        <v>10.68176714783676</v>
      </c>
      <c r="H423" t="s">
        <v>64</v>
      </c>
      <c r="I423" t="s">
        <v>65</v>
      </c>
      <c r="J423" t="s">
        <v>3307</v>
      </c>
      <c r="K423">
        <v>0</v>
      </c>
      <c r="L423">
        <v>1120.179922803942</v>
      </c>
    </row>
    <row r="424" spans="1:12" hidden="1" x14ac:dyDescent="0.25">
      <c r="A424">
        <v>451</v>
      </c>
      <c r="B424" t="s">
        <v>2605</v>
      </c>
      <c r="C424" t="s">
        <v>2606</v>
      </c>
      <c r="D424">
        <v>0</v>
      </c>
      <c r="E424" t="str">
        <f>_xlfn.XLOOKUP(F424, Keys!B:B, Keys!A:A, "找不到")</f>
        <v>FA</v>
      </c>
      <c r="F424" t="s">
        <v>63</v>
      </c>
      <c r="G424">
        <v>7.2572639764511573</v>
      </c>
      <c r="H424" t="s">
        <v>64</v>
      </c>
      <c r="I424" t="s">
        <v>65</v>
      </c>
      <c r="J424" t="s">
        <v>3311</v>
      </c>
      <c r="K424">
        <v>0</v>
      </c>
      <c r="L424">
        <v>730.01175424314681</v>
      </c>
    </row>
    <row r="425" spans="1:12" hidden="1" x14ac:dyDescent="0.25">
      <c r="A425">
        <v>452</v>
      </c>
      <c r="B425" t="s">
        <v>2605</v>
      </c>
      <c r="C425" t="s">
        <v>2606</v>
      </c>
      <c r="D425">
        <v>0</v>
      </c>
      <c r="E425" t="str">
        <f>_xlfn.XLOOKUP(F425, Keys!B:B, Keys!A:A, "找不到")</f>
        <v>FA</v>
      </c>
      <c r="F425" t="s">
        <v>63</v>
      </c>
      <c r="G425">
        <v>5.4485331683474767</v>
      </c>
      <c r="H425" t="s">
        <v>64</v>
      </c>
      <c r="I425" t="s">
        <v>65</v>
      </c>
      <c r="J425" t="s">
        <v>3313</v>
      </c>
      <c r="K425">
        <v>0</v>
      </c>
      <c r="L425">
        <v>611.92385567466351</v>
      </c>
    </row>
    <row r="426" spans="1:12" hidden="1" x14ac:dyDescent="0.25">
      <c r="A426">
        <v>456</v>
      </c>
      <c r="B426" t="s">
        <v>2605</v>
      </c>
      <c r="C426" t="s">
        <v>2606</v>
      </c>
      <c r="D426" t="s">
        <v>2702</v>
      </c>
      <c r="E426" t="str">
        <f>_xlfn.XLOOKUP(F426, Keys!B:B, Keys!A:A, "找不到")</f>
        <v>FA</v>
      </c>
      <c r="F426" t="s">
        <v>63</v>
      </c>
      <c r="G426">
        <v>0.1179315678526756</v>
      </c>
      <c r="H426" t="s">
        <v>64</v>
      </c>
      <c r="I426" t="s">
        <v>65</v>
      </c>
      <c r="J426" t="s">
        <v>2883</v>
      </c>
      <c r="K426">
        <v>0</v>
      </c>
      <c r="L426">
        <v>106.8998000308287</v>
      </c>
    </row>
    <row r="427" spans="1:12" hidden="1" x14ac:dyDescent="0.25">
      <c r="A427">
        <v>458</v>
      </c>
      <c r="B427" t="s">
        <v>2605</v>
      </c>
      <c r="C427" t="s">
        <v>2606</v>
      </c>
      <c r="D427">
        <v>0</v>
      </c>
      <c r="E427" t="str">
        <f>_xlfn.XLOOKUP(F427, Keys!B:B, Keys!A:A, "找不到")</f>
        <v>FA</v>
      </c>
      <c r="F427" t="s">
        <v>63</v>
      </c>
      <c r="G427">
        <v>0.93886575820566476</v>
      </c>
      <c r="H427" t="s">
        <v>64</v>
      </c>
      <c r="I427" t="s">
        <v>65</v>
      </c>
      <c r="J427" t="s">
        <v>3313</v>
      </c>
      <c r="K427">
        <v>0</v>
      </c>
      <c r="L427">
        <v>392.07926295501989</v>
      </c>
    </row>
    <row r="428" spans="1:12" hidden="1" x14ac:dyDescent="0.25">
      <c r="A428">
        <v>460</v>
      </c>
      <c r="B428" t="s">
        <v>2605</v>
      </c>
      <c r="C428" t="s">
        <v>2606</v>
      </c>
      <c r="D428">
        <v>0</v>
      </c>
      <c r="E428" t="str">
        <f>_xlfn.XLOOKUP(F428, Keys!B:B, Keys!A:A, "找不到")</f>
        <v>FA</v>
      </c>
      <c r="F428" t="s">
        <v>63</v>
      </c>
      <c r="G428">
        <v>13.33431203773014</v>
      </c>
      <c r="H428" t="s">
        <v>64</v>
      </c>
      <c r="I428" t="s">
        <v>65</v>
      </c>
      <c r="J428" t="s">
        <v>3191</v>
      </c>
      <c r="K428">
        <v>0</v>
      </c>
      <c r="L428">
        <v>1018.522700021615</v>
      </c>
    </row>
    <row r="429" spans="1:12" hidden="1" x14ac:dyDescent="0.25">
      <c r="A429">
        <v>463</v>
      </c>
      <c r="B429" t="s">
        <v>2605</v>
      </c>
      <c r="C429" t="s">
        <v>2606</v>
      </c>
      <c r="D429">
        <v>0</v>
      </c>
      <c r="E429" t="str">
        <f>_xlfn.XLOOKUP(F429, Keys!B:B, Keys!A:A, "找不到")</f>
        <v>FA</v>
      </c>
      <c r="F429" t="s">
        <v>63</v>
      </c>
      <c r="G429">
        <v>10.7470798614834</v>
      </c>
      <c r="H429" t="s">
        <v>64</v>
      </c>
      <c r="I429" t="s">
        <v>65</v>
      </c>
      <c r="J429" t="s">
        <v>3332</v>
      </c>
      <c r="K429">
        <v>0</v>
      </c>
      <c r="L429">
        <v>854.2873315340039</v>
      </c>
    </row>
    <row r="430" spans="1:12" hidden="1" x14ac:dyDescent="0.25">
      <c r="A430">
        <v>465</v>
      </c>
      <c r="B430" t="s">
        <v>2605</v>
      </c>
      <c r="C430" t="s">
        <v>2606</v>
      </c>
      <c r="D430">
        <v>0</v>
      </c>
      <c r="E430" t="str">
        <f>_xlfn.XLOOKUP(F430, Keys!B:B, Keys!A:A, "找不到")</f>
        <v>FA</v>
      </c>
      <c r="F430" t="s">
        <v>63</v>
      </c>
      <c r="G430">
        <v>7.1606750112150053</v>
      </c>
      <c r="H430" t="s">
        <v>64</v>
      </c>
      <c r="I430" t="s">
        <v>65</v>
      </c>
      <c r="J430" t="s">
        <v>3311</v>
      </c>
      <c r="K430">
        <v>0</v>
      </c>
      <c r="L430">
        <v>813.45368643847064</v>
      </c>
    </row>
    <row r="431" spans="1:12" hidden="1" x14ac:dyDescent="0.25">
      <c r="A431">
        <v>467</v>
      </c>
      <c r="B431" t="s">
        <v>2605</v>
      </c>
      <c r="C431" t="s">
        <v>2606</v>
      </c>
      <c r="D431">
        <v>0</v>
      </c>
      <c r="E431" t="str">
        <f>_xlfn.XLOOKUP(F431, Keys!B:B, Keys!A:A, "找不到")</f>
        <v>FA</v>
      </c>
      <c r="F431" t="s">
        <v>63</v>
      </c>
      <c r="G431">
        <v>6.6026463670155788</v>
      </c>
      <c r="H431" t="s">
        <v>64</v>
      </c>
      <c r="I431" t="s">
        <v>65</v>
      </c>
      <c r="J431" t="s">
        <v>3339</v>
      </c>
      <c r="K431">
        <v>0</v>
      </c>
      <c r="L431">
        <v>1075.8512803625761</v>
      </c>
    </row>
    <row r="432" spans="1:12" hidden="1" x14ac:dyDescent="0.25">
      <c r="A432">
        <v>471</v>
      </c>
      <c r="B432" t="s">
        <v>2605</v>
      </c>
      <c r="C432" t="s">
        <v>2606</v>
      </c>
      <c r="D432">
        <v>0</v>
      </c>
      <c r="E432" t="str">
        <f>_xlfn.XLOOKUP(F432, Keys!B:B, Keys!A:A, "找不到")</f>
        <v>FA</v>
      </c>
      <c r="F432" t="s">
        <v>63</v>
      </c>
      <c r="G432">
        <v>0.25503369891696642</v>
      </c>
      <c r="H432" t="s">
        <v>64</v>
      </c>
      <c r="I432" t="s">
        <v>65</v>
      </c>
      <c r="J432" t="s">
        <v>3339</v>
      </c>
      <c r="K432">
        <v>0</v>
      </c>
      <c r="L432">
        <v>134.74904007057731</v>
      </c>
    </row>
    <row r="433" spans="1:12" hidden="1" x14ac:dyDescent="0.25">
      <c r="A433">
        <v>472</v>
      </c>
      <c r="B433" t="s">
        <v>2605</v>
      </c>
      <c r="C433" t="s">
        <v>2606</v>
      </c>
      <c r="D433">
        <v>0</v>
      </c>
      <c r="E433" t="str">
        <f>_xlfn.XLOOKUP(F433, Keys!B:B, Keys!A:A, "找不到")</f>
        <v>FA</v>
      </c>
      <c r="F433" t="s">
        <v>63</v>
      </c>
      <c r="G433">
        <v>7.3381620440509678</v>
      </c>
      <c r="H433" t="s">
        <v>64</v>
      </c>
      <c r="I433" t="s">
        <v>65</v>
      </c>
      <c r="J433" t="s">
        <v>673</v>
      </c>
      <c r="K433">
        <v>0</v>
      </c>
      <c r="L433">
        <v>875.3985111427894</v>
      </c>
    </row>
    <row r="434" spans="1:12" hidden="1" x14ac:dyDescent="0.25">
      <c r="A434">
        <v>475</v>
      </c>
      <c r="B434" t="s">
        <v>2605</v>
      </c>
      <c r="C434" t="s">
        <v>2606</v>
      </c>
      <c r="D434">
        <v>0</v>
      </c>
      <c r="E434" t="str">
        <f>_xlfn.XLOOKUP(F434, Keys!B:B, Keys!A:A, "找不到")</f>
        <v>FA</v>
      </c>
      <c r="F434" t="s">
        <v>63</v>
      </c>
      <c r="G434">
        <v>0.26780151384968842</v>
      </c>
      <c r="H434" t="s">
        <v>64</v>
      </c>
      <c r="I434" t="s">
        <v>65</v>
      </c>
      <c r="J434" t="s">
        <v>3351</v>
      </c>
      <c r="K434">
        <v>0</v>
      </c>
      <c r="L434">
        <v>168.32376649217829</v>
      </c>
    </row>
    <row r="435" spans="1:12" hidden="1" x14ac:dyDescent="0.25">
      <c r="A435">
        <v>477</v>
      </c>
      <c r="B435" t="s">
        <v>2605</v>
      </c>
      <c r="C435" t="s">
        <v>2606</v>
      </c>
      <c r="D435">
        <v>0</v>
      </c>
      <c r="E435" t="str">
        <f>_xlfn.XLOOKUP(F435, Keys!B:B, Keys!A:A, "找不到")</f>
        <v>FA</v>
      </c>
      <c r="F435" t="s">
        <v>63</v>
      </c>
      <c r="G435">
        <v>9.1631467061028121E-2</v>
      </c>
      <c r="H435" t="s">
        <v>64</v>
      </c>
      <c r="I435" t="s">
        <v>65</v>
      </c>
      <c r="J435" t="s">
        <v>3357</v>
      </c>
      <c r="K435">
        <v>0</v>
      </c>
      <c r="L435">
        <v>146.83921874930061</v>
      </c>
    </row>
    <row r="436" spans="1:12" hidden="1" x14ac:dyDescent="0.25">
      <c r="A436">
        <v>489</v>
      </c>
      <c r="B436" t="s">
        <v>2605</v>
      </c>
      <c r="C436" t="s">
        <v>2606</v>
      </c>
      <c r="D436">
        <v>0</v>
      </c>
      <c r="E436" t="str">
        <f>_xlfn.XLOOKUP(F436, Keys!B:B, Keys!A:A, "找不到")</f>
        <v>FA</v>
      </c>
      <c r="F436" t="s">
        <v>63</v>
      </c>
      <c r="G436">
        <v>2.0525894195526408</v>
      </c>
      <c r="H436" t="s">
        <v>64</v>
      </c>
      <c r="I436" t="s">
        <v>65</v>
      </c>
      <c r="J436" t="s">
        <v>3376</v>
      </c>
      <c r="K436">
        <v>0</v>
      </c>
      <c r="L436">
        <v>461.86618479565908</v>
      </c>
    </row>
    <row r="437" spans="1:12" hidden="1" x14ac:dyDescent="0.25">
      <c r="A437">
        <v>497</v>
      </c>
      <c r="B437" t="s">
        <v>2605</v>
      </c>
      <c r="C437" t="s">
        <v>2606</v>
      </c>
      <c r="D437" t="s">
        <v>3027</v>
      </c>
      <c r="E437" t="str">
        <f>_xlfn.XLOOKUP(F437, Keys!B:B, Keys!A:A, "找不到")</f>
        <v>FA</v>
      </c>
      <c r="F437" t="s">
        <v>63</v>
      </c>
      <c r="G437">
        <v>0.30983276887955857</v>
      </c>
      <c r="H437" t="s">
        <v>64</v>
      </c>
      <c r="I437" t="s">
        <v>65</v>
      </c>
      <c r="J437" t="s">
        <v>3097</v>
      </c>
      <c r="K437">
        <v>0</v>
      </c>
      <c r="L437">
        <v>324.07080271833172</v>
      </c>
    </row>
    <row r="438" spans="1:12" hidden="1" x14ac:dyDescent="0.25">
      <c r="A438">
        <v>498</v>
      </c>
      <c r="B438" t="s">
        <v>2605</v>
      </c>
      <c r="C438" t="s">
        <v>2606</v>
      </c>
      <c r="D438" t="s">
        <v>3027</v>
      </c>
      <c r="E438" t="str">
        <f>_xlfn.XLOOKUP(F438, Keys!B:B, Keys!A:A, "找不到")</f>
        <v>FA</v>
      </c>
      <c r="F438" t="s">
        <v>63</v>
      </c>
      <c r="G438">
        <v>0.88821318214685818</v>
      </c>
      <c r="H438" t="s">
        <v>64</v>
      </c>
      <c r="I438" t="s">
        <v>65</v>
      </c>
      <c r="J438" t="s">
        <v>3097</v>
      </c>
      <c r="K438">
        <v>0</v>
      </c>
      <c r="L438">
        <v>559.09194752265012</v>
      </c>
    </row>
    <row r="439" spans="1:12" hidden="1" x14ac:dyDescent="0.25">
      <c r="A439">
        <v>500</v>
      </c>
      <c r="B439" t="s">
        <v>2605</v>
      </c>
      <c r="C439" t="s">
        <v>2606</v>
      </c>
      <c r="D439" t="s">
        <v>3027</v>
      </c>
      <c r="E439" t="str">
        <f>_xlfn.XLOOKUP(F439, Keys!B:B, Keys!A:A, "找不到")</f>
        <v>FA</v>
      </c>
      <c r="F439" t="s">
        <v>63</v>
      </c>
      <c r="G439">
        <v>2.0498613352622601</v>
      </c>
      <c r="H439" t="s">
        <v>64</v>
      </c>
      <c r="I439" t="s">
        <v>65</v>
      </c>
      <c r="J439" t="s">
        <v>3097</v>
      </c>
      <c r="K439">
        <v>0</v>
      </c>
      <c r="L439">
        <v>592.58056801703583</v>
      </c>
    </row>
    <row r="440" spans="1:12" hidden="1" x14ac:dyDescent="0.25">
      <c r="A440">
        <v>505</v>
      </c>
      <c r="B440" t="s">
        <v>2605</v>
      </c>
      <c r="C440" t="s">
        <v>2606</v>
      </c>
      <c r="D440" t="s">
        <v>3027</v>
      </c>
      <c r="E440" t="str">
        <f>_xlfn.XLOOKUP(F440, Keys!B:B, Keys!A:A, "找不到")</f>
        <v>FA</v>
      </c>
      <c r="F440" t="s">
        <v>63</v>
      </c>
      <c r="G440">
        <v>5.2664030013816294</v>
      </c>
      <c r="H440" t="s">
        <v>64</v>
      </c>
      <c r="I440" t="s">
        <v>65</v>
      </c>
      <c r="J440" t="s">
        <v>3097</v>
      </c>
      <c r="K440">
        <v>0</v>
      </c>
      <c r="L440">
        <v>730.05244127482911</v>
      </c>
    </row>
    <row r="441" spans="1:12" hidden="1" x14ac:dyDescent="0.25">
      <c r="A441">
        <v>522</v>
      </c>
      <c r="B441" t="s">
        <v>2605</v>
      </c>
      <c r="C441" t="s">
        <v>2606</v>
      </c>
      <c r="D441" t="s">
        <v>2702</v>
      </c>
      <c r="E441" t="str">
        <f>_xlfn.XLOOKUP(F441, Keys!B:B, Keys!A:A, "找不到")</f>
        <v>FA</v>
      </c>
      <c r="F441" t="s">
        <v>63</v>
      </c>
      <c r="G441">
        <v>2.787129655040999</v>
      </c>
      <c r="H441" t="s">
        <v>64</v>
      </c>
      <c r="I441" t="s">
        <v>65</v>
      </c>
      <c r="J441" t="s">
        <v>3419</v>
      </c>
      <c r="K441">
        <v>0</v>
      </c>
      <c r="L441">
        <v>1146.858175940886</v>
      </c>
    </row>
    <row r="442" spans="1:12" hidden="1" x14ac:dyDescent="0.25">
      <c r="A442">
        <v>525</v>
      </c>
      <c r="B442" t="s">
        <v>2605</v>
      </c>
      <c r="C442" t="s">
        <v>2606</v>
      </c>
      <c r="D442">
        <v>0</v>
      </c>
      <c r="E442" t="str">
        <f>_xlfn.XLOOKUP(F442, Keys!B:B, Keys!A:A, "找不到")</f>
        <v>FA</v>
      </c>
      <c r="F442" t="s">
        <v>63</v>
      </c>
      <c r="G442">
        <v>0.39020843677762063</v>
      </c>
      <c r="H442" t="s">
        <v>64</v>
      </c>
      <c r="I442" t="s">
        <v>65</v>
      </c>
      <c r="J442" t="s">
        <v>3424</v>
      </c>
      <c r="K442">
        <v>0</v>
      </c>
      <c r="L442">
        <v>152.41459522853751</v>
      </c>
    </row>
    <row r="443" spans="1:12" hidden="1" x14ac:dyDescent="0.25">
      <c r="A443">
        <v>526</v>
      </c>
      <c r="B443" t="s">
        <v>2605</v>
      </c>
      <c r="C443" t="s">
        <v>2606</v>
      </c>
      <c r="D443">
        <v>0</v>
      </c>
      <c r="E443" t="str">
        <f>_xlfn.XLOOKUP(F443, Keys!B:B, Keys!A:A, "找不到")</f>
        <v>FA</v>
      </c>
      <c r="F443" t="s">
        <v>63</v>
      </c>
      <c r="G443">
        <v>3.3851919347459472</v>
      </c>
      <c r="H443" t="s">
        <v>64</v>
      </c>
      <c r="I443" t="s">
        <v>65</v>
      </c>
      <c r="J443" t="s">
        <v>3427</v>
      </c>
      <c r="K443">
        <v>0</v>
      </c>
      <c r="L443">
        <v>555.7204982915332</v>
      </c>
    </row>
    <row r="444" spans="1:12" hidden="1" x14ac:dyDescent="0.25">
      <c r="A444">
        <v>538</v>
      </c>
      <c r="B444" t="s">
        <v>2605</v>
      </c>
      <c r="C444" t="s">
        <v>2606</v>
      </c>
      <c r="D444" t="s">
        <v>2702</v>
      </c>
      <c r="E444" t="str">
        <f>_xlfn.XLOOKUP(F444, Keys!B:B, Keys!A:A, "找不到")</f>
        <v>FA</v>
      </c>
      <c r="F444" t="s">
        <v>63</v>
      </c>
      <c r="G444">
        <v>0.81150314505986065</v>
      </c>
      <c r="H444" t="s">
        <v>64</v>
      </c>
      <c r="I444" t="s">
        <v>65</v>
      </c>
      <c r="J444" t="s">
        <v>2883</v>
      </c>
      <c r="K444">
        <v>0</v>
      </c>
      <c r="L444">
        <v>236.01317678227329</v>
      </c>
    </row>
    <row r="445" spans="1:12" hidden="1" x14ac:dyDescent="0.25">
      <c r="A445">
        <v>541</v>
      </c>
      <c r="B445" t="s">
        <v>2605</v>
      </c>
      <c r="C445" t="s">
        <v>2606</v>
      </c>
      <c r="D445">
        <v>0</v>
      </c>
      <c r="E445" t="str">
        <f>_xlfn.XLOOKUP(F445, Keys!B:B, Keys!A:A, "找不到")</f>
        <v>FA</v>
      </c>
      <c r="F445" t="s">
        <v>63</v>
      </c>
      <c r="G445">
        <v>0.36842792115341488</v>
      </c>
      <c r="H445" t="s">
        <v>64</v>
      </c>
      <c r="I445" t="s">
        <v>65</v>
      </c>
      <c r="J445" t="s">
        <v>3452</v>
      </c>
      <c r="K445">
        <v>0</v>
      </c>
      <c r="L445">
        <v>182.0161016410978</v>
      </c>
    </row>
    <row r="446" spans="1:12" hidden="1" x14ac:dyDescent="0.25">
      <c r="A446">
        <v>561</v>
      </c>
      <c r="B446" t="s">
        <v>2605</v>
      </c>
      <c r="C446" t="s">
        <v>2606</v>
      </c>
      <c r="D446">
        <v>0</v>
      </c>
      <c r="E446" t="str">
        <f>_xlfn.XLOOKUP(F446, Keys!B:B, Keys!A:A, "找不到")</f>
        <v>FA</v>
      </c>
      <c r="F446" t="s">
        <v>63</v>
      </c>
      <c r="G446">
        <v>0.13082422645899849</v>
      </c>
      <c r="H446" t="s">
        <v>64</v>
      </c>
      <c r="I446" t="s">
        <v>65</v>
      </c>
      <c r="J446" t="s">
        <v>2691</v>
      </c>
      <c r="K446">
        <v>0</v>
      </c>
      <c r="L446">
        <v>140.1447807149691</v>
      </c>
    </row>
    <row r="447" spans="1:12" hidden="1" x14ac:dyDescent="0.25">
      <c r="A447">
        <v>564</v>
      </c>
      <c r="B447" t="s">
        <v>2605</v>
      </c>
      <c r="C447" t="s">
        <v>2606</v>
      </c>
      <c r="D447">
        <v>0</v>
      </c>
      <c r="E447" t="str">
        <f>_xlfn.XLOOKUP(F447, Keys!B:B, Keys!A:A, "找不到")</f>
        <v>FA</v>
      </c>
      <c r="F447" t="s">
        <v>63</v>
      </c>
      <c r="G447">
        <v>2.7880875697230429E-2</v>
      </c>
      <c r="H447" t="s">
        <v>64</v>
      </c>
      <c r="I447" t="s">
        <v>65</v>
      </c>
      <c r="J447" t="s">
        <v>2691</v>
      </c>
      <c r="K447">
        <v>0</v>
      </c>
      <c r="L447">
        <v>42.676888221726969</v>
      </c>
    </row>
    <row r="448" spans="1:12" hidden="1" x14ac:dyDescent="0.25">
      <c r="A448">
        <v>567</v>
      </c>
      <c r="B448" t="s">
        <v>2605</v>
      </c>
      <c r="C448" t="s">
        <v>2606</v>
      </c>
      <c r="D448">
        <v>0</v>
      </c>
      <c r="E448" t="str">
        <f>_xlfn.XLOOKUP(F448, Keys!B:B, Keys!A:A, "找不到")</f>
        <v>FA</v>
      </c>
      <c r="F448" t="s">
        <v>63</v>
      </c>
      <c r="G448">
        <v>4.113812294368082E-2</v>
      </c>
      <c r="H448" t="s">
        <v>64</v>
      </c>
      <c r="I448" t="s">
        <v>65</v>
      </c>
      <c r="J448" t="s">
        <v>2747</v>
      </c>
      <c r="K448">
        <v>0</v>
      </c>
      <c r="L448">
        <v>58.70667188529049</v>
      </c>
    </row>
    <row r="449" spans="1:12" hidden="1" x14ac:dyDescent="0.25">
      <c r="A449">
        <v>568</v>
      </c>
      <c r="B449" t="s">
        <v>2605</v>
      </c>
      <c r="C449" t="s">
        <v>2606</v>
      </c>
      <c r="D449">
        <v>0</v>
      </c>
      <c r="E449" t="str">
        <f>_xlfn.XLOOKUP(F449, Keys!B:B, Keys!A:A, "找不到")</f>
        <v>FA</v>
      </c>
      <c r="F449" t="s">
        <v>63</v>
      </c>
      <c r="G449">
        <v>0.15787708684806059</v>
      </c>
      <c r="H449" t="s">
        <v>64</v>
      </c>
      <c r="I449" t="s">
        <v>65</v>
      </c>
      <c r="J449" t="s">
        <v>2747</v>
      </c>
      <c r="K449">
        <v>0</v>
      </c>
      <c r="L449">
        <v>134.24465729928309</v>
      </c>
    </row>
    <row r="450" spans="1:12" hidden="1" x14ac:dyDescent="0.25">
      <c r="A450">
        <v>569</v>
      </c>
      <c r="B450" t="s">
        <v>2605</v>
      </c>
      <c r="C450" t="s">
        <v>2606</v>
      </c>
      <c r="D450">
        <v>0</v>
      </c>
      <c r="E450" t="str">
        <f>_xlfn.XLOOKUP(F450, Keys!B:B, Keys!A:A, "找不到")</f>
        <v>FA</v>
      </c>
      <c r="F450" t="s">
        <v>63</v>
      </c>
      <c r="G450">
        <v>0.20456178930830099</v>
      </c>
      <c r="H450" t="s">
        <v>64</v>
      </c>
      <c r="I450" t="s">
        <v>65</v>
      </c>
      <c r="J450" t="s">
        <v>2691</v>
      </c>
      <c r="K450">
        <v>0</v>
      </c>
      <c r="L450">
        <v>128.6611343466632</v>
      </c>
    </row>
    <row r="451" spans="1:12" hidden="1" x14ac:dyDescent="0.25">
      <c r="A451">
        <v>574</v>
      </c>
      <c r="B451" t="s">
        <v>2605</v>
      </c>
      <c r="C451" t="s">
        <v>2606</v>
      </c>
      <c r="D451">
        <v>0</v>
      </c>
      <c r="E451" t="str">
        <f>_xlfn.XLOOKUP(F451, Keys!B:B, Keys!A:A, "找不到")</f>
        <v>FA</v>
      </c>
      <c r="F451" t="s">
        <v>63</v>
      </c>
      <c r="G451">
        <v>5.6107737798405131E-2</v>
      </c>
      <c r="H451" t="s">
        <v>64</v>
      </c>
      <c r="I451" t="s">
        <v>65</v>
      </c>
      <c r="J451" t="s">
        <v>2747</v>
      </c>
      <c r="K451">
        <v>0</v>
      </c>
      <c r="L451">
        <v>69.044794576813302</v>
      </c>
    </row>
    <row r="452" spans="1:12" hidden="1" x14ac:dyDescent="0.25">
      <c r="A452">
        <v>576</v>
      </c>
      <c r="B452" t="s">
        <v>2605</v>
      </c>
      <c r="C452" t="s">
        <v>2606</v>
      </c>
      <c r="D452">
        <v>0</v>
      </c>
      <c r="E452" t="str">
        <f>_xlfn.XLOOKUP(F452, Keys!B:B, Keys!A:A, "找不到")</f>
        <v>FA</v>
      </c>
      <c r="F452" t="s">
        <v>63</v>
      </c>
      <c r="G452">
        <v>0.32300182204741262</v>
      </c>
      <c r="H452" t="s">
        <v>64</v>
      </c>
      <c r="I452" t="s">
        <v>65</v>
      </c>
      <c r="J452" t="s">
        <v>57</v>
      </c>
      <c r="K452">
        <v>0</v>
      </c>
      <c r="L452">
        <v>155.07329336161979</v>
      </c>
    </row>
    <row r="453" spans="1:12" hidden="1" x14ac:dyDescent="0.25">
      <c r="A453">
        <v>577</v>
      </c>
      <c r="B453" t="s">
        <v>2605</v>
      </c>
      <c r="C453" t="s">
        <v>2606</v>
      </c>
      <c r="D453">
        <v>0</v>
      </c>
      <c r="E453" t="str">
        <f>_xlfn.XLOOKUP(F453, Keys!B:B, Keys!A:A, "找不到")</f>
        <v>FA</v>
      </c>
      <c r="F453" t="s">
        <v>63</v>
      </c>
      <c r="G453">
        <v>0.34918882885584029</v>
      </c>
      <c r="H453" t="s">
        <v>64</v>
      </c>
      <c r="I453" t="s">
        <v>65</v>
      </c>
      <c r="J453" t="s">
        <v>57</v>
      </c>
      <c r="K453">
        <v>0</v>
      </c>
      <c r="L453">
        <v>146.01162595455301</v>
      </c>
    </row>
    <row r="454" spans="1:12" hidden="1" x14ac:dyDescent="0.25">
      <c r="A454">
        <v>578</v>
      </c>
      <c r="B454" t="s">
        <v>2605</v>
      </c>
      <c r="C454" t="s">
        <v>2606</v>
      </c>
      <c r="D454">
        <v>0</v>
      </c>
      <c r="E454" t="str">
        <f>_xlfn.XLOOKUP(F454, Keys!B:B, Keys!A:A, "找不到")</f>
        <v>FA</v>
      </c>
      <c r="F454" t="s">
        <v>63</v>
      </c>
      <c r="G454">
        <v>0.1049554422442264</v>
      </c>
      <c r="H454" t="s">
        <v>64</v>
      </c>
      <c r="I454" t="s">
        <v>65</v>
      </c>
      <c r="J454" t="s">
        <v>2747</v>
      </c>
      <c r="K454">
        <v>0</v>
      </c>
      <c r="L454">
        <v>93.860791330036022</v>
      </c>
    </row>
    <row r="455" spans="1:12" hidden="1" x14ac:dyDescent="0.25">
      <c r="A455">
        <v>579</v>
      </c>
      <c r="B455" t="s">
        <v>2605</v>
      </c>
      <c r="C455" t="s">
        <v>2606</v>
      </c>
      <c r="D455">
        <v>0</v>
      </c>
      <c r="E455" t="str">
        <f>_xlfn.XLOOKUP(F455, Keys!B:B, Keys!A:A, "找不到")</f>
        <v>FA</v>
      </c>
      <c r="F455" t="s">
        <v>63</v>
      </c>
      <c r="G455">
        <v>2.1836567221366499E-2</v>
      </c>
      <c r="H455" t="s">
        <v>64</v>
      </c>
      <c r="I455" t="s">
        <v>65</v>
      </c>
      <c r="J455" t="s">
        <v>2747</v>
      </c>
      <c r="K455">
        <v>0</v>
      </c>
      <c r="L455">
        <v>44.401758280998941</v>
      </c>
    </row>
    <row r="456" spans="1:12" hidden="1" x14ac:dyDescent="0.25">
      <c r="A456">
        <v>581</v>
      </c>
      <c r="B456" t="s">
        <v>2605</v>
      </c>
      <c r="C456" t="s">
        <v>2606</v>
      </c>
      <c r="D456">
        <v>0</v>
      </c>
      <c r="E456" t="str">
        <f>_xlfn.XLOOKUP(F456, Keys!B:B, Keys!A:A, "找不到")</f>
        <v>FA</v>
      </c>
      <c r="F456" t="s">
        <v>63</v>
      </c>
      <c r="G456">
        <v>0.190808281817446</v>
      </c>
      <c r="H456" t="s">
        <v>64</v>
      </c>
      <c r="I456" t="s">
        <v>65</v>
      </c>
      <c r="J456" t="s">
        <v>2691</v>
      </c>
      <c r="K456">
        <v>0</v>
      </c>
      <c r="L456">
        <v>112.97530535328779</v>
      </c>
    </row>
    <row r="457" spans="1:12" hidden="1" x14ac:dyDescent="0.25">
      <c r="A457">
        <v>590</v>
      </c>
      <c r="B457" t="s">
        <v>2605</v>
      </c>
      <c r="C457" t="s">
        <v>2606</v>
      </c>
      <c r="D457">
        <v>0</v>
      </c>
      <c r="E457" t="str">
        <f>_xlfn.XLOOKUP(F457, Keys!B:B, Keys!A:A, "找不到")</f>
        <v>FA</v>
      </c>
      <c r="F457" t="s">
        <v>63</v>
      </c>
      <c r="G457">
        <v>0.43139925563939602</v>
      </c>
      <c r="H457" t="s">
        <v>64</v>
      </c>
      <c r="I457" t="s">
        <v>65</v>
      </c>
      <c r="J457" t="s">
        <v>3452</v>
      </c>
      <c r="K457">
        <v>0</v>
      </c>
      <c r="L457">
        <v>173.15670501002819</v>
      </c>
    </row>
    <row r="458" spans="1:12" hidden="1" x14ac:dyDescent="0.25">
      <c r="A458">
        <v>591</v>
      </c>
      <c r="B458" t="s">
        <v>2605</v>
      </c>
      <c r="C458" t="s">
        <v>2606</v>
      </c>
      <c r="D458">
        <v>0</v>
      </c>
      <c r="E458" t="str">
        <f>_xlfn.XLOOKUP(F458, Keys!B:B, Keys!A:A, "找不到")</f>
        <v>FA</v>
      </c>
      <c r="F458" t="s">
        <v>63</v>
      </c>
      <c r="G458">
        <v>0.1043814188467742</v>
      </c>
      <c r="H458" t="s">
        <v>64</v>
      </c>
      <c r="I458" t="s">
        <v>65</v>
      </c>
      <c r="J458" t="s">
        <v>3452</v>
      </c>
      <c r="K458">
        <v>0</v>
      </c>
      <c r="L458">
        <v>126.133430774256</v>
      </c>
    </row>
    <row r="459" spans="1:12" hidden="1" x14ac:dyDescent="0.25">
      <c r="A459">
        <v>601</v>
      </c>
      <c r="B459" t="s">
        <v>2605</v>
      </c>
      <c r="C459" t="s">
        <v>2606</v>
      </c>
      <c r="D459">
        <v>0</v>
      </c>
      <c r="E459" t="str">
        <f>_xlfn.XLOOKUP(F459, Keys!B:B, Keys!A:A, "找不到")</f>
        <v>FA</v>
      </c>
      <c r="F459" t="s">
        <v>63</v>
      </c>
      <c r="G459">
        <v>1.3170247552631571</v>
      </c>
      <c r="H459" t="s">
        <v>64</v>
      </c>
      <c r="I459" t="s">
        <v>65</v>
      </c>
      <c r="J459" t="s">
        <v>3534</v>
      </c>
      <c r="K459">
        <v>0</v>
      </c>
      <c r="L459">
        <v>398.79743684393821</v>
      </c>
    </row>
    <row r="460" spans="1:12" hidden="1" x14ac:dyDescent="0.25">
      <c r="A460">
        <v>602</v>
      </c>
      <c r="B460" t="s">
        <v>2605</v>
      </c>
      <c r="C460" t="s">
        <v>2606</v>
      </c>
      <c r="D460">
        <v>0</v>
      </c>
      <c r="E460" t="str">
        <f>_xlfn.XLOOKUP(F460, Keys!B:B, Keys!A:A, "找不到")</f>
        <v>FA</v>
      </c>
      <c r="F460" t="s">
        <v>63</v>
      </c>
      <c r="G460">
        <v>0.1181844548074578</v>
      </c>
      <c r="H460" t="s">
        <v>64</v>
      </c>
      <c r="I460" t="s">
        <v>65</v>
      </c>
      <c r="J460" t="s">
        <v>3534</v>
      </c>
      <c r="K460">
        <v>0</v>
      </c>
      <c r="L460">
        <v>101.10855878730619</v>
      </c>
    </row>
    <row r="461" spans="1:12" hidden="1" x14ac:dyDescent="0.25">
      <c r="A461">
        <v>603</v>
      </c>
      <c r="B461" t="s">
        <v>2605</v>
      </c>
      <c r="C461" t="s">
        <v>2606</v>
      </c>
      <c r="D461">
        <v>0</v>
      </c>
      <c r="E461" t="str">
        <f>_xlfn.XLOOKUP(F461, Keys!B:B, Keys!A:A, "找不到")</f>
        <v>FA</v>
      </c>
      <c r="F461" t="s">
        <v>63</v>
      </c>
      <c r="G461">
        <v>6.4825441400073096</v>
      </c>
      <c r="H461" t="s">
        <v>64</v>
      </c>
      <c r="I461" t="s">
        <v>65</v>
      </c>
      <c r="J461" t="s">
        <v>3534</v>
      </c>
      <c r="K461">
        <v>0</v>
      </c>
      <c r="L461">
        <v>682.44568790910546</v>
      </c>
    </row>
    <row r="462" spans="1:12" hidden="1" x14ac:dyDescent="0.25">
      <c r="A462">
        <v>604</v>
      </c>
      <c r="B462" t="s">
        <v>2605</v>
      </c>
      <c r="C462" t="s">
        <v>2606</v>
      </c>
      <c r="D462">
        <v>0</v>
      </c>
      <c r="E462" t="str">
        <f>_xlfn.XLOOKUP(F462, Keys!B:B, Keys!A:A, "找不到")</f>
        <v>FA</v>
      </c>
      <c r="F462" t="s">
        <v>63</v>
      </c>
      <c r="G462">
        <v>4.5142251903331863</v>
      </c>
      <c r="H462" t="s">
        <v>64</v>
      </c>
      <c r="I462" t="s">
        <v>65</v>
      </c>
      <c r="J462" t="s">
        <v>3534</v>
      </c>
      <c r="K462">
        <v>0</v>
      </c>
      <c r="L462">
        <v>637.53567203466037</v>
      </c>
    </row>
    <row r="463" spans="1:12" hidden="1" x14ac:dyDescent="0.25">
      <c r="A463">
        <v>605</v>
      </c>
      <c r="B463" t="s">
        <v>2605</v>
      </c>
      <c r="C463" t="s">
        <v>2606</v>
      </c>
      <c r="D463">
        <v>0</v>
      </c>
      <c r="E463" t="str">
        <f>_xlfn.XLOOKUP(F463, Keys!B:B, Keys!A:A, "找不到")</f>
        <v>FA</v>
      </c>
      <c r="F463" t="s">
        <v>63</v>
      </c>
      <c r="G463">
        <v>0.22160148054204601</v>
      </c>
      <c r="H463" t="s">
        <v>64</v>
      </c>
      <c r="I463" t="s">
        <v>65</v>
      </c>
      <c r="J463" t="s">
        <v>3534</v>
      </c>
      <c r="K463">
        <v>0</v>
      </c>
      <c r="L463">
        <v>249.32260586932739</v>
      </c>
    </row>
    <row r="464" spans="1:12" hidden="1" x14ac:dyDescent="0.25">
      <c r="A464">
        <v>607</v>
      </c>
      <c r="B464" t="s">
        <v>2605</v>
      </c>
      <c r="C464" t="s">
        <v>2606</v>
      </c>
      <c r="D464">
        <v>0</v>
      </c>
      <c r="E464" t="str">
        <f>_xlfn.XLOOKUP(F464, Keys!B:B, Keys!A:A, "找不到")</f>
        <v>FA</v>
      </c>
      <c r="F464" t="s">
        <v>63</v>
      </c>
      <c r="G464">
        <v>0.69625699931942331</v>
      </c>
      <c r="H464" t="s">
        <v>64</v>
      </c>
      <c r="I464" t="s">
        <v>65</v>
      </c>
      <c r="J464" t="s">
        <v>3534</v>
      </c>
      <c r="K464">
        <v>0</v>
      </c>
      <c r="L464">
        <v>216.1628883000316</v>
      </c>
    </row>
    <row r="465" spans="1:12" hidden="1" x14ac:dyDescent="0.25">
      <c r="A465">
        <v>608</v>
      </c>
      <c r="B465" t="s">
        <v>2605</v>
      </c>
      <c r="C465" t="s">
        <v>2606</v>
      </c>
      <c r="D465">
        <v>0</v>
      </c>
      <c r="E465" t="str">
        <f>_xlfn.XLOOKUP(F465, Keys!B:B, Keys!A:A, "找不到")</f>
        <v>FA</v>
      </c>
      <c r="F465" t="s">
        <v>63</v>
      </c>
      <c r="G465">
        <v>8.6185524779047302</v>
      </c>
      <c r="H465" t="s">
        <v>64</v>
      </c>
      <c r="I465" t="s">
        <v>65</v>
      </c>
      <c r="J465" t="s">
        <v>3548</v>
      </c>
      <c r="K465">
        <v>0</v>
      </c>
      <c r="L465">
        <v>754.46483675648574</v>
      </c>
    </row>
    <row r="466" spans="1:12" hidden="1" x14ac:dyDescent="0.25">
      <c r="A466">
        <v>612</v>
      </c>
      <c r="B466" t="s">
        <v>2605</v>
      </c>
      <c r="C466" t="s">
        <v>2606</v>
      </c>
      <c r="D466">
        <v>0</v>
      </c>
      <c r="E466" t="str">
        <f>_xlfn.XLOOKUP(F466, Keys!B:B, Keys!A:A, "找不到")</f>
        <v>FA</v>
      </c>
      <c r="F466" t="s">
        <v>63</v>
      </c>
      <c r="G466">
        <v>3.2648976745083762</v>
      </c>
      <c r="H466" t="s">
        <v>64</v>
      </c>
      <c r="I466" t="s">
        <v>65</v>
      </c>
      <c r="J466" t="s">
        <v>3548</v>
      </c>
      <c r="K466">
        <v>0</v>
      </c>
      <c r="L466">
        <v>551.28462640470752</v>
      </c>
    </row>
    <row r="467" spans="1:12" hidden="1" x14ac:dyDescent="0.25">
      <c r="A467">
        <v>635</v>
      </c>
      <c r="B467" t="s">
        <v>2605</v>
      </c>
      <c r="C467" t="s">
        <v>2606</v>
      </c>
      <c r="D467">
        <v>0</v>
      </c>
      <c r="E467" t="str">
        <f>_xlfn.XLOOKUP(F467, Keys!B:B, Keys!A:A, "找不到")</f>
        <v>FA</v>
      </c>
      <c r="F467" t="s">
        <v>63</v>
      </c>
      <c r="G467">
        <v>0.7464142260702763</v>
      </c>
      <c r="H467" t="s">
        <v>64</v>
      </c>
      <c r="I467" t="s">
        <v>65</v>
      </c>
      <c r="J467" t="s">
        <v>3592</v>
      </c>
      <c r="K467">
        <v>0</v>
      </c>
      <c r="L467">
        <v>272.54354634599991</v>
      </c>
    </row>
    <row r="468" spans="1:12" hidden="1" x14ac:dyDescent="0.25">
      <c r="A468">
        <v>654</v>
      </c>
      <c r="B468" t="s">
        <v>2605</v>
      </c>
      <c r="C468" t="s">
        <v>2606</v>
      </c>
      <c r="D468">
        <v>0</v>
      </c>
      <c r="E468" t="str">
        <f>_xlfn.XLOOKUP(F468, Keys!B:B, Keys!A:A, "找不到")</f>
        <v>FA</v>
      </c>
      <c r="F468" t="s">
        <v>63</v>
      </c>
      <c r="G468">
        <v>5.4896551483624592</v>
      </c>
      <c r="H468" t="s">
        <v>64</v>
      </c>
      <c r="I468" t="s">
        <v>65</v>
      </c>
      <c r="J468" t="s">
        <v>3548</v>
      </c>
      <c r="K468">
        <v>0</v>
      </c>
      <c r="L468">
        <v>746.04217419008728</v>
      </c>
    </row>
    <row r="469" spans="1:12" hidden="1" x14ac:dyDescent="0.25">
      <c r="A469">
        <v>667</v>
      </c>
      <c r="B469" t="s">
        <v>2605</v>
      </c>
      <c r="C469" t="s">
        <v>2606</v>
      </c>
      <c r="D469">
        <v>0</v>
      </c>
      <c r="E469" t="str">
        <f>_xlfn.XLOOKUP(F469, Keys!B:B, Keys!A:A, "找不到")</f>
        <v>FA</v>
      </c>
      <c r="F469" t="s">
        <v>63</v>
      </c>
      <c r="G469">
        <v>0.4382150288226645</v>
      </c>
      <c r="H469" t="s">
        <v>64</v>
      </c>
      <c r="I469" t="s">
        <v>65</v>
      </c>
      <c r="J469" t="s">
        <v>3638</v>
      </c>
      <c r="K469">
        <v>0</v>
      </c>
      <c r="L469">
        <v>182.31360882475079</v>
      </c>
    </row>
    <row r="470" spans="1:12" hidden="1" x14ac:dyDescent="0.25">
      <c r="A470">
        <v>669</v>
      </c>
      <c r="B470" t="s">
        <v>2605</v>
      </c>
      <c r="C470" t="s">
        <v>2606</v>
      </c>
      <c r="D470">
        <v>0</v>
      </c>
      <c r="E470" t="str">
        <f>_xlfn.XLOOKUP(F470, Keys!B:B, Keys!A:A, "找不到")</f>
        <v>FA</v>
      </c>
      <c r="F470" t="s">
        <v>63</v>
      </c>
      <c r="G470">
        <v>3.671230275755494</v>
      </c>
      <c r="H470" t="s">
        <v>64</v>
      </c>
      <c r="I470" t="s">
        <v>65</v>
      </c>
      <c r="J470" t="s">
        <v>3644</v>
      </c>
      <c r="K470">
        <v>0</v>
      </c>
      <c r="L470">
        <v>549.18714127685575</v>
      </c>
    </row>
    <row r="471" spans="1:12" hidden="1" x14ac:dyDescent="0.25">
      <c r="A471">
        <v>670</v>
      </c>
      <c r="B471" t="s">
        <v>2605</v>
      </c>
      <c r="C471" t="s">
        <v>2606</v>
      </c>
      <c r="D471">
        <v>0</v>
      </c>
      <c r="E471" t="str">
        <f>_xlfn.XLOOKUP(F471, Keys!B:B, Keys!A:A, "找不到")</f>
        <v>FA</v>
      </c>
      <c r="F471" t="s">
        <v>63</v>
      </c>
      <c r="G471">
        <v>2.930526931403544</v>
      </c>
      <c r="H471" t="s">
        <v>64</v>
      </c>
      <c r="I471" t="s">
        <v>65</v>
      </c>
      <c r="J471" t="s">
        <v>3644</v>
      </c>
      <c r="K471">
        <v>0</v>
      </c>
      <c r="L471">
        <v>504.05926749338158</v>
      </c>
    </row>
    <row r="472" spans="1:12" hidden="1" x14ac:dyDescent="0.25">
      <c r="A472">
        <v>671</v>
      </c>
      <c r="B472" t="s">
        <v>2605</v>
      </c>
      <c r="C472" t="s">
        <v>2606</v>
      </c>
      <c r="D472">
        <v>0</v>
      </c>
      <c r="E472" t="str">
        <f>_xlfn.XLOOKUP(F472, Keys!B:B, Keys!A:A, "找不到")</f>
        <v>FA</v>
      </c>
      <c r="F472" t="s">
        <v>63</v>
      </c>
      <c r="G472">
        <v>3.845887653755224</v>
      </c>
      <c r="H472" t="s">
        <v>64</v>
      </c>
      <c r="I472" t="s">
        <v>65</v>
      </c>
      <c r="J472" t="s">
        <v>3644</v>
      </c>
      <c r="K472">
        <v>0</v>
      </c>
      <c r="L472">
        <v>584.63852858023358</v>
      </c>
    </row>
    <row r="473" spans="1:12" hidden="1" x14ac:dyDescent="0.25">
      <c r="A473">
        <v>673</v>
      </c>
      <c r="B473" t="s">
        <v>2605</v>
      </c>
      <c r="C473" t="s">
        <v>2606</v>
      </c>
      <c r="D473">
        <v>0</v>
      </c>
      <c r="E473" t="str">
        <f>_xlfn.XLOOKUP(F473, Keys!B:B, Keys!A:A, "找不到")</f>
        <v>FA</v>
      </c>
      <c r="F473" t="s">
        <v>63</v>
      </c>
      <c r="G473">
        <v>0.34056698602290308</v>
      </c>
      <c r="H473" t="s">
        <v>64</v>
      </c>
      <c r="I473" t="s">
        <v>65</v>
      </c>
      <c r="J473" t="s">
        <v>3653</v>
      </c>
      <c r="K473">
        <v>0</v>
      </c>
      <c r="L473">
        <v>155.95880955042699</v>
      </c>
    </row>
    <row r="474" spans="1:12" hidden="1" x14ac:dyDescent="0.25">
      <c r="A474">
        <v>729</v>
      </c>
      <c r="B474" t="s">
        <v>2605</v>
      </c>
      <c r="C474" t="s">
        <v>2606</v>
      </c>
      <c r="D474">
        <v>0</v>
      </c>
      <c r="E474" t="str">
        <f>_xlfn.XLOOKUP(F474, Keys!B:B, Keys!A:A, "找不到")</f>
        <v>FA</v>
      </c>
      <c r="F474" t="s">
        <v>63</v>
      </c>
      <c r="G474">
        <v>1.80637809508494</v>
      </c>
      <c r="H474" t="s">
        <v>64</v>
      </c>
      <c r="I474" t="s">
        <v>65</v>
      </c>
      <c r="J474" t="s">
        <v>3725</v>
      </c>
      <c r="K474">
        <v>0</v>
      </c>
      <c r="L474">
        <v>355.13540078312388</v>
      </c>
    </row>
    <row r="475" spans="1:12" hidden="1" x14ac:dyDescent="0.25">
      <c r="A475">
        <v>730</v>
      </c>
      <c r="B475" t="s">
        <v>2605</v>
      </c>
      <c r="C475" t="s">
        <v>2606</v>
      </c>
      <c r="D475">
        <v>0</v>
      </c>
      <c r="E475" t="str">
        <f>_xlfn.XLOOKUP(F475, Keys!B:B, Keys!A:A, "找不到")</f>
        <v>FA</v>
      </c>
      <c r="F475" t="s">
        <v>63</v>
      </c>
      <c r="G475">
        <v>1.976115375512872</v>
      </c>
      <c r="H475" t="s">
        <v>64</v>
      </c>
      <c r="I475" t="s">
        <v>65</v>
      </c>
      <c r="J475" t="s">
        <v>3725</v>
      </c>
      <c r="K475">
        <v>0</v>
      </c>
      <c r="L475">
        <v>430.07446990140647</v>
      </c>
    </row>
    <row r="476" spans="1:12" hidden="1" x14ac:dyDescent="0.25">
      <c r="A476">
        <v>732</v>
      </c>
      <c r="B476" t="s">
        <v>2605</v>
      </c>
      <c r="C476" t="s">
        <v>2606</v>
      </c>
      <c r="D476">
        <v>0</v>
      </c>
      <c r="E476" t="str">
        <f>_xlfn.XLOOKUP(F476, Keys!B:B, Keys!A:A, "找不到")</f>
        <v>FA</v>
      </c>
      <c r="F476" t="s">
        <v>63</v>
      </c>
      <c r="G476">
        <v>0.84934428452920774</v>
      </c>
      <c r="H476" t="s">
        <v>64</v>
      </c>
      <c r="I476" t="s">
        <v>65</v>
      </c>
      <c r="J476" t="s">
        <v>3725</v>
      </c>
      <c r="K476">
        <v>0</v>
      </c>
      <c r="L476">
        <v>338.72970156077503</v>
      </c>
    </row>
    <row r="477" spans="1:12" hidden="1" x14ac:dyDescent="0.25">
      <c r="A477">
        <v>741</v>
      </c>
      <c r="B477" t="s">
        <v>2605</v>
      </c>
      <c r="C477" t="s">
        <v>2606</v>
      </c>
      <c r="D477">
        <v>0</v>
      </c>
      <c r="E477" t="str">
        <f>_xlfn.XLOOKUP(F477, Keys!B:B, Keys!A:A, "找不到")</f>
        <v>FA</v>
      </c>
      <c r="F477" t="s">
        <v>63</v>
      </c>
      <c r="G477">
        <v>4.936070332822502</v>
      </c>
      <c r="H477" t="s">
        <v>64</v>
      </c>
      <c r="I477" t="s">
        <v>65</v>
      </c>
      <c r="J477" t="s">
        <v>3319</v>
      </c>
      <c r="K477">
        <v>0</v>
      </c>
      <c r="L477">
        <v>613.54986531233135</v>
      </c>
    </row>
    <row r="478" spans="1:12" hidden="1" x14ac:dyDescent="0.25">
      <c r="A478">
        <v>748</v>
      </c>
      <c r="B478" t="s">
        <v>2605</v>
      </c>
      <c r="C478" t="s">
        <v>2606</v>
      </c>
      <c r="D478" t="s">
        <v>2702</v>
      </c>
      <c r="E478" t="str">
        <f>_xlfn.XLOOKUP(F478, Keys!B:B, Keys!A:A, "找不到")</f>
        <v>FA</v>
      </c>
      <c r="F478" t="s">
        <v>63</v>
      </c>
      <c r="G478">
        <v>14.2143131065879</v>
      </c>
      <c r="H478" t="s">
        <v>64</v>
      </c>
      <c r="I478" t="s">
        <v>65</v>
      </c>
      <c r="J478" t="s">
        <v>57</v>
      </c>
      <c r="K478">
        <v>0</v>
      </c>
      <c r="L478">
        <v>986.60139502560776</v>
      </c>
    </row>
    <row r="479" spans="1:12" hidden="1" x14ac:dyDescent="0.25">
      <c r="A479">
        <v>783</v>
      </c>
      <c r="B479" t="s">
        <v>2605</v>
      </c>
      <c r="C479" t="s">
        <v>2606</v>
      </c>
      <c r="D479">
        <v>0</v>
      </c>
      <c r="E479" t="str">
        <f>_xlfn.XLOOKUP(F479, Keys!B:B, Keys!A:A, "找不到")</f>
        <v>FA</v>
      </c>
      <c r="F479" t="s">
        <v>63</v>
      </c>
      <c r="G479">
        <v>20.801784613283768</v>
      </c>
      <c r="H479" t="s">
        <v>64</v>
      </c>
      <c r="I479" t="s">
        <v>65</v>
      </c>
      <c r="J479" t="s">
        <v>3797</v>
      </c>
      <c r="K479">
        <v>0</v>
      </c>
      <c r="L479">
        <v>2133.5811599040808</v>
      </c>
    </row>
    <row r="480" spans="1:12" hidden="1" x14ac:dyDescent="0.25">
      <c r="A480">
        <v>790</v>
      </c>
      <c r="B480" t="s">
        <v>2605</v>
      </c>
      <c r="C480" t="s">
        <v>2606</v>
      </c>
      <c r="D480">
        <v>0</v>
      </c>
      <c r="E480" t="str">
        <f>_xlfn.XLOOKUP(F480, Keys!B:B, Keys!A:A, "找不到")</f>
        <v>FA</v>
      </c>
      <c r="F480" t="s">
        <v>63</v>
      </c>
      <c r="G480">
        <v>3.0035801197351448</v>
      </c>
      <c r="H480" t="s">
        <v>64</v>
      </c>
      <c r="I480" t="s">
        <v>65</v>
      </c>
      <c r="J480" t="s">
        <v>3380</v>
      </c>
      <c r="K480">
        <v>0</v>
      </c>
      <c r="L480">
        <v>638.65061026252511</v>
      </c>
    </row>
    <row r="481" spans="1:12" hidden="1" x14ac:dyDescent="0.25">
      <c r="A481">
        <v>793</v>
      </c>
      <c r="B481" t="s">
        <v>2605</v>
      </c>
      <c r="C481" t="s">
        <v>2606</v>
      </c>
      <c r="D481" t="s">
        <v>3027</v>
      </c>
      <c r="E481" t="str">
        <f>_xlfn.XLOOKUP(F481, Keys!B:B, Keys!A:A, "找不到")</f>
        <v>FA</v>
      </c>
      <c r="F481" t="s">
        <v>63</v>
      </c>
      <c r="G481">
        <v>0.66158767366183424</v>
      </c>
      <c r="H481" t="s">
        <v>64</v>
      </c>
      <c r="I481" t="s">
        <v>65</v>
      </c>
      <c r="J481" t="s">
        <v>3097</v>
      </c>
      <c r="K481">
        <v>0</v>
      </c>
      <c r="L481">
        <v>218.02003993194791</v>
      </c>
    </row>
    <row r="482" spans="1:12" hidden="1" x14ac:dyDescent="0.25">
      <c r="A482">
        <v>795</v>
      </c>
      <c r="B482" t="s">
        <v>2605</v>
      </c>
      <c r="C482" t="s">
        <v>2606</v>
      </c>
      <c r="D482">
        <v>0</v>
      </c>
      <c r="E482" t="str">
        <f>_xlfn.XLOOKUP(F482, Keys!B:B, Keys!A:A, "找不到")</f>
        <v>FA</v>
      </c>
      <c r="F482" t="s">
        <v>63</v>
      </c>
      <c r="G482">
        <v>0.1037307373271308</v>
      </c>
      <c r="H482" t="s">
        <v>64</v>
      </c>
      <c r="I482" t="s">
        <v>65</v>
      </c>
      <c r="J482" t="s">
        <v>1172</v>
      </c>
      <c r="K482">
        <v>0</v>
      </c>
      <c r="L482">
        <v>77.931079880555501</v>
      </c>
    </row>
    <row r="483" spans="1:12" hidden="1" x14ac:dyDescent="0.25">
      <c r="A483">
        <v>796</v>
      </c>
      <c r="B483" t="s">
        <v>2605</v>
      </c>
      <c r="C483" t="s">
        <v>2606</v>
      </c>
      <c r="D483">
        <v>0</v>
      </c>
      <c r="E483" t="str">
        <f>_xlfn.XLOOKUP(F483, Keys!B:B, Keys!A:A, "找不到")</f>
        <v>FA</v>
      </c>
      <c r="F483" t="s">
        <v>63</v>
      </c>
      <c r="G483">
        <v>1.0865048340832939</v>
      </c>
      <c r="H483" t="s">
        <v>64</v>
      </c>
      <c r="I483" t="s">
        <v>65</v>
      </c>
      <c r="J483" t="s">
        <v>3805</v>
      </c>
      <c r="K483">
        <v>0</v>
      </c>
      <c r="L483">
        <v>336.82357534036709</v>
      </c>
    </row>
    <row r="484" spans="1:12" hidden="1" x14ac:dyDescent="0.25">
      <c r="A484">
        <v>798</v>
      </c>
      <c r="B484" t="s">
        <v>2605</v>
      </c>
      <c r="C484" t="s">
        <v>2606</v>
      </c>
      <c r="D484">
        <v>0</v>
      </c>
      <c r="E484" t="str">
        <f>_xlfn.XLOOKUP(F484, Keys!B:B, Keys!A:A, "找不到")</f>
        <v>FA</v>
      </c>
      <c r="F484" t="s">
        <v>63</v>
      </c>
      <c r="G484">
        <v>0.68247017252712139</v>
      </c>
      <c r="H484" t="s">
        <v>64</v>
      </c>
      <c r="I484" t="s">
        <v>65</v>
      </c>
      <c r="J484" t="s">
        <v>3010</v>
      </c>
      <c r="K484">
        <v>0</v>
      </c>
      <c r="L484">
        <v>265.54192542842992</v>
      </c>
    </row>
    <row r="485" spans="1:12" hidden="1" x14ac:dyDescent="0.25">
      <c r="A485">
        <v>802</v>
      </c>
      <c r="B485" t="s">
        <v>2605</v>
      </c>
      <c r="C485" t="s">
        <v>2606</v>
      </c>
      <c r="D485">
        <v>0</v>
      </c>
      <c r="E485" t="str">
        <f>_xlfn.XLOOKUP(F485, Keys!B:B, Keys!A:A, "找不到")</f>
        <v>FA</v>
      </c>
      <c r="F485" t="s">
        <v>63</v>
      </c>
      <c r="G485">
        <v>1.023228414628385</v>
      </c>
      <c r="H485" t="s">
        <v>64</v>
      </c>
      <c r="I485" t="s">
        <v>65</v>
      </c>
      <c r="J485" t="s">
        <v>3811</v>
      </c>
      <c r="K485">
        <v>0</v>
      </c>
      <c r="L485">
        <v>344.95440433477279</v>
      </c>
    </row>
    <row r="486" spans="1:12" hidden="1" x14ac:dyDescent="0.25">
      <c r="A486">
        <v>803</v>
      </c>
      <c r="B486" t="s">
        <v>2605</v>
      </c>
      <c r="C486" t="s">
        <v>2606</v>
      </c>
      <c r="D486">
        <v>0</v>
      </c>
      <c r="E486" t="str">
        <f>_xlfn.XLOOKUP(F486, Keys!B:B, Keys!A:A, "找不到")</f>
        <v>FA</v>
      </c>
      <c r="F486" t="s">
        <v>63</v>
      </c>
      <c r="G486">
        <v>3.3045976205487531</v>
      </c>
      <c r="H486" t="s">
        <v>64</v>
      </c>
      <c r="I486" t="s">
        <v>65</v>
      </c>
      <c r="J486" t="s">
        <v>3812</v>
      </c>
      <c r="K486">
        <v>0</v>
      </c>
      <c r="L486">
        <v>467.697932317442</v>
      </c>
    </row>
    <row r="487" spans="1:12" hidden="1" x14ac:dyDescent="0.25">
      <c r="A487">
        <v>804</v>
      </c>
      <c r="B487" t="s">
        <v>2605</v>
      </c>
      <c r="C487" t="s">
        <v>2606</v>
      </c>
      <c r="D487">
        <v>0</v>
      </c>
      <c r="E487" t="str">
        <f>_xlfn.XLOOKUP(F487, Keys!B:B, Keys!A:A, "找不到")</f>
        <v>FA</v>
      </c>
      <c r="F487" t="s">
        <v>63</v>
      </c>
      <c r="G487">
        <v>0.62496127561767501</v>
      </c>
      <c r="H487" t="s">
        <v>64</v>
      </c>
      <c r="I487" t="s">
        <v>65</v>
      </c>
      <c r="J487" t="s">
        <v>3812</v>
      </c>
      <c r="K487">
        <v>0</v>
      </c>
      <c r="L487">
        <v>203.78485008086719</v>
      </c>
    </row>
    <row r="488" spans="1:12" hidden="1" x14ac:dyDescent="0.25">
      <c r="A488">
        <v>808</v>
      </c>
      <c r="B488" t="s">
        <v>2605</v>
      </c>
      <c r="C488" t="s">
        <v>2606</v>
      </c>
      <c r="D488">
        <v>0</v>
      </c>
      <c r="E488" t="str">
        <f>_xlfn.XLOOKUP(F488, Keys!B:B, Keys!A:A, "找不到")</f>
        <v>FA</v>
      </c>
      <c r="F488" t="s">
        <v>63</v>
      </c>
      <c r="G488">
        <v>2.0833174404811969</v>
      </c>
      <c r="H488" t="s">
        <v>64</v>
      </c>
      <c r="I488" t="s">
        <v>65</v>
      </c>
      <c r="J488" t="s">
        <v>3427</v>
      </c>
      <c r="K488">
        <v>0</v>
      </c>
      <c r="L488">
        <v>405.36586237466281</v>
      </c>
    </row>
    <row r="489" spans="1:12" hidden="1" x14ac:dyDescent="0.25">
      <c r="A489">
        <v>809</v>
      </c>
      <c r="B489" t="s">
        <v>2605</v>
      </c>
      <c r="C489" t="s">
        <v>2606</v>
      </c>
      <c r="D489">
        <v>0</v>
      </c>
      <c r="E489" t="str">
        <f>_xlfn.XLOOKUP(F489, Keys!B:B, Keys!A:A, "找不到")</f>
        <v>FA</v>
      </c>
      <c r="F489" t="s">
        <v>63</v>
      </c>
      <c r="G489">
        <v>0.43767729990338933</v>
      </c>
      <c r="H489" t="s">
        <v>64</v>
      </c>
      <c r="I489" t="s">
        <v>65</v>
      </c>
      <c r="J489" t="s">
        <v>3817</v>
      </c>
      <c r="K489">
        <v>0</v>
      </c>
      <c r="L489">
        <v>218.8902896489783</v>
      </c>
    </row>
    <row r="490" spans="1:12" hidden="1" x14ac:dyDescent="0.25">
      <c r="A490">
        <v>810</v>
      </c>
      <c r="B490" t="s">
        <v>2605</v>
      </c>
      <c r="C490" t="s">
        <v>2606</v>
      </c>
      <c r="D490">
        <v>0</v>
      </c>
      <c r="E490" t="str">
        <f>_xlfn.XLOOKUP(F490, Keys!B:B, Keys!A:A, "找不到")</f>
        <v>FA</v>
      </c>
      <c r="F490" t="s">
        <v>63</v>
      </c>
      <c r="G490">
        <v>1.241413313021561</v>
      </c>
      <c r="H490" t="s">
        <v>64</v>
      </c>
      <c r="I490" t="s">
        <v>65</v>
      </c>
      <c r="J490" t="s">
        <v>3817</v>
      </c>
      <c r="K490">
        <v>0</v>
      </c>
      <c r="L490">
        <v>365.24543686901097</v>
      </c>
    </row>
    <row r="491" spans="1:12" hidden="1" x14ac:dyDescent="0.25">
      <c r="A491">
        <v>812</v>
      </c>
      <c r="B491" t="s">
        <v>2605</v>
      </c>
      <c r="C491" t="s">
        <v>2606</v>
      </c>
      <c r="D491">
        <v>0</v>
      </c>
      <c r="E491" t="str">
        <f>_xlfn.XLOOKUP(F491, Keys!B:B, Keys!A:A, "找不到")</f>
        <v>FA</v>
      </c>
      <c r="F491" t="s">
        <v>63</v>
      </c>
      <c r="G491">
        <v>2.4421807791674488</v>
      </c>
      <c r="H491" t="s">
        <v>64</v>
      </c>
      <c r="I491" t="s">
        <v>65</v>
      </c>
      <c r="J491" t="s">
        <v>3819</v>
      </c>
      <c r="K491">
        <v>0</v>
      </c>
      <c r="L491">
        <v>404.55238358559592</v>
      </c>
    </row>
    <row r="492" spans="1:12" hidden="1" x14ac:dyDescent="0.25">
      <c r="A492">
        <v>816</v>
      </c>
      <c r="B492" t="s">
        <v>2605</v>
      </c>
      <c r="C492" t="s">
        <v>2606</v>
      </c>
      <c r="D492">
        <v>0</v>
      </c>
      <c r="E492" t="str">
        <f>_xlfn.XLOOKUP(F492, Keys!B:B, Keys!A:A, "找不到")</f>
        <v>FA</v>
      </c>
      <c r="F492" t="s">
        <v>63</v>
      </c>
      <c r="G492">
        <v>1.0922959959183971</v>
      </c>
      <c r="H492" t="s">
        <v>64</v>
      </c>
      <c r="I492" t="s">
        <v>65</v>
      </c>
      <c r="J492" t="s">
        <v>3824</v>
      </c>
      <c r="K492">
        <v>0</v>
      </c>
      <c r="L492">
        <v>529.68894189084222</v>
      </c>
    </row>
    <row r="493" spans="1:12" hidden="1" x14ac:dyDescent="0.25">
      <c r="A493">
        <v>822</v>
      </c>
      <c r="B493" t="s">
        <v>2605</v>
      </c>
      <c r="C493" t="s">
        <v>2606</v>
      </c>
      <c r="D493" t="s">
        <v>2702</v>
      </c>
      <c r="E493" t="str">
        <f>_xlfn.XLOOKUP(F493, Keys!B:B, Keys!A:A, "找不到")</f>
        <v>FA</v>
      </c>
      <c r="F493" t="s">
        <v>63</v>
      </c>
      <c r="G493">
        <v>5.241797330481603</v>
      </c>
      <c r="H493" t="s">
        <v>64</v>
      </c>
      <c r="I493" t="s">
        <v>65</v>
      </c>
      <c r="J493" t="s">
        <v>2923</v>
      </c>
      <c r="K493">
        <v>0</v>
      </c>
      <c r="L493">
        <v>607.3399678542288</v>
      </c>
    </row>
    <row r="494" spans="1:12" hidden="1" x14ac:dyDescent="0.25">
      <c r="A494">
        <v>825</v>
      </c>
      <c r="B494" t="s">
        <v>2605</v>
      </c>
      <c r="C494" t="s">
        <v>2606</v>
      </c>
      <c r="D494" t="s">
        <v>2702</v>
      </c>
      <c r="E494" t="str">
        <f>_xlfn.XLOOKUP(F494, Keys!B:B, Keys!A:A, "找不到")</f>
        <v>FA</v>
      </c>
      <c r="F494" t="s">
        <v>63</v>
      </c>
      <c r="G494">
        <v>0.25151769101653437</v>
      </c>
      <c r="H494" t="s">
        <v>64</v>
      </c>
      <c r="I494" t="s">
        <v>65</v>
      </c>
      <c r="J494" t="s">
        <v>2923</v>
      </c>
      <c r="K494">
        <v>0</v>
      </c>
      <c r="L494">
        <v>141.32942109224351</v>
      </c>
    </row>
    <row r="495" spans="1:12" hidden="1" x14ac:dyDescent="0.25">
      <c r="A495">
        <v>826</v>
      </c>
      <c r="B495" t="s">
        <v>2605</v>
      </c>
      <c r="C495" t="s">
        <v>2606</v>
      </c>
      <c r="D495" t="s">
        <v>2702</v>
      </c>
      <c r="E495" t="str">
        <f>_xlfn.XLOOKUP(F495, Keys!B:B, Keys!A:A, "找不到")</f>
        <v>FA</v>
      </c>
      <c r="F495" t="s">
        <v>63</v>
      </c>
      <c r="G495">
        <v>0.24479084917172411</v>
      </c>
      <c r="H495" t="s">
        <v>64</v>
      </c>
      <c r="I495" t="s">
        <v>65</v>
      </c>
      <c r="J495" t="s">
        <v>2883</v>
      </c>
      <c r="K495">
        <v>0</v>
      </c>
      <c r="L495">
        <v>131.61370153555339</v>
      </c>
    </row>
    <row r="496" spans="1:12" hidden="1" x14ac:dyDescent="0.25">
      <c r="A496">
        <v>827</v>
      </c>
      <c r="B496" t="s">
        <v>2605</v>
      </c>
      <c r="C496" t="s">
        <v>2606</v>
      </c>
      <c r="D496" t="s">
        <v>2702</v>
      </c>
      <c r="E496" t="str">
        <f>_xlfn.XLOOKUP(F496, Keys!B:B, Keys!A:A, "找不到")</f>
        <v>FA</v>
      </c>
      <c r="F496" t="s">
        <v>63</v>
      </c>
      <c r="G496">
        <v>9.2071716897212275E-2</v>
      </c>
      <c r="H496" t="s">
        <v>64</v>
      </c>
      <c r="I496" t="s">
        <v>65</v>
      </c>
      <c r="J496" t="s">
        <v>2883</v>
      </c>
      <c r="K496">
        <v>0</v>
      </c>
      <c r="L496">
        <v>79.733125748612593</v>
      </c>
    </row>
    <row r="497" spans="1:12" hidden="1" x14ac:dyDescent="0.25">
      <c r="A497">
        <v>828</v>
      </c>
      <c r="B497" t="s">
        <v>2605</v>
      </c>
      <c r="C497" t="s">
        <v>2606</v>
      </c>
      <c r="D497" t="s">
        <v>2702</v>
      </c>
      <c r="E497" t="str">
        <f>_xlfn.XLOOKUP(F497, Keys!B:B, Keys!A:A, "找不到")</f>
        <v>FA</v>
      </c>
      <c r="F497" t="s">
        <v>63</v>
      </c>
      <c r="G497">
        <v>0.45220521414265602</v>
      </c>
      <c r="H497" t="s">
        <v>64</v>
      </c>
      <c r="I497" t="s">
        <v>65</v>
      </c>
      <c r="J497" t="s">
        <v>2883</v>
      </c>
      <c r="K497">
        <v>0</v>
      </c>
      <c r="L497">
        <v>202.3549532053955</v>
      </c>
    </row>
    <row r="498" spans="1:12" hidden="1" x14ac:dyDescent="0.25">
      <c r="A498">
        <v>831</v>
      </c>
      <c r="B498" t="s">
        <v>2605</v>
      </c>
      <c r="C498" t="s">
        <v>2606</v>
      </c>
      <c r="D498" t="s">
        <v>2702</v>
      </c>
      <c r="E498" t="str">
        <f>_xlfn.XLOOKUP(F498, Keys!B:B, Keys!A:A, "找不到")</f>
        <v>FA</v>
      </c>
      <c r="F498" t="s">
        <v>63</v>
      </c>
      <c r="G498">
        <v>6.3034280313963214</v>
      </c>
      <c r="H498" t="s">
        <v>64</v>
      </c>
      <c r="I498" t="s">
        <v>65</v>
      </c>
      <c r="J498" t="s">
        <v>2915</v>
      </c>
      <c r="K498">
        <v>0</v>
      </c>
      <c r="L498">
        <v>845.00907436707109</v>
      </c>
    </row>
    <row r="499" spans="1:12" hidden="1" x14ac:dyDescent="0.25">
      <c r="A499">
        <v>832</v>
      </c>
      <c r="B499" t="s">
        <v>2605</v>
      </c>
      <c r="C499" t="s">
        <v>2606</v>
      </c>
      <c r="D499" t="s">
        <v>2702</v>
      </c>
      <c r="E499" t="str">
        <f>_xlfn.XLOOKUP(F499, Keys!B:B, Keys!A:A, "找不到")</f>
        <v>FA</v>
      </c>
      <c r="F499" t="s">
        <v>63</v>
      </c>
      <c r="G499">
        <v>1.438503647547493</v>
      </c>
      <c r="H499" t="s">
        <v>64</v>
      </c>
      <c r="I499" t="s">
        <v>65</v>
      </c>
      <c r="J499" t="s">
        <v>2915</v>
      </c>
      <c r="K499">
        <v>0</v>
      </c>
      <c r="L499">
        <v>305.91113257712408</v>
      </c>
    </row>
    <row r="500" spans="1:12" hidden="1" x14ac:dyDescent="0.25">
      <c r="A500">
        <v>835</v>
      </c>
      <c r="B500" t="s">
        <v>2605</v>
      </c>
      <c r="C500" t="s">
        <v>2606</v>
      </c>
      <c r="D500">
        <v>0</v>
      </c>
      <c r="E500" t="str">
        <f>_xlfn.XLOOKUP(F500, Keys!B:B, Keys!A:A, "找不到")</f>
        <v>FA</v>
      </c>
      <c r="F500" t="s">
        <v>63</v>
      </c>
      <c r="G500">
        <v>6.3376185724407739</v>
      </c>
      <c r="H500" t="s">
        <v>64</v>
      </c>
      <c r="I500" t="s">
        <v>65</v>
      </c>
      <c r="J500" t="s">
        <v>3827</v>
      </c>
      <c r="K500">
        <v>0</v>
      </c>
      <c r="L500">
        <v>737.86883725829136</v>
      </c>
    </row>
    <row r="501" spans="1:12" hidden="1" x14ac:dyDescent="0.25">
      <c r="A501">
        <v>836</v>
      </c>
      <c r="B501" t="s">
        <v>2605</v>
      </c>
      <c r="C501" t="s">
        <v>2606</v>
      </c>
      <c r="D501">
        <v>0</v>
      </c>
      <c r="E501" t="str">
        <f>_xlfn.XLOOKUP(F501, Keys!B:B, Keys!A:A, "找不到")</f>
        <v>FA</v>
      </c>
      <c r="F501" t="s">
        <v>63</v>
      </c>
      <c r="G501">
        <v>1.2502719955470321</v>
      </c>
      <c r="H501" t="s">
        <v>64</v>
      </c>
      <c r="I501" t="s">
        <v>65</v>
      </c>
      <c r="J501" t="s">
        <v>2691</v>
      </c>
      <c r="K501">
        <v>0</v>
      </c>
      <c r="L501">
        <v>281.18329213330162</v>
      </c>
    </row>
    <row r="502" spans="1:12" hidden="1" x14ac:dyDescent="0.25">
      <c r="A502">
        <v>837</v>
      </c>
      <c r="B502" t="s">
        <v>2605</v>
      </c>
      <c r="C502" t="s">
        <v>2606</v>
      </c>
      <c r="D502">
        <v>0</v>
      </c>
      <c r="E502" t="str">
        <f>_xlfn.XLOOKUP(F502, Keys!B:B, Keys!A:A, "找不到")</f>
        <v>FA</v>
      </c>
      <c r="F502" t="s">
        <v>63</v>
      </c>
      <c r="G502">
        <v>9.5222353864109479</v>
      </c>
      <c r="H502" t="s">
        <v>64</v>
      </c>
      <c r="I502" t="s">
        <v>65</v>
      </c>
      <c r="J502" t="s">
        <v>2691</v>
      </c>
      <c r="K502">
        <v>0</v>
      </c>
      <c r="L502">
        <v>1030.8615137652889</v>
      </c>
    </row>
    <row r="503" spans="1:12" hidden="1" x14ac:dyDescent="0.25">
      <c r="A503">
        <v>838</v>
      </c>
      <c r="B503" t="s">
        <v>2605</v>
      </c>
      <c r="C503" t="s">
        <v>2606</v>
      </c>
      <c r="D503">
        <v>0</v>
      </c>
      <c r="E503" t="str">
        <f>_xlfn.XLOOKUP(F503, Keys!B:B, Keys!A:A, "找不到")</f>
        <v>FA</v>
      </c>
      <c r="F503" t="s">
        <v>63</v>
      </c>
      <c r="G503">
        <v>7.491816185064859E-2</v>
      </c>
      <c r="H503" t="s">
        <v>64</v>
      </c>
      <c r="I503" t="s">
        <v>65</v>
      </c>
      <c r="J503" t="s">
        <v>2747</v>
      </c>
      <c r="K503">
        <v>0</v>
      </c>
      <c r="L503">
        <v>70.377337627170945</v>
      </c>
    </row>
    <row r="504" spans="1:12" hidden="1" x14ac:dyDescent="0.25">
      <c r="A504">
        <v>839</v>
      </c>
      <c r="B504" t="s">
        <v>2605</v>
      </c>
      <c r="C504" t="s">
        <v>2606</v>
      </c>
      <c r="D504" t="s">
        <v>2702</v>
      </c>
      <c r="E504" t="str">
        <f>_xlfn.XLOOKUP(F504, Keys!B:B, Keys!A:A, "找不到")</f>
        <v>FA</v>
      </c>
      <c r="F504" t="s">
        <v>63</v>
      </c>
      <c r="G504">
        <v>1.323575173211841</v>
      </c>
      <c r="H504" t="s">
        <v>64</v>
      </c>
      <c r="I504" t="s">
        <v>65</v>
      </c>
      <c r="J504" t="s">
        <v>2883</v>
      </c>
      <c r="K504">
        <v>0</v>
      </c>
      <c r="L504">
        <v>352.4942613594244</v>
      </c>
    </row>
    <row r="505" spans="1:12" hidden="1" x14ac:dyDescent="0.25">
      <c r="A505">
        <v>840</v>
      </c>
      <c r="B505" t="s">
        <v>2605</v>
      </c>
      <c r="C505" t="s">
        <v>2606</v>
      </c>
      <c r="D505" t="s">
        <v>2712</v>
      </c>
      <c r="E505" t="str">
        <f>_xlfn.XLOOKUP(F505, Keys!B:B, Keys!A:A, "找不到")</f>
        <v>FA</v>
      </c>
      <c r="F505" t="s">
        <v>63</v>
      </c>
      <c r="G505">
        <v>1.142761901234598</v>
      </c>
      <c r="H505" t="s">
        <v>64</v>
      </c>
      <c r="I505" t="s">
        <v>65</v>
      </c>
      <c r="J505" t="s">
        <v>3830</v>
      </c>
      <c r="K505">
        <v>0</v>
      </c>
      <c r="L505">
        <v>354.70552376455652</v>
      </c>
    </row>
    <row r="506" spans="1:12" hidden="1" x14ac:dyDescent="0.25">
      <c r="A506">
        <v>841</v>
      </c>
      <c r="B506" t="s">
        <v>2605</v>
      </c>
      <c r="C506" t="s">
        <v>2606</v>
      </c>
      <c r="D506" t="s">
        <v>2712</v>
      </c>
      <c r="E506" t="str">
        <f>_xlfn.XLOOKUP(F506, Keys!B:B, Keys!A:A, "找不到")</f>
        <v>FA</v>
      </c>
      <c r="F506" t="s">
        <v>63</v>
      </c>
      <c r="G506">
        <v>4.4771302875646857</v>
      </c>
      <c r="H506" t="s">
        <v>64</v>
      </c>
      <c r="I506" t="s">
        <v>65</v>
      </c>
      <c r="J506" t="s">
        <v>3831</v>
      </c>
      <c r="K506">
        <v>0</v>
      </c>
      <c r="L506">
        <v>556.54007372367869</v>
      </c>
    </row>
    <row r="507" spans="1:12" hidden="1" x14ac:dyDescent="0.25">
      <c r="A507">
        <v>842</v>
      </c>
      <c r="B507" t="s">
        <v>2605</v>
      </c>
      <c r="C507" t="s">
        <v>2606</v>
      </c>
      <c r="D507" t="s">
        <v>2712</v>
      </c>
      <c r="E507" t="str">
        <f>_xlfn.XLOOKUP(F507, Keys!B:B, Keys!A:A, "找不到")</f>
        <v>FA</v>
      </c>
      <c r="F507" t="s">
        <v>63</v>
      </c>
      <c r="G507">
        <v>2.9853187538260468</v>
      </c>
      <c r="H507" t="s">
        <v>64</v>
      </c>
      <c r="I507" t="s">
        <v>65</v>
      </c>
      <c r="J507" t="s">
        <v>2846</v>
      </c>
      <c r="K507">
        <v>0</v>
      </c>
      <c r="L507">
        <v>485.98977585670667</v>
      </c>
    </row>
    <row r="508" spans="1:12" hidden="1" x14ac:dyDescent="0.25">
      <c r="A508">
        <v>843</v>
      </c>
      <c r="B508" t="s">
        <v>2605</v>
      </c>
      <c r="C508" t="s">
        <v>2606</v>
      </c>
      <c r="D508" t="s">
        <v>2712</v>
      </c>
      <c r="E508" t="str">
        <f>_xlfn.XLOOKUP(F508, Keys!B:B, Keys!A:A, "找不到")</f>
        <v>FA</v>
      </c>
      <c r="F508" t="s">
        <v>63</v>
      </c>
      <c r="G508">
        <v>0.69926830900299619</v>
      </c>
      <c r="H508" t="s">
        <v>64</v>
      </c>
      <c r="I508" t="s">
        <v>65</v>
      </c>
      <c r="J508" t="s">
        <v>2846</v>
      </c>
      <c r="K508">
        <v>0</v>
      </c>
      <c r="L508">
        <v>421.94666051467431</v>
      </c>
    </row>
    <row r="509" spans="1:12" hidden="1" x14ac:dyDescent="0.25">
      <c r="A509">
        <v>844</v>
      </c>
      <c r="B509" t="s">
        <v>2605</v>
      </c>
      <c r="C509" t="s">
        <v>2606</v>
      </c>
      <c r="D509" t="s">
        <v>2712</v>
      </c>
      <c r="E509" t="str">
        <f>_xlfn.XLOOKUP(F509, Keys!B:B, Keys!A:A, "找不到")</f>
        <v>FA</v>
      </c>
      <c r="F509" t="s">
        <v>63</v>
      </c>
      <c r="G509">
        <v>4.2483308202210948</v>
      </c>
      <c r="H509" t="s">
        <v>64</v>
      </c>
      <c r="I509" t="s">
        <v>65</v>
      </c>
      <c r="J509" t="s">
        <v>3832</v>
      </c>
      <c r="K509">
        <v>0</v>
      </c>
      <c r="L509">
        <v>673.67388431444556</v>
      </c>
    </row>
    <row r="510" spans="1:12" hidden="1" x14ac:dyDescent="0.25">
      <c r="A510">
        <v>850</v>
      </c>
      <c r="B510" t="s">
        <v>2605</v>
      </c>
      <c r="C510" t="s">
        <v>2606</v>
      </c>
      <c r="D510" t="s">
        <v>2702</v>
      </c>
      <c r="E510" t="str">
        <f>_xlfn.XLOOKUP(F510, Keys!B:B, Keys!A:A, "找不到")</f>
        <v>FA</v>
      </c>
      <c r="F510" t="s">
        <v>63</v>
      </c>
      <c r="G510">
        <v>0.24583653939804051</v>
      </c>
      <c r="H510" t="s">
        <v>64</v>
      </c>
      <c r="I510" t="s">
        <v>65</v>
      </c>
      <c r="J510">
        <v>0</v>
      </c>
      <c r="K510">
        <v>0</v>
      </c>
      <c r="L510">
        <v>135.22966935182831</v>
      </c>
    </row>
    <row r="511" spans="1:12" hidden="1" x14ac:dyDescent="0.25">
      <c r="A511">
        <v>854</v>
      </c>
      <c r="B511" t="s">
        <v>2605</v>
      </c>
      <c r="C511" t="s">
        <v>2606</v>
      </c>
      <c r="D511" t="s">
        <v>2712</v>
      </c>
      <c r="E511" t="str">
        <f>_xlfn.XLOOKUP(F511, Keys!B:B, Keys!A:A, "找不到")</f>
        <v>FA</v>
      </c>
      <c r="F511" t="s">
        <v>63</v>
      </c>
      <c r="G511">
        <v>4.8327181554538674</v>
      </c>
      <c r="H511" t="s">
        <v>64</v>
      </c>
      <c r="I511" t="s">
        <v>65</v>
      </c>
      <c r="J511" t="s">
        <v>2996</v>
      </c>
      <c r="K511">
        <v>0</v>
      </c>
      <c r="L511">
        <v>572.04442654153956</v>
      </c>
    </row>
    <row r="512" spans="1:12" hidden="1" x14ac:dyDescent="0.25">
      <c r="A512">
        <v>856</v>
      </c>
      <c r="B512" t="s">
        <v>2605</v>
      </c>
      <c r="C512" t="s">
        <v>2606</v>
      </c>
      <c r="D512">
        <v>0</v>
      </c>
      <c r="E512" t="str">
        <f>_xlfn.XLOOKUP(F512, Keys!B:B, Keys!A:A, "找不到")</f>
        <v>FA</v>
      </c>
      <c r="F512" t="s">
        <v>63</v>
      </c>
      <c r="G512">
        <v>1.4471088311778511</v>
      </c>
      <c r="H512" t="s">
        <v>64</v>
      </c>
      <c r="I512" t="s">
        <v>65</v>
      </c>
      <c r="J512" t="s">
        <v>2864</v>
      </c>
      <c r="K512">
        <v>0</v>
      </c>
      <c r="L512">
        <v>439.35869674413902</v>
      </c>
    </row>
    <row r="513" spans="1:12" hidden="1" x14ac:dyDescent="0.25">
      <c r="A513">
        <v>857</v>
      </c>
      <c r="B513" t="s">
        <v>2605</v>
      </c>
      <c r="C513" t="s">
        <v>2606</v>
      </c>
      <c r="D513" t="s">
        <v>57</v>
      </c>
      <c r="E513" t="str">
        <f>_xlfn.XLOOKUP(F513, Keys!B:B, Keys!A:A, "找不到")</f>
        <v>FA</v>
      </c>
      <c r="F513" t="s">
        <v>63</v>
      </c>
      <c r="G513">
        <v>1.4399158771100879</v>
      </c>
      <c r="H513" t="s">
        <v>64</v>
      </c>
      <c r="I513" t="s">
        <v>65</v>
      </c>
      <c r="J513" t="s">
        <v>2718</v>
      </c>
      <c r="K513">
        <v>0</v>
      </c>
      <c r="L513">
        <v>309.44630522967128</v>
      </c>
    </row>
    <row r="514" spans="1:12" hidden="1" x14ac:dyDescent="0.25">
      <c r="A514">
        <v>858</v>
      </c>
      <c r="B514" t="s">
        <v>2605</v>
      </c>
      <c r="C514" t="s">
        <v>2606</v>
      </c>
      <c r="D514">
        <v>0</v>
      </c>
      <c r="E514" t="str">
        <f>_xlfn.XLOOKUP(F514, Keys!B:B, Keys!A:A, "找不到")</f>
        <v>FA</v>
      </c>
      <c r="F514" t="s">
        <v>63</v>
      </c>
      <c r="G514">
        <v>0.68823207268509912</v>
      </c>
      <c r="H514" t="s">
        <v>64</v>
      </c>
      <c r="I514" t="s">
        <v>65</v>
      </c>
      <c r="J514" t="s">
        <v>3841</v>
      </c>
      <c r="K514">
        <v>0</v>
      </c>
      <c r="L514">
        <v>212.985782320364</v>
      </c>
    </row>
    <row r="515" spans="1:12" hidden="1" x14ac:dyDescent="0.25">
      <c r="A515">
        <v>887</v>
      </c>
      <c r="B515" t="s">
        <v>2605</v>
      </c>
      <c r="C515" t="s">
        <v>2606</v>
      </c>
      <c r="D515">
        <v>0</v>
      </c>
      <c r="E515" t="str">
        <f>_xlfn.XLOOKUP(F515, Keys!B:B, Keys!A:A, "找不到")</f>
        <v>FA</v>
      </c>
      <c r="F515" t="s">
        <v>63</v>
      </c>
      <c r="G515">
        <v>0.26071488272080828</v>
      </c>
      <c r="H515" t="s">
        <v>64</v>
      </c>
      <c r="I515" t="s">
        <v>65</v>
      </c>
      <c r="J515" t="s">
        <v>3869</v>
      </c>
      <c r="K515">
        <v>0</v>
      </c>
      <c r="L515">
        <v>132.55874969529799</v>
      </c>
    </row>
    <row r="516" spans="1:12" hidden="1" x14ac:dyDescent="0.25">
      <c r="A516">
        <v>888</v>
      </c>
      <c r="B516" t="s">
        <v>2605</v>
      </c>
      <c r="C516" t="s">
        <v>2606</v>
      </c>
      <c r="D516">
        <v>0</v>
      </c>
      <c r="E516" t="str">
        <f>_xlfn.XLOOKUP(F516, Keys!B:B, Keys!A:A, "找不到")</f>
        <v>FA</v>
      </c>
      <c r="F516" t="s">
        <v>63</v>
      </c>
      <c r="G516">
        <v>0.81141113356467898</v>
      </c>
      <c r="H516" t="s">
        <v>64</v>
      </c>
      <c r="I516" t="s">
        <v>65</v>
      </c>
      <c r="J516" t="s">
        <v>3872</v>
      </c>
      <c r="K516">
        <v>0</v>
      </c>
      <c r="L516">
        <v>276.89673246839811</v>
      </c>
    </row>
    <row r="517" spans="1:12" hidden="1" x14ac:dyDescent="0.25">
      <c r="A517">
        <v>899</v>
      </c>
      <c r="B517" t="s">
        <v>2605</v>
      </c>
      <c r="C517" t="s">
        <v>2606</v>
      </c>
      <c r="D517" t="s">
        <v>2702</v>
      </c>
      <c r="E517" t="str">
        <f>_xlfn.XLOOKUP(F517, Keys!B:B, Keys!A:A, "找不到")</f>
        <v>FA</v>
      </c>
      <c r="F517" t="s">
        <v>63</v>
      </c>
      <c r="G517">
        <v>0.99622622163419206</v>
      </c>
      <c r="H517" t="s">
        <v>64</v>
      </c>
      <c r="I517" t="s">
        <v>65</v>
      </c>
      <c r="J517" t="s">
        <v>2883</v>
      </c>
      <c r="K517">
        <v>0</v>
      </c>
      <c r="L517">
        <v>280.80626468332912</v>
      </c>
    </row>
    <row r="518" spans="1:12" hidden="1" x14ac:dyDescent="0.25">
      <c r="A518">
        <v>904</v>
      </c>
      <c r="B518" t="s">
        <v>2605</v>
      </c>
      <c r="C518" t="s">
        <v>2606</v>
      </c>
      <c r="D518">
        <v>0</v>
      </c>
      <c r="E518" t="str">
        <f>_xlfn.XLOOKUP(F518, Keys!B:B, Keys!A:A, "找不到")</f>
        <v>FA</v>
      </c>
      <c r="F518" t="s">
        <v>63</v>
      </c>
      <c r="G518">
        <v>0.71428026141505685</v>
      </c>
      <c r="H518" t="s">
        <v>64</v>
      </c>
      <c r="I518" t="s">
        <v>65</v>
      </c>
      <c r="J518" t="s">
        <v>2686</v>
      </c>
      <c r="K518">
        <v>0</v>
      </c>
      <c r="L518">
        <v>315.80117203313449</v>
      </c>
    </row>
    <row r="519" spans="1:12" hidden="1" x14ac:dyDescent="0.25">
      <c r="A519">
        <v>905</v>
      </c>
      <c r="B519" t="s">
        <v>2605</v>
      </c>
      <c r="C519" t="s">
        <v>2606</v>
      </c>
      <c r="D519" t="s">
        <v>2712</v>
      </c>
      <c r="E519" t="str">
        <f>_xlfn.XLOOKUP(F519, Keys!B:B, Keys!A:A, "找不到")</f>
        <v>FA</v>
      </c>
      <c r="F519" t="s">
        <v>63</v>
      </c>
      <c r="G519">
        <v>6.0896239671280634</v>
      </c>
      <c r="H519" t="s">
        <v>64</v>
      </c>
      <c r="I519" t="s">
        <v>65</v>
      </c>
      <c r="J519" t="s">
        <v>3887</v>
      </c>
      <c r="K519">
        <v>0</v>
      </c>
      <c r="L519">
        <v>659.48521884597938</v>
      </c>
    </row>
    <row r="520" spans="1:12" hidden="1" x14ac:dyDescent="0.25">
      <c r="A520">
        <v>906</v>
      </c>
      <c r="B520" t="s">
        <v>2605</v>
      </c>
      <c r="C520" t="s">
        <v>2606</v>
      </c>
      <c r="D520" t="s">
        <v>2712</v>
      </c>
      <c r="E520" t="str">
        <f>_xlfn.XLOOKUP(F520, Keys!B:B, Keys!A:A, "找不到")</f>
        <v>FA</v>
      </c>
      <c r="F520" t="s">
        <v>63</v>
      </c>
      <c r="G520">
        <v>0.96894158202096159</v>
      </c>
      <c r="H520" t="s">
        <v>64</v>
      </c>
      <c r="I520" t="s">
        <v>65</v>
      </c>
      <c r="J520" t="s">
        <v>2768</v>
      </c>
      <c r="K520">
        <v>0</v>
      </c>
      <c r="L520">
        <v>300.05123251637292</v>
      </c>
    </row>
    <row r="521" spans="1:12" hidden="1" x14ac:dyDescent="0.25">
      <c r="A521">
        <v>907</v>
      </c>
      <c r="B521" t="s">
        <v>2605</v>
      </c>
      <c r="C521" t="s">
        <v>2606</v>
      </c>
      <c r="D521" t="s">
        <v>2712</v>
      </c>
      <c r="E521" t="str">
        <f>_xlfn.XLOOKUP(F521, Keys!B:B, Keys!A:A, "找不到")</f>
        <v>FA</v>
      </c>
      <c r="F521" t="s">
        <v>63</v>
      </c>
      <c r="G521">
        <v>2.250330132211587</v>
      </c>
      <c r="H521" t="s">
        <v>64</v>
      </c>
      <c r="I521" t="s">
        <v>65</v>
      </c>
      <c r="J521" t="s">
        <v>2768</v>
      </c>
      <c r="K521">
        <v>0</v>
      </c>
      <c r="L521">
        <v>479.62629155408939</v>
      </c>
    </row>
    <row r="522" spans="1:12" hidden="1" x14ac:dyDescent="0.25">
      <c r="A522">
        <v>908</v>
      </c>
      <c r="B522" t="s">
        <v>2605</v>
      </c>
      <c r="C522" t="s">
        <v>2606</v>
      </c>
      <c r="D522" t="s">
        <v>2712</v>
      </c>
      <c r="E522" t="str">
        <f>_xlfn.XLOOKUP(F522, Keys!B:B, Keys!A:A, "找不到")</f>
        <v>FA</v>
      </c>
      <c r="F522" t="s">
        <v>63</v>
      </c>
      <c r="G522">
        <v>2.8215292489998349</v>
      </c>
      <c r="H522" t="s">
        <v>64</v>
      </c>
      <c r="I522" t="s">
        <v>65</v>
      </c>
      <c r="J522" t="s">
        <v>2722</v>
      </c>
      <c r="K522">
        <v>0</v>
      </c>
      <c r="L522">
        <v>544.48397852734172</v>
      </c>
    </row>
    <row r="523" spans="1:12" hidden="1" x14ac:dyDescent="0.25">
      <c r="A523">
        <v>909</v>
      </c>
      <c r="B523" t="s">
        <v>2605</v>
      </c>
      <c r="C523" t="s">
        <v>2606</v>
      </c>
      <c r="D523">
        <v>0</v>
      </c>
      <c r="E523" t="str">
        <f>_xlfn.XLOOKUP(F523, Keys!B:B, Keys!A:A, "找不到")</f>
        <v>FA</v>
      </c>
      <c r="F523" t="s">
        <v>63</v>
      </c>
      <c r="G523">
        <v>1.1714079818386349</v>
      </c>
      <c r="H523" t="s">
        <v>64</v>
      </c>
      <c r="I523" t="s">
        <v>65</v>
      </c>
      <c r="J523" t="s">
        <v>2691</v>
      </c>
      <c r="K523">
        <v>0</v>
      </c>
      <c r="L523">
        <v>286.85062514696563</v>
      </c>
    </row>
    <row r="524" spans="1:12" hidden="1" x14ac:dyDescent="0.25">
      <c r="A524">
        <v>913</v>
      </c>
      <c r="B524" t="s">
        <v>2605</v>
      </c>
      <c r="C524" t="s">
        <v>2606</v>
      </c>
      <c r="D524">
        <v>0</v>
      </c>
      <c r="E524" t="str">
        <f>_xlfn.XLOOKUP(F524, Keys!B:B, Keys!A:A, "找不到")</f>
        <v>FA</v>
      </c>
      <c r="F524" t="s">
        <v>63</v>
      </c>
      <c r="G524">
        <v>0.41239642886464528</v>
      </c>
      <c r="H524" t="s">
        <v>64</v>
      </c>
      <c r="I524" t="s">
        <v>65</v>
      </c>
      <c r="J524" t="s">
        <v>3890</v>
      </c>
      <c r="K524">
        <v>0</v>
      </c>
      <c r="L524">
        <v>173.09436973255799</v>
      </c>
    </row>
    <row r="525" spans="1:12" hidden="1" x14ac:dyDescent="0.25">
      <c r="A525">
        <v>914</v>
      </c>
      <c r="B525" t="s">
        <v>2605</v>
      </c>
      <c r="C525" t="s">
        <v>2606</v>
      </c>
      <c r="D525">
        <v>0</v>
      </c>
      <c r="E525" t="str">
        <f>_xlfn.XLOOKUP(F525, Keys!B:B, Keys!A:A, "找不到")</f>
        <v>FA</v>
      </c>
      <c r="F525" t="s">
        <v>63</v>
      </c>
      <c r="G525">
        <v>0.17935833326844869</v>
      </c>
      <c r="H525" t="s">
        <v>64</v>
      </c>
      <c r="I525" t="s">
        <v>65</v>
      </c>
      <c r="J525">
        <v>0</v>
      </c>
      <c r="K525">
        <v>0</v>
      </c>
      <c r="L525">
        <v>105.32287280057059</v>
      </c>
    </row>
    <row r="526" spans="1:12" hidden="1" x14ac:dyDescent="0.25">
      <c r="A526">
        <v>915</v>
      </c>
      <c r="B526" t="s">
        <v>2605</v>
      </c>
      <c r="C526" t="s">
        <v>2606</v>
      </c>
      <c r="D526">
        <v>0</v>
      </c>
      <c r="E526" t="str">
        <f>_xlfn.XLOOKUP(F526, Keys!B:B, Keys!A:A, "找不到")</f>
        <v>FA</v>
      </c>
      <c r="F526" t="s">
        <v>63</v>
      </c>
      <c r="G526">
        <v>4.224977652944855E-2</v>
      </c>
      <c r="H526" t="s">
        <v>64</v>
      </c>
      <c r="I526" t="s">
        <v>65</v>
      </c>
      <c r="J526">
        <v>0</v>
      </c>
      <c r="K526">
        <v>0</v>
      </c>
      <c r="L526">
        <v>50.858008153574247</v>
      </c>
    </row>
    <row r="527" spans="1:12" hidden="1" x14ac:dyDescent="0.25">
      <c r="A527">
        <v>916</v>
      </c>
      <c r="B527" t="s">
        <v>2605</v>
      </c>
      <c r="C527" t="s">
        <v>2606</v>
      </c>
      <c r="D527">
        <v>0</v>
      </c>
      <c r="E527" t="str">
        <f>_xlfn.XLOOKUP(F527, Keys!B:B, Keys!A:A, "找不到")</f>
        <v>FA</v>
      </c>
      <c r="F527" t="s">
        <v>63</v>
      </c>
      <c r="G527">
        <v>9.8360361719179844E-3</v>
      </c>
      <c r="H527" t="s">
        <v>64</v>
      </c>
      <c r="I527" t="s">
        <v>65</v>
      </c>
      <c r="J527" t="s">
        <v>3893</v>
      </c>
      <c r="K527">
        <v>0</v>
      </c>
      <c r="L527">
        <v>34.012434522825423</v>
      </c>
    </row>
    <row r="528" spans="1:12" hidden="1" x14ac:dyDescent="0.25">
      <c r="A528">
        <v>919</v>
      </c>
      <c r="B528" t="s">
        <v>2605</v>
      </c>
      <c r="C528" t="s">
        <v>2606</v>
      </c>
      <c r="D528" t="s">
        <v>57</v>
      </c>
      <c r="E528" t="str">
        <f>_xlfn.XLOOKUP(F528, Keys!B:B, Keys!A:A, "找不到")</f>
        <v>FA</v>
      </c>
      <c r="F528" t="s">
        <v>63</v>
      </c>
      <c r="G528">
        <v>6.7681335973983668E-3</v>
      </c>
      <c r="H528" t="s">
        <v>64</v>
      </c>
      <c r="I528" t="s">
        <v>65</v>
      </c>
      <c r="J528" t="s">
        <v>3901</v>
      </c>
      <c r="K528">
        <v>0</v>
      </c>
      <c r="L528">
        <v>28.332972414211682</v>
      </c>
    </row>
    <row r="529" spans="1:12" hidden="1" x14ac:dyDescent="0.25">
      <c r="A529">
        <v>926</v>
      </c>
      <c r="B529" t="s">
        <v>2605</v>
      </c>
      <c r="C529" t="s">
        <v>2606</v>
      </c>
      <c r="D529" t="s">
        <v>57</v>
      </c>
      <c r="E529" t="str">
        <f>_xlfn.XLOOKUP(F529, Keys!B:B, Keys!A:A, "找不到")</f>
        <v>FA</v>
      </c>
      <c r="F529" t="s">
        <v>63</v>
      </c>
      <c r="G529">
        <v>2.2882509281315741E-3</v>
      </c>
      <c r="H529" t="s">
        <v>64</v>
      </c>
      <c r="I529" t="s">
        <v>65</v>
      </c>
      <c r="J529" t="s">
        <v>57</v>
      </c>
      <c r="K529">
        <v>0</v>
      </c>
      <c r="L529">
        <v>14.927786506696309</v>
      </c>
    </row>
    <row r="530" spans="1:12" hidden="1" x14ac:dyDescent="0.25">
      <c r="A530">
        <v>927</v>
      </c>
      <c r="B530" t="s">
        <v>2605</v>
      </c>
      <c r="C530" t="s">
        <v>2606</v>
      </c>
      <c r="D530" t="s">
        <v>57</v>
      </c>
      <c r="E530" t="str">
        <f>_xlfn.XLOOKUP(F530, Keys!B:B, Keys!A:A, "找不到")</f>
        <v>FA</v>
      </c>
      <c r="F530" t="s">
        <v>63</v>
      </c>
      <c r="G530">
        <v>1.394263562210393E-3</v>
      </c>
      <c r="H530" t="s">
        <v>64</v>
      </c>
      <c r="I530" t="s">
        <v>65</v>
      </c>
      <c r="J530" t="s">
        <v>57</v>
      </c>
      <c r="K530">
        <v>0</v>
      </c>
      <c r="L530">
        <v>9.5588293693487518</v>
      </c>
    </row>
    <row r="531" spans="1:12" hidden="1" x14ac:dyDescent="0.25">
      <c r="A531">
        <v>928</v>
      </c>
      <c r="B531" t="s">
        <v>2605</v>
      </c>
      <c r="C531" t="s">
        <v>2606</v>
      </c>
      <c r="D531">
        <v>0</v>
      </c>
      <c r="E531" t="str">
        <f>_xlfn.XLOOKUP(F531, Keys!B:B, Keys!A:A, "找不到")</f>
        <v>FA</v>
      </c>
      <c r="F531" t="s">
        <v>63</v>
      </c>
      <c r="G531">
        <v>1.257380120736873E-3</v>
      </c>
      <c r="H531" t="s">
        <v>64</v>
      </c>
      <c r="I531" t="s">
        <v>65</v>
      </c>
      <c r="J531" t="s">
        <v>57</v>
      </c>
      <c r="K531">
        <v>0</v>
      </c>
      <c r="L531">
        <v>10.02822885519106</v>
      </c>
    </row>
    <row r="532" spans="1:12" hidden="1" x14ac:dyDescent="0.25">
      <c r="A532">
        <v>929</v>
      </c>
      <c r="B532" t="s">
        <v>2605</v>
      </c>
      <c r="C532" t="s">
        <v>2606</v>
      </c>
      <c r="D532" t="s">
        <v>57</v>
      </c>
      <c r="E532" t="str">
        <f>_xlfn.XLOOKUP(F532, Keys!B:B, Keys!A:A, "找不到")</f>
        <v>FA</v>
      </c>
      <c r="F532" t="s">
        <v>63</v>
      </c>
      <c r="G532">
        <v>8.6062132923163241E-4</v>
      </c>
      <c r="H532" t="s">
        <v>64</v>
      </c>
      <c r="I532" t="s">
        <v>65</v>
      </c>
      <c r="J532" t="s">
        <v>57</v>
      </c>
      <c r="K532">
        <v>0</v>
      </c>
      <c r="L532">
        <v>7.9630314290935207</v>
      </c>
    </row>
    <row r="533" spans="1:12" hidden="1" x14ac:dyDescent="0.25">
      <c r="A533">
        <v>931</v>
      </c>
      <c r="B533" t="s">
        <v>2605</v>
      </c>
      <c r="C533" t="s">
        <v>2606</v>
      </c>
      <c r="D533" t="s">
        <v>57</v>
      </c>
      <c r="E533" t="str">
        <f>_xlfn.XLOOKUP(F533, Keys!B:B, Keys!A:A, "找不到")</f>
        <v>FA</v>
      </c>
      <c r="F533" t="s">
        <v>63</v>
      </c>
      <c r="G533">
        <v>2.1612779449691169E-3</v>
      </c>
      <c r="H533" t="s">
        <v>64</v>
      </c>
      <c r="I533" t="s">
        <v>65</v>
      </c>
      <c r="J533" t="s">
        <v>57</v>
      </c>
      <c r="K533">
        <v>0</v>
      </c>
      <c r="L533">
        <v>19.180841958107731</v>
      </c>
    </row>
    <row r="534" spans="1:12" hidden="1" x14ac:dyDescent="0.25">
      <c r="A534">
        <v>939</v>
      </c>
      <c r="B534" t="s">
        <v>2605</v>
      </c>
      <c r="C534" t="s">
        <v>2606</v>
      </c>
      <c r="D534">
        <v>0</v>
      </c>
      <c r="E534" t="str">
        <f>_xlfn.XLOOKUP(F534, Keys!B:B, Keys!A:A, "找不到")</f>
        <v>FA</v>
      </c>
      <c r="F534" t="s">
        <v>63</v>
      </c>
      <c r="G534">
        <v>0.12371739010665719</v>
      </c>
      <c r="H534" t="s">
        <v>64</v>
      </c>
      <c r="I534" t="s">
        <v>65</v>
      </c>
      <c r="J534">
        <v>0</v>
      </c>
      <c r="K534">
        <v>0</v>
      </c>
      <c r="L534">
        <v>91.035377229006798</v>
      </c>
    </row>
    <row r="535" spans="1:12" hidden="1" x14ac:dyDescent="0.25">
      <c r="A535">
        <v>940</v>
      </c>
      <c r="B535" t="s">
        <v>2605</v>
      </c>
      <c r="C535" t="s">
        <v>2606</v>
      </c>
      <c r="D535">
        <v>0</v>
      </c>
      <c r="E535" t="str">
        <f>_xlfn.XLOOKUP(F535, Keys!B:B, Keys!A:A, "找不到")</f>
        <v>FA</v>
      </c>
      <c r="F535" t="s">
        <v>63</v>
      </c>
      <c r="G535">
        <v>8.3040657286820987E-2</v>
      </c>
      <c r="H535" t="s">
        <v>64</v>
      </c>
      <c r="I535" t="s">
        <v>65</v>
      </c>
      <c r="J535">
        <v>0</v>
      </c>
      <c r="K535">
        <v>0</v>
      </c>
      <c r="L535">
        <v>75.47471431007142</v>
      </c>
    </row>
    <row r="536" spans="1:12" hidden="1" x14ac:dyDescent="0.25">
      <c r="A536">
        <v>941</v>
      </c>
      <c r="B536" t="s">
        <v>2605</v>
      </c>
      <c r="C536" t="s">
        <v>2606</v>
      </c>
      <c r="D536">
        <v>0</v>
      </c>
      <c r="E536" t="str">
        <f>_xlfn.XLOOKUP(F536, Keys!B:B, Keys!A:A, "找不到")</f>
        <v>FA</v>
      </c>
      <c r="F536" t="s">
        <v>63</v>
      </c>
      <c r="G536">
        <v>4.2095110900075297E-2</v>
      </c>
      <c r="H536" t="s">
        <v>64</v>
      </c>
      <c r="I536" t="s">
        <v>65</v>
      </c>
      <c r="J536">
        <v>0</v>
      </c>
      <c r="K536">
        <v>0</v>
      </c>
      <c r="L536">
        <v>63.005459364417277</v>
      </c>
    </row>
    <row r="537" spans="1:12" hidden="1" x14ac:dyDescent="0.25">
      <c r="A537">
        <v>942</v>
      </c>
      <c r="B537" t="s">
        <v>2605</v>
      </c>
      <c r="C537" t="s">
        <v>2606</v>
      </c>
      <c r="D537">
        <v>0</v>
      </c>
      <c r="E537" t="str">
        <f>_xlfn.XLOOKUP(F537, Keys!B:B, Keys!A:A, "找不到")</f>
        <v>FA</v>
      </c>
      <c r="F537" t="s">
        <v>63</v>
      </c>
      <c r="G537">
        <v>0.27028250937233123</v>
      </c>
      <c r="H537" t="s">
        <v>64</v>
      </c>
      <c r="I537" t="s">
        <v>65</v>
      </c>
      <c r="J537">
        <v>0</v>
      </c>
      <c r="K537">
        <v>0</v>
      </c>
      <c r="L537">
        <v>132.58047089876041</v>
      </c>
    </row>
    <row r="538" spans="1:12" hidden="1" x14ac:dyDescent="0.25">
      <c r="A538">
        <v>943</v>
      </c>
      <c r="B538" t="s">
        <v>2605</v>
      </c>
      <c r="C538" t="s">
        <v>2606</v>
      </c>
      <c r="D538">
        <v>0</v>
      </c>
      <c r="E538" t="str">
        <f>_xlfn.XLOOKUP(F538, Keys!B:B, Keys!A:A, "找不到")</f>
        <v>FA</v>
      </c>
      <c r="F538" t="s">
        <v>63</v>
      </c>
      <c r="G538">
        <v>1.1135970135791919</v>
      </c>
      <c r="H538" t="s">
        <v>64</v>
      </c>
      <c r="I538" t="s">
        <v>65</v>
      </c>
      <c r="J538">
        <v>0</v>
      </c>
      <c r="K538">
        <v>0</v>
      </c>
      <c r="L538">
        <v>328.62342734938522</v>
      </c>
    </row>
    <row r="539" spans="1:12" hidden="1" x14ac:dyDescent="0.25">
      <c r="A539">
        <v>947</v>
      </c>
      <c r="B539" t="s">
        <v>2605</v>
      </c>
      <c r="C539" t="s">
        <v>2606</v>
      </c>
      <c r="D539">
        <v>0</v>
      </c>
      <c r="E539" t="str">
        <f>_xlfn.XLOOKUP(F539, Keys!B:B, Keys!A:A, "找不到")</f>
        <v>FA</v>
      </c>
      <c r="F539" t="s">
        <v>63</v>
      </c>
      <c r="G539">
        <v>1.729093088295661E-2</v>
      </c>
      <c r="H539" t="s">
        <v>64</v>
      </c>
      <c r="I539" t="s">
        <v>65</v>
      </c>
      <c r="J539" t="s">
        <v>2691</v>
      </c>
      <c r="K539">
        <v>0</v>
      </c>
      <c r="L539">
        <v>33.884034540226992</v>
      </c>
    </row>
    <row r="540" spans="1:12" hidden="1" x14ac:dyDescent="0.25">
      <c r="A540">
        <v>948</v>
      </c>
      <c r="B540" t="s">
        <v>2605</v>
      </c>
      <c r="C540" t="s">
        <v>2606</v>
      </c>
      <c r="D540">
        <v>0</v>
      </c>
      <c r="E540" t="str">
        <f>_xlfn.XLOOKUP(F540, Keys!B:B, Keys!A:A, "找不到")</f>
        <v>FA</v>
      </c>
      <c r="F540" t="s">
        <v>63</v>
      </c>
      <c r="G540">
        <v>7.880337692736223</v>
      </c>
      <c r="H540" t="s">
        <v>64</v>
      </c>
      <c r="I540" t="s">
        <v>65</v>
      </c>
      <c r="J540" t="s">
        <v>3094</v>
      </c>
      <c r="K540">
        <v>0</v>
      </c>
      <c r="L540">
        <v>719.20274310284049</v>
      </c>
    </row>
    <row r="541" spans="1:12" hidden="1" x14ac:dyDescent="0.25">
      <c r="A541">
        <v>949</v>
      </c>
      <c r="B541" t="s">
        <v>2605</v>
      </c>
      <c r="C541" t="s">
        <v>2606</v>
      </c>
      <c r="D541">
        <v>0</v>
      </c>
      <c r="E541" t="str">
        <f>_xlfn.XLOOKUP(F541, Keys!B:B, Keys!A:A, "找不到")</f>
        <v>FA</v>
      </c>
      <c r="F541" t="s">
        <v>63</v>
      </c>
      <c r="G541">
        <v>5.3410421654838958</v>
      </c>
      <c r="H541" t="s">
        <v>64</v>
      </c>
      <c r="I541" t="s">
        <v>65</v>
      </c>
      <c r="J541" t="s">
        <v>3094</v>
      </c>
      <c r="K541">
        <v>0</v>
      </c>
      <c r="L541">
        <v>607.69372618687896</v>
      </c>
    </row>
    <row r="542" spans="1:12" hidden="1" x14ac:dyDescent="0.25">
      <c r="A542">
        <v>951</v>
      </c>
      <c r="B542" t="s">
        <v>2605</v>
      </c>
      <c r="C542" t="s">
        <v>2606</v>
      </c>
      <c r="D542">
        <v>0</v>
      </c>
      <c r="E542" t="str">
        <f>_xlfn.XLOOKUP(F542, Keys!B:B, Keys!A:A, "找不到")</f>
        <v>FA</v>
      </c>
      <c r="F542" t="s">
        <v>63</v>
      </c>
      <c r="G542">
        <v>5.9327443627507692E-2</v>
      </c>
      <c r="H542" t="s">
        <v>64</v>
      </c>
      <c r="I542" t="s">
        <v>65</v>
      </c>
      <c r="J542" t="s">
        <v>57</v>
      </c>
      <c r="K542">
        <v>0</v>
      </c>
      <c r="L542">
        <v>60.728553737461787</v>
      </c>
    </row>
    <row r="543" spans="1:12" hidden="1" x14ac:dyDescent="0.25">
      <c r="A543">
        <v>952</v>
      </c>
      <c r="B543" t="s">
        <v>2605</v>
      </c>
      <c r="C543" t="s">
        <v>2606</v>
      </c>
      <c r="D543">
        <v>0</v>
      </c>
      <c r="E543" t="str">
        <f>_xlfn.XLOOKUP(F543, Keys!B:B, Keys!A:A, "找不到")</f>
        <v>FA</v>
      </c>
      <c r="F543" t="s">
        <v>63</v>
      </c>
      <c r="G543">
        <v>2.5466090216074599E-2</v>
      </c>
      <c r="H543" t="s">
        <v>64</v>
      </c>
      <c r="I543" t="s">
        <v>65</v>
      </c>
      <c r="J543" t="s">
        <v>57</v>
      </c>
      <c r="K543">
        <v>0</v>
      </c>
      <c r="L543">
        <v>38.749675639749263</v>
      </c>
    </row>
    <row r="544" spans="1:12" hidden="1" x14ac:dyDescent="0.25">
      <c r="A544">
        <v>953</v>
      </c>
      <c r="B544" t="s">
        <v>2605</v>
      </c>
      <c r="C544" t="s">
        <v>2606</v>
      </c>
      <c r="D544">
        <v>0</v>
      </c>
      <c r="E544" t="str">
        <f>_xlfn.XLOOKUP(F544, Keys!B:B, Keys!A:A, "找不到")</f>
        <v>FA</v>
      </c>
      <c r="F544" t="s">
        <v>63</v>
      </c>
      <c r="G544">
        <v>1.5319730371426671E-2</v>
      </c>
      <c r="H544" t="s">
        <v>64</v>
      </c>
      <c r="I544" t="s">
        <v>65</v>
      </c>
      <c r="J544" t="s">
        <v>57</v>
      </c>
      <c r="K544">
        <v>0</v>
      </c>
      <c r="L544">
        <v>39.948001126982859</v>
      </c>
    </row>
    <row r="545" spans="1:12" hidden="1" x14ac:dyDescent="0.25">
      <c r="A545">
        <v>954</v>
      </c>
      <c r="B545" t="s">
        <v>2605</v>
      </c>
      <c r="C545" t="s">
        <v>2606</v>
      </c>
      <c r="D545">
        <v>0</v>
      </c>
      <c r="E545" t="str">
        <f>_xlfn.XLOOKUP(F545, Keys!B:B, Keys!A:A, "找不到")</f>
        <v>FA</v>
      </c>
      <c r="F545" t="s">
        <v>63</v>
      </c>
      <c r="G545">
        <v>1.949465093534702E-3</v>
      </c>
      <c r="H545" t="s">
        <v>64</v>
      </c>
      <c r="I545" t="s">
        <v>65</v>
      </c>
      <c r="J545" t="s">
        <v>57</v>
      </c>
      <c r="K545">
        <v>0</v>
      </c>
      <c r="L545">
        <v>12.139629486516499</v>
      </c>
    </row>
    <row r="546" spans="1:12" hidden="1" x14ac:dyDescent="0.25">
      <c r="A546">
        <v>959</v>
      </c>
      <c r="B546" t="s">
        <v>2605</v>
      </c>
      <c r="C546" t="s">
        <v>2606</v>
      </c>
      <c r="D546">
        <v>0</v>
      </c>
      <c r="E546" t="str">
        <f>_xlfn.XLOOKUP(F546, Keys!B:B, Keys!A:A, "找不到")</f>
        <v>FA</v>
      </c>
      <c r="F546" t="s">
        <v>63</v>
      </c>
      <c r="G546">
        <v>1.036994661713466</v>
      </c>
      <c r="H546" t="s">
        <v>64</v>
      </c>
      <c r="I546" t="s">
        <v>65</v>
      </c>
      <c r="J546" t="s">
        <v>57</v>
      </c>
      <c r="K546">
        <v>0</v>
      </c>
      <c r="L546">
        <v>392.67889237188291</v>
      </c>
    </row>
    <row r="547" spans="1:12" hidden="1" x14ac:dyDescent="0.25">
      <c r="A547">
        <v>969</v>
      </c>
      <c r="B547" t="s">
        <v>2605</v>
      </c>
      <c r="C547" t="s">
        <v>2606</v>
      </c>
      <c r="D547">
        <v>0</v>
      </c>
      <c r="E547" t="str">
        <f>_xlfn.XLOOKUP(F547, Keys!B:B, Keys!A:A, "找不到")</f>
        <v>FA</v>
      </c>
      <c r="F547" t="s">
        <v>63</v>
      </c>
      <c r="G547">
        <v>0.1174179516569914</v>
      </c>
      <c r="H547" t="s">
        <v>64</v>
      </c>
      <c r="I547" t="s">
        <v>65</v>
      </c>
      <c r="J547">
        <v>0</v>
      </c>
      <c r="K547">
        <v>0</v>
      </c>
      <c r="L547">
        <v>115.3285070163286</v>
      </c>
    </row>
    <row r="548" spans="1:12" hidden="1" x14ac:dyDescent="0.25">
      <c r="A548">
        <v>970</v>
      </c>
      <c r="B548" t="s">
        <v>2605</v>
      </c>
      <c r="C548" t="s">
        <v>2606</v>
      </c>
      <c r="D548">
        <v>0</v>
      </c>
      <c r="E548" t="str">
        <f>_xlfn.XLOOKUP(F548, Keys!B:B, Keys!A:A, "找不到")</f>
        <v>FA</v>
      </c>
      <c r="F548" t="s">
        <v>63</v>
      </c>
      <c r="G548">
        <v>0.4915688994578189</v>
      </c>
      <c r="H548" t="s">
        <v>64</v>
      </c>
      <c r="I548" t="s">
        <v>65</v>
      </c>
      <c r="J548" t="s">
        <v>2691</v>
      </c>
      <c r="K548">
        <v>0</v>
      </c>
      <c r="L548">
        <v>198.76924797477091</v>
      </c>
    </row>
    <row r="549" spans="1:12" hidden="1" x14ac:dyDescent="0.25">
      <c r="A549">
        <v>972</v>
      </c>
      <c r="B549" t="s">
        <v>2605</v>
      </c>
      <c r="C549" t="s">
        <v>2606</v>
      </c>
      <c r="D549">
        <v>0</v>
      </c>
      <c r="E549" t="str">
        <f>_xlfn.XLOOKUP(F549, Keys!B:B, Keys!A:A, "找不到")</f>
        <v>FA</v>
      </c>
      <c r="F549" t="s">
        <v>63</v>
      </c>
      <c r="G549">
        <v>1.4905429882111609</v>
      </c>
      <c r="H549" t="s">
        <v>64</v>
      </c>
      <c r="I549" t="s">
        <v>65</v>
      </c>
      <c r="J549" t="s">
        <v>3755</v>
      </c>
      <c r="K549">
        <v>0</v>
      </c>
      <c r="L549">
        <v>358.67069198439032</v>
      </c>
    </row>
    <row r="550" spans="1:12" hidden="1" x14ac:dyDescent="0.25">
      <c r="A550">
        <v>977</v>
      </c>
      <c r="B550" t="s">
        <v>2605</v>
      </c>
      <c r="C550" t="s">
        <v>2606</v>
      </c>
      <c r="D550" t="s">
        <v>3027</v>
      </c>
      <c r="E550" t="str">
        <f>_xlfn.XLOOKUP(F550, Keys!B:B, Keys!A:A, "找不到")</f>
        <v>FA</v>
      </c>
      <c r="F550" t="s">
        <v>63</v>
      </c>
      <c r="G550">
        <v>1.4047102459436429</v>
      </c>
      <c r="H550" t="s">
        <v>64</v>
      </c>
      <c r="I550" t="s">
        <v>65</v>
      </c>
      <c r="J550" t="s">
        <v>3068</v>
      </c>
      <c r="K550">
        <v>0</v>
      </c>
      <c r="L550">
        <v>336.14223394197739</v>
      </c>
    </row>
    <row r="551" spans="1:12" hidden="1" x14ac:dyDescent="0.25">
      <c r="A551">
        <v>979</v>
      </c>
      <c r="B551" t="s">
        <v>2605</v>
      </c>
      <c r="C551" t="s">
        <v>2606</v>
      </c>
      <c r="D551">
        <v>0</v>
      </c>
      <c r="E551" t="str">
        <f>_xlfn.XLOOKUP(F551, Keys!B:B, Keys!A:A, "找不到")</f>
        <v>FA</v>
      </c>
      <c r="F551" t="s">
        <v>63</v>
      </c>
      <c r="G551">
        <v>1.971994668062403</v>
      </c>
      <c r="H551" t="s">
        <v>64</v>
      </c>
      <c r="I551" t="s">
        <v>65</v>
      </c>
      <c r="J551" t="s">
        <v>2801</v>
      </c>
      <c r="K551">
        <v>0</v>
      </c>
      <c r="L551">
        <v>524.42358072540549</v>
      </c>
    </row>
    <row r="552" spans="1:12" hidden="1" x14ac:dyDescent="0.25">
      <c r="A552">
        <v>984</v>
      </c>
      <c r="B552" t="s">
        <v>2605</v>
      </c>
      <c r="C552" t="s">
        <v>2606</v>
      </c>
      <c r="D552">
        <v>0</v>
      </c>
      <c r="E552" t="str">
        <f>_xlfn.XLOOKUP(F552, Keys!B:B, Keys!A:A, "找不到")</f>
        <v>FA</v>
      </c>
      <c r="F552" t="s">
        <v>63</v>
      </c>
      <c r="G552">
        <v>6.2840257608449912E-2</v>
      </c>
      <c r="H552" t="s">
        <v>64</v>
      </c>
      <c r="I552" t="s">
        <v>65</v>
      </c>
      <c r="J552" t="s">
        <v>3287</v>
      </c>
      <c r="K552">
        <v>0</v>
      </c>
      <c r="L552">
        <v>75.797558448956494</v>
      </c>
    </row>
    <row r="553" spans="1:12" hidden="1" x14ac:dyDescent="0.25">
      <c r="A553">
        <v>985</v>
      </c>
      <c r="B553" t="s">
        <v>2605</v>
      </c>
      <c r="C553" t="s">
        <v>2606</v>
      </c>
      <c r="D553">
        <v>0</v>
      </c>
      <c r="E553" t="str">
        <f>_xlfn.XLOOKUP(F553, Keys!B:B, Keys!A:A, "找不到")</f>
        <v>FA</v>
      </c>
      <c r="F553" t="s">
        <v>63</v>
      </c>
      <c r="G553">
        <v>0.6215370856430471</v>
      </c>
      <c r="H553" t="s">
        <v>64</v>
      </c>
      <c r="I553" t="s">
        <v>65</v>
      </c>
      <c r="J553" t="s">
        <v>3287</v>
      </c>
      <c r="K553">
        <v>0</v>
      </c>
      <c r="L553">
        <v>228.8790413311408</v>
      </c>
    </row>
    <row r="554" spans="1:12" hidden="1" x14ac:dyDescent="0.25">
      <c r="A554">
        <v>986</v>
      </c>
      <c r="B554" t="s">
        <v>2605</v>
      </c>
      <c r="C554" t="s">
        <v>2606</v>
      </c>
      <c r="D554">
        <v>0</v>
      </c>
      <c r="E554" t="str">
        <f>_xlfn.XLOOKUP(F554, Keys!B:B, Keys!A:A, "找不到")</f>
        <v>FA</v>
      </c>
      <c r="F554" t="s">
        <v>63</v>
      </c>
      <c r="G554">
        <v>0.68781754133809903</v>
      </c>
      <c r="H554" t="s">
        <v>64</v>
      </c>
      <c r="I554" t="s">
        <v>65</v>
      </c>
      <c r="J554" t="s">
        <v>3287</v>
      </c>
      <c r="K554">
        <v>0</v>
      </c>
      <c r="L554">
        <v>391.10284746169282</v>
      </c>
    </row>
    <row r="555" spans="1:12" hidden="1" x14ac:dyDescent="0.25">
      <c r="A555">
        <v>992</v>
      </c>
      <c r="B555" t="s">
        <v>2605</v>
      </c>
      <c r="C555" t="s">
        <v>2606</v>
      </c>
      <c r="D555">
        <v>0</v>
      </c>
      <c r="E555" t="str">
        <f>_xlfn.XLOOKUP(F555, Keys!B:B, Keys!A:A, "找不到")</f>
        <v>FA</v>
      </c>
      <c r="F555" t="s">
        <v>63</v>
      </c>
      <c r="G555">
        <v>2.9303618359529349</v>
      </c>
      <c r="H555" t="s">
        <v>64</v>
      </c>
      <c r="I555" t="s">
        <v>65</v>
      </c>
      <c r="J555" t="s">
        <v>3524</v>
      </c>
      <c r="K555">
        <v>0</v>
      </c>
      <c r="L555">
        <v>735.23919174271123</v>
      </c>
    </row>
    <row r="556" spans="1:12" hidden="1" x14ac:dyDescent="0.25">
      <c r="A556">
        <v>993</v>
      </c>
      <c r="B556" t="s">
        <v>2605</v>
      </c>
      <c r="C556" t="s">
        <v>2606</v>
      </c>
      <c r="D556">
        <v>0</v>
      </c>
      <c r="E556" t="str">
        <f>_xlfn.XLOOKUP(F556, Keys!B:B, Keys!A:A, "找不到")</f>
        <v>FA</v>
      </c>
      <c r="F556" t="s">
        <v>63</v>
      </c>
      <c r="G556">
        <v>3.692370351127809</v>
      </c>
      <c r="H556" t="s">
        <v>64</v>
      </c>
      <c r="I556" t="s">
        <v>65</v>
      </c>
      <c r="J556" t="s">
        <v>3548</v>
      </c>
      <c r="K556">
        <v>0</v>
      </c>
      <c r="L556">
        <v>603.50854046626898</v>
      </c>
    </row>
    <row r="557" spans="1:12" hidden="1" x14ac:dyDescent="0.25">
      <c r="A557">
        <v>995</v>
      </c>
      <c r="B557" t="s">
        <v>2605</v>
      </c>
      <c r="C557" t="s">
        <v>2606</v>
      </c>
      <c r="D557">
        <v>0</v>
      </c>
      <c r="E557" t="str">
        <f>_xlfn.XLOOKUP(F557, Keys!B:B, Keys!A:A, "找不到")</f>
        <v>FA</v>
      </c>
      <c r="F557" t="s">
        <v>63</v>
      </c>
      <c r="G557">
        <v>0.16612918542007959</v>
      </c>
      <c r="H557" t="s">
        <v>64</v>
      </c>
      <c r="I557" t="s">
        <v>65</v>
      </c>
      <c r="J557" t="s">
        <v>3038</v>
      </c>
      <c r="K557">
        <v>0</v>
      </c>
      <c r="L557">
        <v>197.5401651115572</v>
      </c>
    </row>
    <row r="558" spans="1:12" hidden="1" x14ac:dyDescent="0.25">
      <c r="A558">
        <v>1004</v>
      </c>
      <c r="B558" t="s">
        <v>2605</v>
      </c>
      <c r="C558" t="s">
        <v>2606</v>
      </c>
      <c r="D558" t="s">
        <v>3027</v>
      </c>
      <c r="E558" t="str">
        <f>_xlfn.XLOOKUP(F558, Keys!B:B, Keys!A:A, "找不到")</f>
        <v>FA</v>
      </c>
      <c r="F558" t="s">
        <v>63</v>
      </c>
      <c r="G558">
        <v>1.334272936046639</v>
      </c>
      <c r="H558" t="s">
        <v>64</v>
      </c>
      <c r="I558" t="s">
        <v>65</v>
      </c>
      <c r="J558" t="s">
        <v>3097</v>
      </c>
      <c r="K558">
        <v>0</v>
      </c>
      <c r="L558">
        <v>299.32857057054912</v>
      </c>
    </row>
    <row r="559" spans="1:12" hidden="1" x14ac:dyDescent="0.25">
      <c r="A559">
        <v>1015</v>
      </c>
      <c r="B559" t="s">
        <v>2605</v>
      </c>
      <c r="C559" t="s">
        <v>2606</v>
      </c>
      <c r="D559" t="s">
        <v>3027</v>
      </c>
      <c r="E559" t="str">
        <f>_xlfn.XLOOKUP(F559, Keys!B:B, Keys!A:A, "找不到")</f>
        <v>FA</v>
      </c>
      <c r="F559" t="s">
        <v>63</v>
      </c>
      <c r="G559">
        <v>1.030252630388045</v>
      </c>
      <c r="H559" t="s">
        <v>64</v>
      </c>
      <c r="I559" t="s">
        <v>65</v>
      </c>
      <c r="J559" t="s">
        <v>3097</v>
      </c>
      <c r="K559">
        <v>0</v>
      </c>
      <c r="L559">
        <v>285.91304031776821</v>
      </c>
    </row>
    <row r="560" spans="1:12" hidden="1" x14ac:dyDescent="0.25">
      <c r="A560">
        <v>1017</v>
      </c>
      <c r="B560" t="s">
        <v>2605</v>
      </c>
      <c r="C560" t="s">
        <v>2606</v>
      </c>
      <c r="D560">
        <v>0</v>
      </c>
      <c r="E560" t="str">
        <f>_xlfn.XLOOKUP(F560, Keys!B:B, Keys!A:A, "找不到")</f>
        <v>FA</v>
      </c>
      <c r="F560" t="s">
        <v>63</v>
      </c>
      <c r="G560">
        <v>0.27218105184528668</v>
      </c>
      <c r="H560" t="s">
        <v>64</v>
      </c>
      <c r="I560" t="s">
        <v>65</v>
      </c>
      <c r="J560">
        <v>0</v>
      </c>
      <c r="K560">
        <v>0</v>
      </c>
      <c r="L560">
        <v>143.69366310261009</v>
      </c>
    </row>
    <row r="561" spans="1:12" hidden="1" x14ac:dyDescent="0.25">
      <c r="A561">
        <v>1018</v>
      </c>
      <c r="B561" t="s">
        <v>2605</v>
      </c>
      <c r="C561" t="s">
        <v>2606</v>
      </c>
      <c r="D561">
        <v>0</v>
      </c>
      <c r="E561" t="str">
        <f>_xlfn.XLOOKUP(F561, Keys!B:B, Keys!A:A, "找不到")</f>
        <v>FA</v>
      </c>
      <c r="F561" t="s">
        <v>63</v>
      </c>
      <c r="G561">
        <v>0.45507322191000499</v>
      </c>
      <c r="H561" t="s">
        <v>64</v>
      </c>
      <c r="I561" t="s">
        <v>65</v>
      </c>
      <c r="J561" t="s">
        <v>2801</v>
      </c>
      <c r="K561">
        <v>0</v>
      </c>
      <c r="L561">
        <v>195.25562089576681</v>
      </c>
    </row>
    <row r="562" spans="1:12" hidden="1" x14ac:dyDescent="0.25">
      <c r="A562">
        <v>1019</v>
      </c>
      <c r="B562" t="s">
        <v>2605</v>
      </c>
      <c r="C562" t="s">
        <v>2606</v>
      </c>
      <c r="D562">
        <v>0</v>
      </c>
      <c r="E562" t="str">
        <f>_xlfn.XLOOKUP(F562, Keys!B:B, Keys!A:A, "找不到")</f>
        <v>FA</v>
      </c>
      <c r="F562" t="s">
        <v>63</v>
      </c>
      <c r="G562">
        <v>3.061129347340755E-2</v>
      </c>
      <c r="H562" t="s">
        <v>64</v>
      </c>
      <c r="I562" t="s">
        <v>65</v>
      </c>
      <c r="J562" t="s">
        <v>2756</v>
      </c>
      <c r="K562">
        <v>0</v>
      </c>
      <c r="L562">
        <v>50.909035828560413</v>
      </c>
    </row>
    <row r="563" spans="1:12" hidden="1" x14ac:dyDescent="0.25">
      <c r="A563">
        <v>1020</v>
      </c>
      <c r="B563" t="s">
        <v>2605</v>
      </c>
      <c r="C563" t="s">
        <v>2606</v>
      </c>
      <c r="D563">
        <v>0</v>
      </c>
      <c r="E563" t="str">
        <f>_xlfn.XLOOKUP(F563, Keys!B:B, Keys!A:A, "找不到")</f>
        <v>FA</v>
      </c>
      <c r="F563" t="s">
        <v>63</v>
      </c>
      <c r="G563">
        <v>0.2173486453015756</v>
      </c>
      <c r="H563" t="s">
        <v>64</v>
      </c>
      <c r="I563" t="s">
        <v>65</v>
      </c>
      <c r="J563" t="s">
        <v>2801</v>
      </c>
      <c r="K563">
        <v>0</v>
      </c>
      <c r="L563">
        <v>153.39319108454839</v>
      </c>
    </row>
    <row r="564" spans="1:12" hidden="1" x14ac:dyDescent="0.25">
      <c r="A564">
        <v>1034</v>
      </c>
      <c r="B564" t="s">
        <v>2605</v>
      </c>
      <c r="C564" t="s">
        <v>2606</v>
      </c>
      <c r="D564">
        <v>0</v>
      </c>
      <c r="E564" t="str">
        <f>_xlfn.XLOOKUP(F564, Keys!B:B, Keys!A:A, "找不到")</f>
        <v>FA</v>
      </c>
      <c r="F564" t="s">
        <v>63</v>
      </c>
      <c r="G564">
        <v>0.68217782764533141</v>
      </c>
      <c r="H564" t="s">
        <v>64</v>
      </c>
      <c r="I564" t="s">
        <v>65</v>
      </c>
      <c r="J564" t="s">
        <v>2706</v>
      </c>
      <c r="K564">
        <v>0</v>
      </c>
      <c r="L564">
        <v>219.59675528080371</v>
      </c>
    </row>
    <row r="565" spans="1:12" hidden="1" x14ac:dyDescent="0.25">
      <c r="A565">
        <v>1037</v>
      </c>
      <c r="B565" t="s">
        <v>2605</v>
      </c>
      <c r="C565" t="s">
        <v>2606</v>
      </c>
      <c r="D565">
        <v>0</v>
      </c>
      <c r="E565" t="str">
        <f>_xlfn.XLOOKUP(F565, Keys!B:B, Keys!A:A, "找不到")</f>
        <v>FA</v>
      </c>
      <c r="F565" t="s">
        <v>63</v>
      </c>
      <c r="G565">
        <v>6.2831183816160721E-2</v>
      </c>
      <c r="H565" t="s">
        <v>64</v>
      </c>
      <c r="I565" t="s">
        <v>65</v>
      </c>
      <c r="J565">
        <v>0</v>
      </c>
      <c r="K565">
        <v>0</v>
      </c>
      <c r="L565">
        <v>63.148481067693353</v>
      </c>
    </row>
    <row r="566" spans="1:12" hidden="1" x14ac:dyDescent="0.25">
      <c r="A566">
        <v>1044</v>
      </c>
      <c r="B566" t="s">
        <v>2605</v>
      </c>
      <c r="C566" t="s">
        <v>2606</v>
      </c>
      <c r="D566">
        <v>0</v>
      </c>
      <c r="E566" t="str">
        <f>_xlfn.XLOOKUP(F566, Keys!B:B, Keys!A:A, "找不到")</f>
        <v>FA</v>
      </c>
      <c r="F566" t="s">
        <v>63</v>
      </c>
      <c r="G566">
        <v>0.39678284090997168</v>
      </c>
      <c r="H566" t="s">
        <v>64</v>
      </c>
      <c r="I566" t="s">
        <v>65</v>
      </c>
      <c r="J566" t="s">
        <v>3963</v>
      </c>
      <c r="K566">
        <v>0</v>
      </c>
      <c r="L566">
        <v>281.47160635862548</v>
      </c>
    </row>
    <row r="567" spans="1:12" hidden="1" x14ac:dyDescent="0.25">
      <c r="A567">
        <v>1047</v>
      </c>
      <c r="B567" t="s">
        <v>2605</v>
      </c>
      <c r="C567" t="s">
        <v>2606</v>
      </c>
      <c r="D567">
        <v>0</v>
      </c>
      <c r="E567" t="str">
        <f>_xlfn.XLOOKUP(F567, Keys!B:B, Keys!A:A, "找不到")</f>
        <v>FA</v>
      </c>
      <c r="F567" t="s">
        <v>63</v>
      </c>
      <c r="G567">
        <v>2.530117558263667</v>
      </c>
      <c r="H567" t="s">
        <v>64</v>
      </c>
      <c r="I567" t="s">
        <v>65</v>
      </c>
      <c r="J567" t="s">
        <v>3816</v>
      </c>
      <c r="K567">
        <v>0</v>
      </c>
      <c r="L567">
        <v>630.50447884749667</v>
      </c>
    </row>
    <row r="568" spans="1:12" hidden="1" x14ac:dyDescent="0.25">
      <c r="A568">
        <v>1049</v>
      </c>
      <c r="B568" t="s">
        <v>2605</v>
      </c>
      <c r="C568" t="s">
        <v>2606</v>
      </c>
      <c r="D568" t="s">
        <v>2702</v>
      </c>
      <c r="E568" t="str">
        <f>_xlfn.XLOOKUP(F568, Keys!B:B, Keys!A:A, "找不到")</f>
        <v>FA</v>
      </c>
      <c r="F568" t="s">
        <v>63</v>
      </c>
      <c r="G568">
        <v>0.21866882779421981</v>
      </c>
      <c r="H568" t="s">
        <v>64</v>
      </c>
      <c r="I568" t="s">
        <v>65</v>
      </c>
      <c r="J568" t="s">
        <v>3135</v>
      </c>
      <c r="K568">
        <v>0</v>
      </c>
      <c r="L568">
        <v>158.99844675312241</v>
      </c>
    </row>
    <row r="569" spans="1:12" hidden="1" x14ac:dyDescent="0.25">
      <c r="A569">
        <v>1051</v>
      </c>
      <c r="B569" t="s">
        <v>2605</v>
      </c>
      <c r="C569" t="s">
        <v>2606</v>
      </c>
      <c r="D569">
        <v>0</v>
      </c>
      <c r="E569" t="str">
        <f>_xlfn.XLOOKUP(F569, Keys!B:B, Keys!A:A, "找不到")</f>
        <v>FA</v>
      </c>
      <c r="F569" t="s">
        <v>63</v>
      </c>
      <c r="G569">
        <v>1.111747437456079</v>
      </c>
      <c r="H569" t="s">
        <v>64</v>
      </c>
      <c r="I569" t="s">
        <v>65</v>
      </c>
      <c r="J569" t="s">
        <v>3964</v>
      </c>
      <c r="K569">
        <v>0</v>
      </c>
      <c r="L569">
        <v>296.15300586404572</v>
      </c>
    </row>
    <row r="570" spans="1:12" hidden="1" x14ac:dyDescent="0.25">
      <c r="A570">
        <v>1052</v>
      </c>
      <c r="B570" t="s">
        <v>2605</v>
      </c>
      <c r="C570" t="s">
        <v>2606</v>
      </c>
      <c r="D570" t="s">
        <v>2702</v>
      </c>
      <c r="E570" t="str">
        <f>_xlfn.XLOOKUP(F570, Keys!B:B, Keys!A:A, "找不到")</f>
        <v>FA</v>
      </c>
      <c r="F570" t="s">
        <v>63</v>
      </c>
      <c r="G570">
        <v>5.3938456031174313</v>
      </c>
      <c r="H570" t="s">
        <v>64</v>
      </c>
      <c r="I570" t="s">
        <v>65</v>
      </c>
      <c r="J570" t="s">
        <v>2993</v>
      </c>
      <c r="K570">
        <v>0</v>
      </c>
      <c r="L570">
        <v>643.28592450864949</v>
      </c>
    </row>
    <row r="571" spans="1:12" hidden="1" x14ac:dyDescent="0.25">
      <c r="A571">
        <v>1</v>
      </c>
      <c r="B571" t="s">
        <v>2042</v>
      </c>
      <c r="C571" t="s">
        <v>972</v>
      </c>
      <c r="D571">
        <v>0</v>
      </c>
      <c r="E571" t="str">
        <f>_xlfn.XLOOKUP(F571, Keys!B:B, Keys!A:A, "找不到")</f>
        <v>FA</v>
      </c>
      <c r="F571" t="s">
        <v>63</v>
      </c>
      <c r="G571">
        <v>1.07832962180725</v>
      </c>
      <c r="H571" t="s">
        <v>64</v>
      </c>
      <c r="I571" t="s">
        <v>65</v>
      </c>
      <c r="J571" t="s">
        <v>2043</v>
      </c>
      <c r="K571">
        <v>265.50779105060599</v>
      </c>
      <c r="L571">
        <v>4363.8626109078205</v>
      </c>
    </row>
    <row r="572" spans="1:12" hidden="1" x14ac:dyDescent="0.25">
      <c r="A572">
        <v>6</v>
      </c>
      <c r="B572" t="s">
        <v>2042</v>
      </c>
      <c r="C572" t="s">
        <v>972</v>
      </c>
      <c r="D572" t="s">
        <v>2057</v>
      </c>
      <c r="E572" t="str">
        <f>_xlfn.XLOOKUP(F572, Keys!B:B, Keys!A:A, "找不到")</f>
        <v>FA</v>
      </c>
      <c r="F572" t="s">
        <v>63</v>
      </c>
      <c r="G572">
        <v>0.53727772487394365</v>
      </c>
      <c r="H572" t="s">
        <v>64</v>
      </c>
      <c r="I572" t="s">
        <v>65</v>
      </c>
      <c r="J572" t="s">
        <v>2058</v>
      </c>
      <c r="K572">
        <v>190.58399950301731</v>
      </c>
      <c r="L572">
        <v>2174.2945086879172</v>
      </c>
    </row>
    <row r="573" spans="1:12" hidden="1" x14ac:dyDescent="0.25">
      <c r="A573">
        <v>7</v>
      </c>
      <c r="B573" t="s">
        <v>2042</v>
      </c>
      <c r="C573" t="s">
        <v>972</v>
      </c>
      <c r="D573" t="s">
        <v>2057</v>
      </c>
      <c r="E573" t="str">
        <f>_xlfn.XLOOKUP(F573, Keys!B:B, Keys!A:A, "找不到")</f>
        <v>FA</v>
      </c>
      <c r="F573" t="s">
        <v>63</v>
      </c>
      <c r="G573">
        <v>0.1950656333727542</v>
      </c>
      <c r="H573" t="s">
        <v>64</v>
      </c>
      <c r="I573" t="s">
        <v>65</v>
      </c>
      <c r="J573" t="s">
        <v>2058</v>
      </c>
      <c r="K573">
        <v>112.4117756911308</v>
      </c>
      <c r="L573">
        <v>789.4057688239717</v>
      </c>
    </row>
    <row r="574" spans="1:12" hidden="1" x14ac:dyDescent="0.25">
      <c r="A574">
        <v>9</v>
      </c>
      <c r="B574" t="s">
        <v>2042</v>
      </c>
      <c r="C574" t="s">
        <v>972</v>
      </c>
      <c r="D574">
        <v>0</v>
      </c>
      <c r="E574" t="str">
        <f>_xlfn.XLOOKUP(F574, Keys!B:B, Keys!A:A, "找不到")</f>
        <v>FA</v>
      </c>
      <c r="F574" t="s">
        <v>63</v>
      </c>
      <c r="G574">
        <v>3.629916730249676</v>
      </c>
      <c r="H574" t="s">
        <v>64</v>
      </c>
      <c r="I574" t="s">
        <v>65</v>
      </c>
      <c r="J574" t="s">
        <v>2065</v>
      </c>
      <c r="K574">
        <v>591.17158855204571</v>
      </c>
      <c r="L574">
        <v>14689.810591771709</v>
      </c>
    </row>
    <row r="575" spans="1:12" hidden="1" x14ac:dyDescent="0.25">
      <c r="A575">
        <v>33</v>
      </c>
      <c r="B575" t="s">
        <v>2042</v>
      </c>
      <c r="C575" t="s">
        <v>972</v>
      </c>
      <c r="D575">
        <v>0</v>
      </c>
      <c r="E575" t="str">
        <f>_xlfn.XLOOKUP(F575, Keys!B:B, Keys!A:A, "找不到")</f>
        <v>FA</v>
      </c>
      <c r="F575" t="s">
        <v>63</v>
      </c>
      <c r="G575">
        <v>2.4347979434143712</v>
      </c>
      <c r="H575" t="s">
        <v>64</v>
      </c>
      <c r="I575" t="s">
        <v>65</v>
      </c>
      <c r="J575" t="s">
        <v>2096</v>
      </c>
      <c r="K575">
        <v>479.03032542209081</v>
      </c>
      <c r="L575">
        <v>9853.3171077817769</v>
      </c>
    </row>
    <row r="576" spans="1:12" hidden="1" x14ac:dyDescent="0.25">
      <c r="A576">
        <v>35</v>
      </c>
      <c r="B576" t="s">
        <v>2042</v>
      </c>
      <c r="C576" t="s">
        <v>972</v>
      </c>
      <c r="D576">
        <v>0</v>
      </c>
      <c r="E576" t="str">
        <f>_xlfn.XLOOKUP(F576, Keys!B:B, Keys!A:A, "找不到")</f>
        <v>FA</v>
      </c>
      <c r="F576" t="s">
        <v>63</v>
      </c>
      <c r="G576">
        <v>2.4522215562447309</v>
      </c>
      <c r="H576" t="s">
        <v>64</v>
      </c>
      <c r="I576" t="s">
        <v>65</v>
      </c>
      <c r="J576" t="s">
        <v>2096</v>
      </c>
      <c r="K576">
        <v>457.69362040610253</v>
      </c>
      <c r="L576">
        <v>9923.8282493100141</v>
      </c>
    </row>
    <row r="577" spans="1:12" hidden="1" x14ac:dyDescent="0.25">
      <c r="A577">
        <v>36</v>
      </c>
      <c r="B577" t="s">
        <v>2042</v>
      </c>
      <c r="C577" t="s">
        <v>972</v>
      </c>
      <c r="D577">
        <v>0</v>
      </c>
      <c r="E577" t="str">
        <f>_xlfn.XLOOKUP(F577, Keys!B:B, Keys!A:A, "找不到")</f>
        <v>FA</v>
      </c>
      <c r="F577" t="s">
        <v>63</v>
      </c>
      <c r="G577">
        <v>0.17551411045239401</v>
      </c>
      <c r="H577" t="s">
        <v>64</v>
      </c>
      <c r="I577" t="s">
        <v>65</v>
      </c>
      <c r="J577" t="s">
        <v>2096</v>
      </c>
      <c r="K577">
        <v>115.8065997856833</v>
      </c>
      <c r="L577">
        <v>710.28324623623735</v>
      </c>
    </row>
    <row r="578" spans="1:12" hidden="1" x14ac:dyDescent="0.25">
      <c r="A578">
        <v>37</v>
      </c>
      <c r="B578" t="s">
        <v>2042</v>
      </c>
      <c r="C578" t="s">
        <v>972</v>
      </c>
      <c r="D578">
        <v>0</v>
      </c>
      <c r="E578" t="str">
        <f>_xlfn.XLOOKUP(F578, Keys!B:B, Keys!A:A, "找不到")</f>
        <v>FA</v>
      </c>
      <c r="F578" t="s">
        <v>63</v>
      </c>
      <c r="G578">
        <v>0.1199079277012865</v>
      </c>
      <c r="H578" t="s">
        <v>64</v>
      </c>
      <c r="I578" t="s">
        <v>65</v>
      </c>
      <c r="J578" t="s">
        <v>2096</v>
      </c>
      <c r="K578">
        <v>111.4535785746499</v>
      </c>
      <c r="L578">
        <v>485.25210832111821</v>
      </c>
    </row>
    <row r="579" spans="1:12" hidden="1" x14ac:dyDescent="0.25">
      <c r="A579">
        <v>38</v>
      </c>
      <c r="B579" t="s">
        <v>2042</v>
      </c>
      <c r="C579" t="s">
        <v>972</v>
      </c>
      <c r="D579">
        <v>0</v>
      </c>
      <c r="E579" t="str">
        <f>_xlfn.XLOOKUP(F579, Keys!B:B, Keys!A:A, "找不到")</f>
        <v>FA</v>
      </c>
      <c r="F579" t="s">
        <v>63</v>
      </c>
      <c r="G579">
        <v>0.15972358503112299</v>
      </c>
      <c r="H579" t="s">
        <v>64</v>
      </c>
      <c r="I579" t="s">
        <v>65</v>
      </c>
      <c r="J579" t="s">
        <v>2096</v>
      </c>
      <c r="K579">
        <v>103.56864244241309</v>
      </c>
      <c r="L579">
        <v>646.3810014133727</v>
      </c>
    </row>
    <row r="580" spans="1:12" hidden="1" x14ac:dyDescent="0.25">
      <c r="A580">
        <v>39</v>
      </c>
      <c r="B580" t="s">
        <v>2042</v>
      </c>
      <c r="C580" t="s">
        <v>972</v>
      </c>
      <c r="D580">
        <v>0</v>
      </c>
      <c r="E580" t="str">
        <f>_xlfn.XLOOKUP(F580, Keys!B:B, Keys!A:A, "找不到")</f>
        <v>FA</v>
      </c>
      <c r="F580" t="s">
        <v>63</v>
      </c>
      <c r="G580">
        <v>4.4194284878369929</v>
      </c>
      <c r="H580" t="s">
        <v>64</v>
      </c>
      <c r="I580" t="s">
        <v>65</v>
      </c>
      <c r="J580" t="s">
        <v>2096</v>
      </c>
      <c r="K580">
        <v>522.34473229217065</v>
      </c>
      <c r="L580">
        <v>17884.864098725509</v>
      </c>
    </row>
    <row r="581" spans="1:12" hidden="1" x14ac:dyDescent="0.25">
      <c r="A581">
        <v>40</v>
      </c>
      <c r="B581" t="s">
        <v>2042</v>
      </c>
      <c r="C581" t="s">
        <v>972</v>
      </c>
      <c r="D581">
        <v>0</v>
      </c>
      <c r="E581" t="str">
        <f>_xlfn.XLOOKUP(F581, Keys!B:B, Keys!A:A, "找不到")</f>
        <v>FA</v>
      </c>
      <c r="F581" t="s">
        <v>63</v>
      </c>
      <c r="G581">
        <v>8.1488454653518474</v>
      </c>
      <c r="H581" t="s">
        <v>64</v>
      </c>
      <c r="I581" t="s">
        <v>65</v>
      </c>
      <c r="J581" t="s">
        <v>2107</v>
      </c>
      <c r="K581">
        <v>1313.116364666238</v>
      </c>
      <c r="L581">
        <v>32977.33951583039</v>
      </c>
    </row>
    <row r="582" spans="1:12" hidden="1" x14ac:dyDescent="0.25">
      <c r="A582">
        <v>41</v>
      </c>
      <c r="B582" t="s">
        <v>2042</v>
      </c>
      <c r="C582" t="s">
        <v>972</v>
      </c>
      <c r="D582">
        <v>0</v>
      </c>
      <c r="E582" t="str">
        <f>_xlfn.XLOOKUP(F582, Keys!B:B, Keys!A:A, "找不到")</f>
        <v>FA</v>
      </c>
      <c r="F582" t="s">
        <v>63</v>
      </c>
      <c r="G582">
        <v>2.4451480786438919</v>
      </c>
      <c r="H582" t="s">
        <v>64</v>
      </c>
      <c r="I582" t="s">
        <v>65</v>
      </c>
      <c r="J582" t="s">
        <v>673</v>
      </c>
      <c r="K582">
        <v>466.86245139939132</v>
      </c>
      <c r="L582">
        <v>9895.2027865506188</v>
      </c>
    </row>
    <row r="583" spans="1:12" hidden="1" x14ac:dyDescent="0.25">
      <c r="A583">
        <v>42</v>
      </c>
      <c r="B583" t="s">
        <v>2042</v>
      </c>
      <c r="C583" t="s">
        <v>972</v>
      </c>
      <c r="D583">
        <v>0</v>
      </c>
      <c r="E583" t="str">
        <f>_xlfn.XLOOKUP(F583, Keys!B:B, Keys!A:A, "找不到")</f>
        <v>FA</v>
      </c>
      <c r="F583" t="s">
        <v>63</v>
      </c>
      <c r="G583">
        <v>0.42066483006554928</v>
      </c>
      <c r="H583" t="s">
        <v>75</v>
      </c>
      <c r="I583" t="s">
        <v>83</v>
      </c>
      <c r="J583" t="s">
        <v>2113</v>
      </c>
      <c r="K583">
        <v>240.82335307461921</v>
      </c>
      <c r="L583">
        <v>1702.3769787296781</v>
      </c>
    </row>
    <row r="584" spans="1:12" hidden="1" x14ac:dyDescent="0.25">
      <c r="A584">
        <v>43</v>
      </c>
      <c r="B584" t="s">
        <v>2042</v>
      </c>
      <c r="C584" t="s">
        <v>972</v>
      </c>
      <c r="D584">
        <v>0</v>
      </c>
      <c r="E584" t="str">
        <f>_xlfn.XLOOKUP(F584, Keys!B:B, Keys!A:A, "找不到")</f>
        <v>FA</v>
      </c>
      <c r="F584" t="s">
        <v>63</v>
      </c>
      <c r="G584">
        <v>2.4858497857954411</v>
      </c>
      <c r="H584" t="s">
        <v>64</v>
      </c>
      <c r="I584" t="s">
        <v>65</v>
      </c>
      <c r="J584" t="s">
        <v>2113</v>
      </c>
      <c r="K584">
        <v>467.85512863375362</v>
      </c>
      <c r="L584">
        <v>10059.917410397349</v>
      </c>
    </row>
    <row r="585" spans="1:12" hidden="1" x14ac:dyDescent="0.25">
      <c r="A585">
        <v>44</v>
      </c>
      <c r="B585" t="s">
        <v>2042</v>
      </c>
      <c r="C585" t="s">
        <v>972</v>
      </c>
      <c r="D585">
        <v>0</v>
      </c>
      <c r="E585" t="str">
        <f>_xlfn.XLOOKUP(F585, Keys!B:B, Keys!A:A, "找不到")</f>
        <v>FA</v>
      </c>
      <c r="F585" t="s">
        <v>63</v>
      </c>
      <c r="G585">
        <v>0.51948240410657265</v>
      </c>
      <c r="H585" t="s">
        <v>64</v>
      </c>
      <c r="I585" t="s">
        <v>65</v>
      </c>
      <c r="J585" t="s">
        <v>673</v>
      </c>
      <c r="K585">
        <v>331.3445980699326</v>
      </c>
      <c r="L585">
        <v>2102.279112490517</v>
      </c>
    </row>
    <row r="586" spans="1:12" hidden="1" x14ac:dyDescent="0.25">
      <c r="A586">
        <v>45</v>
      </c>
      <c r="B586" t="s">
        <v>2042</v>
      </c>
      <c r="C586" t="s">
        <v>972</v>
      </c>
      <c r="D586">
        <v>0</v>
      </c>
      <c r="E586" t="str">
        <f>_xlfn.XLOOKUP(F586, Keys!B:B, Keys!A:A, "找不到")</f>
        <v>FA</v>
      </c>
      <c r="F586" t="s">
        <v>63</v>
      </c>
      <c r="G586">
        <v>0.98196139452542552</v>
      </c>
      <c r="H586" t="s">
        <v>64</v>
      </c>
      <c r="I586" t="s">
        <v>65</v>
      </c>
      <c r="J586" t="s">
        <v>2113</v>
      </c>
      <c r="K586">
        <v>320.22985924392748</v>
      </c>
      <c r="L586">
        <v>3973.8726714588688</v>
      </c>
    </row>
    <row r="587" spans="1:12" hidden="1" x14ac:dyDescent="0.25">
      <c r="A587">
        <v>46</v>
      </c>
      <c r="B587" t="s">
        <v>2042</v>
      </c>
      <c r="C587" t="s">
        <v>972</v>
      </c>
      <c r="D587">
        <v>0</v>
      </c>
      <c r="E587" t="str">
        <f>_xlfn.XLOOKUP(F587, Keys!B:B, Keys!A:A, "找不到")</f>
        <v>FA</v>
      </c>
      <c r="F587" t="s">
        <v>63</v>
      </c>
      <c r="G587">
        <v>2.3042398294836062</v>
      </c>
      <c r="H587" t="s">
        <v>64</v>
      </c>
      <c r="I587" t="s">
        <v>65</v>
      </c>
      <c r="J587" t="s">
        <v>2120</v>
      </c>
      <c r="K587">
        <v>393.47900159448102</v>
      </c>
      <c r="L587">
        <v>9324.9650525185207</v>
      </c>
    </row>
    <row r="588" spans="1:12" hidden="1" x14ac:dyDescent="0.25">
      <c r="A588">
        <v>48</v>
      </c>
      <c r="B588" t="s">
        <v>2042</v>
      </c>
      <c r="C588" t="s">
        <v>972</v>
      </c>
      <c r="D588">
        <v>0</v>
      </c>
      <c r="E588" t="str">
        <f>_xlfn.XLOOKUP(F588, Keys!B:B, Keys!A:A, "找不到")</f>
        <v>FA</v>
      </c>
      <c r="F588" t="s">
        <v>63</v>
      </c>
      <c r="G588">
        <v>6.8466558095536659E-2</v>
      </c>
      <c r="H588" t="s">
        <v>64</v>
      </c>
      <c r="I588" t="s">
        <v>65</v>
      </c>
      <c r="J588" t="s">
        <v>2120</v>
      </c>
      <c r="K588">
        <v>84.330767200697508</v>
      </c>
      <c r="L588">
        <v>277.07543864919148</v>
      </c>
    </row>
    <row r="589" spans="1:12" hidden="1" x14ac:dyDescent="0.25">
      <c r="A589">
        <v>49</v>
      </c>
      <c r="B589" t="s">
        <v>2042</v>
      </c>
      <c r="C589" t="s">
        <v>972</v>
      </c>
      <c r="D589">
        <v>0</v>
      </c>
      <c r="E589" t="str">
        <f>_xlfn.XLOOKUP(F589, Keys!B:B, Keys!A:A, "找不到")</f>
        <v>FA</v>
      </c>
      <c r="F589" t="s">
        <v>63</v>
      </c>
      <c r="G589">
        <v>3.71226547101175</v>
      </c>
      <c r="H589" t="s">
        <v>64</v>
      </c>
      <c r="I589" t="s">
        <v>65</v>
      </c>
      <c r="J589" t="s">
        <v>2126</v>
      </c>
      <c r="K589">
        <v>490.64077701304899</v>
      </c>
      <c r="L589">
        <v>15023.06545521939</v>
      </c>
    </row>
    <row r="590" spans="1:12" hidden="1" x14ac:dyDescent="0.25">
      <c r="A590">
        <v>54</v>
      </c>
      <c r="B590" t="s">
        <v>2042</v>
      </c>
      <c r="C590" t="s">
        <v>972</v>
      </c>
      <c r="D590">
        <v>0</v>
      </c>
      <c r="E590" t="str">
        <f>_xlfn.XLOOKUP(F590, Keys!B:B, Keys!A:A, "找不到")</f>
        <v>FA</v>
      </c>
      <c r="F590" t="s">
        <v>63</v>
      </c>
      <c r="G590">
        <v>4.2811596470785727</v>
      </c>
      <c r="H590" t="s">
        <v>64</v>
      </c>
      <c r="I590" t="s">
        <v>65</v>
      </c>
      <c r="J590" t="s">
        <v>2134</v>
      </c>
      <c r="K590">
        <v>616.7378662957791</v>
      </c>
      <c r="L590">
        <v>17325.307714261191</v>
      </c>
    </row>
    <row r="591" spans="1:12" hidden="1" x14ac:dyDescent="0.25">
      <c r="A591">
        <v>56</v>
      </c>
      <c r="B591" t="s">
        <v>2042</v>
      </c>
      <c r="C591" t="s">
        <v>972</v>
      </c>
      <c r="D591">
        <v>0</v>
      </c>
      <c r="E591" t="str">
        <f>_xlfn.XLOOKUP(F591, Keys!B:B, Keys!A:A, "找不到")</f>
        <v>FA</v>
      </c>
      <c r="F591" t="s">
        <v>63</v>
      </c>
      <c r="G591">
        <v>2.6400644132294171</v>
      </c>
      <c r="H591" t="s">
        <v>64</v>
      </c>
      <c r="I591" t="s">
        <v>65</v>
      </c>
      <c r="J591" t="s">
        <v>2134</v>
      </c>
      <c r="K591">
        <v>662.8183629980673</v>
      </c>
      <c r="L591">
        <v>10684.00436220186</v>
      </c>
    </row>
    <row r="592" spans="1:12" hidden="1" x14ac:dyDescent="0.25">
      <c r="A592">
        <v>57</v>
      </c>
      <c r="B592" t="s">
        <v>2042</v>
      </c>
      <c r="C592" t="s">
        <v>972</v>
      </c>
      <c r="D592">
        <v>0</v>
      </c>
      <c r="E592" t="str">
        <f>_xlfn.XLOOKUP(F592, Keys!B:B, Keys!A:A, "找不到")</f>
        <v>FA</v>
      </c>
      <c r="F592" t="s">
        <v>63</v>
      </c>
      <c r="G592">
        <v>1.326136971543461</v>
      </c>
      <c r="H592" t="s">
        <v>64</v>
      </c>
      <c r="I592" t="s">
        <v>65</v>
      </c>
      <c r="J592" t="s">
        <v>2134</v>
      </c>
      <c r="K592">
        <v>325.31530283650068</v>
      </c>
      <c r="L592">
        <v>5366.7073870808244</v>
      </c>
    </row>
    <row r="593" spans="1:12" hidden="1" x14ac:dyDescent="0.25">
      <c r="A593">
        <v>59</v>
      </c>
      <c r="B593" t="s">
        <v>2042</v>
      </c>
      <c r="C593" t="s">
        <v>972</v>
      </c>
      <c r="D593">
        <v>0</v>
      </c>
      <c r="E593" t="str">
        <f>_xlfn.XLOOKUP(F593, Keys!B:B, Keys!A:A, "找不到")</f>
        <v>FA</v>
      </c>
      <c r="F593" t="s">
        <v>63</v>
      </c>
      <c r="G593">
        <v>2.1729984178800539</v>
      </c>
      <c r="H593" t="s">
        <v>64</v>
      </c>
      <c r="I593" t="s">
        <v>65</v>
      </c>
      <c r="J593" t="s">
        <v>2134</v>
      </c>
      <c r="K593">
        <v>435.47007936469168</v>
      </c>
      <c r="L593">
        <v>8793.847778618876</v>
      </c>
    </row>
    <row r="594" spans="1:12" hidden="1" x14ac:dyDescent="0.25">
      <c r="A594">
        <v>60</v>
      </c>
      <c r="B594" t="s">
        <v>2042</v>
      </c>
      <c r="C594" t="s">
        <v>972</v>
      </c>
      <c r="D594">
        <v>0</v>
      </c>
      <c r="E594" t="str">
        <f>_xlfn.XLOOKUP(F594, Keys!B:B, Keys!A:A, "找不到")</f>
        <v>FA</v>
      </c>
      <c r="F594" t="s">
        <v>63</v>
      </c>
      <c r="G594">
        <v>10.764525733428719</v>
      </c>
      <c r="H594" t="s">
        <v>64</v>
      </c>
      <c r="I594" t="s">
        <v>65</v>
      </c>
      <c r="J594" t="s">
        <v>2134</v>
      </c>
      <c r="K594">
        <v>970.00341666109387</v>
      </c>
      <c r="L594">
        <v>43562.664348899249</v>
      </c>
    </row>
    <row r="595" spans="1:12" hidden="1" x14ac:dyDescent="0.25">
      <c r="A595">
        <v>61</v>
      </c>
      <c r="B595" t="s">
        <v>2042</v>
      </c>
      <c r="C595" t="s">
        <v>972</v>
      </c>
      <c r="D595">
        <v>0</v>
      </c>
      <c r="E595" t="str">
        <f>_xlfn.XLOOKUP(F595, Keys!B:B, Keys!A:A, "找不到")</f>
        <v>FA</v>
      </c>
      <c r="F595" t="s">
        <v>63</v>
      </c>
      <c r="G595">
        <v>7.9094577018958034</v>
      </c>
      <c r="H595" t="s">
        <v>64</v>
      </c>
      <c r="I595" t="s">
        <v>65</v>
      </c>
      <c r="J595" t="s">
        <v>2134</v>
      </c>
      <c r="K595">
        <v>1157.2241463567841</v>
      </c>
      <c r="L595">
        <v>32008.567732761068</v>
      </c>
    </row>
    <row r="596" spans="1:12" hidden="1" x14ac:dyDescent="0.25">
      <c r="A596">
        <v>62</v>
      </c>
      <c r="B596" t="s">
        <v>2042</v>
      </c>
      <c r="C596" t="s">
        <v>972</v>
      </c>
      <c r="D596">
        <v>0</v>
      </c>
      <c r="E596" t="str">
        <f>_xlfn.XLOOKUP(F596, Keys!B:B, Keys!A:A, "找不到")</f>
        <v>FA</v>
      </c>
      <c r="F596" t="s">
        <v>63</v>
      </c>
      <c r="G596">
        <v>8.0514785460300526</v>
      </c>
      <c r="H596" t="s">
        <v>64</v>
      </c>
      <c r="I596" t="s">
        <v>65</v>
      </c>
      <c r="J596" t="s">
        <v>2134</v>
      </c>
      <c r="K596">
        <v>921.25073423887363</v>
      </c>
      <c r="L596">
        <v>32583.307996919179</v>
      </c>
    </row>
    <row r="597" spans="1:12" hidden="1" x14ac:dyDescent="0.25">
      <c r="A597">
        <v>63</v>
      </c>
      <c r="B597" t="s">
        <v>2042</v>
      </c>
      <c r="C597" t="s">
        <v>972</v>
      </c>
      <c r="D597">
        <v>0</v>
      </c>
      <c r="E597" t="str">
        <f>_xlfn.XLOOKUP(F597, Keys!B:B, Keys!A:A, "找不到")</f>
        <v>FA</v>
      </c>
      <c r="F597" t="s">
        <v>63</v>
      </c>
      <c r="G597">
        <v>0.24742592758670531</v>
      </c>
      <c r="H597" t="s">
        <v>64</v>
      </c>
      <c r="I597" t="s">
        <v>65</v>
      </c>
      <c r="J597" t="s">
        <v>495</v>
      </c>
      <c r="K597">
        <v>122.5863636903879</v>
      </c>
      <c r="L597">
        <v>1001.301209323368</v>
      </c>
    </row>
    <row r="598" spans="1:12" hidden="1" x14ac:dyDescent="0.25">
      <c r="A598">
        <v>64</v>
      </c>
      <c r="B598" t="s">
        <v>2042</v>
      </c>
      <c r="C598" t="s">
        <v>972</v>
      </c>
      <c r="D598">
        <v>0</v>
      </c>
      <c r="E598" t="str">
        <f>_xlfn.XLOOKUP(F598, Keys!B:B, Keys!A:A, "找不到")</f>
        <v>FA</v>
      </c>
      <c r="F598" t="s">
        <v>63</v>
      </c>
      <c r="G598">
        <v>18.09763955924139</v>
      </c>
      <c r="H598" t="s">
        <v>64</v>
      </c>
      <c r="I598" t="s">
        <v>65</v>
      </c>
      <c r="J598" t="s">
        <v>2134</v>
      </c>
      <c r="K598">
        <v>1951.0947226515921</v>
      </c>
      <c r="L598">
        <v>73238.841835670726</v>
      </c>
    </row>
    <row r="599" spans="1:12" hidden="1" x14ac:dyDescent="0.25">
      <c r="A599">
        <v>65</v>
      </c>
      <c r="B599" t="s">
        <v>2042</v>
      </c>
      <c r="C599" t="s">
        <v>972</v>
      </c>
      <c r="D599">
        <v>0</v>
      </c>
      <c r="E599" t="str">
        <f>_xlfn.XLOOKUP(F599, Keys!B:B, Keys!A:A, "找不到")</f>
        <v>FA</v>
      </c>
      <c r="F599" t="s">
        <v>63</v>
      </c>
      <c r="G599">
        <v>4.1031318725342656</v>
      </c>
      <c r="H599" t="s">
        <v>64</v>
      </c>
      <c r="I599" t="s">
        <v>65</v>
      </c>
      <c r="J599" t="s">
        <v>2147</v>
      </c>
      <c r="K599">
        <v>656.49772536846638</v>
      </c>
      <c r="L599">
        <v>16604.851989660969</v>
      </c>
    </row>
    <row r="600" spans="1:12" hidden="1" x14ac:dyDescent="0.25">
      <c r="A600">
        <v>67</v>
      </c>
      <c r="B600" t="s">
        <v>2042</v>
      </c>
      <c r="C600" t="s">
        <v>972</v>
      </c>
      <c r="D600">
        <v>0</v>
      </c>
      <c r="E600" t="str">
        <f>_xlfn.XLOOKUP(F600, Keys!B:B, Keys!A:A, "找不到")</f>
        <v>FA</v>
      </c>
      <c r="F600" t="s">
        <v>63</v>
      </c>
      <c r="G600">
        <v>9.3547664300825034E-2</v>
      </c>
      <c r="H600" t="s">
        <v>64</v>
      </c>
      <c r="I600" t="s">
        <v>65</v>
      </c>
      <c r="J600" t="s">
        <v>2151</v>
      </c>
      <c r="K600">
        <v>91.159146787292485</v>
      </c>
      <c r="L600">
        <v>378.57548037672018</v>
      </c>
    </row>
    <row r="601" spans="1:12" hidden="1" x14ac:dyDescent="0.25">
      <c r="A601">
        <v>70</v>
      </c>
      <c r="B601" t="s">
        <v>2042</v>
      </c>
      <c r="C601" t="s">
        <v>972</v>
      </c>
      <c r="D601">
        <v>0</v>
      </c>
      <c r="E601" t="str">
        <f>_xlfn.XLOOKUP(F601, Keys!B:B, Keys!A:A, "找不到")</f>
        <v>FA</v>
      </c>
      <c r="F601" t="s">
        <v>63</v>
      </c>
      <c r="G601">
        <v>0.1518518462789977</v>
      </c>
      <c r="H601" t="s">
        <v>64</v>
      </c>
      <c r="I601" t="s">
        <v>65</v>
      </c>
      <c r="J601" t="s">
        <v>2151</v>
      </c>
      <c r="K601">
        <v>102.2546629320051</v>
      </c>
      <c r="L601">
        <v>614.52507746531114</v>
      </c>
    </row>
    <row r="602" spans="1:12" hidden="1" x14ac:dyDescent="0.25">
      <c r="A602">
        <v>71</v>
      </c>
      <c r="B602" t="s">
        <v>2042</v>
      </c>
      <c r="C602" t="s">
        <v>972</v>
      </c>
      <c r="D602">
        <v>0</v>
      </c>
      <c r="E602" t="str">
        <f>_xlfn.XLOOKUP(F602, Keys!B:B, Keys!A:A, "找不到")</f>
        <v>FA</v>
      </c>
      <c r="F602" t="s">
        <v>63</v>
      </c>
      <c r="G602">
        <v>1.022300383177511</v>
      </c>
      <c r="H602" t="s">
        <v>64</v>
      </c>
      <c r="I602" t="s">
        <v>65</v>
      </c>
      <c r="J602" t="s">
        <v>2159</v>
      </c>
      <c r="K602">
        <v>307.29826577443117</v>
      </c>
      <c r="L602">
        <v>4137.1194197450204</v>
      </c>
    </row>
    <row r="603" spans="1:12" hidden="1" x14ac:dyDescent="0.25">
      <c r="A603">
        <v>72</v>
      </c>
      <c r="B603" t="s">
        <v>2042</v>
      </c>
      <c r="C603" t="s">
        <v>972</v>
      </c>
      <c r="D603">
        <v>0</v>
      </c>
      <c r="E603" t="str">
        <f>_xlfn.XLOOKUP(F603, Keys!B:B, Keys!A:A, "找不到")</f>
        <v>FA</v>
      </c>
      <c r="F603" t="s">
        <v>63</v>
      </c>
      <c r="G603">
        <v>0.25509094360372758</v>
      </c>
      <c r="H603" t="s">
        <v>64</v>
      </c>
      <c r="I603" t="s">
        <v>65</v>
      </c>
      <c r="J603" t="s">
        <v>2163</v>
      </c>
      <c r="K603">
        <v>159.5981862140564</v>
      </c>
      <c r="L603">
        <v>1032.320552696903</v>
      </c>
    </row>
    <row r="604" spans="1:12" hidden="1" x14ac:dyDescent="0.25">
      <c r="A604">
        <v>73</v>
      </c>
      <c r="B604" t="s">
        <v>2042</v>
      </c>
      <c r="C604" t="s">
        <v>972</v>
      </c>
      <c r="D604">
        <v>0</v>
      </c>
      <c r="E604" t="str">
        <f>_xlfn.XLOOKUP(F604, Keys!B:B, Keys!A:A, "找不到")</f>
        <v>FA</v>
      </c>
      <c r="F604" t="s">
        <v>63</v>
      </c>
      <c r="G604">
        <v>8.7585754383657566</v>
      </c>
      <c r="H604" t="s">
        <v>64</v>
      </c>
      <c r="I604" t="s">
        <v>65</v>
      </c>
      <c r="J604" t="s">
        <v>2159</v>
      </c>
      <c r="K604">
        <v>1116.816103235851</v>
      </c>
      <c r="L604">
        <v>35444.839043039749</v>
      </c>
    </row>
    <row r="605" spans="1:12" hidden="1" x14ac:dyDescent="0.25">
      <c r="A605">
        <v>74</v>
      </c>
      <c r="B605" t="s">
        <v>2042</v>
      </c>
      <c r="C605" t="s">
        <v>972</v>
      </c>
      <c r="D605">
        <v>0</v>
      </c>
      <c r="E605" t="str">
        <f>_xlfn.XLOOKUP(F605, Keys!B:B, Keys!A:A, "找不到")</f>
        <v>FA</v>
      </c>
      <c r="F605" t="s">
        <v>63</v>
      </c>
      <c r="G605">
        <v>6.0353038447164318</v>
      </c>
      <c r="H605" t="s">
        <v>64</v>
      </c>
      <c r="I605" t="s">
        <v>65</v>
      </c>
      <c r="J605" t="s">
        <v>2166</v>
      </c>
      <c r="K605">
        <v>801.34911147052287</v>
      </c>
      <c r="L605">
        <v>24424.105821451689</v>
      </c>
    </row>
    <row r="606" spans="1:12" hidden="1" x14ac:dyDescent="0.25">
      <c r="A606">
        <v>75</v>
      </c>
      <c r="B606" t="s">
        <v>2042</v>
      </c>
      <c r="C606" t="s">
        <v>972</v>
      </c>
      <c r="D606">
        <v>0</v>
      </c>
      <c r="E606" t="str">
        <f>_xlfn.XLOOKUP(F606, Keys!B:B, Keys!A:A, "找不到")</f>
        <v>FA</v>
      </c>
      <c r="F606" t="s">
        <v>63</v>
      </c>
      <c r="G606">
        <v>0.19320257191503751</v>
      </c>
      <c r="H606" t="s">
        <v>64</v>
      </c>
      <c r="I606" t="s">
        <v>65</v>
      </c>
      <c r="J606" t="s">
        <v>2166</v>
      </c>
      <c r="K606">
        <v>112.7937619672301</v>
      </c>
      <c r="L606">
        <v>781.86619644022539</v>
      </c>
    </row>
    <row r="607" spans="1:12" hidden="1" x14ac:dyDescent="0.25">
      <c r="A607">
        <v>76</v>
      </c>
      <c r="B607" t="s">
        <v>2042</v>
      </c>
      <c r="C607" t="s">
        <v>972</v>
      </c>
      <c r="D607">
        <v>0</v>
      </c>
      <c r="E607" t="str">
        <f>_xlfn.XLOOKUP(F607, Keys!B:B, Keys!A:A, "找不到")</f>
        <v>FA</v>
      </c>
      <c r="F607" t="s">
        <v>63</v>
      </c>
      <c r="G607">
        <v>1.3987350926383699</v>
      </c>
      <c r="H607" t="s">
        <v>64</v>
      </c>
      <c r="I607" t="s">
        <v>65</v>
      </c>
      <c r="J607" t="s">
        <v>2166</v>
      </c>
      <c r="K607">
        <v>347.9160273208837</v>
      </c>
      <c r="L607">
        <v>5660.5027348681424</v>
      </c>
    </row>
    <row r="608" spans="1:12" hidden="1" x14ac:dyDescent="0.25">
      <c r="A608">
        <v>77</v>
      </c>
      <c r="B608" t="s">
        <v>2042</v>
      </c>
      <c r="C608" t="s">
        <v>972</v>
      </c>
      <c r="D608">
        <v>0</v>
      </c>
      <c r="E608" t="str">
        <f>_xlfn.XLOOKUP(F608, Keys!B:B, Keys!A:A, "找不到")</f>
        <v>FA</v>
      </c>
      <c r="F608" t="s">
        <v>63</v>
      </c>
      <c r="G608">
        <v>0.1908963053822233</v>
      </c>
      <c r="H608" t="s">
        <v>64</v>
      </c>
      <c r="I608" t="s">
        <v>65</v>
      </c>
      <c r="J608" t="s">
        <v>2172</v>
      </c>
      <c r="K608">
        <v>132.12317943689251</v>
      </c>
      <c r="L608">
        <v>772.53302957751021</v>
      </c>
    </row>
    <row r="609" spans="1:12" hidden="1" x14ac:dyDescent="0.25">
      <c r="A609">
        <v>78</v>
      </c>
      <c r="B609" t="s">
        <v>2042</v>
      </c>
      <c r="C609" t="s">
        <v>972</v>
      </c>
      <c r="D609">
        <v>0</v>
      </c>
      <c r="E609" t="str">
        <f>_xlfn.XLOOKUP(F609, Keys!B:B, Keys!A:A, "找不到")</f>
        <v>FA</v>
      </c>
      <c r="F609" t="s">
        <v>63</v>
      </c>
      <c r="G609">
        <v>1.014600075034958</v>
      </c>
      <c r="H609" t="s">
        <v>64</v>
      </c>
      <c r="I609" t="s">
        <v>65</v>
      </c>
      <c r="J609" t="s">
        <v>2176</v>
      </c>
      <c r="K609">
        <v>371.48290331253082</v>
      </c>
      <c r="L609">
        <v>4105.9572536353326</v>
      </c>
    </row>
    <row r="610" spans="1:12" hidden="1" x14ac:dyDescent="0.25">
      <c r="A610">
        <v>85</v>
      </c>
      <c r="B610" t="s">
        <v>2042</v>
      </c>
      <c r="C610" t="s">
        <v>972</v>
      </c>
      <c r="D610">
        <v>0</v>
      </c>
      <c r="E610" t="str">
        <f>_xlfn.XLOOKUP(F610, Keys!B:B, Keys!A:A, "找不到")</f>
        <v>FA</v>
      </c>
      <c r="F610" t="s">
        <v>63</v>
      </c>
      <c r="G610">
        <v>9.0218194163464496</v>
      </c>
      <c r="H610" t="s">
        <v>64</v>
      </c>
      <c r="I610" t="s">
        <v>65</v>
      </c>
      <c r="J610" t="s">
        <v>2193</v>
      </c>
      <c r="K610">
        <v>784.07130084989967</v>
      </c>
      <c r="L610">
        <v>36510.153887244152</v>
      </c>
    </row>
    <row r="611" spans="1:12" hidden="1" x14ac:dyDescent="0.25">
      <c r="A611">
        <v>86</v>
      </c>
      <c r="B611" t="s">
        <v>2042</v>
      </c>
      <c r="C611" t="s">
        <v>972</v>
      </c>
      <c r="D611">
        <v>0</v>
      </c>
      <c r="E611" t="str">
        <f>_xlfn.XLOOKUP(F611, Keys!B:B, Keys!A:A, "找不到")</f>
        <v>FA</v>
      </c>
      <c r="F611" t="s">
        <v>63</v>
      </c>
      <c r="G611">
        <v>3.1771921122376039</v>
      </c>
      <c r="H611" t="s">
        <v>64</v>
      </c>
      <c r="I611" t="s">
        <v>65</v>
      </c>
      <c r="J611" t="s">
        <v>2196</v>
      </c>
      <c r="K611">
        <v>1165.636586041848</v>
      </c>
      <c r="L611">
        <v>12857.69173532288</v>
      </c>
    </row>
    <row r="612" spans="1:12" hidden="1" x14ac:dyDescent="0.25">
      <c r="A612">
        <v>87</v>
      </c>
      <c r="B612" t="s">
        <v>2042</v>
      </c>
      <c r="C612" t="s">
        <v>972</v>
      </c>
      <c r="D612">
        <v>0</v>
      </c>
      <c r="E612" t="str">
        <f>_xlfn.XLOOKUP(F612, Keys!B:B, Keys!A:A, "找不到")</f>
        <v>FA</v>
      </c>
      <c r="F612" t="s">
        <v>63</v>
      </c>
      <c r="G612">
        <v>2.1469621491520958</v>
      </c>
      <c r="H612" t="s">
        <v>64</v>
      </c>
      <c r="I612" t="s">
        <v>65</v>
      </c>
      <c r="J612" t="s">
        <v>2196</v>
      </c>
      <c r="K612">
        <v>758.38060072233179</v>
      </c>
      <c r="L612">
        <v>8688.4823158403742</v>
      </c>
    </row>
    <row r="613" spans="1:12" hidden="1" x14ac:dyDescent="0.25">
      <c r="A613">
        <v>88</v>
      </c>
      <c r="B613" t="s">
        <v>2042</v>
      </c>
      <c r="C613" t="s">
        <v>972</v>
      </c>
      <c r="D613">
        <v>0</v>
      </c>
      <c r="E613" t="str">
        <f>_xlfn.XLOOKUP(F613, Keys!B:B, Keys!A:A, "找不到")</f>
        <v>FA</v>
      </c>
      <c r="F613" t="s">
        <v>63</v>
      </c>
      <c r="G613">
        <v>0.38299334725199702</v>
      </c>
      <c r="H613" t="s">
        <v>64</v>
      </c>
      <c r="I613" t="s">
        <v>65</v>
      </c>
      <c r="J613" t="s">
        <v>2200</v>
      </c>
      <c r="K613">
        <v>175.5884546486283</v>
      </c>
      <c r="L613">
        <v>1549.925286758164</v>
      </c>
    </row>
    <row r="614" spans="1:12" hidden="1" x14ac:dyDescent="0.25">
      <c r="A614">
        <v>89</v>
      </c>
      <c r="B614" t="s">
        <v>2042</v>
      </c>
      <c r="C614" t="s">
        <v>972</v>
      </c>
      <c r="D614">
        <v>0</v>
      </c>
      <c r="E614" t="str">
        <f>_xlfn.XLOOKUP(F614, Keys!B:B, Keys!A:A, "找不到")</f>
        <v>FA</v>
      </c>
      <c r="F614" t="s">
        <v>63</v>
      </c>
      <c r="G614">
        <v>7.2571893490475783E-2</v>
      </c>
      <c r="H614" t="s">
        <v>64</v>
      </c>
      <c r="I614" t="s">
        <v>65</v>
      </c>
      <c r="J614" t="s">
        <v>2202</v>
      </c>
      <c r="K614">
        <v>79.049557879599618</v>
      </c>
      <c r="L614">
        <v>293.68920801331802</v>
      </c>
    </row>
    <row r="615" spans="1:12" hidden="1" x14ac:dyDescent="0.25">
      <c r="A615">
        <v>90</v>
      </c>
      <c r="B615" t="s">
        <v>2042</v>
      </c>
      <c r="C615" t="s">
        <v>972</v>
      </c>
      <c r="D615">
        <v>0</v>
      </c>
      <c r="E615" t="str">
        <f>_xlfn.XLOOKUP(F615, Keys!B:B, Keys!A:A, "找不到")</f>
        <v>FA</v>
      </c>
      <c r="F615" t="s">
        <v>63</v>
      </c>
      <c r="G615">
        <v>15.85194336188099</v>
      </c>
      <c r="H615" t="s">
        <v>64</v>
      </c>
      <c r="I615" t="s">
        <v>65</v>
      </c>
      <c r="J615" t="s">
        <v>2204</v>
      </c>
      <c r="K615">
        <v>1602.471246542116</v>
      </c>
      <c r="L615">
        <v>64150.795404474156</v>
      </c>
    </row>
    <row r="616" spans="1:12" hidden="1" x14ac:dyDescent="0.25">
      <c r="A616">
        <v>91</v>
      </c>
      <c r="B616" t="s">
        <v>2042</v>
      </c>
      <c r="C616" t="s">
        <v>972</v>
      </c>
      <c r="D616">
        <v>0</v>
      </c>
      <c r="E616" t="str">
        <f>_xlfn.XLOOKUP(F616, Keys!B:B, Keys!A:A, "找不到")</f>
        <v>FA</v>
      </c>
      <c r="F616" t="s">
        <v>63</v>
      </c>
      <c r="G616">
        <v>0.1234282773658245</v>
      </c>
      <c r="H616" t="s">
        <v>64</v>
      </c>
      <c r="I616" t="s">
        <v>65</v>
      </c>
      <c r="J616" t="s">
        <v>2206</v>
      </c>
      <c r="K616">
        <v>91.371961233337288</v>
      </c>
      <c r="L616">
        <v>499.49851495571721</v>
      </c>
    </row>
    <row r="617" spans="1:12" hidden="1" x14ac:dyDescent="0.25">
      <c r="A617">
        <v>95</v>
      </c>
      <c r="B617" t="s">
        <v>2042</v>
      </c>
      <c r="C617" t="s">
        <v>972</v>
      </c>
      <c r="D617">
        <v>0</v>
      </c>
      <c r="E617" t="str">
        <f>_xlfn.XLOOKUP(F617, Keys!B:B, Keys!A:A, "找不到")</f>
        <v>FA</v>
      </c>
      <c r="F617" t="s">
        <v>63</v>
      </c>
      <c r="G617">
        <v>0.2446047837585556</v>
      </c>
      <c r="H617" t="s">
        <v>64</v>
      </c>
      <c r="I617" t="s">
        <v>65</v>
      </c>
      <c r="J617" t="s">
        <v>2213</v>
      </c>
      <c r="K617">
        <v>139.9741522890408</v>
      </c>
      <c r="L617">
        <v>989.88439963671306</v>
      </c>
    </row>
    <row r="618" spans="1:12" hidden="1" x14ac:dyDescent="0.25">
      <c r="A618">
        <v>96</v>
      </c>
      <c r="B618" t="s">
        <v>2042</v>
      </c>
      <c r="C618" t="s">
        <v>972</v>
      </c>
      <c r="D618">
        <v>0</v>
      </c>
      <c r="E618" t="str">
        <f>_xlfn.XLOOKUP(F618, Keys!B:B, Keys!A:A, "找不到")</f>
        <v>FA</v>
      </c>
      <c r="F618" t="s">
        <v>63</v>
      </c>
      <c r="G618">
        <v>1.61531949526838</v>
      </c>
      <c r="H618" t="s">
        <v>64</v>
      </c>
      <c r="I618" t="s">
        <v>65</v>
      </c>
      <c r="J618" t="s">
        <v>2213</v>
      </c>
      <c r="K618">
        <v>367.034505266851</v>
      </c>
      <c r="L618">
        <v>6536.9922215975084</v>
      </c>
    </row>
    <row r="619" spans="1:12" hidden="1" x14ac:dyDescent="0.25">
      <c r="A619">
        <v>97</v>
      </c>
      <c r="B619" t="s">
        <v>2042</v>
      </c>
      <c r="C619" t="s">
        <v>972</v>
      </c>
      <c r="D619">
        <v>0</v>
      </c>
      <c r="E619" t="str">
        <f>_xlfn.XLOOKUP(F619, Keys!B:B, Keys!A:A, "找不到")</f>
        <v>FA</v>
      </c>
      <c r="F619" t="s">
        <v>63</v>
      </c>
      <c r="G619">
        <v>10.92398137948277</v>
      </c>
      <c r="H619" t="s">
        <v>64</v>
      </c>
      <c r="I619" t="s">
        <v>65</v>
      </c>
      <c r="J619" t="s">
        <v>2213</v>
      </c>
      <c r="K619">
        <v>1041.32844737904</v>
      </c>
      <c r="L619">
        <v>44207.961035405177</v>
      </c>
    </row>
    <row r="620" spans="1:12" hidden="1" x14ac:dyDescent="0.25">
      <c r="A620">
        <v>101</v>
      </c>
      <c r="B620" t="s">
        <v>2042</v>
      </c>
      <c r="C620" t="s">
        <v>972</v>
      </c>
      <c r="D620">
        <v>0</v>
      </c>
      <c r="E620" t="str">
        <f>_xlfn.XLOOKUP(F620, Keys!B:B, Keys!A:A, "找不到")</f>
        <v>FA</v>
      </c>
      <c r="F620" t="s">
        <v>63</v>
      </c>
      <c r="G620">
        <v>0.22079554548945271</v>
      </c>
      <c r="H620" t="s">
        <v>64</v>
      </c>
      <c r="I620" t="s">
        <v>65</v>
      </c>
      <c r="J620" t="s">
        <v>2225</v>
      </c>
      <c r="K620">
        <v>125.5728698356484</v>
      </c>
      <c r="L620">
        <v>893.53144542351072</v>
      </c>
    </row>
    <row r="621" spans="1:12" hidden="1" x14ac:dyDescent="0.25">
      <c r="A621">
        <v>102</v>
      </c>
      <c r="B621" t="s">
        <v>2042</v>
      </c>
      <c r="C621" t="s">
        <v>972</v>
      </c>
      <c r="D621">
        <v>0</v>
      </c>
      <c r="E621" t="str">
        <f>_xlfn.XLOOKUP(F621, Keys!B:B, Keys!A:A, "找不到")</f>
        <v>FA</v>
      </c>
      <c r="F621" t="s">
        <v>63</v>
      </c>
      <c r="G621">
        <v>0.3656253449258639</v>
      </c>
      <c r="H621" t="s">
        <v>64</v>
      </c>
      <c r="I621" t="s">
        <v>65</v>
      </c>
      <c r="J621" t="s">
        <v>2228</v>
      </c>
      <c r="K621">
        <v>180.47146417628241</v>
      </c>
      <c r="L621">
        <v>1479.639193856304</v>
      </c>
    </row>
    <row r="622" spans="1:12" hidden="1" x14ac:dyDescent="0.25">
      <c r="A622">
        <v>103</v>
      </c>
      <c r="B622" t="s">
        <v>2042</v>
      </c>
      <c r="C622" t="s">
        <v>972</v>
      </c>
      <c r="D622">
        <v>0</v>
      </c>
      <c r="E622" t="str">
        <f>_xlfn.XLOOKUP(F622, Keys!B:B, Keys!A:A, "找不到")</f>
        <v>FA</v>
      </c>
      <c r="F622" t="s">
        <v>63</v>
      </c>
      <c r="G622">
        <v>1.584327916460909</v>
      </c>
      <c r="H622" t="s">
        <v>64</v>
      </c>
      <c r="I622" t="s">
        <v>65</v>
      </c>
      <c r="J622" t="s">
        <v>673</v>
      </c>
      <c r="K622">
        <v>354.10543820530472</v>
      </c>
      <c r="L622">
        <v>6411.5732501847942</v>
      </c>
    </row>
    <row r="623" spans="1:12" hidden="1" x14ac:dyDescent="0.25">
      <c r="A623">
        <v>104</v>
      </c>
      <c r="B623" t="s">
        <v>2042</v>
      </c>
      <c r="C623" t="s">
        <v>972</v>
      </c>
      <c r="D623">
        <v>0</v>
      </c>
      <c r="E623" t="str">
        <f>_xlfn.XLOOKUP(F623, Keys!B:B, Keys!A:A, "找不到")</f>
        <v>FA</v>
      </c>
      <c r="F623" t="s">
        <v>63</v>
      </c>
      <c r="G623">
        <v>1.259194095508291</v>
      </c>
      <c r="H623" t="s">
        <v>64</v>
      </c>
      <c r="I623" t="s">
        <v>65</v>
      </c>
      <c r="J623" t="s">
        <v>673</v>
      </c>
      <c r="K623">
        <v>396.10403587383797</v>
      </c>
      <c r="L623">
        <v>5095.7980956278843</v>
      </c>
    </row>
    <row r="624" spans="1:12" hidden="1" x14ac:dyDescent="0.25">
      <c r="A624">
        <v>105</v>
      </c>
      <c r="B624" t="s">
        <v>2042</v>
      </c>
      <c r="C624" t="s">
        <v>972</v>
      </c>
      <c r="D624">
        <v>0</v>
      </c>
      <c r="E624" t="str">
        <f>_xlfn.XLOOKUP(F624, Keys!B:B, Keys!A:A, "找不到")</f>
        <v>FA</v>
      </c>
      <c r="F624" t="s">
        <v>63</v>
      </c>
      <c r="G624">
        <v>1.3481943857275009</v>
      </c>
      <c r="H624" t="s">
        <v>64</v>
      </c>
      <c r="I624" t="s">
        <v>65</v>
      </c>
      <c r="J624" t="s">
        <v>673</v>
      </c>
      <c r="K624">
        <v>441.70866241454411</v>
      </c>
      <c r="L624">
        <v>5455.9709323868674</v>
      </c>
    </row>
    <row r="625" spans="1:12" hidden="1" x14ac:dyDescent="0.25">
      <c r="A625">
        <v>106</v>
      </c>
      <c r="B625" t="s">
        <v>2042</v>
      </c>
      <c r="C625" t="s">
        <v>972</v>
      </c>
      <c r="D625">
        <v>0</v>
      </c>
      <c r="E625" t="str">
        <f>_xlfn.XLOOKUP(F625, Keys!B:B, Keys!A:A, "找不到")</f>
        <v>FA</v>
      </c>
      <c r="F625" t="s">
        <v>63</v>
      </c>
      <c r="G625">
        <v>1.2654033210927469</v>
      </c>
      <c r="H625" t="s">
        <v>64</v>
      </c>
      <c r="I625" t="s">
        <v>65</v>
      </c>
      <c r="J625" t="s">
        <v>673</v>
      </c>
      <c r="K625">
        <v>465.05485514034473</v>
      </c>
      <c r="L625">
        <v>5120.9260405741506</v>
      </c>
    </row>
    <row r="626" spans="1:12" hidden="1" x14ac:dyDescent="0.25">
      <c r="A626">
        <v>107</v>
      </c>
      <c r="B626" t="s">
        <v>2042</v>
      </c>
      <c r="C626" t="s">
        <v>972</v>
      </c>
      <c r="D626">
        <v>0</v>
      </c>
      <c r="E626" t="str">
        <f>_xlfn.XLOOKUP(F626, Keys!B:B, Keys!A:A, "找不到")</f>
        <v>FA</v>
      </c>
      <c r="F626" t="s">
        <v>63</v>
      </c>
      <c r="G626">
        <v>1.3608615808141289</v>
      </c>
      <c r="H626" t="s">
        <v>64</v>
      </c>
      <c r="I626" t="s">
        <v>65</v>
      </c>
      <c r="J626" t="s">
        <v>673</v>
      </c>
      <c r="K626">
        <v>483.20757555835229</v>
      </c>
      <c r="L626">
        <v>5507.2334572268746</v>
      </c>
    </row>
    <row r="627" spans="1:12" hidden="1" x14ac:dyDescent="0.25">
      <c r="A627">
        <v>109</v>
      </c>
      <c r="B627" t="s">
        <v>2042</v>
      </c>
      <c r="C627" t="s">
        <v>972</v>
      </c>
      <c r="D627">
        <v>0</v>
      </c>
      <c r="E627" t="str">
        <f>_xlfn.XLOOKUP(F627, Keys!B:B, Keys!A:A, "找不到")</f>
        <v>FA</v>
      </c>
      <c r="F627" t="s">
        <v>63</v>
      </c>
      <c r="G627">
        <v>1.4817266710920709</v>
      </c>
      <c r="H627" t="s">
        <v>64</v>
      </c>
      <c r="I627" t="s">
        <v>65</v>
      </c>
      <c r="J627" t="s">
        <v>673</v>
      </c>
      <c r="K627">
        <v>498.93663353889059</v>
      </c>
      <c r="L627">
        <v>5996.3590805626582</v>
      </c>
    </row>
    <row r="628" spans="1:12" hidden="1" x14ac:dyDescent="0.25">
      <c r="A628">
        <v>110</v>
      </c>
      <c r="B628" t="s">
        <v>2042</v>
      </c>
      <c r="C628" t="s">
        <v>972</v>
      </c>
      <c r="D628">
        <v>0</v>
      </c>
      <c r="E628" t="str">
        <f>_xlfn.XLOOKUP(F628, Keys!B:B, Keys!A:A, "找不到")</f>
        <v>FA</v>
      </c>
      <c r="F628" t="s">
        <v>63</v>
      </c>
      <c r="G628">
        <v>1.354416281475745</v>
      </c>
      <c r="H628" t="s">
        <v>64</v>
      </c>
      <c r="I628" t="s">
        <v>65</v>
      </c>
      <c r="J628" t="s">
        <v>673</v>
      </c>
      <c r="K628">
        <v>499.37288215997307</v>
      </c>
      <c r="L628">
        <v>5481.150151871926</v>
      </c>
    </row>
    <row r="629" spans="1:12" hidden="1" x14ac:dyDescent="0.25">
      <c r="A629">
        <v>111</v>
      </c>
      <c r="B629" t="s">
        <v>2042</v>
      </c>
      <c r="C629" t="s">
        <v>972</v>
      </c>
      <c r="D629">
        <v>0</v>
      </c>
      <c r="E629" t="str">
        <f>_xlfn.XLOOKUP(F629, Keys!B:B, Keys!A:A, "找不到")</f>
        <v>FA</v>
      </c>
      <c r="F629" t="s">
        <v>63</v>
      </c>
      <c r="G629">
        <v>1.40580912752752</v>
      </c>
      <c r="H629" t="s">
        <v>64</v>
      </c>
      <c r="I629" t="s">
        <v>65</v>
      </c>
      <c r="J629" t="s">
        <v>673</v>
      </c>
      <c r="K629">
        <v>500.019226530472</v>
      </c>
      <c r="L629">
        <v>5689.1304529023382</v>
      </c>
    </row>
    <row r="630" spans="1:12" hidden="1" x14ac:dyDescent="0.25">
      <c r="A630">
        <v>112</v>
      </c>
      <c r="B630" t="s">
        <v>2042</v>
      </c>
      <c r="C630" t="s">
        <v>972</v>
      </c>
      <c r="D630">
        <v>0</v>
      </c>
      <c r="E630" t="str">
        <f>_xlfn.XLOOKUP(F630, Keys!B:B, Keys!A:A, "找不到")</f>
        <v>FA</v>
      </c>
      <c r="F630" t="s">
        <v>63</v>
      </c>
      <c r="G630">
        <v>1.4961368236678589</v>
      </c>
      <c r="H630" t="s">
        <v>64</v>
      </c>
      <c r="I630" t="s">
        <v>65</v>
      </c>
      <c r="J630" t="s">
        <v>673</v>
      </c>
      <c r="K630">
        <v>502.9759504756147</v>
      </c>
      <c r="L630">
        <v>6054.6751323257222</v>
      </c>
    </row>
    <row r="631" spans="1:12" hidden="1" x14ac:dyDescent="0.25">
      <c r="A631">
        <v>113</v>
      </c>
      <c r="B631" t="s">
        <v>2042</v>
      </c>
      <c r="C631" t="s">
        <v>972</v>
      </c>
      <c r="D631">
        <v>0</v>
      </c>
      <c r="E631" t="str">
        <f>_xlfn.XLOOKUP(F631, Keys!B:B, Keys!A:A, "找不到")</f>
        <v>FA</v>
      </c>
      <c r="F631" t="s">
        <v>63</v>
      </c>
      <c r="G631">
        <v>1.928901636707788</v>
      </c>
      <c r="H631" t="s">
        <v>64</v>
      </c>
      <c r="I631" t="s">
        <v>65</v>
      </c>
      <c r="J631" t="s">
        <v>673</v>
      </c>
      <c r="K631">
        <v>504.3317685661296</v>
      </c>
      <c r="L631">
        <v>7806.0192007343621</v>
      </c>
    </row>
    <row r="632" spans="1:12" hidden="1" x14ac:dyDescent="0.25">
      <c r="A632">
        <v>114</v>
      </c>
      <c r="B632" t="s">
        <v>2042</v>
      </c>
      <c r="C632" t="s">
        <v>972</v>
      </c>
      <c r="D632">
        <v>0</v>
      </c>
      <c r="E632" t="str">
        <f>_xlfn.XLOOKUP(F632, Keys!B:B, Keys!A:A, "找不到")</f>
        <v>FA</v>
      </c>
      <c r="F632" t="s">
        <v>63</v>
      </c>
      <c r="G632">
        <v>2.2210602848452679</v>
      </c>
      <c r="H632" t="s">
        <v>64</v>
      </c>
      <c r="I632" t="s">
        <v>65</v>
      </c>
      <c r="J632" t="s">
        <v>673</v>
      </c>
      <c r="K632">
        <v>446.07596177039551</v>
      </c>
      <c r="L632">
        <v>8988.3480316198184</v>
      </c>
    </row>
    <row r="633" spans="1:12" hidden="1" x14ac:dyDescent="0.25">
      <c r="A633">
        <v>115</v>
      </c>
      <c r="B633" t="s">
        <v>2042</v>
      </c>
      <c r="C633" t="s">
        <v>972</v>
      </c>
      <c r="D633" t="s">
        <v>2241</v>
      </c>
      <c r="E633" t="str">
        <f>_xlfn.XLOOKUP(F633, Keys!B:B, Keys!A:A, "找不到")</f>
        <v>FA</v>
      </c>
      <c r="F633" t="s">
        <v>63</v>
      </c>
      <c r="G633">
        <v>1.2159747103152649</v>
      </c>
      <c r="H633" t="s">
        <v>64</v>
      </c>
      <c r="I633" t="s">
        <v>65</v>
      </c>
      <c r="J633" t="s">
        <v>2257</v>
      </c>
      <c r="K633">
        <v>816.01227085490007</v>
      </c>
      <c r="L633">
        <v>4920.8947494746253</v>
      </c>
    </row>
    <row r="634" spans="1:12" hidden="1" x14ac:dyDescent="0.25">
      <c r="A634">
        <v>116</v>
      </c>
      <c r="B634" t="s">
        <v>2042</v>
      </c>
      <c r="C634" t="s">
        <v>972</v>
      </c>
      <c r="D634">
        <v>0</v>
      </c>
      <c r="E634" t="str">
        <f>_xlfn.XLOOKUP(F634, Keys!B:B, Keys!A:A, "找不到")</f>
        <v>FA</v>
      </c>
      <c r="F634" t="s">
        <v>63</v>
      </c>
      <c r="G634">
        <v>0.24282065897194269</v>
      </c>
      <c r="H634" t="s">
        <v>64</v>
      </c>
      <c r="I634" t="s">
        <v>65</v>
      </c>
      <c r="J634" t="s">
        <v>2260</v>
      </c>
      <c r="K634">
        <v>135.7513190051921</v>
      </c>
      <c r="L634">
        <v>982.66427390517129</v>
      </c>
    </row>
    <row r="635" spans="1:12" hidden="1" x14ac:dyDescent="0.25">
      <c r="A635">
        <v>117</v>
      </c>
      <c r="B635" t="s">
        <v>2042</v>
      </c>
      <c r="C635" t="s">
        <v>972</v>
      </c>
      <c r="D635">
        <v>0</v>
      </c>
      <c r="E635" t="str">
        <f>_xlfn.XLOOKUP(F635, Keys!B:B, Keys!A:A, "找不到")</f>
        <v>FA</v>
      </c>
      <c r="F635" t="s">
        <v>63</v>
      </c>
      <c r="G635">
        <v>1.247395390076929</v>
      </c>
      <c r="H635" t="s">
        <v>64</v>
      </c>
      <c r="I635" t="s">
        <v>65</v>
      </c>
      <c r="J635" t="s">
        <v>2260</v>
      </c>
      <c r="K635">
        <v>322.11619762787871</v>
      </c>
      <c r="L635">
        <v>5048.0502377857301</v>
      </c>
    </row>
    <row r="636" spans="1:12" hidden="1" x14ac:dyDescent="0.25">
      <c r="A636">
        <v>118</v>
      </c>
      <c r="B636" t="s">
        <v>2042</v>
      </c>
      <c r="C636" t="s">
        <v>972</v>
      </c>
      <c r="D636">
        <v>0</v>
      </c>
      <c r="E636" t="str">
        <f>_xlfn.XLOOKUP(F636, Keys!B:B, Keys!A:A, "找不到")</f>
        <v>FA</v>
      </c>
      <c r="F636" t="s">
        <v>63</v>
      </c>
      <c r="G636">
        <v>5.2114990301402067</v>
      </c>
      <c r="H636" t="s">
        <v>64</v>
      </c>
      <c r="I636" t="s">
        <v>65</v>
      </c>
      <c r="J636" t="s">
        <v>2260</v>
      </c>
      <c r="K636">
        <v>1035.7131152564741</v>
      </c>
      <c r="L636">
        <v>21090.272681460629</v>
      </c>
    </row>
    <row r="637" spans="1:12" hidden="1" x14ac:dyDescent="0.25">
      <c r="A637">
        <v>119</v>
      </c>
      <c r="B637" t="s">
        <v>2042</v>
      </c>
      <c r="C637" t="s">
        <v>972</v>
      </c>
      <c r="D637">
        <v>0</v>
      </c>
      <c r="E637" t="str">
        <f>_xlfn.XLOOKUP(F637, Keys!B:B, Keys!A:A, "找不到")</f>
        <v>FA</v>
      </c>
      <c r="F637" t="s">
        <v>63</v>
      </c>
      <c r="G637">
        <v>0.9281232848807659</v>
      </c>
      <c r="H637" t="s">
        <v>64</v>
      </c>
      <c r="I637" t="s">
        <v>65</v>
      </c>
      <c r="J637" t="s">
        <v>2260</v>
      </c>
      <c r="K637">
        <v>274.35578196820211</v>
      </c>
      <c r="L637">
        <v>3755.996700170489</v>
      </c>
    </row>
    <row r="638" spans="1:12" hidden="1" x14ac:dyDescent="0.25">
      <c r="A638">
        <v>121</v>
      </c>
      <c r="B638" t="s">
        <v>2042</v>
      </c>
      <c r="C638" t="s">
        <v>972</v>
      </c>
      <c r="D638">
        <v>0</v>
      </c>
      <c r="E638" t="str">
        <f>_xlfn.XLOOKUP(F638, Keys!B:B, Keys!A:A, "找不到")</f>
        <v>FA</v>
      </c>
      <c r="F638" t="s">
        <v>63</v>
      </c>
      <c r="G638">
        <v>4.0722633944124222</v>
      </c>
      <c r="H638" t="s">
        <v>64</v>
      </c>
      <c r="I638" t="s">
        <v>65</v>
      </c>
      <c r="J638" t="s">
        <v>2260</v>
      </c>
      <c r="K638">
        <v>692.60173044974192</v>
      </c>
      <c r="L638">
        <v>16479.931191041182</v>
      </c>
    </row>
    <row r="639" spans="1:12" hidden="1" x14ac:dyDescent="0.25">
      <c r="A639">
        <v>122</v>
      </c>
      <c r="B639" t="s">
        <v>2042</v>
      </c>
      <c r="C639" t="s">
        <v>972</v>
      </c>
      <c r="D639" t="s">
        <v>2241</v>
      </c>
      <c r="E639" t="str">
        <f>_xlfn.XLOOKUP(F639, Keys!B:B, Keys!A:A, "找不到")</f>
        <v>FA</v>
      </c>
      <c r="F639" t="s">
        <v>63</v>
      </c>
      <c r="G639">
        <v>1.325186336766109</v>
      </c>
      <c r="H639" t="s">
        <v>64</v>
      </c>
      <c r="I639" t="s">
        <v>65</v>
      </c>
      <c r="J639" t="s">
        <v>2257</v>
      </c>
      <c r="K639">
        <v>496.79669944230471</v>
      </c>
      <c r="L639">
        <v>5362.8602892383624</v>
      </c>
    </row>
    <row r="640" spans="1:12" hidden="1" x14ac:dyDescent="0.25">
      <c r="A640">
        <v>123</v>
      </c>
      <c r="B640" t="s">
        <v>2042</v>
      </c>
      <c r="C640" t="s">
        <v>972</v>
      </c>
      <c r="D640">
        <v>0</v>
      </c>
      <c r="E640" t="str">
        <f>_xlfn.XLOOKUP(F640, Keys!B:B, Keys!A:A, "找不到")</f>
        <v>FA</v>
      </c>
      <c r="F640" t="s">
        <v>63</v>
      </c>
      <c r="G640">
        <v>9.2017163311203394</v>
      </c>
      <c r="H640" t="s">
        <v>64</v>
      </c>
      <c r="I640" t="s">
        <v>65</v>
      </c>
      <c r="J640" t="s">
        <v>2270</v>
      </c>
      <c r="K640">
        <v>1045.8753459796119</v>
      </c>
      <c r="L640">
        <v>37238.173784243503</v>
      </c>
    </row>
    <row r="641" spans="1:12" hidden="1" x14ac:dyDescent="0.25">
      <c r="A641">
        <v>124</v>
      </c>
      <c r="B641" t="s">
        <v>2042</v>
      </c>
      <c r="C641" t="s">
        <v>972</v>
      </c>
      <c r="D641" t="s">
        <v>2241</v>
      </c>
      <c r="E641" t="str">
        <f>_xlfn.XLOOKUP(F641, Keys!B:B, Keys!A:A, "找不到")</f>
        <v>FA</v>
      </c>
      <c r="F641" t="s">
        <v>63</v>
      </c>
      <c r="G641">
        <v>1.171868810949755</v>
      </c>
      <c r="H641" t="s">
        <v>64</v>
      </c>
      <c r="I641" t="s">
        <v>65</v>
      </c>
      <c r="J641" t="s">
        <v>2257</v>
      </c>
      <c r="K641">
        <v>485.23933414986112</v>
      </c>
      <c r="L641">
        <v>4742.4037933984719</v>
      </c>
    </row>
    <row r="642" spans="1:12" hidden="1" x14ac:dyDescent="0.25">
      <c r="A642">
        <v>125</v>
      </c>
      <c r="B642" t="s">
        <v>2042</v>
      </c>
      <c r="C642" t="s">
        <v>972</v>
      </c>
      <c r="D642" t="s">
        <v>2241</v>
      </c>
      <c r="E642" t="str">
        <f>_xlfn.XLOOKUP(F642, Keys!B:B, Keys!A:A, "找不到")</f>
        <v>FA</v>
      </c>
      <c r="F642" t="s">
        <v>63</v>
      </c>
      <c r="G642">
        <v>8.7126772484187835</v>
      </c>
      <c r="H642" t="s">
        <v>64</v>
      </c>
      <c r="I642" t="s">
        <v>65</v>
      </c>
      <c r="J642" t="s">
        <v>2257</v>
      </c>
      <c r="K642">
        <v>897.86463060116193</v>
      </c>
      <c r="L642">
        <v>35259.094915300528</v>
      </c>
    </row>
    <row r="643" spans="1:12" hidden="1" x14ac:dyDescent="0.25">
      <c r="A643">
        <v>127</v>
      </c>
      <c r="B643" t="s">
        <v>2042</v>
      </c>
      <c r="C643" t="s">
        <v>972</v>
      </c>
      <c r="D643" t="s">
        <v>2241</v>
      </c>
      <c r="E643" t="str">
        <f>_xlfn.XLOOKUP(F643, Keys!B:B, Keys!A:A, "找不到")</f>
        <v>FA</v>
      </c>
      <c r="F643" t="s">
        <v>63</v>
      </c>
      <c r="G643">
        <v>0.73413158132264944</v>
      </c>
      <c r="H643" t="s">
        <v>64</v>
      </c>
      <c r="I643" t="s">
        <v>65</v>
      </c>
      <c r="J643" t="s">
        <v>2257</v>
      </c>
      <c r="K643">
        <v>307.82155758057257</v>
      </c>
      <c r="L643">
        <v>2970.9369884983021</v>
      </c>
    </row>
    <row r="644" spans="1:12" hidden="1" x14ac:dyDescent="0.25">
      <c r="A644">
        <v>129</v>
      </c>
      <c r="B644" t="s">
        <v>2042</v>
      </c>
      <c r="C644" t="s">
        <v>972</v>
      </c>
      <c r="D644">
        <v>0</v>
      </c>
      <c r="E644" t="str">
        <f>_xlfn.XLOOKUP(F644, Keys!B:B, Keys!A:A, "找不到")</f>
        <v>FA</v>
      </c>
      <c r="F644" t="s">
        <v>63</v>
      </c>
      <c r="G644">
        <v>5.733617487001184</v>
      </c>
      <c r="H644" t="s">
        <v>64</v>
      </c>
      <c r="I644" t="s">
        <v>65</v>
      </c>
      <c r="J644" t="s">
        <v>2270</v>
      </c>
      <c r="K644">
        <v>611.44998851657647</v>
      </c>
      <c r="L644">
        <v>23203.219563641131</v>
      </c>
    </row>
    <row r="645" spans="1:12" hidden="1" x14ac:dyDescent="0.25">
      <c r="A645">
        <v>130</v>
      </c>
      <c r="B645" t="s">
        <v>2042</v>
      </c>
      <c r="C645" t="s">
        <v>972</v>
      </c>
      <c r="D645" t="s">
        <v>2241</v>
      </c>
      <c r="E645" t="str">
        <f>_xlfn.XLOOKUP(F645, Keys!B:B, Keys!A:A, "找不到")</f>
        <v>FA</v>
      </c>
      <c r="F645" t="s">
        <v>63</v>
      </c>
      <c r="G645">
        <v>2.149968006395901</v>
      </c>
      <c r="H645" t="s">
        <v>64</v>
      </c>
      <c r="I645" t="s">
        <v>65</v>
      </c>
      <c r="J645" t="s">
        <v>2257</v>
      </c>
      <c r="K645">
        <v>553.84715584678372</v>
      </c>
      <c r="L645">
        <v>8700.646637189524</v>
      </c>
    </row>
    <row r="646" spans="1:12" hidden="1" x14ac:dyDescent="0.25">
      <c r="A646">
        <v>131</v>
      </c>
      <c r="B646" t="s">
        <v>2042</v>
      </c>
      <c r="C646" t="s">
        <v>972</v>
      </c>
      <c r="D646">
        <v>0</v>
      </c>
      <c r="E646" t="str">
        <f>_xlfn.XLOOKUP(F646, Keys!B:B, Keys!A:A, "找不到")</f>
        <v>FA</v>
      </c>
      <c r="F646" t="s">
        <v>63</v>
      </c>
      <c r="G646">
        <v>0.99830084872709579</v>
      </c>
      <c r="H646" t="s">
        <v>64</v>
      </c>
      <c r="I646" t="s">
        <v>65</v>
      </c>
      <c r="J646" t="s">
        <v>2270</v>
      </c>
      <c r="K646">
        <v>338.68266311445842</v>
      </c>
      <c r="L646">
        <v>4039.9963611279031</v>
      </c>
    </row>
    <row r="647" spans="1:12" hidden="1" x14ac:dyDescent="0.25">
      <c r="A647">
        <v>132</v>
      </c>
      <c r="B647" t="s">
        <v>2042</v>
      </c>
      <c r="C647" t="s">
        <v>972</v>
      </c>
      <c r="D647">
        <v>0</v>
      </c>
      <c r="E647" t="str">
        <f>_xlfn.XLOOKUP(F647, Keys!B:B, Keys!A:A, "找不到")</f>
        <v>FA</v>
      </c>
      <c r="F647" t="s">
        <v>63</v>
      </c>
      <c r="G647">
        <v>0.99499688841466283</v>
      </c>
      <c r="H647" t="s">
        <v>64</v>
      </c>
      <c r="I647" t="s">
        <v>65</v>
      </c>
      <c r="J647" t="s">
        <v>2284</v>
      </c>
      <c r="K647">
        <v>245.6817170401126</v>
      </c>
      <c r="L647">
        <v>4026.6256546354061</v>
      </c>
    </row>
    <row r="648" spans="1:12" hidden="1" x14ac:dyDescent="0.25">
      <c r="A648">
        <v>133</v>
      </c>
      <c r="B648" t="s">
        <v>2042</v>
      </c>
      <c r="C648" t="s">
        <v>972</v>
      </c>
      <c r="D648">
        <v>0</v>
      </c>
      <c r="E648" t="str">
        <f>_xlfn.XLOOKUP(F648, Keys!B:B, Keys!A:A, "找不到")</f>
        <v>FA</v>
      </c>
      <c r="F648" t="s">
        <v>63</v>
      </c>
      <c r="G648">
        <v>1.1675209608101711</v>
      </c>
      <c r="H648" t="s">
        <v>64</v>
      </c>
      <c r="I648" t="s">
        <v>65</v>
      </c>
      <c r="J648" t="s">
        <v>2287</v>
      </c>
      <c r="K648">
        <v>325.31839711652782</v>
      </c>
      <c r="L648">
        <v>4724.8085977567489</v>
      </c>
    </row>
    <row r="649" spans="1:12" hidden="1" x14ac:dyDescent="0.25">
      <c r="A649">
        <v>134</v>
      </c>
      <c r="B649" t="s">
        <v>2042</v>
      </c>
      <c r="C649" t="s">
        <v>972</v>
      </c>
      <c r="D649" t="s">
        <v>2241</v>
      </c>
      <c r="E649" t="str">
        <f>_xlfn.XLOOKUP(F649, Keys!B:B, Keys!A:A, "找不到")</f>
        <v>FA</v>
      </c>
      <c r="F649" t="s">
        <v>63</v>
      </c>
      <c r="G649">
        <v>1.499819390495791</v>
      </c>
      <c r="H649" t="s">
        <v>64</v>
      </c>
      <c r="I649" t="s">
        <v>65</v>
      </c>
      <c r="J649" t="s">
        <v>2257</v>
      </c>
      <c r="K649">
        <v>356.54371691926832</v>
      </c>
      <c r="L649">
        <v>6069.5780111557133</v>
      </c>
    </row>
    <row r="650" spans="1:12" hidden="1" x14ac:dyDescent="0.25">
      <c r="A650">
        <v>135</v>
      </c>
      <c r="B650" t="s">
        <v>2042</v>
      </c>
      <c r="C650" t="s">
        <v>972</v>
      </c>
      <c r="D650" t="s">
        <v>2241</v>
      </c>
      <c r="E650" t="str">
        <f>_xlfn.XLOOKUP(F650, Keys!B:B, Keys!A:A, "找不到")</f>
        <v>FA</v>
      </c>
      <c r="F650" t="s">
        <v>63</v>
      </c>
      <c r="G650">
        <v>0.39798142707271161</v>
      </c>
      <c r="H650" t="s">
        <v>64</v>
      </c>
      <c r="I650" t="s">
        <v>65</v>
      </c>
      <c r="J650" t="s">
        <v>2257</v>
      </c>
      <c r="K650">
        <v>161.037048617257</v>
      </c>
      <c r="L650">
        <v>1610.580136459223</v>
      </c>
    </row>
    <row r="651" spans="1:12" hidden="1" x14ac:dyDescent="0.25">
      <c r="A651">
        <v>136</v>
      </c>
      <c r="B651" t="s">
        <v>2042</v>
      </c>
      <c r="C651" t="s">
        <v>972</v>
      </c>
      <c r="D651" t="s">
        <v>2241</v>
      </c>
      <c r="E651" t="str">
        <f>_xlfn.XLOOKUP(F651, Keys!B:B, Keys!A:A, "找不到")</f>
        <v>FA</v>
      </c>
      <c r="F651" t="s">
        <v>63</v>
      </c>
      <c r="G651">
        <v>9.0903605476835541</v>
      </c>
      <c r="H651" t="s">
        <v>64</v>
      </c>
      <c r="I651" t="s">
        <v>65</v>
      </c>
      <c r="J651" t="s">
        <v>2257</v>
      </c>
      <c r="K651">
        <v>1021.372441385589</v>
      </c>
      <c r="L651">
        <v>36787.531114302081</v>
      </c>
    </row>
    <row r="652" spans="1:12" hidden="1" x14ac:dyDescent="0.25">
      <c r="A652">
        <v>137</v>
      </c>
      <c r="B652" t="s">
        <v>2042</v>
      </c>
      <c r="C652" t="s">
        <v>972</v>
      </c>
      <c r="D652">
        <v>0</v>
      </c>
      <c r="E652" t="str">
        <f>_xlfn.XLOOKUP(F652, Keys!B:B, Keys!A:A, "找不到")</f>
        <v>FA</v>
      </c>
      <c r="F652" t="s">
        <v>63</v>
      </c>
      <c r="G652">
        <v>23.926971599874591</v>
      </c>
      <c r="H652" t="s">
        <v>64</v>
      </c>
      <c r="I652" t="s">
        <v>65</v>
      </c>
      <c r="J652" t="s">
        <v>2287</v>
      </c>
      <c r="K652">
        <v>1738.425327250148</v>
      </c>
      <c r="L652">
        <v>96829.406004771605</v>
      </c>
    </row>
    <row r="653" spans="1:12" hidden="1" x14ac:dyDescent="0.25">
      <c r="A653">
        <v>140</v>
      </c>
      <c r="B653" t="s">
        <v>2042</v>
      </c>
      <c r="C653" t="s">
        <v>972</v>
      </c>
      <c r="D653">
        <v>0</v>
      </c>
      <c r="E653" t="str">
        <f>_xlfn.XLOOKUP(F653, Keys!B:B, Keys!A:A, "找不到")</f>
        <v>FA</v>
      </c>
      <c r="F653" t="s">
        <v>63</v>
      </c>
      <c r="G653">
        <v>7.8259524503021316</v>
      </c>
      <c r="H653" t="s">
        <v>64</v>
      </c>
      <c r="I653" t="s">
        <v>65</v>
      </c>
      <c r="J653" t="s">
        <v>2296</v>
      </c>
      <c r="K653">
        <v>711.14851840292397</v>
      </c>
      <c r="L653">
        <v>31670.632617305979</v>
      </c>
    </row>
    <row r="654" spans="1:12" hidden="1" x14ac:dyDescent="0.25">
      <c r="A654">
        <v>141</v>
      </c>
      <c r="B654" t="s">
        <v>2042</v>
      </c>
      <c r="C654" t="s">
        <v>972</v>
      </c>
      <c r="D654">
        <v>0</v>
      </c>
      <c r="E654" t="str">
        <f>_xlfn.XLOOKUP(F654, Keys!B:B, Keys!A:A, "找不到")</f>
        <v>FA</v>
      </c>
      <c r="F654" t="s">
        <v>63</v>
      </c>
      <c r="G654">
        <v>0.84179525057500437</v>
      </c>
      <c r="H654" t="s">
        <v>64</v>
      </c>
      <c r="I654" t="s">
        <v>65</v>
      </c>
      <c r="J654" t="s">
        <v>2257</v>
      </c>
      <c r="K654">
        <v>270.35298687011982</v>
      </c>
      <c r="L654">
        <v>3406.6381426742182</v>
      </c>
    </row>
    <row r="655" spans="1:12" hidden="1" x14ac:dyDescent="0.25">
      <c r="A655">
        <v>145</v>
      </c>
      <c r="B655" t="s">
        <v>2042</v>
      </c>
      <c r="C655" t="s">
        <v>972</v>
      </c>
      <c r="D655">
        <v>0</v>
      </c>
      <c r="E655" t="str">
        <f>_xlfn.XLOOKUP(F655, Keys!B:B, Keys!A:A, "找不到")</f>
        <v>FA</v>
      </c>
      <c r="F655" t="s">
        <v>63</v>
      </c>
      <c r="G655">
        <v>0.16151451837378611</v>
      </c>
      <c r="H655" t="s">
        <v>64</v>
      </c>
      <c r="I655" t="s">
        <v>65</v>
      </c>
      <c r="J655" t="s">
        <v>2296</v>
      </c>
      <c r="K655">
        <v>101.89952737575609</v>
      </c>
      <c r="L655">
        <v>653.62868050390659</v>
      </c>
    </row>
    <row r="656" spans="1:12" hidden="1" x14ac:dyDescent="0.25">
      <c r="A656">
        <v>150</v>
      </c>
      <c r="B656" t="s">
        <v>2042</v>
      </c>
      <c r="C656" t="s">
        <v>972</v>
      </c>
      <c r="D656">
        <v>0</v>
      </c>
      <c r="E656" t="str">
        <f>_xlfn.XLOOKUP(F656, Keys!B:B, Keys!A:A, "找不到")</f>
        <v>FA</v>
      </c>
      <c r="F656" t="s">
        <v>63</v>
      </c>
      <c r="G656">
        <v>15.773044850434941</v>
      </c>
      <c r="H656" t="s">
        <v>64</v>
      </c>
      <c r="I656" t="s">
        <v>65</v>
      </c>
      <c r="J656" t="s">
        <v>2270</v>
      </c>
      <c r="K656">
        <v>1608.938406199858</v>
      </c>
      <c r="L656">
        <v>63831.503179543251</v>
      </c>
    </row>
    <row r="657" spans="1:12" hidden="1" x14ac:dyDescent="0.25">
      <c r="A657">
        <v>155</v>
      </c>
      <c r="B657" t="s">
        <v>2042</v>
      </c>
      <c r="C657" t="s">
        <v>972</v>
      </c>
      <c r="D657">
        <v>0</v>
      </c>
      <c r="E657" t="str">
        <f>_xlfn.XLOOKUP(F657, Keys!B:B, Keys!A:A, "找不到")</f>
        <v>FA</v>
      </c>
      <c r="F657" t="s">
        <v>63</v>
      </c>
      <c r="G657">
        <v>0.51414471344053958</v>
      </c>
      <c r="H657" t="s">
        <v>64</v>
      </c>
      <c r="I657" t="s">
        <v>65</v>
      </c>
      <c r="J657" t="s">
        <v>2270</v>
      </c>
      <c r="K657">
        <v>242.21010867769601</v>
      </c>
      <c r="L657">
        <v>2080.6781583341658</v>
      </c>
    </row>
    <row r="658" spans="1:12" hidden="1" x14ac:dyDescent="0.25">
      <c r="A658">
        <v>165</v>
      </c>
      <c r="B658" t="s">
        <v>2042</v>
      </c>
      <c r="C658" t="s">
        <v>972</v>
      </c>
      <c r="D658">
        <v>0</v>
      </c>
      <c r="E658" t="str">
        <f>_xlfn.XLOOKUP(F658, Keys!B:B, Keys!A:A, "找不到")</f>
        <v>FA</v>
      </c>
      <c r="F658" t="s">
        <v>63</v>
      </c>
      <c r="G658">
        <v>1.389485040714237</v>
      </c>
      <c r="H658" t="s">
        <v>64</v>
      </c>
      <c r="I658" t="s">
        <v>65</v>
      </c>
      <c r="J658" t="s">
        <v>2334</v>
      </c>
      <c r="K658">
        <v>368.79136256246659</v>
      </c>
      <c r="L658">
        <v>5623.0689530964546</v>
      </c>
    </row>
    <row r="659" spans="1:12" hidden="1" x14ac:dyDescent="0.25">
      <c r="A659">
        <v>170</v>
      </c>
      <c r="B659" t="s">
        <v>2042</v>
      </c>
      <c r="C659" t="s">
        <v>972</v>
      </c>
      <c r="D659" t="s">
        <v>2241</v>
      </c>
      <c r="E659" t="str">
        <f>_xlfn.XLOOKUP(F659, Keys!B:B, Keys!A:A, "找不到")</f>
        <v>FA</v>
      </c>
      <c r="F659" t="s">
        <v>63</v>
      </c>
      <c r="G659">
        <v>7.4110655489439139E-2</v>
      </c>
      <c r="H659" t="s">
        <v>64</v>
      </c>
      <c r="I659" t="s">
        <v>65</v>
      </c>
      <c r="J659" t="s">
        <v>2342</v>
      </c>
      <c r="K659">
        <v>91.02828773111878</v>
      </c>
      <c r="L659">
        <v>299.9163818000381</v>
      </c>
    </row>
    <row r="660" spans="1:12" hidden="1" x14ac:dyDescent="0.25">
      <c r="A660">
        <v>171</v>
      </c>
      <c r="B660" t="s">
        <v>2042</v>
      </c>
      <c r="C660" t="s">
        <v>972</v>
      </c>
      <c r="D660" t="s">
        <v>2241</v>
      </c>
      <c r="E660" t="str">
        <f>_xlfn.XLOOKUP(F660, Keys!B:B, Keys!A:A, "找不到")</f>
        <v>FA</v>
      </c>
      <c r="F660" t="s">
        <v>63</v>
      </c>
      <c r="G660">
        <v>0.30505470564547821</v>
      </c>
      <c r="H660" t="s">
        <v>64</v>
      </c>
      <c r="I660" t="s">
        <v>65</v>
      </c>
      <c r="J660" t="s">
        <v>2342</v>
      </c>
      <c r="K660">
        <v>140.9342532971655</v>
      </c>
      <c r="L660">
        <v>1234.5175327899381</v>
      </c>
    </row>
    <row r="661" spans="1:12" hidden="1" x14ac:dyDescent="0.25">
      <c r="A661">
        <v>174</v>
      </c>
      <c r="B661" t="s">
        <v>2042</v>
      </c>
      <c r="C661" t="s">
        <v>972</v>
      </c>
      <c r="D661" t="s">
        <v>2080</v>
      </c>
      <c r="E661" t="str">
        <f>_xlfn.XLOOKUP(F661, Keys!B:B, Keys!A:A, "找不到")</f>
        <v>FA</v>
      </c>
      <c r="F661" t="s">
        <v>63</v>
      </c>
      <c r="G661">
        <v>4.4694799988778309</v>
      </c>
      <c r="H661" t="s">
        <v>64</v>
      </c>
      <c r="I661" t="s">
        <v>65</v>
      </c>
      <c r="J661" t="s">
        <v>2348</v>
      </c>
      <c r="K661">
        <v>630.78210509804228</v>
      </c>
      <c r="L661">
        <v>18087.416187839499</v>
      </c>
    </row>
    <row r="662" spans="1:12" hidden="1" x14ac:dyDescent="0.25">
      <c r="A662">
        <v>175</v>
      </c>
      <c r="B662" t="s">
        <v>2042</v>
      </c>
      <c r="C662" t="s">
        <v>972</v>
      </c>
      <c r="D662">
        <v>0</v>
      </c>
      <c r="E662" t="str">
        <f>_xlfn.XLOOKUP(F662, Keys!B:B, Keys!A:A, "找不到")</f>
        <v>FA</v>
      </c>
      <c r="F662" t="s">
        <v>63</v>
      </c>
      <c r="G662">
        <v>1.299258280332404</v>
      </c>
      <c r="H662" t="s">
        <v>64</v>
      </c>
      <c r="I662" t="s">
        <v>65</v>
      </c>
      <c r="J662" t="s">
        <v>2350</v>
      </c>
      <c r="K662">
        <v>647.87441672676948</v>
      </c>
      <c r="L662">
        <v>5257.9327478295272</v>
      </c>
    </row>
    <row r="663" spans="1:12" hidden="1" x14ac:dyDescent="0.25">
      <c r="A663">
        <v>176</v>
      </c>
      <c r="B663" t="s">
        <v>2042</v>
      </c>
      <c r="C663" t="s">
        <v>972</v>
      </c>
      <c r="D663">
        <v>0</v>
      </c>
      <c r="E663" t="str">
        <f>_xlfn.XLOOKUP(F663, Keys!B:B, Keys!A:A, "找不到")</f>
        <v>FA</v>
      </c>
      <c r="F663" t="s">
        <v>63</v>
      </c>
      <c r="G663">
        <v>5.6078477324136911</v>
      </c>
      <c r="H663" t="s">
        <v>64</v>
      </c>
      <c r="I663" t="s">
        <v>65</v>
      </c>
      <c r="J663" t="s">
        <v>2126</v>
      </c>
      <c r="K663">
        <v>710.46259049231014</v>
      </c>
      <c r="L663">
        <v>22694.245388650401</v>
      </c>
    </row>
    <row r="664" spans="1:12" hidden="1" x14ac:dyDescent="0.25">
      <c r="A664">
        <v>177</v>
      </c>
      <c r="B664" t="s">
        <v>2042</v>
      </c>
      <c r="C664" t="s">
        <v>972</v>
      </c>
      <c r="D664">
        <v>0</v>
      </c>
      <c r="E664" t="str">
        <f>_xlfn.XLOOKUP(F664, Keys!B:B, Keys!A:A, "找不到")</f>
        <v>FA</v>
      </c>
      <c r="F664" t="s">
        <v>63</v>
      </c>
      <c r="G664">
        <v>4.3365849523193836</v>
      </c>
      <c r="H664" t="s">
        <v>64</v>
      </c>
      <c r="I664" t="s">
        <v>65</v>
      </c>
      <c r="J664" t="s">
        <v>2126</v>
      </c>
      <c r="K664">
        <v>693.18709280885435</v>
      </c>
      <c r="L664">
        <v>17549.60686393415</v>
      </c>
    </row>
    <row r="665" spans="1:12" hidden="1" x14ac:dyDescent="0.25">
      <c r="A665">
        <v>178</v>
      </c>
      <c r="B665" t="s">
        <v>2042</v>
      </c>
      <c r="C665" t="s">
        <v>972</v>
      </c>
      <c r="D665">
        <v>0</v>
      </c>
      <c r="E665" t="str">
        <f>_xlfn.XLOOKUP(F665, Keys!B:B, Keys!A:A, "找不到")</f>
        <v>FA</v>
      </c>
      <c r="F665" t="s">
        <v>63</v>
      </c>
      <c r="G665">
        <v>2.8932365379299259</v>
      </c>
      <c r="H665" t="s">
        <v>64</v>
      </c>
      <c r="I665" t="s">
        <v>65</v>
      </c>
      <c r="J665" t="s">
        <v>673</v>
      </c>
      <c r="K665">
        <v>750.69842060151655</v>
      </c>
      <c r="L665">
        <v>11708.55969923603</v>
      </c>
    </row>
    <row r="666" spans="1:12" hidden="1" x14ac:dyDescent="0.25">
      <c r="A666">
        <v>179</v>
      </c>
      <c r="B666" t="s">
        <v>2042</v>
      </c>
      <c r="C666" t="s">
        <v>972</v>
      </c>
      <c r="D666">
        <v>0</v>
      </c>
      <c r="E666" t="str">
        <f>_xlfn.XLOOKUP(F666, Keys!B:B, Keys!A:A, "找不到")</f>
        <v>FA</v>
      </c>
      <c r="F666" t="s">
        <v>63</v>
      </c>
      <c r="G666">
        <v>3.427789363062125</v>
      </c>
      <c r="H666" t="s">
        <v>64</v>
      </c>
      <c r="I666" t="s">
        <v>65</v>
      </c>
      <c r="J666" t="s">
        <v>2356</v>
      </c>
      <c r="K666">
        <v>528.41645642593085</v>
      </c>
      <c r="L666">
        <v>13871.82688579442</v>
      </c>
    </row>
    <row r="667" spans="1:12" hidden="1" x14ac:dyDescent="0.25">
      <c r="A667">
        <v>180</v>
      </c>
      <c r="B667" t="s">
        <v>2042</v>
      </c>
      <c r="C667" t="s">
        <v>972</v>
      </c>
      <c r="D667">
        <v>0</v>
      </c>
      <c r="E667" t="str">
        <f>_xlfn.XLOOKUP(F667, Keys!B:B, Keys!A:A, "找不到")</f>
        <v>FA</v>
      </c>
      <c r="F667" t="s">
        <v>63</v>
      </c>
      <c r="G667">
        <v>0.75129666264475825</v>
      </c>
      <c r="H667" t="s">
        <v>64</v>
      </c>
      <c r="I667" t="s">
        <v>65</v>
      </c>
      <c r="J667" t="s">
        <v>2356</v>
      </c>
      <c r="K667">
        <v>252.51950538486901</v>
      </c>
      <c r="L667">
        <v>3040.4018859470079</v>
      </c>
    </row>
    <row r="668" spans="1:12" hidden="1" x14ac:dyDescent="0.25">
      <c r="A668">
        <v>181</v>
      </c>
      <c r="B668" t="s">
        <v>2042</v>
      </c>
      <c r="C668" t="s">
        <v>972</v>
      </c>
      <c r="D668">
        <v>0</v>
      </c>
      <c r="E668" t="str">
        <f>_xlfn.XLOOKUP(F668, Keys!B:B, Keys!A:A, "找不到")</f>
        <v>FA</v>
      </c>
      <c r="F668" t="s">
        <v>63</v>
      </c>
      <c r="G668">
        <v>4.8295257545070216</v>
      </c>
      <c r="H668" t="s">
        <v>64</v>
      </c>
      <c r="I668" t="s">
        <v>65</v>
      </c>
      <c r="J668" t="s">
        <v>2359</v>
      </c>
      <c r="K668">
        <v>690.13087241863388</v>
      </c>
      <c r="L668">
        <v>19544.475494596751</v>
      </c>
    </row>
    <row r="669" spans="1:12" hidden="1" x14ac:dyDescent="0.25">
      <c r="A669">
        <v>182</v>
      </c>
      <c r="B669" t="s">
        <v>2042</v>
      </c>
      <c r="C669" t="s">
        <v>972</v>
      </c>
      <c r="D669">
        <v>0</v>
      </c>
      <c r="E669" t="str">
        <f>_xlfn.XLOOKUP(F669, Keys!B:B, Keys!A:A, "找不到")</f>
        <v>FA</v>
      </c>
      <c r="F669" t="s">
        <v>63</v>
      </c>
      <c r="G669">
        <v>1.786371564040774</v>
      </c>
      <c r="H669" t="s">
        <v>64</v>
      </c>
      <c r="I669" t="s">
        <v>65</v>
      </c>
      <c r="J669" t="s">
        <v>2359</v>
      </c>
      <c r="K669">
        <v>390.57591440252429</v>
      </c>
      <c r="L669">
        <v>7229.2181535748359</v>
      </c>
    </row>
    <row r="670" spans="1:12" hidden="1" x14ac:dyDescent="0.25">
      <c r="A670">
        <v>183</v>
      </c>
      <c r="B670" t="s">
        <v>714</v>
      </c>
      <c r="C670" t="s">
        <v>972</v>
      </c>
      <c r="D670" t="s">
        <v>57</v>
      </c>
      <c r="E670" t="str">
        <f>_xlfn.XLOOKUP(F670, Keys!B:B, Keys!A:A, "找不到")</f>
        <v>FA</v>
      </c>
      <c r="F670" t="s">
        <v>63</v>
      </c>
      <c r="G670">
        <v>1.459944087565604</v>
      </c>
      <c r="H670" t="s">
        <v>64</v>
      </c>
      <c r="I670" t="s">
        <v>65</v>
      </c>
      <c r="J670" t="s">
        <v>968</v>
      </c>
      <c r="K670">
        <v>0</v>
      </c>
      <c r="L670">
        <v>0</v>
      </c>
    </row>
    <row r="671" spans="1:12" hidden="1" x14ac:dyDescent="0.25">
      <c r="A671">
        <v>189</v>
      </c>
      <c r="B671" t="s">
        <v>2042</v>
      </c>
      <c r="C671" t="s">
        <v>972</v>
      </c>
      <c r="D671">
        <v>0</v>
      </c>
      <c r="E671" t="str">
        <f>_xlfn.XLOOKUP(F671, Keys!B:B, Keys!A:A, "找不到")</f>
        <v>FA</v>
      </c>
      <c r="F671" t="s">
        <v>63</v>
      </c>
      <c r="G671">
        <v>0.2007186583841391</v>
      </c>
      <c r="H671" t="s">
        <v>64</v>
      </c>
      <c r="I671" t="s">
        <v>65</v>
      </c>
      <c r="J671" t="s">
        <v>2370</v>
      </c>
      <c r="K671">
        <v>203.92946664915689</v>
      </c>
      <c r="L671">
        <v>812.28284090547925</v>
      </c>
    </row>
    <row r="672" spans="1:12" hidden="1" x14ac:dyDescent="0.25">
      <c r="A672">
        <v>190</v>
      </c>
      <c r="B672" t="s">
        <v>2042</v>
      </c>
      <c r="C672" t="s">
        <v>972</v>
      </c>
      <c r="D672" t="s">
        <v>2241</v>
      </c>
      <c r="E672" t="str">
        <f>_xlfn.XLOOKUP(F672, Keys!B:B, Keys!A:A, "找不到")</f>
        <v>FA</v>
      </c>
      <c r="F672" t="s">
        <v>63</v>
      </c>
      <c r="G672">
        <v>2.8484719979079141</v>
      </c>
      <c r="H672" t="s">
        <v>64</v>
      </c>
      <c r="I672" t="s">
        <v>65</v>
      </c>
      <c r="J672" t="s">
        <v>2293</v>
      </c>
      <c r="K672">
        <v>511.39355953964031</v>
      </c>
      <c r="L672">
        <v>11527.403308327321</v>
      </c>
    </row>
    <row r="673" spans="1:12" hidden="1" x14ac:dyDescent="0.25">
      <c r="A673">
        <v>191</v>
      </c>
      <c r="B673" t="s">
        <v>2042</v>
      </c>
      <c r="C673" t="s">
        <v>972</v>
      </c>
      <c r="D673">
        <v>0</v>
      </c>
      <c r="E673" t="str">
        <f>_xlfn.XLOOKUP(F673, Keys!B:B, Keys!A:A, "找不到")</f>
        <v>FA</v>
      </c>
      <c r="F673" t="s">
        <v>63</v>
      </c>
      <c r="G673">
        <v>7.5627389046247702</v>
      </c>
      <c r="H673" t="s">
        <v>64</v>
      </c>
      <c r="I673" t="s">
        <v>65</v>
      </c>
      <c r="J673" t="s">
        <v>2380</v>
      </c>
      <c r="K673">
        <v>982.87373146241737</v>
      </c>
      <c r="L673">
        <v>30605.440928756379</v>
      </c>
    </row>
    <row r="674" spans="1:12" hidden="1" x14ac:dyDescent="0.25">
      <c r="A674">
        <v>192</v>
      </c>
      <c r="B674" t="s">
        <v>2042</v>
      </c>
      <c r="C674" t="s">
        <v>972</v>
      </c>
      <c r="D674" t="s">
        <v>2241</v>
      </c>
      <c r="E674" t="str">
        <f>_xlfn.XLOOKUP(F674, Keys!B:B, Keys!A:A, "找不到")</f>
        <v>FA</v>
      </c>
      <c r="F674" t="s">
        <v>63</v>
      </c>
      <c r="G674">
        <v>0.3621114444757294</v>
      </c>
      <c r="H674" t="s">
        <v>64</v>
      </c>
      <c r="I674" t="s">
        <v>65</v>
      </c>
      <c r="J674" t="s">
        <v>2382</v>
      </c>
      <c r="K674">
        <v>156.59305942549429</v>
      </c>
      <c r="L674">
        <v>1465.41888637083</v>
      </c>
    </row>
    <row r="675" spans="1:12" hidden="1" x14ac:dyDescent="0.25">
      <c r="A675">
        <v>193</v>
      </c>
      <c r="B675" t="s">
        <v>2042</v>
      </c>
      <c r="C675" t="s">
        <v>972</v>
      </c>
      <c r="D675" t="s">
        <v>2241</v>
      </c>
      <c r="E675" t="str">
        <f>_xlfn.XLOOKUP(F675, Keys!B:B, Keys!A:A, "找不到")</f>
        <v>FA</v>
      </c>
      <c r="F675" t="s">
        <v>63</v>
      </c>
      <c r="G675">
        <v>0.68161868087903843</v>
      </c>
      <c r="H675" t="s">
        <v>64</v>
      </c>
      <c r="I675" t="s">
        <v>65</v>
      </c>
      <c r="J675" t="s">
        <v>2382</v>
      </c>
      <c r="K675">
        <v>213.2060211027987</v>
      </c>
      <c r="L675">
        <v>2758.4239700279991</v>
      </c>
    </row>
    <row r="676" spans="1:12" hidden="1" x14ac:dyDescent="0.25">
      <c r="A676">
        <v>194</v>
      </c>
      <c r="B676" t="s">
        <v>2042</v>
      </c>
      <c r="C676" t="s">
        <v>972</v>
      </c>
      <c r="D676" t="s">
        <v>2241</v>
      </c>
      <c r="E676" t="str">
        <f>_xlfn.XLOOKUP(F676, Keys!B:B, Keys!A:A, "找不到")</f>
        <v>FA</v>
      </c>
      <c r="F676" t="s">
        <v>63</v>
      </c>
      <c r="G676">
        <v>4.0458980932381188</v>
      </c>
      <c r="H676" t="s">
        <v>64</v>
      </c>
      <c r="I676" t="s">
        <v>65</v>
      </c>
      <c r="J676" t="s">
        <v>2293</v>
      </c>
      <c r="K676">
        <v>837.97985022577416</v>
      </c>
      <c r="L676">
        <v>16373.234175867799</v>
      </c>
    </row>
    <row r="677" spans="1:12" hidden="1" x14ac:dyDescent="0.25">
      <c r="A677">
        <v>195</v>
      </c>
      <c r="B677" t="s">
        <v>2042</v>
      </c>
      <c r="C677" t="s">
        <v>972</v>
      </c>
      <c r="D677" t="s">
        <v>2241</v>
      </c>
      <c r="E677" t="str">
        <f>_xlfn.XLOOKUP(F677, Keys!B:B, Keys!A:A, "找不到")</f>
        <v>FA</v>
      </c>
      <c r="F677" t="s">
        <v>63</v>
      </c>
      <c r="G677">
        <v>2.2364261322535359</v>
      </c>
      <c r="H677" t="s">
        <v>64</v>
      </c>
      <c r="I677" t="s">
        <v>65</v>
      </c>
      <c r="J677" t="s">
        <v>2386</v>
      </c>
      <c r="K677">
        <v>449.34416466748752</v>
      </c>
      <c r="L677">
        <v>9050.5316586238459</v>
      </c>
    </row>
    <row r="678" spans="1:12" hidden="1" x14ac:dyDescent="0.25">
      <c r="A678">
        <v>199</v>
      </c>
      <c r="B678" t="s">
        <v>2042</v>
      </c>
      <c r="C678" t="s">
        <v>972</v>
      </c>
      <c r="D678" t="s">
        <v>2241</v>
      </c>
      <c r="E678" t="str">
        <f>_xlfn.XLOOKUP(F678, Keys!B:B, Keys!A:A, "找不到")</f>
        <v>FA</v>
      </c>
      <c r="F678" t="s">
        <v>63</v>
      </c>
      <c r="G678">
        <v>0.121268316775135</v>
      </c>
      <c r="H678" t="s">
        <v>64</v>
      </c>
      <c r="I678" t="s">
        <v>65</v>
      </c>
      <c r="J678" t="s">
        <v>2391</v>
      </c>
      <c r="K678">
        <v>93.778191329251143</v>
      </c>
      <c r="L678">
        <v>490.75742960284799</v>
      </c>
    </row>
    <row r="679" spans="1:12" hidden="1" x14ac:dyDescent="0.25">
      <c r="A679">
        <v>203</v>
      </c>
      <c r="B679" t="s">
        <v>2042</v>
      </c>
      <c r="C679" t="s">
        <v>972</v>
      </c>
      <c r="D679">
        <v>0</v>
      </c>
      <c r="E679" t="str">
        <f>_xlfn.XLOOKUP(F679, Keys!B:B, Keys!A:A, "找不到")</f>
        <v>FA</v>
      </c>
      <c r="F679" t="s">
        <v>63</v>
      </c>
      <c r="G679">
        <v>0.65828164976257619</v>
      </c>
      <c r="H679" t="s">
        <v>64</v>
      </c>
      <c r="I679" t="s">
        <v>65</v>
      </c>
      <c r="J679" t="s">
        <v>2401</v>
      </c>
      <c r="K679">
        <v>228.91721962512281</v>
      </c>
      <c r="L679">
        <v>2663.9819780070052</v>
      </c>
    </row>
    <row r="680" spans="1:12" hidden="1" x14ac:dyDescent="0.25">
      <c r="A680">
        <v>204</v>
      </c>
      <c r="B680" t="s">
        <v>2042</v>
      </c>
      <c r="C680" t="s">
        <v>972</v>
      </c>
      <c r="D680">
        <v>0</v>
      </c>
      <c r="E680" t="str">
        <f>_xlfn.XLOOKUP(F680, Keys!B:B, Keys!A:A, "找不到")</f>
        <v>FA</v>
      </c>
      <c r="F680" t="s">
        <v>63</v>
      </c>
      <c r="G680">
        <v>7.2287922200946264</v>
      </c>
      <c r="H680" t="s">
        <v>64</v>
      </c>
      <c r="I680" t="s">
        <v>65</v>
      </c>
      <c r="J680" t="s">
        <v>2401</v>
      </c>
      <c r="K680">
        <v>1561.8384344223471</v>
      </c>
      <c r="L680">
        <v>29254.001237973029</v>
      </c>
    </row>
    <row r="681" spans="1:12" hidden="1" x14ac:dyDescent="0.25">
      <c r="A681">
        <v>205</v>
      </c>
      <c r="B681" t="s">
        <v>2042</v>
      </c>
      <c r="C681" t="s">
        <v>972</v>
      </c>
      <c r="D681">
        <v>0</v>
      </c>
      <c r="E681" t="str">
        <f>_xlfn.XLOOKUP(F681, Keys!B:B, Keys!A:A, "找不到")</f>
        <v>FA</v>
      </c>
      <c r="F681" t="s">
        <v>63</v>
      </c>
      <c r="G681">
        <v>0.686395560788718</v>
      </c>
      <c r="H681" t="s">
        <v>64</v>
      </c>
      <c r="I681" t="s">
        <v>65</v>
      </c>
      <c r="J681" t="s">
        <v>2401</v>
      </c>
      <c r="K681">
        <v>312.33988153652621</v>
      </c>
      <c r="L681">
        <v>2777.7553944951401</v>
      </c>
    </row>
    <row r="682" spans="1:12" hidden="1" x14ac:dyDescent="0.25">
      <c r="A682">
        <v>207</v>
      </c>
      <c r="B682" t="s">
        <v>2042</v>
      </c>
      <c r="C682" t="s">
        <v>972</v>
      </c>
      <c r="D682">
        <v>0</v>
      </c>
      <c r="E682" t="str">
        <f>_xlfn.XLOOKUP(F682, Keys!B:B, Keys!A:A, "找不到")</f>
        <v>FA</v>
      </c>
      <c r="F682" t="s">
        <v>63</v>
      </c>
      <c r="G682">
        <v>6.5574952480477303E-2</v>
      </c>
      <c r="H682" t="s">
        <v>64</v>
      </c>
      <c r="I682" t="s">
        <v>65</v>
      </c>
      <c r="J682" t="s">
        <v>2407</v>
      </c>
      <c r="K682">
        <v>100.1583696680334</v>
      </c>
      <c r="L682">
        <v>265.37347908704919</v>
      </c>
    </row>
    <row r="683" spans="1:12" hidden="1" x14ac:dyDescent="0.25">
      <c r="A683">
        <v>210</v>
      </c>
      <c r="B683" t="s">
        <v>2042</v>
      </c>
      <c r="C683" t="s">
        <v>972</v>
      </c>
      <c r="D683">
        <v>0</v>
      </c>
      <c r="E683" t="str">
        <f>_xlfn.XLOOKUP(F683, Keys!B:B, Keys!A:A, "找不到")</f>
        <v>FA</v>
      </c>
      <c r="F683" t="s">
        <v>63</v>
      </c>
      <c r="G683">
        <v>2.0263732706738971</v>
      </c>
      <c r="H683" t="s">
        <v>64</v>
      </c>
      <c r="I683" t="s">
        <v>65</v>
      </c>
      <c r="J683" t="s">
        <v>2356</v>
      </c>
      <c r="K683">
        <v>538.40166864580419</v>
      </c>
      <c r="L683">
        <v>8200.4744864714994</v>
      </c>
    </row>
    <row r="684" spans="1:12" hidden="1" x14ac:dyDescent="0.25">
      <c r="A684">
        <v>211</v>
      </c>
      <c r="B684" t="s">
        <v>2042</v>
      </c>
      <c r="C684" t="s">
        <v>972</v>
      </c>
      <c r="D684">
        <v>0</v>
      </c>
      <c r="E684" t="str">
        <f>_xlfn.XLOOKUP(F684, Keys!B:B, Keys!A:A, "找不到")</f>
        <v>FA</v>
      </c>
      <c r="F684" t="s">
        <v>63</v>
      </c>
      <c r="G684">
        <v>8.1220612421085733E-2</v>
      </c>
      <c r="H684" t="s">
        <v>64</v>
      </c>
      <c r="I684" t="s">
        <v>65</v>
      </c>
      <c r="J684" t="s">
        <v>2159</v>
      </c>
      <c r="K684">
        <v>106.03515217735681</v>
      </c>
      <c r="L684">
        <v>328.68947176410433</v>
      </c>
    </row>
    <row r="685" spans="1:12" hidden="1" x14ac:dyDescent="0.25">
      <c r="A685">
        <v>221</v>
      </c>
      <c r="B685" t="s">
        <v>2042</v>
      </c>
      <c r="C685" t="s">
        <v>972</v>
      </c>
      <c r="D685">
        <v>0</v>
      </c>
      <c r="E685" t="str">
        <f>_xlfn.XLOOKUP(F685, Keys!B:B, Keys!A:A, "找不到")</f>
        <v>FA</v>
      </c>
      <c r="F685" t="s">
        <v>63</v>
      </c>
      <c r="G685">
        <v>1.6159814640537591</v>
      </c>
      <c r="H685" t="s">
        <v>64</v>
      </c>
      <c r="I685" t="s">
        <v>65</v>
      </c>
      <c r="J685" t="s">
        <v>2433</v>
      </c>
      <c r="K685">
        <v>402.93642585139531</v>
      </c>
      <c r="L685">
        <v>6539.6711249436503</v>
      </c>
    </row>
    <row r="686" spans="1:12" hidden="1" x14ac:dyDescent="0.25">
      <c r="A686">
        <v>223</v>
      </c>
      <c r="B686" t="s">
        <v>2042</v>
      </c>
      <c r="C686" t="s">
        <v>972</v>
      </c>
      <c r="D686">
        <v>0</v>
      </c>
      <c r="E686" t="str">
        <f>_xlfn.XLOOKUP(F686, Keys!B:B, Keys!A:A, "找不到")</f>
        <v>FA</v>
      </c>
      <c r="F686" t="s">
        <v>63</v>
      </c>
      <c r="G686">
        <v>1.651987543700016</v>
      </c>
      <c r="H686" t="s">
        <v>64</v>
      </c>
      <c r="I686" t="s">
        <v>65</v>
      </c>
      <c r="J686" t="s">
        <v>2439</v>
      </c>
      <c r="K686">
        <v>389.87612438627758</v>
      </c>
      <c r="L686">
        <v>6685.3831424530372</v>
      </c>
    </row>
    <row r="687" spans="1:12" hidden="1" x14ac:dyDescent="0.25">
      <c r="A687">
        <v>224</v>
      </c>
      <c r="B687" t="s">
        <v>2042</v>
      </c>
      <c r="C687" t="s">
        <v>972</v>
      </c>
      <c r="D687">
        <v>0</v>
      </c>
      <c r="E687" t="str">
        <f>_xlfn.XLOOKUP(F687, Keys!B:B, Keys!A:A, "找不到")</f>
        <v>FA</v>
      </c>
      <c r="F687" t="s">
        <v>63</v>
      </c>
      <c r="G687">
        <v>4.6829699426455056</v>
      </c>
      <c r="H687" t="s">
        <v>64</v>
      </c>
      <c r="I687" t="s">
        <v>65</v>
      </c>
      <c r="J687" t="s">
        <v>2444</v>
      </c>
      <c r="K687">
        <v>576.40889598045578</v>
      </c>
      <c r="L687">
        <v>18951.382793756489</v>
      </c>
    </row>
    <row r="688" spans="1:12" hidden="1" x14ac:dyDescent="0.25">
      <c r="A688">
        <v>225</v>
      </c>
      <c r="B688" t="s">
        <v>2042</v>
      </c>
      <c r="C688" t="s">
        <v>972</v>
      </c>
      <c r="D688">
        <v>0</v>
      </c>
      <c r="E688" t="str">
        <f>_xlfn.XLOOKUP(F688, Keys!B:B, Keys!A:A, "找不到")</f>
        <v>FA</v>
      </c>
      <c r="F688" t="s">
        <v>63</v>
      </c>
      <c r="G688">
        <v>10.219302415386959</v>
      </c>
      <c r="H688" t="s">
        <v>64</v>
      </c>
      <c r="I688" t="s">
        <v>65</v>
      </c>
      <c r="J688" t="s">
        <v>2444</v>
      </c>
      <c r="K688">
        <v>808.28780092020497</v>
      </c>
      <c r="L688">
        <v>41356.215036851252</v>
      </c>
    </row>
    <row r="689" spans="1:12" hidden="1" x14ac:dyDescent="0.25">
      <c r="A689">
        <v>226</v>
      </c>
      <c r="B689" t="s">
        <v>2042</v>
      </c>
      <c r="C689" t="s">
        <v>972</v>
      </c>
      <c r="D689">
        <v>0</v>
      </c>
      <c r="E689" t="str">
        <f>_xlfn.XLOOKUP(F689, Keys!B:B, Keys!A:A, "找不到")</f>
        <v>FA</v>
      </c>
      <c r="F689" t="s">
        <v>63</v>
      </c>
      <c r="G689">
        <v>0.20726788667624271</v>
      </c>
      <c r="H689" t="s">
        <v>64</v>
      </c>
      <c r="I689" t="s">
        <v>65</v>
      </c>
      <c r="J689" t="s">
        <v>2444</v>
      </c>
      <c r="K689">
        <v>123.9597524877634</v>
      </c>
      <c r="L689">
        <v>838.78673349660687</v>
      </c>
    </row>
    <row r="690" spans="1:12" hidden="1" x14ac:dyDescent="0.25">
      <c r="A690">
        <v>227</v>
      </c>
      <c r="B690" t="s">
        <v>2042</v>
      </c>
      <c r="C690" t="s">
        <v>972</v>
      </c>
      <c r="D690">
        <v>0</v>
      </c>
      <c r="E690" t="str">
        <f>_xlfn.XLOOKUP(F690, Keys!B:B, Keys!A:A, "找不到")</f>
        <v>FA</v>
      </c>
      <c r="F690" t="s">
        <v>63</v>
      </c>
      <c r="G690">
        <v>1.7597092281441129</v>
      </c>
      <c r="H690" t="s">
        <v>64</v>
      </c>
      <c r="I690" t="s">
        <v>65</v>
      </c>
      <c r="J690" t="s">
        <v>2444</v>
      </c>
      <c r="K690">
        <v>380.31508144057938</v>
      </c>
      <c r="L690">
        <v>7121.3190767193728</v>
      </c>
    </row>
    <row r="691" spans="1:12" hidden="1" x14ac:dyDescent="0.25">
      <c r="A691">
        <v>228</v>
      </c>
      <c r="B691" t="s">
        <v>2042</v>
      </c>
      <c r="C691" t="s">
        <v>972</v>
      </c>
      <c r="D691">
        <v>0</v>
      </c>
      <c r="E691" t="str">
        <f>_xlfn.XLOOKUP(F691, Keys!B:B, Keys!A:A, "找不到")</f>
        <v>FA</v>
      </c>
      <c r="F691" t="s">
        <v>63</v>
      </c>
      <c r="G691">
        <v>10.338216881188471</v>
      </c>
      <c r="H691" t="s">
        <v>64</v>
      </c>
      <c r="I691" t="s">
        <v>65</v>
      </c>
      <c r="J691" t="s">
        <v>2444</v>
      </c>
      <c r="K691">
        <v>831.15607700622866</v>
      </c>
      <c r="L691">
        <v>41837.446731421238</v>
      </c>
    </row>
    <row r="692" spans="1:12" hidden="1" x14ac:dyDescent="0.25">
      <c r="A692">
        <v>229</v>
      </c>
      <c r="B692" t="s">
        <v>2042</v>
      </c>
      <c r="C692" t="s">
        <v>972</v>
      </c>
      <c r="D692">
        <v>0</v>
      </c>
      <c r="E692" t="str">
        <f>_xlfn.XLOOKUP(F692, Keys!B:B, Keys!A:A, "找不到")</f>
        <v>FA</v>
      </c>
      <c r="F692" t="s">
        <v>63</v>
      </c>
      <c r="G692">
        <v>9.3565221041629152E-3</v>
      </c>
      <c r="H692" t="s">
        <v>64</v>
      </c>
      <c r="I692" t="s">
        <v>65</v>
      </c>
      <c r="J692" t="s">
        <v>2453</v>
      </c>
      <c r="K692">
        <v>29.890290707904491</v>
      </c>
      <c r="L692">
        <v>37.864653027019912</v>
      </c>
    </row>
    <row r="693" spans="1:12" hidden="1" x14ac:dyDescent="0.25">
      <c r="A693">
        <v>231</v>
      </c>
      <c r="B693" t="s">
        <v>2042</v>
      </c>
      <c r="C693" t="s">
        <v>972</v>
      </c>
      <c r="D693">
        <v>0</v>
      </c>
      <c r="E693" t="str">
        <f>_xlfn.XLOOKUP(F693, Keys!B:B, Keys!A:A, "找不到")</f>
        <v>FA</v>
      </c>
      <c r="F693" t="s">
        <v>63</v>
      </c>
      <c r="G693">
        <v>0.1537239773568623</v>
      </c>
      <c r="H693" t="s">
        <v>64</v>
      </c>
      <c r="I693" t="s">
        <v>65</v>
      </c>
      <c r="J693" t="s">
        <v>2453</v>
      </c>
      <c r="K693">
        <v>142.32023193925949</v>
      </c>
      <c r="L693">
        <v>622.10135344641571</v>
      </c>
    </row>
    <row r="694" spans="1:12" hidden="1" x14ac:dyDescent="0.25">
      <c r="A694">
        <v>234</v>
      </c>
      <c r="B694" t="s">
        <v>2042</v>
      </c>
      <c r="C694" t="s">
        <v>972</v>
      </c>
      <c r="D694" t="s">
        <v>2241</v>
      </c>
      <c r="E694" t="str">
        <f>_xlfn.XLOOKUP(F694, Keys!B:B, Keys!A:A, "找不到")</f>
        <v>FA</v>
      </c>
      <c r="F694" t="s">
        <v>63</v>
      </c>
      <c r="G694">
        <v>0.2317576651733351</v>
      </c>
      <c r="H694" t="s">
        <v>64</v>
      </c>
      <c r="I694" t="s">
        <v>65</v>
      </c>
      <c r="J694" t="s">
        <v>2464</v>
      </c>
      <c r="K694">
        <v>193.03736488001101</v>
      </c>
      <c r="L694">
        <v>937.89374731837768</v>
      </c>
    </row>
    <row r="695" spans="1:12" hidden="1" x14ac:dyDescent="0.25">
      <c r="A695">
        <v>235</v>
      </c>
      <c r="B695" t="s">
        <v>2042</v>
      </c>
      <c r="C695" t="s">
        <v>972</v>
      </c>
      <c r="D695">
        <v>0</v>
      </c>
      <c r="E695" t="str">
        <f>_xlfn.XLOOKUP(F695, Keys!B:B, Keys!A:A, "找不到")</f>
        <v>FA</v>
      </c>
      <c r="F695" t="s">
        <v>63</v>
      </c>
      <c r="G695">
        <v>0.2585568569708015</v>
      </c>
      <c r="H695" t="s">
        <v>64</v>
      </c>
      <c r="I695" t="s">
        <v>65</v>
      </c>
      <c r="J695" t="s">
        <v>2468</v>
      </c>
      <c r="K695">
        <v>144.35382367404091</v>
      </c>
      <c r="L695">
        <v>1046.3466625703111</v>
      </c>
    </row>
    <row r="696" spans="1:12" hidden="1" x14ac:dyDescent="0.25">
      <c r="A696">
        <v>236</v>
      </c>
      <c r="B696" t="s">
        <v>2042</v>
      </c>
      <c r="C696" t="s">
        <v>972</v>
      </c>
      <c r="D696">
        <v>0</v>
      </c>
      <c r="E696" t="str">
        <f>_xlfn.XLOOKUP(F696, Keys!B:B, Keys!A:A, "找不到")</f>
        <v>FA</v>
      </c>
      <c r="F696" t="s">
        <v>63</v>
      </c>
      <c r="G696">
        <v>0.98997192002755652</v>
      </c>
      <c r="H696" t="s">
        <v>64</v>
      </c>
      <c r="I696" t="s">
        <v>65</v>
      </c>
      <c r="J696" t="s">
        <v>2468</v>
      </c>
      <c r="K696">
        <v>260.12629888301183</v>
      </c>
      <c r="L696">
        <v>4006.2902477041421</v>
      </c>
    </row>
    <row r="697" spans="1:12" hidden="1" x14ac:dyDescent="0.25">
      <c r="A697">
        <v>237</v>
      </c>
      <c r="B697" t="s">
        <v>2042</v>
      </c>
      <c r="C697" t="s">
        <v>972</v>
      </c>
      <c r="D697">
        <v>0</v>
      </c>
      <c r="E697" t="str">
        <f>_xlfn.XLOOKUP(F697, Keys!B:B, Keys!A:A, "找不到")</f>
        <v>FA</v>
      </c>
      <c r="F697" t="s">
        <v>63</v>
      </c>
      <c r="G697">
        <v>0.81012723024879141</v>
      </c>
      <c r="H697" t="s">
        <v>64</v>
      </c>
      <c r="I697" t="s">
        <v>65</v>
      </c>
      <c r="J697" t="s">
        <v>2472</v>
      </c>
      <c r="K697">
        <v>233.6452243916853</v>
      </c>
      <c r="L697">
        <v>3278.481698607126</v>
      </c>
    </row>
    <row r="698" spans="1:12" hidden="1" x14ac:dyDescent="0.25">
      <c r="A698">
        <v>238</v>
      </c>
      <c r="B698" t="s">
        <v>2042</v>
      </c>
      <c r="C698" t="s">
        <v>972</v>
      </c>
      <c r="D698">
        <v>0</v>
      </c>
      <c r="E698" t="str">
        <f>_xlfn.XLOOKUP(F698, Keys!B:B, Keys!A:A, "找不到")</f>
        <v>FA</v>
      </c>
      <c r="F698" t="s">
        <v>63</v>
      </c>
      <c r="G698">
        <v>0.27917288321951089</v>
      </c>
      <c r="H698" t="s">
        <v>64</v>
      </c>
      <c r="I698" t="s">
        <v>65</v>
      </c>
      <c r="J698" t="s">
        <v>2472</v>
      </c>
      <c r="K698">
        <v>158.0571293890014</v>
      </c>
      <c r="L698">
        <v>1129.7770945206621</v>
      </c>
    </row>
    <row r="699" spans="1:12" hidden="1" x14ac:dyDescent="0.25">
      <c r="A699">
        <v>241</v>
      </c>
      <c r="B699" t="s">
        <v>2042</v>
      </c>
      <c r="C699" t="s">
        <v>972</v>
      </c>
      <c r="D699">
        <v>0</v>
      </c>
      <c r="E699" t="str">
        <f>_xlfn.XLOOKUP(F699, Keys!B:B, Keys!A:A, "找不到")</f>
        <v>FA</v>
      </c>
      <c r="F699" t="s">
        <v>63</v>
      </c>
      <c r="G699">
        <v>8.3944133898912185E-2</v>
      </c>
      <c r="H699" t="s">
        <v>64</v>
      </c>
      <c r="I699" t="s">
        <v>65</v>
      </c>
      <c r="J699" t="s">
        <v>2476</v>
      </c>
      <c r="K699">
        <v>74.803914540653892</v>
      </c>
      <c r="L699">
        <v>339.71121623512443</v>
      </c>
    </row>
    <row r="700" spans="1:12" hidden="1" x14ac:dyDescent="0.25">
      <c r="A700">
        <v>242</v>
      </c>
      <c r="B700" t="s">
        <v>2042</v>
      </c>
      <c r="C700" t="s">
        <v>972</v>
      </c>
      <c r="D700">
        <v>0</v>
      </c>
      <c r="E700" t="str">
        <f>_xlfn.XLOOKUP(F700, Keys!B:B, Keys!A:A, "找不到")</f>
        <v>FA</v>
      </c>
      <c r="F700" t="s">
        <v>63</v>
      </c>
      <c r="G700">
        <v>0.46769630631792281</v>
      </c>
      <c r="H700" t="s">
        <v>64</v>
      </c>
      <c r="I700" t="s">
        <v>65</v>
      </c>
      <c r="J700" t="s">
        <v>2481</v>
      </c>
      <c r="K700">
        <v>184.83784464075529</v>
      </c>
      <c r="L700">
        <v>1892.7073717773601</v>
      </c>
    </row>
    <row r="701" spans="1:12" hidden="1" x14ac:dyDescent="0.25">
      <c r="A701">
        <v>244</v>
      </c>
      <c r="B701" t="s">
        <v>2042</v>
      </c>
      <c r="C701" t="s">
        <v>972</v>
      </c>
      <c r="D701">
        <v>0</v>
      </c>
      <c r="E701" t="str">
        <f>_xlfn.XLOOKUP(F701, Keys!B:B, Keys!A:A, "找不到")</f>
        <v>FA</v>
      </c>
      <c r="F701" t="s">
        <v>63</v>
      </c>
      <c r="G701">
        <v>1.441833751843701E-2</v>
      </c>
      <c r="H701" t="s">
        <v>64</v>
      </c>
      <c r="I701" t="s">
        <v>65</v>
      </c>
      <c r="J701" t="s">
        <v>2487</v>
      </c>
      <c r="K701">
        <v>35.781075868170781</v>
      </c>
      <c r="L701">
        <v>58.349175183285027</v>
      </c>
    </row>
    <row r="702" spans="1:12" hidden="1" x14ac:dyDescent="0.25">
      <c r="A702">
        <v>245</v>
      </c>
      <c r="B702" t="s">
        <v>2042</v>
      </c>
      <c r="C702" t="s">
        <v>972</v>
      </c>
      <c r="D702">
        <v>0</v>
      </c>
      <c r="E702" t="str">
        <f>_xlfn.XLOOKUP(F702, Keys!B:B, Keys!A:A, "找不到")</f>
        <v>FA</v>
      </c>
      <c r="F702" t="s">
        <v>63</v>
      </c>
      <c r="G702">
        <v>6.4316440214716636E-2</v>
      </c>
      <c r="H702" t="s">
        <v>64</v>
      </c>
      <c r="I702" t="s">
        <v>65</v>
      </c>
      <c r="J702" t="s">
        <v>2487</v>
      </c>
      <c r="K702">
        <v>62.555586975082413</v>
      </c>
      <c r="L702">
        <v>260.2804402695516</v>
      </c>
    </row>
    <row r="703" spans="1:12" hidden="1" x14ac:dyDescent="0.25">
      <c r="A703">
        <v>246</v>
      </c>
      <c r="B703" t="s">
        <v>2042</v>
      </c>
      <c r="C703" t="s">
        <v>972</v>
      </c>
      <c r="D703">
        <v>0</v>
      </c>
      <c r="E703" t="str">
        <f>_xlfn.XLOOKUP(F703, Keys!B:B, Keys!A:A, "找不到")</f>
        <v>FA</v>
      </c>
      <c r="F703" t="s">
        <v>63</v>
      </c>
      <c r="G703">
        <v>8.7952251676298634E-3</v>
      </c>
      <c r="H703" t="s">
        <v>64</v>
      </c>
      <c r="I703" t="s">
        <v>65</v>
      </c>
      <c r="J703" t="s">
        <v>2487</v>
      </c>
      <c r="K703">
        <v>30.360958934428751</v>
      </c>
      <c r="L703">
        <v>35.593155828557968</v>
      </c>
    </row>
    <row r="704" spans="1:12" hidden="1" x14ac:dyDescent="0.25">
      <c r="A704">
        <v>247</v>
      </c>
      <c r="B704" t="s">
        <v>2042</v>
      </c>
      <c r="C704" t="s">
        <v>972</v>
      </c>
      <c r="D704">
        <v>0</v>
      </c>
      <c r="E704" t="str">
        <f>_xlfn.XLOOKUP(F704, Keys!B:B, Keys!A:A, "找不到")</f>
        <v>FA</v>
      </c>
      <c r="F704" t="s">
        <v>63</v>
      </c>
      <c r="G704">
        <v>6.143291191264439E-2</v>
      </c>
      <c r="H704" t="s">
        <v>64</v>
      </c>
      <c r="I704" t="s">
        <v>65</v>
      </c>
      <c r="J704" t="s">
        <v>2487</v>
      </c>
      <c r="K704">
        <v>67.633522682267255</v>
      </c>
      <c r="L704">
        <v>248.61116856409819</v>
      </c>
    </row>
    <row r="705" spans="1:12" hidden="1" x14ac:dyDescent="0.25">
      <c r="A705">
        <v>248</v>
      </c>
      <c r="B705" t="s">
        <v>2042</v>
      </c>
      <c r="C705" t="s">
        <v>972</v>
      </c>
      <c r="D705">
        <v>0</v>
      </c>
      <c r="E705" t="str">
        <f>_xlfn.XLOOKUP(F705, Keys!B:B, Keys!A:A, "找不到")</f>
        <v>FA</v>
      </c>
      <c r="F705" t="s">
        <v>63</v>
      </c>
      <c r="G705">
        <v>1.6274394580191431E-2</v>
      </c>
      <c r="H705" t="s">
        <v>64</v>
      </c>
      <c r="I705" t="s">
        <v>65</v>
      </c>
      <c r="J705" t="s">
        <v>2487</v>
      </c>
      <c r="K705">
        <v>42.090861263061058</v>
      </c>
      <c r="L705">
        <v>65.860401668862679</v>
      </c>
    </row>
    <row r="706" spans="1:12" hidden="1" x14ac:dyDescent="0.25">
      <c r="A706">
        <v>249</v>
      </c>
      <c r="B706" t="s">
        <v>2042</v>
      </c>
      <c r="C706" t="s">
        <v>972</v>
      </c>
      <c r="D706">
        <v>0</v>
      </c>
      <c r="E706" t="str">
        <f>_xlfn.XLOOKUP(F706, Keys!B:B, Keys!A:A, "找不到")</f>
        <v>FA</v>
      </c>
      <c r="F706" t="s">
        <v>63</v>
      </c>
      <c r="G706">
        <v>0.29915171345777991</v>
      </c>
      <c r="H706" t="s">
        <v>64</v>
      </c>
      <c r="I706" t="s">
        <v>65</v>
      </c>
      <c r="J706" t="s">
        <v>2494</v>
      </c>
      <c r="K706">
        <v>135.3002091180617</v>
      </c>
      <c r="L706">
        <v>1210.62887538924</v>
      </c>
    </row>
    <row r="707" spans="1:12" hidden="1" x14ac:dyDescent="0.25">
      <c r="A707">
        <v>250</v>
      </c>
      <c r="B707" t="s">
        <v>2042</v>
      </c>
      <c r="C707" t="s">
        <v>972</v>
      </c>
      <c r="D707">
        <v>0</v>
      </c>
      <c r="E707" t="str">
        <f>_xlfn.XLOOKUP(F707, Keys!B:B, Keys!A:A, "找不到")</f>
        <v>FA</v>
      </c>
      <c r="F707" t="s">
        <v>63</v>
      </c>
      <c r="G707">
        <v>0.54412215021807919</v>
      </c>
      <c r="H707" t="s">
        <v>64</v>
      </c>
      <c r="I707" t="s">
        <v>65</v>
      </c>
      <c r="J707" t="s">
        <v>2497</v>
      </c>
      <c r="K707">
        <v>235.72313204004291</v>
      </c>
      <c r="L707">
        <v>2201.9930261434279</v>
      </c>
    </row>
    <row r="708" spans="1:12" hidden="1" x14ac:dyDescent="0.25">
      <c r="A708">
        <v>251</v>
      </c>
      <c r="B708" t="s">
        <v>2042</v>
      </c>
      <c r="C708" t="s">
        <v>972</v>
      </c>
      <c r="D708">
        <v>0</v>
      </c>
      <c r="E708" t="str">
        <f>_xlfn.XLOOKUP(F708, Keys!B:B, Keys!A:A, "找不到")</f>
        <v>FA</v>
      </c>
      <c r="F708" t="s">
        <v>63</v>
      </c>
      <c r="G708">
        <v>0.6051548710827207</v>
      </c>
      <c r="H708" t="s">
        <v>64</v>
      </c>
      <c r="I708" t="s">
        <v>65</v>
      </c>
      <c r="J708" t="s">
        <v>2497</v>
      </c>
      <c r="K708">
        <v>270.6320753039758</v>
      </c>
      <c r="L708">
        <v>2448.9846725166458</v>
      </c>
    </row>
    <row r="709" spans="1:12" hidden="1" x14ac:dyDescent="0.25">
      <c r="A709">
        <v>252</v>
      </c>
      <c r="B709" t="s">
        <v>2042</v>
      </c>
      <c r="C709" t="s">
        <v>972</v>
      </c>
      <c r="D709">
        <v>0</v>
      </c>
      <c r="E709" t="str">
        <f>_xlfn.XLOOKUP(F709, Keys!B:B, Keys!A:A, "找不到")</f>
        <v>FA</v>
      </c>
      <c r="F709" t="s">
        <v>63</v>
      </c>
      <c r="G709">
        <v>0.63807602432082</v>
      </c>
      <c r="H709" t="s">
        <v>64</v>
      </c>
      <c r="I709" t="s">
        <v>65</v>
      </c>
      <c r="J709" t="s">
        <v>2497</v>
      </c>
      <c r="K709">
        <v>281.09108179294759</v>
      </c>
      <c r="L709">
        <v>2582.2123858413829</v>
      </c>
    </row>
    <row r="710" spans="1:12" hidden="1" x14ac:dyDescent="0.25">
      <c r="A710">
        <v>253</v>
      </c>
      <c r="B710" t="s">
        <v>2042</v>
      </c>
      <c r="C710" t="s">
        <v>972</v>
      </c>
      <c r="D710">
        <v>0</v>
      </c>
      <c r="E710" t="str">
        <f>_xlfn.XLOOKUP(F710, Keys!B:B, Keys!A:A, "找不到")</f>
        <v>FA</v>
      </c>
      <c r="F710" t="s">
        <v>63</v>
      </c>
      <c r="G710">
        <v>0.66760399853233177</v>
      </c>
      <c r="H710" t="s">
        <v>64</v>
      </c>
      <c r="I710" t="s">
        <v>65</v>
      </c>
      <c r="J710" t="s">
        <v>2497</v>
      </c>
      <c r="K710">
        <v>278.69260898853719</v>
      </c>
      <c r="L710">
        <v>2701.708335903023</v>
      </c>
    </row>
    <row r="711" spans="1:12" hidden="1" x14ac:dyDescent="0.25">
      <c r="A711">
        <v>254</v>
      </c>
      <c r="B711" t="s">
        <v>2042</v>
      </c>
      <c r="C711" t="s">
        <v>972</v>
      </c>
      <c r="D711">
        <v>0</v>
      </c>
      <c r="E711" t="str">
        <f>_xlfn.XLOOKUP(F711, Keys!B:B, Keys!A:A, "找不到")</f>
        <v>FA</v>
      </c>
      <c r="F711" t="s">
        <v>63</v>
      </c>
      <c r="G711">
        <v>0.55680881551441141</v>
      </c>
      <c r="H711" t="s">
        <v>64</v>
      </c>
      <c r="I711" t="s">
        <v>65</v>
      </c>
      <c r="J711" t="s">
        <v>2497</v>
      </c>
      <c r="K711">
        <v>255.01776882019979</v>
      </c>
      <c r="L711">
        <v>2253.3343444417969</v>
      </c>
    </row>
    <row r="712" spans="1:12" hidden="1" x14ac:dyDescent="0.25">
      <c r="A712">
        <v>255</v>
      </c>
      <c r="B712" t="s">
        <v>2042</v>
      </c>
      <c r="C712" t="s">
        <v>972</v>
      </c>
      <c r="D712">
        <v>0</v>
      </c>
      <c r="E712" t="str">
        <f>_xlfn.XLOOKUP(F712, Keys!B:B, Keys!A:A, "找不到")</f>
        <v>FA</v>
      </c>
      <c r="F712" t="s">
        <v>63</v>
      </c>
      <c r="G712">
        <v>6.4882916703015353E-2</v>
      </c>
      <c r="H712" t="s">
        <v>64</v>
      </c>
      <c r="I712" t="s">
        <v>65</v>
      </c>
      <c r="J712" t="s">
        <v>2497</v>
      </c>
      <c r="K712">
        <v>65.159465458874209</v>
      </c>
      <c r="L712">
        <v>262.57289845418541</v>
      </c>
    </row>
    <row r="713" spans="1:12" hidden="1" x14ac:dyDescent="0.25">
      <c r="A713">
        <v>256</v>
      </c>
      <c r="B713" t="s">
        <v>2042</v>
      </c>
      <c r="C713" t="s">
        <v>972</v>
      </c>
      <c r="D713">
        <v>0</v>
      </c>
      <c r="E713" t="str">
        <f>_xlfn.XLOOKUP(F713, Keys!B:B, Keys!A:A, "找不到")</f>
        <v>FA</v>
      </c>
      <c r="F713" t="s">
        <v>63</v>
      </c>
      <c r="G713">
        <v>3.5822291186299271</v>
      </c>
      <c r="H713" t="s">
        <v>64</v>
      </c>
      <c r="I713" t="s">
        <v>65</v>
      </c>
      <c r="J713" t="s">
        <v>2506</v>
      </c>
      <c r="K713">
        <v>471.11960648453459</v>
      </c>
      <c r="L713">
        <v>14496.82490247743</v>
      </c>
    </row>
    <row r="714" spans="1:12" hidden="1" x14ac:dyDescent="0.25">
      <c r="A714">
        <v>258</v>
      </c>
      <c r="B714" t="s">
        <v>2042</v>
      </c>
      <c r="C714" t="s">
        <v>972</v>
      </c>
      <c r="D714">
        <v>0</v>
      </c>
      <c r="E714" t="str">
        <f>_xlfn.XLOOKUP(F714, Keys!B:B, Keys!A:A, "找不到")</f>
        <v>FA</v>
      </c>
      <c r="F714" t="s">
        <v>63</v>
      </c>
      <c r="G714">
        <v>0.13872525482534651</v>
      </c>
      <c r="H714" t="s">
        <v>64</v>
      </c>
      <c r="I714" t="s">
        <v>65</v>
      </c>
      <c r="J714" t="s">
        <v>2513</v>
      </c>
      <c r="K714">
        <v>103.1317962802045</v>
      </c>
      <c r="L714">
        <v>561.40343405052045</v>
      </c>
    </row>
    <row r="715" spans="1:12" hidden="1" x14ac:dyDescent="0.25">
      <c r="A715">
        <v>259</v>
      </c>
      <c r="B715" t="s">
        <v>2042</v>
      </c>
      <c r="C715" t="s">
        <v>972</v>
      </c>
      <c r="D715">
        <v>0</v>
      </c>
      <c r="E715" t="str">
        <f>_xlfn.XLOOKUP(F715, Keys!B:B, Keys!A:A, "找不到")</f>
        <v>FA</v>
      </c>
      <c r="F715" t="s">
        <v>63</v>
      </c>
      <c r="G715">
        <v>4.026473572722724E-2</v>
      </c>
      <c r="H715" t="s">
        <v>64</v>
      </c>
      <c r="I715" t="s">
        <v>65</v>
      </c>
      <c r="J715" t="s">
        <v>2516</v>
      </c>
      <c r="K715">
        <v>84.441964463529473</v>
      </c>
      <c r="L715">
        <v>162.9462561583411</v>
      </c>
    </row>
    <row r="716" spans="1:12" hidden="1" x14ac:dyDescent="0.25">
      <c r="A716">
        <v>260</v>
      </c>
      <c r="B716" t="s">
        <v>2042</v>
      </c>
      <c r="C716" t="s">
        <v>972</v>
      </c>
      <c r="D716">
        <v>0</v>
      </c>
      <c r="E716" t="str">
        <f>_xlfn.XLOOKUP(F716, Keys!B:B, Keys!A:A, "找不到")</f>
        <v>FA</v>
      </c>
      <c r="F716" t="s">
        <v>63</v>
      </c>
      <c r="G716">
        <v>2.6060514023438942E-2</v>
      </c>
      <c r="H716" t="s">
        <v>64</v>
      </c>
      <c r="I716" t="s">
        <v>65</v>
      </c>
      <c r="J716" t="s">
        <v>2516</v>
      </c>
      <c r="K716">
        <v>43.303650973557573</v>
      </c>
      <c r="L716">
        <v>105.4635804006989</v>
      </c>
    </row>
    <row r="717" spans="1:12" hidden="1" x14ac:dyDescent="0.25">
      <c r="A717">
        <v>265</v>
      </c>
      <c r="B717" t="s">
        <v>2042</v>
      </c>
      <c r="C717" t="s">
        <v>972</v>
      </c>
      <c r="D717">
        <v>0</v>
      </c>
      <c r="E717" t="str">
        <f>_xlfn.XLOOKUP(F717, Keys!B:B, Keys!A:A, "找不到")</f>
        <v>FA</v>
      </c>
      <c r="F717" t="s">
        <v>63</v>
      </c>
      <c r="G717">
        <v>1.0281993669669229</v>
      </c>
      <c r="H717" t="s">
        <v>64</v>
      </c>
      <c r="I717" t="s">
        <v>65</v>
      </c>
      <c r="J717" t="s">
        <v>2270</v>
      </c>
      <c r="K717">
        <v>275.53155226889561</v>
      </c>
      <c r="L717">
        <v>4160.991855668487</v>
      </c>
    </row>
    <row r="718" spans="1:12" hidden="1" x14ac:dyDescent="0.25">
      <c r="A718">
        <v>266</v>
      </c>
      <c r="B718" t="s">
        <v>2042</v>
      </c>
      <c r="C718" t="s">
        <v>972</v>
      </c>
      <c r="D718">
        <v>0</v>
      </c>
      <c r="E718" t="str">
        <f>_xlfn.XLOOKUP(F718, Keys!B:B, Keys!A:A, "找不到")</f>
        <v>FA</v>
      </c>
      <c r="F718" t="s">
        <v>63</v>
      </c>
      <c r="G718">
        <v>5.4287917941306327</v>
      </c>
      <c r="H718" t="s">
        <v>64</v>
      </c>
      <c r="I718" t="s">
        <v>65</v>
      </c>
      <c r="J718" t="s">
        <v>2287</v>
      </c>
      <c r="K718">
        <v>1002.317473874478</v>
      </c>
      <c r="L718">
        <v>21969.628816377361</v>
      </c>
    </row>
    <row r="719" spans="1:12" hidden="1" x14ac:dyDescent="0.25">
      <c r="A719">
        <v>268</v>
      </c>
      <c r="B719" t="s">
        <v>2042</v>
      </c>
      <c r="C719" t="s">
        <v>972</v>
      </c>
      <c r="D719">
        <v>0</v>
      </c>
      <c r="E719" t="str">
        <f>_xlfn.XLOOKUP(F719, Keys!B:B, Keys!A:A, "找不到")</f>
        <v>FA</v>
      </c>
      <c r="F719" t="s">
        <v>63</v>
      </c>
      <c r="G719">
        <v>4.7612850560767797</v>
      </c>
      <c r="H719" t="s">
        <v>64</v>
      </c>
      <c r="I719" t="s">
        <v>65</v>
      </c>
      <c r="J719" t="s">
        <v>2527</v>
      </c>
      <c r="K719">
        <v>699.84396088216522</v>
      </c>
      <c r="L719">
        <v>19268.314081240711</v>
      </c>
    </row>
    <row r="720" spans="1:12" hidden="1" x14ac:dyDescent="0.25">
      <c r="A720">
        <v>270</v>
      </c>
      <c r="B720" t="s">
        <v>2042</v>
      </c>
      <c r="C720" t="s">
        <v>972</v>
      </c>
      <c r="D720">
        <v>0</v>
      </c>
      <c r="E720" t="str">
        <f>_xlfn.XLOOKUP(F720, Keys!B:B, Keys!A:A, "找不到")</f>
        <v>FA</v>
      </c>
      <c r="F720" t="s">
        <v>63</v>
      </c>
      <c r="G720">
        <v>0.98078181340369142</v>
      </c>
      <c r="H720" t="s">
        <v>64</v>
      </c>
      <c r="I720" t="s">
        <v>65</v>
      </c>
      <c r="J720" t="s">
        <v>2528</v>
      </c>
      <c r="K720">
        <v>274.39287910381341</v>
      </c>
      <c r="L720">
        <v>3969.099056926198</v>
      </c>
    </row>
    <row r="721" spans="1:12" hidden="1" x14ac:dyDescent="0.25">
      <c r="A721">
        <v>271</v>
      </c>
      <c r="B721" t="s">
        <v>2042</v>
      </c>
      <c r="C721" t="s">
        <v>972</v>
      </c>
      <c r="D721">
        <v>0</v>
      </c>
      <c r="E721" t="str">
        <f>_xlfn.XLOOKUP(F721, Keys!B:B, Keys!A:A, "找不到")</f>
        <v>FA</v>
      </c>
      <c r="F721" t="s">
        <v>63</v>
      </c>
      <c r="G721">
        <v>2.671646277418696</v>
      </c>
      <c r="H721" t="s">
        <v>64</v>
      </c>
      <c r="I721" t="s">
        <v>65</v>
      </c>
      <c r="J721" t="s">
        <v>2509</v>
      </c>
      <c r="K721">
        <v>498.49937550247972</v>
      </c>
      <c r="L721">
        <v>10811.812143358229</v>
      </c>
    </row>
    <row r="722" spans="1:12" hidden="1" x14ac:dyDescent="0.25">
      <c r="A722">
        <v>272</v>
      </c>
      <c r="B722" t="s">
        <v>2042</v>
      </c>
      <c r="C722" t="s">
        <v>972</v>
      </c>
      <c r="D722">
        <v>0</v>
      </c>
      <c r="E722" t="str">
        <f>_xlfn.XLOOKUP(F722, Keys!B:B, Keys!A:A, "找不到")</f>
        <v>FA</v>
      </c>
      <c r="F722" t="s">
        <v>63</v>
      </c>
      <c r="G722">
        <v>1.24400647537468</v>
      </c>
      <c r="H722" t="s">
        <v>64</v>
      </c>
      <c r="I722" t="s">
        <v>65</v>
      </c>
      <c r="J722" t="s">
        <v>2528</v>
      </c>
      <c r="K722">
        <v>352.48200376079723</v>
      </c>
      <c r="L722">
        <v>5034.3357317000018</v>
      </c>
    </row>
    <row r="723" spans="1:12" hidden="1" x14ac:dyDescent="0.25">
      <c r="A723">
        <v>275</v>
      </c>
      <c r="B723" t="s">
        <v>2042</v>
      </c>
      <c r="C723" t="s">
        <v>972</v>
      </c>
      <c r="D723">
        <v>0</v>
      </c>
      <c r="E723" t="str">
        <f>_xlfn.XLOOKUP(F723, Keys!B:B, Keys!A:A, "找不到")</f>
        <v>FA</v>
      </c>
      <c r="F723" t="s">
        <v>63</v>
      </c>
      <c r="G723">
        <v>24.588389411611939</v>
      </c>
      <c r="H723" t="s">
        <v>64</v>
      </c>
      <c r="I723" t="s">
        <v>65</v>
      </c>
      <c r="J723" t="s">
        <v>2533</v>
      </c>
      <c r="K723">
        <v>1746.7171793149009</v>
      </c>
      <c r="L723">
        <v>99506.079630774446</v>
      </c>
    </row>
    <row r="724" spans="1:12" hidden="1" x14ac:dyDescent="0.25">
      <c r="A724">
        <v>277</v>
      </c>
      <c r="B724" t="s">
        <v>2042</v>
      </c>
      <c r="C724" t="s">
        <v>972</v>
      </c>
      <c r="D724">
        <v>0</v>
      </c>
      <c r="E724" t="str">
        <f>_xlfn.XLOOKUP(F724, Keys!B:B, Keys!A:A, "找不到")</f>
        <v>FA</v>
      </c>
      <c r="F724" t="s">
        <v>63</v>
      </c>
      <c r="G724">
        <v>3.3896000077423349</v>
      </c>
      <c r="H724" t="s">
        <v>64</v>
      </c>
      <c r="I724" t="s">
        <v>65</v>
      </c>
      <c r="J724" t="s">
        <v>2537</v>
      </c>
      <c r="K724">
        <v>514.93393541702858</v>
      </c>
      <c r="L724">
        <v>13717.279429762009</v>
      </c>
    </row>
    <row r="725" spans="1:12" hidden="1" x14ac:dyDescent="0.25">
      <c r="A725">
        <v>280</v>
      </c>
      <c r="B725" t="s">
        <v>2042</v>
      </c>
      <c r="C725" t="s">
        <v>972</v>
      </c>
      <c r="D725">
        <v>0</v>
      </c>
      <c r="E725" t="str">
        <f>_xlfn.XLOOKUP(F725, Keys!B:B, Keys!A:A, "找不到")</f>
        <v>FA</v>
      </c>
      <c r="F725" t="s">
        <v>63</v>
      </c>
      <c r="G725">
        <v>1.2010841818612219</v>
      </c>
      <c r="H725" t="s">
        <v>64</v>
      </c>
      <c r="I725" t="s">
        <v>65</v>
      </c>
      <c r="J725" t="s">
        <v>2541</v>
      </c>
      <c r="K725">
        <v>388.49802016112022</v>
      </c>
      <c r="L725">
        <v>4860.6346777274048</v>
      </c>
    </row>
    <row r="726" spans="1:12" hidden="1" x14ac:dyDescent="0.25">
      <c r="A726">
        <v>281</v>
      </c>
      <c r="B726" t="s">
        <v>2042</v>
      </c>
      <c r="C726" t="s">
        <v>972</v>
      </c>
      <c r="D726">
        <v>0</v>
      </c>
      <c r="E726" t="str">
        <f>_xlfn.XLOOKUP(F726, Keys!B:B, Keys!A:A, "找不到")</f>
        <v>FA</v>
      </c>
      <c r="F726" t="s">
        <v>63</v>
      </c>
      <c r="G726">
        <v>0.69943179114108711</v>
      </c>
      <c r="H726" t="s">
        <v>64</v>
      </c>
      <c r="I726" t="s">
        <v>65</v>
      </c>
      <c r="J726" t="s">
        <v>2542</v>
      </c>
      <c r="K726">
        <v>272.90976962098642</v>
      </c>
      <c r="L726">
        <v>2830.5113580441539</v>
      </c>
    </row>
    <row r="727" spans="1:12" hidden="1" x14ac:dyDescent="0.25">
      <c r="A727">
        <v>282</v>
      </c>
      <c r="B727" t="s">
        <v>2042</v>
      </c>
      <c r="C727" t="s">
        <v>972</v>
      </c>
      <c r="D727">
        <v>0</v>
      </c>
      <c r="E727" t="str">
        <f>_xlfn.XLOOKUP(F727, Keys!B:B, Keys!A:A, "找不到")</f>
        <v>FA</v>
      </c>
      <c r="F727" t="s">
        <v>63</v>
      </c>
      <c r="G727">
        <v>0.55824554645247848</v>
      </c>
      <c r="H727" t="s">
        <v>64</v>
      </c>
      <c r="I727" t="s">
        <v>65</v>
      </c>
      <c r="J727" t="s">
        <v>2543</v>
      </c>
      <c r="K727">
        <v>230.30474400532199</v>
      </c>
      <c r="L727">
        <v>2259.148611522819</v>
      </c>
    </row>
    <row r="728" spans="1:12" hidden="1" x14ac:dyDescent="0.25">
      <c r="A728">
        <v>283</v>
      </c>
      <c r="B728" t="s">
        <v>2042</v>
      </c>
      <c r="C728" t="s">
        <v>972</v>
      </c>
      <c r="D728">
        <v>0</v>
      </c>
      <c r="E728" t="str">
        <f>_xlfn.XLOOKUP(F728, Keys!B:B, Keys!A:A, "找不到")</f>
        <v>FA</v>
      </c>
      <c r="F728" t="s">
        <v>63</v>
      </c>
      <c r="G728">
        <v>0.58690990670871801</v>
      </c>
      <c r="H728" t="s">
        <v>64</v>
      </c>
      <c r="I728" t="s">
        <v>65</v>
      </c>
      <c r="J728" t="s">
        <v>2544</v>
      </c>
      <c r="K728">
        <v>238.71079360587851</v>
      </c>
      <c r="L728">
        <v>2375.1496259233631</v>
      </c>
    </row>
    <row r="729" spans="1:12" hidden="1" x14ac:dyDescent="0.25">
      <c r="A729">
        <v>284</v>
      </c>
      <c r="B729" t="s">
        <v>2042</v>
      </c>
      <c r="C729" t="s">
        <v>972</v>
      </c>
      <c r="D729">
        <v>0</v>
      </c>
      <c r="E729" t="str">
        <f>_xlfn.XLOOKUP(F729, Keys!B:B, Keys!A:A, "找不到")</f>
        <v>FA</v>
      </c>
      <c r="F729" t="s">
        <v>63</v>
      </c>
      <c r="G729">
        <v>0.18822389497003711</v>
      </c>
      <c r="H729" t="s">
        <v>64</v>
      </c>
      <c r="I729" t="s">
        <v>65</v>
      </c>
      <c r="J729" t="s">
        <v>2542</v>
      </c>
      <c r="K729">
        <v>129.5008674839091</v>
      </c>
      <c r="L729">
        <v>761.71812507809113</v>
      </c>
    </row>
    <row r="730" spans="1:12" hidden="1" x14ac:dyDescent="0.25">
      <c r="A730">
        <v>285</v>
      </c>
      <c r="B730" t="s">
        <v>2042</v>
      </c>
      <c r="C730" t="s">
        <v>972</v>
      </c>
      <c r="D730">
        <v>0</v>
      </c>
      <c r="E730" t="str">
        <f>_xlfn.XLOOKUP(F730, Keys!B:B, Keys!A:A, "找不到")</f>
        <v>FA</v>
      </c>
      <c r="F730" t="s">
        <v>63</v>
      </c>
      <c r="G730">
        <v>0.65652806388545271</v>
      </c>
      <c r="H730" t="s">
        <v>64</v>
      </c>
      <c r="I730" t="s">
        <v>65</v>
      </c>
      <c r="J730" t="s">
        <v>2545</v>
      </c>
      <c r="K730">
        <v>256.52700531322228</v>
      </c>
      <c r="L730">
        <v>2656.8854393518109</v>
      </c>
    </row>
    <row r="731" spans="1:12" hidden="1" x14ac:dyDescent="0.25">
      <c r="A731">
        <v>291</v>
      </c>
      <c r="B731" t="s">
        <v>2042</v>
      </c>
      <c r="C731" t="s">
        <v>972</v>
      </c>
      <c r="D731" t="s">
        <v>57</v>
      </c>
      <c r="E731" t="str">
        <f>_xlfn.XLOOKUP(F731, Keys!B:B, Keys!A:A, "找不到")</f>
        <v>FA</v>
      </c>
      <c r="F731" t="s">
        <v>63</v>
      </c>
      <c r="G731">
        <v>1.0847885520662091</v>
      </c>
      <c r="H731" t="s">
        <v>64</v>
      </c>
      <c r="I731" t="s">
        <v>65</v>
      </c>
      <c r="J731" t="s">
        <v>2546</v>
      </c>
      <c r="K731">
        <v>403.96752055177308</v>
      </c>
      <c r="L731">
        <v>4390.001078861892</v>
      </c>
    </row>
    <row r="732" spans="1:12" hidden="1" x14ac:dyDescent="0.25">
      <c r="A732">
        <v>294</v>
      </c>
      <c r="B732" t="s">
        <v>2042</v>
      </c>
      <c r="C732" t="s">
        <v>972</v>
      </c>
      <c r="D732">
        <v>0</v>
      </c>
      <c r="E732" t="str">
        <f>_xlfn.XLOOKUP(F732, Keys!B:B, Keys!A:A, "找不到")</f>
        <v>FA</v>
      </c>
      <c r="F732" t="s">
        <v>63</v>
      </c>
      <c r="G732">
        <v>6.2570905728714182E-2</v>
      </c>
      <c r="H732" t="s">
        <v>64</v>
      </c>
      <c r="I732" t="s">
        <v>65</v>
      </c>
      <c r="J732" t="s">
        <v>2552</v>
      </c>
      <c r="K732">
        <v>103.3058730166964</v>
      </c>
      <c r="L732">
        <v>253.21648456855729</v>
      </c>
    </row>
    <row r="733" spans="1:12" hidden="1" x14ac:dyDescent="0.25">
      <c r="A733">
        <v>295</v>
      </c>
      <c r="B733" t="s">
        <v>2042</v>
      </c>
      <c r="C733" t="s">
        <v>972</v>
      </c>
      <c r="D733">
        <v>0</v>
      </c>
      <c r="E733" t="str">
        <f>_xlfn.XLOOKUP(F733, Keys!B:B, Keys!A:A, "找不到")</f>
        <v>FA</v>
      </c>
      <c r="F733" t="s">
        <v>63</v>
      </c>
      <c r="G733">
        <v>1.3581936822757421</v>
      </c>
      <c r="H733" t="s">
        <v>64</v>
      </c>
      <c r="I733" t="s">
        <v>65</v>
      </c>
      <c r="J733" t="s">
        <v>2556</v>
      </c>
      <c r="K733">
        <v>299.77551299104948</v>
      </c>
      <c r="L733">
        <v>5496.436811705953</v>
      </c>
    </row>
    <row r="734" spans="1:12" hidden="1" x14ac:dyDescent="0.25">
      <c r="A734">
        <v>296</v>
      </c>
      <c r="B734" t="s">
        <v>2042</v>
      </c>
      <c r="C734" t="s">
        <v>972</v>
      </c>
      <c r="D734">
        <v>0</v>
      </c>
      <c r="E734" t="str">
        <f>_xlfn.XLOOKUP(F734, Keys!B:B, Keys!A:A, "找不到")</f>
        <v>FA</v>
      </c>
      <c r="F734" t="s">
        <v>63</v>
      </c>
      <c r="G734">
        <v>2.6572962178698969</v>
      </c>
      <c r="H734" t="s">
        <v>64</v>
      </c>
      <c r="I734" t="s">
        <v>65</v>
      </c>
      <c r="J734" t="s">
        <v>2556</v>
      </c>
      <c r="K734">
        <v>413.62639437405159</v>
      </c>
      <c r="L734">
        <v>10753.73928042013</v>
      </c>
    </row>
    <row r="735" spans="1:12" hidden="1" x14ac:dyDescent="0.25">
      <c r="A735">
        <v>297</v>
      </c>
      <c r="B735" t="s">
        <v>2042</v>
      </c>
      <c r="C735" t="s">
        <v>972</v>
      </c>
      <c r="D735">
        <v>0</v>
      </c>
      <c r="E735" t="str">
        <f>_xlfn.XLOOKUP(F735, Keys!B:B, Keys!A:A, "找不到")</f>
        <v>FA</v>
      </c>
      <c r="F735" t="s">
        <v>63</v>
      </c>
      <c r="G735">
        <v>0.6505105023411939</v>
      </c>
      <c r="H735" t="s">
        <v>64</v>
      </c>
      <c r="I735" t="s">
        <v>65</v>
      </c>
      <c r="J735" t="s">
        <v>2562</v>
      </c>
      <c r="K735">
        <v>239.71165585062221</v>
      </c>
      <c r="L735">
        <v>2632.5331343601179</v>
      </c>
    </row>
    <row r="736" spans="1:12" hidden="1" x14ac:dyDescent="0.25">
      <c r="A736">
        <v>298</v>
      </c>
      <c r="B736" t="s">
        <v>2042</v>
      </c>
      <c r="C736" t="s">
        <v>972</v>
      </c>
      <c r="D736">
        <v>0</v>
      </c>
      <c r="E736" t="str">
        <f>_xlfn.XLOOKUP(F736, Keys!B:B, Keys!A:A, "找不到")</f>
        <v>FA</v>
      </c>
      <c r="F736" t="s">
        <v>63</v>
      </c>
      <c r="G736">
        <v>0.32064460178637788</v>
      </c>
      <c r="H736" t="s">
        <v>64</v>
      </c>
      <c r="I736" t="s">
        <v>65</v>
      </c>
      <c r="J736" t="s">
        <v>2556</v>
      </c>
      <c r="K736">
        <v>144.72677700677849</v>
      </c>
      <c r="L736">
        <v>1297.6078564733291</v>
      </c>
    </row>
    <row r="737" spans="1:12" hidden="1" x14ac:dyDescent="0.25">
      <c r="A737">
        <v>299</v>
      </c>
      <c r="B737" t="s">
        <v>2042</v>
      </c>
      <c r="C737" t="s">
        <v>972</v>
      </c>
      <c r="D737">
        <v>0</v>
      </c>
      <c r="E737" t="str">
        <f>_xlfn.XLOOKUP(F737, Keys!B:B, Keys!A:A, "找不到")</f>
        <v>FA</v>
      </c>
      <c r="F737" t="s">
        <v>63</v>
      </c>
      <c r="G737">
        <v>4.0651382281030308E-4</v>
      </c>
      <c r="H737" t="s">
        <v>64</v>
      </c>
      <c r="I737" t="s">
        <v>65</v>
      </c>
      <c r="J737" t="s">
        <v>2566</v>
      </c>
      <c r="K737">
        <v>6.6806206252934626</v>
      </c>
      <c r="L737">
        <v>1.64510965506629</v>
      </c>
    </row>
    <row r="738" spans="1:12" hidden="1" x14ac:dyDescent="0.25">
      <c r="A738">
        <v>300</v>
      </c>
      <c r="B738" t="s">
        <v>2042</v>
      </c>
      <c r="C738" t="s">
        <v>972</v>
      </c>
      <c r="D738">
        <v>0</v>
      </c>
      <c r="E738" t="str">
        <f>_xlfn.XLOOKUP(F738, Keys!B:B, Keys!A:A, "找不到")</f>
        <v>FA</v>
      </c>
      <c r="F738" t="s">
        <v>63</v>
      </c>
      <c r="G738">
        <v>5.8339201228060746E-3</v>
      </c>
      <c r="H738" t="s">
        <v>64</v>
      </c>
      <c r="I738" t="s">
        <v>65</v>
      </c>
      <c r="J738" t="s">
        <v>2566</v>
      </c>
      <c r="K738">
        <v>24.356215581031559</v>
      </c>
      <c r="L738">
        <v>23.609131553178141</v>
      </c>
    </row>
    <row r="739" spans="1:12" hidden="1" x14ac:dyDescent="0.25">
      <c r="A739">
        <v>301</v>
      </c>
      <c r="B739" t="s">
        <v>2042</v>
      </c>
      <c r="C739" t="s">
        <v>972</v>
      </c>
      <c r="D739">
        <v>0</v>
      </c>
      <c r="E739" t="str">
        <f>_xlfn.XLOOKUP(F739, Keys!B:B, Keys!A:A, "找不到")</f>
        <v>FA</v>
      </c>
      <c r="F739" t="s">
        <v>63</v>
      </c>
      <c r="G739">
        <v>2.3004600032906629E-2</v>
      </c>
      <c r="H739" t="s">
        <v>64</v>
      </c>
      <c r="I739" t="s">
        <v>65</v>
      </c>
      <c r="J739" t="s">
        <v>2566</v>
      </c>
      <c r="K739">
        <v>61.787476511163391</v>
      </c>
      <c r="L739">
        <v>93.096685774282165</v>
      </c>
    </row>
    <row r="740" spans="1:12" hidden="1" x14ac:dyDescent="0.25">
      <c r="A740">
        <v>302</v>
      </c>
      <c r="B740" t="s">
        <v>2042</v>
      </c>
      <c r="C740" t="s">
        <v>972</v>
      </c>
      <c r="D740">
        <v>0</v>
      </c>
      <c r="E740" t="str">
        <f>_xlfn.XLOOKUP(F740, Keys!B:B, Keys!A:A, "找不到")</f>
        <v>FA</v>
      </c>
      <c r="F740" t="s">
        <v>63</v>
      </c>
      <c r="G740">
        <v>2.1899640758404749E-3</v>
      </c>
      <c r="H740" t="s">
        <v>64</v>
      </c>
      <c r="I740" t="s">
        <v>65</v>
      </c>
      <c r="J740" t="s">
        <v>2566</v>
      </c>
      <c r="K740">
        <v>12.17682119683508</v>
      </c>
      <c r="L740">
        <v>8.8625056351273983</v>
      </c>
    </row>
    <row r="741" spans="1:12" hidden="1" x14ac:dyDescent="0.25">
      <c r="A741">
        <v>303</v>
      </c>
      <c r="B741" t="s">
        <v>2042</v>
      </c>
      <c r="C741" t="s">
        <v>972</v>
      </c>
      <c r="D741">
        <v>0</v>
      </c>
      <c r="E741" t="str">
        <f>_xlfn.XLOOKUP(F741, Keys!B:B, Keys!A:A, "找不到")</f>
        <v>FA</v>
      </c>
      <c r="F741" t="s">
        <v>63</v>
      </c>
      <c r="G741">
        <v>1.365406982628963E-2</v>
      </c>
      <c r="H741" t="s">
        <v>64</v>
      </c>
      <c r="I741" t="s">
        <v>65</v>
      </c>
      <c r="J741" t="s">
        <v>2566</v>
      </c>
      <c r="K741">
        <v>32.798769589565673</v>
      </c>
      <c r="L741">
        <v>55.256281193321989</v>
      </c>
    </row>
    <row r="742" spans="1:12" hidden="1" x14ac:dyDescent="0.25">
      <c r="A742">
        <v>305</v>
      </c>
      <c r="B742" t="s">
        <v>2042</v>
      </c>
      <c r="C742" t="s">
        <v>972</v>
      </c>
      <c r="D742">
        <v>0</v>
      </c>
      <c r="E742" t="str">
        <f>_xlfn.XLOOKUP(F742, Keys!B:B, Keys!A:A, "找不到")</f>
        <v>FA</v>
      </c>
      <c r="F742" t="s">
        <v>63</v>
      </c>
      <c r="G742">
        <v>0.12417949608760991</v>
      </c>
      <c r="H742" t="s">
        <v>64</v>
      </c>
      <c r="I742" t="s">
        <v>65</v>
      </c>
      <c r="J742">
        <v>0</v>
      </c>
      <c r="K742">
        <v>87.772645066557686</v>
      </c>
      <c r="L742">
        <v>502.53860142493551</v>
      </c>
    </row>
    <row r="743" spans="1:12" hidden="1" x14ac:dyDescent="0.25">
      <c r="A743">
        <v>306</v>
      </c>
      <c r="B743" t="s">
        <v>2042</v>
      </c>
      <c r="C743" t="s">
        <v>972</v>
      </c>
      <c r="D743">
        <v>0</v>
      </c>
      <c r="E743" t="str">
        <f>_xlfn.XLOOKUP(F743, Keys!B:B, Keys!A:A, "找不到")</f>
        <v>FA</v>
      </c>
      <c r="F743" t="s">
        <v>63</v>
      </c>
      <c r="G743">
        <v>5.7039455507940966</v>
      </c>
      <c r="H743" t="s">
        <v>64</v>
      </c>
      <c r="I743" t="s">
        <v>65</v>
      </c>
      <c r="J743" t="s">
        <v>2577</v>
      </c>
      <c r="K743">
        <v>729.78032902318273</v>
      </c>
      <c r="L743">
        <v>23083.141017722741</v>
      </c>
    </row>
    <row r="744" spans="1:12" hidden="1" x14ac:dyDescent="0.25">
      <c r="A744">
        <v>308</v>
      </c>
      <c r="B744" t="s">
        <v>2042</v>
      </c>
      <c r="C744" t="s">
        <v>972</v>
      </c>
      <c r="D744">
        <v>0</v>
      </c>
      <c r="E744" t="str">
        <f>_xlfn.XLOOKUP(F744, Keys!B:B, Keys!A:A, "找不到")</f>
        <v>FA</v>
      </c>
      <c r="F744" t="s">
        <v>63</v>
      </c>
      <c r="G744">
        <v>0.74210702730316536</v>
      </c>
      <c r="H744" t="s">
        <v>64</v>
      </c>
      <c r="I744" t="s">
        <v>65</v>
      </c>
      <c r="J744" t="s">
        <v>2356</v>
      </c>
      <c r="K744">
        <v>238.4109787051072</v>
      </c>
      <c r="L744">
        <v>3003.2126023883829</v>
      </c>
    </row>
    <row r="745" spans="1:12" hidden="1" x14ac:dyDescent="0.25">
      <c r="A745">
        <v>309</v>
      </c>
      <c r="B745" t="s">
        <v>2042</v>
      </c>
      <c r="C745" t="s">
        <v>972</v>
      </c>
      <c r="D745">
        <v>0</v>
      </c>
      <c r="E745" t="str">
        <f>_xlfn.XLOOKUP(F745, Keys!B:B, Keys!A:A, "找不到")</f>
        <v>FA</v>
      </c>
      <c r="F745" t="s">
        <v>63</v>
      </c>
      <c r="G745">
        <v>0.62682775423324366</v>
      </c>
      <c r="H745" t="s">
        <v>64</v>
      </c>
      <c r="I745" t="s">
        <v>65</v>
      </c>
      <c r="J745" t="s">
        <v>2356</v>
      </c>
      <c r="K745">
        <v>306.8173990901862</v>
      </c>
      <c r="L745">
        <v>2536.6920697155028</v>
      </c>
    </row>
    <row r="746" spans="1:12" hidden="1" x14ac:dyDescent="0.25">
      <c r="A746">
        <v>310</v>
      </c>
      <c r="B746" t="s">
        <v>2042</v>
      </c>
      <c r="C746" t="s">
        <v>972</v>
      </c>
      <c r="D746">
        <v>0</v>
      </c>
      <c r="E746" t="str">
        <f>_xlfn.XLOOKUP(F746, Keys!B:B, Keys!A:A, "找不到")</f>
        <v>FA</v>
      </c>
      <c r="F746" t="s">
        <v>63</v>
      </c>
      <c r="G746">
        <v>0.37255099404551362</v>
      </c>
      <c r="H746" t="s">
        <v>64</v>
      </c>
      <c r="I746" t="s">
        <v>65</v>
      </c>
      <c r="J746" t="s">
        <v>2147</v>
      </c>
      <c r="K746">
        <v>248.83145619198001</v>
      </c>
      <c r="L746">
        <v>1507.6664135842141</v>
      </c>
    </row>
    <row r="747" spans="1:12" hidden="1" x14ac:dyDescent="0.25">
      <c r="A747">
        <v>311</v>
      </c>
      <c r="B747" t="s">
        <v>2042</v>
      </c>
      <c r="C747" t="s">
        <v>972</v>
      </c>
      <c r="D747">
        <v>0</v>
      </c>
      <c r="E747" t="str">
        <f>_xlfn.XLOOKUP(F747, Keys!B:B, Keys!A:A, "找不到")</f>
        <v>FA</v>
      </c>
      <c r="F747" t="s">
        <v>63</v>
      </c>
      <c r="G747">
        <v>0.16817866215874</v>
      </c>
      <c r="H747" t="s">
        <v>64</v>
      </c>
      <c r="I747" t="s">
        <v>65</v>
      </c>
      <c r="J747" t="s">
        <v>673</v>
      </c>
      <c r="K747">
        <v>110.63793221538459</v>
      </c>
      <c r="L747">
        <v>680.59762145550019</v>
      </c>
    </row>
    <row r="748" spans="1:12" hidden="1" x14ac:dyDescent="0.25">
      <c r="A748">
        <v>320</v>
      </c>
      <c r="B748" t="s">
        <v>2042</v>
      </c>
      <c r="C748" t="s">
        <v>972</v>
      </c>
      <c r="D748" t="s">
        <v>2241</v>
      </c>
      <c r="E748" t="str">
        <f>_xlfn.XLOOKUP(F748, Keys!B:B, Keys!A:A, "找不到")</f>
        <v>FA</v>
      </c>
      <c r="F748" t="s">
        <v>63</v>
      </c>
      <c r="G748">
        <v>0.67883675331081028</v>
      </c>
      <c r="H748" t="s">
        <v>64</v>
      </c>
      <c r="I748" t="s">
        <v>65</v>
      </c>
      <c r="J748" t="s">
        <v>2257</v>
      </c>
      <c r="K748">
        <v>228.29017584383169</v>
      </c>
      <c r="L748">
        <v>2747.1658635494819</v>
      </c>
    </row>
    <row r="749" spans="1:12" hidden="1" x14ac:dyDescent="0.25">
      <c r="A749">
        <v>322</v>
      </c>
      <c r="B749" t="s">
        <v>2042</v>
      </c>
      <c r="C749" t="s">
        <v>972</v>
      </c>
      <c r="D749">
        <v>0</v>
      </c>
      <c r="E749" t="str">
        <f>_xlfn.XLOOKUP(F749, Keys!B:B, Keys!A:A, "找不到")</f>
        <v>FA</v>
      </c>
      <c r="F749" t="s">
        <v>63</v>
      </c>
      <c r="G749">
        <v>2.582697064417852</v>
      </c>
      <c r="H749" t="s">
        <v>64</v>
      </c>
      <c r="I749" t="s">
        <v>65</v>
      </c>
      <c r="J749">
        <v>0</v>
      </c>
      <c r="K749">
        <v>504.86476220793332</v>
      </c>
      <c r="L749">
        <v>10451.84600959524</v>
      </c>
    </row>
    <row r="750" spans="1:12" hidden="1" x14ac:dyDescent="0.25">
      <c r="A750">
        <v>324</v>
      </c>
      <c r="B750" t="s">
        <v>2042</v>
      </c>
      <c r="C750" t="s">
        <v>972</v>
      </c>
      <c r="D750" t="s">
        <v>2241</v>
      </c>
      <c r="E750" t="str">
        <f>_xlfn.XLOOKUP(F750, Keys!B:B, Keys!A:A, "找不到")</f>
        <v>FA</v>
      </c>
      <c r="F750" t="s">
        <v>63</v>
      </c>
      <c r="G750">
        <v>0.4444277617629051</v>
      </c>
      <c r="H750" t="s">
        <v>64</v>
      </c>
      <c r="I750" t="s">
        <v>65</v>
      </c>
      <c r="J750" t="s">
        <v>2257</v>
      </c>
      <c r="K750">
        <v>174.2955129447154</v>
      </c>
      <c r="L750">
        <v>1798.54253614602</v>
      </c>
    </row>
    <row r="751" spans="1:12" hidden="1" x14ac:dyDescent="0.25">
      <c r="A751">
        <v>325</v>
      </c>
      <c r="B751" t="s">
        <v>2042</v>
      </c>
      <c r="C751" t="s">
        <v>972</v>
      </c>
      <c r="D751">
        <v>0</v>
      </c>
      <c r="E751" t="str">
        <f>_xlfn.XLOOKUP(F751, Keys!B:B, Keys!A:A, "找不到")</f>
        <v>FA</v>
      </c>
      <c r="F751" t="s">
        <v>63</v>
      </c>
      <c r="G751">
        <v>0.68111616456215673</v>
      </c>
      <c r="H751" t="s">
        <v>64</v>
      </c>
      <c r="I751" t="s">
        <v>65</v>
      </c>
      <c r="J751">
        <v>0</v>
      </c>
      <c r="K751">
        <v>205.1209610270453</v>
      </c>
      <c r="L751">
        <v>2756.3903505091962</v>
      </c>
    </row>
    <row r="752" spans="1:12" hidden="1" x14ac:dyDescent="0.25">
      <c r="A752">
        <v>326</v>
      </c>
      <c r="B752" t="s">
        <v>2042</v>
      </c>
      <c r="C752" t="s">
        <v>972</v>
      </c>
      <c r="D752">
        <v>0</v>
      </c>
      <c r="E752" t="str">
        <f>_xlfn.XLOOKUP(F752, Keys!B:B, Keys!A:A, "找不到")</f>
        <v>FA</v>
      </c>
      <c r="F752" t="s">
        <v>63</v>
      </c>
      <c r="G752">
        <v>0.12769744370677519</v>
      </c>
      <c r="H752" t="s">
        <v>64</v>
      </c>
      <c r="I752" t="s">
        <v>65</v>
      </c>
      <c r="J752">
        <v>0</v>
      </c>
      <c r="K752">
        <v>133.74086793815599</v>
      </c>
      <c r="L752">
        <v>516.77528728790753</v>
      </c>
    </row>
    <row r="753" spans="1:12" hidden="1" x14ac:dyDescent="0.25">
      <c r="A753">
        <v>329</v>
      </c>
      <c r="B753" t="s">
        <v>2042</v>
      </c>
      <c r="C753" t="s">
        <v>972</v>
      </c>
      <c r="D753">
        <v>0</v>
      </c>
      <c r="E753" t="str">
        <f>_xlfn.XLOOKUP(F753, Keys!B:B, Keys!A:A, "找不到")</f>
        <v>FA</v>
      </c>
      <c r="F753" t="s">
        <v>63</v>
      </c>
      <c r="G753">
        <v>4.2822742858372953E-2</v>
      </c>
      <c r="H753" t="s">
        <v>64</v>
      </c>
      <c r="I753" t="s">
        <v>65</v>
      </c>
      <c r="J753">
        <v>0</v>
      </c>
      <c r="K753">
        <v>66.162231132615005</v>
      </c>
      <c r="L753">
        <v>173.29818515323771</v>
      </c>
    </row>
    <row r="754" spans="1:12" hidden="1" x14ac:dyDescent="0.25">
      <c r="A754">
        <v>331</v>
      </c>
      <c r="B754" t="s">
        <v>2042</v>
      </c>
      <c r="C754" t="s">
        <v>972</v>
      </c>
      <c r="D754" t="s">
        <v>2241</v>
      </c>
      <c r="E754" t="str">
        <f>_xlfn.XLOOKUP(F754, Keys!B:B, Keys!A:A, "找不到")</f>
        <v>FA</v>
      </c>
      <c r="F754" t="s">
        <v>63</v>
      </c>
      <c r="G754">
        <v>0.17268241867803041</v>
      </c>
      <c r="H754" t="s">
        <v>64</v>
      </c>
      <c r="I754" t="s">
        <v>65</v>
      </c>
      <c r="J754" t="s">
        <v>2257</v>
      </c>
      <c r="K754">
        <v>116.4856197999851</v>
      </c>
      <c r="L754">
        <v>698.82375035495897</v>
      </c>
    </row>
    <row r="755" spans="1:12" hidden="1" x14ac:dyDescent="0.25">
      <c r="A755">
        <v>334</v>
      </c>
      <c r="B755" t="s">
        <v>2042</v>
      </c>
      <c r="C755" t="s">
        <v>972</v>
      </c>
      <c r="D755">
        <v>0</v>
      </c>
      <c r="E755" t="str">
        <f>_xlfn.XLOOKUP(F755, Keys!B:B, Keys!A:A, "找不到")</f>
        <v>FA</v>
      </c>
      <c r="F755" t="s">
        <v>63</v>
      </c>
      <c r="G755">
        <v>0.18694867304077439</v>
      </c>
      <c r="H755" t="s">
        <v>64</v>
      </c>
      <c r="I755" t="s">
        <v>65</v>
      </c>
      <c r="J755">
        <v>0</v>
      </c>
      <c r="K755">
        <v>180.02652009476401</v>
      </c>
      <c r="L755">
        <v>756.55746438104711</v>
      </c>
    </row>
    <row r="756" spans="1:12" hidden="1" x14ac:dyDescent="0.25">
      <c r="A756">
        <v>335</v>
      </c>
      <c r="B756" t="s">
        <v>2042</v>
      </c>
      <c r="C756" t="s">
        <v>972</v>
      </c>
      <c r="D756">
        <v>0</v>
      </c>
      <c r="E756" t="str">
        <f>_xlfn.XLOOKUP(F756, Keys!B:B, Keys!A:A, "找不到")</f>
        <v>FA</v>
      </c>
      <c r="F756" t="s">
        <v>63</v>
      </c>
      <c r="G756">
        <v>0.1540370630102384</v>
      </c>
      <c r="H756" t="s">
        <v>64</v>
      </c>
      <c r="I756" t="s">
        <v>65</v>
      </c>
      <c r="J756">
        <v>0</v>
      </c>
      <c r="K756">
        <v>101.2187683397772</v>
      </c>
      <c r="L756">
        <v>623.36837120160794</v>
      </c>
    </row>
    <row r="757" spans="1:12" hidden="1" x14ac:dyDescent="0.25">
      <c r="A757">
        <v>341</v>
      </c>
      <c r="B757" t="s">
        <v>2042</v>
      </c>
      <c r="C757" t="s">
        <v>972</v>
      </c>
      <c r="D757">
        <v>0</v>
      </c>
      <c r="E757" t="str">
        <f>_xlfn.XLOOKUP(F757, Keys!B:B, Keys!A:A, "找不到")</f>
        <v>FA</v>
      </c>
      <c r="F757" t="s">
        <v>63</v>
      </c>
      <c r="G757">
        <v>31.73372227447129</v>
      </c>
      <c r="H757" t="s">
        <v>64</v>
      </c>
      <c r="I757" t="s">
        <v>65</v>
      </c>
      <c r="J757">
        <v>0</v>
      </c>
      <c r="K757">
        <v>1465.397668298252</v>
      </c>
      <c r="L757">
        <v>128422.3314819143</v>
      </c>
    </row>
    <row r="758" spans="1:12" hidden="1" x14ac:dyDescent="0.25">
      <c r="A758">
        <v>347</v>
      </c>
      <c r="B758" t="s">
        <v>2042</v>
      </c>
      <c r="C758" t="s">
        <v>972</v>
      </c>
      <c r="D758" t="s">
        <v>2586</v>
      </c>
      <c r="E758" t="str">
        <f>_xlfn.XLOOKUP(F758, Keys!B:B, Keys!A:A, "找不到")</f>
        <v>FA</v>
      </c>
      <c r="F758" t="s">
        <v>63</v>
      </c>
      <c r="G758">
        <v>0.75786329844397315</v>
      </c>
      <c r="H758" t="s">
        <v>64</v>
      </c>
      <c r="I758" t="s">
        <v>65</v>
      </c>
      <c r="J758" t="s">
        <v>2591</v>
      </c>
      <c r="K758">
        <v>257.4414268670493</v>
      </c>
      <c r="L758">
        <v>3066.976224501871</v>
      </c>
    </row>
    <row r="759" spans="1:12" hidden="1" x14ac:dyDescent="0.25">
      <c r="A759">
        <v>357</v>
      </c>
      <c r="B759" t="s">
        <v>2042</v>
      </c>
      <c r="C759" t="s">
        <v>972</v>
      </c>
      <c r="D759" t="s">
        <v>2586</v>
      </c>
      <c r="E759" t="str">
        <f>_xlfn.XLOOKUP(F759, Keys!B:B, Keys!A:A, "找不到")</f>
        <v>FA</v>
      </c>
      <c r="F759" t="s">
        <v>63</v>
      </c>
      <c r="G759">
        <v>6.1791149706052284</v>
      </c>
      <c r="H759" t="s">
        <v>64</v>
      </c>
      <c r="I759" t="s">
        <v>65</v>
      </c>
      <c r="J759" t="s">
        <v>2593</v>
      </c>
      <c r="K759">
        <v>714.46421451657125</v>
      </c>
      <c r="L759">
        <v>25006.091127806241</v>
      </c>
    </row>
    <row r="760" spans="1:12" hidden="1" x14ac:dyDescent="0.25">
      <c r="A760">
        <v>362</v>
      </c>
      <c r="B760" t="s">
        <v>2042</v>
      </c>
      <c r="C760" t="s">
        <v>972</v>
      </c>
      <c r="D760" t="s">
        <v>2586</v>
      </c>
      <c r="E760" t="str">
        <f>_xlfn.XLOOKUP(F760, Keys!B:B, Keys!A:A, "找不到")</f>
        <v>FA</v>
      </c>
      <c r="F760" t="s">
        <v>63</v>
      </c>
      <c r="G760">
        <v>3.490302469865441</v>
      </c>
      <c r="H760" t="s">
        <v>64</v>
      </c>
      <c r="I760" t="s">
        <v>65</v>
      </c>
      <c r="J760" t="s">
        <v>2595</v>
      </c>
      <c r="K760">
        <v>487.28263700531488</v>
      </c>
      <c r="L760">
        <v>14124.8094654749</v>
      </c>
    </row>
    <row r="761" spans="1:12" hidden="1" x14ac:dyDescent="0.25">
      <c r="A761">
        <v>367</v>
      </c>
      <c r="B761" t="s">
        <v>2042</v>
      </c>
      <c r="C761" t="s">
        <v>972</v>
      </c>
      <c r="D761">
        <v>0</v>
      </c>
      <c r="E761" t="str">
        <f>_xlfn.XLOOKUP(F761, Keys!B:B, Keys!A:A, "找不到")</f>
        <v>FA</v>
      </c>
      <c r="F761" t="s">
        <v>63</v>
      </c>
      <c r="G761">
        <v>5.1688751698270261</v>
      </c>
      <c r="H761" t="s">
        <v>64</v>
      </c>
      <c r="I761" t="s">
        <v>65</v>
      </c>
      <c r="J761" t="s">
        <v>2597</v>
      </c>
      <c r="K761">
        <v>816.90267388528684</v>
      </c>
      <c r="L761">
        <v>20917.77934863211</v>
      </c>
    </row>
    <row r="762" spans="1:12" hidden="1" x14ac:dyDescent="0.25">
      <c r="A762">
        <v>372</v>
      </c>
      <c r="B762" t="s">
        <v>2042</v>
      </c>
      <c r="C762" t="s">
        <v>972</v>
      </c>
      <c r="D762">
        <v>0</v>
      </c>
      <c r="E762" t="str">
        <f>_xlfn.XLOOKUP(F762, Keys!B:B, Keys!A:A, "找不到")</f>
        <v>FA</v>
      </c>
      <c r="F762" t="s">
        <v>63</v>
      </c>
      <c r="G762">
        <v>2.0187838811630709</v>
      </c>
      <c r="H762" t="s">
        <v>64</v>
      </c>
      <c r="I762" t="s">
        <v>65</v>
      </c>
      <c r="J762">
        <v>0</v>
      </c>
      <c r="K762">
        <v>394.22382079417952</v>
      </c>
      <c r="L762">
        <v>8169.7611939344679</v>
      </c>
    </row>
    <row r="763" spans="1:12" hidden="1" x14ac:dyDescent="0.25">
      <c r="A763">
        <v>386</v>
      </c>
      <c r="B763" t="s">
        <v>2042</v>
      </c>
      <c r="C763" t="s">
        <v>972</v>
      </c>
      <c r="D763">
        <v>0</v>
      </c>
      <c r="E763" t="str">
        <f>_xlfn.XLOOKUP(F763, Keys!B:B, Keys!A:A, "找不到")</f>
        <v>FA</v>
      </c>
      <c r="F763" t="s">
        <v>63</v>
      </c>
      <c r="G763">
        <v>0.18334357650339081</v>
      </c>
      <c r="H763" t="s">
        <v>64</v>
      </c>
      <c r="I763" t="s">
        <v>65</v>
      </c>
      <c r="J763" t="s">
        <v>2074</v>
      </c>
      <c r="K763">
        <v>106.0090508715289</v>
      </c>
      <c r="L763">
        <v>741.96809794795649</v>
      </c>
    </row>
    <row r="764" spans="1:12" hidden="1" x14ac:dyDescent="0.25">
      <c r="A764">
        <v>390</v>
      </c>
      <c r="B764" t="s">
        <v>2042</v>
      </c>
      <c r="C764" t="s">
        <v>972</v>
      </c>
      <c r="D764">
        <v>0</v>
      </c>
      <c r="E764" t="str">
        <f>_xlfn.XLOOKUP(F764, Keys!B:B, Keys!A:A, "找不到")</f>
        <v>FA</v>
      </c>
      <c r="F764" t="s">
        <v>63</v>
      </c>
      <c r="G764">
        <v>3.3737160784050402</v>
      </c>
      <c r="H764" t="s">
        <v>64</v>
      </c>
      <c r="I764" t="s">
        <v>65</v>
      </c>
      <c r="J764" t="s">
        <v>2159</v>
      </c>
      <c r="K764">
        <v>678.05727680500422</v>
      </c>
      <c r="L764">
        <v>13652.99919118973</v>
      </c>
    </row>
    <row r="765" spans="1:12" hidden="1" x14ac:dyDescent="0.25">
      <c r="A765">
        <v>391</v>
      </c>
      <c r="B765" t="s">
        <v>2042</v>
      </c>
      <c r="C765" t="s">
        <v>972</v>
      </c>
      <c r="D765">
        <v>0</v>
      </c>
      <c r="E765" t="str">
        <f>_xlfn.XLOOKUP(F765, Keys!B:B, Keys!A:A, "找不到")</f>
        <v>FA</v>
      </c>
      <c r="F765" t="s">
        <v>63</v>
      </c>
      <c r="G765">
        <v>0.11561961036232039</v>
      </c>
      <c r="H765" t="s">
        <v>64</v>
      </c>
      <c r="I765" t="s">
        <v>65</v>
      </c>
      <c r="J765" t="s">
        <v>2159</v>
      </c>
      <c r="K765">
        <v>113.0614181787852</v>
      </c>
      <c r="L765">
        <v>467.89783433960758</v>
      </c>
    </row>
    <row r="766" spans="1:12" hidden="1" x14ac:dyDescent="0.25">
      <c r="A766">
        <v>400</v>
      </c>
      <c r="B766" t="s">
        <v>2042</v>
      </c>
      <c r="C766" t="s">
        <v>972</v>
      </c>
      <c r="D766">
        <v>0</v>
      </c>
      <c r="E766" t="str">
        <f>_xlfn.XLOOKUP(F766, Keys!B:B, Keys!A:A, "找不到")</f>
        <v>FA</v>
      </c>
      <c r="F766" t="s">
        <v>63</v>
      </c>
      <c r="G766">
        <v>1.609641550349667</v>
      </c>
      <c r="H766" t="s">
        <v>64</v>
      </c>
      <c r="I766" t="s">
        <v>65</v>
      </c>
      <c r="J766" t="s">
        <v>2257</v>
      </c>
      <c r="K766">
        <v>374.49729997807481</v>
      </c>
      <c r="L766">
        <v>6514.0143018255922</v>
      </c>
    </row>
    <row r="767" spans="1:12" hidden="1" x14ac:dyDescent="0.25">
      <c r="A767">
        <v>401</v>
      </c>
      <c r="B767" t="s">
        <v>2042</v>
      </c>
      <c r="C767" t="s">
        <v>972</v>
      </c>
      <c r="D767">
        <v>0</v>
      </c>
      <c r="E767" t="str">
        <f>_xlfn.XLOOKUP(F767, Keys!B:B, Keys!A:A, "找不到")</f>
        <v>FA</v>
      </c>
      <c r="F767" t="s">
        <v>63</v>
      </c>
      <c r="G767">
        <v>0.96501477183357243</v>
      </c>
      <c r="H767" t="s">
        <v>64</v>
      </c>
      <c r="I767" t="s">
        <v>65</v>
      </c>
      <c r="J767" t="s">
        <v>2257</v>
      </c>
      <c r="K767">
        <v>295.88024950578802</v>
      </c>
      <c r="L767">
        <v>3905.291848257335</v>
      </c>
    </row>
    <row r="768" spans="1:12" hidden="1" x14ac:dyDescent="0.25">
      <c r="A768">
        <v>16</v>
      </c>
      <c r="B768" t="s">
        <v>1482</v>
      </c>
      <c r="C768" t="s">
        <v>1483</v>
      </c>
      <c r="D768">
        <v>0</v>
      </c>
      <c r="E768" t="str">
        <f>_xlfn.XLOOKUP(F768, Keys!B:B, Keys!A:A, "找不到")</f>
        <v>FA</v>
      </c>
      <c r="F768" t="s">
        <v>63</v>
      </c>
      <c r="G768">
        <v>3.2320483367595569</v>
      </c>
      <c r="H768" t="s">
        <v>64</v>
      </c>
      <c r="I768" t="s">
        <v>65</v>
      </c>
      <c r="J768" t="s">
        <v>1490</v>
      </c>
      <c r="K768">
        <v>518.07104195590682</v>
      </c>
      <c r="L768">
        <v>13079.687887821879</v>
      </c>
    </row>
    <row r="769" spans="1:12" hidden="1" x14ac:dyDescent="0.25">
      <c r="A769">
        <v>17</v>
      </c>
      <c r="B769" t="s">
        <v>1482</v>
      </c>
      <c r="C769" t="s">
        <v>1483</v>
      </c>
      <c r="D769">
        <v>0</v>
      </c>
      <c r="E769" t="str">
        <f>_xlfn.XLOOKUP(F769, Keys!B:B, Keys!A:A, "找不到")</f>
        <v>FA</v>
      </c>
      <c r="F769" t="s">
        <v>63</v>
      </c>
      <c r="G769">
        <v>1.0901443563452</v>
      </c>
      <c r="H769" t="s">
        <v>64</v>
      </c>
      <c r="I769" t="s">
        <v>65</v>
      </c>
      <c r="J769" t="s">
        <v>1490</v>
      </c>
      <c r="K769">
        <v>358.66546306276689</v>
      </c>
      <c r="L769">
        <v>4411.6753365023869</v>
      </c>
    </row>
    <row r="770" spans="1:12" hidden="1" x14ac:dyDescent="0.25">
      <c r="A770">
        <v>18</v>
      </c>
      <c r="B770" t="s">
        <v>1482</v>
      </c>
      <c r="C770" t="s">
        <v>1483</v>
      </c>
      <c r="D770">
        <v>0</v>
      </c>
      <c r="E770" t="str">
        <f>_xlfn.XLOOKUP(F770, Keys!B:B, Keys!A:A, "找不到")</f>
        <v>FA</v>
      </c>
      <c r="F770" t="s">
        <v>63</v>
      </c>
      <c r="G770">
        <v>4.2319617934637508</v>
      </c>
      <c r="H770" t="s">
        <v>64</v>
      </c>
      <c r="I770" t="s">
        <v>65</v>
      </c>
      <c r="J770" t="s">
        <v>1490</v>
      </c>
      <c r="K770">
        <v>608.03212525315303</v>
      </c>
      <c r="L770">
        <v>17126.210268002771</v>
      </c>
    </row>
    <row r="771" spans="1:12" hidden="1" x14ac:dyDescent="0.25">
      <c r="A771">
        <v>25</v>
      </c>
      <c r="B771" t="s">
        <v>1482</v>
      </c>
      <c r="C771" t="s">
        <v>1483</v>
      </c>
      <c r="D771">
        <v>0</v>
      </c>
      <c r="E771" t="str">
        <f>_xlfn.XLOOKUP(F771, Keys!B:B, Keys!A:A, "找不到")</f>
        <v>FA</v>
      </c>
      <c r="F771" t="s">
        <v>63</v>
      </c>
      <c r="G771">
        <v>17.01342092959424</v>
      </c>
      <c r="H771" t="s">
        <v>64</v>
      </c>
      <c r="I771" t="s">
        <v>65</v>
      </c>
      <c r="J771" t="s">
        <v>1533</v>
      </c>
      <c r="K771">
        <v>1337.3009791191321</v>
      </c>
      <c r="L771">
        <v>68851.147160236273</v>
      </c>
    </row>
    <row r="772" spans="1:12" hidden="1" x14ac:dyDescent="0.25">
      <c r="A772">
        <v>43</v>
      </c>
      <c r="B772" t="s">
        <v>1482</v>
      </c>
      <c r="C772" t="s">
        <v>1483</v>
      </c>
      <c r="D772">
        <v>0</v>
      </c>
      <c r="E772" t="str">
        <f>_xlfn.XLOOKUP(F772, Keys!B:B, Keys!A:A, "找不到")</f>
        <v>FA</v>
      </c>
      <c r="F772" t="s">
        <v>63</v>
      </c>
      <c r="G772">
        <v>12.234296768443579</v>
      </c>
      <c r="H772" t="s">
        <v>64</v>
      </c>
      <c r="I772" t="s">
        <v>65</v>
      </c>
      <c r="J772" t="s">
        <v>1574</v>
      </c>
      <c r="K772">
        <v>960.57322293173411</v>
      </c>
      <c r="L772">
        <v>49510.640493287407</v>
      </c>
    </row>
    <row r="773" spans="1:12" hidden="1" x14ac:dyDescent="0.25">
      <c r="A773">
        <v>45</v>
      </c>
      <c r="B773" t="s">
        <v>1482</v>
      </c>
      <c r="C773" t="s">
        <v>1483</v>
      </c>
      <c r="D773">
        <v>0</v>
      </c>
      <c r="E773" t="str">
        <f>_xlfn.XLOOKUP(F773, Keys!B:B, Keys!A:A, "找不到")</f>
        <v>FA</v>
      </c>
      <c r="F773" t="s">
        <v>63</v>
      </c>
      <c r="G773">
        <v>4.514241474729265</v>
      </c>
      <c r="H773" t="s">
        <v>64</v>
      </c>
      <c r="I773" t="s">
        <v>65</v>
      </c>
      <c r="J773" t="s">
        <v>1581</v>
      </c>
      <c r="K773">
        <v>660.17391265436629</v>
      </c>
      <c r="L773">
        <v>18268.56017844021</v>
      </c>
    </row>
    <row r="774" spans="1:12" hidden="1" x14ac:dyDescent="0.25">
      <c r="A774">
        <v>46</v>
      </c>
      <c r="B774" t="s">
        <v>1482</v>
      </c>
      <c r="C774" t="s">
        <v>1483</v>
      </c>
      <c r="D774">
        <v>0</v>
      </c>
      <c r="E774" t="str">
        <f>_xlfn.XLOOKUP(F774, Keys!B:B, Keys!A:A, "找不到")</f>
        <v>FA</v>
      </c>
      <c r="F774" t="s">
        <v>63</v>
      </c>
      <c r="G774">
        <v>11.642345529142039</v>
      </c>
      <c r="H774" t="s">
        <v>64</v>
      </c>
      <c r="I774" t="s">
        <v>65</v>
      </c>
      <c r="J774">
        <v>0</v>
      </c>
      <c r="K774">
        <v>914.36575413701144</v>
      </c>
      <c r="L774">
        <v>47115.089236576889</v>
      </c>
    </row>
    <row r="775" spans="1:12" hidden="1" x14ac:dyDescent="0.25">
      <c r="A775">
        <v>47</v>
      </c>
      <c r="B775" t="s">
        <v>1482</v>
      </c>
      <c r="C775" t="s">
        <v>1483</v>
      </c>
      <c r="D775">
        <v>0</v>
      </c>
      <c r="E775" t="str">
        <f>_xlfn.XLOOKUP(F775, Keys!B:B, Keys!A:A, "找不到")</f>
        <v>FA</v>
      </c>
      <c r="F775" t="s">
        <v>63</v>
      </c>
      <c r="G775">
        <v>0.57061230564123111</v>
      </c>
      <c r="H775" t="s">
        <v>64</v>
      </c>
      <c r="I775" t="s">
        <v>65</v>
      </c>
      <c r="J775">
        <v>0</v>
      </c>
      <c r="K775">
        <v>193.2821472960691</v>
      </c>
      <c r="L775">
        <v>2309.1953105566931</v>
      </c>
    </row>
    <row r="776" spans="1:12" hidden="1" x14ac:dyDescent="0.25">
      <c r="A776">
        <v>50</v>
      </c>
      <c r="B776" t="s">
        <v>1482</v>
      </c>
      <c r="C776" t="s">
        <v>1483</v>
      </c>
      <c r="D776" t="s">
        <v>1590</v>
      </c>
      <c r="E776" t="str">
        <f>_xlfn.XLOOKUP(F776, Keys!B:B, Keys!A:A, "找不到")</f>
        <v>FA</v>
      </c>
      <c r="F776" t="s">
        <v>63</v>
      </c>
      <c r="G776">
        <v>46.401188553043689</v>
      </c>
      <c r="H776" t="s">
        <v>64</v>
      </c>
      <c r="I776" t="s">
        <v>65</v>
      </c>
      <c r="J776" t="s">
        <v>1597</v>
      </c>
      <c r="K776">
        <v>1864.215307097613</v>
      </c>
      <c r="L776">
        <v>187779.6990209232</v>
      </c>
    </row>
    <row r="777" spans="1:12" hidden="1" x14ac:dyDescent="0.25">
      <c r="A777">
        <v>53</v>
      </c>
      <c r="B777" t="s">
        <v>1482</v>
      </c>
      <c r="C777" t="s">
        <v>1483</v>
      </c>
      <c r="D777">
        <v>0</v>
      </c>
      <c r="E777" t="str">
        <f>_xlfn.XLOOKUP(F777, Keys!B:B, Keys!A:A, "找不到")</f>
        <v>FA</v>
      </c>
      <c r="F777" t="s">
        <v>63</v>
      </c>
      <c r="G777">
        <v>0.78742164858274966</v>
      </c>
      <c r="H777" t="s">
        <v>64</v>
      </c>
      <c r="I777" t="s">
        <v>65</v>
      </c>
      <c r="J777">
        <v>0</v>
      </c>
      <c r="K777">
        <v>245.85260338191571</v>
      </c>
      <c r="L777">
        <v>3186.5951020715579</v>
      </c>
    </row>
    <row r="778" spans="1:12" hidden="1" x14ac:dyDescent="0.25">
      <c r="A778">
        <v>57</v>
      </c>
      <c r="B778" t="s">
        <v>1482</v>
      </c>
      <c r="C778" t="s">
        <v>1483</v>
      </c>
      <c r="D778" t="s">
        <v>1612</v>
      </c>
      <c r="E778" t="str">
        <f>_xlfn.XLOOKUP(F778, Keys!B:B, Keys!A:A, "找不到")</f>
        <v>FA</v>
      </c>
      <c r="F778" t="s">
        <v>63</v>
      </c>
      <c r="G778">
        <v>3.964345735962107</v>
      </c>
      <c r="H778" t="s">
        <v>64</v>
      </c>
      <c r="I778" t="s">
        <v>65</v>
      </c>
      <c r="J778" t="s">
        <v>1613</v>
      </c>
      <c r="K778">
        <v>519.79867285935848</v>
      </c>
      <c r="L778">
        <v>16043.20217493683</v>
      </c>
    </row>
    <row r="779" spans="1:12" hidden="1" x14ac:dyDescent="0.25">
      <c r="A779">
        <v>63</v>
      </c>
      <c r="B779" t="s">
        <v>1482</v>
      </c>
      <c r="C779" t="s">
        <v>1483</v>
      </c>
      <c r="D779" t="s">
        <v>1612</v>
      </c>
      <c r="E779" t="str">
        <f>_xlfn.XLOOKUP(F779, Keys!B:B, Keys!A:A, "找不到")</f>
        <v>FA</v>
      </c>
      <c r="F779" t="s">
        <v>63</v>
      </c>
      <c r="G779">
        <v>2.1379234707117778</v>
      </c>
      <c r="H779" t="s">
        <v>64</v>
      </c>
      <c r="I779" t="s">
        <v>65</v>
      </c>
      <c r="J779" t="s">
        <v>1613</v>
      </c>
      <c r="K779">
        <v>364.75083238867171</v>
      </c>
      <c r="L779">
        <v>8651.9039356307931</v>
      </c>
    </row>
    <row r="780" spans="1:12" hidden="1" x14ac:dyDescent="0.25">
      <c r="A780">
        <v>64</v>
      </c>
      <c r="B780" t="s">
        <v>1482</v>
      </c>
      <c r="C780" t="s">
        <v>1483</v>
      </c>
      <c r="D780" t="s">
        <v>1612</v>
      </c>
      <c r="E780" t="str">
        <f>_xlfn.XLOOKUP(F780, Keys!B:B, Keys!A:A, "找不到")</f>
        <v>FA</v>
      </c>
      <c r="F780" t="s">
        <v>63</v>
      </c>
      <c r="G780">
        <v>0.27604312309591528</v>
      </c>
      <c r="H780" t="s">
        <v>64</v>
      </c>
      <c r="I780" t="s">
        <v>65</v>
      </c>
      <c r="J780" t="s">
        <v>1613</v>
      </c>
      <c r="K780">
        <v>151.79458887233091</v>
      </c>
      <c r="L780">
        <v>1117.111354001006</v>
      </c>
    </row>
    <row r="781" spans="1:12" hidden="1" x14ac:dyDescent="0.25">
      <c r="A781">
        <v>65</v>
      </c>
      <c r="B781" t="s">
        <v>1482</v>
      </c>
      <c r="C781" t="s">
        <v>1483</v>
      </c>
      <c r="D781">
        <v>0</v>
      </c>
      <c r="E781" t="str">
        <f>_xlfn.XLOOKUP(F781, Keys!B:B, Keys!A:A, "找不到")</f>
        <v>FA</v>
      </c>
      <c r="F781" t="s">
        <v>63</v>
      </c>
      <c r="G781">
        <v>0.1433056485059965</v>
      </c>
      <c r="H781" t="s">
        <v>64</v>
      </c>
      <c r="I781" t="s">
        <v>65</v>
      </c>
      <c r="J781" t="s">
        <v>1628</v>
      </c>
      <c r="K781">
        <v>96.921907792861219</v>
      </c>
      <c r="L781">
        <v>579.93970377918413</v>
      </c>
    </row>
    <row r="782" spans="1:12" hidden="1" x14ac:dyDescent="0.25">
      <c r="A782">
        <v>66</v>
      </c>
      <c r="B782" t="s">
        <v>1482</v>
      </c>
      <c r="C782" t="s">
        <v>1483</v>
      </c>
      <c r="D782" t="s">
        <v>1612</v>
      </c>
      <c r="E782" t="str">
        <f>_xlfn.XLOOKUP(F782, Keys!B:B, Keys!A:A, "找不到")</f>
        <v>FA</v>
      </c>
      <c r="F782" t="s">
        <v>63</v>
      </c>
      <c r="G782">
        <v>6.1989779739592876</v>
      </c>
      <c r="H782" t="s">
        <v>64</v>
      </c>
      <c r="I782" t="s">
        <v>65</v>
      </c>
      <c r="J782" t="s">
        <v>1613</v>
      </c>
      <c r="K782">
        <v>778.0180093483433</v>
      </c>
      <c r="L782">
        <v>25086.474172029619</v>
      </c>
    </row>
    <row r="783" spans="1:12" hidden="1" x14ac:dyDescent="0.25">
      <c r="A783">
        <v>67</v>
      </c>
      <c r="B783" t="s">
        <v>1482</v>
      </c>
      <c r="C783" t="s">
        <v>1483</v>
      </c>
      <c r="D783" t="s">
        <v>1612</v>
      </c>
      <c r="E783" t="str">
        <f>_xlfn.XLOOKUP(F783, Keys!B:B, Keys!A:A, "找不到")</f>
        <v>FA</v>
      </c>
      <c r="F783" t="s">
        <v>63</v>
      </c>
      <c r="G783">
        <v>2.866269252016425</v>
      </c>
      <c r="H783" t="s">
        <v>64</v>
      </c>
      <c r="I783" t="s">
        <v>65</v>
      </c>
      <c r="J783" t="s">
        <v>1613</v>
      </c>
      <c r="K783">
        <v>526.20779723949966</v>
      </c>
      <c r="L783">
        <v>11599.42652851003</v>
      </c>
    </row>
    <row r="784" spans="1:12" hidden="1" x14ac:dyDescent="0.25">
      <c r="A784">
        <v>68</v>
      </c>
      <c r="B784" t="s">
        <v>1482</v>
      </c>
      <c r="C784" t="s">
        <v>1483</v>
      </c>
      <c r="D784" t="s">
        <v>1612</v>
      </c>
      <c r="E784" t="str">
        <f>_xlfn.XLOOKUP(F784, Keys!B:B, Keys!A:A, "找不到")</f>
        <v>FA</v>
      </c>
      <c r="F784" t="s">
        <v>63</v>
      </c>
      <c r="G784">
        <v>5.9979624422513744</v>
      </c>
      <c r="H784" t="s">
        <v>64</v>
      </c>
      <c r="I784" t="s">
        <v>65</v>
      </c>
      <c r="J784" t="s">
        <v>1613</v>
      </c>
      <c r="K784">
        <v>792.27693954228971</v>
      </c>
      <c r="L784">
        <v>24272.989922601559</v>
      </c>
    </row>
    <row r="785" spans="1:12" hidden="1" x14ac:dyDescent="0.25">
      <c r="A785">
        <v>69</v>
      </c>
      <c r="B785" t="s">
        <v>1482</v>
      </c>
      <c r="C785" t="s">
        <v>1483</v>
      </c>
      <c r="D785">
        <v>0</v>
      </c>
      <c r="E785" t="str">
        <f>_xlfn.XLOOKUP(F785, Keys!B:B, Keys!A:A, "找不到")</f>
        <v>FA</v>
      </c>
      <c r="F785" t="s">
        <v>63</v>
      </c>
      <c r="G785">
        <v>7.8571378459211818</v>
      </c>
      <c r="H785" t="s">
        <v>64</v>
      </c>
      <c r="I785" t="s">
        <v>65</v>
      </c>
      <c r="J785" t="s">
        <v>1636</v>
      </c>
      <c r="K785">
        <v>847.72488038630695</v>
      </c>
      <c r="L785">
        <v>31796.835940664809</v>
      </c>
    </row>
    <row r="786" spans="1:12" hidden="1" x14ac:dyDescent="0.25">
      <c r="A786">
        <v>76</v>
      </c>
      <c r="B786" t="s">
        <v>1482</v>
      </c>
      <c r="C786" t="s">
        <v>1483</v>
      </c>
      <c r="D786" t="s">
        <v>1612</v>
      </c>
      <c r="E786" t="str">
        <f>_xlfn.XLOOKUP(F786, Keys!B:B, Keys!A:A, "找不到")</f>
        <v>FA</v>
      </c>
      <c r="F786" t="s">
        <v>63</v>
      </c>
      <c r="G786">
        <v>0.72679688937350617</v>
      </c>
      <c r="H786" t="s">
        <v>64</v>
      </c>
      <c r="I786" t="s">
        <v>65</v>
      </c>
      <c r="J786" t="s">
        <v>1655</v>
      </c>
      <c r="K786">
        <v>230.06009063618541</v>
      </c>
      <c r="L786">
        <v>2941.2544245474492</v>
      </c>
    </row>
    <row r="787" spans="1:12" hidden="1" x14ac:dyDescent="0.25">
      <c r="A787">
        <v>77</v>
      </c>
      <c r="B787" t="s">
        <v>1482</v>
      </c>
      <c r="C787" t="s">
        <v>1483</v>
      </c>
      <c r="D787" t="s">
        <v>1612</v>
      </c>
      <c r="E787" t="str">
        <f>_xlfn.XLOOKUP(F787, Keys!B:B, Keys!A:A, "找不到")</f>
        <v>FA</v>
      </c>
      <c r="F787" t="s">
        <v>63</v>
      </c>
      <c r="G787">
        <v>1.822963497737202</v>
      </c>
      <c r="H787" t="s">
        <v>64</v>
      </c>
      <c r="I787" t="s">
        <v>65</v>
      </c>
      <c r="J787" t="s">
        <v>1655</v>
      </c>
      <c r="K787">
        <v>362.03123970490333</v>
      </c>
      <c r="L787">
        <v>7377.3010477932467</v>
      </c>
    </row>
    <row r="788" spans="1:12" hidden="1" x14ac:dyDescent="0.25">
      <c r="A788">
        <v>79</v>
      </c>
      <c r="B788" t="s">
        <v>1482</v>
      </c>
      <c r="C788" t="s">
        <v>1483</v>
      </c>
      <c r="D788" t="s">
        <v>1612</v>
      </c>
      <c r="E788" t="str">
        <f>_xlfn.XLOOKUP(F788, Keys!B:B, Keys!A:A, "找不到")</f>
        <v>FA</v>
      </c>
      <c r="F788" t="s">
        <v>63</v>
      </c>
      <c r="G788">
        <v>2.8056022791637369</v>
      </c>
      <c r="H788" t="s">
        <v>64</v>
      </c>
      <c r="I788" t="s">
        <v>65</v>
      </c>
      <c r="J788" t="s">
        <v>1655</v>
      </c>
      <c r="K788">
        <v>514.12643676438972</v>
      </c>
      <c r="L788">
        <v>11353.915017748501</v>
      </c>
    </row>
    <row r="789" spans="1:12" hidden="1" x14ac:dyDescent="0.25">
      <c r="A789">
        <v>82</v>
      </c>
      <c r="B789" t="s">
        <v>1482</v>
      </c>
      <c r="C789" t="s">
        <v>1483</v>
      </c>
      <c r="D789" t="s">
        <v>1612</v>
      </c>
      <c r="E789" t="str">
        <f>_xlfn.XLOOKUP(F789, Keys!B:B, Keys!A:A, "找不到")</f>
        <v>FA</v>
      </c>
      <c r="F789" t="s">
        <v>63</v>
      </c>
      <c r="G789">
        <v>1.294584687014833</v>
      </c>
      <c r="H789" t="s">
        <v>64</v>
      </c>
      <c r="I789" t="s">
        <v>65</v>
      </c>
      <c r="J789" t="s">
        <v>1655</v>
      </c>
      <c r="K789">
        <v>305.69499107675159</v>
      </c>
      <c r="L789">
        <v>5239.01931104296</v>
      </c>
    </row>
    <row r="790" spans="1:12" hidden="1" x14ac:dyDescent="0.25">
      <c r="A790">
        <v>83</v>
      </c>
      <c r="B790" t="s">
        <v>1482</v>
      </c>
      <c r="C790" t="s">
        <v>1483</v>
      </c>
      <c r="D790" t="s">
        <v>1612</v>
      </c>
      <c r="E790" t="str">
        <f>_xlfn.XLOOKUP(F790, Keys!B:B, Keys!A:A, "找不到")</f>
        <v>FA</v>
      </c>
      <c r="F790" t="s">
        <v>63</v>
      </c>
      <c r="G790">
        <v>1.2127169120995669</v>
      </c>
      <c r="H790" t="s">
        <v>64</v>
      </c>
      <c r="I790" t="s">
        <v>65</v>
      </c>
      <c r="J790" t="s">
        <v>1655</v>
      </c>
      <c r="K790">
        <v>276.94038109468181</v>
      </c>
      <c r="L790">
        <v>4907.7108551070178</v>
      </c>
    </row>
    <row r="791" spans="1:12" hidden="1" x14ac:dyDescent="0.25">
      <c r="A791">
        <v>84</v>
      </c>
      <c r="B791" t="s">
        <v>1482</v>
      </c>
      <c r="C791" t="s">
        <v>1483</v>
      </c>
      <c r="D791" t="s">
        <v>1612</v>
      </c>
      <c r="E791" t="str">
        <f>_xlfn.XLOOKUP(F791, Keys!B:B, Keys!A:A, "找不到")</f>
        <v>FA</v>
      </c>
      <c r="F791" t="s">
        <v>63</v>
      </c>
      <c r="G791">
        <v>19.639856592375139</v>
      </c>
      <c r="H791" t="s">
        <v>64</v>
      </c>
      <c r="I791" t="s">
        <v>65</v>
      </c>
      <c r="J791" t="s">
        <v>1613</v>
      </c>
      <c r="K791">
        <v>1538.8761885621809</v>
      </c>
      <c r="L791">
        <v>79479.997705541202</v>
      </c>
    </row>
    <row r="792" spans="1:12" hidden="1" x14ac:dyDescent="0.25">
      <c r="A792">
        <v>85</v>
      </c>
      <c r="B792" t="s">
        <v>1482</v>
      </c>
      <c r="C792" t="s">
        <v>1483</v>
      </c>
      <c r="D792" t="s">
        <v>1612</v>
      </c>
      <c r="E792" t="str">
        <f>_xlfn.XLOOKUP(F792, Keys!B:B, Keys!A:A, "找不到")</f>
        <v>FA</v>
      </c>
      <c r="F792" t="s">
        <v>63</v>
      </c>
      <c r="G792">
        <v>0.32754556875718033</v>
      </c>
      <c r="H792" t="s">
        <v>64</v>
      </c>
      <c r="I792" t="s">
        <v>65</v>
      </c>
      <c r="J792" t="s">
        <v>1655</v>
      </c>
      <c r="K792">
        <v>151.77772753537681</v>
      </c>
      <c r="L792">
        <v>1325.535190689116</v>
      </c>
    </row>
    <row r="793" spans="1:12" hidden="1" x14ac:dyDescent="0.25">
      <c r="A793">
        <v>87</v>
      </c>
      <c r="B793" t="s">
        <v>1482</v>
      </c>
      <c r="C793" t="s">
        <v>1483</v>
      </c>
      <c r="D793">
        <v>0</v>
      </c>
      <c r="E793" t="str">
        <f>_xlfn.XLOOKUP(F793, Keys!B:B, Keys!A:A, "找不到")</f>
        <v>FA</v>
      </c>
      <c r="F793" t="s">
        <v>63</v>
      </c>
      <c r="G793">
        <v>2.0057197685923152</v>
      </c>
      <c r="H793" t="s">
        <v>64</v>
      </c>
      <c r="I793" t="s">
        <v>65</v>
      </c>
      <c r="J793" t="s">
        <v>1636</v>
      </c>
      <c r="K793">
        <v>458.95507896254293</v>
      </c>
      <c r="L793">
        <v>8116.8923945995612</v>
      </c>
    </row>
    <row r="794" spans="1:12" hidden="1" x14ac:dyDescent="0.25">
      <c r="A794">
        <v>88</v>
      </c>
      <c r="B794" t="s">
        <v>1482</v>
      </c>
      <c r="C794" t="s">
        <v>1483</v>
      </c>
      <c r="D794" t="s">
        <v>1612</v>
      </c>
      <c r="E794" t="str">
        <f>_xlfn.XLOOKUP(F794, Keys!B:B, Keys!A:A, "找不到")</f>
        <v>FA</v>
      </c>
      <c r="F794" t="s">
        <v>63</v>
      </c>
      <c r="G794">
        <v>7.3640709454104218</v>
      </c>
      <c r="H794" t="s">
        <v>64</v>
      </c>
      <c r="I794" t="s">
        <v>65</v>
      </c>
      <c r="J794" t="s">
        <v>1613</v>
      </c>
      <c r="K794">
        <v>712.99612675103253</v>
      </c>
      <c r="L794">
        <v>29801.457006152221</v>
      </c>
    </row>
    <row r="795" spans="1:12" hidden="1" x14ac:dyDescent="0.25">
      <c r="A795">
        <v>91</v>
      </c>
      <c r="B795" t="s">
        <v>1482</v>
      </c>
      <c r="C795" t="s">
        <v>1483</v>
      </c>
      <c r="D795" t="s">
        <v>1612</v>
      </c>
      <c r="E795" t="str">
        <f>_xlfn.XLOOKUP(F795, Keys!B:B, Keys!A:A, "找不到")</f>
        <v>FA</v>
      </c>
      <c r="F795" t="s">
        <v>63</v>
      </c>
      <c r="G795">
        <v>0.80065442000949794</v>
      </c>
      <c r="H795" t="s">
        <v>64</v>
      </c>
      <c r="I795" t="s">
        <v>65</v>
      </c>
      <c r="J795" t="s">
        <v>1613</v>
      </c>
      <c r="K795">
        <v>272.90786469655518</v>
      </c>
      <c r="L795">
        <v>3240.146442311192</v>
      </c>
    </row>
    <row r="796" spans="1:12" hidden="1" x14ac:dyDescent="0.25">
      <c r="A796">
        <v>94</v>
      </c>
      <c r="B796" t="s">
        <v>1482</v>
      </c>
      <c r="C796" t="s">
        <v>1483</v>
      </c>
      <c r="D796">
        <v>0</v>
      </c>
      <c r="E796" t="str">
        <f>_xlfn.XLOOKUP(F796, Keys!B:B, Keys!A:A, "找不到")</f>
        <v>FA</v>
      </c>
      <c r="F796" t="s">
        <v>63</v>
      </c>
      <c r="G796">
        <v>8.8363887592426966</v>
      </c>
      <c r="H796" t="s">
        <v>64</v>
      </c>
      <c r="I796" t="s">
        <v>65</v>
      </c>
      <c r="J796" t="s">
        <v>673</v>
      </c>
      <c r="K796">
        <v>985.84396603065306</v>
      </c>
      <c r="L796">
        <v>35759.739639979991</v>
      </c>
    </row>
    <row r="797" spans="1:12" hidden="1" x14ac:dyDescent="0.25">
      <c r="A797">
        <v>95</v>
      </c>
      <c r="B797" t="s">
        <v>1482</v>
      </c>
      <c r="C797" t="s">
        <v>1483</v>
      </c>
      <c r="D797" t="s">
        <v>1612</v>
      </c>
      <c r="E797" t="str">
        <f>_xlfn.XLOOKUP(F797, Keys!B:B, Keys!A:A, "找不到")</f>
        <v>FA</v>
      </c>
      <c r="F797" t="s">
        <v>63</v>
      </c>
      <c r="G797">
        <v>3.0522739617000409</v>
      </c>
      <c r="H797" t="s">
        <v>64</v>
      </c>
      <c r="I797" t="s">
        <v>65</v>
      </c>
      <c r="J797" t="s">
        <v>1613</v>
      </c>
      <c r="K797">
        <v>461.33707213746732</v>
      </c>
      <c r="L797">
        <v>12352.163893436271</v>
      </c>
    </row>
    <row r="798" spans="1:12" hidden="1" x14ac:dyDescent="0.25">
      <c r="A798">
        <v>97</v>
      </c>
      <c r="B798" t="s">
        <v>1482</v>
      </c>
      <c r="C798" t="s">
        <v>1483</v>
      </c>
      <c r="D798" t="s">
        <v>1612</v>
      </c>
      <c r="E798" t="str">
        <f>_xlfn.XLOOKUP(F798, Keys!B:B, Keys!A:A, "找不到")</f>
        <v>FA</v>
      </c>
      <c r="F798" t="s">
        <v>63</v>
      </c>
      <c r="G798">
        <v>0.69462140502751968</v>
      </c>
      <c r="H798" t="s">
        <v>64</v>
      </c>
      <c r="I798" t="s">
        <v>65</v>
      </c>
      <c r="J798" t="s">
        <v>1613</v>
      </c>
      <c r="K798">
        <v>228.77902459587759</v>
      </c>
      <c r="L798">
        <v>2811.0443382382382</v>
      </c>
    </row>
    <row r="799" spans="1:12" hidden="1" x14ac:dyDescent="0.25">
      <c r="A799">
        <v>98</v>
      </c>
      <c r="B799" t="s">
        <v>1482</v>
      </c>
      <c r="C799" t="s">
        <v>1483</v>
      </c>
      <c r="D799" t="s">
        <v>1612</v>
      </c>
      <c r="E799" t="str">
        <f>_xlfn.XLOOKUP(F799, Keys!B:B, Keys!A:A, "找不到")</f>
        <v>FA</v>
      </c>
      <c r="F799" t="s">
        <v>63</v>
      </c>
      <c r="G799">
        <v>0.48788184373445792</v>
      </c>
      <c r="H799" t="s">
        <v>64</v>
      </c>
      <c r="I799" t="s">
        <v>65</v>
      </c>
      <c r="J799" t="s">
        <v>1613</v>
      </c>
      <c r="K799">
        <v>189.9315550170179</v>
      </c>
      <c r="L799">
        <v>1974.3956702639271</v>
      </c>
    </row>
    <row r="800" spans="1:12" hidden="1" x14ac:dyDescent="0.25">
      <c r="A800">
        <v>99</v>
      </c>
      <c r="B800" t="s">
        <v>1482</v>
      </c>
      <c r="C800" t="s">
        <v>1483</v>
      </c>
      <c r="D800" t="s">
        <v>1612</v>
      </c>
      <c r="E800" t="str">
        <f>_xlfn.XLOOKUP(F800, Keys!B:B, Keys!A:A, "找不到")</f>
        <v>FA</v>
      </c>
      <c r="F800" t="s">
        <v>63</v>
      </c>
      <c r="G800">
        <v>3.8000984372227129</v>
      </c>
      <c r="H800" t="s">
        <v>64</v>
      </c>
      <c r="I800" t="s">
        <v>65</v>
      </c>
      <c r="J800" t="s">
        <v>1613</v>
      </c>
      <c r="K800">
        <v>681.7793521000732</v>
      </c>
      <c r="L800">
        <v>15378.514280422551</v>
      </c>
    </row>
    <row r="801" spans="1:12" hidden="1" x14ac:dyDescent="0.25">
      <c r="A801">
        <v>102</v>
      </c>
      <c r="B801" t="s">
        <v>1482</v>
      </c>
      <c r="C801" t="s">
        <v>1483</v>
      </c>
      <c r="D801" t="s">
        <v>1612</v>
      </c>
      <c r="E801" t="str">
        <f>_xlfn.XLOOKUP(F801, Keys!B:B, Keys!A:A, "找不到")</f>
        <v>FA</v>
      </c>
      <c r="F801" t="s">
        <v>63</v>
      </c>
      <c r="G801">
        <v>0.40204534923556129</v>
      </c>
      <c r="H801" t="s">
        <v>64</v>
      </c>
      <c r="I801" t="s">
        <v>65</v>
      </c>
      <c r="J801" t="s">
        <v>1704</v>
      </c>
      <c r="K801">
        <v>174.08563174481179</v>
      </c>
      <c r="L801">
        <v>1627.0263117487209</v>
      </c>
    </row>
    <row r="802" spans="1:12" hidden="1" x14ac:dyDescent="0.25">
      <c r="A802">
        <v>105</v>
      </c>
      <c r="B802" t="s">
        <v>1482</v>
      </c>
      <c r="C802" t="s">
        <v>1483</v>
      </c>
      <c r="D802" t="s">
        <v>1612</v>
      </c>
      <c r="E802" t="str">
        <f>_xlfn.XLOOKUP(F802, Keys!B:B, Keys!A:A, "找不到")</f>
        <v>FA</v>
      </c>
      <c r="F802" t="s">
        <v>63</v>
      </c>
      <c r="G802">
        <v>2.412939105561434</v>
      </c>
      <c r="H802" t="s">
        <v>64</v>
      </c>
      <c r="I802" t="s">
        <v>65</v>
      </c>
      <c r="J802" t="s">
        <v>1613</v>
      </c>
      <c r="K802">
        <v>417.5799915893092</v>
      </c>
      <c r="L802">
        <v>9764.8571755910452</v>
      </c>
    </row>
    <row r="803" spans="1:12" hidden="1" x14ac:dyDescent="0.25">
      <c r="A803">
        <v>108</v>
      </c>
      <c r="B803" t="s">
        <v>1482</v>
      </c>
      <c r="C803" t="s">
        <v>1483</v>
      </c>
      <c r="D803">
        <v>0</v>
      </c>
      <c r="E803" t="str">
        <f>_xlfn.XLOOKUP(F803, Keys!B:B, Keys!A:A, "找不到")</f>
        <v>FA</v>
      </c>
      <c r="F803" t="s">
        <v>63</v>
      </c>
      <c r="G803">
        <v>22.32232974742633</v>
      </c>
      <c r="H803" t="s">
        <v>64</v>
      </c>
      <c r="I803" t="s">
        <v>65</v>
      </c>
      <c r="J803" t="s">
        <v>1484</v>
      </c>
      <c r="K803">
        <v>1256.351180349511</v>
      </c>
      <c r="L803">
        <v>90335.624843440834</v>
      </c>
    </row>
    <row r="804" spans="1:12" hidden="1" x14ac:dyDescent="0.25">
      <c r="A804">
        <v>109</v>
      </c>
      <c r="B804" t="s">
        <v>1482</v>
      </c>
      <c r="C804" t="s">
        <v>1483</v>
      </c>
      <c r="D804" t="s">
        <v>1612</v>
      </c>
      <c r="E804" t="str">
        <f>_xlfn.XLOOKUP(F804, Keys!B:B, Keys!A:A, "找不到")</f>
        <v>FA</v>
      </c>
      <c r="F804" t="s">
        <v>63</v>
      </c>
      <c r="G804">
        <v>1.8608054694322911</v>
      </c>
      <c r="H804" t="s">
        <v>64</v>
      </c>
      <c r="I804" t="s">
        <v>65</v>
      </c>
      <c r="J804" t="s">
        <v>1704</v>
      </c>
      <c r="K804">
        <v>405.64547026054458</v>
      </c>
      <c r="L804">
        <v>7530.4426865497389</v>
      </c>
    </row>
    <row r="805" spans="1:12" hidden="1" x14ac:dyDescent="0.25">
      <c r="A805">
        <v>110</v>
      </c>
      <c r="B805" t="s">
        <v>1482</v>
      </c>
      <c r="C805" t="s">
        <v>1483</v>
      </c>
      <c r="D805" t="s">
        <v>1612</v>
      </c>
      <c r="E805" t="str">
        <f>_xlfn.XLOOKUP(F805, Keys!B:B, Keys!A:A, "找不到")</f>
        <v>FA</v>
      </c>
      <c r="F805" t="s">
        <v>63</v>
      </c>
      <c r="G805">
        <v>0.15799481551767641</v>
      </c>
      <c r="H805" t="s">
        <v>64</v>
      </c>
      <c r="I805" t="s">
        <v>65</v>
      </c>
      <c r="J805" t="s">
        <v>1704</v>
      </c>
      <c r="K805">
        <v>108.69477183744389</v>
      </c>
      <c r="L805">
        <v>639.38489142061997</v>
      </c>
    </row>
    <row r="806" spans="1:12" hidden="1" x14ac:dyDescent="0.25">
      <c r="A806">
        <v>112</v>
      </c>
      <c r="B806" t="s">
        <v>1482</v>
      </c>
      <c r="C806" t="s">
        <v>1483</v>
      </c>
      <c r="D806">
        <v>0</v>
      </c>
      <c r="E806" t="str">
        <f>_xlfn.XLOOKUP(F806, Keys!B:B, Keys!A:A, "找不到")</f>
        <v>FA</v>
      </c>
      <c r="F806" t="s">
        <v>63</v>
      </c>
      <c r="G806">
        <v>10.307572769801791</v>
      </c>
      <c r="H806" t="s">
        <v>64</v>
      </c>
      <c r="I806" t="s">
        <v>65</v>
      </c>
      <c r="J806" t="s">
        <v>1484</v>
      </c>
      <c r="K806">
        <v>1013.8897629162821</v>
      </c>
      <c r="L806">
        <v>41713.433916396549</v>
      </c>
    </row>
    <row r="807" spans="1:12" hidden="1" x14ac:dyDescent="0.25">
      <c r="A807">
        <v>113</v>
      </c>
      <c r="B807" t="s">
        <v>1482</v>
      </c>
      <c r="C807" t="s">
        <v>1483</v>
      </c>
      <c r="D807" t="s">
        <v>1612</v>
      </c>
      <c r="E807" t="str">
        <f>_xlfn.XLOOKUP(F807, Keys!B:B, Keys!A:A, "找不到")</f>
        <v>FA</v>
      </c>
      <c r="F807" t="s">
        <v>63</v>
      </c>
      <c r="G807">
        <v>0.77540158219733413</v>
      </c>
      <c r="H807" t="s">
        <v>64</v>
      </c>
      <c r="I807" t="s">
        <v>65</v>
      </c>
      <c r="J807" t="s">
        <v>1613</v>
      </c>
      <c r="K807">
        <v>227.74440355529279</v>
      </c>
      <c r="L807">
        <v>3137.9514246475501</v>
      </c>
    </row>
    <row r="808" spans="1:12" hidden="1" x14ac:dyDescent="0.25">
      <c r="A808">
        <v>115</v>
      </c>
      <c r="B808" t="s">
        <v>1482</v>
      </c>
      <c r="C808" t="s">
        <v>1483</v>
      </c>
      <c r="D808">
        <v>0</v>
      </c>
      <c r="E808" t="str">
        <f>_xlfn.XLOOKUP(F808, Keys!B:B, Keys!A:A, "找不到")</f>
        <v>FA</v>
      </c>
      <c r="F808" t="s">
        <v>63</v>
      </c>
      <c r="G808">
        <v>0.46353525970399401</v>
      </c>
      <c r="H808" t="s">
        <v>64</v>
      </c>
      <c r="I808" t="s">
        <v>65</v>
      </c>
      <c r="J808" t="s">
        <v>1640</v>
      </c>
      <c r="K808">
        <v>234.1653521108843</v>
      </c>
      <c r="L808">
        <v>1875.868146207041</v>
      </c>
    </row>
    <row r="809" spans="1:12" hidden="1" x14ac:dyDescent="0.25">
      <c r="A809">
        <v>121</v>
      </c>
      <c r="B809" t="s">
        <v>1482</v>
      </c>
      <c r="C809" t="s">
        <v>1483</v>
      </c>
      <c r="D809" t="s">
        <v>1612</v>
      </c>
      <c r="E809" t="str">
        <f>_xlfn.XLOOKUP(F809, Keys!B:B, Keys!A:A, "找不到")</f>
        <v>FA</v>
      </c>
      <c r="F809" t="s">
        <v>63</v>
      </c>
      <c r="G809">
        <v>0.72005256782248972</v>
      </c>
      <c r="H809" t="s">
        <v>64</v>
      </c>
      <c r="I809" t="s">
        <v>65</v>
      </c>
      <c r="J809" t="s">
        <v>1613</v>
      </c>
      <c r="K809">
        <v>223.80724440486631</v>
      </c>
      <c r="L809">
        <v>2913.9610143904561</v>
      </c>
    </row>
    <row r="810" spans="1:12" hidden="1" x14ac:dyDescent="0.25">
      <c r="A810">
        <v>126</v>
      </c>
      <c r="B810" t="s">
        <v>1482</v>
      </c>
      <c r="C810" t="s">
        <v>1483</v>
      </c>
      <c r="D810">
        <v>0</v>
      </c>
      <c r="E810" t="str">
        <f>_xlfn.XLOOKUP(F810, Keys!B:B, Keys!A:A, "找不到")</f>
        <v>FA</v>
      </c>
      <c r="F810" t="s">
        <v>63</v>
      </c>
      <c r="G810">
        <v>0.46570439353213922</v>
      </c>
      <c r="H810" t="s">
        <v>64</v>
      </c>
      <c r="I810" t="s">
        <v>65</v>
      </c>
      <c r="J810" t="s">
        <v>1613</v>
      </c>
      <c r="K810">
        <v>213.66377594854819</v>
      </c>
      <c r="L810">
        <v>1884.6463544833141</v>
      </c>
    </row>
    <row r="811" spans="1:12" hidden="1" x14ac:dyDescent="0.25">
      <c r="A811">
        <v>128</v>
      </c>
      <c r="B811" t="s">
        <v>1482</v>
      </c>
      <c r="C811" t="s">
        <v>1483</v>
      </c>
      <c r="D811" t="s">
        <v>1612</v>
      </c>
      <c r="E811" t="str">
        <f>_xlfn.XLOOKUP(F811, Keys!B:B, Keys!A:A, "找不到")</f>
        <v>FA</v>
      </c>
      <c r="F811" t="s">
        <v>63</v>
      </c>
      <c r="G811">
        <v>0.78520488100920538</v>
      </c>
      <c r="H811" t="s">
        <v>64</v>
      </c>
      <c r="I811" t="s">
        <v>65</v>
      </c>
      <c r="J811" t="s">
        <v>1613</v>
      </c>
      <c r="K811">
        <v>230.16589636859709</v>
      </c>
      <c r="L811">
        <v>3177.624126095724</v>
      </c>
    </row>
    <row r="812" spans="1:12" hidden="1" x14ac:dyDescent="0.25">
      <c r="A812">
        <v>130</v>
      </c>
      <c r="B812" t="s">
        <v>1482</v>
      </c>
      <c r="C812" t="s">
        <v>1483</v>
      </c>
      <c r="D812" t="s">
        <v>1612</v>
      </c>
      <c r="E812" t="str">
        <f>_xlfn.XLOOKUP(F812, Keys!B:B, Keys!A:A, "找不到")</f>
        <v>FA</v>
      </c>
      <c r="F812" t="s">
        <v>63</v>
      </c>
      <c r="G812">
        <v>0.109672962259944</v>
      </c>
      <c r="H812" t="s">
        <v>64</v>
      </c>
      <c r="I812" t="s">
        <v>65</v>
      </c>
      <c r="J812" t="s">
        <v>1613</v>
      </c>
      <c r="K812">
        <v>99.096792265503794</v>
      </c>
      <c r="L812">
        <v>443.8325070135399</v>
      </c>
    </row>
    <row r="813" spans="1:12" hidden="1" x14ac:dyDescent="0.25">
      <c r="A813">
        <v>131</v>
      </c>
      <c r="B813" t="s">
        <v>1482</v>
      </c>
      <c r="C813" t="s">
        <v>1483</v>
      </c>
      <c r="D813" t="s">
        <v>1612</v>
      </c>
      <c r="E813" t="str">
        <f>_xlfn.XLOOKUP(F813, Keys!B:B, Keys!A:A, "找不到")</f>
        <v>FA</v>
      </c>
      <c r="F813" t="s">
        <v>63</v>
      </c>
      <c r="G813">
        <v>0.1218798604178475</v>
      </c>
      <c r="H813" t="s">
        <v>64</v>
      </c>
      <c r="I813" t="s">
        <v>65</v>
      </c>
      <c r="J813" t="s">
        <v>1613</v>
      </c>
      <c r="K813">
        <v>120.25122007763891</v>
      </c>
      <c r="L813">
        <v>493.23226882028388</v>
      </c>
    </row>
    <row r="814" spans="1:12" hidden="1" x14ac:dyDescent="0.25">
      <c r="A814">
        <v>134</v>
      </c>
      <c r="B814" t="s">
        <v>1482</v>
      </c>
      <c r="C814" t="s">
        <v>1483</v>
      </c>
      <c r="D814" t="s">
        <v>1612</v>
      </c>
      <c r="E814" t="str">
        <f>_xlfn.XLOOKUP(F814, Keys!B:B, Keys!A:A, "找不到")</f>
        <v>FA</v>
      </c>
      <c r="F814" t="s">
        <v>63</v>
      </c>
      <c r="G814">
        <v>1.9385499944183231</v>
      </c>
      <c r="H814" t="s">
        <v>64</v>
      </c>
      <c r="I814" t="s">
        <v>65</v>
      </c>
      <c r="J814" t="s">
        <v>1613</v>
      </c>
      <c r="K814">
        <v>407.23547205406271</v>
      </c>
      <c r="L814">
        <v>7845.064875283394</v>
      </c>
    </row>
    <row r="815" spans="1:12" hidden="1" x14ac:dyDescent="0.25">
      <c r="A815">
        <v>135</v>
      </c>
      <c r="B815" t="s">
        <v>1482</v>
      </c>
      <c r="C815" t="s">
        <v>1483</v>
      </c>
      <c r="D815" t="s">
        <v>1612</v>
      </c>
      <c r="E815" t="str">
        <f>_xlfn.XLOOKUP(F815, Keys!B:B, Keys!A:A, "找不到")</f>
        <v>FA</v>
      </c>
      <c r="F815" t="s">
        <v>63</v>
      </c>
      <c r="G815">
        <v>0.38635763824366148</v>
      </c>
      <c r="H815" t="s">
        <v>64</v>
      </c>
      <c r="I815" t="s">
        <v>65</v>
      </c>
      <c r="J815" t="s">
        <v>1613</v>
      </c>
      <c r="K815">
        <v>187.95309323826959</v>
      </c>
      <c r="L815">
        <v>1563.540143823978</v>
      </c>
    </row>
    <row r="816" spans="1:12" hidden="1" x14ac:dyDescent="0.25">
      <c r="A816">
        <v>138</v>
      </c>
      <c r="B816" t="s">
        <v>1482</v>
      </c>
      <c r="C816" t="s">
        <v>1483</v>
      </c>
      <c r="D816" t="s">
        <v>1612</v>
      </c>
      <c r="E816" t="str">
        <f>_xlfn.XLOOKUP(F816, Keys!B:B, Keys!A:A, "找不到")</f>
        <v>FA</v>
      </c>
      <c r="F816" t="s">
        <v>63</v>
      </c>
      <c r="G816">
        <v>8.9458671298815169</v>
      </c>
      <c r="H816" t="s">
        <v>64</v>
      </c>
      <c r="I816" t="s">
        <v>65</v>
      </c>
      <c r="J816" t="s">
        <v>1613</v>
      </c>
      <c r="K816">
        <v>1202.470844590772</v>
      </c>
      <c r="L816">
        <v>36202.784659491903</v>
      </c>
    </row>
    <row r="817" spans="1:12" hidden="1" x14ac:dyDescent="0.25">
      <c r="A817">
        <v>140</v>
      </c>
      <c r="B817" t="s">
        <v>1482</v>
      </c>
      <c r="C817" t="s">
        <v>1483</v>
      </c>
      <c r="D817" t="s">
        <v>1612</v>
      </c>
      <c r="E817" t="str">
        <f>_xlfn.XLOOKUP(F817, Keys!B:B, Keys!A:A, "找不到")</f>
        <v>FA</v>
      </c>
      <c r="F817" t="s">
        <v>63</v>
      </c>
      <c r="G817">
        <v>3.7616173500704488</v>
      </c>
      <c r="H817" t="s">
        <v>64</v>
      </c>
      <c r="I817" t="s">
        <v>65</v>
      </c>
      <c r="J817" t="s">
        <v>1613</v>
      </c>
      <c r="K817">
        <v>655.32550990919344</v>
      </c>
      <c r="L817">
        <v>15222.78622282787</v>
      </c>
    </row>
    <row r="818" spans="1:12" hidden="1" x14ac:dyDescent="0.25">
      <c r="A818">
        <v>142</v>
      </c>
      <c r="B818" t="s">
        <v>1482</v>
      </c>
      <c r="C818" t="s">
        <v>1483</v>
      </c>
      <c r="D818" t="s">
        <v>1612</v>
      </c>
      <c r="E818" t="str">
        <f>_xlfn.XLOOKUP(F818, Keys!B:B, Keys!A:A, "找不到")</f>
        <v>FA</v>
      </c>
      <c r="F818" t="s">
        <v>63</v>
      </c>
      <c r="G818">
        <v>0.55858788027856454</v>
      </c>
      <c r="H818" t="s">
        <v>64</v>
      </c>
      <c r="I818" t="s">
        <v>65</v>
      </c>
      <c r="J818" t="s">
        <v>1613</v>
      </c>
      <c r="K818">
        <v>261.02140221616338</v>
      </c>
      <c r="L818">
        <v>2260.533992907041</v>
      </c>
    </row>
    <row r="819" spans="1:12" hidden="1" x14ac:dyDescent="0.25">
      <c r="A819">
        <v>145</v>
      </c>
      <c r="B819" t="s">
        <v>1482</v>
      </c>
      <c r="C819" t="s">
        <v>1483</v>
      </c>
      <c r="D819">
        <v>0</v>
      </c>
      <c r="E819" t="str">
        <f>_xlfn.XLOOKUP(F819, Keys!B:B, Keys!A:A, "找不到")</f>
        <v>FA</v>
      </c>
      <c r="F819" t="s">
        <v>63</v>
      </c>
      <c r="G819">
        <v>22.156101918095739</v>
      </c>
      <c r="H819" t="s">
        <v>64</v>
      </c>
      <c r="I819" t="s">
        <v>65</v>
      </c>
      <c r="J819" t="s">
        <v>1484</v>
      </c>
      <c r="K819">
        <v>1356.4567125028</v>
      </c>
      <c r="L819">
        <v>89662.921993924014</v>
      </c>
    </row>
    <row r="820" spans="1:12" hidden="1" x14ac:dyDescent="0.25">
      <c r="A820">
        <v>146</v>
      </c>
      <c r="B820" t="s">
        <v>1482</v>
      </c>
      <c r="C820" t="s">
        <v>1483</v>
      </c>
      <c r="D820">
        <v>0</v>
      </c>
      <c r="E820" t="str">
        <f>_xlfn.XLOOKUP(F820, Keys!B:B, Keys!A:A, "找不到")</f>
        <v>FA</v>
      </c>
      <c r="F820" t="s">
        <v>63</v>
      </c>
      <c r="G820">
        <v>16.16033194629215</v>
      </c>
      <c r="H820" t="s">
        <v>64</v>
      </c>
      <c r="I820" t="s">
        <v>65</v>
      </c>
      <c r="J820" t="s">
        <v>1788</v>
      </c>
      <c r="K820">
        <v>1865.617054895562</v>
      </c>
      <c r="L820">
        <v>65398.804719925567</v>
      </c>
    </row>
    <row r="821" spans="1:12" hidden="1" x14ac:dyDescent="0.25">
      <c r="A821">
        <v>147</v>
      </c>
      <c r="B821" t="s">
        <v>1482</v>
      </c>
      <c r="C821" t="s">
        <v>1483</v>
      </c>
      <c r="D821" t="s">
        <v>1612</v>
      </c>
      <c r="E821" t="str">
        <f>_xlfn.XLOOKUP(F821, Keys!B:B, Keys!A:A, "找不到")</f>
        <v>FA</v>
      </c>
      <c r="F821" t="s">
        <v>63</v>
      </c>
      <c r="G821">
        <v>0.85505589069055155</v>
      </c>
      <c r="H821" t="s">
        <v>64</v>
      </c>
      <c r="I821" t="s">
        <v>65</v>
      </c>
      <c r="J821" t="s">
        <v>1613</v>
      </c>
      <c r="K821">
        <v>278.9926778321327</v>
      </c>
      <c r="L821">
        <v>3460.3022639472251</v>
      </c>
    </row>
    <row r="822" spans="1:12" hidden="1" x14ac:dyDescent="0.25">
      <c r="A822">
        <v>148</v>
      </c>
      <c r="B822" t="s">
        <v>1482</v>
      </c>
      <c r="C822" t="s">
        <v>1483</v>
      </c>
      <c r="D822" t="s">
        <v>1612</v>
      </c>
      <c r="E822" t="str">
        <f>_xlfn.XLOOKUP(F822, Keys!B:B, Keys!A:A, "找不到")</f>
        <v>FA</v>
      </c>
      <c r="F822" t="s">
        <v>63</v>
      </c>
      <c r="G822">
        <v>1.091804383041415</v>
      </c>
      <c r="H822" t="s">
        <v>64</v>
      </c>
      <c r="I822" t="s">
        <v>65</v>
      </c>
      <c r="J822" t="s">
        <v>1613</v>
      </c>
      <c r="K822">
        <v>402.95001526589027</v>
      </c>
      <c r="L822">
        <v>4418.3932530709571</v>
      </c>
    </row>
    <row r="823" spans="1:12" hidden="1" x14ac:dyDescent="0.25">
      <c r="A823">
        <v>149</v>
      </c>
      <c r="B823" t="s">
        <v>1482</v>
      </c>
      <c r="C823" t="s">
        <v>1483</v>
      </c>
      <c r="D823" t="s">
        <v>1612</v>
      </c>
      <c r="E823" t="str">
        <f>_xlfn.XLOOKUP(F823, Keys!B:B, Keys!A:A, "找不到")</f>
        <v>FA</v>
      </c>
      <c r="F823" t="s">
        <v>63</v>
      </c>
      <c r="G823">
        <v>5.7586106776085881E-2</v>
      </c>
      <c r="H823" t="s">
        <v>64</v>
      </c>
      <c r="I823" t="s">
        <v>65</v>
      </c>
      <c r="J823" t="s">
        <v>1613</v>
      </c>
      <c r="K823">
        <v>67.315788647068558</v>
      </c>
      <c r="L823">
        <v>233.043638221436</v>
      </c>
    </row>
    <row r="824" spans="1:12" hidden="1" x14ac:dyDescent="0.25">
      <c r="A824">
        <v>151</v>
      </c>
      <c r="B824" t="s">
        <v>1482</v>
      </c>
      <c r="C824" t="s">
        <v>1483</v>
      </c>
      <c r="D824" t="s">
        <v>1612</v>
      </c>
      <c r="E824" t="str">
        <f>_xlfn.XLOOKUP(F824, Keys!B:B, Keys!A:A, "找不到")</f>
        <v>FA</v>
      </c>
      <c r="F824" t="s">
        <v>63</v>
      </c>
      <c r="G824">
        <v>0.59196827156965692</v>
      </c>
      <c r="H824" t="s">
        <v>64</v>
      </c>
      <c r="I824" t="s">
        <v>65</v>
      </c>
      <c r="J824" t="s">
        <v>1613</v>
      </c>
      <c r="K824">
        <v>244.83931597753929</v>
      </c>
      <c r="L824">
        <v>2395.620184129848</v>
      </c>
    </row>
    <row r="825" spans="1:12" hidden="1" x14ac:dyDescent="0.25">
      <c r="A825">
        <v>152</v>
      </c>
      <c r="B825" t="s">
        <v>1482</v>
      </c>
      <c r="C825" t="s">
        <v>1483</v>
      </c>
      <c r="D825" t="s">
        <v>1612</v>
      </c>
      <c r="E825" t="str">
        <f>_xlfn.XLOOKUP(F825, Keys!B:B, Keys!A:A, "找不到")</f>
        <v>FA</v>
      </c>
      <c r="F825" t="s">
        <v>63</v>
      </c>
      <c r="G825">
        <v>0.1008868049499881</v>
      </c>
      <c r="H825" t="s">
        <v>64</v>
      </c>
      <c r="I825" t="s">
        <v>65</v>
      </c>
      <c r="J825" t="s">
        <v>1613</v>
      </c>
      <c r="K825">
        <v>97.792689550365651</v>
      </c>
      <c r="L825">
        <v>408.27604764983278</v>
      </c>
    </row>
    <row r="826" spans="1:12" hidden="1" x14ac:dyDescent="0.25">
      <c r="A826">
        <v>153</v>
      </c>
      <c r="B826" t="s">
        <v>1482</v>
      </c>
      <c r="C826" t="s">
        <v>1483</v>
      </c>
      <c r="D826">
        <v>0</v>
      </c>
      <c r="E826" t="str">
        <f>_xlfn.XLOOKUP(F826, Keys!B:B, Keys!A:A, "找不到")</f>
        <v>FA</v>
      </c>
      <c r="F826" t="s">
        <v>63</v>
      </c>
      <c r="G826">
        <v>9.1854373047690796</v>
      </c>
      <c r="H826" t="s">
        <v>64</v>
      </c>
      <c r="I826" t="s">
        <v>65</v>
      </c>
      <c r="J826" t="s">
        <v>673</v>
      </c>
      <c r="K826">
        <v>1147.349242439785</v>
      </c>
      <c r="L826">
        <v>37172.29463838716</v>
      </c>
    </row>
    <row r="827" spans="1:12" hidden="1" x14ac:dyDescent="0.25">
      <c r="A827">
        <v>154</v>
      </c>
      <c r="B827" t="s">
        <v>1482</v>
      </c>
      <c r="C827" t="s">
        <v>1483</v>
      </c>
      <c r="D827" t="s">
        <v>1612</v>
      </c>
      <c r="E827" t="str">
        <f>_xlfn.XLOOKUP(F827, Keys!B:B, Keys!A:A, "找不到")</f>
        <v>FA</v>
      </c>
      <c r="F827" t="s">
        <v>63</v>
      </c>
      <c r="G827">
        <v>1.273421315342526</v>
      </c>
      <c r="H827" t="s">
        <v>64</v>
      </c>
      <c r="I827" t="s">
        <v>65</v>
      </c>
      <c r="J827" t="s">
        <v>1613</v>
      </c>
      <c r="K827">
        <v>327.7594873255984</v>
      </c>
      <c r="L827">
        <v>5153.3738418897128</v>
      </c>
    </row>
    <row r="828" spans="1:12" hidden="1" x14ac:dyDescent="0.25">
      <c r="A828">
        <v>155</v>
      </c>
      <c r="B828" t="s">
        <v>1482</v>
      </c>
      <c r="C828" t="s">
        <v>1483</v>
      </c>
      <c r="D828" t="s">
        <v>1612</v>
      </c>
      <c r="E828" t="str">
        <f>_xlfn.XLOOKUP(F828, Keys!B:B, Keys!A:A, "找不到")</f>
        <v>FA</v>
      </c>
      <c r="F828" t="s">
        <v>63</v>
      </c>
      <c r="G828">
        <v>6.31482663475465E-2</v>
      </c>
      <c r="H828" t="s">
        <v>64</v>
      </c>
      <c r="I828" t="s">
        <v>65</v>
      </c>
      <c r="J828" t="s">
        <v>1613</v>
      </c>
      <c r="K828">
        <v>67.876990463238698</v>
      </c>
      <c r="L828">
        <v>255.55298944292991</v>
      </c>
    </row>
    <row r="829" spans="1:12" hidden="1" x14ac:dyDescent="0.25">
      <c r="A829">
        <v>156</v>
      </c>
      <c r="B829" t="s">
        <v>1482</v>
      </c>
      <c r="C829" t="s">
        <v>1483</v>
      </c>
      <c r="D829">
        <v>0</v>
      </c>
      <c r="E829" t="str">
        <f>_xlfn.XLOOKUP(F829, Keys!B:B, Keys!A:A, "找不到")</f>
        <v>FA</v>
      </c>
      <c r="F829" t="s">
        <v>63</v>
      </c>
      <c r="G829">
        <v>4.3461279168872012E-2</v>
      </c>
      <c r="H829" t="s">
        <v>64</v>
      </c>
      <c r="I829" t="s">
        <v>65</v>
      </c>
      <c r="J829" t="s">
        <v>1807</v>
      </c>
      <c r="K829">
        <v>54.001965774668378</v>
      </c>
      <c r="L829">
        <v>175.88226025860649</v>
      </c>
    </row>
    <row r="830" spans="1:12" hidden="1" x14ac:dyDescent="0.25">
      <c r="A830">
        <v>157</v>
      </c>
      <c r="B830" t="s">
        <v>1482</v>
      </c>
      <c r="C830" t="s">
        <v>1483</v>
      </c>
      <c r="D830" t="s">
        <v>1612</v>
      </c>
      <c r="E830" t="str">
        <f>_xlfn.XLOOKUP(F830, Keys!B:B, Keys!A:A, "找不到")</f>
        <v>FA</v>
      </c>
      <c r="F830" t="s">
        <v>63</v>
      </c>
      <c r="G830">
        <v>0.18463598424963881</v>
      </c>
      <c r="H830" t="s">
        <v>64</v>
      </c>
      <c r="I830" t="s">
        <v>65</v>
      </c>
      <c r="J830" t="s">
        <v>1613</v>
      </c>
      <c r="K830">
        <v>113.0383673168765</v>
      </c>
      <c r="L830">
        <v>747.198307457037</v>
      </c>
    </row>
    <row r="831" spans="1:12" hidden="1" x14ac:dyDescent="0.25">
      <c r="A831">
        <v>158</v>
      </c>
      <c r="B831" t="s">
        <v>1482</v>
      </c>
      <c r="C831" t="s">
        <v>1483</v>
      </c>
      <c r="D831" t="s">
        <v>1612</v>
      </c>
      <c r="E831" t="str">
        <f>_xlfn.XLOOKUP(F831, Keys!B:B, Keys!A:A, "找不到")</f>
        <v>FA</v>
      </c>
      <c r="F831" t="s">
        <v>63</v>
      </c>
      <c r="G831">
        <v>8.9571586768042604</v>
      </c>
      <c r="H831" t="s">
        <v>64</v>
      </c>
      <c r="I831" t="s">
        <v>65</v>
      </c>
      <c r="J831" t="s">
        <v>1613</v>
      </c>
      <c r="K831">
        <v>842.61746655591821</v>
      </c>
      <c r="L831">
        <v>36248.480111456658</v>
      </c>
    </row>
    <row r="832" spans="1:12" hidden="1" x14ac:dyDescent="0.25">
      <c r="A832">
        <v>159</v>
      </c>
      <c r="B832" t="s">
        <v>1482</v>
      </c>
      <c r="C832" t="s">
        <v>1483</v>
      </c>
      <c r="D832" t="s">
        <v>1612</v>
      </c>
      <c r="E832" t="str">
        <f>_xlfn.XLOOKUP(F832, Keys!B:B, Keys!A:A, "找不到")</f>
        <v>FA</v>
      </c>
      <c r="F832" t="s">
        <v>63</v>
      </c>
      <c r="G832">
        <v>0.1412922425001602</v>
      </c>
      <c r="H832" t="s">
        <v>64</v>
      </c>
      <c r="I832" t="s">
        <v>65</v>
      </c>
      <c r="J832" t="s">
        <v>1613</v>
      </c>
      <c r="K832">
        <v>104.22021922024339</v>
      </c>
      <c r="L832">
        <v>571.79170616160889</v>
      </c>
    </row>
    <row r="833" spans="1:12" hidden="1" x14ac:dyDescent="0.25">
      <c r="A833">
        <v>161</v>
      </c>
      <c r="B833" t="s">
        <v>1482</v>
      </c>
      <c r="C833" t="s">
        <v>1483</v>
      </c>
      <c r="D833">
        <v>0</v>
      </c>
      <c r="E833" t="str">
        <f>_xlfn.XLOOKUP(F833, Keys!B:B, Keys!A:A, "找不到")</f>
        <v>FA</v>
      </c>
      <c r="F833" t="s">
        <v>63</v>
      </c>
      <c r="G833">
        <v>4.4611193523935357</v>
      </c>
      <c r="H833" t="s">
        <v>64</v>
      </c>
      <c r="I833" t="s">
        <v>65</v>
      </c>
      <c r="J833" t="s">
        <v>1120</v>
      </c>
      <c r="K833">
        <v>650.79334602145627</v>
      </c>
      <c r="L833">
        <v>18053.581716581361</v>
      </c>
    </row>
    <row r="834" spans="1:12" hidden="1" x14ac:dyDescent="0.25">
      <c r="A834">
        <v>162</v>
      </c>
      <c r="B834" t="s">
        <v>1482</v>
      </c>
      <c r="C834" t="s">
        <v>1483</v>
      </c>
      <c r="D834" t="s">
        <v>1612</v>
      </c>
      <c r="E834" t="str">
        <f>_xlfn.XLOOKUP(F834, Keys!B:B, Keys!A:A, "找不到")</f>
        <v>FA</v>
      </c>
      <c r="F834" t="s">
        <v>63</v>
      </c>
      <c r="G834">
        <v>0.36250418649709448</v>
      </c>
      <c r="H834" t="s">
        <v>64</v>
      </c>
      <c r="I834" t="s">
        <v>65</v>
      </c>
      <c r="J834" t="s">
        <v>1613</v>
      </c>
      <c r="K834">
        <v>177.05862640175749</v>
      </c>
      <c r="L834">
        <v>1467.008263299839</v>
      </c>
    </row>
    <row r="835" spans="1:12" hidden="1" x14ac:dyDescent="0.25">
      <c r="A835">
        <v>163</v>
      </c>
      <c r="B835" t="s">
        <v>1482</v>
      </c>
      <c r="C835" t="s">
        <v>1483</v>
      </c>
      <c r="D835">
        <v>0</v>
      </c>
      <c r="E835" t="str">
        <f>_xlfn.XLOOKUP(F835, Keys!B:B, Keys!A:A, "找不到")</f>
        <v>FA</v>
      </c>
      <c r="F835" t="s">
        <v>63</v>
      </c>
      <c r="G835">
        <v>0.29198512283640249</v>
      </c>
      <c r="H835" t="s">
        <v>64</v>
      </c>
      <c r="I835" t="s">
        <v>65</v>
      </c>
      <c r="J835" t="s">
        <v>1821</v>
      </c>
      <c r="K835">
        <v>208.37748765416961</v>
      </c>
      <c r="L835">
        <v>1181.626596097406</v>
      </c>
    </row>
    <row r="836" spans="1:12" hidden="1" x14ac:dyDescent="0.25">
      <c r="A836">
        <v>164</v>
      </c>
      <c r="B836" t="s">
        <v>1482</v>
      </c>
      <c r="C836" t="s">
        <v>1483</v>
      </c>
      <c r="D836" t="s">
        <v>1612</v>
      </c>
      <c r="E836" t="str">
        <f>_xlfn.XLOOKUP(F836, Keys!B:B, Keys!A:A, "找不到")</f>
        <v>FA</v>
      </c>
      <c r="F836" t="s">
        <v>63</v>
      </c>
      <c r="G836">
        <v>7.0989953397695036</v>
      </c>
      <c r="H836" t="s">
        <v>64</v>
      </c>
      <c r="I836" t="s">
        <v>65</v>
      </c>
      <c r="J836" t="s">
        <v>1613</v>
      </c>
      <c r="K836">
        <v>671.63825957754307</v>
      </c>
      <c r="L836">
        <v>28728.729798138171</v>
      </c>
    </row>
    <row r="837" spans="1:12" hidden="1" x14ac:dyDescent="0.25">
      <c r="A837">
        <v>165</v>
      </c>
      <c r="B837" t="s">
        <v>1482</v>
      </c>
      <c r="C837" t="s">
        <v>1483</v>
      </c>
      <c r="D837" t="s">
        <v>1612</v>
      </c>
      <c r="E837" t="str">
        <f>_xlfn.XLOOKUP(F837, Keys!B:B, Keys!A:A, "找不到")</f>
        <v>FA</v>
      </c>
      <c r="F837" t="s">
        <v>63</v>
      </c>
      <c r="G837">
        <v>3.640585511600853</v>
      </c>
      <c r="H837" t="s">
        <v>64</v>
      </c>
      <c r="I837" t="s">
        <v>65</v>
      </c>
      <c r="J837" t="s">
        <v>1613</v>
      </c>
      <c r="K837">
        <v>485.64795718894152</v>
      </c>
      <c r="L837">
        <v>14732.98579080253</v>
      </c>
    </row>
    <row r="838" spans="1:12" hidden="1" x14ac:dyDescent="0.25">
      <c r="A838">
        <v>167</v>
      </c>
      <c r="B838" t="s">
        <v>1482</v>
      </c>
      <c r="C838" t="s">
        <v>1483</v>
      </c>
      <c r="D838" t="s">
        <v>1612</v>
      </c>
      <c r="E838" t="str">
        <f>_xlfn.XLOOKUP(F838, Keys!B:B, Keys!A:A, "找不到")</f>
        <v>FA</v>
      </c>
      <c r="F838" t="s">
        <v>63</v>
      </c>
      <c r="G838">
        <v>0.83983947058352748</v>
      </c>
      <c r="H838" t="s">
        <v>64</v>
      </c>
      <c r="I838" t="s">
        <v>65</v>
      </c>
      <c r="J838" t="s">
        <v>1655</v>
      </c>
      <c r="K838">
        <v>258.09417599887809</v>
      </c>
      <c r="L838">
        <v>3398.7233501957699</v>
      </c>
    </row>
    <row r="839" spans="1:12" hidden="1" x14ac:dyDescent="0.25">
      <c r="A839">
        <v>169</v>
      </c>
      <c r="B839" t="s">
        <v>1482</v>
      </c>
      <c r="C839" t="s">
        <v>1483</v>
      </c>
      <c r="D839" t="s">
        <v>1612</v>
      </c>
      <c r="E839" t="str">
        <f>_xlfn.XLOOKUP(F839, Keys!B:B, Keys!A:A, "找不到")</f>
        <v>FA</v>
      </c>
      <c r="F839" t="s">
        <v>63</v>
      </c>
      <c r="G839">
        <v>8.1228021433300466</v>
      </c>
      <c r="H839" t="s">
        <v>64</v>
      </c>
      <c r="I839" t="s">
        <v>65</v>
      </c>
      <c r="J839" t="s">
        <v>1655</v>
      </c>
      <c r="K839">
        <v>761.35013573074536</v>
      </c>
      <c r="L839">
        <v>32871.945509270226</v>
      </c>
    </row>
    <row r="840" spans="1:12" hidden="1" x14ac:dyDescent="0.25">
      <c r="A840">
        <v>170</v>
      </c>
      <c r="B840" t="s">
        <v>1482</v>
      </c>
      <c r="C840" t="s">
        <v>1483</v>
      </c>
      <c r="D840" t="s">
        <v>1612</v>
      </c>
      <c r="E840" t="str">
        <f>_xlfn.XLOOKUP(F840, Keys!B:B, Keys!A:A, "找不到")</f>
        <v>FA</v>
      </c>
      <c r="F840" t="s">
        <v>63</v>
      </c>
      <c r="G840">
        <v>14.308278423270099</v>
      </c>
      <c r="H840" t="s">
        <v>64</v>
      </c>
      <c r="I840" t="s">
        <v>65</v>
      </c>
      <c r="J840" t="s">
        <v>1655</v>
      </c>
      <c r="K840">
        <v>1016.489357572965</v>
      </c>
      <c r="L840">
        <v>57903.780045586507</v>
      </c>
    </row>
    <row r="841" spans="1:12" hidden="1" x14ac:dyDescent="0.25">
      <c r="A841">
        <v>172</v>
      </c>
      <c r="B841" t="s">
        <v>1482</v>
      </c>
      <c r="C841" t="s">
        <v>1483</v>
      </c>
      <c r="D841" t="s">
        <v>1612</v>
      </c>
      <c r="E841" t="str">
        <f>_xlfn.XLOOKUP(F841, Keys!B:B, Keys!A:A, "找不到")</f>
        <v>FA</v>
      </c>
      <c r="F841" t="s">
        <v>63</v>
      </c>
      <c r="G841">
        <v>0.48024827988336027</v>
      </c>
      <c r="H841" t="s">
        <v>64</v>
      </c>
      <c r="I841" t="s">
        <v>65</v>
      </c>
      <c r="J841" t="s">
        <v>1655</v>
      </c>
      <c r="K841">
        <v>219.4974406699836</v>
      </c>
      <c r="L841">
        <v>1943.503609799194</v>
      </c>
    </row>
    <row r="842" spans="1:12" hidden="1" x14ac:dyDescent="0.25">
      <c r="A842">
        <v>173</v>
      </c>
      <c r="B842" t="s">
        <v>1482</v>
      </c>
      <c r="C842" t="s">
        <v>1483</v>
      </c>
      <c r="D842" t="s">
        <v>1612</v>
      </c>
      <c r="E842" t="str">
        <f>_xlfn.XLOOKUP(F842, Keys!B:B, Keys!A:A, "找不到")</f>
        <v>FA</v>
      </c>
      <c r="F842" t="s">
        <v>63</v>
      </c>
      <c r="G842">
        <v>4.2129955040606983</v>
      </c>
      <c r="H842" t="s">
        <v>64</v>
      </c>
      <c r="I842" t="s">
        <v>65</v>
      </c>
      <c r="J842" t="s">
        <v>1655</v>
      </c>
      <c r="K842">
        <v>563.26410475383591</v>
      </c>
      <c r="L842">
        <v>17049.456110906609</v>
      </c>
    </row>
    <row r="843" spans="1:12" hidden="1" x14ac:dyDescent="0.25">
      <c r="A843">
        <v>175</v>
      </c>
      <c r="B843" t="s">
        <v>1482</v>
      </c>
      <c r="C843" t="s">
        <v>1483</v>
      </c>
      <c r="D843">
        <v>0</v>
      </c>
      <c r="E843" t="str">
        <f>_xlfn.XLOOKUP(F843, Keys!B:B, Keys!A:A, "找不到")</f>
        <v>FA</v>
      </c>
      <c r="F843" t="s">
        <v>63</v>
      </c>
      <c r="G843">
        <v>27.781587654249972</v>
      </c>
      <c r="H843" t="s">
        <v>64</v>
      </c>
      <c r="I843" t="s">
        <v>65</v>
      </c>
      <c r="J843" t="s">
        <v>1837</v>
      </c>
      <c r="K843">
        <v>1486.114935007276</v>
      </c>
      <c r="L843">
        <v>112428.5461368049</v>
      </c>
    </row>
    <row r="844" spans="1:12" hidden="1" x14ac:dyDescent="0.25">
      <c r="A844">
        <v>181</v>
      </c>
      <c r="B844" t="s">
        <v>1482</v>
      </c>
      <c r="C844" t="s">
        <v>1483</v>
      </c>
      <c r="D844" t="s">
        <v>1612</v>
      </c>
      <c r="E844" t="str">
        <f>_xlfn.XLOOKUP(F844, Keys!B:B, Keys!A:A, "找不到")</f>
        <v>FA</v>
      </c>
      <c r="F844" t="s">
        <v>63</v>
      </c>
      <c r="G844">
        <v>1.066451124114091</v>
      </c>
      <c r="H844" t="s">
        <v>64</v>
      </c>
      <c r="I844" t="s">
        <v>65</v>
      </c>
      <c r="J844" t="s">
        <v>1613</v>
      </c>
      <c r="K844">
        <v>326.47687266289</v>
      </c>
      <c r="L844">
        <v>4315.7918439469186</v>
      </c>
    </row>
    <row r="845" spans="1:12" hidden="1" x14ac:dyDescent="0.25">
      <c r="A845">
        <v>182</v>
      </c>
      <c r="B845" t="s">
        <v>1482</v>
      </c>
      <c r="C845" t="s">
        <v>1483</v>
      </c>
      <c r="D845" t="s">
        <v>1612</v>
      </c>
      <c r="E845" t="str">
        <f>_xlfn.XLOOKUP(F845, Keys!B:B, Keys!A:A, "找不到")</f>
        <v>FA</v>
      </c>
      <c r="F845" t="s">
        <v>63</v>
      </c>
      <c r="G845">
        <v>4.4146362860861146</v>
      </c>
      <c r="H845" t="s">
        <v>64</v>
      </c>
      <c r="I845" t="s">
        <v>65</v>
      </c>
      <c r="J845" t="s">
        <v>1613</v>
      </c>
      <c r="K845">
        <v>641.73334135157108</v>
      </c>
      <c r="L845">
        <v>17865.470668718888</v>
      </c>
    </row>
    <row r="846" spans="1:12" hidden="1" x14ac:dyDescent="0.25">
      <c r="A846">
        <v>187</v>
      </c>
      <c r="B846" t="s">
        <v>1482</v>
      </c>
      <c r="C846" t="s">
        <v>1483</v>
      </c>
      <c r="D846">
        <v>0</v>
      </c>
      <c r="E846" t="str">
        <f>_xlfn.XLOOKUP(F846, Keys!B:B, Keys!A:A, "找不到")</f>
        <v>FA</v>
      </c>
      <c r="F846" t="s">
        <v>63</v>
      </c>
      <c r="G846">
        <v>16.420184066965351</v>
      </c>
      <c r="H846" t="s">
        <v>64</v>
      </c>
      <c r="I846" t="s">
        <v>65</v>
      </c>
      <c r="J846" t="s">
        <v>1861</v>
      </c>
      <c r="K846">
        <v>1106.897217613275</v>
      </c>
      <c r="L846">
        <v>66450.393149695694</v>
      </c>
    </row>
    <row r="847" spans="1:12" hidden="1" x14ac:dyDescent="0.25">
      <c r="A847">
        <v>191</v>
      </c>
      <c r="B847" t="s">
        <v>1482</v>
      </c>
      <c r="C847" t="s">
        <v>1483</v>
      </c>
      <c r="D847">
        <v>0</v>
      </c>
      <c r="E847" t="str">
        <f>_xlfn.XLOOKUP(F847, Keys!B:B, Keys!A:A, "找不到")</f>
        <v>FA</v>
      </c>
      <c r="F847" t="s">
        <v>63</v>
      </c>
      <c r="G847">
        <v>12.50210933935905</v>
      </c>
      <c r="H847" t="s">
        <v>64</v>
      </c>
      <c r="I847" t="s">
        <v>65</v>
      </c>
      <c r="J847" t="s">
        <v>1861</v>
      </c>
      <c r="K847">
        <v>953.20555399890429</v>
      </c>
      <c r="L847">
        <v>50594.443851105229</v>
      </c>
    </row>
    <row r="848" spans="1:12" hidden="1" x14ac:dyDescent="0.25">
      <c r="A848">
        <v>196</v>
      </c>
      <c r="B848" t="s">
        <v>1482</v>
      </c>
      <c r="C848" t="s">
        <v>1483</v>
      </c>
      <c r="D848">
        <v>0</v>
      </c>
      <c r="E848" t="str">
        <f>_xlfn.XLOOKUP(F848, Keys!B:B, Keys!A:A, "找不到")</f>
        <v>FA</v>
      </c>
      <c r="F848" t="s">
        <v>63</v>
      </c>
      <c r="G848">
        <v>1.489917472193975</v>
      </c>
      <c r="H848" t="s">
        <v>64</v>
      </c>
      <c r="I848" t="s">
        <v>65</v>
      </c>
      <c r="J848" t="s">
        <v>1876</v>
      </c>
      <c r="K848">
        <v>867.51717086720566</v>
      </c>
      <c r="L848">
        <v>6029.5062091948803</v>
      </c>
    </row>
    <row r="849" spans="1:12" hidden="1" x14ac:dyDescent="0.25">
      <c r="A849">
        <v>199</v>
      </c>
      <c r="B849" t="s">
        <v>1482</v>
      </c>
      <c r="C849" t="s">
        <v>1483</v>
      </c>
      <c r="D849">
        <v>0</v>
      </c>
      <c r="E849" t="str">
        <f>_xlfn.XLOOKUP(F849, Keys!B:B, Keys!A:A, "找不到")</f>
        <v>FA</v>
      </c>
      <c r="F849" t="s">
        <v>63</v>
      </c>
      <c r="G849">
        <v>26.982459469993579</v>
      </c>
      <c r="H849" t="s">
        <v>64</v>
      </c>
      <c r="I849" t="s">
        <v>65</v>
      </c>
      <c r="J849" t="s">
        <v>1881</v>
      </c>
      <c r="K849">
        <v>1332.8453319302839</v>
      </c>
      <c r="L849">
        <v>109194.5761761591</v>
      </c>
    </row>
    <row r="850" spans="1:12" hidden="1" x14ac:dyDescent="0.25">
      <c r="A850">
        <v>205</v>
      </c>
      <c r="B850" t="s">
        <v>1482</v>
      </c>
      <c r="C850" t="s">
        <v>1483</v>
      </c>
      <c r="D850">
        <v>0</v>
      </c>
      <c r="E850" t="str">
        <f>_xlfn.XLOOKUP(F850, Keys!B:B, Keys!A:A, "找不到")</f>
        <v>FA</v>
      </c>
      <c r="F850" t="s">
        <v>63</v>
      </c>
      <c r="G850">
        <v>6.4482192332973103</v>
      </c>
      <c r="H850" t="s">
        <v>64</v>
      </c>
      <c r="I850" t="s">
        <v>65</v>
      </c>
      <c r="J850" t="s">
        <v>1895</v>
      </c>
      <c r="K850">
        <v>655.71434886409531</v>
      </c>
      <c r="L850">
        <v>26095.121797695228</v>
      </c>
    </row>
    <row r="851" spans="1:12" hidden="1" x14ac:dyDescent="0.25">
      <c r="A851">
        <v>208</v>
      </c>
      <c r="B851" t="s">
        <v>1482</v>
      </c>
      <c r="C851" t="s">
        <v>1483</v>
      </c>
      <c r="D851">
        <v>0</v>
      </c>
      <c r="E851" t="str">
        <f>_xlfn.XLOOKUP(F851, Keys!B:B, Keys!A:A, "找不到")</f>
        <v>FA</v>
      </c>
      <c r="F851" t="s">
        <v>63</v>
      </c>
      <c r="G851">
        <v>5.7134816999035154</v>
      </c>
      <c r="H851" t="s">
        <v>64</v>
      </c>
      <c r="I851" t="s">
        <v>65</v>
      </c>
      <c r="J851" t="s">
        <v>1895</v>
      </c>
      <c r="K851">
        <v>647.27761417033526</v>
      </c>
      <c r="L851">
        <v>23121.732598357321</v>
      </c>
    </row>
    <row r="852" spans="1:12" hidden="1" x14ac:dyDescent="0.25">
      <c r="A852">
        <v>211</v>
      </c>
      <c r="B852" t="s">
        <v>1482</v>
      </c>
      <c r="C852" t="s">
        <v>1483</v>
      </c>
      <c r="D852" t="s">
        <v>1612</v>
      </c>
      <c r="E852" t="str">
        <f>_xlfn.XLOOKUP(F852, Keys!B:B, Keys!A:A, "找不到")</f>
        <v>FA</v>
      </c>
      <c r="F852" t="s">
        <v>63</v>
      </c>
      <c r="G852">
        <v>8.8279508124429711</v>
      </c>
      <c r="H852" t="s">
        <v>64</v>
      </c>
      <c r="I852" t="s">
        <v>65</v>
      </c>
      <c r="J852" t="s">
        <v>1613</v>
      </c>
      <c r="K852">
        <v>834.65032468753361</v>
      </c>
      <c r="L852">
        <v>35725.592344192613</v>
      </c>
    </row>
    <row r="853" spans="1:12" hidden="1" x14ac:dyDescent="0.25">
      <c r="A853">
        <v>213</v>
      </c>
      <c r="B853" t="s">
        <v>1482</v>
      </c>
      <c r="C853" t="s">
        <v>1483</v>
      </c>
      <c r="D853">
        <v>0</v>
      </c>
      <c r="E853" t="str">
        <f>_xlfn.XLOOKUP(F853, Keys!B:B, Keys!A:A, "找不到")</f>
        <v>FA</v>
      </c>
      <c r="F853" t="s">
        <v>63</v>
      </c>
      <c r="G853">
        <v>1.9267689903652141</v>
      </c>
      <c r="H853" t="s">
        <v>64</v>
      </c>
      <c r="I853" t="s">
        <v>65</v>
      </c>
      <c r="J853" t="s">
        <v>1911</v>
      </c>
      <c r="K853">
        <v>373.03528590401402</v>
      </c>
      <c r="L853">
        <v>7797.3886526640499</v>
      </c>
    </row>
    <row r="854" spans="1:12" hidden="1" x14ac:dyDescent="0.25">
      <c r="A854">
        <v>214</v>
      </c>
      <c r="B854" t="s">
        <v>1482</v>
      </c>
      <c r="C854" t="s">
        <v>1483</v>
      </c>
      <c r="D854">
        <v>0</v>
      </c>
      <c r="E854" t="str">
        <f>_xlfn.XLOOKUP(F854, Keys!B:B, Keys!A:A, "找不到")</f>
        <v>FA</v>
      </c>
      <c r="F854" t="s">
        <v>63</v>
      </c>
      <c r="G854">
        <v>1.009691247496084</v>
      </c>
      <c r="H854" t="s">
        <v>64</v>
      </c>
      <c r="I854" t="s">
        <v>65</v>
      </c>
      <c r="J854" t="s">
        <v>1915</v>
      </c>
      <c r="K854">
        <v>258.11632313292853</v>
      </c>
      <c r="L854">
        <v>4086.0918539216682</v>
      </c>
    </row>
    <row r="855" spans="1:12" hidden="1" x14ac:dyDescent="0.25">
      <c r="A855">
        <v>215</v>
      </c>
      <c r="B855" t="s">
        <v>1482</v>
      </c>
      <c r="C855" t="s">
        <v>1483</v>
      </c>
      <c r="D855">
        <v>0</v>
      </c>
      <c r="E855" t="str">
        <f>_xlfn.XLOOKUP(F855, Keys!B:B, Keys!A:A, "找不到")</f>
        <v>FA</v>
      </c>
      <c r="F855" t="s">
        <v>63</v>
      </c>
      <c r="G855">
        <v>1.073646149699599</v>
      </c>
      <c r="H855" t="s">
        <v>64</v>
      </c>
      <c r="I855" t="s">
        <v>65</v>
      </c>
      <c r="J855" t="s">
        <v>1919</v>
      </c>
      <c r="K855">
        <v>376.96417777401382</v>
      </c>
      <c r="L855">
        <v>4344.9091959162597</v>
      </c>
    </row>
    <row r="856" spans="1:12" hidden="1" x14ac:dyDescent="0.25">
      <c r="A856">
        <v>216</v>
      </c>
      <c r="B856" t="s">
        <v>1482</v>
      </c>
      <c r="C856" t="s">
        <v>1483</v>
      </c>
      <c r="D856">
        <v>0</v>
      </c>
      <c r="E856" t="str">
        <f>_xlfn.XLOOKUP(F856, Keys!B:B, Keys!A:A, "找不到")</f>
        <v>FA</v>
      </c>
      <c r="F856" t="s">
        <v>63</v>
      </c>
      <c r="G856">
        <v>0.2485373032203701</v>
      </c>
      <c r="H856" t="s">
        <v>64</v>
      </c>
      <c r="I856" t="s">
        <v>65</v>
      </c>
      <c r="J856" t="s">
        <v>1922</v>
      </c>
      <c r="K856">
        <v>154.44932383640969</v>
      </c>
      <c r="L856">
        <v>1005.798804934527</v>
      </c>
    </row>
    <row r="857" spans="1:12" hidden="1" x14ac:dyDescent="0.25">
      <c r="A857">
        <v>220</v>
      </c>
      <c r="B857" t="s">
        <v>1482</v>
      </c>
      <c r="C857" t="s">
        <v>1483</v>
      </c>
      <c r="D857">
        <v>0</v>
      </c>
      <c r="E857" t="str">
        <f>_xlfn.XLOOKUP(F857, Keys!B:B, Keys!A:A, "找不到")</f>
        <v>FA</v>
      </c>
      <c r="F857" t="s">
        <v>63</v>
      </c>
      <c r="G857">
        <v>23.206894221944872</v>
      </c>
      <c r="H857" t="s">
        <v>64</v>
      </c>
      <c r="I857" t="s">
        <v>65</v>
      </c>
      <c r="J857" t="s">
        <v>1934</v>
      </c>
      <c r="K857">
        <v>1715.6739711753839</v>
      </c>
      <c r="L857">
        <v>93915.344587037733</v>
      </c>
    </row>
    <row r="858" spans="1:12" hidden="1" x14ac:dyDescent="0.25">
      <c r="A858">
        <v>221</v>
      </c>
      <c r="B858" t="s">
        <v>1482</v>
      </c>
      <c r="C858" t="s">
        <v>1483</v>
      </c>
      <c r="D858">
        <v>0</v>
      </c>
      <c r="E858" t="str">
        <f>_xlfn.XLOOKUP(F858, Keys!B:B, Keys!A:A, "找不到")</f>
        <v>FA</v>
      </c>
      <c r="F858" t="s">
        <v>63</v>
      </c>
      <c r="G858">
        <v>0.29945219447944132</v>
      </c>
      <c r="H858" t="s">
        <v>64</v>
      </c>
      <c r="I858" t="s">
        <v>65</v>
      </c>
      <c r="J858" t="s">
        <v>1936</v>
      </c>
      <c r="K858">
        <v>166.3236164052845</v>
      </c>
      <c r="L858">
        <v>1211.844883805589</v>
      </c>
    </row>
    <row r="859" spans="1:12" hidden="1" x14ac:dyDescent="0.25">
      <c r="A859">
        <v>222</v>
      </c>
      <c r="B859" t="s">
        <v>1482</v>
      </c>
      <c r="C859" t="s">
        <v>1483</v>
      </c>
      <c r="D859">
        <v>0</v>
      </c>
      <c r="E859" t="str">
        <f>_xlfn.XLOOKUP(F859, Keys!B:B, Keys!A:A, "找不到")</f>
        <v>FA</v>
      </c>
      <c r="F859" t="s">
        <v>63</v>
      </c>
      <c r="G859">
        <v>1.413580534322229</v>
      </c>
      <c r="H859" t="s">
        <v>64</v>
      </c>
      <c r="I859" t="s">
        <v>65</v>
      </c>
      <c r="J859" t="s">
        <v>1940</v>
      </c>
      <c r="K859">
        <v>302.19900753059432</v>
      </c>
      <c r="L859">
        <v>5720.5803462000385</v>
      </c>
    </row>
    <row r="860" spans="1:12" hidden="1" x14ac:dyDescent="0.25">
      <c r="A860">
        <v>223</v>
      </c>
      <c r="B860" t="s">
        <v>1482</v>
      </c>
      <c r="C860" t="s">
        <v>1483</v>
      </c>
      <c r="D860" t="s">
        <v>1612</v>
      </c>
      <c r="E860" t="str">
        <f>_xlfn.XLOOKUP(F860, Keys!B:B, Keys!A:A, "找不到")</f>
        <v>FA</v>
      </c>
      <c r="F860" t="s">
        <v>63</v>
      </c>
      <c r="G860">
        <v>1.0676899906183721</v>
      </c>
      <c r="H860" t="s">
        <v>64</v>
      </c>
      <c r="I860" t="s">
        <v>65</v>
      </c>
      <c r="J860" t="s">
        <v>1942</v>
      </c>
      <c r="K860">
        <v>317.55237134675968</v>
      </c>
      <c r="L860">
        <v>4320.8053788703874</v>
      </c>
    </row>
    <row r="861" spans="1:12" hidden="1" x14ac:dyDescent="0.25">
      <c r="A861">
        <v>224</v>
      </c>
      <c r="B861" t="s">
        <v>1482</v>
      </c>
      <c r="C861" t="s">
        <v>1483</v>
      </c>
      <c r="D861" t="s">
        <v>1612</v>
      </c>
      <c r="E861" t="str">
        <f>_xlfn.XLOOKUP(F861, Keys!B:B, Keys!A:A, "找不到")</f>
        <v>FA</v>
      </c>
      <c r="F861" t="s">
        <v>63</v>
      </c>
      <c r="G861">
        <v>1.032501125746758</v>
      </c>
      <c r="H861" t="s">
        <v>64</v>
      </c>
      <c r="I861" t="s">
        <v>65</v>
      </c>
      <c r="J861" t="s">
        <v>1946</v>
      </c>
      <c r="K861">
        <v>266.10449476530158</v>
      </c>
      <c r="L861">
        <v>4178.4005254488866</v>
      </c>
    </row>
    <row r="862" spans="1:12" hidden="1" x14ac:dyDescent="0.25">
      <c r="A862">
        <v>225</v>
      </c>
      <c r="B862" t="s">
        <v>1482</v>
      </c>
      <c r="C862" t="s">
        <v>1483</v>
      </c>
      <c r="D862" t="s">
        <v>1612</v>
      </c>
      <c r="E862" t="str">
        <f>_xlfn.XLOOKUP(F862, Keys!B:B, Keys!A:A, "找不到")</f>
        <v>FA</v>
      </c>
      <c r="F862" t="s">
        <v>63</v>
      </c>
      <c r="G862">
        <v>0.72093972990453337</v>
      </c>
      <c r="H862" t="s">
        <v>64</v>
      </c>
      <c r="I862" t="s">
        <v>65</v>
      </c>
      <c r="J862" t="s">
        <v>1949</v>
      </c>
      <c r="K862">
        <v>281.07470790976049</v>
      </c>
      <c r="L862">
        <v>2917.551246320797</v>
      </c>
    </row>
    <row r="863" spans="1:12" hidden="1" x14ac:dyDescent="0.25">
      <c r="A863">
        <v>226</v>
      </c>
      <c r="B863" t="s">
        <v>1482</v>
      </c>
      <c r="C863" t="s">
        <v>1483</v>
      </c>
      <c r="D863" t="s">
        <v>1612</v>
      </c>
      <c r="E863" t="str">
        <f>_xlfn.XLOOKUP(F863, Keys!B:B, Keys!A:A, "找不到")</f>
        <v>FA</v>
      </c>
      <c r="F863" t="s">
        <v>63</v>
      </c>
      <c r="G863">
        <v>0.58783810326345298</v>
      </c>
      <c r="H863" t="s">
        <v>64</v>
      </c>
      <c r="I863" t="s">
        <v>65</v>
      </c>
      <c r="J863" t="s">
        <v>1952</v>
      </c>
      <c r="K863">
        <v>284.01174635123448</v>
      </c>
      <c r="L863">
        <v>2378.9059191372999</v>
      </c>
    </row>
    <row r="864" spans="1:12" hidden="1" x14ac:dyDescent="0.25">
      <c r="A864">
        <v>227</v>
      </c>
      <c r="B864" t="s">
        <v>1482</v>
      </c>
      <c r="C864" t="s">
        <v>1483</v>
      </c>
      <c r="D864" t="s">
        <v>1612</v>
      </c>
      <c r="E864" t="str">
        <f>_xlfn.XLOOKUP(F864, Keys!B:B, Keys!A:A, "找不到")</f>
        <v>FA</v>
      </c>
      <c r="F864" t="s">
        <v>63</v>
      </c>
      <c r="G864">
        <v>0.30487356722404618</v>
      </c>
      <c r="H864" t="s">
        <v>64</v>
      </c>
      <c r="I864" t="s">
        <v>65</v>
      </c>
      <c r="J864" t="s">
        <v>1956</v>
      </c>
      <c r="K864">
        <v>179.48410306072671</v>
      </c>
      <c r="L864">
        <v>1233.7844886736491</v>
      </c>
    </row>
    <row r="865" spans="1:12" hidden="1" x14ac:dyDescent="0.25">
      <c r="A865">
        <v>228</v>
      </c>
      <c r="B865" t="s">
        <v>1482</v>
      </c>
      <c r="C865" t="s">
        <v>1483</v>
      </c>
      <c r="D865" t="s">
        <v>1612</v>
      </c>
      <c r="E865" t="str">
        <f>_xlfn.XLOOKUP(F865, Keys!B:B, Keys!A:A, "找不到")</f>
        <v>FA</v>
      </c>
      <c r="F865" t="s">
        <v>63</v>
      </c>
      <c r="G865">
        <v>0.9496893745526892</v>
      </c>
      <c r="H865" t="s">
        <v>64</v>
      </c>
      <c r="I865" t="s">
        <v>65</v>
      </c>
      <c r="J865" t="s">
        <v>1960</v>
      </c>
      <c r="K865">
        <v>250.9531842392233</v>
      </c>
      <c r="L865">
        <v>3843.2719177658869</v>
      </c>
    </row>
    <row r="866" spans="1:12" hidden="1" x14ac:dyDescent="0.25">
      <c r="A866">
        <v>229</v>
      </c>
      <c r="B866" t="s">
        <v>1482</v>
      </c>
      <c r="C866" t="s">
        <v>1483</v>
      </c>
      <c r="D866" t="s">
        <v>1612</v>
      </c>
      <c r="E866" t="str">
        <f>_xlfn.XLOOKUP(F866, Keys!B:B, Keys!A:A, "找不到")</f>
        <v>FA</v>
      </c>
      <c r="F866" t="s">
        <v>63</v>
      </c>
      <c r="G866">
        <v>0.61859776555905477</v>
      </c>
      <c r="H866" t="s">
        <v>64</v>
      </c>
      <c r="I866" t="s">
        <v>65</v>
      </c>
      <c r="J866" t="s">
        <v>1960</v>
      </c>
      <c r="K866">
        <v>214.4537068420334</v>
      </c>
      <c r="L866">
        <v>2503.386353970353</v>
      </c>
    </row>
    <row r="867" spans="1:12" hidden="1" x14ac:dyDescent="0.25">
      <c r="A867">
        <v>230</v>
      </c>
      <c r="B867" t="s">
        <v>1482</v>
      </c>
      <c r="C867" t="s">
        <v>1483</v>
      </c>
      <c r="D867" t="s">
        <v>1612</v>
      </c>
      <c r="E867" t="str">
        <f>_xlfn.XLOOKUP(F867, Keys!B:B, Keys!A:A, "找不到")</f>
        <v>FA</v>
      </c>
      <c r="F867" t="s">
        <v>63</v>
      </c>
      <c r="G867">
        <v>0.30341857676302381</v>
      </c>
      <c r="H867" t="s">
        <v>64</v>
      </c>
      <c r="I867" t="s">
        <v>65</v>
      </c>
      <c r="J867" t="s">
        <v>1965</v>
      </c>
      <c r="K867">
        <v>140.19058635747541</v>
      </c>
      <c r="L867">
        <v>1227.8963276293091</v>
      </c>
    </row>
    <row r="868" spans="1:12" hidden="1" x14ac:dyDescent="0.25">
      <c r="A868">
        <v>231</v>
      </c>
      <c r="B868" t="s">
        <v>1482</v>
      </c>
      <c r="C868" t="s">
        <v>1483</v>
      </c>
      <c r="D868" t="s">
        <v>1612</v>
      </c>
      <c r="E868" t="str">
        <f>_xlfn.XLOOKUP(F868, Keys!B:B, Keys!A:A, "找不到")</f>
        <v>FA</v>
      </c>
      <c r="F868" t="s">
        <v>63</v>
      </c>
      <c r="G868">
        <v>1.027313874254467</v>
      </c>
      <c r="H868" t="s">
        <v>64</v>
      </c>
      <c r="I868" t="s">
        <v>65</v>
      </c>
      <c r="J868" t="s">
        <v>1969</v>
      </c>
      <c r="K868">
        <v>345.5627807184722</v>
      </c>
      <c r="L868">
        <v>4157.408379464202</v>
      </c>
    </row>
    <row r="869" spans="1:12" hidden="1" x14ac:dyDescent="0.25">
      <c r="A869">
        <v>232</v>
      </c>
      <c r="B869" t="s">
        <v>1482</v>
      </c>
      <c r="C869" t="s">
        <v>1483</v>
      </c>
      <c r="D869" t="s">
        <v>1612</v>
      </c>
      <c r="E869" t="str">
        <f>_xlfn.XLOOKUP(F869, Keys!B:B, Keys!A:A, "找不到")</f>
        <v>FA</v>
      </c>
      <c r="F869" t="s">
        <v>63</v>
      </c>
      <c r="G869">
        <v>1.0122060639702271</v>
      </c>
      <c r="H869" t="s">
        <v>64</v>
      </c>
      <c r="I869" t="s">
        <v>65</v>
      </c>
      <c r="J869" t="s">
        <v>1974</v>
      </c>
      <c r="K869">
        <v>268.84704049117107</v>
      </c>
      <c r="L869">
        <v>4096.2689958297378</v>
      </c>
    </row>
    <row r="870" spans="1:12" hidden="1" x14ac:dyDescent="0.25">
      <c r="A870">
        <v>233</v>
      </c>
      <c r="B870" t="s">
        <v>1482</v>
      </c>
      <c r="C870" t="s">
        <v>1483</v>
      </c>
      <c r="D870" t="s">
        <v>1612</v>
      </c>
      <c r="E870" t="str">
        <f>_xlfn.XLOOKUP(F870, Keys!B:B, Keys!A:A, "找不到")</f>
        <v>FA</v>
      </c>
      <c r="F870" t="s">
        <v>63</v>
      </c>
      <c r="G870">
        <v>1.5108937347898359</v>
      </c>
      <c r="H870" t="s">
        <v>64</v>
      </c>
      <c r="I870" t="s">
        <v>65</v>
      </c>
      <c r="J870" t="s">
        <v>1978</v>
      </c>
      <c r="K870">
        <v>330.637384763407</v>
      </c>
      <c r="L870">
        <v>6114.3944717515978</v>
      </c>
    </row>
    <row r="871" spans="1:12" hidden="1" x14ac:dyDescent="0.25">
      <c r="A871">
        <v>234</v>
      </c>
      <c r="B871" t="s">
        <v>1482</v>
      </c>
      <c r="C871" t="s">
        <v>1483</v>
      </c>
      <c r="D871" t="s">
        <v>1612</v>
      </c>
      <c r="E871" t="str">
        <f>_xlfn.XLOOKUP(F871, Keys!B:B, Keys!A:A, "找不到")</f>
        <v>FA</v>
      </c>
      <c r="F871" t="s">
        <v>63</v>
      </c>
      <c r="G871">
        <v>0.96051504903392071</v>
      </c>
      <c r="H871" t="s">
        <v>64</v>
      </c>
      <c r="I871" t="s">
        <v>65</v>
      </c>
      <c r="J871" t="s">
        <v>1982</v>
      </c>
      <c r="K871">
        <v>255.00595533136831</v>
      </c>
      <c r="L871">
        <v>3887.0820433073982</v>
      </c>
    </row>
    <row r="872" spans="1:12" hidden="1" x14ac:dyDescent="0.25">
      <c r="A872">
        <v>235</v>
      </c>
      <c r="B872" t="s">
        <v>1482</v>
      </c>
      <c r="C872" t="s">
        <v>1483</v>
      </c>
      <c r="D872">
        <v>0</v>
      </c>
      <c r="E872" t="str">
        <f>_xlfn.XLOOKUP(F872, Keys!B:B, Keys!A:A, "找不到")</f>
        <v>FA</v>
      </c>
      <c r="F872" t="s">
        <v>63</v>
      </c>
      <c r="G872">
        <v>1.0205756130851069</v>
      </c>
      <c r="H872" t="s">
        <v>64</v>
      </c>
      <c r="I872" t="s">
        <v>65</v>
      </c>
      <c r="J872" t="s">
        <v>1985</v>
      </c>
      <c r="K872">
        <v>262.86495297140772</v>
      </c>
      <c r="L872">
        <v>4130.1394948997404</v>
      </c>
    </row>
    <row r="873" spans="1:12" hidden="1" x14ac:dyDescent="0.25">
      <c r="A873">
        <v>236</v>
      </c>
      <c r="B873" t="s">
        <v>1482</v>
      </c>
      <c r="C873" t="s">
        <v>1483</v>
      </c>
      <c r="D873">
        <v>0</v>
      </c>
      <c r="E873" t="str">
        <f>_xlfn.XLOOKUP(F873, Keys!B:B, Keys!A:A, "找不到")</f>
        <v>FA</v>
      </c>
      <c r="F873" t="s">
        <v>63</v>
      </c>
      <c r="G873">
        <v>0.61842366814596261</v>
      </c>
      <c r="H873" t="s">
        <v>64</v>
      </c>
      <c r="I873" t="s">
        <v>65</v>
      </c>
      <c r="J873" t="s">
        <v>1989</v>
      </c>
      <c r="K873">
        <v>203.28230826231419</v>
      </c>
      <c r="L873">
        <v>2502.6818039178602</v>
      </c>
    </row>
    <row r="874" spans="1:12" hidden="1" x14ac:dyDescent="0.25">
      <c r="A874">
        <v>237</v>
      </c>
      <c r="B874" t="s">
        <v>1482</v>
      </c>
      <c r="C874" t="s">
        <v>1483</v>
      </c>
      <c r="D874" t="s">
        <v>1612</v>
      </c>
      <c r="E874" t="str">
        <f>_xlfn.XLOOKUP(F874, Keys!B:B, Keys!A:A, "找不到")</f>
        <v>FA</v>
      </c>
      <c r="F874" t="s">
        <v>63</v>
      </c>
      <c r="G874">
        <v>5.0586937539400783</v>
      </c>
      <c r="H874" t="s">
        <v>64</v>
      </c>
      <c r="I874" t="s">
        <v>65</v>
      </c>
      <c r="J874" t="s">
        <v>1993</v>
      </c>
      <c r="K874">
        <v>629.90498389997686</v>
      </c>
      <c r="L874">
        <v>20471.88919456206</v>
      </c>
    </row>
    <row r="875" spans="1:12" hidden="1" x14ac:dyDescent="0.25">
      <c r="A875">
        <v>238</v>
      </c>
      <c r="B875" t="s">
        <v>1482</v>
      </c>
      <c r="C875" t="s">
        <v>1483</v>
      </c>
      <c r="D875" t="s">
        <v>1612</v>
      </c>
      <c r="E875" t="str">
        <f>_xlfn.XLOOKUP(F875, Keys!B:B, Keys!A:A, "找不到")</f>
        <v>FA</v>
      </c>
      <c r="F875" t="s">
        <v>63</v>
      </c>
      <c r="G875">
        <v>0.37081631933119957</v>
      </c>
      <c r="H875" t="s">
        <v>64</v>
      </c>
      <c r="I875" t="s">
        <v>65</v>
      </c>
      <c r="J875" t="s">
        <v>1993</v>
      </c>
      <c r="K875">
        <v>205.059430447452</v>
      </c>
      <c r="L875">
        <v>1500.6464059958159</v>
      </c>
    </row>
    <row r="876" spans="1:12" hidden="1" x14ac:dyDescent="0.25">
      <c r="A876">
        <v>239</v>
      </c>
      <c r="B876" t="s">
        <v>1482</v>
      </c>
      <c r="C876" t="s">
        <v>1483</v>
      </c>
      <c r="D876" t="s">
        <v>1612</v>
      </c>
      <c r="E876" t="str">
        <f>_xlfn.XLOOKUP(F876, Keys!B:B, Keys!A:A, "找不到")</f>
        <v>FA</v>
      </c>
      <c r="F876" t="s">
        <v>63</v>
      </c>
      <c r="G876">
        <v>0.24763758985910289</v>
      </c>
      <c r="H876" t="s">
        <v>64</v>
      </c>
      <c r="I876" t="s">
        <v>65</v>
      </c>
      <c r="J876" t="s">
        <v>1997</v>
      </c>
      <c r="K876">
        <v>127.0102492174683</v>
      </c>
      <c r="L876">
        <v>1002.157779576077</v>
      </c>
    </row>
    <row r="877" spans="1:12" hidden="1" x14ac:dyDescent="0.25">
      <c r="A877">
        <v>240</v>
      </c>
      <c r="B877" t="s">
        <v>1482</v>
      </c>
      <c r="C877" t="s">
        <v>1483</v>
      </c>
      <c r="D877" t="s">
        <v>1612</v>
      </c>
      <c r="E877" t="str">
        <f>_xlfn.XLOOKUP(F877, Keys!B:B, Keys!A:A, "找不到")</f>
        <v>FA</v>
      </c>
      <c r="F877" t="s">
        <v>63</v>
      </c>
      <c r="G877">
        <v>0.16499293347836269</v>
      </c>
      <c r="H877" t="s">
        <v>64</v>
      </c>
      <c r="I877" t="s">
        <v>65</v>
      </c>
      <c r="J877" t="s">
        <v>2000</v>
      </c>
      <c r="K877">
        <v>118.40950841826491</v>
      </c>
      <c r="L877">
        <v>667.70538331639045</v>
      </c>
    </row>
    <row r="878" spans="1:12" hidden="1" x14ac:dyDescent="0.25">
      <c r="A878">
        <v>241</v>
      </c>
      <c r="B878" t="s">
        <v>1482</v>
      </c>
      <c r="C878" t="s">
        <v>1483</v>
      </c>
      <c r="D878" t="s">
        <v>1612</v>
      </c>
      <c r="E878" t="str">
        <f>_xlfn.XLOOKUP(F878, Keys!B:B, Keys!A:A, "找不到")</f>
        <v>FA</v>
      </c>
      <c r="F878" t="s">
        <v>63</v>
      </c>
      <c r="G878">
        <v>0.39987990001964208</v>
      </c>
      <c r="H878" t="s">
        <v>64</v>
      </c>
      <c r="I878" t="s">
        <v>65</v>
      </c>
      <c r="J878" t="s">
        <v>2003</v>
      </c>
      <c r="K878">
        <v>180.4933338270271</v>
      </c>
      <c r="L878">
        <v>1618.263014628744</v>
      </c>
    </row>
    <row r="879" spans="1:12" hidden="1" x14ac:dyDescent="0.25">
      <c r="A879">
        <v>242</v>
      </c>
      <c r="B879" t="s">
        <v>1482</v>
      </c>
      <c r="C879" t="s">
        <v>1483</v>
      </c>
      <c r="D879" t="s">
        <v>1612</v>
      </c>
      <c r="E879" t="str">
        <f>_xlfn.XLOOKUP(F879, Keys!B:B, Keys!A:A, "找不到")</f>
        <v>FA</v>
      </c>
      <c r="F879" t="s">
        <v>63</v>
      </c>
      <c r="G879">
        <v>0.51717069032659568</v>
      </c>
      <c r="H879" t="s">
        <v>64</v>
      </c>
      <c r="I879" t="s">
        <v>65</v>
      </c>
      <c r="J879" t="s">
        <v>2006</v>
      </c>
      <c r="K879">
        <v>179.9420543604042</v>
      </c>
      <c r="L879">
        <v>2092.9239013124588</v>
      </c>
    </row>
    <row r="880" spans="1:12" hidden="1" x14ac:dyDescent="0.25">
      <c r="A880">
        <v>243</v>
      </c>
      <c r="B880" t="s">
        <v>1482</v>
      </c>
      <c r="C880" t="s">
        <v>1483</v>
      </c>
      <c r="D880" t="s">
        <v>1612</v>
      </c>
      <c r="E880" t="str">
        <f>_xlfn.XLOOKUP(F880, Keys!B:B, Keys!A:A, "找不到")</f>
        <v>FA</v>
      </c>
      <c r="F880" t="s">
        <v>63</v>
      </c>
      <c r="G880">
        <v>0.44002521235642139</v>
      </c>
      <c r="H880" t="s">
        <v>64</v>
      </c>
      <c r="I880" t="s">
        <v>65</v>
      </c>
      <c r="J880" t="s">
        <v>1613</v>
      </c>
      <c r="K880">
        <v>208.3131776493484</v>
      </c>
      <c r="L880">
        <v>1780.7259795393029</v>
      </c>
    </row>
    <row r="881" spans="1:12" hidden="1" x14ac:dyDescent="0.25">
      <c r="A881">
        <v>244</v>
      </c>
      <c r="B881" t="s">
        <v>1482</v>
      </c>
      <c r="C881" t="s">
        <v>1483</v>
      </c>
      <c r="D881" t="s">
        <v>1612</v>
      </c>
      <c r="E881" t="str">
        <f>_xlfn.XLOOKUP(F881, Keys!B:B, Keys!A:A, "找不到")</f>
        <v>FA</v>
      </c>
      <c r="F881" t="s">
        <v>63</v>
      </c>
      <c r="G881">
        <v>2.5977080655899552</v>
      </c>
      <c r="H881" t="s">
        <v>64</v>
      </c>
      <c r="I881" t="s">
        <v>65</v>
      </c>
      <c r="J881" t="s">
        <v>2011</v>
      </c>
      <c r="K881">
        <v>413.04510333033147</v>
      </c>
      <c r="L881">
        <v>10512.593619085421</v>
      </c>
    </row>
    <row r="882" spans="1:12" hidden="1" x14ac:dyDescent="0.25">
      <c r="A882">
        <v>245</v>
      </c>
      <c r="B882" t="s">
        <v>1482</v>
      </c>
      <c r="C882" t="s">
        <v>1483</v>
      </c>
      <c r="D882" t="s">
        <v>1612</v>
      </c>
      <c r="E882" t="str">
        <f>_xlfn.XLOOKUP(F882, Keys!B:B, Keys!A:A, "找不到")</f>
        <v>FA</v>
      </c>
      <c r="F882" t="s">
        <v>63</v>
      </c>
      <c r="G882">
        <v>0.96729058984833272</v>
      </c>
      <c r="H882" t="s">
        <v>64</v>
      </c>
      <c r="I882" t="s">
        <v>65</v>
      </c>
      <c r="J882" t="s">
        <v>2011</v>
      </c>
      <c r="K882">
        <v>267.97730750003541</v>
      </c>
      <c r="L882">
        <v>3914.501793846327</v>
      </c>
    </row>
    <row r="883" spans="1:12" hidden="1" x14ac:dyDescent="0.25">
      <c r="A883">
        <v>246</v>
      </c>
      <c r="B883" t="s">
        <v>1482</v>
      </c>
      <c r="C883" t="s">
        <v>1483</v>
      </c>
      <c r="D883" t="s">
        <v>1612</v>
      </c>
      <c r="E883" t="str">
        <f>_xlfn.XLOOKUP(F883, Keys!B:B, Keys!A:A, "找不到")</f>
        <v>FA</v>
      </c>
      <c r="F883" t="s">
        <v>63</v>
      </c>
      <c r="G883">
        <v>1.930911822563655</v>
      </c>
      <c r="H883" t="s">
        <v>64</v>
      </c>
      <c r="I883" t="s">
        <v>65</v>
      </c>
      <c r="J883" t="s">
        <v>2011</v>
      </c>
      <c r="K883">
        <v>419.49389119973608</v>
      </c>
      <c r="L883">
        <v>7814.1541668152286</v>
      </c>
    </row>
    <row r="884" spans="1:12" hidden="1" x14ac:dyDescent="0.25">
      <c r="A884">
        <v>248</v>
      </c>
      <c r="B884" t="s">
        <v>1482</v>
      </c>
      <c r="C884" t="s">
        <v>1483</v>
      </c>
      <c r="D884" t="s">
        <v>1612</v>
      </c>
      <c r="E884" t="str">
        <f>_xlfn.XLOOKUP(F884, Keys!B:B, Keys!A:A, "找不到")</f>
        <v>FA</v>
      </c>
      <c r="F884" t="s">
        <v>63</v>
      </c>
      <c r="G884">
        <v>9.2399729597269595E-2</v>
      </c>
      <c r="H884" t="s">
        <v>64</v>
      </c>
      <c r="I884" t="s">
        <v>65</v>
      </c>
      <c r="J884" t="s">
        <v>1613</v>
      </c>
      <c r="K884">
        <v>91.830741606627356</v>
      </c>
      <c r="L884">
        <v>373.92993486697748</v>
      </c>
    </row>
    <row r="885" spans="1:12" hidden="1" x14ac:dyDescent="0.25">
      <c r="A885">
        <v>249</v>
      </c>
      <c r="B885" t="s">
        <v>1482</v>
      </c>
      <c r="C885" t="s">
        <v>1483</v>
      </c>
      <c r="D885">
        <v>0</v>
      </c>
      <c r="E885" t="str">
        <f>_xlfn.XLOOKUP(F885, Keys!B:B, Keys!A:A, "找不到")</f>
        <v>FA</v>
      </c>
      <c r="F885" t="s">
        <v>63</v>
      </c>
      <c r="G885">
        <v>5.0158346166420609</v>
      </c>
      <c r="H885" t="s">
        <v>64</v>
      </c>
      <c r="I885" t="s">
        <v>65</v>
      </c>
      <c r="J885" t="s">
        <v>2013</v>
      </c>
      <c r="K885">
        <v>557.25602305896746</v>
      </c>
      <c r="L885">
        <v>20298.443725747871</v>
      </c>
    </row>
    <row r="886" spans="1:12" hidden="1" x14ac:dyDescent="0.25">
      <c r="A886">
        <v>250</v>
      </c>
      <c r="B886" t="s">
        <v>1482</v>
      </c>
      <c r="C886" t="s">
        <v>1483</v>
      </c>
      <c r="D886" t="s">
        <v>1612</v>
      </c>
      <c r="E886" t="str">
        <f>_xlfn.XLOOKUP(F886, Keys!B:B, Keys!A:A, "找不到")</f>
        <v>FA</v>
      </c>
      <c r="F886" t="s">
        <v>63</v>
      </c>
      <c r="G886">
        <v>1.0026929142557</v>
      </c>
      <c r="H886" t="s">
        <v>64</v>
      </c>
      <c r="I886" t="s">
        <v>65</v>
      </c>
      <c r="J886" t="s">
        <v>2015</v>
      </c>
      <c r="K886">
        <v>276.47724389722339</v>
      </c>
      <c r="L886">
        <v>4057.7704908163828</v>
      </c>
    </row>
    <row r="887" spans="1:12" hidden="1" x14ac:dyDescent="0.25">
      <c r="A887">
        <v>251</v>
      </c>
      <c r="B887" t="s">
        <v>1482</v>
      </c>
      <c r="C887" t="s">
        <v>1483</v>
      </c>
      <c r="D887" t="s">
        <v>1612</v>
      </c>
      <c r="E887" t="str">
        <f>_xlfn.XLOOKUP(F887, Keys!B:B, Keys!A:A, "找不到")</f>
        <v>FA</v>
      </c>
      <c r="F887" t="s">
        <v>63</v>
      </c>
      <c r="G887">
        <v>0.2475464884998525</v>
      </c>
      <c r="H887" t="s">
        <v>64</v>
      </c>
      <c r="I887" t="s">
        <v>65</v>
      </c>
      <c r="J887" t="s">
        <v>2017</v>
      </c>
      <c r="K887">
        <v>136.1561639867503</v>
      </c>
      <c r="L887">
        <v>1001.789103980605</v>
      </c>
    </row>
    <row r="888" spans="1:12" hidden="1" x14ac:dyDescent="0.25">
      <c r="A888">
        <v>252</v>
      </c>
      <c r="B888" t="s">
        <v>1482</v>
      </c>
      <c r="C888" t="s">
        <v>1483</v>
      </c>
      <c r="D888" t="s">
        <v>1612</v>
      </c>
      <c r="E888" t="str">
        <f>_xlfn.XLOOKUP(F888, Keys!B:B, Keys!A:A, "找不到")</f>
        <v>FA</v>
      </c>
      <c r="F888" t="s">
        <v>63</v>
      </c>
      <c r="G888">
        <v>1.132935672988707</v>
      </c>
      <c r="H888" t="s">
        <v>64</v>
      </c>
      <c r="I888" t="s">
        <v>65</v>
      </c>
      <c r="J888" t="s">
        <v>2020</v>
      </c>
      <c r="K888">
        <v>289.07814006376151</v>
      </c>
      <c r="L888">
        <v>4584.8463437674491</v>
      </c>
    </row>
    <row r="889" spans="1:12" hidden="1" x14ac:dyDescent="0.25">
      <c r="A889">
        <v>253</v>
      </c>
      <c r="B889" t="s">
        <v>1482</v>
      </c>
      <c r="C889" t="s">
        <v>1483</v>
      </c>
      <c r="D889" t="s">
        <v>1612</v>
      </c>
      <c r="E889" t="str">
        <f>_xlfn.XLOOKUP(F889, Keys!B:B, Keys!A:A, "找不到")</f>
        <v>FA</v>
      </c>
      <c r="F889" t="s">
        <v>63</v>
      </c>
      <c r="G889">
        <v>0.84906554587154026</v>
      </c>
      <c r="H889" t="s">
        <v>64</v>
      </c>
      <c r="I889" t="s">
        <v>65</v>
      </c>
      <c r="J889" t="s">
        <v>2022</v>
      </c>
      <c r="K889">
        <v>349.87679151911698</v>
      </c>
      <c r="L889">
        <v>3436.060101575466</v>
      </c>
    </row>
    <row r="890" spans="1:12" hidden="1" x14ac:dyDescent="0.25">
      <c r="A890">
        <v>254</v>
      </c>
      <c r="B890" t="s">
        <v>1482</v>
      </c>
      <c r="C890" t="s">
        <v>1483</v>
      </c>
      <c r="D890" t="s">
        <v>1612</v>
      </c>
      <c r="E890" t="str">
        <f>_xlfn.XLOOKUP(F890, Keys!B:B, Keys!A:A, "找不到")</f>
        <v>FA</v>
      </c>
      <c r="F890" t="s">
        <v>63</v>
      </c>
      <c r="G890">
        <v>2.0399300701636629</v>
      </c>
      <c r="H890" t="s">
        <v>64</v>
      </c>
      <c r="I890" t="s">
        <v>65</v>
      </c>
      <c r="J890" t="s">
        <v>1613</v>
      </c>
      <c r="K890">
        <v>469.86941502997308</v>
      </c>
      <c r="L890">
        <v>8255.337127004188</v>
      </c>
    </row>
    <row r="891" spans="1:12" hidden="1" x14ac:dyDescent="0.25">
      <c r="A891">
        <v>256</v>
      </c>
      <c r="B891" t="s">
        <v>1482</v>
      </c>
      <c r="C891" t="s">
        <v>1483</v>
      </c>
      <c r="D891">
        <v>0</v>
      </c>
      <c r="E891" t="str">
        <f>_xlfn.XLOOKUP(F891, Keys!B:B, Keys!A:A, "找不到")</f>
        <v>FA</v>
      </c>
      <c r="F891" t="s">
        <v>63</v>
      </c>
      <c r="G891">
        <v>6.2103135311209732</v>
      </c>
      <c r="H891" t="s">
        <v>64</v>
      </c>
      <c r="I891" t="s">
        <v>65</v>
      </c>
      <c r="J891" t="s">
        <v>2026</v>
      </c>
      <c r="K891">
        <v>626.63537795117099</v>
      </c>
      <c r="L891">
        <v>25132.347727824908</v>
      </c>
    </row>
    <row r="892" spans="1:12" hidden="1" x14ac:dyDescent="0.25">
      <c r="A892">
        <v>259</v>
      </c>
      <c r="B892" t="s">
        <v>1482</v>
      </c>
      <c r="C892" t="s">
        <v>1483</v>
      </c>
      <c r="D892" t="s">
        <v>57</v>
      </c>
      <c r="E892" t="str">
        <f>_xlfn.XLOOKUP(F892, Keys!B:B, Keys!A:A, "找不到")</f>
        <v>FA</v>
      </c>
      <c r="F892" t="s">
        <v>63</v>
      </c>
      <c r="G892">
        <v>7.7127809451741705E-2</v>
      </c>
      <c r="H892" t="s">
        <v>64</v>
      </c>
      <c r="I892" t="s">
        <v>65</v>
      </c>
      <c r="J892" t="s">
        <v>57</v>
      </c>
      <c r="K892">
        <v>73.400253058159748</v>
      </c>
      <c r="L892">
        <v>312.12641952985388</v>
      </c>
    </row>
    <row r="893" spans="1:12" hidden="1" x14ac:dyDescent="0.25">
      <c r="A893">
        <v>260</v>
      </c>
      <c r="B893" t="s">
        <v>1482</v>
      </c>
      <c r="C893" t="s">
        <v>1483</v>
      </c>
      <c r="D893" t="s">
        <v>1590</v>
      </c>
      <c r="E893" t="str">
        <f>_xlfn.XLOOKUP(F893, Keys!B:B, Keys!A:A, "找不到")</f>
        <v>FA</v>
      </c>
      <c r="F893" t="s">
        <v>63</v>
      </c>
      <c r="G893">
        <v>1.003038822123111</v>
      </c>
      <c r="H893" t="s">
        <v>64</v>
      </c>
      <c r="I893" t="s">
        <v>65</v>
      </c>
      <c r="J893" t="s">
        <v>2029</v>
      </c>
      <c r="K893">
        <v>339.51302392494262</v>
      </c>
      <c r="L893">
        <v>4059.1703358905488</v>
      </c>
    </row>
    <row r="894" spans="1:12" hidden="1" x14ac:dyDescent="0.25">
      <c r="A894">
        <v>261</v>
      </c>
      <c r="B894" t="s">
        <v>1482</v>
      </c>
      <c r="C894" t="s">
        <v>1483</v>
      </c>
      <c r="D894">
        <v>0</v>
      </c>
      <c r="E894" t="str">
        <f>_xlfn.XLOOKUP(F894, Keys!B:B, Keys!A:A, "找不到")</f>
        <v>FA</v>
      </c>
      <c r="F894" t="s">
        <v>63</v>
      </c>
      <c r="G894">
        <v>1.005853327856119</v>
      </c>
      <c r="H894" t="s">
        <v>64</v>
      </c>
      <c r="I894" t="s">
        <v>65</v>
      </c>
      <c r="J894" t="s">
        <v>2033</v>
      </c>
      <c r="K894">
        <v>255.2228919819608</v>
      </c>
      <c r="L894">
        <v>4070.560282051792</v>
      </c>
    </row>
    <row r="895" spans="1:12" hidden="1" x14ac:dyDescent="0.25">
      <c r="A895">
        <v>262</v>
      </c>
      <c r="B895" t="s">
        <v>1482</v>
      </c>
      <c r="C895" t="s">
        <v>1483</v>
      </c>
      <c r="D895" t="s">
        <v>1612</v>
      </c>
      <c r="E895" t="str">
        <f>_xlfn.XLOOKUP(F895, Keys!B:B, Keys!A:A, "找不到")</f>
        <v>FA</v>
      </c>
      <c r="F895" t="s">
        <v>63</v>
      </c>
      <c r="G895">
        <v>9.8687142259320917E-2</v>
      </c>
      <c r="H895" t="s">
        <v>64</v>
      </c>
      <c r="I895" t="s">
        <v>65</v>
      </c>
      <c r="J895" t="s">
        <v>1655</v>
      </c>
      <c r="K895">
        <v>115.0635285659762</v>
      </c>
      <c r="L895">
        <v>399.37429295600958</v>
      </c>
    </row>
    <row r="896" spans="1:12" hidden="1" x14ac:dyDescent="0.25">
      <c r="A896">
        <v>267</v>
      </c>
      <c r="B896" t="s">
        <v>1482</v>
      </c>
      <c r="C896" t="s">
        <v>1483</v>
      </c>
      <c r="D896" t="s">
        <v>1612</v>
      </c>
      <c r="E896" t="str">
        <f>_xlfn.XLOOKUP(F896, Keys!B:B, Keys!A:A, "找不到")</f>
        <v>FA</v>
      </c>
      <c r="F896" t="s">
        <v>63</v>
      </c>
      <c r="G896">
        <v>0.48773161344043642</v>
      </c>
      <c r="H896" t="s">
        <v>64</v>
      </c>
      <c r="I896" t="s">
        <v>65</v>
      </c>
      <c r="J896" t="s">
        <v>1704</v>
      </c>
      <c r="K896">
        <v>186.37828102751709</v>
      </c>
      <c r="L896">
        <v>1973.7877074018779</v>
      </c>
    </row>
    <row r="897" spans="1:12" hidden="1" x14ac:dyDescent="0.25">
      <c r="A897">
        <v>11</v>
      </c>
      <c r="B897" t="s">
        <v>714</v>
      </c>
      <c r="C897" t="s">
        <v>715</v>
      </c>
      <c r="D897" t="s">
        <v>731</v>
      </c>
      <c r="E897" t="str">
        <f>_xlfn.XLOOKUP(F897, Keys!B:B, Keys!A:A, "找不到")</f>
        <v>OUT</v>
      </c>
      <c r="F897" t="s">
        <v>403</v>
      </c>
      <c r="G897">
        <v>10.229573264618899</v>
      </c>
      <c r="H897">
        <v>0</v>
      </c>
      <c r="I897" t="s">
        <v>38</v>
      </c>
      <c r="J897" t="s">
        <v>57</v>
      </c>
      <c r="K897">
        <v>0</v>
      </c>
      <c r="L897">
        <v>0</v>
      </c>
    </row>
    <row r="898" spans="1:12" hidden="1" x14ac:dyDescent="0.25">
      <c r="A898">
        <v>12</v>
      </c>
      <c r="B898" t="s">
        <v>714</v>
      </c>
      <c r="C898" t="s">
        <v>715</v>
      </c>
      <c r="D898" t="s">
        <v>731</v>
      </c>
      <c r="E898" t="str">
        <f>_xlfn.XLOOKUP(F898, Keys!B:B, Keys!A:A, "找不到")</f>
        <v>OUT</v>
      </c>
      <c r="F898" t="s">
        <v>403</v>
      </c>
      <c r="G898">
        <v>3.95386713074388</v>
      </c>
      <c r="H898">
        <v>0</v>
      </c>
      <c r="I898" t="s">
        <v>38</v>
      </c>
      <c r="J898" t="s">
        <v>57</v>
      </c>
      <c r="K898">
        <v>0</v>
      </c>
      <c r="L898">
        <v>0</v>
      </c>
    </row>
    <row r="899" spans="1:12" hidden="1" x14ac:dyDescent="0.25">
      <c r="A899">
        <v>13</v>
      </c>
      <c r="B899" t="s">
        <v>714</v>
      </c>
      <c r="C899" t="s">
        <v>715</v>
      </c>
      <c r="D899">
        <v>0</v>
      </c>
      <c r="E899" t="str">
        <f>_xlfn.XLOOKUP(F899, Keys!B:B, Keys!A:A, "找不到")</f>
        <v>OUT</v>
      </c>
      <c r="F899" t="s">
        <v>403</v>
      </c>
      <c r="G899">
        <v>3.870834667441422</v>
      </c>
      <c r="H899">
        <v>0</v>
      </c>
      <c r="I899" t="s">
        <v>38</v>
      </c>
      <c r="J899" t="s">
        <v>742</v>
      </c>
      <c r="K899">
        <v>0</v>
      </c>
      <c r="L899">
        <v>0</v>
      </c>
    </row>
    <row r="900" spans="1:12" hidden="1" x14ac:dyDescent="0.25">
      <c r="A900">
        <v>15</v>
      </c>
      <c r="B900" t="s">
        <v>714</v>
      </c>
      <c r="C900" t="s">
        <v>715</v>
      </c>
      <c r="D900">
        <v>0</v>
      </c>
      <c r="E900" t="str">
        <f>_xlfn.XLOOKUP(F900, Keys!B:B, Keys!A:A, "找不到")</f>
        <v>OUT</v>
      </c>
      <c r="F900" t="s">
        <v>403</v>
      </c>
      <c r="G900">
        <v>4.1372716258539981</v>
      </c>
      <c r="H900">
        <v>0</v>
      </c>
      <c r="I900" t="s">
        <v>38</v>
      </c>
      <c r="J900" t="s">
        <v>745</v>
      </c>
      <c r="K900">
        <v>0</v>
      </c>
      <c r="L900">
        <v>0</v>
      </c>
    </row>
    <row r="901" spans="1:12" hidden="1" x14ac:dyDescent="0.25">
      <c r="A901">
        <v>16</v>
      </c>
      <c r="B901" t="s">
        <v>714</v>
      </c>
      <c r="C901" t="s">
        <v>715</v>
      </c>
      <c r="D901">
        <v>0</v>
      </c>
      <c r="E901" t="str">
        <f>_xlfn.XLOOKUP(F901, Keys!B:B, Keys!A:A, "找不到")</f>
        <v>OUT</v>
      </c>
      <c r="F901" t="s">
        <v>403</v>
      </c>
      <c r="G901">
        <v>0.41050272562717088</v>
      </c>
      <c r="H901">
        <v>0</v>
      </c>
      <c r="I901" t="s">
        <v>38</v>
      </c>
      <c r="J901" t="s">
        <v>742</v>
      </c>
      <c r="K901">
        <v>0</v>
      </c>
      <c r="L901">
        <v>0</v>
      </c>
    </row>
    <row r="902" spans="1:12" hidden="1" x14ac:dyDescent="0.25">
      <c r="A902">
        <v>17</v>
      </c>
      <c r="B902" t="s">
        <v>714</v>
      </c>
      <c r="C902" t="s">
        <v>715</v>
      </c>
      <c r="D902">
        <v>0</v>
      </c>
      <c r="E902" t="str">
        <f>_xlfn.XLOOKUP(F902, Keys!B:B, Keys!A:A, "找不到")</f>
        <v>OUT</v>
      </c>
      <c r="F902" t="s">
        <v>403</v>
      </c>
      <c r="G902">
        <v>2.851124508588025</v>
      </c>
      <c r="H902">
        <v>0</v>
      </c>
      <c r="I902" t="s">
        <v>38</v>
      </c>
      <c r="J902" t="s">
        <v>742</v>
      </c>
      <c r="K902">
        <v>0</v>
      </c>
      <c r="L902">
        <v>0</v>
      </c>
    </row>
    <row r="903" spans="1:12" hidden="1" x14ac:dyDescent="0.25">
      <c r="A903">
        <v>18</v>
      </c>
      <c r="B903" t="s">
        <v>714</v>
      </c>
      <c r="C903" t="s">
        <v>715</v>
      </c>
      <c r="D903">
        <v>0</v>
      </c>
      <c r="E903" t="str">
        <f>_xlfn.XLOOKUP(F903, Keys!B:B, Keys!A:A, "找不到")</f>
        <v>OUT</v>
      </c>
      <c r="F903" t="s">
        <v>403</v>
      </c>
      <c r="G903">
        <v>10.95012325794948</v>
      </c>
      <c r="H903">
        <v>0</v>
      </c>
      <c r="I903" t="s">
        <v>38</v>
      </c>
      <c r="J903" t="s">
        <v>742</v>
      </c>
      <c r="K903">
        <v>0</v>
      </c>
      <c r="L903">
        <v>0</v>
      </c>
    </row>
    <row r="904" spans="1:12" hidden="1" x14ac:dyDescent="0.25">
      <c r="A904">
        <v>20</v>
      </c>
      <c r="B904" t="s">
        <v>714</v>
      </c>
      <c r="C904" t="s">
        <v>715</v>
      </c>
      <c r="D904" t="s">
        <v>754</v>
      </c>
      <c r="E904" t="str">
        <f>_xlfn.XLOOKUP(F904, Keys!B:B, Keys!A:A, "找不到")</f>
        <v>OUT</v>
      </c>
      <c r="F904" t="s">
        <v>403</v>
      </c>
      <c r="G904">
        <v>0.92825758424818194</v>
      </c>
      <c r="H904">
        <v>0</v>
      </c>
      <c r="I904" t="s">
        <v>38</v>
      </c>
      <c r="J904" t="s">
        <v>745</v>
      </c>
      <c r="K904">
        <v>0</v>
      </c>
      <c r="L904">
        <v>0</v>
      </c>
    </row>
    <row r="905" spans="1:12" hidden="1" x14ac:dyDescent="0.25">
      <c r="A905">
        <v>21</v>
      </c>
      <c r="B905" t="s">
        <v>714</v>
      </c>
      <c r="C905" t="s">
        <v>715</v>
      </c>
      <c r="D905" t="s">
        <v>757</v>
      </c>
      <c r="E905" t="str">
        <f>_xlfn.XLOOKUP(F905, Keys!B:B, Keys!A:A, "找不到")</f>
        <v>OUT</v>
      </c>
      <c r="F905" t="s">
        <v>403</v>
      </c>
      <c r="G905">
        <v>6.7450893879075924</v>
      </c>
      <c r="H905">
        <v>0</v>
      </c>
      <c r="I905" t="s">
        <v>38</v>
      </c>
      <c r="J905" t="s">
        <v>742</v>
      </c>
      <c r="K905">
        <v>0</v>
      </c>
      <c r="L905">
        <v>0</v>
      </c>
    </row>
    <row r="906" spans="1:12" hidden="1" x14ac:dyDescent="0.25">
      <c r="A906">
        <v>22</v>
      </c>
      <c r="B906" t="s">
        <v>714</v>
      </c>
      <c r="C906" t="s">
        <v>715</v>
      </c>
      <c r="D906" t="s">
        <v>731</v>
      </c>
      <c r="E906" t="str">
        <f>_xlfn.XLOOKUP(F906, Keys!B:B, Keys!A:A, "找不到")</f>
        <v>OUT</v>
      </c>
      <c r="F906" t="s">
        <v>403</v>
      </c>
      <c r="G906">
        <v>8.3306215497933458</v>
      </c>
      <c r="H906">
        <v>0</v>
      </c>
      <c r="I906" t="s">
        <v>38</v>
      </c>
      <c r="J906" t="s">
        <v>745</v>
      </c>
      <c r="K906">
        <v>0</v>
      </c>
      <c r="L906">
        <v>0</v>
      </c>
    </row>
    <row r="907" spans="1:12" hidden="1" x14ac:dyDescent="0.25">
      <c r="A907">
        <v>23</v>
      </c>
      <c r="B907" t="s">
        <v>714</v>
      </c>
      <c r="C907" t="s">
        <v>715</v>
      </c>
      <c r="D907" t="s">
        <v>757</v>
      </c>
      <c r="E907" t="str">
        <f>_xlfn.XLOOKUP(F907, Keys!B:B, Keys!A:A, "找不到")</f>
        <v>OUT</v>
      </c>
      <c r="F907" t="s">
        <v>403</v>
      </c>
      <c r="G907">
        <v>3.2479996662278201</v>
      </c>
      <c r="H907">
        <v>0</v>
      </c>
      <c r="I907" t="s">
        <v>38</v>
      </c>
      <c r="J907" t="s">
        <v>742</v>
      </c>
      <c r="K907">
        <v>0</v>
      </c>
      <c r="L907">
        <v>0</v>
      </c>
    </row>
    <row r="908" spans="1:12" hidden="1" x14ac:dyDescent="0.25">
      <c r="A908">
        <v>24</v>
      </c>
      <c r="B908" t="s">
        <v>714</v>
      </c>
      <c r="C908" t="s">
        <v>715</v>
      </c>
      <c r="D908" t="s">
        <v>757</v>
      </c>
      <c r="E908" t="str">
        <f>_xlfn.XLOOKUP(F908, Keys!B:B, Keys!A:A, "找不到")</f>
        <v>OUT</v>
      </c>
      <c r="F908" t="s">
        <v>403</v>
      </c>
      <c r="G908">
        <v>1.9213115459133681</v>
      </c>
      <c r="H908">
        <v>0</v>
      </c>
      <c r="I908" t="s">
        <v>38</v>
      </c>
      <c r="J908" t="s">
        <v>742</v>
      </c>
      <c r="K908">
        <v>0</v>
      </c>
      <c r="L908">
        <v>0</v>
      </c>
    </row>
    <row r="909" spans="1:12" hidden="1" x14ac:dyDescent="0.25">
      <c r="A909">
        <v>25</v>
      </c>
      <c r="B909" t="s">
        <v>714</v>
      </c>
      <c r="C909" t="s">
        <v>715</v>
      </c>
      <c r="D909" t="s">
        <v>754</v>
      </c>
      <c r="E909" t="str">
        <f>_xlfn.XLOOKUP(F909, Keys!B:B, Keys!A:A, "找不到")</f>
        <v>OUT</v>
      </c>
      <c r="F909" t="s">
        <v>403</v>
      </c>
      <c r="G909">
        <v>11.552364710683429</v>
      </c>
      <c r="H909">
        <v>0</v>
      </c>
      <c r="I909" t="s">
        <v>38</v>
      </c>
      <c r="J909" t="s">
        <v>745</v>
      </c>
      <c r="K909">
        <v>0</v>
      </c>
      <c r="L909">
        <v>0</v>
      </c>
    </row>
    <row r="910" spans="1:12" hidden="1" x14ac:dyDescent="0.25">
      <c r="A910">
        <v>26</v>
      </c>
      <c r="B910" t="s">
        <v>714</v>
      </c>
      <c r="C910" t="s">
        <v>715</v>
      </c>
      <c r="D910" t="s">
        <v>757</v>
      </c>
      <c r="E910" t="str">
        <f>_xlfn.XLOOKUP(F910, Keys!B:B, Keys!A:A, "找不到")</f>
        <v>OUT</v>
      </c>
      <c r="F910" t="s">
        <v>403</v>
      </c>
      <c r="G910">
        <v>1.2021821365563019</v>
      </c>
      <c r="H910">
        <v>0</v>
      </c>
      <c r="I910" t="s">
        <v>38</v>
      </c>
      <c r="J910" t="s">
        <v>742</v>
      </c>
      <c r="K910">
        <v>0</v>
      </c>
      <c r="L910">
        <v>0</v>
      </c>
    </row>
    <row r="911" spans="1:12" hidden="1" x14ac:dyDescent="0.25">
      <c r="A911">
        <v>27</v>
      </c>
      <c r="B911" t="s">
        <v>714</v>
      </c>
      <c r="C911" t="s">
        <v>715</v>
      </c>
      <c r="D911" t="s">
        <v>757</v>
      </c>
      <c r="E911" t="str">
        <f>_xlfn.XLOOKUP(F911, Keys!B:B, Keys!A:A, "找不到")</f>
        <v>OUT</v>
      </c>
      <c r="F911" t="s">
        <v>403</v>
      </c>
      <c r="G911">
        <v>2.050085836750327</v>
      </c>
      <c r="H911">
        <v>0</v>
      </c>
      <c r="I911" t="s">
        <v>38</v>
      </c>
      <c r="J911" t="s">
        <v>742</v>
      </c>
      <c r="K911">
        <v>0</v>
      </c>
      <c r="L911">
        <v>0</v>
      </c>
    </row>
    <row r="912" spans="1:12" hidden="1" x14ac:dyDescent="0.25">
      <c r="A912">
        <v>28</v>
      </c>
      <c r="B912" t="s">
        <v>714</v>
      </c>
      <c r="C912" t="s">
        <v>715</v>
      </c>
      <c r="D912" t="s">
        <v>757</v>
      </c>
      <c r="E912" t="str">
        <f>_xlfn.XLOOKUP(F912, Keys!B:B, Keys!A:A, "找不到")</f>
        <v>OUT</v>
      </c>
      <c r="F912" t="s">
        <v>403</v>
      </c>
      <c r="G912">
        <v>0.25573024488207169</v>
      </c>
      <c r="H912">
        <v>0</v>
      </c>
      <c r="I912" t="s">
        <v>38</v>
      </c>
      <c r="J912" t="s">
        <v>742</v>
      </c>
      <c r="K912">
        <v>0</v>
      </c>
      <c r="L912">
        <v>0</v>
      </c>
    </row>
    <row r="913" spans="1:12" hidden="1" x14ac:dyDescent="0.25">
      <c r="A913">
        <v>29</v>
      </c>
      <c r="B913" t="s">
        <v>714</v>
      </c>
      <c r="C913" t="s">
        <v>715</v>
      </c>
      <c r="D913" t="s">
        <v>757</v>
      </c>
      <c r="E913" t="str">
        <f>_xlfn.XLOOKUP(F913, Keys!B:B, Keys!A:A, "找不到")</f>
        <v>OUT</v>
      </c>
      <c r="F913" t="s">
        <v>403</v>
      </c>
      <c r="G913">
        <v>11.048144462814291</v>
      </c>
      <c r="H913">
        <v>0</v>
      </c>
      <c r="I913" t="s">
        <v>38</v>
      </c>
      <c r="J913" t="s">
        <v>742</v>
      </c>
      <c r="K913">
        <v>0</v>
      </c>
      <c r="L913">
        <v>0</v>
      </c>
    </row>
    <row r="914" spans="1:12" hidden="1" x14ac:dyDescent="0.25">
      <c r="A914">
        <v>30</v>
      </c>
      <c r="B914" t="s">
        <v>714</v>
      </c>
      <c r="C914" t="s">
        <v>715</v>
      </c>
      <c r="D914" t="s">
        <v>731</v>
      </c>
      <c r="E914" t="str">
        <f>_xlfn.XLOOKUP(F914, Keys!B:B, Keys!A:A, "找不到")</f>
        <v>OUT</v>
      </c>
      <c r="F914" t="s">
        <v>403</v>
      </c>
      <c r="G914">
        <v>6.6919727840163139</v>
      </c>
      <c r="H914">
        <v>0</v>
      </c>
      <c r="I914" t="s">
        <v>38</v>
      </c>
      <c r="J914" t="s">
        <v>745</v>
      </c>
      <c r="K914">
        <v>0</v>
      </c>
      <c r="L914">
        <v>0</v>
      </c>
    </row>
    <row r="915" spans="1:12" hidden="1" x14ac:dyDescent="0.25">
      <c r="A915">
        <v>31</v>
      </c>
      <c r="B915" t="s">
        <v>714</v>
      </c>
      <c r="C915" t="s">
        <v>715</v>
      </c>
      <c r="D915" t="s">
        <v>757</v>
      </c>
      <c r="E915" t="str">
        <f>_xlfn.XLOOKUP(F915, Keys!B:B, Keys!A:A, "找不到")</f>
        <v>OUT</v>
      </c>
      <c r="F915" t="s">
        <v>403</v>
      </c>
      <c r="G915">
        <v>0.8580989642581639</v>
      </c>
      <c r="H915">
        <v>0</v>
      </c>
      <c r="I915" t="s">
        <v>38</v>
      </c>
      <c r="J915" t="s">
        <v>772</v>
      </c>
      <c r="K915">
        <v>0</v>
      </c>
      <c r="L915">
        <v>0</v>
      </c>
    </row>
    <row r="916" spans="1:12" hidden="1" x14ac:dyDescent="0.25">
      <c r="A916">
        <v>33</v>
      </c>
      <c r="B916" t="s">
        <v>714</v>
      </c>
      <c r="C916" t="s">
        <v>715</v>
      </c>
      <c r="D916" t="s">
        <v>57</v>
      </c>
      <c r="E916" t="str">
        <f>_xlfn.XLOOKUP(F916, Keys!B:B, Keys!A:A, "找不到")</f>
        <v>OUT</v>
      </c>
      <c r="F916" t="s">
        <v>403</v>
      </c>
      <c r="G916">
        <v>11.11389241663524</v>
      </c>
      <c r="H916">
        <v>0</v>
      </c>
      <c r="I916" t="s">
        <v>38</v>
      </c>
      <c r="J916" t="s">
        <v>745</v>
      </c>
      <c r="K916">
        <v>0</v>
      </c>
      <c r="L916">
        <v>0</v>
      </c>
    </row>
    <row r="917" spans="1:12" hidden="1" x14ac:dyDescent="0.25">
      <c r="A917">
        <v>34</v>
      </c>
      <c r="B917" t="s">
        <v>714</v>
      </c>
      <c r="C917" t="s">
        <v>715</v>
      </c>
      <c r="D917" t="s">
        <v>757</v>
      </c>
      <c r="E917" t="str">
        <f>_xlfn.XLOOKUP(F917, Keys!B:B, Keys!A:A, "找不到")</f>
        <v>OUT</v>
      </c>
      <c r="F917" t="s">
        <v>403</v>
      </c>
      <c r="G917">
        <v>20.675119662705189</v>
      </c>
      <c r="H917">
        <v>0</v>
      </c>
      <c r="I917" t="s">
        <v>38</v>
      </c>
      <c r="J917" t="s">
        <v>742</v>
      </c>
      <c r="K917">
        <v>0</v>
      </c>
      <c r="L917">
        <v>0</v>
      </c>
    </row>
    <row r="918" spans="1:12" hidden="1" x14ac:dyDescent="0.25">
      <c r="A918">
        <v>35</v>
      </c>
      <c r="B918" t="s">
        <v>714</v>
      </c>
      <c r="C918" t="s">
        <v>715</v>
      </c>
      <c r="D918" t="s">
        <v>757</v>
      </c>
      <c r="E918" t="str">
        <f>_xlfn.XLOOKUP(F918, Keys!B:B, Keys!A:A, "找不到")</f>
        <v>OUT</v>
      </c>
      <c r="F918" t="s">
        <v>403</v>
      </c>
      <c r="G918">
        <v>40.563824570552192</v>
      </c>
      <c r="H918">
        <v>0</v>
      </c>
      <c r="I918" t="s">
        <v>38</v>
      </c>
      <c r="J918" t="s">
        <v>742</v>
      </c>
      <c r="K918">
        <v>0</v>
      </c>
      <c r="L918">
        <v>0</v>
      </c>
    </row>
    <row r="919" spans="1:12" hidden="1" x14ac:dyDescent="0.25">
      <c r="A919">
        <v>36</v>
      </c>
      <c r="B919" t="s">
        <v>714</v>
      </c>
      <c r="C919" t="s">
        <v>715</v>
      </c>
      <c r="D919" t="s">
        <v>757</v>
      </c>
      <c r="E919" t="str">
        <f>_xlfn.XLOOKUP(F919, Keys!B:B, Keys!A:A, "找不到")</f>
        <v>OUT</v>
      </c>
      <c r="F919" t="s">
        <v>403</v>
      </c>
      <c r="G919">
        <v>20.28121848223131</v>
      </c>
      <c r="H919">
        <v>0</v>
      </c>
      <c r="I919" t="s">
        <v>38</v>
      </c>
      <c r="J919" t="s">
        <v>742</v>
      </c>
      <c r="K919">
        <v>0</v>
      </c>
      <c r="L919">
        <v>0</v>
      </c>
    </row>
    <row r="920" spans="1:12" hidden="1" x14ac:dyDescent="0.25">
      <c r="A920">
        <v>37</v>
      </c>
      <c r="B920" t="s">
        <v>714</v>
      </c>
      <c r="C920" t="s">
        <v>715</v>
      </c>
      <c r="D920" t="s">
        <v>731</v>
      </c>
      <c r="E920" t="str">
        <f>_xlfn.XLOOKUP(F920, Keys!B:B, Keys!A:A, "找不到")</f>
        <v>OUT</v>
      </c>
      <c r="F920" t="s">
        <v>403</v>
      </c>
      <c r="G920">
        <v>28.416780390880081</v>
      </c>
      <c r="H920">
        <v>0</v>
      </c>
      <c r="I920" t="s">
        <v>38</v>
      </c>
      <c r="J920" t="s">
        <v>745</v>
      </c>
      <c r="K920">
        <v>0</v>
      </c>
      <c r="L920">
        <v>0</v>
      </c>
    </row>
    <row r="921" spans="1:12" hidden="1" x14ac:dyDescent="0.25">
      <c r="A921">
        <v>38</v>
      </c>
      <c r="B921" t="s">
        <v>714</v>
      </c>
      <c r="C921" t="s">
        <v>715</v>
      </c>
      <c r="D921" t="s">
        <v>781</v>
      </c>
      <c r="E921" t="str">
        <f>_xlfn.XLOOKUP(F921, Keys!B:B, Keys!A:A, "找不到")</f>
        <v>OUT</v>
      </c>
      <c r="F921" t="s">
        <v>403</v>
      </c>
      <c r="G921">
        <v>14.69856566123209</v>
      </c>
      <c r="H921">
        <v>0</v>
      </c>
      <c r="I921" t="s">
        <v>38</v>
      </c>
      <c r="J921" t="s">
        <v>745</v>
      </c>
      <c r="K921">
        <v>0</v>
      </c>
      <c r="L921">
        <v>0</v>
      </c>
    </row>
    <row r="922" spans="1:12" hidden="1" x14ac:dyDescent="0.25">
      <c r="A922">
        <v>39</v>
      </c>
      <c r="B922" t="s">
        <v>714</v>
      </c>
      <c r="C922" t="s">
        <v>715</v>
      </c>
      <c r="D922" t="s">
        <v>57</v>
      </c>
      <c r="E922" t="str">
        <f>_xlfn.XLOOKUP(F922, Keys!B:B, Keys!A:A, "找不到")</f>
        <v>OUT</v>
      </c>
      <c r="F922" t="s">
        <v>403</v>
      </c>
      <c r="G922">
        <v>13.123945076529051</v>
      </c>
      <c r="H922">
        <v>0</v>
      </c>
      <c r="I922" t="s">
        <v>38</v>
      </c>
      <c r="J922" t="s">
        <v>57</v>
      </c>
      <c r="K922">
        <v>0</v>
      </c>
      <c r="L922">
        <v>0</v>
      </c>
    </row>
    <row r="923" spans="1:12" hidden="1" x14ac:dyDescent="0.25">
      <c r="A923">
        <v>40</v>
      </c>
      <c r="B923" t="s">
        <v>714</v>
      </c>
      <c r="C923" t="s">
        <v>715</v>
      </c>
      <c r="D923" t="s">
        <v>731</v>
      </c>
      <c r="E923" t="str">
        <f>_xlfn.XLOOKUP(F923, Keys!B:B, Keys!A:A, "找不到")</f>
        <v>OUT</v>
      </c>
      <c r="F923" t="s">
        <v>403</v>
      </c>
      <c r="G923">
        <v>13.710099423109749</v>
      </c>
      <c r="H923">
        <v>0</v>
      </c>
      <c r="I923" t="s">
        <v>38</v>
      </c>
      <c r="J923" t="s">
        <v>745</v>
      </c>
      <c r="K923">
        <v>0</v>
      </c>
      <c r="L923">
        <v>0</v>
      </c>
    </row>
    <row r="924" spans="1:12" hidden="1" x14ac:dyDescent="0.25">
      <c r="A924">
        <v>41</v>
      </c>
      <c r="B924" t="s">
        <v>714</v>
      </c>
      <c r="C924" t="s">
        <v>715</v>
      </c>
      <c r="D924" t="s">
        <v>731</v>
      </c>
      <c r="E924" t="str">
        <f>_xlfn.XLOOKUP(F924, Keys!B:B, Keys!A:A, "找不到")</f>
        <v>OUT</v>
      </c>
      <c r="F924" t="s">
        <v>403</v>
      </c>
      <c r="G924">
        <v>19.752852599922299</v>
      </c>
      <c r="H924">
        <v>0</v>
      </c>
      <c r="I924" t="s">
        <v>38</v>
      </c>
      <c r="J924" t="s">
        <v>745</v>
      </c>
      <c r="K924">
        <v>0</v>
      </c>
      <c r="L924">
        <v>0</v>
      </c>
    </row>
    <row r="925" spans="1:12" hidden="1" x14ac:dyDescent="0.25">
      <c r="A925">
        <v>42</v>
      </c>
      <c r="B925" t="s">
        <v>714</v>
      </c>
      <c r="C925" t="s">
        <v>715</v>
      </c>
      <c r="D925" t="s">
        <v>731</v>
      </c>
      <c r="E925" t="str">
        <f>_xlfn.XLOOKUP(F925, Keys!B:B, Keys!A:A, "找不到")</f>
        <v>OUT</v>
      </c>
      <c r="F925" t="s">
        <v>403</v>
      </c>
      <c r="G925">
        <v>5.0550881030346702</v>
      </c>
      <c r="H925">
        <v>0</v>
      </c>
      <c r="I925" t="s">
        <v>38</v>
      </c>
      <c r="J925" t="s">
        <v>745</v>
      </c>
      <c r="K925">
        <v>0</v>
      </c>
      <c r="L925">
        <v>0</v>
      </c>
    </row>
    <row r="926" spans="1:12" hidden="1" x14ac:dyDescent="0.25">
      <c r="A926">
        <v>43</v>
      </c>
      <c r="B926" t="s">
        <v>714</v>
      </c>
      <c r="C926" t="s">
        <v>715</v>
      </c>
      <c r="D926" t="s">
        <v>57</v>
      </c>
      <c r="E926" t="str">
        <f>_xlfn.XLOOKUP(F926, Keys!B:B, Keys!A:A, "找不到")</f>
        <v>OUT</v>
      </c>
      <c r="F926" t="s">
        <v>403</v>
      </c>
      <c r="G926">
        <v>14.07354600333406</v>
      </c>
      <c r="H926">
        <v>0</v>
      </c>
      <c r="I926" t="s">
        <v>38</v>
      </c>
      <c r="J926" t="s">
        <v>57</v>
      </c>
      <c r="K926">
        <v>0</v>
      </c>
      <c r="L926">
        <v>0</v>
      </c>
    </row>
    <row r="927" spans="1:12" hidden="1" x14ac:dyDescent="0.25">
      <c r="A927">
        <v>44</v>
      </c>
      <c r="B927" t="s">
        <v>714</v>
      </c>
      <c r="C927" t="s">
        <v>715</v>
      </c>
      <c r="D927">
        <v>0</v>
      </c>
      <c r="E927" t="str">
        <f>_xlfn.XLOOKUP(F927, Keys!B:B, Keys!A:A, "找不到")</f>
        <v>OUT</v>
      </c>
      <c r="F927" t="s">
        <v>403</v>
      </c>
      <c r="G927">
        <v>10.139675037271431</v>
      </c>
      <c r="H927">
        <v>0</v>
      </c>
      <c r="I927" t="s">
        <v>38</v>
      </c>
      <c r="J927" t="s">
        <v>789</v>
      </c>
      <c r="K927">
        <v>0</v>
      </c>
      <c r="L927">
        <v>0</v>
      </c>
    </row>
    <row r="928" spans="1:12" hidden="1" x14ac:dyDescent="0.25">
      <c r="A928">
        <v>45</v>
      </c>
      <c r="B928" t="s">
        <v>714</v>
      </c>
      <c r="C928" t="s">
        <v>715</v>
      </c>
      <c r="D928" t="s">
        <v>791</v>
      </c>
      <c r="E928" t="str">
        <f>_xlfn.XLOOKUP(F928, Keys!B:B, Keys!A:A, "找不到")</f>
        <v>OUT</v>
      </c>
      <c r="F928" t="s">
        <v>403</v>
      </c>
      <c r="G928">
        <v>11.708161967138469</v>
      </c>
      <c r="H928">
        <v>0</v>
      </c>
      <c r="I928" t="s">
        <v>38</v>
      </c>
      <c r="J928" t="s">
        <v>745</v>
      </c>
      <c r="K928">
        <v>0</v>
      </c>
      <c r="L928">
        <v>0</v>
      </c>
    </row>
    <row r="929" spans="1:12" hidden="1" x14ac:dyDescent="0.25">
      <c r="A929">
        <v>47</v>
      </c>
      <c r="B929" t="s">
        <v>714</v>
      </c>
      <c r="C929" t="s">
        <v>715</v>
      </c>
      <c r="D929" t="s">
        <v>791</v>
      </c>
      <c r="E929" t="str">
        <f>_xlfn.XLOOKUP(F929, Keys!B:B, Keys!A:A, "找不到")</f>
        <v>OUT</v>
      </c>
      <c r="F929" t="s">
        <v>403</v>
      </c>
      <c r="G929">
        <v>36.255813340699547</v>
      </c>
      <c r="H929">
        <v>0</v>
      </c>
      <c r="I929" t="s">
        <v>38</v>
      </c>
      <c r="J929" t="s">
        <v>57</v>
      </c>
      <c r="K929">
        <v>0</v>
      </c>
      <c r="L929">
        <v>0</v>
      </c>
    </row>
    <row r="930" spans="1:12" hidden="1" x14ac:dyDescent="0.25">
      <c r="A930">
        <v>48</v>
      </c>
      <c r="B930" t="s">
        <v>714</v>
      </c>
      <c r="C930" t="s">
        <v>715</v>
      </c>
      <c r="D930" t="s">
        <v>791</v>
      </c>
      <c r="E930" t="str">
        <f>_xlfn.XLOOKUP(F930, Keys!B:B, Keys!A:A, "找不到")</f>
        <v>OUT</v>
      </c>
      <c r="F930" t="s">
        <v>403</v>
      </c>
      <c r="G930">
        <v>25.47834609925329</v>
      </c>
      <c r="H930">
        <v>0</v>
      </c>
      <c r="I930" t="s">
        <v>38</v>
      </c>
      <c r="J930" t="s">
        <v>745</v>
      </c>
      <c r="K930">
        <v>0</v>
      </c>
      <c r="L930">
        <v>0</v>
      </c>
    </row>
    <row r="931" spans="1:12" hidden="1" x14ac:dyDescent="0.25">
      <c r="A931">
        <v>49</v>
      </c>
      <c r="B931" t="s">
        <v>714</v>
      </c>
      <c r="C931" t="s">
        <v>715</v>
      </c>
      <c r="D931" t="s">
        <v>791</v>
      </c>
      <c r="E931" t="str">
        <f>_xlfn.XLOOKUP(F931, Keys!B:B, Keys!A:A, "找不到")</f>
        <v>OUT</v>
      </c>
      <c r="F931" t="s">
        <v>403</v>
      </c>
      <c r="G931">
        <v>24.07909859974227</v>
      </c>
      <c r="H931">
        <v>0</v>
      </c>
      <c r="I931" t="s">
        <v>38</v>
      </c>
      <c r="J931" t="s">
        <v>745</v>
      </c>
      <c r="K931">
        <v>0</v>
      </c>
      <c r="L931">
        <v>0</v>
      </c>
    </row>
    <row r="932" spans="1:12" hidden="1" x14ac:dyDescent="0.25">
      <c r="A932">
        <v>50</v>
      </c>
      <c r="B932" t="s">
        <v>714</v>
      </c>
      <c r="C932" t="s">
        <v>715</v>
      </c>
      <c r="D932" t="s">
        <v>791</v>
      </c>
      <c r="E932" t="str">
        <f>_xlfn.XLOOKUP(F932, Keys!B:B, Keys!A:A, "找不到")</f>
        <v>OUT</v>
      </c>
      <c r="F932" t="s">
        <v>403</v>
      </c>
      <c r="G932">
        <v>17.448348004699248</v>
      </c>
      <c r="H932">
        <v>0</v>
      </c>
      <c r="I932" t="s">
        <v>38</v>
      </c>
      <c r="J932" t="s">
        <v>745</v>
      </c>
      <c r="K932">
        <v>0</v>
      </c>
      <c r="L932">
        <v>0</v>
      </c>
    </row>
    <row r="933" spans="1:12" hidden="1" x14ac:dyDescent="0.25">
      <c r="A933">
        <v>51</v>
      </c>
      <c r="B933" t="s">
        <v>714</v>
      </c>
      <c r="C933" t="s">
        <v>715</v>
      </c>
      <c r="D933" t="s">
        <v>798</v>
      </c>
      <c r="E933" t="str">
        <f>_xlfn.XLOOKUP(F933, Keys!B:B, Keys!A:A, "找不到")</f>
        <v>OUT</v>
      </c>
      <c r="F933" t="s">
        <v>403</v>
      </c>
      <c r="G933">
        <v>6.3329129110269973</v>
      </c>
      <c r="H933">
        <v>0</v>
      </c>
      <c r="I933" t="s">
        <v>38</v>
      </c>
      <c r="J933" t="s">
        <v>745</v>
      </c>
      <c r="K933">
        <v>0</v>
      </c>
      <c r="L933">
        <v>0</v>
      </c>
    </row>
    <row r="934" spans="1:12" hidden="1" x14ac:dyDescent="0.25">
      <c r="A934">
        <v>52</v>
      </c>
      <c r="B934" t="s">
        <v>714</v>
      </c>
      <c r="C934" t="s">
        <v>715</v>
      </c>
      <c r="D934" t="s">
        <v>798</v>
      </c>
      <c r="E934" t="str">
        <f>_xlfn.XLOOKUP(F934, Keys!B:B, Keys!A:A, "找不到")</f>
        <v>OUT</v>
      </c>
      <c r="F934" t="s">
        <v>403</v>
      </c>
      <c r="G934">
        <v>13.2497111021964</v>
      </c>
      <c r="H934">
        <v>0</v>
      </c>
      <c r="I934" t="s">
        <v>38</v>
      </c>
      <c r="J934" t="s">
        <v>745</v>
      </c>
      <c r="K934">
        <v>0</v>
      </c>
      <c r="L934">
        <v>0</v>
      </c>
    </row>
    <row r="935" spans="1:12" hidden="1" x14ac:dyDescent="0.25">
      <c r="A935">
        <v>53</v>
      </c>
      <c r="B935" t="s">
        <v>714</v>
      </c>
      <c r="C935" t="s">
        <v>715</v>
      </c>
      <c r="D935" t="s">
        <v>798</v>
      </c>
      <c r="E935" t="str">
        <f>_xlfn.XLOOKUP(F935, Keys!B:B, Keys!A:A, "找不到")</f>
        <v>OUT</v>
      </c>
      <c r="F935" t="s">
        <v>403</v>
      </c>
      <c r="G935">
        <v>2.5883796523277671</v>
      </c>
      <c r="H935">
        <v>0</v>
      </c>
      <c r="I935" t="s">
        <v>38</v>
      </c>
      <c r="J935" t="s">
        <v>745</v>
      </c>
      <c r="K935">
        <v>0</v>
      </c>
      <c r="L935">
        <v>0</v>
      </c>
    </row>
    <row r="936" spans="1:12" hidden="1" x14ac:dyDescent="0.25">
      <c r="A936">
        <v>55</v>
      </c>
      <c r="B936" t="s">
        <v>714</v>
      </c>
      <c r="C936" t="s">
        <v>715</v>
      </c>
      <c r="D936" t="s">
        <v>798</v>
      </c>
      <c r="E936" t="str">
        <f>_xlfn.XLOOKUP(F936, Keys!B:B, Keys!A:A, "找不到")</f>
        <v>OUT</v>
      </c>
      <c r="F936" t="s">
        <v>403</v>
      </c>
      <c r="G936">
        <v>7.3620225373320194</v>
      </c>
      <c r="H936">
        <v>0</v>
      </c>
      <c r="I936" t="s">
        <v>38</v>
      </c>
      <c r="J936" t="s">
        <v>745</v>
      </c>
      <c r="K936">
        <v>0</v>
      </c>
      <c r="L936">
        <v>0</v>
      </c>
    </row>
    <row r="937" spans="1:12" hidden="1" x14ac:dyDescent="0.25">
      <c r="A937">
        <v>56</v>
      </c>
      <c r="B937" t="s">
        <v>714</v>
      </c>
      <c r="C937" t="s">
        <v>715</v>
      </c>
      <c r="D937" t="s">
        <v>798</v>
      </c>
      <c r="E937" t="str">
        <f>_xlfn.XLOOKUP(F937, Keys!B:B, Keys!A:A, "找不到")</f>
        <v>OUT</v>
      </c>
      <c r="F937" t="s">
        <v>403</v>
      </c>
      <c r="G937">
        <v>5.1815250240766311</v>
      </c>
      <c r="H937">
        <v>0</v>
      </c>
      <c r="I937" t="s">
        <v>38</v>
      </c>
      <c r="J937" t="s">
        <v>745</v>
      </c>
      <c r="K937">
        <v>0</v>
      </c>
      <c r="L937">
        <v>0</v>
      </c>
    </row>
    <row r="938" spans="1:12" hidden="1" x14ac:dyDescent="0.25">
      <c r="A938">
        <v>57</v>
      </c>
      <c r="B938" t="s">
        <v>714</v>
      </c>
      <c r="C938" t="s">
        <v>715</v>
      </c>
      <c r="D938" t="s">
        <v>807</v>
      </c>
      <c r="E938" t="str">
        <f>_xlfn.XLOOKUP(F938, Keys!B:B, Keys!A:A, "找不到")</f>
        <v>OUT</v>
      </c>
      <c r="F938" t="s">
        <v>403</v>
      </c>
      <c r="G938">
        <v>13.69156592560021</v>
      </c>
      <c r="H938">
        <v>0</v>
      </c>
      <c r="I938" t="s">
        <v>38</v>
      </c>
      <c r="J938" t="s">
        <v>745</v>
      </c>
      <c r="K938">
        <v>0</v>
      </c>
      <c r="L938">
        <v>0</v>
      </c>
    </row>
    <row r="939" spans="1:12" hidden="1" x14ac:dyDescent="0.25">
      <c r="A939">
        <v>58</v>
      </c>
      <c r="B939" t="s">
        <v>714</v>
      </c>
      <c r="C939" t="s">
        <v>715</v>
      </c>
      <c r="D939">
        <v>0</v>
      </c>
      <c r="E939" t="str">
        <f>_xlfn.XLOOKUP(F939, Keys!B:B, Keys!A:A, "找不到")</f>
        <v>OUT</v>
      </c>
      <c r="F939" t="s">
        <v>403</v>
      </c>
      <c r="G939">
        <v>0.87517439371682881</v>
      </c>
      <c r="H939">
        <v>0</v>
      </c>
      <c r="I939" t="s">
        <v>38</v>
      </c>
      <c r="J939" t="s">
        <v>745</v>
      </c>
      <c r="K939">
        <v>0</v>
      </c>
      <c r="L939">
        <v>0</v>
      </c>
    </row>
    <row r="940" spans="1:12" hidden="1" x14ac:dyDescent="0.25">
      <c r="A940">
        <v>59</v>
      </c>
      <c r="B940" t="s">
        <v>714</v>
      </c>
      <c r="C940" t="s">
        <v>715</v>
      </c>
      <c r="D940">
        <v>0</v>
      </c>
      <c r="E940" t="str">
        <f>_xlfn.XLOOKUP(F940, Keys!B:B, Keys!A:A, "找不到")</f>
        <v>OUT</v>
      </c>
      <c r="F940" t="s">
        <v>403</v>
      </c>
      <c r="G940">
        <v>0.33411851813109222</v>
      </c>
      <c r="H940">
        <v>0</v>
      </c>
      <c r="I940" t="s">
        <v>38</v>
      </c>
      <c r="J940" t="s">
        <v>745</v>
      </c>
      <c r="K940">
        <v>0</v>
      </c>
      <c r="L940">
        <v>0</v>
      </c>
    </row>
    <row r="941" spans="1:12" hidden="1" x14ac:dyDescent="0.25">
      <c r="A941">
        <v>60</v>
      </c>
      <c r="B941" t="s">
        <v>714</v>
      </c>
      <c r="C941" t="s">
        <v>715</v>
      </c>
      <c r="D941">
        <v>0</v>
      </c>
      <c r="E941" t="str">
        <f>_xlfn.XLOOKUP(F941, Keys!B:B, Keys!A:A, "找不到")</f>
        <v>OUT</v>
      </c>
      <c r="F941" t="s">
        <v>403</v>
      </c>
      <c r="G941">
        <v>5.5293176291526924</v>
      </c>
      <c r="H941">
        <v>0</v>
      </c>
      <c r="I941" t="s">
        <v>38</v>
      </c>
      <c r="J941" t="s">
        <v>745</v>
      </c>
      <c r="K941">
        <v>0</v>
      </c>
      <c r="L941">
        <v>0</v>
      </c>
    </row>
    <row r="942" spans="1:12" hidden="1" x14ac:dyDescent="0.25">
      <c r="A942">
        <v>61</v>
      </c>
      <c r="B942" t="s">
        <v>714</v>
      </c>
      <c r="C942" t="s">
        <v>715</v>
      </c>
      <c r="D942">
        <v>0</v>
      </c>
      <c r="E942" t="str">
        <f>_xlfn.XLOOKUP(F942, Keys!B:B, Keys!A:A, "找不到")</f>
        <v>OUT</v>
      </c>
      <c r="F942" t="s">
        <v>403</v>
      </c>
      <c r="G942">
        <v>6.2471513800186038</v>
      </c>
      <c r="H942">
        <v>0</v>
      </c>
      <c r="I942" t="s">
        <v>38</v>
      </c>
      <c r="J942" t="s">
        <v>745</v>
      </c>
      <c r="K942">
        <v>0</v>
      </c>
      <c r="L942">
        <v>0</v>
      </c>
    </row>
    <row r="943" spans="1:12" hidden="1" x14ac:dyDescent="0.25">
      <c r="A943">
        <v>62</v>
      </c>
      <c r="B943" t="s">
        <v>714</v>
      </c>
      <c r="C943" t="s">
        <v>715</v>
      </c>
      <c r="D943">
        <v>0</v>
      </c>
      <c r="E943" t="str">
        <f>_xlfn.XLOOKUP(F943, Keys!B:B, Keys!A:A, "找不到")</f>
        <v>OUT</v>
      </c>
      <c r="F943" t="s">
        <v>403</v>
      </c>
      <c r="G943">
        <v>0.68169940794693629</v>
      </c>
      <c r="H943">
        <v>0</v>
      </c>
      <c r="I943" t="s">
        <v>38</v>
      </c>
      <c r="J943" t="s">
        <v>745</v>
      </c>
      <c r="K943">
        <v>0</v>
      </c>
      <c r="L943">
        <v>0</v>
      </c>
    </row>
    <row r="944" spans="1:12" hidden="1" x14ac:dyDescent="0.25">
      <c r="A944">
        <v>63</v>
      </c>
      <c r="B944" t="s">
        <v>714</v>
      </c>
      <c r="C944" t="s">
        <v>715</v>
      </c>
      <c r="D944">
        <v>0</v>
      </c>
      <c r="E944" t="str">
        <f>_xlfn.XLOOKUP(F944, Keys!B:B, Keys!A:A, "找不到")</f>
        <v>OUT</v>
      </c>
      <c r="F944" t="s">
        <v>403</v>
      </c>
      <c r="G944">
        <v>0.95730413070202314</v>
      </c>
      <c r="H944">
        <v>0</v>
      </c>
      <c r="I944" t="s">
        <v>38</v>
      </c>
      <c r="J944" t="s">
        <v>745</v>
      </c>
      <c r="K944">
        <v>0</v>
      </c>
      <c r="L944">
        <v>0</v>
      </c>
    </row>
    <row r="945" spans="1:12" hidden="1" x14ac:dyDescent="0.25">
      <c r="A945">
        <v>64</v>
      </c>
      <c r="B945" t="s">
        <v>714</v>
      </c>
      <c r="C945" t="s">
        <v>715</v>
      </c>
      <c r="D945" t="s">
        <v>807</v>
      </c>
      <c r="E945" t="str">
        <f>_xlfn.XLOOKUP(F945, Keys!B:B, Keys!A:A, "找不到")</f>
        <v>OUT</v>
      </c>
      <c r="F945" t="s">
        <v>403</v>
      </c>
      <c r="G945">
        <v>11.104557740224269</v>
      </c>
      <c r="H945">
        <v>0</v>
      </c>
      <c r="I945" t="s">
        <v>38</v>
      </c>
      <c r="J945" t="s">
        <v>745</v>
      </c>
      <c r="K945">
        <v>0</v>
      </c>
      <c r="L945">
        <v>0</v>
      </c>
    </row>
    <row r="946" spans="1:12" hidden="1" x14ac:dyDescent="0.25">
      <c r="A946">
        <v>66</v>
      </c>
      <c r="B946" t="s">
        <v>714</v>
      </c>
      <c r="C946" t="s">
        <v>715</v>
      </c>
      <c r="D946" t="s">
        <v>807</v>
      </c>
      <c r="E946" t="str">
        <f>_xlfn.XLOOKUP(F946, Keys!B:B, Keys!A:A, "找不到")</f>
        <v>OUT</v>
      </c>
      <c r="F946" t="s">
        <v>403</v>
      </c>
      <c r="G946">
        <v>6.4816185721878599</v>
      </c>
      <c r="H946">
        <v>0</v>
      </c>
      <c r="I946" t="s">
        <v>38</v>
      </c>
      <c r="J946" t="s">
        <v>745</v>
      </c>
      <c r="K946">
        <v>0</v>
      </c>
      <c r="L946">
        <v>0</v>
      </c>
    </row>
    <row r="947" spans="1:12" hidden="1" x14ac:dyDescent="0.25">
      <c r="A947">
        <v>70</v>
      </c>
      <c r="B947" t="s">
        <v>714</v>
      </c>
      <c r="C947" t="s">
        <v>715</v>
      </c>
      <c r="D947" t="s">
        <v>828</v>
      </c>
      <c r="E947" t="str">
        <f>_xlfn.XLOOKUP(F947, Keys!B:B, Keys!A:A, "找不到")</f>
        <v>OUT</v>
      </c>
      <c r="F947" t="s">
        <v>403</v>
      </c>
      <c r="G947">
        <v>2.9817798241966531</v>
      </c>
      <c r="H947">
        <v>0</v>
      </c>
      <c r="I947" t="s">
        <v>38</v>
      </c>
      <c r="J947" t="s">
        <v>745</v>
      </c>
      <c r="K947">
        <v>0</v>
      </c>
      <c r="L947">
        <v>0</v>
      </c>
    </row>
    <row r="948" spans="1:12" hidden="1" x14ac:dyDescent="0.25">
      <c r="A948">
        <v>71</v>
      </c>
      <c r="B948" t="s">
        <v>714</v>
      </c>
      <c r="C948" t="s">
        <v>715</v>
      </c>
      <c r="D948" t="s">
        <v>807</v>
      </c>
      <c r="E948" t="str">
        <f>_xlfn.XLOOKUP(F948, Keys!B:B, Keys!A:A, "找不到")</f>
        <v>OUT</v>
      </c>
      <c r="F948" t="s">
        <v>403</v>
      </c>
      <c r="G948">
        <v>3.9563502420134951</v>
      </c>
      <c r="H948">
        <v>0</v>
      </c>
      <c r="I948" t="s">
        <v>38</v>
      </c>
      <c r="J948" t="s">
        <v>745</v>
      </c>
      <c r="K948">
        <v>0</v>
      </c>
      <c r="L948">
        <v>0</v>
      </c>
    </row>
    <row r="949" spans="1:12" hidden="1" x14ac:dyDescent="0.25">
      <c r="A949">
        <v>72</v>
      </c>
      <c r="B949" t="s">
        <v>714</v>
      </c>
      <c r="C949" t="s">
        <v>715</v>
      </c>
      <c r="D949" t="s">
        <v>807</v>
      </c>
      <c r="E949" t="str">
        <f>_xlfn.XLOOKUP(F949, Keys!B:B, Keys!A:A, "找不到")</f>
        <v>OUT</v>
      </c>
      <c r="F949" t="s">
        <v>403</v>
      </c>
      <c r="G949">
        <v>8.4941731151192332</v>
      </c>
      <c r="H949">
        <v>0</v>
      </c>
      <c r="I949" t="s">
        <v>38</v>
      </c>
      <c r="J949" t="s">
        <v>745</v>
      </c>
      <c r="K949">
        <v>0</v>
      </c>
      <c r="L949">
        <v>0</v>
      </c>
    </row>
    <row r="950" spans="1:12" hidden="1" x14ac:dyDescent="0.25">
      <c r="A950">
        <v>102</v>
      </c>
      <c r="B950" t="s">
        <v>714</v>
      </c>
      <c r="C950" t="s">
        <v>715</v>
      </c>
      <c r="D950" t="s">
        <v>798</v>
      </c>
      <c r="E950" t="str">
        <f>_xlfn.XLOOKUP(F950, Keys!B:B, Keys!A:A, "找不到")</f>
        <v>OUT</v>
      </c>
      <c r="F950" t="s">
        <v>403</v>
      </c>
      <c r="G950">
        <v>7.3300445090241766</v>
      </c>
      <c r="H950">
        <v>0</v>
      </c>
      <c r="I950" t="s">
        <v>38</v>
      </c>
      <c r="J950" t="s">
        <v>57</v>
      </c>
      <c r="K950">
        <v>0</v>
      </c>
      <c r="L950">
        <v>0</v>
      </c>
    </row>
    <row r="951" spans="1:12" hidden="1" x14ac:dyDescent="0.25">
      <c r="A951">
        <v>107</v>
      </c>
      <c r="B951" t="s">
        <v>714</v>
      </c>
      <c r="C951" t="s">
        <v>715</v>
      </c>
      <c r="D951" t="s">
        <v>798</v>
      </c>
      <c r="E951" t="str">
        <f>_xlfn.XLOOKUP(F951, Keys!B:B, Keys!A:A, "找不到")</f>
        <v>OUT</v>
      </c>
      <c r="F951" t="s">
        <v>403</v>
      </c>
      <c r="G951">
        <v>8.2115714726962263</v>
      </c>
      <c r="H951">
        <v>0</v>
      </c>
      <c r="I951" t="s">
        <v>38</v>
      </c>
      <c r="J951" t="s">
        <v>57</v>
      </c>
      <c r="K951">
        <v>0</v>
      </c>
      <c r="L951">
        <v>0</v>
      </c>
    </row>
    <row r="952" spans="1:12" hidden="1" x14ac:dyDescent="0.25">
      <c r="A952">
        <v>108</v>
      </c>
      <c r="B952" t="s">
        <v>714</v>
      </c>
      <c r="C952" t="s">
        <v>715</v>
      </c>
      <c r="D952">
        <v>0</v>
      </c>
      <c r="E952" t="str">
        <f>_xlfn.XLOOKUP(F952, Keys!B:B, Keys!A:A, "找不到")</f>
        <v>OUT</v>
      </c>
      <c r="F952" t="s">
        <v>403</v>
      </c>
      <c r="G952">
        <v>3.2054669386734078</v>
      </c>
      <c r="H952">
        <v>0</v>
      </c>
      <c r="I952" t="s">
        <v>38</v>
      </c>
      <c r="J952" t="s">
        <v>57</v>
      </c>
      <c r="K952">
        <v>0</v>
      </c>
      <c r="L952">
        <v>0</v>
      </c>
    </row>
    <row r="953" spans="1:12" hidden="1" x14ac:dyDescent="0.25">
      <c r="A953">
        <v>110</v>
      </c>
      <c r="B953" t="s">
        <v>714</v>
      </c>
      <c r="C953" t="s">
        <v>715</v>
      </c>
      <c r="D953">
        <v>0</v>
      </c>
      <c r="E953" t="str">
        <f>_xlfn.XLOOKUP(F953, Keys!B:B, Keys!A:A, "找不到")</f>
        <v>OUT</v>
      </c>
      <c r="F953" t="s">
        <v>403</v>
      </c>
      <c r="G953">
        <v>2.2424491803468949</v>
      </c>
      <c r="H953">
        <v>0</v>
      </c>
      <c r="I953" t="s">
        <v>38</v>
      </c>
      <c r="J953" t="s">
        <v>57</v>
      </c>
      <c r="K953">
        <v>0</v>
      </c>
      <c r="L953">
        <v>0</v>
      </c>
    </row>
    <row r="954" spans="1:12" hidden="1" x14ac:dyDescent="0.25">
      <c r="A954">
        <v>111</v>
      </c>
      <c r="B954" t="s">
        <v>714</v>
      </c>
      <c r="C954" t="s">
        <v>715</v>
      </c>
      <c r="D954" t="s">
        <v>57</v>
      </c>
      <c r="E954" t="str">
        <f>_xlfn.XLOOKUP(F954, Keys!B:B, Keys!A:A, "找不到")</f>
        <v>OUT</v>
      </c>
      <c r="F954" t="s">
        <v>403</v>
      </c>
      <c r="G954">
        <v>0.13283870042206669</v>
      </c>
      <c r="H954">
        <v>0</v>
      </c>
      <c r="I954" t="s">
        <v>38</v>
      </c>
      <c r="J954" t="s">
        <v>867</v>
      </c>
      <c r="K954">
        <v>0</v>
      </c>
      <c r="L954">
        <v>0</v>
      </c>
    </row>
    <row r="955" spans="1:12" hidden="1" x14ac:dyDescent="0.25">
      <c r="A955">
        <v>112</v>
      </c>
      <c r="B955" t="s">
        <v>714</v>
      </c>
      <c r="C955" t="s">
        <v>715</v>
      </c>
      <c r="D955">
        <v>0</v>
      </c>
      <c r="E955" t="str">
        <f>_xlfn.XLOOKUP(F955, Keys!B:B, Keys!A:A, "找不到")</f>
        <v>OUT</v>
      </c>
      <c r="F955" t="s">
        <v>403</v>
      </c>
      <c r="G955">
        <v>3.3217134052164718</v>
      </c>
      <c r="H955">
        <v>0</v>
      </c>
      <c r="I955" t="s">
        <v>38</v>
      </c>
      <c r="J955" t="s">
        <v>57</v>
      </c>
      <c r="K955">
        <v>0</v>
      </c>
      <c r="L955">
        <v>0</v>
      </c>
    </row>
    <row r="956" spans="1:12" hidden="1" x14ac:dyDescent="0.25">
      <c r="A956">
        <v>116</v>
      </c>
      <c r="B956" t="s">
        <v>714</v>
      </c>
      <c r="C956" t="s">
        <v>715</v>
      </c>
      <c r="D956" t="s">
        <v>57</v>
      </c>
      <c r="E956" t="str">
        <f>_xlfn.XLOOKUP(F956, Keys!B:B, Keys!A:A, "找不到")</f>
        <v>OUT</v>
      </c>
      <c r="F956" t="s">
        <v>403</v>
      </c>
      <c r="G956">
        <v>16.983177416569191</v>
      </c>
      <c r="H956">
        <v>0</v>
      </c>
      <c r="I956" t="s">
        <v>38</v>
      </c>
      <c r="J956" t="s">
        <v>890</v>
      </c>
      <c r="K956">
        <v>0</v>
      </c>
      <c r="L956">
        <v>0</v>
      </c>
    </row>
    <row r="957" spans="1:12" hidden="1" x14ac:dyDescent="0.25">
      <c r="A957">
        <v>118</v>
      </c>
      <c r="B957" t="s">
        <v>714</v>
      </c>
      <c r="C957" t="s">
        <v>715</v>
      </c>
      <c r="D957" t="s">
        <v>57</v>
      </c>
      <c r="E957" t="str">
        <f>_xlfn.XLOOKUP(F957, Keys!B:B, Keys!A:A, "找不到")</f>
        <v>OUT</v>
      </c>
      <c r="F957" t="s">
        <v>403</v>
      </c>
      <c r="G957">
        <v>0.15688521838553249</v>
      </c>
      <c r="H957">
        <v>0</v>
      </c>
      <c r="I957" t="s">
        <v>38</v>
      </c>
      <c r="J957" t="s">
        <v>825</v>
      </c>
      <c r="K957">
        <v>0</v>
      </c>
      <c r="L957">
        <v>0</v>
      </c>
    </row>
    <row r="958" spans="1:12" hidden="1" x14ac:dyDescent="0.25">
      <c r="A958">
        <v>121</v>
      </c>
      <c r="B958" t="s">
        <v>714</v>
      </c>
      <c r="C958" t="s">
        <v>715</v>
      </c>
      <c r="D958">
        <v>0</v>
      </c>
      <c r="E958" t="str">
        <f>_xlfn.XLOOKUP(F958, Keys!B:B, Keys!A:A, "找不到")</f>
        <v>OUT</v>
      </c>
      <c r="F958" t="s">
        <v>403</v>
      </c>
      <c r="G958">
        <v>0.75055827020531451</v>
      </c>
      <c r="H958">
        <v>0</v>
      </c>
      <c r="I958" t="s">
        <v>38</v>
      </c>
      <c r="J958" t="s">
        <v>772</v>
      </c>
      <c r="K958">
        <v>0</v>
      </c>
      <c r="L958">
        <v>0</v>
      </c>
    </row>
    <row r="959" spans="1:12" hidden="1" x14ac:dyDescent="0.25">
      <c r="A959">
        <v>122</v>
      </c>
      <c r="B959" t="s">
        <v>714</v>
      </c>
      <c r="C959" t="s">
        <v>715</v>
      </c>
      <c r="D959">
        <v>0</v>
      </c>
      <c r="E959" t="str">
        <f>_xlfn.XLOOKUP(F959, Keys!B:B, Keys!A:A, "找不到")</f>
        <v>OUT</v>
      </c>
      <c r="F959" t="s">
        <v>403</v>
      </c>
      <c r="G959">
        <v>0.42117714314176791</v>
      </c>
      <c r="H959">
        <v>0</v>
      </c>
      <c r="I959" t="s">
        <v>38</v>
      </c>
      <c r="J959" t="s">
        <v>825</v>
      </c>
      <c r="K959">
        <v>0</v>
      </c>
      <c r="L959">
        <v>0</v>
      </c>
    </row>
    <row r="960" spans="1:12" hidden="1" x14ac:dyDescent="0.25">
      <c r="A960">
        <v>124</v>
      </c>
      <c r="B960" t="s">
        <v>714</v>
      </c>
      <c r="C960" t="s">
        <v>715</v>
      </c>
      <c r="D960" t="s">
        <v>863</v>
      </c>
      <c r="E960" t="str">
        <f>_xlfn.XLOOKUP(F960, Keys!B:B, Keys!A:A, "找不到")</f>
        <v>OUT</v>
      </c>
      <c r="F960" t="s">
        <v>403</v>
      </c>
      <c r="G960">
        <v>9.3722552135816137</v>
      </c>
      <c r="H960">
        <v>0</v>
      </c>
      <c r="I960" t="s">
        <v>38</v>
      </c>
      <c r="J960" t="s">
        <v>908</v>
      </c>
      <c r="K960">
        <v>0</v>
      </c>
      <c r="L960">
        <v>0</v>
      </c>
    </row>
    <row r="961" spans="1:12" hidden="1" x14ac:dyDescent="0.25">
      <c r="A961">
        <v>125</v>
      </c>
      <c r="B961" t="s">
        <v>714</v>
      </c>
      <c r="C961" t="s">
        <v>715</v>
      </c>
      <c r="D961">
        <v>0</v>
      </c>
      <c r="E961" t="str">
        <f>_xlfn.XLOOKUP(F961, Keys!B:B, Keys!A:A, "找不到")</f>
        <v>OUT</v>
      </c>
      <c r="F961" t="s">
        <v>403</v>
      </c>
      <c r="G961">
        <v>12.65874370007054</v>
      </c>
      <c r="H961">
        <v>0</v>
      </c>
      <c r="I961" t="s">
        <v>38</v>
      </c>
      <c r="J961" t="s">
        <v>57</v>
      </c>
      <c r="K961">
        <v>0</v>
      </c>
      <c r="L961">
        <v>0</v>
      </c>
    </row>
    <row r="962" spans="1:12" hidden="1" x14ac:dyDescent="0.25">
      <c r="A962">
        <v>127</v>
      </c>
      <c r="B962" t="s">
        <v>714</v>
      </c>
      <c r="C962" t="s">
        <v>715</v>
      </c>
      <c r="D962">
        <v>0</v>
      </c>
      <c r="E962" t="str">
        <f>_xlfn.XLOOKUP(F962, Keys!B:B, Keys!A:A, "找不到")</f>
        <v>OUT</v>
      </c>
      <c r="F962" t="s">
        <v>403</v>
      </c>
      <c r="G962">
        <v>1.3161546903637411</v>
      </c>
      <c r="H962">
        <v>0</v>
      </c>
      <c r="I962" t="s">
        <v>38</v>
      </c>
      <c r="J962" t="s">
        <v>917</v>
      </c>
      <c r="K962">
        <v>0</v>
      </c>
      <c r="L962">
        <v>0</v>
      </c>
    </row>
    <row r="963" spans="1:12" hidden="1" x14ac:dyDescent="0.25">
      <c r="A963">
        <v>128</v>
      </c>
      <c r="B963" t="s">
        <v>714</v>
      </c>
      <c r="C963" t="s">
        <v>715</v>
      </c>
      <c r="D963" t="s">
        <v>863</v>
      </c>
      <c r="E963" t="str">
        <f>_xlfn.XLOOKUP(F963, Keys!B:B, Keys!A:A, "找不到")</f>
        <v>OUT</v>
      </c>
      <c r="F963" t="s">
        <v>403</v>
      </c>
      <c r="G963">
        <v>15.05572878814961</v>
      </c>
      <c r="H963">
        <v>0</v>
      </c>
      <c r="I963" t="s">
        <v>38</v>
      </c>
      <c r="J963" t="s">
        <v>908</v>
      </c>
      <c r="K963">
        <v>0</v>
      </c>
      <c r="L963">
        <v>0</v>
      </c>
    </row>
    <row r="964" spans="1:12" hidden="1" x14ac:dyDescent="0.25">
      <c r="A964">
        <v>129</v>
      </c>
      <c r="B964" t="s">
        <v>714</v>
      </c>
      <c r="C964" t="s">
        <v>715</v>
      </c>
      <c r="D964" t="s">
        <v>731</v>
      </c>
      <c r="E964" t="str">
        <f>_xlfn.XLOOKUP(F964, Keys!B:B, Keys!A:A, "找不到")</f>
        <v>OUT</v>
      </c>
      <c r="F964" t="s">
        <v>403</v>
      </c>
      <c r="G964">
        <v>4.6396067958364036</v>
      </c>
      <c r="H964">
        <v>0</v>
      </c>
      <c r="I964" t="s">
        <v>38</v>
      </c>
      <c r="J964" t="s">
        <v>745</v>
      </c>
      <c r="K964">
        <v>0</v>
      </c>
      <c r="L964">
        <v>0</v>
      </c>
    </row>
    <row r="965" spans="1:12" hidden="1" x14ac:dyDescent="0.25">
      <c r="A965">
        <v>130</v>
      </c>
      <c r="B965" t="s">
        <v>714</v>
      </c>
      <c r="C965" t="s">
        <v>715</v>
      </c>
      <c r="D965" t="s">
        <v>731</v>
      </c>
      <c r="E965" t="str">
        <f>_xlfn.XLOOKUP(F965, Keys!B:B, Keys!A:A, "找不到")</f>
        <v>OUT</v>
      </c>
      <c r="F965" t="s">
        <v>403</v>
      </c>
      <c r="G965">
        <v>0.1003521347719117</v>
      </c>
      <c r="H965">
        <v>0</v>
      </c>
      <c r="I965" t="s">
        <v>38</v>
      </c>
      <c r="J965" t="s">
        <v>745</v>
      </c>
      <c r="K965">
        <v>0</v>
      </c>
      <c r="L965">
        <v>0</v>
      </c>
    </row>
    <row r="966" spans="1:12" hidden="1" x14ac:dyDescent="0.25">
      <c r="A966">
        <v>131</v>
      </c>
      <c r="B966" t="s">
        <v>714</v>
      </c>
      <c r="C966" t="s">
        <v>715</v>
      </c>
      <c r="D966" t="s">
        <v>757</v>
      </c>
      <c r="E966" t="str">
        <f>_xlfn.XLOOKUP(F966, Keys!B:B, Keys!A:A, "找不到")</f>
        <v>OUT</v>
      </c>
      <c r="F966" t="s">
        <v>403</v>
      </c>
      <c r="G966">
        <v>0.42116514305942571</v>
      </c>
      <c r="H966">
        <v>0</v>
      </c>
      <c r="I966" t="s">
        <v>38</v>
      </c>
      <c r="J966" t="s">
        <v>742</v>
      </c>
      <c r="K966">
        <v>0</v>
      </c>
      <c r="L966">
        <v>0</v>
      </c>
    </row>
    <row r="967" spans="1:12" hidden="1" x14ac:dyDescent="0.25">
      <c r="A967">
        <v>144</v>
      </c>
      <c r="B967" t="s">
        <v>714</v>
      </c>
      <c r="C967" t="s">
        <v>715</v>
      </c>
      <c r="D967">
        <v>0</v>
      </c>
      <c r="E967" t="str">
        <f>_xlfn.XLOOKUP(F967, Keys!B:B, Keys!A:A, "找不到")</f>
        <v>OUT</v>
      </c>
      <c r="F967" t="s">
        <v>403</v>
      </c>
      <c r="G967">
        <v>6.854686159520214</v>
      </c>
      <c r="H967">
        <v>0</v>
      </c>
      <c r="I967" t="s">
        <v>38</v>
      </c>
      <c r="J967" t="s">
        <v>57</v>
      </c>
      <c r="K967">
        <v>0</v>
      </c>
      <c r="L967">
        <v>0</v>
      </c>
    </row>
    <row r="968" spans="1:12" hidden="1" x14ac:dyDescent="0.25">
      <c r="A968">
        <v>145</v>
      </c>
      <c r="B968" t="s">
        <v>714</v>
      </c>
      <c r="C968" t="s">
        <v>715</v>
      </c>
      <c r="D968">
        <v>0</v>
      </c>
      <c r="E968" t="str">
        <f>_xlfn.XLOOKUP(F968, Keys!B:B, Keys!A:A, "找不到")</f>
        <v>OUT</v>
      </c>
      <c r="F968" t="s">
        <v>403</v>
      </c>
      <c r="G968">
        <v>3.8138151294831002</v>
      </c>
      <c r="H968">
        <v>0</v>
      </c>
      <c r="I968" t="s">
        <v>38</v>
      </c>
      <c r="J968" t="s">
        <v>57</v>
      </c>
      <c r="K968">
        <v>0</v>
      </c>
      <c r="L968">
        <v>0</v>
      </c>
    </row>
    <row r="969" spans="1:12" hidden="1" x14ac:dyDescent="0.25">
      <c r="A969">
        <v>146</v>
      </c>
      <c r="B969" t="s">
        <v>714</v>
      </c>
      <c r="C969" t="s">
        <v>715</v>
      </c>
      <c r="D969">
        <v>0</v>
      </c>
      <c r="E969" t="str">
        <f>_xlfn.XLOOKUP(F969, Keys!B:B, Keys!A:A, "找不到")</f>
        <v>OUT</v>
      </c>
      <c r="F969" t="s">
        <v>403</v>
      </c>
      <c r="G969">
        <v>8.0646818031597949</v>
      </c>
      <c r="H969">
        <v>0</v>
      </c>
      <c r="I969" t="s">
        <v>38</v>
      </c>
      <c r="J969" t="s">
        <v>57</v>
      </c>
      <c r="K969">
        <v>0</v>
      </c>
      <c r="L969">
        <v>0</v>
      </c>
    </row>
    <row r="970" spans="1:12" hidden="1" x14ac:dyDescent="0.25">
      <c r="A970">
        <v>147</v>
      </c>
      <c r="B970" t="s">
        <v>714</v>
      </c>
      <c r="C970" t="s">
        <v>715</v>
      </c>
      <c r="D970">
        <v>0</v>
      </c>
      <c r="E970" t="str">
        <f>_xlfn.XLOOKUP(F970, Keys!B:B, Keys!A:A, "找不到")</f>
        <v>OUT</v>
      </c>
      <c r="F970" t="s">
        <v>403</v>
      </c>
      <c r="G970">
        <v>5.188737843523878</v>
      </c>
      <c r="H970">
        <v>0</v>
      </c>
      <c r="I970" t="s">
        <v>38</v>
      </c>
      <c r="J970" t="s">
        <v>57</v>
      </c>
      <c r="K970">
        <v>0</v>
      </c>
      <c r="L970">
        <v>0</v>
      </c>
    </row>
    <row r="971" spans="1:12" hidden="1" x14ac:dyDescent="0.25">
      <c r="A971">
        <v>148</v>
      </c>
      <c r="B971" t="s">
        <v>714</v>
      </c>
      <c r="C971" t="s">
        <v>715</v>
      </c>
      <c r="D971">
        <v>0</v>
      </c>
      <c r="E971" t="str">
        <f>_xlfn.XLOOKUP(F971, Keys!B:B, Keys!A:A, "找不到")</f>
        <v>OUT</v>
      </c>
      <c r="F971" t="s">
        <v>403</v>
      </c>
      <c r="G971">
        <v>1.525395005712795</v>
      </c>
      <c r="H971">
        <v>0</v>
      </c>
      <c r="I971" t="s">
        <v>38</v>
      </c>
      <c r="J971" t="s">
        <v>57</v>
      </c>
      <c r="K971">
        <v>0</v>
      </c>
      <c r="L971">
        <v>0</v>
      </c>
    </row>
    <row r="972" spans="1:12" hidden="1" x14ac:dyDescent="0.25">
      <c r="A972">
        <v>149</v>
      </c>
      <c r="B972" t="s">
        <v>714</v>
      </c>
      <c r="C972" t="s">
        <v>715</v>
      </c>
      <c r="D972">
        <v>0</v>
      </c>
      <c r="E972" t="str">
        <f>_xlfn.XLOOKUP(F972, Keys!B:B, Keys!A:A, "找不到")</f>
        <v>OUT</v>
      </c>
      <c r="F972" t="s">
        <v>403</v>
      </c>
      <c r="G972">
        <v>0.44702320402207191</v>
      </c>
      <c r="H972">
        <v>0</v>
      </c>
      <c r="I972" t="s">
        <v>38</v>
      </c>
      <c r="J972" t="s">
        <v>57</v>
      </c>
      <c r="K972">
        <v>0</v>
      </c>
      <c r="L972">
        <v>0</v>
      </c>
    </row>
    <row r="973" spans="1:12" hidden="1" x14ac:dyDescent="0.25">
      <c r="A973">
        <v>166</v>
      </c>
      <c r="B973" t="s">
        <v>714</v>
      </c>
      <c r="C973" t="s">
        <v>715</v>
      </c>
      <c r="D973" t="s">
        <v>807</v>
      </c>
      <c r="E973" t="str">
        <f>_xlfn.XLOOKUP(F973, Keys!B:B, Keys!A:A, "找不到")</f>
        <v>OUT</v>
      </c>
      <c r="F973" t="s">
        <v>403</v>
      </c>
      <c r="G973">
        <v>3.848728570472228</v>
      </c>
      <c r="H973">
        <v>0</v>
      </c>
      <c r="I973" t="s">
        <v>38</v>
      </c>
      <c r="J973" t="s">
        <v>745</v>
      </c>
      <c r="K973">
        <v>0</v>
      </c>
      <c r="L973">
        <v>0</v>
      </c>
    </row>
    <row r="974" spans="1:12" hidden="1" x14ac:dyDescent="0.25">
      <c r="A974">
        <v>168</v>
      </c>
      <c r="B974" t="s">
        <v>714</v>
      </c>
      <c r="C974" t="s">
        <v>715</v>
      </c>
      <c r="D974" t="s">
        <v>731</v>
      </c>
      <c r="E974" t="str">
        <f>_xlfn.XLOOKUP(F974, Keys!B:B, Keys!A:A, "找不到")</f>
        <v>OUT</v>
      </c>
      <c r="F974" t="s">
        <v>403</v>
      </c>
      <c r="G974">
        <v>1.9605833640008281</v>
      </c>
      <c r="H974">
        <v>0</v>
      </c>
      <c r="I974" t="s">
        <v>38</v>
      </c>
      <c r="J974" t="s">
        <v>57</v>
      </c>
      <c r="K974">
        <v>0</v>
      </c>
      <c r="L974">
        <v>0</v>
      </c>
    </row>
    <row r="975" spans="1:12" hidden="1" x14ac:dyDescent="0.25">
      <c r="A975">
        <v>194</v>
      </c>
      <c r="B975" t="s">
        <v>714</v>
      </c>
      <c r="C975" t="s">
        <v>715</v>
      </c>
      <c r="D975" t="s">
        <v>57</v>
      </c>
      <c r="E975" t="str">
        <f>_xlfn.XLOOKUP(F975, Keys!B:B, Keys!A:A, "找不到")</f>
        <v>OUT</v>
      </c>
      <c r="F975" t="s">
        <v>403</v>
      </c>
      <c r="G975">
        <v>5.6223007203618378E-2</v>
      </c>
      <c r="H975">
        <v>0</v>
      </c>
      <c r="I975" t="s">
        <v>38</v>
      </c>
      <c r="J975" t="s">
        <v>57</v>
      </c>
      <c r="K975">
        <v>0</v>
      </c>
      <c r="L975">
        <v>0</v>
      </c>
    </row>
    <row r="976" spans="1:12" hidden="1" x14ac:dyDescent="0.25">
      <c r="A976">
        <v>197</v>
      </c>
      <c r="B976" t="s">
        <v>714</v>
      </c>
      <c r="C976" t="s">
        <v>715</v>
      </c>
      <c r="D976" t="s">
        <v>57</v>
      </c>
      <c r="E976" t="str">
        <f>_xlfn.XLOOKUP(F976, Keys!B:B, Keys!A:A, "找不到")</f>
        <v>OUT</v>
      </c>
      <c r="F976" t="s">
        <v>403</v>
      </c>
      <c r="G976">
        <v>0.16426587506252729</v>
      </c>
      <c r="H976">
        <v>0</v>
      </c>
      <c r="I976" t="s">
        <v>38</v>
      </c>
      <c r="J976" t="s">
        <v>745</v>
      </c>
      <c r="K976">
        <v>0</v>
      </c>
      <c r="L976">
        <v>0</v>
      </c>
    </row>
    <row r="977" spans="1:12" hidden="1" x14ac:dyDescent="0.25">
      <c r="A977">
        <v>201</v>
      </c>
      <c r="B977" t="s">
        <v>714</v>
      </c>
      <c r="C977" t="s">
        <v>715</v>
      </c>
      <c r="D977">
        <v>0</v>
      </c>
      <c r="E977" t="str">
        <f>_xlfn.XLOOKUP(F977, Keys!B:B, Keys!A:A, "找不到")</f>
        <v>OUT</v>
      </c>
      <c r="F977" t="s">
        <v>403</v>
      </c>
      <c r="G977">
        <v>17.25200241811477</v>
      </c>
      <c r="H977">
        <v>0</v>
      </c>
      <c r="I977" t="s">
        <v>38</v>
      </c>
      <c r="J977" t="s">
        <v>745</v>
      </c>
      <c r="K977">
        <v>0</v>
      </c>
      <c r="L977">
        <v>0</v>
      </c>
    </row>
    <row r="978" spans="1:12" hidden="1" x14ac:dyDescent="0.25">
      <c r="A978">
        <v>204</v>
      </c>
      <c r="B978" t="s">
        <v>714</v>
      </c>
      <c r="C978" t="s">
        <v>715</v>
      </c>
      <c r="D978" t="s">
        <v>798</v>
      </c>
      <c r="E978" t="str">
        <f>_xlfn.XLOOKUP(F978, Keys!B:B, Keys!A:A, "找不到")</f>
        <v>OUT</v>
      </c>
      <c r="F978" t="s">
        <v>403</v>
      </c>
      <c r="G978">
        <v>2.335340249011836</v>
      </c>
      <c r="H978">
        <v>0</v>
      </c>
      <c r="I978" t="s">
        <v>38</v>
      </c>
      <c r="J978" t="s">
        <v>745</v>
      </c>
      <c r="K978">
        <v>0</v>
      </c>
      <c r="L978">
        <v>0</v>
      </c>
    </row>
    <row r="979" spans="1:12" hidden="1" x14ac:dyDescent="0.25">
      <c r="A979">
        <v>207</v>
      </c>
      <c r="B979" t="s">
        <v>714</v>
      </c>
      <c r="C979" t="s">
        <v>715</v>
      </c>
      <c r="D979" t="s">
        <v>57</v>
      </c>
      <c r="E979" t="str">
        <f>_xlfn.XLOOKUP(F979, Keys!B:B, Keys!A:A, "找不到")</f>
        <v>OUT</v>
      </c>
      <c r="F979" t="s">
        <v>403</v>
      </c>
      <c r="G979">
        <v>28.777375648566089</v>
      </c>
      <c r="H979">
        <v>0</v>
      </c>
      <c r="I979" t="s">
        <v>38</v>
      </c>
      <c r="J979" t="s">
        <v>890</v>
      </c>
      <c r="K979">
        <v>0</v>
      </c>
      <c r="L979">
        <v>0</v>
      </c>
    </row>
    <row r="980" spans="1:12" hidden="1" x14ac:dyDescent="0.25">
      <c r="A980">
        <v>208</v>
      </c>
      <c r="B980" t="s">
        <v>714</v>
      </c>
      <c r="C980" t="s">
        <v>715</v>
      </c>
      <c r="D980" t="s">
        <v>57</v>
      </c>
      <c r="E980" t="str">
        <f>_xlfn.XLOOKUP(F980, Keys!B:B, Keys!A:A, "找不到")</f>
        <v>OUT</v>
      </c>
      <c r="F980" t="s">
        <v>403</v>
      </c>
      <c r="G980">
        <v>4.3494053134387132</v>
      </c>
      <c r="H980">
        <v>0</v>
      </c>
      <c r="I980" t="s">
        <v>38</v>
      </c>
      <c r="J980" t="s">
        <v>673</v>
      </c>
      <c r="K980">
        <v>0</v>
      </c>
      <c r="L980">
        <v>0</v>
      </c>
    </row>
    <row r="981" spans="1:12" hidden="1" x14ac:dyDescent="0.25">
      <c r="A981">
        <v>209</v>
      </c>
      <c r="B981" t="s">
        <v>714</v>
      </c>
      <c r="C981" t="s">
        <v>715</v>
      </c>
      <c r="D981" t="s">
        <v>57</v>
      </c>
      <c r="E981" t="str">
        <f>_xlfn.XLOOKUP(F981, Keys!B:B, Keys!A:A, "找不到")</f>
        <v>OUT</v>
      </c>
      <c r="F981" t="s">
        <v>403</v>
      </c>
      <c r="G981">
        <v>5.0824133615209766</v>
      </c>
      <c r="H981">
        <v>0</v>
      </c>
      <c r="I981" t="s">
        <v>38</v>
      </c>
      <c r="J981" t="s">
        <v>890</v>
      </c>
      <c r="K981">
        <v>0</v>
      </c>
      <c r="L981">
        <v>0</v>
      </c>
    </row>
    <row r="982" spans="1:12" hidden="1" x14ac:dyDescent="0.25">
      <c r="A982">
        <v>210</v>
      </c>
      <c r="B982" t="s">
        <v>714</v>
      </c>
      <c r="C982" t="s">
        <v>715</v>
      </c>
      <c r="D982" t="s">
        <v>57</v>
      </c>
      <c r="E982" t="str">
        <f>_xlfn.XLOOKUP(F982, Keys!B:B, Keys!A:A, "找不到")</f>
        <v>OUT</v>
      </c>
      <c r="F982" t="s">
        <v>403</v>
      </c>
      <c r="G982">
        <v>25.917681570099941</v>
      </c>
      <c r="H982">
        <v>0</v>
      </c>
      <c r="I982" t="s">
        <v>38</v>
      </c>
      <c r="J982" t="s">
        <v>673</v>
      </c>
      <c r="K982">
        <v>0</v>
      </c>
      <c r="L982">
        <v>0</v>
      </c>
    </row>
    <row r="983" spans="1:12" hidden="1" x14ac:dyDescent="0.25">
      <c r="A983">
        <v>211</v>
      </c>
      <c r="B983" t="s">
        <v>714</v>
      </c>
      <c r="C983" t="s">
        <v>715</v>
      </c>
      <c r="D983">
        <v>0</v>
      </c>
      <c r="E983" t="str">
        <f>_xlfn.XLOOKUP(F983, Keys!B:B, Keys!A:A, "找不到")</f>
        <v>OUT</v>
      </c>
      <c r="F983" t="s">
        <v>403</v>
      </c>
      <c r="G983">
        <v>5.0625988976338441</v>
      </c>
      <c r="H983">
        <v>0</v>
      </c>
      <c r="I983" t="s">
        <v>38</v>
      </c>
      <c r="J983" t="s">
        <v>917</v>
      </c>
      <c r="K983">
        <v>0</v>
      </c>
      <c r="L983">
        <v>0</v>
      </c>
    </row>
    <row r="984" spans="1:12" hidden="1" x14ac:dyDescent="0.25">
      <c r="A984">
        <v>212</v>
      </c>
      <c r="B984" t="s">
        <v>714</v>
      </c>
      <c r="C984" t="s">
        <v>715</v>
      </c>
      <c r="D984" t="s">
        <v>57</v>
      </c>
      <c r="E984" t="str">
        <f>_xlfn.XLOOKUP(F984, Keys!B:B, Keys!A:A, "找不到")</f>
        <v>OUT</v>
      </c>
      <c r="F984" t="s">
        <v>403</v>
      </c>
      <c r="G984">
        <v>24.00301109298875</v>
      </c>
      <c r="H984">
        <v>0</v>
      </c>
      <c r="I984" t="s">
        <v>38</v>
      </c>
      <c r="J984" t="s">
        <v>890</v>
      </c>
      <c r="K984">
        <v>0</v>
      </c>
      <c r="L984">
        <v>0</v>
      </c>
    </row>
    <row r="985" spans="1:12" hidden="1" x14ac:dyDescent="0.25">
      <c r="A985">
        <v>213</v>
      </c>
      <c r="B985" t="s">
        <v>714</v>
      </c>
      <c r="C985" t="s">
        <v>715</v>
      </c>
      <c r="D985" t="s">
        <v>57</v>
      </c>
      <c r="E985" t="str">
        <f>_xlfn.XLOOKUP(F985, Keys!B:B, Keys!A:A, "找不到")</f>
        <v>OUT</v>
      </c>
      <c r="F985" t="s">
        <v>403</v>
      </c>
      <c r="G985">
        <v>15.66194764606203</v>
      </c>
      <c r="H985">
        <v>0</v>
      </c>
      <c r="I985" t="s">
        <v>38</v>
      </c>
      <c r="J985" t="s">
        <v>890</v>
      </c>
      <c r="K985">
        <v>0</v>
      </c>
      <c r="L985">
        <v>0</v>
      </c>
    </row>
    <row r="986" spans="1:12" hidden="1" x14ac:dyDescent="0.25">
      <c r="A986">
        <v>214</v>
      </c>
      <c r="B986" t="s">
        <v>714</v>
      </c>
      <c r="C986" t="s">
        <v>715</v>
      </c>
      <c r="D986" t="s">
        <v>57</v>
      </c>
      <c r="E986" t="str">
        <f>_xlfn.XLOOKUP(F986, Keys!B:B, Keys!A:A, "找不到")</f>
        <v>OUT</v>
      </c>
      <c r="F986" t="s">
        <v>403</v>
      </c>
      <c r="G986">
        <v>4.7105195784878191</v>
      </c>
      <c r="H986">
        <v>0</v>
      </c>
      <c r="I986" t="s">
        <v>38</v>
      </c>
      <c r="J986" t="s">
        <v>890</v>
      </c>
      <c r="K986">
        <v>0</v>
      </c>
      <c r="L986">
        <v>0</v>
      </c>
    </row>
    <row r="987" spans="1:12" hidden="1" x14ac:dyDescent="0.25">
      <c r="A987">
        <v>215</v>
      </c>
      <c r="B987" t="s">
        <v>714</v>
      </c>
      <c r="C987" t="s">
        <v>715</v>
      </c>
      <c r="D987">
        <v>0</v>
      </c>
      <c r="E987" t="str">
        <f>_xlfn.XLOOKUP(F987, Keys!B:B, Keys!A:A, "找不到")</f>
        <v>OUT</v>
      </c>
      <c r="F987" t="s">
        <v>403</v>
      </c>
      <c r="G987">
        <v>10.21233968837578</v>
      </c>
      <c r="H987">
        <v>0</v>
      </c>
      <c r="I987" t="s">
        <v>38</v>
      </c>
      <c r="J987" t="s">
        <v>1011</v>
      </c>
      <c r="K987">
        <v>0</v>
      </c>
      <c r="L987">
        <v>0</v>
      </c>
    </row>
    <row r="988" spans="1:12" hidden="1" x14ac:dyDescent="0.25">
      <c r="A988">
        <v>216</v>
      </c>
      <c r="B988" t="s">
        <v>714</v>
      </c>
      <c r="C988" t="s">
        <v>715</v>
      </c>
      <c r="D988" t="s">
        <v>57</v>
      </c>
      <c r="E988" t="str">
        <f>_xlfn.XLOOKUP(F988, Keys!B:B, Keys!A:A, "找不到")</f>
        <v>OUT</v>
      </c>
      <c r="F988" t="s">
        <v>403</v>
      </c>
      <c r="G988">
        <v>3.6615206538274552</v>
      </c>
      <c r="H988">
        <v>0</v>
      </c>
      <c r="I988" t="s">
        <v>38</v>
      </c>
      <c r="J988" t="s">
        <v>890</v>
      </c>
      <c r="K988">
        <v>0</v>
      </c>
      <c r="L988">
        <v>0</v>
      </c>
    </row>
    <row r="989" spans="1:12" hidden="1" x14ac:dyDescent="0.25">
      <c r="A989">
        <v>217</v>
      </c>
      <c r="B989" t="s">
        <v>714</v>
      </c>
      <c r="C989" t="s">
        <v>715</v>
      </c>
      <c r="D989" t="s">
        <v>57</v>
      </c>
      <c r="E989" t="str">
        <f>_xlfn.XLOOKUP(F989, Keys!B:B, Keys!A:A, "找不到")</f>
        <v>OUT</v>
      </c>
      <c r="F989" t="s">
        <v>403</v>
      </c>
      <c r="G989">
        <v>4.7376805493603449</v>
      </c>
      <c r="H989">
        <v>0</v>
      </c>
      <c r="I989" t="s">
        <v>38</v>
      </c>
      <c r="J989" t="s">
        <v>890</v>
      </c>
      <c r="K989">
        <v>0</v>
      </c>
      <c r="L989">
        <v>0</v>
      </c>
    </row>
    <row r="990" spans="1:12" hidden="1" x14ac:dyDescent="0.25">
      <c r="A990">
        <v>218</v>
      </c>
      <c r="B990" t="s">
        <v>714</v>
      </c>
      <c r="C990" t="s">
        <v>715</v>
      </c>
      <c r="D990">
        <v>0</v>
      </c>
      <c r="E990" t="str">
        <f>_xlfn.XLOOKUP(F990, Keys!B:B, Keys!A:A, "找不到")</f>
        <v>OUT</v>
      </c>
      <c r="F990" t="s">
        <v>403</v>
      </c>
      <c r="G990">
        <v>3.9045732137762679</v>
      </c>
      <c r="H990">
        <v>0</v>
      </c>
      <c r="I990" t="s">
        <v>38</v>
      </c>
      <c r="J990" t="s">
        <v>917</v>
      </c>
      <c r="K990">
        <v>0</v>
      </c>
      <c r="L990">
        <v>0</v>
      </c>
    </row>
    <row r="991" spans="1:12" hidden="1" x14ac:dyDescent="0.25">
      <c r="A991">
        <v>1</v>
      </c>
      <c r="B991" t="s">
        <v>1026</v>
      </c>
      <c r="C991" t="s">
        <v>1027</v>
      </c>
      <c r="D991">
        <v>0</v>
      </c>
      <c r="E991" t="str">
        <f>_xlfn.XLOOKUP(F991, Keys!B:B, Keys!A:A, "找不到")</f>
        <v>FA</v>
      </c>
      <c r="F991" t="s">
        <v>63</v>
      </c>
      <c r="G991">
        <v>1.8037030032692649</v>
      </c>
      <c r="H991" t="s">
        <v>64</v>
      </c>
      <c r="I991" t="s">
        <v>65</v>
      </c>
      <c r="J991" t="s">
        <v>1028</v>
      </c>
      <c r="K991">
        <v>400.92432422434217</v>
      </c>
      <c r="L991">
        <v>7299.3562802783154</v>
      </c>
    </row>
    <row r="992" spans="1:12" hidden="1" x14ac:dyDescent="0.25">
      <c r="A992">
        <v>2</v>
      </c>
      <c r="B992" t="s">
        <v>1026</v>
      </c>
      <c r="C992" t="s">
        <v>1027</v>
      </c>
      <c r="D992">
        <v>0</v>
      </c>
      <c r="E992" t="str">
        <f>_xlfn.XLOOKUP(F992, Keys!B:B, Keys!A:A, "找不到")</f>
        <v>FA</v>
      </c>
      <c r="F992" t="s">
        <v>63</v>
      </c>
      <c r="G992">
        <v>2.7062621569701699</v>
      </c>
      <c r="H992" t="s">
        <v>64</v>
      </c>
      <c r="I992" t="s">
        <v>65</v>
      </c>
      <c r="J992" t="s">
        <v>1028</v>
      </c>
      <c r="K992">
        <v>508.43493910482317</v>
      </c>
      <c r="L992">
        <v>10951.898198181791</v>
      </c>
    </row>
    <row r="993" spans="1:12" hidden="1" x14ac:dyDescent="0.25">
      <c r="A993">
        <v>3</v>
      </c>
      <c r="B993" t="s">
        <v>1026</v>
      </c>
      <c r="C993" t="s">
        <v>1027</v>
      </c>
      <c r="D993">
        <v>0</v>
      </c>
      <c r="E993" t="str">
        <f>_xlfn.XLOOKUP(F993, Keys!B:B, Keys!A:A, "找不到")</f>
        <v>FA</v>
      </c>
      <c r="F993" t="s">
        <v>63</v>
      </c>
      <c r="G993">
        <v>1.7901806935978311</v>
      </c>
      <c r="H993" t="s">
        <v>64</v>
      </c>
      <c r="I993" t="s">
        <v>65</v>
      </c>
      <c r="J993" t="s">
        <v>1028</v>
      </c>
      <c r="K993">
        <v>325.11068885344042</v>
      </c>
      <c r="L993">
        <v>7244.6332156467524</v>
      </c>
    </row>
    <row r="994" spans="1:12" hidden="1" x14ac:dyDescent="0.25">
      <c r="A994">
        <v>4</v>
      </c>
      <c r="B994" t="s">
        <v>1026</v>
      </c>
      <c r="C994" t="s">
        <v>1027</v>
      </c>
      <c r="D994">
        <v>0</v>
      </c>
      <c r="E994" t="str">
        <f>_xlfn.XLOOKUP(F994, Keys!B:B, Keys!A:A, "找不到")</f>
        <v>FA</v>
      </c>
      <c r="F994" t="s">
        <v>63</v>
      </c>
      <c r="G994">
        <v>0.58123357794467279</v>
      </c>
      <c r="H994" t="s">
        <v>64</v>
      </c>
      <c r="I994" t="s">
        <v>65</v>
      </c>
      <c r="J994" t="s">
        <v>1028</v>
      </c>
      <c r="K994">
        <v>208.69204286806331</v>
      </c>
      <c r="L994">
        <v>2352.1782465235069</v>
      </c>
    </row>
    <row r="995" spans="1:12" hidden="1" x14ac:dyDescent="0.25">
      <c r="A995">
        <v>5</v>
      </c>
      <c r="B995" t="s">
        <v>1026</v>
      </c>
      <c r="C995" t="s">
        <v>1027</v>
      </c>
      <c r="D995">
        <v>0</v>
      </c>
      <c r="E995" t="str">
        <f>_xlfn.XLOOKUP(F995, Keys!B:B, Keys!A:A, "找不到")</f>
        <v>FA</v>
      </c>
      <c r="F995" t="s">
        <v>63</v>
      </c>
      <c r="G995">
        <v>0.80342017857888626</v>
      </c>
      <c r="H995" t="s">
        <v>64</v>
      </c>
      <c r="I995" t="s">
        <v>65</v>
      </c>
      <c r="J995" t="s">
        <v>1028</v>
      </c>
      <c r="K995">
        <v>252.81639126741601</v>
      </c>
      <c r="L995">
        <v>3251.3391149111749</v>
      </c>
    </row>
    <row r="996" spans="1:12" hidden="1" x14ac:dyDescent="0.25">
      <c r="A996">
        <v>6</v>
      </c>
      <c r="B996" t="s">
        <v>1026</v>
      </c>
      <c r="C996" t="s">
        <v>1027</v>
      </c>
      <c r="D996">
        <v>0</v>
      </c>
      <c r="E996" t="str">
        <f>_xlfn.XLOOKUP(F996, Keys!B:B, Keys!A:A, "找不到")</f>
        <v>FA</v>
      </c>
      <c r="F996" t="s">
        <v>63</v>
      </c>
      <c r="G996">
        <v>0.89003669296284094</v>
      </c>
      <c r="H996" t="s">
        <v>64</v>
      </c>
      <c r="I996" t="s">
        <v>65</v>
      </c>
      <c r="J996" t="s">
        <v>1028</v>
      </c>
      <c r="K996">
        <v>316.89244496140071</v>
      </c>
      <c r="L996">
        <v>3601.8651145343802</v>
      </c>
    </row>
    <row r="997" spans="1:12" hidden="1" x14ac:dyDescent="0.25">
      <c r="A997">
        <v>13</v>
      </c>
      <c r="B997" t="s">
        <v>1026</v>
      </c>
      <c r="C997" t="s">
        <v>1027</v>
      </c>
      <c r="D997" t="s">
        <v>1051</v>
      </c>
      <c r="E997" t="str">
        <f>_xlfn.XLOOKUP(F997, Keys!B:B, Keys!A:A, "找不到")</f>
        <v>FA</v>
      </c>
      <c r="F997" t="s">
        <v>63</v>
      </c>
      <c r="G997">
        <v>9.4777015992588129</v>
      </c>
      <c r="H997" t="s">
        <v>64</v>
      </c>
      <c r="I997" t="s">
        <v>65</v>
      </c>
      <c r="J997" t="s">
        <v>1054</v>
      </c>
      <c r="K997">
        <v>866.55802857793287</v>
      </c>
      <c r="L997">
        <v>38355.051006601883</v>
      </c>
    </row>
    <row r="998" spans="1:12" hidden="1" x14ac:dyDescent="0.25">
      <c r="A998">
        <v>15</v>
      </c>
      <c r="B998" t="s">
        <v>1026</v>
      </c>
      <c r="C998" t="s">
        <v>1027</v>
      </c>
      <c r="D998" t="s">
        <v>1051</v>
      </c>
      <c r="E998" t="str">
        <f>_xlfn.XLOOKUP(F998, Keys!B:B, Keys!A:A, "找不到")</f>
        <v>FA</v>
      </c>
      <c r="F998" t="s">
        <v>63</v>
      </c>
      <c r="G998">
        <v>5.9783040776726581</v>
      </c>
      <c r="H998" t="s">
        <v>64</v>
      </c>
      <c r="I998" t="s">
        <v>65</v>
      </c>
      <c r="J998" t="s">
        <v>1054</v>
      </c>
      <c r="K998">
        <v>682.71575752380897</v>
      </c>
      <c r="L998">
        <v>24193.435025433031</v>
      </c>
    </row>
    <row r="999" spans="1:12" hidden="1" x14ac:dyDescent="0.25">
      <c r="A999">
        <v>17</v>
      </c>
      <c r="B999" t="s">
        <v>1026</v>
      </c>
      <c r="C999" t="s">
        <v>1027</v>
      </c>
      <c r="D999" t="s">
        <v>1051</v>
      </c>
      <c r="E999" t="str">
        <f>_xlfn.XLOOKUP(F999, Keys!B:B, Keys!A:A, "找不到")</f>
        <v>FA</v>
      </c>
      <c r="F999" t="s">
        <v>63</v>
      </c>
      <c r="G999">
        <v>8.1715631799835116</v>
      </c>
      <c r="H999" t="s">
        <v>64</v>
      </c>
      <c r="I999" t="s">
        <v>65</v>
      </c>
      <c r="J999" t="s">
        <v>1054</v>
      </c>
      <c r="K999">
        <v>813.23403283050516</v>
      </c>
      <c r="L999">
        <v>33069.275212932211</v>
      </c>
    </row>
    <row r="1000" spans="1:12" hidden="1" x14ac:dyDescent="0.25">
      <c r="A1000">
        <v>18</v>
      </c>
      <c r="B1000" t="s">
        <v>1026</v>
      </c>
      <c r="C1000" t="s">
        <v>1027</v>
      </c>
      <c r="D1000" t="s">
        <v>1051</v>
      </c>
      <c r="E1000" t="str">
        <f>_xlfn.XLOOKUP(F1000, Keys!B:B, Keys!A:A, "找不到")</f>
        <v>FA</v>
      </c>
      <c r="F1000" t="s">
        <v>63</v>
      </c>
      <c r="G1000">
        <v>0.76807955052101984</v>
      </c>
      <c r="H1000" t="s">
        <v>64</v>
      </c>
      <c r="I1000" t="s">
        <v>65</v>
      </c>
      <c r="J1000" t="s">
        <v>1054</v>
      </c>
      <c r="K1000">
        <v>266.90451370649561</v>
      </c>
      <c r="L1000">
        <v>3108.3200952080419</v>
      </c>
    </row>
    <row r="1001" spans="1:12" hidden="1" x14ac:dyDescent="0.25">
      <c r="A1001">
        <v>19</v>
      </c>
      <c r="B1001" t="s">
        <v>1026</v>
      </c>
      <c r="C1001" t="s">
        <v>1027</v>
      </c>
      <c r="D1001" t="s">
        <v>1051</v>
      </c>
      <c r="E1001" t="str">
        <f>_xlfn.XLOOKUP(F1001, Keys!B:B, Keys!A:A, "找不到")</f>
        <v>FA</v>
      </c>
      <c r="F1001" t="s">
        <v>63</v>
      </c>
      <c r="G1001">
        <v>0.41810231779550111</v>
      </c>
      <c r="H1001" t="s">
        <v>64</v>
      </c>
      <c r="I1001" t="s">
        <v>65</v>
      </c>
      <c r="J1001" t="s">
        <v>1054</v>
      </c>
      <c r="K1001">
        <v>159.2031756769062</v>
      </c>
      <c r="L1001">
        <v>1692.0068180115529</v>
      </c>
    </row>
    <row r="1002" spans="1:12" hidden="1" x14ac:dyDescent="0.25">
      <c r="A1002">
        <v>30</v>
      </c>
      <c r="B1002" t="s">
        <v>1026</v>
      </c>
      <c r="C1002" t="s">
        <v>1027</v>
      </c>
      <c r="D1002">
        <v>0</v>
      </c>
      <c r="E1002" t="str">
        <f>_xlfn.XLOOKUP(F1002, Keys!B:B, Keys!A:A, "找不到")</f>
        <v>FA</v>
      </c>
      <c r="F1002" t="s">
        <v>63</v>
      </c>
      <c r="G1002">
        <v>0.19522681303450129</v>
      </c>
      <c r="H1002" t="s">
        <v>64</v>
      </c>
      <c r="I1002" t="s">
        <v>65</v>
      </c>
      <c r="J1002" t="s">
        <v>1093</v>
      </c>
      <c r="K1002">
        <v>118.7758460516547</v>
      </c>
      <c r="L1002">
        <v>790.05804238236487</v>
      </c>
    </row>
    <row r="1003" spans="1:12" hidden="1" x14ac:dyDescent="0.25">
      <c r="A1003">
        <v>33</v>
      </c>
      <c r="B1003" t="s">
        <v>1026</v>
      </c>
      <c r="C1003" t="s">
        <v>1027</v>
      </c>
      <c r="D1003">
        <v>0</v>
      </c>
      <c r="E1003" t="str">
        <f>_xlfn.XLOOKUP(F1003, Keys!B:B, Keys!A:A, "找不到")</f>
        <v>FA</v>
      </c>
      <c r="F1003" t="s">
        <v>63</v>
      </c>
      <c r="G1003">
        <v>6.9782172278218882E-2</v>
      </c>
      <c r="H1003" t="s">
        <v>64</v>
      </c>
      <c r="I1003" t="s">
        <v>65</v>
      </c>
      <c r="J1003" t="s">
        <v>1093</v>
      </c>
      <c r="K1003">
        <v>78.071198215113156</v>
      </c>
      <c r="L1003">
        <v>282.39956165025029</v>
      </c>
    </row>
    <row r="1004" spans="1:12" hidden="1" x14ac:dyDescent="0.25">
      <c r="A1004">
        <v>36</v>
      </c>
      <c r="B1004" t="s">
        <v>1026</v>
      </c>
      <c r="C1004" t="s">
        <v>1027</v>
      </c>
      <c r="D1004">
        <v>0</v>
      </c>
      <c r="E1004" t="str">
        <f>_xlfn.XLOOKUP(F1004, Keys!B:B, Keys!A:A, "找不到")</f>
        <v>FA</v>
      </c>
      <c r="F1004" t="s">
        <v>63</v>
      </c>
      <c r="G1004">
        <v>1.1509231892090619</v>
      </c>
      <c r="H1004" t="s">
        <v>64</v>
      </c>
      <c r="I1004" t="s">
        <v>65</v>
      </c>
      <c r="J1004" t="s">
        <v>1107</v>
      </c>
      <c r="K1004">
        <v>278.33324853876508</v>
      </c>
      <c r="L1004">
        <v>4657.6395304792741</v>
      </c>
    </row>
    <row r="1005" spans="1:12" hidden="1" x14ac:dyDescent="0.25">
      <c r="A1005">
        <v>39</v>
      </c>
      <c r="B1005" t="s">
        <v>1026</v>
      </c>
      <c r="C1005" t="s">
        <v>1027</v>
      </c>
      <c r="D1005">
        <v>0</v>
      </c>
      <c r="E1005" t="str">
        <f>_xlfn.XLOOKUP(F1005, Keys!B:B, Keys!A:A, "找不到")</f>
        <v>FA</v>
      </c>
      <c r="F1005" t="s">
        <v>63</v>
      </c>
      <c r="G1005">
        <v>2.177285815269884</v>
      </c>
      <c r="H1005" t="s">
        <v>64</v>
      </c>
      <c r="I1005" t="s">
        <v>65</v>
      </c>
      <c r="J1005" t="s">
        <v>1093</v>
      </c>
      <c r="K1005">
        <v>400.81898345938902</v>
      </c>
      <c r="L1005">
        <v>8811.1983296834242</v>
      </c>
    </row>
    <row r="1006" spans="1:12" hidden="1" x14ac:dyDescent="0.25">
      <c r="A1006">
        <v>40</v>
      </c>
      <c r="B1006" t="s">
        <v>1026</v>
      </c>
      <c r="C1006" t="s">
        <v>1027</v>
      </c>
      <c r="D1006">
        <v>0</v>
      </c>
      <c r="E1006" t="str">
        <f>_xlfn.XLOOKUP(F1006, Keys!B:B, Keys!A:A, "找不到")</f>
        <v>FA</v>
      </c>
      <c r="F1006" t="s">
        <v>63</v>
      </c>
      <c r="G1006">
        <v>0.42878125609217083</v>
      </c>
      <c r="H1006" t="s">
        <v>64</v>
      </c>
      <c r="I1006" t="s">
        <v>65</v>
      </c>
      <c r="J1006" t="s">
        <v>1093</v>
      </c>
      <c r="K1006">
        <v>237.23300887617319</v>
      </c>
      <c r="L1006">
        <v>1735.223120906883</v>
      </c>
    </row>
    <row r="1007" spans="1:12" hidden="1" x14ac:dyDescent="0.25">
      <c r="A1007">
        <v>43</v>
      </c>
      <c r="B1007" t="s">
        <v>1026</v>
      </c>
      <c r="C1007" t="s">
        <v>1027</v>
      </c>
      <c r="D1007">
        <v>0</v>
      </c>
      <c r="E1007" t="str">
        <f>_xlfn.XLOOKUP(F1007, Keys!B:B, Keys!A:A, "找不到")</f>
        <v>FA</v>
      </c>
      <c r="F1007" t="s">
        <v>63</v>
      </c>
      <c r="G1007">
        <v>0.1607462108200213</v>
      </c>
      <c r="H1007" t="s">
        <v>64</v>
      </c>
      <c r="I1007" t="s">
        <v>65</v>
      </c>
      <c r="J1007" t="s">
        <v>1118</v>
      </c>
      <c r="K1007">
        <v>104.4210998231366</v>
      </c>
      <c r="L1007">
        <v>650.51943770861624</v>
      </c>
    </row>
    <row r="1008" spans="1:12" hidden="1" x14ac:dyDescent="0.25">
      <c r="A1008">
        <v>51</v>
      </c>
      <c r="B1008" t="s">
        <v>1026</v>
      </c>
      <c r="C1008" t="s">
        <v>1027</v>
      </c>
      <c r="D1008">
        <v>0</v>
      </c>
      <c r="E1008" t="str">
        <f>_xlfn.XLOOKUP(F1008, Keys!B:B, Keys!A:A, "找不到")</f>
        <v>FA</v>
      </c>
      <c r="F1008" t="s">
        <v>63</v>
      </c>
      <c r="G1008">
        <v>0.1315138795688611</v>
      </c>
      <c r="H1008" t="s">
        <v>64</v>
      </c>
      <c r="I1008" t="s">
        <v>65</v>
      </c>
      <c r="J1008" t="s">
        <v>1139</v>
      </c>
      <c r="K1008">
        <v>102.31002356568671</v>
      </c>
      <c r="L1008">
        <v>532.21991704552499</v>
      </c>
    </row>
    <row r="1009" spans="1:12" hidden="1" x14ac:dyDescent="0.25">
      <c r="A1009">
        <v>55</v>
      </c>
      <c r="B1009" t="s">
        <v>1026</v>
      </c>
      <c r="C1009" t="s">
        <v>1027</v>
      </c>
      <c r="D1009" t="s">
        <v>1148</v>
      </c>
      <c r="E1009" t="str">
        <f>_xlfn.XLOOKUP(F1009, Keys!B:B, Keys!A:A, "找不到")</f>
        <v>FA</v>
      </c>
      <c r="F1009" t="s">
        <v>63</v>
      </c>
      <c r="G1009">
        <v>3.7070915253605912</v>
      </c>
      <c r="H1009" t="s">
        <v>64</v>
      </c>
      <c r="I1009" t="s">
        <v>65</v>
      </c>
      <c r="J1009" t="s">
        <v>1149</v>
      </c>
      <c r="K1009">
        <v>493.04304931833082</v>
      </c>
      <c r="L1009">
        <v>15002.127156278741</v>
      </c>
    </row>
    <row r="1010" spans="1:12" hidden="1" x14ac:dyDescent="0.25">
      <c r="A1010">
        <v>56</v>
      </c>
      <c r="B1010" t="s">
        <v>1026</v>
      </c>
      <c r="C1010" t="s">
        <v>1027</v>
      </c>
      <c r="D1010" t="s">
        <v>1148</v>
      </c>
      <c r="E1010" t="str">
        <f>_xlfn.XLOOKUP(F1010, Keys!B:B, Keys!A:A, "找不到")</f>
        <v>FA</v>
      </c>
      <c r="F1010" t="s">
        <v>63</v>
      </c>
      <c r="G1010">
        <v>0.42117081501820991</v>
      </c>
      <c r="H1010" t="s">
        <v>64</v>
      </c>
      <c r="I1010" t="s">
        <v>65</v>
      </c>
      <c r="J1010" t="s">
        <v>1149</v>
      </c>
      <c r="K1010">
        <v>173.28012978242899</v>
      </c>
      <c r="L1010">
        <v>1704.4246353756089</v>
      </c>
    </row>
    <row r="1011" spans="1:12" hidden="1" x14ac:dyDescent="0.25">
      <c r="A1011">
        <v>70</v>
      </c>
      <c r="B1011" t="s">
        <v>1026</v>
      </c>
      <c r="C1011" t="s">
        <v>1027</v>
      </c>
      <c r="D1011">
        <v>0</v>
      </c>
      <c r="E1011" t="str">
        <f>_xlfn.XLOOKUP(F1011, Keys!B:B, Keys!A:A, "找不到")</f>
        <v>FA</v>
      </c>
      <c r="F1011" t="s">
        <v>63</v>
      </c>
      <c r="G1011">
        <v>2.4296789479059688</v>
      </c>
      <c r="H1011" t="s">
        <v>64</v>
      </c>
      <c r="I1011" t="s">
        <v>65</v>
      </c>
      <c r="J1011" t="s">
        <v>673</v>
      </c>
      <c r="K1011">
        <v>508.47292755720639</v>
      </c>
      <c r="L1011">
        <v>9832.6011850687537</v>
      </c>
    </row>
    <row r="1012" spans="1:12" hidden="1" x14ac:dyDescent="0.25">
      <c r="A1012">
        <v>79</v>
      </c>
      <c r="B1012" t="s">
        <v>1026</v>
      </c>
      <c r="C1012" t="s">
        <v>1027</v>
      </c>
      <c r="D1012" t="s">
        <v>1192</v>
      </c>
      <c r="E1012" t="str">
        <f>_xlfn.XLOOKUP(F1012, Keys!B:B, Keys!A:A, "找不到")</f>
        <v>FA</v>
      </c>
      <c r="F1012" t="s">
        <v>63</v>
      </c>
      <c r="G1012">
        <v>0.67165680676981421</v>
      </c>
      <c r="H1012" t="s">
        <v>64</v>
      </c>
      <c r="I1012" t="s">
        <v>65</v>
      </c>
      <c r="J1012" t="s">
        <v>1193</v>
      </c>
      <c r="K1012">
        <v>252.90763642140419</v>
      </c>
      <c r="L1012">
        <v>2718.109534552364</v>
      </c>
    </row>
    <row r="1013" spans="1:12" hidden="1" x14ac:dyDescent="0.25">
      <c r="A1013">
        <v>80</v>
      </c>
      <c r="B1013" t="s">
        <v>1026</v>
      </c>
      <c r="C1013" t="s">
        <v>1027</v>
      </c>
      <c r="D1013" t="s">
        <v>1196</v>
      </c>
      <c r="E1013" t="str">
        <f>_xlfn.XLOOKUP(F1013, Keys!B:B, Keys!A:A, "找不到")</f>
        <v>FA</v>
      </c>
      <c r="F1013" t="s">
        <v>63</v>
      </c>
      <c r="G1013">
        <v>8.3754400259143882</v>
      </c>
      <c r="H1013" t="s">
        <v>64</v>
      </c>
      <c r="I1013" t="s">
        <v>65</v>
      </c>
      <c r="J1013" t="s">
        <v>1197</v>
      </c>
      <c r="K1013">
        <v>886.51543948030621</v>
      </c>
      <c r="L1013">
        <v>33894.338836517432</v>
      </c>
    </row>
    <row r="1014" spans="1:12" hidden="1" x14ac:dyDescent="0.25">
      <c r="A1014">
        <v>84</v>
      </c>
      <c r="B1014" t="s">
        <v>1026</v>
      </c>
      <c r="C1014" t="s">
        <v>1027</v>
      </c>
      <c r="D1014" t="s">
        <v>1196</v>
      </c>
      <c r="E1014" t="str">
        <f>_xlfn.XLOOKUP(F1014, Keys!B:B, Keys!A:A, "找不到")</f>
        <v>FA</v>
      </c>
      <c r="F1014" t="s">
        <v>63</v>
      </c>
      <c r="G1014">
        <v>2.1780407221822129</v>
      </c>
      <c r="H1014" t="s">
        <v>64</v>
      </c>
      <c r="I1014" t="s">
        <v>65</v>
      </c>
      <c r="J1014" t="s">
        <v>1197</v>
      </c>
      <c r="K1014">
        <v>456.8230202568302</v>
      </c>
      <c r="L1014">
        <v>8814.2533417899322</v>
      </c>
    </row>
    <row r="1015" spans="1:12" hidden="1" x14ac:dyDescent="0.25">
      <c r="A1015">
        <v>102</v>
      </c>
      <c r="B1015" t="s">
        <v>1026</v>
      </c>
      <c r="C1015" t="s">
        <v>1027</v>
      </c>
      <c r="D1015">
        <v>0</v>
      </c>
      <c r="E1015" t="str">
        <f>_xlfn.XLOOKUP(F1015, Keys!B:B, Keys!A:A, "找不到")</f>
        <v>FA</v>
      </c>
      <c r="F1015" t="s">
        <v>63</v>
      </c>
      <c r="G1015">
        <v>5.0192907771026842</v>
      </c>
      <c r="H1015" t="s">
        <v>64</v>
      </c>
      <c r="I1015" t="s">
        <v>65</v>
      </c>
      <c r="J1015" t="s">
        <v>1244</v>
      </c>
      <c r="K1015">
        <v>1066.683580614741</v>
      </c>
      <c r="L1015">
        <v>20312.430366851298</v>
      </c>
    </row>
    <row r="1016" spans="1:12" hidden="1" x14ac:dyDescent="0.25">
      <c r="A1016">
        <v>104</v>
      </c>
      <c r="B1016" t="s">
        <v>1026</v>
      </c>
      <c r="C1016" t="s">
        <v>1027</v>
      </c>
      <c r="D1016">
        <v>0</v>
      </c>
      <c r="E1016" t="str">
        <f>_xlfn.XLOOKUP(F1016, Keys!B:B, Keys!A:A, "找不到")</f>
        <v>FA</v>
      </c>
      <c r="F1016" t="s">
        <v>63</v>
      </c>
      <c r="G1016">
        <v>3.195358826065251</v>
      </c>
      <c r="H1016" t="s">
        <v>64</v>
      </c>
      <c r="I1016" t="s">
        <v>65</v>
      </c>
      <c r="J1016" t="s">
        <v>1253</v>
      </c>
      <c r="K1016">
        <v>611.26200609795069</v>
      </c>
      <c r="L1016">
        <v>12931.21011192341</v>
      </c>
    </row>
    <row r="1017" spans="1:12" hidden="1" x14ac:dyDescent="0.25">
      <c r="A1017">
        <v>105</v>
      </c>
      <c r="B1017" t="s">
        <v>1026</v>
      </c>
      <c r="C1017" t="s">
        <v>1027</v>
      </c>
      <c r="D1017" t="s">
        <v>1248</v>
      </c>
      <c r="E1017" t="str">
        <f>_xlfn.XLOOKUP(F1017, Keys!B:B, Keys!A:A, "找不到")</f>
        <v>FA</v>
      </c>
      <c r="F1017" t="s">
        <v>63</v>
      </c>
      <c r="G1017">
        <v>4.0885435322459678</v>
      </c>
      <c r="H1017" t="s">
        <v>64</v>
      </c>
      <c r="I1017" t="s">
        <v>65</v>
      </c>
      <c r="J1017" t="s">
        <v>1255</v>
      </c>
      <c r="K1017">
        <v>852.65855065622384</v>
      </c>
      <c r="L1017">
        <v>16545.814834924731</v>
      </c>
    </row>
    <row r="1018" spans="1:12" hidden="1" x14ac:dyDescent="0.25">
      <c r="A1018">
        <v>106</v>
      </c>
      <c r="B1018" t="s">
        <v>1026</v>
      </c>
      <c r="C1018" t="s">
        <v>1027</v>
      </c>
      <c r="D1018" t="s">
        <v>1257</v>
      </c>
      <c r="E1018" t="str">
        <f>_xlfn.XLOOKUP(F1018, Keys!B:B, Keys!A:A, "找不到")</f>
        <v>FA</v>
      </c>
      <c r="F1018" t="s">
        <v>63</v>
      </c>
      <c r="G1018">
        <v>1.107843877734537</v>
      </c>
      <c r="H1018" t="s">
        <v>64</v>
      </c>
      <c r="I1018" t="s">
        <v>65</v>
      </c>
      <c r="J1018" t="s">
        <v>1249</v>
      </c>
      <c r="K1018">
        <v>323.29842977508218</v>
      </c>
      <c r="L1018">
        <v>4483.3030448207774</v>
      </c>
    </row>
    <row r="1019" spans="1:12" hidden="1" x14ac:dyDescent="0.25">
      <c r="A1019">
        <v>109</v>
      </c>
      <c r="B1019" t="s">
        <v>1026</v>
      </c>
      <c r="C1019" t="s">
        <v>1027</v>
      </c>
      <c r="D1019" t="s">
        <v>1248</v>
      </c>
      <c r="E1019" t="str">
        <f>_xlfn.XLOOKUP(F1019, Keys!B:B, Keys!A:A, "找不到")</f>
        <v>FA</v>
      </c>
      <c r="F1019" t="s">
        <v>63</v>
      </c>
      <c r="G1019">
        <v>0.25666878204082938</v>
      </c>
      <c r="H1019" t="s">
        <v>64</v>
      </c>
      <c r="I1019" t="s">
        <v>65</v>
      </c>
      <c r="J1019" t="s">
        <v>1255</v>
      </c>
      <c r="K1019">
        <v>173.27684560451371</v>
      </c>
      <c r="L1019">
        <v>1038.705863850817</v>
      </c>
    </row>
    <row r="1020" spans="1:12" hidden="1" x14ac:dyDescent="0.25">
      <c r="A1020">
        <v>110</v>
      </c>
      <c r="B1020" t="s">
        <v>1026</v>
      </c>
      <c r="C1020" t="s">
        <v>1027</v>
      </c>
      <c r="D1020" t="s">
        <v>1248</v>
      </c>
      <c r="E1020" t="str">
        <f>_xlfn.XLOOKUP(F1020, Keys!B:B, Keys!A:A, "找不到")</f>
        <v>FA</v>
      </c>
      <c r="F1020" t="s">
        <v>63</v>
      </c>
      <c r="G1020">
        <v>1.3884021435620151</v>
      </c>
      <c r="H1020" t="s">
        <v>64</v>
      </c>
      <c r="I1020" t="s">
        <v>65</v>
      </c>
      <c r="J1020" t="s">
        <v>1255</v>
      </c>
      <c r="K1020">
        <v>294.28679091736137</v>
      </c>
      <c r="L1020">
        <v>5618.6866062718163</v>
      </c>
    </row>
    <row r="1021" spans="1:12" hidden="1" x14ac:dyDescent="0.25">
      <c r="A1021">
        <v>111</v>
      </c>
      <c r="B1021" t="s">
        <v>1026</v>
      </c>
      <c r="C1021" t="s">
        <v>1027</v>
      </c>
      <c r="D1021" t="s">
        <v>1257</v>
      </c>
      <c r="E1021" t="str">
        <f>_xlfn.XLOOKUP(F1021, Keys!B:B, Keys!A:A, "找不到")</f>
        <v>FA</v>
      </c>
      <c r="F1021" t="s">
        <v>63</v>
      </c>
      <c r="G1021">
        <v>1.0740834755368569</v>
      </c>
      <c r="H1021" t="s">
        <v>64</v>
      </c>
      <c r="I1021" t="s">
        <v>65</v>
      </c>
      <c r="J1021" t="s">
        <v>1249</v>
      </c>
      <c r="K1021">
        <v>288.79297586679928</v>
      </c>
      <c r="L1021">
        <v>4346.6789978686465</v>
      </c>
    </row>
    <row r="1022" spans="1:12" hidden="1" x14ac:dyDescent="0.25">
      <c r="A1022">
        <v>112</v>
      </c>
      <c r="B1022" t="s">
        <v>1026</v>
      </c>
      <c r="C1022" t="s">
        <v>1027</v>
      </c>
      <c r="D1022" t="s">
        <v>1257</v>
      </c>
      <c r="E1022" t="str">
        <f>_xlfn.XLOOKUP(F1022, Keys!B:B, Keys!A:A, "找不到")</f>
        <v>FA</v>
      </c>
      <c r="F1022" t="s">
        <v>63</v>
      </c>
      <c r="G1022">
        <v>0.22725050883129669</v>
      </c>
      <c r="H1022" t="s">
        <v>64</v>
      </c>
      <c r="I1022" t="s">
        <v>65</v>
      </c>
      <c r="J1022" t="s">
        <v>1249</v>
      </c>
      <c r="K1022">
        <v>161.07957284387911</v>
      </c>
      <c r="L1022">
        <v>919.65385976936147</v>
      </c>
    </row>
    <row r="1023" spans="1:12" hidden="1" x14ac:dyDescent="0.25">
      <c r="A1023">
        <v>113</v>
      </c>
      <c r="B1023" t="s">
        <v>1026</v>
      </c>
      <c r="C1023" t="s">
        <v>1027</v>
      </c>
      <c r="D1023" t="s">
        <v>1257</v>
      </c>
      <c r="E1023" t="str">
        <f>_xlfn.XLOOKUP(F1023, Keys!B:B, Keys!A:A, "找不到")</f>
        <v>FA</v>
      </c>
      <c r="F1023" t="s">
        <v>63</v>
      </c>
      <c r="G1023">
        <v>0.2474270562552954</v>
      </c>
      <c r="H1023" t="s">
        <v>64</v>
      </c>
      <c r="I1023" t="s">
        <v>65</v>
      </c>
      <c r="J1023" t="s">
        <v>1249</v>
      </c>
      <c r="K1023">
        <v>139.19140511725141</v>
      </c>
      <c r="L1023">
        <v>1001.305776901371</v>
      </c>
    </row>
    <row r="1024" spans="1:12" hidden="1" x14ac:dyDescent="0.25">
      <c r="A1024">
        <v>114</v>
      </c>
      <c r="B1024" t="s">
        <v>1026</v>
      </c>
      <c r="C1024" t="s">
        <v>1027</v>
      </c>
      <c r="D1024" t="s">
        <v>1257</v>
      </c>
      <c r="E1024" t="str">
        <f>_xlfn.XLOOKUP(F1024, Keys!B:B, Keys!A:A, "找不到")</f>
        <v>FA</v>
      </c>
      <c r="F1024" t="s">
        <v>63</v>
      </c>
      <c r="G1024">
        <v>6.8829480797381217</v>
      </c>
      <c r="H1024" t="s">
        <v>64</v>
      </c>
      <c r="I1024" t="s">
        <v>65</v>
      </c>
      <c r="J1024" t="s">
        <v>1249</v>
      </c>
      <c r="K1024">
        <v>816.51014274960721</v>
      </c>
      <c r="L1024">
        <v>27854.414059078779</v>
      </c>
    </row>
    <row r="1025" spans="1:12" hidden="1" x14ac:dyDescent="0.25">
      <c r="A1025">
        <v>115</v>
      </c>
      <c r="B1025" t="s">
        <v>1026</v>
      </c>
      <c r="C1025" t="s">
        <v>1027</v>
      </c>
      <c r="D1025" t="s">
        <v>1248</v>
      </c>
      <c r="E1025" t="str">
        <f>_xlfn.XLOOKUP(F1025, Keys!B:B, Keys!A:A, "找不到")</f>
        <v>FA</v>
      </c>
      <c r="F1025" t="s">
        <v>63</v>
      </c>
      <c r="G1025">
        <v>3.0226462784150909</v>
      </c>
      <c r="H1025" t="s">
        <v>64</v>
      </c>
      <c r="I1025" t="s">
        <v>65</v>
      </c>
      <c r="J1025" t="s">
        <v>1255</v>
      </c>
      <c r="K1025">
        <v>611.7303054333438</v>
      </c>
      <c r="L1025">
        <v>12232.26443345637</v>
      </c>
    </row>
    <row r="1026" spans="1:12" hidden="1" x14ac:dyDescent="0.25">
      <c r="A1026">
        <v>117</v>
      </c>
      <c r="B1026" t="s">
        <v>1026</v>
      </c>
      <c r="C1026" t="s">
        <v>1027</v>
      </c>
      <c r="D1026" t="s">
        <v>1257</v>
      </c>
      <c r="E1026" t="str">
        <f>_xlfn.XLOOKUP(F1026, Keys!B:B, Keys!A:A, "找不到")</f>
        <v>FA</v>
      </c>
      <c r="F1026" t="s">
        <v>63</v>
      </c>
      <c r="G1026">
        <v>0.77175900749891391</v>
      </c>
      <c r="H1026" t="s">
        <v>64</v>
      </c>
      <c r="I1026" t="s">
        <v>65</v>
      </c>
      <c r="J1026" t="s">
        <v>1249</v>
      </c>
      <c r="K1026">
        <v>314.28688098536833</v>
      </c>
      <c r="L1026">
        <v>3123.2103888710922</v>
      </c>
    </row>
    <row r="1027" spans="1:12" hidden="1" x14ac:dyDescent="0.25">
      <c r="A1027">
        <v>118</v>
      </c>
      <c r="B1027" t="s">
        <v>1026</v>
      </c>
      <c r="C1027" t="s">
        <v>1027</v>
      </c>
      <c r="D1027" t="s">
        <v>1248</v>
      </c>
      <c r="E1027" t="str">
        <f>_xlfn.XLOOKUP(F1027, Keys!B:B, Keys!A:A, "找不到")</f>
        <v>FA</v>
      </c>
      <c r="F1027" t="s">
        <v>63</v>
      </c>
      <c r="G1027">
        <v>9.7142806344531998E-2</v>
      </c>
      <c r="H1027" t="s">
        <v>64</v>
      </c>
      <c r="I1027" t="s">
        <v>65</v>
      </c>
      <c r="J1027" t="s">
        <v>1255</v>
      </c>
      <c r="K1027">
        <v>98.032187486060607</v>
      </c>
      <c r="L1027">
        <v>393.12456224200531</v>
      </c>
    </row>
    <row r="1028" spans="1:12" hidden="1" x14ac:dyDescent="0.25">
      <c r="A1028">
        <v>119</v>
      </c>
      <c r="B1028" t="s">
        <v>1026</v>
      </c>
      <c r="C1028" t="s">
        <v>1027</v>
      </c>
      <c r="D1028" t="s">
        <v>1248</v>
      </c>
      <c r="E1028" t="str">
        <f>_xlfn.XLOOKUP(F1028, Keys!B:B, Keys!A:A, "找不到")</f>
        <v>FA</v>
      </c>
      <c r="F1028" t="s">
        <v>63</v>
      </c>
      <c r="G1028">
        <v>5.456989072989872</v>
      </c>
      <c r="H1028" t="s">
        <v>64</v>
      </c>
      <c r="I1028" t="s">
        <v>65</v>
      </c>
      <c r="J1028" t="s">
        <v>1255</v>
      </c>
      <c r="K1028">
        <v>657.33185633589301</v>
      </c>
      <c r="L1028">
        <v>22083.7396118658</v>
      </c>
    </row>
    <row r="1029" spans="1:12" hidden="1" x14ac:dyDescent="0.25">
      <c r="A1029">
        <v>120</v>
      </c>
      <c r="B1029" t="s">
        <v>1026</v>
      </c>
      <c r="C1029" t="s">
        <v>1027</v>
      </c>
      <c r="D1029" t="s">
        <v>1248</v>
      </c>
      <c r="E1029" t="str">
        <f>_xlfn.XLOOKUP(F1029, Keys!B:B, Keys!A:A, "找不到")</f>
        <v>FA</v>
      </c>
      <c r="F1029" t="s">
        <v>63</v>
      </c>
      <c r="G1029">
        <v>1.232202219709275</v>
      </c>
      <c r="H1029" t="s">
        <v>64</v>
      </c>
      <c r="I1029" t="s">
        <v>65</v>
      </c>
      <c r="J1029" t="s">
        <v>1255</v>
      </c>
      <c r="K1029">
        <v>352.33633410195728</v>
      </c>
      <c r="L1029">
        <v>4986.5654127677199</v>
      </c>
    </row>
    <row r="1030" spans="1:12" hidden="1" x14ac:dyDescent="0.25">
      <c r="A1030">
        <v>121</v>
      </c>
      <c r="B1030" t="s">
        <v>1026</v>
      </c>
      <c r="C1030" t="s">
        <v>1027</v>
      </c>
      <c r="D1030" t="s">
        <v>1257</v>
      </c>
      <c r="E1030" t="str">
        <f>_xlfn.XLOOKUP(F1030, Keys!B:B, Keys!A:A, "找不到")</f>
        <v>FA</v>
      </c>
      <c r="F1030" t="s">
        <v>63</v>
      </c>
      <c r="G1030">
        <v>0.80845899475142624</v>
      </c>
      <c r="H1030" t="s">
        <v>64</v>
      </c>
      <c r="I1030" t="s">
        <v>65</v>
      </c>
      <c r="J1030" t="s">
        <v>57</v>
      </c>
      <c r="K1030">
        <v>281.81900714343021</v>
      </c>
      <c r="L1030">
        <v>3271.7305620660181</v>
      </c>
    </row>
    <row r="1031" spans="1:12" hidden="1" x14ac:dyDescent="0.25">
      <c r="A1031">
        <v>123</v>
      </c>
      <c r="B1031" t="s">
        <v>1026</v>
      </c>
      <c r="C1031" t="s">
        <v>1027</v>
      </c>
      <c r="D1031" t="s">
        <v>1248</v>
      </c>
      <c r="E1031" t="str">
        <f>_xlfn.XLOOKUP(F1031, Keys!B:B, Keys!A:A, "找不到")</f>
        <v>FA</v>
      </c>
      <c r="F1031" t="s">
        <v>63</v>
      </c>
      <c r="G1031">
        <v>0.40277513212931082</v>
      </c>
      <c r="H1031" t="s">
        <v>64</v>
      </c>
      <c r="I1031" t="s">
        <v>65</v>
      </c>
      <c r="J1031" t="s">
        <v>1255</v>
      </c>
      <c r="K1031">
        <v>213.93976046503971</v>
      </c>
      <c r="L1031">
        <v>1629.9796501525909</v>
      </c>
    </row>
    <row r="1032" spans="1:12" hidden="1" x14ac:dyDescent="0.25">
      <c r="A1032">
        <v>124</v>
      </c>
      <c r="B1032" t="s">
        <v>1026</v>
      </c>
      <c r="C1032" t="s">
        <v>1027</v>
      </c>
      <c r="D1032" t="s">
        <v>1257</v>
      </c>
      <c r="E1032" t="str">
        <f>_xlfn.XLOOKUP(F1032, Keys!B:B, Keys!A:A, "找不到")</f>
        <v>FA</v>
      </c>
      <c r="F1032" t="s">
        <v>63</v>
      </c>
      <c r="G1032">
        <v>2.971748821664276</v>
      </c>
      <c r="H1032" t="s">
        <v>64</v>
      </c>
      <c r="I1032" t="s">
        <v>65</v>
      </c>
      <c r="J1032" t="s">
        <v>1249</v>
      </c>
      <c r="K1032">
        <v>443.18320438363747</v>
      </c>
      <c r="L1032">
        <v>12026.288909819241</v>
      </c>
    </row>
    <row r="1033" spans="1:12" hidden="1" x14ac:dyDescent="0.25">
      <c r="A1033">
        <v>125</v>
      </c>
      <c r="B1033" t="s">
        <v>1026</v>
      </c>
      <c r="C1033" t="s">
        <v>1027</v>
      </c>
      <c r="D1033" t="s">
        <v>1257</v>
      </c>
      <c r="E1033" t="str">
        <f>_xlfn.XLOOKUP(F1033, Keys!B:B, Keys!A:A, "找不到")</f>
        <v>FA</v>
      </c>
      <c r="F1033" t="s">
        <v>63</v>
      </c>
      <c r="G1033">
        <v>1.7703964950297839</v>
      </c>
      <c r="H1033" t="s">
        <v>64</v>
      </c>
      <c r="I1033" t="s">
        <v>65</v>
      </c>
      <c r="J1033" t="s">
        <v>1249</v>
      </c>
      <c r="K1033">
        <v>362.78657046928822</v>
      </c>
      <c r="L1033">
        <v>7164.5690843534103</v>
      </c>
    </row>
    <row r="1034" spans="1:12" hidden="1" x14ac:dyDescent="0.25">
      <c r="A1034">
        <v>126</v>
      </c>
      <c r="B1034" t="s">
        <v>1026</v>
      </c>
      <c r="C1034" t="s">
        <v>1027</v>
      </c>
      <c r="D1034" t="s">
        <v>1257</v>
      </c>
      <c r="E1034" t="str">
        <f>_xlfn.XLOOKUP(F1034, Keys!B:B, Keys!A:A, "找不到")</f>
        <v>FA</v>
      </c>
      <c r="F1034" t="s">
        <v>63</v>
      </c>
      <c r="G1034">
        <v>1.7860413104939461</v>
      </c>
      <c r="H1034" t="s">
        <v>64</v>
      </c>
      <c r="I1034" t="s">
        <v>65</v>
      </c>
      <c r="J1034" t="s">
        <v>1249</v>
      </c>
      <c r="K1034">
        <v>367.11304840391188</v>
      </c>
      <c r="L1034">
        <v>7227.8816595418648</v>
      </c>
    </row>
    <row r="1035" spans="1:12" hidden="1" x14ac:dyDescent="0.25">
      <c r="A1035">
        <v>127</v>
      </c>
      <c r="B1035" t="s">
        <v>1026</v>
      </c>
      <c r="C1035" t="s">
        <v>1027</v>
      </c>
      <c r="D1035" t="s">
        <v>1257</v>
      </c>
      <c r="E1035" t="str">
        <f>_xlfn.XLOOKUP(F1035, Keys!B:B, Keys!A:A, "找不到")</f>
        <v>FA</v>
      </c>
      <c r="F1035" t="s">
        <v>63</v>
      </c>
      <c r="G1035">
        <v>1.324616899891808</v>
      </c>
      <c r="H1035" t="s">
        <v>64</v>
      </c>
      <c r="I1035" t="s">
        <v>65</v>
      </c>
      <c r="J1035" t="s">
        <v>1249</v>
      </c>
      <c r="K1035">
        <v>341.97861288930648</v>
      </c>
      <c r="L1035">
        <v>5360.5558507487021</v>
      </c>
    </row>
    <row r="1036" spans="1:12" hidden="1" x14ac:dyDescent="0.25">
      <c r="A1036">
        <v>128</v>
      </c>
      <c r="B1036" t="s">
        <v>1026</v>
      </c>
      <c r="C1036" t="s">
        <v>1027</v>
      </c>
      <c r="D1036" t="s">
        <v>1257</v>
      </c>
      <c r="E1036" t="str">
        <f>_xlfn.XLOOKUP(F1036, Keys!B:B, Keys!A:A, "找不到")</f>
        <v>FA</v>
      </c>
      <c r="F1036" t="s">
        <v>63</v>
      </c>
      <c r="G1036">
        <v>1.9879390475379799</v>
      </c>
      <c r="H1036" t="s">
        <v>64</v>
      </c>
      <c r="I1036" t="s">
        <v>65</v>
      </c>
      <c r="J1036" t="s">
        <v>1249</v>
      </c>
      <c r="K1036">
        <v>351.95109040447971</v>
      </c>
      <c r="L1036">
        <v>8044.9360815809587</v>
      </c>
    </row>
    <row r="1037" spans="1:12" hidden="1" x14ac:dyDescent="0.25">
      <c r="A1037">
        <v>129</v>
      </c>
      <c r="B1037" t="s">
        <v>1026</v>
      </c>
      <c r="C1037" t="s">
        <v>1027</v>
      </c>
      <c r="D1037" t="s">
        <v>1257</v>
      </c>
      <c r="E1037" t="str">
        <f>_xlfn.XLOOKUP(F1037, Keys!B:B, Keys!A:A, "找不到")</f>
        <v>FA</v>
      </c>
      <c r="F1037" t="s">
        <v>63</v>
      </c>
      <c r="G1037">
        <v>1.1466588436791889</v>
      </c>
      <c r="H1037" t="s">
        <v>64</v>
      </c>
      <c r="I1037" t="s">
        <v>65</v>
      </c>
      <c r="J1037" t="s">
        <v>1249</v>
      </c>
      <c r="K1037">
        <v>292.43158111143828</v>
      </c>
      <c r="L1037">
        <v>4640.3822673553914</v>
      </c>
    </row>
    <row r="1038" spans="1:12" hidden="1" x14ac:dyDescent="0.25">
      <c r="A1038">
        <v>130</v>
      </c>
      <c r="B1038" t="s">
        <v>1026</v>
      </c>
      <c r="C1038" t="s">
        <v>1027</v>
      </c>
      <c r="D1038" t="s">
        <v>1257</v>
      </c>
      <c r="E1038" t="str">
        <f>_xlfn.XLOOKUP(F1038, Keys!B:B, Keys!A:A, "找不到")</f>
        <v>FA</v>
      </c>
      <c r="F1038" t="s">
        <v>63</v>
      </c>
      <c r="G1038">
        <v>1.2614696958190801</v>
      </c>
      <c r="H1038" t="s">
        <v>64</v>
      </c>
      <c r="I1038" t="s">
        <v>65</v>
      </c>
      <c r="J1038" t="s">
        <v>1249</v>
      </c>
      <c r="K1038">
        <v>303.95875340924482</v>
      </c>
      <c r="L1038">
        <v>5105.0071601966374</v>
      </c>
    </row>
    <row r="1039" spans="1:12" hidden="1" x14ac:dyDescent="0.25">
      <c r="A1039">
        <v>131</v>
      </c>
      <c r="B1039" t="s">
        <v>1026</v>
      </c>
      <c r="C1039" t="s">
        <v>1027</v>
      </c>
      <c r="D1039" t="s">
        <v>1257</v>
      </c>
      <c r="E1039" t="str">
        <f>_xlfn.XLOOKUP(F1039, Keys!B:B, Keys!A:A, "找不到")</f>
        <v>FA</v>
      </c>
      <c r="F1039" t="s">
        <v>63</v>
      </c>
      <c r="G1039">
        <v>3.1033081325161449</v>
      </c>
      <c r="H1039" t="s">
        <v>64</v>
      </c>
      <c r="I1039" t="s">
        <v>65</v>
      </c>
      <c r="J1039" t="s">
        <v>1249</v>
      </c>
      <c r="K1039">
        <v>444.94409902457971</v>
      </c>
      <c r="L1039">
        <v>12558.692681479601</v>
      </c>
    </row>
    <row r="1040" spans="1:12" hidden="1" x14ac:dyDescent="0.25">
      <c r="A1040">
        <v>132</v>
      </c>
      <c r="B1040" t="s">
        <v>1026</v>
      </c>
      <c r="C1040" t="s">
        <v>1027</v>
      </c>
      <c r="D1040" t="s">
        <v>1257</v>
      </c>
      <c r="E1040" t="str">
        <f>_xlfn.XLOOKUP(F1040, Keys!B:B, Keys!A:A, "找不到")</f>
        <v>FA</v>
      </c>
      <c r="F1040" t="s">
        <v>63</v>
      </c>
      <c r="G1040">
        <v>0.50602181970585947</v>
      </c>
      <c r="H1040" t="s">
        <v>64</v>
      </c>
      <c r="I1040" t="s">
        <v>65</v>
      </c>
      <c r="J1040" t="s">
        <v>1249</v>
      </c>
      <c r="K1040">
        <v>191.63133545567479</v>
      </c>
      <c r="L1040">
        <v>2047.80584216637</v>
      </c>
    </row>
    <row r="1041" spans="1:12" hidden="1" x14ac:dyDescent="0.25">
      <c r="A1041">
        <v>133</v>
      </c>
      <c r="B1041" t="s">
        <v>1026</v>
      </c>
      <c r="C1041" t="s">
        <v>1027</v>
      </c>
      <c r="D1041" t="s">
        <v>1257</v>
      </c>
      <c r="E1041" t="str">
        <f>_xlfn.XLOOKUP(F1041, Keys!B:B, Keys!A:A, "找不到")</f>
        <v>FA</v>
      </c>
      <c r="F1041" t="s">
        <v>63</v>
      </c>
      <c r="G1041">
        <v>2.265438512596806</v>
      </c>
      <c r="H1041" t="s">
        <v>64</v>
      </c>
      <c r="I1041" t="s">
        <v>65</v>
      </c>
      <c r="J1041" t="s">
        <v>1249</v>
      </c>
      <c r="K1041">
        <v>412.09594200036543</v>
      </c>
      <c r="L1041">
        <v>9167.9410659822788</v>
      </c>
    </row>
    <row r="1042" spans="1:12" hidden="1" x14ac:dyDescent="0.25">
      <c r="A1042">
        <v>134</v>
      </c>
      <c r="B1042" t="s">
        <v>1026</v>
      </c>
      <c r="C1042" t="s">
        <v>1027</v>
      </c>
      <c r="D1042" t="s">
        <v>1257</v>
      </c>
      <c r="E1042" t="str">
        <f>_xlfn.XLOOKUP(F1042, Keys!B:B, Keys!A:A, "找不到")</f>
        <v>FA</v>
      </c>
      <c r="F1042" t="s">
        <v>63</v>
      </c>
      <c r="G1042">
        <v>0.68680134447358698</v>
      </c>
      <c r="H1042" t="s">
        <v>64</v>
      </c>
      <c r="I1042" t="s">
        <v>65</v>
      </c>
      <c r="J1042" t="s">
        <v>1249</v>
      </c>
      <c r="K1042">
        <v>214.8990212720646</v>
      </c>
      <c r="L1042">
        <v>2779.3975493749699</v>
      </c>
    </row>
    <row r="1043" spans="1:12" hidden="1" x14ac:dyDescent="0.25">
      <c r="A1043">
        <v>135</v>
      </c>
      <c r="B1043" t="s">
        <v>1026</v>
      </c>
      <c r="C1043" t="s">
        <v>1027</v>
      </c>
      <c r="D1043" t="s">
        <v>1257</v>
      </c>
      <c r="E1043" t="str">
        <f>_xlfn.XLOOKUP(F1043, Keys!B:B, Keys!A:A, "找不到")</f>
        <v>FA</v>
      </c>
      <c r="F1043" t="s">
        <v>63</v>
      </c>
      <c r="G1043">
        <v>0.29123838593409668</v>
      </c>
      <c r="H1043" t="s">
        <v>64</v>
      </c>
      <c r="I1043" t="s">
        <v>65</v>
      </c>
      <c r="J1043" t="s">
        <v>1249</v>
      </c>
      <c r="K1043">
        <v>210.2936187576299</v>
      </c>
      <c r="L1043">
        <v>1178.604646980682</v>
      </c>
    </row>
    <row r="1044" spans="1:12" hidden="1" x14ac:dyDescent="0.25">
      <c r="A1044">
        <v>136</v>
      </c>
      <c r="B1044" t="s">
        <v>1026</v>
      </c>
      <c r="C1044" t="s">
        <v>1027</v>
      </c>
      <c r="D1044" t="s">
        <v>1257</v>
      </c>
      <c r="E1044" t="str">
        <f>_xlfn.XLOOKUP(F1044, Keys!B:B, Keys!A:A, "找不到")</f>
        <v>FA</v>
      </c>
      <c r="F1044" t="s">
        <v>63</v>
      </c>
      <c r="G1044">
        <v>0.41643875730512098</v>
      </c>
      <c r="H1044" t="s">
        <v>64</v>
      </c>
      <c r="I1044" t="s">
        <v>65</v>
      </c>
      <c r="J1044" t="s">
        <v>1299</v>
      </c>
      <c r="K1044">
        <v>165.69015120285209</v>
      </c>
      <c r="L1044">
        <v>1685.274600628165</v>
      </c>
    </row>
    <row r="1045" spans="1:12" hidden="1" x14ac:dyDescent="0.25">
      <c r="A1045">
        <v>137</v>
      </c>
      <c r="B1045" t="s">
        <v>1026</v>
      </c>
      <c r="C1045" t="s">
        <v>1027</v>
      </c>
      <c r="D1045" t="s">
        <v>1257</v>
      </c>
      <c r="E1045" t="str">
        <f>_xlfn.XLOOKUP(F1045, Keys!B:B, Keys!A:A, "找不到")</f>
        <v>FA</v>
      </c>
      <c r="F1045" t="s">
        <v>63</v>
      </c>
      <c r="G1045">
        <v>0.46613551100159922</v>
      </c>
      <c r="H1045" t="s">
        <v>64</v>
      </c>
      <c r="I1045" t="s">
        <v>65</v>
      </c>
      <c r="J1045" t="s">
        <v>1299</v>
      </c>
      <c r="K1045">
        <v>184.92225843308279</v>
      </c>
      <c r="L1045">
        <v>1886.39103196211</v>
      </c>
    </row>
    <row r="1046" spans="1:12" hidden="1" x14ac:dyDescent="0.25">
      <c r="A1046">
        <v>138</v>
      </c>
      <c r="B1046" t="s">
        <v>1026</v>
      </c>
      <c r="C1046" t="s">
        <v>1027</v>
      </c>
      <c r="D1046" t="s">
        <v>1257</v>
      </c>
      <c r="E1046" t="str">
        <f>_xlfn.XLOOKUP(F1046, Keys!B:B, Keys!A:A, "找不到")</f>
        <v>FA</v>
      </c>
      <c r="F1046" t="s">
        <v>63</v>
      </c>
      <c r="G1046">
        <v>1.263154650036985</v>
      </c>
      <c r="H1046" t="s">
        <v>64</v>
      </c>
      <c r="I1046" t="s">
        <v>65</v>
      </c>
      <c r="J1046" t="s">
        <v>1299</v>
      </c>
      <c r="K1046">
        <v>287.30798874781863</v>
      </c>
      <c r="L1046">
        <v>5111.8259552699701</v>
      </c>
    </row>
    <row r="1047" spans="1:12" hidden="1" x14ac:dyDescent="0.25">
      <c r="A1047">
        <v>139</v>
      </c>
      <c r="B1047" t="s">
        <v>1026</v>
      </c>
      <c r="C1047" t="s">
        <v>1027</v>
      </c>
      <c r="D1047" t="s">
        <v>1257</v>
      </c>
      <c r="E1047" t="str">
        <f>_xlfn.XLOOKUP(F1047, Keys!B:B, Keys!A:A, "找不到")</f>
        <v>FA</v>
      </c>
      <c r="F1047" t="s">
        <v>63</v>
      </c>
      <c r="G1047">
        <v>1.584277552771167</v>
      </c>
      <c r="H1047" t="s">
        <v>64</v>
      </c>
      <c r="I1047" t="s">
        <v>65</v>
      </c>
      <c r="J1047" t="s">
        <v>1249</v>
      </c>
      <c r="K1047">
        <v>339.66904421922072</v>
      </c>
      <c r="L1047">
        <v>6411.3694347482451</v>
      </c>
    </row>
    <row r="1048" spans="1:12" hidden="1" x14ac:dyDescent="0.25">
      <c r="A1048">
        <v>140</v>
      </c>
      <c r="B1048" t="s">
        <v>1026</v>
      </c>
      <c r="C1048" t="s">
        <v>1027</v>
      </c>
      <c r="D1048" t="s">
        <v>1257</v>
      </c>
      <c r="E1048" t="str">
        <f>_xlfn.XLOOKUP(F1048, Keys!B:B, Keys!A:A, "找不到")</f>
        <v>FA</v>
      </c>
      <c r="F1048" t="s">
        <v>63</v>
      </c>
      <c r="G1048">
        <v>0.91720706873350721</v>
      </c>
      <c r="H1048" t="s">
        <v>64</v>
      </c>
      <c r="I1048" t="s">
        <v>65</v>
      </c>
      <c r="J1048" t="s">
        <v>1249</v>
      </c>
      <c r="K1048">
        <v>247.40865785728829</v>
      </c>
      <c r="L1048">
        <v>3711.820164040681</v>
      </c>
    </row>
    <row r="1049" spans="1:12" hidden="1" x14ac:dyDescent="0.25">
      <c r="A1049">
        <v>141</v>
      </c>
      <c r="B1049" t="s">
        <v>1026</v>
      </c>
      <c r="C1049" t="s">
        <v>1027</v>
      </c>
      <c r="D1049" t="s">
        <v>1257</v>
      </c>
      <c r="E1049" t="str">
        <f>_xlfn.XLOOKUP(F1049, Keys!B:B, Keys!A:A, "找不到")</f>
        <v>FA</v>
      </c>
      <c r="F1049" t="s">
        <v>63</v>
      </c>
      <c r="G1049">
        <v>3.1857389175909541</v>
      </c>
      <c r="H1049" t="s">
        <v>64</v>
      </c>
      <c r="I1049" t="s">
        <v>65</v>
      </c>
      <c r="J1049" t="s">
        <v>1308</v>
      </c>
      <c r="K1049">
        <v>483.89618495827568</v>
      </c>
      <c r="L1049">
        <v>12892.279567809281</v>
      </c>
    </row>
    <row r="1050" spans="1:12" hidden="1" x14ac:dyDescent="0.25">
      <c r="A1050">
        <v>142</v>
      </c>
      <c r="B1050" t="s">
        <v>1026</v>
      </c>
      <c r="C1050" t="s">
        <v>1027</v>
      </c>
      <c r="D1050" t="s">
        <v>1257</v>
      </c>
      <c r="E1050" t="str">
        <f>_xlfn.XLOOKUP(F1050, Keys!B:B, Keys!A:A, "找不到")</f>
        <v>FA</v>
      </c>
      <c r="F1050" t="s">
        <v>63</v>
      </c>
      <c r="G1050">
        <v>2.632294386450762</v>
      </c>
      <c r="H1050" t="s">
        <v>64</v>
      </c>
      <c r="I1050" t="s">
        <v>65</v>
      </c>
      <c r="J1050" t="s">
        <v>1308</v>
      </c>
      <c r="K1050">
        <v>471.58434993269071</v>
      </c>
      <c r="L1050">
        <v>10652.560053653329</v>
      </c>
    </row>
    <row r="1051" spans="1:12" hidden="1" x14ac:dyDescent="0.25">
      <c r="A1051">
        <v>143</v>
      </c>
      <c r="B1051" t="s">
        <v>1026</v>
      </c>
      <c r="C1051" t="s">
        <v>1027</v>
      </c>
      <c r="D1051">
        <v>0</v>
      </c>
      <c r="E1051" t="str">
        <f>_xlfn.XLOOKUP(F1051, Keys!B:B, Keys!A:A, "找不到")</f>
        <v>FA</v>
      </c>
      <c r="F1051" t="s">
        <v>63</v>
      </c>
      <c r="G1051">
        <v>9.536606275798544E-2</v>
      </c>
      <c r="H1051" t="s">
        <v>64</v>
      </c>
      <c r="I1051" t="s">
        <v>65</v>
      </c>
      <c r="J1051" t="s">
        <v>1313</v>
      </c>
      <c r="K1051">
        <v>80.877900495672037</v>
      </c>
      <c r="L1051">
        <v>385.93430728684018</v>
      </c>
    </row>
    <row r="1052" spans="1:12" hidden="1" x14ac:dyDescent="0.25">
      <c r="A1052">
        <v>146</v>
      </c>
      <c r="B1052" t="s">
        <v>1026</v>
      </c>
      <c r="C1052" t="s">
        <v>1027</v>
      </c>
      <c r="D1052">
        <v>0</v>
      </c>
      <c r="E1052" t="str">
        <f>_xlfn.XLOOKUP(F1052, Keys!B:B, Keys!A:A, "找不到")</f>
        <v>FA</v>
      </c>
      <c r="F1052" t="s">
        <v>63</v>
      </c>
      <c r="G1052">
        <v>2.1665144919226589</v>
      </c>
      <c r="H1052" t="s">
        <v>64</v>
      </c>
      <c r="I1052" t="s">
        <v>65</v>
      </c>
      <c r="J1052" t="s">
        <v>1313</v>
      </c>
      <c r="K1052">
        <v>382.07105598884323</v>
      </c>
      <c r="L1052">
        <v>8767.6081562574418</v>
      </c>
    </row>
    <row r="1053" spans="1:12" hidden="1" x14ac:dyDescent="0.25">
      <c r="A1053">
        <v>148</v>
      </c>
      <c r="B1053" t="s">
        <v>1026</v>
      </c>
      <c r="C1053" t="s">
        <v>1027</v>
      </c>
      <c r="D1053">
        <v>0</v>
      </c>
      <c r="E1053" t="str">
        <f>_xlfn.XLOOKUP(F1053, Keys!B:B, Keys!A:A, "找不到")</f>
        <v>FA</v>
      </c>
      <c r="F1053" t="s">
        <v>63</v>
      </c>
      <c r="G1053">
        <v>1.106162011472416</v>
      </c>
      <c r="H1053" t="s">
        <v>64</v>
      </c>
      <c r="I1053" t="s">
        <v>65</v>
      </c>
      <c r="J1053" t="s">
        <v>1313</v>
      </c>
      <c r="K1053">
        <v>286.25771952826631</v>
      </c>
      <c r="L1053">
        <v>4476.4967463111298</v>
      </c>
    </row>
    <row r="1054" spans="1:12" hidden="1" x14ac:dyDescent="0.25">
      <c r="A1054">
        <v>149</v>
      </c>
      <c r="B1054" t="s">
        <v>1026</v>
      </c>
      <c r="C1054" t="s">
        <v>1027</v>
      </c>
      <c r="D1054">
        <v>0</v>
      </c>
      <c r="E1054" t="str">
        <f>_xlfn.XLOOKUP(F1054, Keys!B:B, Keys!A:A, "找不到")</f>
        <v>FA</v>
      </c>
      <c r="F1054" t="s">
        <v>63</v>
      </c>
      <c r="G1054">
        <v>3.943842687050255</v>
      </c>
      <c r="H1054" t="s">
        <v>64</v>
      </c>
      <c r="I1054" t="s">
        <v>65</v>
      </c>
      <c r="J1054" t="s">
        <v>1313</v>
      </c>
      <c r="K1054">
        <v>541.61426311367916</v>
      </c>
      <c r="L1054">
        <v>15960.228947876551</v>
      </c>
    </row>
    <row r="1055" spans="1:12" hidden="1" x14ac:dyDescent="0.25">
      <c r="A1055">
        <v>150</v>
      </c>
      <c r="B1055" t="s">
        <v>1026</v>
      </c>
      <c r="C1055" t="s">
        <v>1027</v>
      </c>
      <c r="D1055">
        <v>0</v>
      </c>
      <c r="E1055" t="str">
        <f>_xlfn.XLOOKUP(F1055, Keys!B:B, Keys!A:A, "找不到")</f>
        <v>FA</v>
      </c>
      <c r="F1055" t="s">
        <v>63</v>
      </c>
      <c r="G1055">
        <v>2.5789360166662179</v>
      </c>
      <c r="H1055" t="s">
        <v>64</v>
      </c>
      <c r="I1055" t="s">
        <v>65</v>
      </c>
      <c r="J1055" t="s">
        <v>1313</v>
      </c>
      <c r="K1055">
        <v>407.15703801868801</v>
      </c>
      <c r="L1055">
        <v>10436.62552846472</v>
      </c>
    </row>
    <row r="1056" spans="1:12" hidden="1" x14ac:dyDescent="0.25">
      <c r="A1056">
        <v>151</v>
      </c>
      <c r="B1056" t="s">
        <v>1026</v>
      </c>
      <c r="C1056" t="s">
        <v>1027</v>
      </c>
      <c r="D1056">
        <v>0</v>
      </c>
      <c r="E1056" t="str">
        <f>_xlfn.XLOOKUP(F1056, Keys!B:B, Keys!A:A, "找不到")</f>
        <v>FA</v>
      </c>
      <c r="F1056" t="s">
        <v>63</v>
      </c>
      <c r="G1056">
        <v>1.62980244856139</v>
      </c>
      <c r="H1056" t="s">
        <v>64</v>
      </c>
      <c r="I1056" t="s">
        <v>65</v>
      </c>
      <c r="J1056" t="s">
        <v>1313</v>
      </c>
      <c r="K1056">
        <v>358.69586940616858</v>
      </c>
      <c r="L1056">
        <v>6595.6028885890773</v>
      </c>
    </row>
    <row r="1057" spans="1:12" hidden="1" x14ac:dyDescent="0.25">
      <c r="A1057">
        <v>152</v>
      </c>
      <c r="B1057" t="s">
        <v>1026</v>
      </c>
      <c r="C1057" t="s">
        <v>1027</v>
      </c>
      <c r="D1057">
        <v>0</v>
      </c>
      <c r="E1057" t="str">
        <f>_xlfn.XLOOKUP(F1057, Keys!B:B, Keys!A:A, "找不到")</f>
        <v>FA</v>
      </c>
      <c r="F1057" t="s">
        <v>63</v>
      </c>
      <c r="G1057">
        <v>0.6988101106642286</v>
      </c>
      <c r="H1057" t="s">
        <v>64</v>
      </c>
      <c r="I1057" t="s">
        <v>65</v>
      </c>
      <c r="J1057" t="s">
        <v>1313</v>
      </c>
      <c r="K1057">
        <v>223.24245883455069</v>
      </c>
      <c r="L1057">
        <v>2827.995496350261</v>
      </c>
    </row>
    <row r="1058" spans="1:12" hidden="1" x14ac:dyDescent="0.25">
      <c r="A1058">
        <v>153</v>
      </c>
      <c r="B1058" t="s">
        <v>1026</v>
      </c>
      <c r="C1058" t="s">
        <v>1027</v>
      </c>
      <c r="D1058">
        <v>0</v>
      </c>
      <c r="E1058" t="str">
        <f>_xlfn.XLOOKUP(F1058, Keys!B:B, Keys!A:A, "找不到")</f>
        <v>FA</v>
      </c>
      <c r="F1058" t="s">
        <v>63</v>
      </c>
      <c r="G1058">
        <v>2.5135934803216688</v>
      </c>
      <c r="H1058" t="s">
        <v>64</v>
      </c>
      <c r="I1058" t="s">
        <v>65</v>
      </c>
      <c r="J1058" t="s">
        <v>1313</v>
      </c>
      <c r="K1058">
        <v>499.92407779811867</v>
      </c>
      <c r="L1058">
        <v>10172.192607872261</v>
      </c>
    </row>
    <row r="1059" spans="1:12" hidden="1" x14ac:dyDescent="0.25">
      <c r="A1059">
        <v>154</v>
      </c>
      <c r="B1059" t="s">
        <v>1026</v>
      </c>
      <c r="C1059" t="s">
        <v>1027</v>
      </c>
      <c r="D1059">
        <v>0</v>
      </c>
      <c r="E1059" t="str">
        <f>_xlfn.XLOOKUP(F1059, Keys!B:B, Keys!A:A, "找不到")</f>
        <v>FA</v>
      </c>
      <c r="F1059" t="s">
        <v>63</v>
      </c>
      <c r="G1059">
        <v>4.8988372774321522</v>
      </c>
      <c r="H1059" t="s">
        <v>64</v>
      </c>
      <c r="I1059" t="s">
        <v>65</v>
      </c>
      <c r="J1059" t="s">
        <v>1313</v>
      </c>
      <c r="K1059">
        <v>743.82677198266765</v>
      </c>
      <c r="L1059">
        <v>19824.970398271129</v>
      </c>
    </row>
    <row r="1060" spans="1:12" hidden="1" x14ac:dyDescent="0.25">
      <c r="A1060">
        <v>155</v>
      </c>
      <c r="B1060" t="s">
        <v>1026</v>
      </c>
      <c r="C1060" t="s">
        <v>1027</v>
      </c>
      <c r="D1060">
        <v>0</v>
      </c>
      <c r="E1060" t="str">
        <f>_xlfn.XLOOKUP(F1060, Keys!B:B, Keys!A:A, "找不到")</f>
        <v>FA</v>
      </c>
      <c r="F1060" t="s">
        <v>63</v>
      </c>
      <c r="G1060">
        <v>1.019819222024956</v>
      </c>
      <c r="H1060" t="s">
        <v>64</v>
      </c>
      <c r="I1060" t="s">
        <v>65</v>
      </c>
      <c r="J1060" t="s">
        <v>1313</v>
      </c>
      <c r="K1060">
        <v>272.92633178697429</v>
      </c>
      <c r="L1060">
        <v>4127.0784766360621</v>
      </c>
    </row>
    <row r="1061" spans="1:12" hidden="1" x14ac:dyDescent="0.25">
      <c r="A1061">
        <v>156</v>
      </c>
      <c r="B1061" t="s">
        <v>1026</v>
      </c>
      <c r="C1061" t="s">
        <v>1027</v>
      </c>
      <c r="D1061">
        <v>0</v>
      </c>
      <c r="E1061" t="str">
        <f>_xlfn.XLOOKUP(F1061, Keys!B:B, Keys!A:A, "找不到")</f>
        <v>FA</v>
      </c>
      <c r="F1061" t="s">
        <v>63</v>
      </c>
      <c r="G1061">
        <v>3.9021041906761669</v>
      </c>
      <c r="H1061" t="s">
        <v>64</v>
      </c>
      <c r="I1061" t="s">
        <v>65</v>
      </c>
      <c r="J1061" t="s">
        <v>1313</v>
      </c>
      <c r="K1061">
        <v>574.13950437690232</v>
      </c>
      <c r="L1061">
        <v>15791.31857012291</v>
      </c>
    </row>
    <row r="1062" spans="1:12" hidden="1" x14ac:dyDescent="0.25">
      <c r="A1062">
        <v>157</v>
      </c>
      <c r="B1062" t="s">
        <v>1026</v>
      </c>
      <c r="C1062" t="s">
        <v>1027</v>
      </c>
      <c r="D1062">
        <v>0</v>
      </c>
      <c r="E1062" t="str">
        <f>_xlfn.XLOOKUP(F1062, Keys!B:B, Keys!A:A, "找不到")</f>
        <v>FA</v>
      </c>
      <c r="F1062" t="s">
        <v>63</v>
      </c>
      <c r="G1062">
        <v>0.89401532957377094</v>
      </c>
      <c r="H1062" t="s">
        <v>64</v>
      </c>
      <c r="I1062" t="s">
        <v>65</v>
      </c>
      <c r="J1062" t="s">
        <v>1313</v>
      </c>
      <c r="K1062">
        <v>240.56487070632519</v>
      </c>
      <c r="L1062">
        <v>3617.9661500597958</v>
      </c>
    </row>
    <row r="1063" spans="1:12" hidden="1" x14ac:dyDescent="0.25">
      <c r="A1063">
        <v>158</v>
      </c>
      <c r="B1063" t="s">
        <v>1026</v>
      </c>
      <c r="C1063" t="s">
        <v>1027</v>
      </c>
      <c r="D1063">
        <v>0</v>
      </c>
      <c r="E1063" t="str">
        <f>_xlfn.XLOOKUP(F1063, Keys!B:B, Keys!A:A, "找不到")</f>
        <v>FA</v>
      </c>
      <c r="F1063" t="s">
        <v>63</v>
      </c>
      <c r="G1063">
        <v>1.4378931296156969</v>
      </c>
      <c r="H1063" t="s">
        <v>64</v>
      </c>
      <c r="I1063" t="s">
        <v>65</v>
      </c>
      <c r="J1063" t="s">
        <v>1313</v>
      </c>
      <c r="K1063">
        <v>292.32119114518258</v>
      </c>
      <c r="L1063">
        <v>5818.9703221681302</v>
      </c>
    </row>
    <row r="1064" spans="1:12" hidden="1" x14ac:dyDescent="0.25">
      <c r="A1064">
        <v>159</v>
      </c>
      <c r="B1064" t="s">
        <v>1026</v>
      </c>
      <c r="C1064" t="s">
        <v>1027</v>
      </c>
      <c r="D1064">
        <v>0</v>
      </c>
      <c r="E1064" t="str">
        <f>_xlfn.XLOOKUP(F1064, Keys!B:B, Keys!A:A, "找不到")</f>
        <v>FA</v>
      </c>
      <c r="F1064" t="s">
        <v>63</v>
      </c>
      <c r="G1064">
        <v>1.1458550776284351</v>
      </c>
      <c r="H1064" t="s">
        <v>64</v>
      </c>
      <c r="I1064" t="s">
        <v>65</v>
      </c>
      <c r="J1064" t="s">
        <v>1313</v>
      </c>
      <c r="K1064">
        <v>464.51506135451018</v>
      </c>
      <c r="L1064">
        <v>4637.1295285398464</v>
      </c>
    </row>
    <row r="1065" spans="1:12" hidden="1" x14ac:dyDescent="0.25">
      <c r="A1065">
        <v>160</v>
      </c>
      <c r="B1065" t="s">
        <v>1026</v>
      </c>
      <c r="C1065" t="s">
        <v>1027</v>
      </c>
      <c r="D1065">
        <v>0</v>
      </c>
      <c r="E1065" t="str">
        <f>_xlfn.XLOOKUP(F1065, Keys!B:B, Keys!A:A, "找不到")</f>
        <v>FA</v>
      </c>
      <c r="F1065" t="s">
        <v>63</v>
      </c>
      <c r="G1065">
        <v>0.25184745910436551</v>
      </c>
      <c r="H1065" t="s">
        <v>64</v>
      </c>
      <c r="I1065" t="s">
        <v>65</v>
      </c>
      <c r="J1065" t="s">
        <v>1313</v>
      </c>
      <c r="K1065">
        <v>128.93104035544181</v>
      </c>
      <c r="L1065">
        <v>1019.194584115882</v>
      </c>
    </row>
    <row r="1066" spans="1:12" hidden="1" x14ac:dyDescent="0.25">
      <c r="A1066">
        <v>161</v>
      </c>
      <c r="B1066" t="s">
        <v>1026</v>
      </c>
      <c r="C1066" t="s">
        <v>1027</v>
      </c>
      <c r="D1066">
        <v>0</v>
      </c>
      <c r="E1066" t="str">
        <f>_xlfn.XLOOKUP(F1066, Keys!B:B, Keys!A:A, "找不到")</f>
        <v>FA</v>
      </c>
      <c r="F1066" t="s">
        <v>63</v>
      </c>
      <c r="G1066">
        <v>10.039398777996769</v>
      </c>
      <c r="H1066" t="s">
        <v>64</v>
      </c>
      <c r="I1066" t="s">
        <v>65</v>
      </c>
      <c r="J1066" t="s">
        <v>1338</v>
      </c>
      <c r="K1066">
        <v>848.3260220572356</v>
      </c>
      <c r="L1066">
        <v>40628.16793428018</v>
      </c>
    </row>
    <row r="1067" spans="1:12" hidden="1" x14ac:dyDescent="0.25">
      <c r="A1067">
        <v>162</v>
      </c>
      <c r="B1067" t="s">
        <v>1026</v>
      </c>
      <c r="C1067" t="s">
        <v>1027</v>
      </c>
      <c r="D1067" t="s">
        <v>57</v>
      </c>
      <c r="E1067" t="str">
        <f>_xlfn.XLOOKUP(F1067, Keys!B:B, Keys!A:A, "找不到")</f>
        <v>FA</v>
      </c>
      <c r="F1067" t="s">
        <v>63</v>
      </c>
      <c r="G1067">
        <v>3.4928587259998159E-2</v>
      </c>
      <c r="H1067" t="s">
        <v>64</v>
      </c>
      <c r="I1067" t="s">
        <v>65</v>
      </c>
      <c r="J1067" t="s">
        <v>1343</v>
      </c>
      <c r="K1067">
        <v>52.229440277518997</v>
      </c>
      <c r="L1067">
        <v>141.35154308408929</v>
      </c>
    </row>
    <row r="1068" spans="1:12" hidden="1" x14ac:dyDescent="0.25">
      <c r="A1068">
        <v>168</v>
      </c>
      <c r="B1068" t="s">
        <v>1026</v>
      </c>
      <c r="C1068" t="s">
        <v>1027</v>
      </c>
      <c r="D1068">
        <v>0</v>
      </c>
      <c r="E1068" t="str">
        <f>_xlfn.XLOOKUP(F1068, Keys!B:B, Keys!A:A, "找不到")</f>
        <v>FA</v>
      </c>
      <c r="F1068" t="s">
        <v>63</v>
      </c>
      <c r="G1068">
        <v>0.76161600432074683</v>
      </c>
      <c r="H1068" t="s">
        <v>64</v>
      </c>
      <c r="I1068" t="s">
        <v>65</v>
      </c>
      <c r="J1068" t="s">
        <v>1353</v>
      </c>
      <c r="K1068">
        <v>318.76546258589531</v>
      </c>
      <c r="L1068">
        <v>3082.1629471275</v>
      </c>
    </row>
    <row r="1069" spans="1:12" hidden="1" x14ac:dyDescent="0.25">
      <c r="A1069">
        <v>169</v>
      </c>
      <c r="B1069" t="s">
        <v>1026</v>
      </c>
      <c r="C1069" t="s">
        <v>1027</v>
      </c>
      <c r="D1069">
        <v>0</v>
      </c>
      <c r="E1069" t="str">
        <f>_xlfn.XLOOKUP(F1069, Keys!B:B, Keys!A:A, "找不到")</f>
        <v>FA</v>
      </c>
      <c r="F1069" t="s">
        <v>63</v>
      </c>
      <c r="G1069">
        <v>0.44561464403183759</v>
      </c>
      <c r="H1069" t="s">
        <v>64</v>
      </c>
      <c r="I1069" t="s">
        <v>65</v>
      </c>
      <c r="J1069" t="s">
        <v>1357</v>
      </c>
      <c r="K1069">
        <v>189.09141097422261</v>
      </c>
      <c r="L1069">
        <v>1803.345697491309</v>
      </c>
    </row>
    <row r="1070" spans="1:12" hidden="1" x14ac:dyDescent="0.25">
      <c r="A1070">
        <v>170</v>
      </c>
      <c r="B1070" t="s">
        <v>1026</v>
      </c>
      <c r="C1070" t="s">
        <v>1027</v>
      </c>
      <c r="D1070">
        <v>0</v>
      </c>
      <c r="E1070" t="str">
        <f>_xlfn.XLOOKUP(F1070, Keys!B:B, Keys!A:A, "找不到")</f>
        <v>FA</v>
      </c>
      <c r="F1070" t="s">
        <v>63</v>
      </c>
      <c r="G1070">
        <v>1.658813366695868</v>
      </c>
      <c r="H1070" t="s">
        <v>64</v>
      </c>
      <c r="I1070" t="s">
        <v>65</v>
      </c>
      <c r="J1070" t="s">
        <v>1357</v>
      </c>
      <c r="K1070">
        <v>478.48510933207882</v>
      </c>
      <c r="L1070">
        <v>6713.0063785748016</v>
      </c>
    </row>
    <row r="1071" spans="1:12" hidden="1" x14ac:dyDescent="0.25">
      <c r="A1071">
        <v>171</v>
      </c>
      <c r="B1071" t="s">
        <v>1026</v>
      </c>
      <c r="C1071" t="s">
        <v>1027</v>
      </c>
      <c r="D1071">
        <v>0</v>
      </c>
      <c r="E1071" t="str">
        <f>_xlfn.XLOOKUP(F1071, Keys!B:B, Keys!A:A, "找不到")</f>
        <v>FA</v>
      </c>
      <c r="F1071" t="s">
        <v>63</v>
      </c>
      <c r="G1071">
        <v>0.33418755603107492</v>
      </c>
      <c r="H1071" t="s">
        <v>64</v>
      </c>
      <c r="I1071" t="s">
        <v>65</v>
      </c>
      <c r="J1071" t="s">
        <v>1357</v>
      </c>
      <c r="K1071">
        <v>180.14539346230941</v>
      </c>
      <c r="L1071">
        <v>1352.4144670629739</v>
      </c>
    </row>
    <row r="1072" spans="1:12" hidden="1" x14ac:dyDescent="0.25">
      <c r="A1072">
        <v>172</v>
      </c>
      <c r="B1072" t="s">
        <v>1026</v>
      </c>
      <c r="C1072" t="s">
        <v>1027</v>
      </c>
      <c r="D1072">
        <v>0</v>
      </c>
      <c r="E1072" t="str">
        <f>_xlfn.XLOOKUP(F1072, Keys!B:B, Keys!A:A, "找不到")</f>
        <v>FA</v>
      </c>
      <c r="F1072" t="s">
        <v>63</v>
      </c>
      <c r="G1072">
        <v>0.78054357490092519</v>
      </c>
      <c r="H1072" t="s">
        <v>64</v>
      </c>
      <c r="I1072" t="s">
        <v>65</v>
      </c>
      <c r="J1072" t="s">
        <v>1353</v>
      </c>
      <c r="K1072">
        <v>273.06102441237817</v>
      </c>
      <c r="L1072">
        <v>3158.7604140798858</v>
      </c>
    </row>
    <row r="1073" spans="1:12" hidden="1" x14ac:dyDescent="0.25">
      <c r="A1073">
        <v>173</v>
      </c>
      <c r="B1073" t="s">
        <v>1026</v>
      </c>
      <c r="C1073" t="s">
        <v>1027</v>
      </c>
      <c r="D1073">
        <v>0</v>
      </c>
      <c r="E1073" t="str">
        <f>_xlfn.XLOOKUP(F1073, Keys!B:B, Keys!A:A, "找不到")</f>
        <v>FA</v>
      </c>
      <c r="F1073" t="s">
        <v>63</v>
      </c>
      <c r="G1073">
        <v>0.55833035712910528</v>
      </c>
      <c r="H1073" t="s">
        <v>64</v>
      </c>
      <c r="I1073" t="s">
        <v>65</v>
      </c>
      <c r="J1073" t="s">
        <v>673</v>
      </c>
      <c r="K1073">
        <v>326.21808523761229</v>
      </c>
      <c r="L1073">
        <v>2259.491829527085</v>
      </c>
    </row>
    <row r="1074" spans="1:12" hidden="1" x14ac:dyDescent="0.25">
      <c r="A1074">
        <v>174</v>
      </c>
      <c r="B1074" t="s">
        <v>1026</v>
      </c>
      <c r="C1074" t="s">
        <v>1027</v>
      </c>
      <c r="D1074">
        <v>0</v>
      </c>
      <c r="E1074" t="str">
        <f>_xlfn.XLOOKUP(F1074, Keys!B:B, Keys!A:A, "找不到")</f>
        <v>FA</v>
      </c>
      <c r="F1074" t="s">
        <v>63</v>
      </c>
      <c r="G1074">
        <v>1.6981838390045609</v>
      </c>
      <c r="H1074" t="s">
        <v>64</v>
      </c>
      <c r="I1074" t="s">
        <v>65</v>
      </c>
      <c r="J1074" t="s">
        <v>1363</v>
      </c>
      <c r="K1074">
        <v>389.13173839180791</v>
      </c>
      <c r="L1074">
        <v>6872.3336645986647</v>
      </c>
    </row>
    <row r="1075" spans="1:12" hidden="1" x14ac:dyDescent="0.25">
      <c r="A1075">
        <v>175</v>
      </c>
      <c r="B1075" t="s">
        <v>1026</v>
      </c>
      <c r="C1075" t="s">
        <v>1027</v>
      </c>
      <c r="D1075">
        <v>0</v>
      </c>
      <c r="E1075" t="str">
        <f>_xlfn.XLOOKUP(F1075, Keys!B:B, Keys!A:A, "找不到")</f>
        <v>FA</v>
      </c>
      <c r="F1075" t="s">
        <v>63</v>
      </c>
      <c r="G1075">
        <v>0.14440223731397989</v>
      </c>
      <c r="H1075" t="s">
        <v>64</v>
      </c>
      <c r="I1075" t="s">
        <v>65</v>
      </c>
      <c r="J1075" t="s">
        <v>1365</v>
      </c>
      <c r="K1075">
        <v>149.75123840654749</v>
      </c>
      <c r="L1075">
        <v>584.37745899050685</v>
      </c>
    </row>
    <row r="1076" spans="1:12" hidden="1" x14ac:dyDescent="0.25">
      <c r="A1076">
        <v>176</v>
      </c>
      <c r="B1076" t="s">
        <v>1026</v>
      </c>
      <c r="C1076" t="s">
        <v>1027</v>
      </c>
      <c r="D1076">
        <v>0</v>
      </c>
      <c r="E1076" t="str">
        <f>_xlfn.XLOOKUP(F1076, Keys!B:B, Keys!A:A, "找不到")</f>
        <v>FA</v>
      </c>
      <c r="F1076" t="s">
        <v>63</v>
      </c>
      <c r="G1076">
        <v>0.73092030990784074</v>
      </c>
      <c r="H1076" t="s">
        <v>64</v>
      </c>
      <c r="I1076" t="s">
        <v>65</v>
      </c>
      <c r="J1076" t="s">
        <v>1365</v>
      </c>
      <c r="K1076">
        <v>343.95057308799392</v>
      </c>
      <c r="L1076">
        <v>2957.94138216684</v>
      </c>
    </row>
    <row r="1077" spans="1:12" hidden="1" x14ac:dyDescent="0.25">
      <c r="A1077">
        <v>177</v>
      </c>
      <c r="B1077" t="s">
        <v>1026</v>
      </c>
      <c r="C1077" t="s">
        <v>1027</v>
      </c>
      <c r="D1077">
        <v>0</v>
      </c>
      <c r="E1077" t="str">
        <f>_xlfn.XLOOKUP(F1077, Keys!B:B, Keys!A:A, "找不到")</f>
        <v>FA</v>
      </c>
      <c r="F1077" t="s">
        <v>63</v>
      </c>
      <c r="G1077">
        <v>0.14540443789393279</v>
      </c>
      <c r="H1077" t="s">
        <v>64</v>
      </c>
      <c r="I1077" t="s">
        <v>65</v>
      </c>
      <c r="J1077" t="s">
        <v>1365</v>
      </c>
      <c r="K1077">
        <v>176.01403551083109</v>
      </c>
      <c r="L1077">
        <v>588.43323706711828</v>
      </c>
    </row>
    <row r="1078" spans="1:12" hidden="1" x14ac:dyDescent="0.25">
      <c r="A1078">
        <v>178</v>
      </c>
      <c r="B1078" t="s">
        <v>1026</v>
      </c>
      <c r="C1078" t="s">
        <v>1027</v>
      </c>
      <c r="D1078">
        <v>0</v>
      </c>
      <c r="E1078" t="str">
        <f>_xlfn.XLOOKUP(F1078, Keys!B:B, Keys!A:A, "找不到")</f>
        <v>FA</v>
      </c>
      <c r="F1078" t="s">
        <v>63</v>
      </c>
      <c r="G1078">
        <v>4.6429742997737327</v>
      </c>
      <c r="H1078" t="s">
        <v>64</v>
      </c>
      <c r="I1078" t="s">
        <v>65</v>
      </c>
      <c r="J1078" t="s">
        <v>1365</v>
      </c>
      <c r="K1078">
        <v>721.84036523565283</v>
      </c>
      <c r="L1078">
        <v>18789.525522104399</v>
      </c>
    </row>
    <row r="1079" spans="1:12" hidden="1" x14ac:dyDescent="0.25">
      <c r="A1079">
        <v>179</v>
      </c>
      <c r="B1079" t="s">
        <v>1026</v>
      </c>
      <c r="C1079" t="s">
        <v>1027</v>
      </c>
      <c r="D1079">
        <v>0</v>
      </c>
      <c r="E1079" t="str">
        <f>_xlfn.XLOOKUP(F1079, Keys!B:B, Keys!A:A, "找不到")</f>
        <v>FA</v>
      </c>
      <c r="F1079" t="s">
        <v>63</v>
      </c>
      <c r="G1079">
        <v>3.266288324331873E-2</v>
      </c>
      <c r="H1079" t="s">
        <v>64</v>
      </c>
      <c r="I1079" t="s">
        <v>65</v>
      </c>
      <c r="J1079" t="s">
        <v>1365</v>
      </c>
      <c r="K1079">
        <v>70.501890723867731</v>
      </c>
      <c r="L1079">
        <v>132.18252755690719</v>
      </c>
    </row>
    <row r="1080" spans="1:12" hidden="1" x14ac:dyDescent="0.25">
      <c r="A1080">
        <v>180</v>
      </c>
      <c r="B1080" t="s">
        <v>1026</v>
      </c>
      <c r="C1080" t="s">
        <v>1027</v>
      </c>
      <c r="D1080">
        <v>0</v>
      </c>
      <c r="E1080" t="str">
        <f>_xlfn.XLOOKUP(F1080, Keys!B:B, Keys!A:A, "找不到")</f>
        <v>FA</v>
      </c>
      <c r="F1080" t="s">
        <v>63</v>
      </c>
      <c r="G1080">
        <v>6.0416785948592573E-2</v>
      </c>
      <c r="H1080" t="s">
        <v>64</v>
      </c>
      <c r="I1080" t="s">
        <v>65</v>
      </c>
      <c r="J1080" t="s">
        <v>1363</v>
      </c>
      <c r="K1080">
        <v>111.6019559137015</v>
      </c>
      <c r="L1080">
        <v>244.49903623199481</v>
      </c>
    </row>
    <row r="1081" spans="1:12" hidden="1" x14ac:dyDescent="0.25">
      <c r="A1081">
        <v>181</v>
      </c>
      <c r="B1081" t="s">
        <v>1026</v>
      </c>
      <c r="C1081" t="s">
        <v>1027</v>
      </c>
      <c r="D1081">
        <v>0</v>
      </c>
      <c r="E1081" t="str">
        <f>_xlfn.XLOOKUP(F1081, Keys!B:B, Keys!A:A, "找不到")</f>
        <v>FA</v>
      </c>
      <c r="F1081" t="s">
        <v>63</v>
      </c>
      <c r="G1081">
        <v>5.3518921363360727E-2</v>
      </c>
      <c r="H1081" t="s">
        <v>64</v>
      </c>
      <c r="I1081" t="s">
        <v>65</v>
      </c>
      <c r="J1081" t="s">
        <v>1365</v>
      </c>
      <c r="K1081">
        <v>90.505009047750164</v>
      </c>
      <c r="L1081">
        <v>216.58425697539849</v>
      </c>
    </row>
    <row r="1082" spans="1:12" hidden="1" x14ac:dyDescent="0.25">
      <c r="A1082">
        <v>182</v>
      </c>
      <c r="B1082" t="s">
        <v>1026</v>
      </c>
      <c r="C1082" t="s">
        <v>1027</v>
      </c>
      <c r="D1082">
        <v>0</v>
      </c>
      <c r="E1082" t="str">
        <f>_xlfn.XLOOKUP(F1082, Keys!B:B, Keys!A:A, "找不到")</f>
        <v>FA</v>
      </c>
      <c r="F1082" t="s">
        <v>63</v>
      </c>
      <c r="G1082">
        <v>0.87271034583961904</v>
      </c>
      <c r="H1082" t="s">
        <v>64</v>
      </c>
      <c r="I1082" t="s">
        <v>65</v>
      </c>
      <c r="J1082" t="s">
        <v>1365</v>
      </c>
      <c r="K1082">
        <v>373.27605401533128</v>
      </c>
      <c r="L1082">
        <v>3531.7475949322402</v>
      </c>
    </row>
    <row r="1083" spans="1:12" hidden="1" x14ac:dyDescent="0.25">
      <c r="A1083">
        <v>183</v>
      </c>
      <c r="B1083" t="s">
        <v>1026</v>
      </c>
      <c r="C1083" t="s">
        <v>1027</v>
      </c>
      <c r="D1083">
        <v>0</v>
      </c>
      <c r="E1083" t="str">
        <f>_xlfn.XLOOKUP(F1083, Keys!B:B, Keys!A:A, "找不到")</f>
        <v>FA</v>
      </c>
      <c r="F1083" t="s">
        <v>63</v>
      </c>
      <c r="G1083">
        <v>1.48466346157233</v>
      </c>
      <c r="H1083" t="s">
        <v>64</v>
      </c>
      <c r="I1083" t="s">
        <v>65</v>
      </c>
      <c r="J1083" t="s">
        <v>1120</v>
      </c>
      <c r="K1083">
        <v>463.79796630389848</v>
      </c>
      <c r="L1083">
        <v>6008.2438975181567</v>
      </c>
    </row>
    <row r="1084" spans="1:12" hidden="1" x14ac:dyDescent="0.25">
      <c r="A1084">
        <v>184</v>
      </c>
      <c r="B1084" t="s">
        <v>1026</v>
      </c>
      <c r="C1084" t="s">
        <v>1027</v>
      </c>
      <c r="D1084">
        <v>0</v>
      </c>
      <c r="E1084" t="str">
        <f>_xlfn.XLOOKUP(F1084, Keys!B:B, Keys!A:A, "找不到")</f>
        <v>FA</v>
      </c>
      <c r="F1084" t="s">
        <v>63</v>
      </c>
      <c r="G1084">
        <v>0.63210442431943303</v>
      </c>
      <c r="H1084" t="s">
        <v>64</v>
      </c>
      <c r="I1084" t="s">
        <v>65</v>
      </c>
      <c r="J1084" t="s">
        <v>1376</v>
      </c>
      <c r="K1084">
        <v>365.71239392892068</v>
      </c>
      <c r="L1084">
        <v>2558.046081358646</v>
      </c>
    </row>
    <row r="1085" spans="1:12" hidden="1" x14ac:dyDescent="0.25">
      <c r="A1085">
        <v>185</v>
      </c>
      <c r="B1085" t="s">
        <v>1026</v>
      </c>
      <c r="C1085" t="s">
        <v>1027</v>
      </c>
      <c r="D1085">
        <v>0</v>
      </c>
      <c r="E1085" t="str">
        <f>_xlfn.XLOOKUP(F1085, Keys!B:B, Keys!A:A, "找不到")</f>
        <v>FA</v>
      </c>
      <c r="F1085" t="s">
        <v>63</v>
      </c>
      <c r="G1085">
        <v>3.9453579159031831</v>
      </c>
      <c r="H1085" t="s">
        <v>64</v>
      </c>
      <c r="I1085" t="s">
        <v>65</v>
      </c>
      <c r="J1085" t="s">
        <v>1376</v>
      </c>
      <c r="K1085">
        <v>765.28945661481998</v>
      </c>
      <c r="L1085">
        <v>15966.360886019151</v>
      </c>
    </row>
    <row r="1086" spans="1:12" hidden="1" x14ac:dyDescent="0.25">
      <c r="A1086">
        <v>203</v>
      </c>
      <c r="B1086" t="s">
        <v>1026</v>
      </c>
      <c r="C1086" t="s">
        <v>1027</v>
      </c>
      <c r="D1086">
        <v>0</v>
      </c>
      <c r="E1086" t="str">
        <f>_xlfn.XLOOKUP(F1086, Keys!B:B, Keys!A:A, "找不到")</f>
        <v>FA</v>
      </c>
      <c r="F1086" t="s">
        <v>63</v>
      </c>
      <c r="G1086">
        <v>1.0349606769848001</v>
      </c>
      <c r="H1086" t="s">
        <v>64</v>
      </c>
      <c r="I1086" t="s">
        <v>65</v>
      </c>
      <c r="J1086" t="s">
        <v>1431</v>
      </c>
      <c r="K1086">
        <v>262.23284638826232</v>
      </c>
      <c r="L1086">
        <v>4188.3540159867007</v>
      </c>
    </row>
    <row r="1087" spans="1:12" hidden="1" x14ac:dyDescent="0.25">
      <c r="A1087">
        <v>206</v>
      </c>
      <c r="B1087" t="s">
        <v>1026</v>
      </c>
      <c r="C1087" t="s">
        <v>1027</v>
      </c>
      <c r="D1087">
        <v>0</v>
      </c>
      <c r="E1087" t="str">
        <f>_xlfn.XLOOKUP(F1087, Keys!B:B, Keys!A:A, "找不到")</f>
        <v>FA</v>
      </c>
      <c r="F1087" t="s">
        <v>63</v>
      </c>
      <c r="G1087">
        <v>8.1979781543962407</v>
      </c>
      <c r="H1087" t="s">
        <v>64</v>
      </c>
      <c r="I1087" t="s">
        <v>65</v>
      </c>
      <c r="J1087" t="s">
        <v>1440</v>
      </c>
      <c r="K1087">
        <v>923.41207691508021</v>
      </c>
      <c r="L1087">
        <v>33176.17324937362</v>
      </c>
    </row>
    <row r="1088" spans="1:12" hidden="1" x14ac:dyDescent="0.25">
      <c r="A1088">
        <v>207</v>
      </c>
      <c r="B1088" t="s">
        <v>1026</v>
      </c>
      <c r="C1088" t="s">
        <v>1027</v>
      </c>
      <c r="D1088">
        <v>0</v>
      </c>
      <c r="E1088" t="str">
        <f>_xlfn.XLOOKUP(F1088, Keys!B:B, Keys!A:A, "找不到")</f>
        <v>FA</v>
      </c>
      <c r="F1088" t="s">
        <v>63</v>
      </c>
      <c r="G1088">
        <v>2.8649353460158098</v>
      </c>
      <c r="H1088" t="s">
        <v>64</v>
      </c>
      <c r="I1088" t="s">
        <v>65</v>
      </c>
      <c r="J1088" t="s">
        <v>1440</v>
      </c>
      <c r="K1088">
        <v>556.10419877757158</v>
      </c>
      <c r="L1088">
        <v>11594.028380851991</v>
      </c>
    </row>
    <row r="1089" spans="1:12" hidden="1" x14ac:dyDescent="0.25">
      <c r="A1089">
        <v>208</v>
      </c>
      <c r="B1089" t="s">
        <v>1026</v>
      </c>
      <c r="C1089" t="s">
        <v>1027</v>
      </c>
      <c r="D1089">
        <v>0</v>
      </c>
      <c r="E1089" t="str">
        <f>_xlfn.XLOOKUP(F1089, Keys!B:B, Keys!A:A, "找不到")</f>
        <v>FA</v>
      </c>
      <c r="F1089" t="s">
        <v>63</v>
      </c>
      <c r="G1089">
        <v>1.541735600700755</v>
      </c>
      <c r="H1089" t="s">
        <v>64</v>
      </c>
      <c r="I1089" t="s">
        <v>65</v>
      </c>
      <c r="J1089" t="s">
        <v>1440</v>
      </c>
      <c r="K1089">
        <v>310.20426708382348</v>
      </c>
      <c r="L1089">
        <v>6239.2075741439121</v>
      </c>
    </row>
    <row r="1090" spans="1:12" hidden="1" x14ac:dyDescent="0.25">
      <c r="A1090">
        <v>209</v>
      </c>
      <c r="B1090" t="s">
        <v>1026</v>
      </c>
      <c r="C1090" t="s">
        <v>1027</v>
      </c>
      <c r="D1090">
        <v>0</v>
      </c>
      <c r="E1090" t="str">
        <f>_xlfn.XLOOKUP(F1090, Keys!B:B, Keys!A:A, "找不到")</f>
        <v>FA</v>
      </c>
      <c r="F1090" t="s">
        <v>63</v>
      </c>
      <c r="G1090">
        <v>1.195927089291803</v>
      </c>
      <c r="H1090" t="s">
        <v>64</v>
      </c>
      <c r="I1090" t="s">
        <v>65</v>
      </c>
      <c r="J1090" t="s">
        <v>1444</v>
      </c>
      <c r="K1090">
        <v>376.94214852375228</v>
      </c>
      <c r="L1090">
        <v>4839.7645810616377</v>
      </c>
    </row>
    <row r="1091" spans="1:12" hidden="1" x14ac:dyDescent="0.25">
      <c r="A1091">
        <v>210</v>
      </c>
      <c r="B1091" t="s">
        <v>1026</v>
      </c>
      <c r="C1091" t="s">
        <v>1027</v>
      </c>
      <c r="D1091">
        <v>0</v>
      </c>
      <c r="E1091" t="str">
        <f>_xlfn.XLOOKUP(F1091, Keys!B:B, Keys!A:A, "找不到")</f>
        <v>FA</v>
      </c>
      <c r="F1091" t="s">
        <v>63</v>
      </c>
      <c r="G1091">
        <v>0.74771430806949601</v>
      </c>
      <c r="H1091" t="s">
        <v>64</v>
      </c>
      <c r="I1091" t="s">
        <v>65</v>
      </c>
      <c r="J1091" t="s">
        <v>1028</v>
      </c>
      <c r="K1091">
        <v>229.49310507026311</v>
      </c>
      <c r="L1091">
        <v>3025.904553337522</v>
      </c>
    </row>
    <row r="1092" spans="1:12" hidden="1" x14ac:dyDescent="0.25">
      <c r="A1092">
        <v>211</v>
      </c>
      <c r="B1092" t="s">
        <v>1026</v>
      </c>
      <c r="C1092" t="s">
        <v>1027</v>
      </c>
      <c r="D1092">
        <v>0</v>
      </c>
      <c r="E1092" t="str">
        <f>_xlfn.XLOOKUP(F1092, Keys!B:B, Keys!A:A, "找不到")</f>
        <v>FA</v>
      </c>
      <c r="F1092" t="s">
        <v>63</v>
      </c>
      <c r="G1092">
        <v>1.5473056242525129</v>
      </c>
      <c r="H1092" t="s">
        <v>64</v>
      </c>
      <c r="I1092" t="s">
        <v>65</v>
      </c>
      <c r="J1092" t="s">
        <v>1028</v>
      </c>
      <c r="K1092">
        <v>329.11140988027142</v>
      </c>
      <c r="L1092">
        <v>6261.7487498918736</v>
      </c>
    </row>
    <row r="1093" spans="1:12" hidden="1" x14ac:dyDescent="0.25">
      <c r="A1093">
        <v>212</v>
      </c>
      <c r="B1093" t="s">
        <v>1026</v>
      </c>
      <c r="C1093" t="s">
        <v>1027</v>
      </c>
      <c r="D1093">
        <v>0</v>
      </c>
      <c r="E1093" t="str">
        <f>_xlfn.XLOOKUP(F1093, Keys!B:B, Keys!A:A, "找不到")</f>
        <v>FA</v>
      </c>
      <c r="F1093" t="s">
        <v>63</v>
      </c>
      <c r="G1093">
        <v>3.6851045011380341</v>
      </c>
      <c r="H1093" t="s">
        <v>64</v>
      </c>
      <c r="I1093" t="s">
        <v>65</v>
      </c>
      <c r="J1093" t="s">
        <v>1448</v>
      </c>
      <c r="K1093">
        <v>578.66132290866415</v>
      </c>
      <c r="L1093">
        <v>14913.148470179831</v>
      </c>
    </row>
    <row r="1094" spans="1:12" hidden="1" x14ac:dyDescent="0.25">
      <c r="A1094">
        <v>217</v>
      </c>
      <c r="B1094" t="s">
        <v>1026</v>
      </c>
      <c r="C1094" t="s">
        <v>1027</v>
      </c>
      <c r="D1094" t="s">
        <v>1257</v>
      </c>
      <c r="E1094" t="str">
        <f>_xlfn.XLOOKUP(F1094, Keys!B:B, Keys!A:A, "找不到")</f>
        <v>FA</v>
      </c>
      <c r="F1094" t="s">
        <v>63</v>
      </c>
      <c r="G1094">
        <v>1.303102539738729</v>
      </c>
      <c r="H1094" t="s">
        <v>64</v>
      </c>
      <c r="I1094" t="s">
        <v>65</v>
      </c>
      <c r="J1094" t="s">
        <v>1299</v>
      </c>
      <c r="K1094">
        <v>305.04676487683997</v>
      </c>
      <c r="L1094">
        <v>5273.4899759262353</v>
      </c>
    </row>
    <row r="1095" spans="1:12" hidden="1" x14ac:dyDescent="0.25">
      <c r="A1095">
        <v>218</v>
      </c>
      <c r="B1095" t="s">
        <v>1026</v>
      </c>
      <c r="C1095" t="s">
        <v>1027</v>
      </c>
      <c r="D1095" t="s">
        <v>1257</v>
      </c>
      <c r="E1095" t="str">
        <f>_xlfn.XLOOKUP(F1095, Keys!B:B, Keys!A:A, "找不到")</f>
        <v>FA</v>
      </c>
      <c r="F1095" t="s">
        <v>63</v>
      </c>
      <c r="G1095">
        <v>0.90517028285093537</v>
      </c>
      <c r="H1095" t="s">
        <v>64</v>
      </c>
      <c r="I1095" t="s">
        <v>65</v>
      </c>
      <c r="J1095" t="s">
        <v>1299</v>
      </c>
      <c r="K1095">
        <v>293.89369421244101</v>
      </c>
      <c r="L1095">
        <v>3663.1088249415789</v>
      </c>
    </row>
    <row r="1096" spans="1:12" hidden="1" x14ac:dyDescent="0.25">
      <c r="A1096">
        <v>219</v>
      </c>
      <c r="B1096" t="s">
        <v>1026</v>
      </c>
      <c r="C1096" t="s">
        <v>1027</v>
      </c>
      <c r="D1096" t="s">
        <v>1257</v>
      </c>
      <c r="E1096" t="str">
        <f>_xlfn.XLOOKUP(F1096, Keys!B:B, Keys!A:A, "找不到")</f>
        <v>FA</v>
      </c>
      <c r="F1096" t="s">
        <v>63</v>
      </c>
      <c r="G1096">
        <v>0.31338375378768341</v>
      </c>
      <c r="H1096" t="s">
        <v>64</v>
      </c>
      <c r="I1096" t="s">
        <v>65</v>
      </c>
      <c r="J1096" t="s">
        <v>1299</v>
      </c>
      <c r="K1096">
        <v>145.73603469000639</v>
      </c>
      <c r="L1096">
        <v>1268.2241295829519</v>
      </c>
    </row>
    <row r="1097" spans="1:12" hidden="1" x14ac:dyDescent="0.25">
      <c r="A1097">
        <v>220</v>
      </c>
      <c r="B1097" t="s">
        <v>1026</v>
      </c>
      <c r="C1097" t="s">
        <v>1027</v>
      </c>
      <c r="D1097" t="s">
        <v>1257</v>
      </c>
      <c r="E1097" t="str">
        <f>_xlfn.XLOOKUP(F1097, Keys!B:B, Keys!A:A, "找不到")</f>
        <v>FA</v>
      </c>
      <c r="F1097" t="s">
        <v>63</v>
      </c>
      <c r="G1097">
        <v>1.8796929096630739</v>
      </c>
      <c r="H1097" t="s">
        <v>64</v>
      </c>
      <c r="I1097" t="s">
        <v>65</v>
      </c>
      <c r="J1097" t="s">
        <v>1249</v>
      </c>
      <c r="K1097">
        <v>340.58132942445673</v>
      </c>
      <c r="L1097">
        <v>7606.8777510903301</v>
      </c>
    </row>
    <row r="1098" spans="1:12" hidden="1" x14ac:dyDescent="0.25">
      <c r="A1098">
        <v>221</v>
      </c>
      <c r="B1098" t="s">
        <v>1026</v>
      </c>
      <c r="C1098" t="s">
        <v>1027</v>
      </c>
      <c r="D1098" t="s">
        <v>1257</v>
      </c>
      <c r="E1098" t="str">
        <f>_xlfn.XLOOKUP(F1098, Keys!B:B, Keys!A:A, "找不到")</f>
        <v>FA</v>
      </c>
      <c r="F1098" t="s">
        <v>63</v>
      </c>
      <c r="G1098">
        <v>1.2615663858185211</v>
      </c>
      <c r="H1098" t="s">
        <v>64</v>
      </c>
      <c r="I1098" t="s">
        <v>65</v>
      </c>
      <c r="J1098" t="s">
        <v>1249</v>
      </c>
      <c r="K1098">
        <v>321.47110036543171</v>
      </c>
      <c r="L1098">
        <v>5105.3984523070267</v>
      </c>
    </row>
    <row r="1099" spans="1:12" hidden="1" x14ac:dyDescent="0.25">
      <c r="A1099">
        <v>222</v>
      </c>
      <c r="B1099" t="s">
        <v>1026</v>
      </c>
      <c r="C1099" t="s">
        <v>1027</v>
      </c>
      <c r="D1099" t="s">
        <v>1257</v>
      </c>
      <c r="E1099" t="str">
        <f>_xlfn.XLOOKUP(F1099, Keys!B:B, Keys!A:A, "找不到")</f>
        <v>FA</v>
      </c>
      <c r="F1099" t="s">
        <v>63</v>
      </c>
      <c r="G1099">
        <v>1.8918509441589491</v>
      </c>
      <c r="H1099" t="s">
        <v>64</v>
      </c>
      <c r="I1099" t="s">
        <v>65</v>
      </c>
      <c r="J1099" t="s">
        <v>1249</v>
      </c>
      <c r="K1099">
        <v>350.90793941365882</v>
      </c>
      <c r="L1099">
        <v>7656.0797678815916</v>
      </c>
    </row>
    <row r="1100" spans="1:12" hidden="1" x14ac:dyDescent="0.25">
      <c r="A1100">
        <v>223</v>
      </c>
      <c r="B1100" t="s">
        <v>1026</v>
      </c>
      <c r="C1100" t="s">
        <v>1027</v>
      </c>
      <c r="D1100" t="s">
        <v>1257</v>
      </c>
      <c r="E1100" t="str">
        <f>_xlfn.XLOOKUP(F1100, Keys!B:B, Keys!A:A, "找不到")</f>
        <v>FA</v>
      </c>
      <c r="F1100" t="s">
        <v>63</v>
      </c>
      <c r="G1100">
        <v>2.8273786743809501</v>
      </c>
      <c r="H1100" t="s">
        <v>64</v>
      </c>
      <c r="I1100" t="s">
        <v>65</v>
      </c>
      <c r="J1100" t="s">
        <v>1249</v>
      </c>
      <c r="K1100">
        <v>436.4707181590926</v>
      </c>
      <c r="L1100">
        <v>11442.041315094841</v>
      </c>
    </row>
    <row r="1101" spans="1:12" hidden="1" x14ac:dyDescent="0.25">
      <c r="A1101">
        <v>224</v>
      </c>
      <c r="B1101" t="s">
        <v>1026</v>
      </c>
      <c r="C1101" t="s">
        <v>1027</v>
      </c>
      <c r="D1101" t="s">
        <v>1257</v>
      </c>
      <c r="E1101" t="str">
        <f>_xlfn.XLOOKUP(F1101, Keys!B:B, Keys!A:A, "找不到")</f>
        <v>FA</v>
      </c>
      <c r="F1101" t="s">
        <v>63</v>
      </c>
      <c r="G1101">
        <v>0.77650576544879835</v>
      </c>
      <c r="H1101" t="s">
        <v>64</v>
      </c>
      <c r="I1101" t="s">
        <v>65</v>
      </c>
      <c r="J1101" t="s">
        <v>1249</v>
      </c>
      <c r="K1101">
        <v>257.953764350396</v>
      </c>
      <c r="L1101">
        <v>3142.4199136041821</v>
      </c>
    </row>
    <row r="1102" spans="1:12" hidden="1" x14ac:dyDescent="0.25">
      <c r="A1102">
        <v>225</v>
      </c>
      <c r="B1102" t="s">
        <v>1026</v>
      </c>
      <c r="C1102" t="s">
        <v>1027</v>
      </c>
      <c r="D1102" t="s">
        <v>1257</v>
      </c>
      <c r="E1102" t="str">
        <f>_xlfn.XLOOKUP(F1102, Keys!B:B, Keys!A:A, "找不到")</f>
        <v>FA</v>
      </c>
      <c r="F1102" t="s">
        <v>63</v>
      </c>
      <c r="G1102">
        <v>1.166357236519858</v>
      </c>
      <c r="H1102" t="s">
        <v>64</v>
      </c>
      <c r="I1102" t="s">
        <v>65</v>
      </c>
      <c r="J1102" t="s">
        <v>1249</v>
      </c>
      <c r="K1102">
        <v>357.59320405631797</v>
      </c>
      <c r="L1102">
        <v>4720.0991538008366</v>
      </c>
    </row>
    <row r="1103" spans="1:12" hidden="1" x14ac:dyDescent="0.25">
      <c r="A1103">
        <v>226</v>
      </c>
      <c r="B1103" t="s">
        <v>1026</v>
      </c>
      <c r="C1103" t="s">
        <v>1027</v>
      </c>
      <c r="D1103" t="s">
        <v>1257</v>
      </c>
      <c r="E1103" t="str">
        <f>_xlfn.XLOOKUP(F1103, Keys!B:B, Keys!A:A, "找不到")</f>
        <v>FA</v>
      </c>
      <c r="F1103" t="s">
        <v>63</v>
      </c>
      <c r="G1103">
        <v>0.50809525873111483</v>
      </c>
      <c r="H1103" t="s">
        <v>64</v>
      </c>
      <c r="I1103" t="s">
        <v>65</v>
      </c>
      <c r="J1103" t="s">
        <v>1249</v>
      </c>
      <c r="K1103">
        <v>216.35329762184239</v>
      </c>
      <c r="L1103">
        <v>2056.1967857659201</v>
      </c>
    </row>
    <row r="1104" spans="1:12" hidden="1" x14ac:dyDescent="0.25">
      <c r="A1104">
        <v>227</v>
      </c>
      <c r="B1104" t="s">
        <v>1026</v>
      </c>
      <c r="C1104" t="s">
        <v>1027</v>
      </c>
      <c r="D1104" t="s">
        <v>1257</v>
      </c>
      <c r="E1104" t="str">
        <f>_xlfn.XLOOKUP(F1104, Keys!B:B, Keys!A:A, "找不到")</f>
        <v>FA</v>
      </c>
      <c r="F1104" t="s">
        <v>63</v>
      </c>
      <c r="G1104">
        <v>0.49244704334548761</v>
      </c>
      <c r="H1104" t="s">
        <v>64</v>
      </c>
      <c r="I1104" t="s">
        <v>65</v>
      </c>
      <c r="J1104" t="s">
        <v>1249</v>
      </c>
      <c r="K1104">
        <v>344.83898369068618</v>
      </c>
      <c r="L1104">
        <v>1992.8704515284121</v>
      </c>
    </row>
    <row r="1105" spans="1:12" hidden="1" x14ac:dyDescent="0.25">
      <c r="A1105">
        <v>229</v>
      </c>
      <c r="B1105" t="s">
        <v>1026</v>
      </c>
      <c r="C1105" t="s">
        <v>1027</v>
      </c>
      <c r="D1105" t="s">
        <v>1257</v>
      </c>
      <c r="E1105" t="str">
        <f>_xlfn.XLOOKUP(F1105, Keys!B:B, Keys!A:A, "找不到")</f>
        <v>FA</v>
      </c>
      <c r="F1105" t="s">
        <v>63</v>
      </c>
      <c r="G1105">
        <v>0.90594915895694095</v>
      </c>
      <c r="H1105" t="s">
        <v>64</v>
      </c>
      <c r="I1105" t="s">
        <v>65</v>
      </c>
      <c r="J1105" t="s">
        <v>1249</v>
      </c>
      <c r="K1105">
        <v>257.92207076541968</v>
      </c>
      <c r="L1105">
        <v>3666.2608373214589</v>
      </c>
    </row>
    <row r="1106" spans="1:12" hidden="1" x14ac:dyDescent="0.25">
      <c r="A1106">
        <v>233</v>
      </c>
      <c r="B1106" t="s">
        <v>1026</v>
      </c>
      <c r="C1106" t="s">
        <v>1027</v>
      </c>
      <c r="D1106" t="s">
        <v>1192</v>
      </c>
      <c r="E1106" t="str">
        <f>_xlfn.XLOOKUP(F1106, Keys!B:B, Keys!A:A, "找不到")</f>
        <v>FA</v>
      </c>
      <c r="F1106" t="s">
        <v>63</v>
      </c>
      <c r="G1106">
        <v>2.1157974808334701</v>
      </c>
      <c r="H1106" t="s">
        <v>64</v>
      </c>
      <c r="I1106" t="s">
        <v>65</v>
      </c>
      <c r="J1106" t="s">
        <v>1213</v>
      </c>
      <c r="K1106">
        <v>539.47465198094949</v>
      </c>
      <c r="L1106">
        <v>8562.3628732259131</v>
      </c>
    </row>
    <row r="1107" spans="1:12" hidden="1" x14ac:dyDescent="0.25">
      <c r="A1107">
        <v>234</v>
      </c>
      <c r="B1107" t="s">
        <v>1026</v>
      </c>
      <c r="C1107" t="s">
        <v>1027</v>
      </c>
      <c r="D1107" t="s">
        <v>1192</v>
      </c>
      <c r="E1107" t="str">
        <f>_xlfn.XLOOKUP(F1107, Keys!B:B, Keys!A:A, "找不到")</f>
        <v>FA</v>
      </c>
      <c r="F1107" t="s">
        <v>63</v>
      </c>
      <c r="G1107">
        <v>1.9037589307217171</v>
      </c>
      <c r="H1107" t="s">
        <v>64</v>
      </c>
      <c r="I1107" t="s">
        <v>65</v>
      </c>
      <c r="J1107" t="s">
        <v>1193</v>
      </c>
      <c r="K1107">
        <v>475.1790878465514</v>
      </c>
      <c r="L1107">
        <v>7704.2698725412092</v>
      </c>
    </row>
    <row r="1108" spans="1:12" hidden="1" x14ac:dyDescent="0.25">
      <c r="A1108">
        <v>236</v>
      </c>
      <c r="B1108" t="s">
        <v>1026</v>
      </c>
      <c r="C1108" t="s">
        <v>1027</v>
      </c>
      <c r="D1108">
        <v>0</v>
      </c>
      <c r="E1108" t="str">
        <f>_xlfn.XLOOKUP(F1108, Keys!B:B, Keys!A:A, "找不到")</f>
        <v>FA</v>
      </c>
      <c r="F1108" t="s">
        <v>63</v>
      </c>
      <c r="G1108">
        <v>0.75447650333037342</v>
      </c>
      <c r="H1108" t="s">
        <v>64</v>
      </c>
      <c r="I1108" t="s">
        <v>65</v>
      </c>
      <c r="J1108" t="s">
        <v>1028</v>
      </c>
      <c r="K1108">
        <v>235.6809602002844</v>
      </c>
      <c r="L1108">
        <v>3053.2702961213881</v>
      </c>
    </row>
    <row r="1109" spans="1:12" hidden="1" x14ac:dyDescent="0.25">
      <c r="A1109">
        <v>240</v>
      </c>
      <c r="B1109" t="s">
        <v>1026</v>
      </c>
      <c r="C1109" t="s">
        <v>1027</v>
      </c>
      <c r="D1109" t="s">
        <v>1051</v>
      </c>
      <c r="E1109" t="str">
        <f>_xlfn.XLOOKUP(F1109, Keys!B:B, Keys!A:A, "找不到")</f>
        <v>FA</v>
      </c>
      <c r="F1109" t="s">
        <v>63</v>
      </c>
      <c r="G1109">
        <v>0.52543805007230604</v>
      </c>
      <c r="H1109" t="s">
        <v>64</v>
      </c>
      <c r="I1109" t="s">
        <v>65</v>
      </c>
      <c r="J1109" t="s">
        <v>1054</v>
      </c>
      <c r="K1109">
        <v>186.6757501845164</v>
      </c>
      <c r="L1109">
        <v>2126.3808530233509</v>
      </c>
    </row>
    <row r="1110" spans="1:12" hidden="1" x14ac:dyDescent="0.25">
      <c r="A1110">
        <v>241</v>
      </c>
      <c r="B1110" t="s">
        <v>1026</v>
      </c>
      <c r="C1110" t="s">
        <v>1027</v>
      </c>
      <c r="D1110">
        <v>0</v>
      </c>
      <c r="E1110" t="str">
        <f>_xlfn.XLOOKUP(F1110, Keys!B:B, Keys!A:A, "找不到")</f>
        <v>FA</v>
      </c>
      <c r="F1110" t="s">
        <v>63</v>
      </c>
      <c r="G1110">
        <v>0.61302464048885319</v>
      </c>
      <c r="H1110" t="s">
        <v>64</v>
      </c>
      <c r="I1110" t="s">
        <v>65</v>
      </c>
      <c r="J1110" t="s">
        <v>1458</v>
      </c>
      <c r="K1110">
        <v>241.53135311342851</v>
      </c>
      <c r="L1110">
        <v>2480.8326267723501</v>
      </c>
    </row>
    <row r="1111" spans="1:12" hidden="1" x14ac:dyDescent="0.25">
      <c r="A1111">
        <v>242</v>
      </c>
      <c r="B1111" t="s">
        <v>1026</v>
      </c>
      <c r="C1111" t="s">
        <v>1027</v>
      </c>
      <c r="D1111">
        <v>0</v>
      </c>
      <c r="E1111" t="str">
        <f>_xlfn.XLOOKUP(F1111, Keys!B:B, Keys!A:A, "找不到")</f>
        <v>FA</v>
      </c>
      <c r="F1111" t="s">
        <v>63</v>
      </c>
      <c r="G1111">
        <v>7.6812235433327311E-2</v>
      </c>
      <c r="H1111" t="s">
        <v>64</v>
      </c>
      <c r="I1111" t="s">
        <v>65</v>
      </c>
      <c r="J1111" t="s">
        <v>1458</v>
      </c>
      <c r="K1111">
        <v>100.5299164775946</v>
      </c>
      <c r="L1111">
        <v>310.84933167834481</v>
      </c>
    </row>
    <row r="1112" spans="1:12" hidden="1" x14ac:dyDescent="0.25">
      <c r="A1112">
        <v>243</v>
      </c>
      <c r="B1112" t="s">
        <v>1026</v>
      </c>
      <c r="C1112" t="s">
        <v>1027</v>
      </c>
      <c r="D1112">
        <v>0</v>
      </c>
      <c r="E1112" t="str">
        <f>_xlfn.XLOOKUP(F1112, Keys!B:B, Keys!A:A, "找不到")</f>
        <v>FA</v>
      </c>
      <c r="F1112" t="s">
        <v>63</v>
      </c>
      <c r="G1112">
        <v>2.5240422517864198</v>
      </c>
      <c r="H1112" t="s">
        <v>64</v>
      </c>
      <c r="I1112" t="s">
        <v>65</v>
      </c>
      <c r="J1112" t="s">
        <v>1028</v>
      </c>
      <c r="K1112">
        <v>420.35738960908731</v>
      </c>
      <c r="L1112">
        <v>10214.47745491979</v>
      </c>
    </row>
    <row r="1113" spans="1:12" hidden="1" x14ac:dyDescent="0.25">
      <c r="A1113">
        <v>244</v>
      </c>
      <c r="B1113" t="s">
        <v>1026</v>
      </c>
      <c r="C1113" t="s">
        <v>1027</v>
      </c>
      <c r="D1113">
        <v>0</v>
      </c>
      <c r="E1113" t="str">
        <f>_xlfn.XLOOKUP(F1113, Keys!B:B, Keys!A:A, "找不到")</f>
        <v>FA</v>
      </c>
      <c r="F1113" t="s">
        <v>63</v>
      </c>
      <c r="G1113">
        <v>0.45333832093180698</v>
      </c>
      <c r="H1113" t="s">
        <v>64</v>
      </c>
      <c r="I1113" t="s">
        <v>65</v>
      </c>
      <c r="J1113" t="s">
        <v>1353</v>
      </c>
      <c r="K1113">
        <v>256.51233661018489</v>
      </c>
      <c r="L1113">
        <v>1834.6024339853129</v>
      </c>
    </row>
    <row r="1114" spans="1:12" hidden="1" x14ac:dyDescent="0.25">
      <c r="A1114">
        <v>245</v>
      </c>
      <c r="B1114" t="s">
        <v>1026</v>
      </c>
      <c r="C1114" t="s">
        <v>1027</v>
      </c>
      <c r="D1114">
        <v>0</v>
      </c>
      <c r="E1114" t="str">
        <f>_xlfn.XLOOKUP(F1114, Keys!B:B, Keys!A:A, "找不到")</f>
        <v>FA</v>
      </c>
      <c r="F1114" t="s">
        <v>63</v>
      </c>
      <c r="G1114">
        <v>1.2001025030110539</v>
      </c>
      <c r="H1114" t="s">
        <v>64</v>
      </c>
      <c r="I1114" t="s">
        <v>65</v>
      </c>
      <c r="J1114" t="s">
        <v>1353</v>
      </c>
      <c r="K1114">
        <v>382.94937893630458</v>
      </c>
      <c r="L1114">
        <v>4856.6619484769662</v>
      </c>
    </row>
    <row r="1115" spans="1:12" hidden="1" x14ac:dyDescent="0.25">
      <c r="A1115">
        <v>246</v>
      </c>
      <c r="B1115" t="s">
        <v>1026</v>
      </c>
      <c r="C1115" t="s">
        <v>1027</v>
      </c>
      <c r="D1115" t="s">
        <v>57</v>
      </c>
      <c r="E1115" t="str">
        <f>_xlfn.XLOOKUP(F1115, Keys!B:B, Keys!A:A, "找不到")</f>
        <v>FA</v>
      </c>
      <c r="F1115" t="s">
        <v>63</v>
      </c>
      <c r="G1115">
        <v>0.51486248814358793</v>
      </c>
      <c r="H1115" t="s">
        <v>64</v>
      </c>
      <c r="I1115" t="s">
        <v>65</v>
      </c>
      <c r="J1115" t="s">
        <v>1462</v>
      </c>
      <c r="K1115">
        <v>186.4869638016454</v>
      </c>
      <c r="L1115">
        <v>2083.582901119993</v>
      </c>
    </row>
    <row r="1116" spans="1:12" hidden="1" x14ac:dyDescent="0.25">
      <c r="A1116">
        <v>248</v>
      </c>
      <c r="B1116" t="s">
        <v>1026</v>
      </c>
      <c r="C1116" t="s">
        <v>1027</v>
      </c>
      <c r="D1116">
        <v>0</v>
      </c>
      <c r="E1116" t="str">
        <f>_xlfn.XLOOKUP(F1116, Keys!B:B, Keys!A:A, "找不到")</f>
        <v>FA</v>
      </c>
      <c r="F1116" t="s">
        <v>63</v>
      </c>
      <c r="G1116">
        <v>0.3549452843169244</v>
      </c>
      <c r="H1116" t="s">
        <v>64</v>
      </c>
      <c r="I1116" t="s">
        <v>65</v>
      </c>
      <c r="J1116" t="s">
        <v>1313</v>
      </c>
      <c r="K1116">
        <v>154.21638877396941</v>
      </c>
      <c r="L1116">
        <v>1436.4183491061899</v>
      </c>
    </row>
    <row r="1117" spans="1:12" hidden="1" x14ac:dyDescent="0.25">
      <c r="A1117">
        <v>252</v>
      </c>
      <c r="B1117" t="s">
        <v>1026</v>
      </c>
      <c r="C1117" t="s">
        <v>1027</v>
      </c>
      <c r="D1117">
        <v>0</v>
      </c>
      <c r="E1117" t="str">
        <f>_xlfn.XLOOKUP(F1117, Keys!B:B, Keys!A:A, "找不到")</f>
        <v>FA</v>
      </c>
      <c r="F1117" t="s">
        <v>63</v>
      </c>
      <c r="G1117">
        <v>1.4437033097899541</v>
      </c>
      <c r="H1117" t="s">
        <v>64</v>
      </c>
      <c r="I1117" t="s">
        <v>65</v>
      </c>
      <c r="J1117" t="s">
        <v>1028</v>
      </c>
      <c r="K1117">
        <v>325.66537625760287</v>
      </c>
      <c r="L1117">
        <v>5842.4833811737653</v>
      </c>
    </row>
    <row r="1118" spans="1:12" hidden="1" x14ac:dyDescent="0.25">
      <c r="A1118">
        <v>253</v>
      </c>
      <c r="B1118" t="s">
        <v>1026</v>
      </c>
      <c r="C1118" t="s">
        <v>1027</v>
      </c>
      <c r="D1118">
        <v>0</v>
      </c>
      <c r="E1118" t="str">
        <f>_xlfn.XLOOKUP(F1118, Keys!B:B, Keys!A:A, "找不到")</f>
        <v>FA</v>
      </c>
      <c r="F1118" t="s">
        <v>63</v>
      </c>
      <c r="G1118">
        <v>0.98341117250641452</v>
      </c>
      <c r="H1118" t="s">
        <v>64</v>
      </c>
      <c r="I1118" t="s">
        <v>65</v>
      </c>
      <c r="J1118" t="s">
        <v>1028</v>
      </c>
      <c r="K1118">
        <v>275.83757550061461</v>
      </c>
      <c r="L1118">
        <v>3979.7397382605318</v>
      </c>
    </row>
    <row r="1119" spans="1:12" hidden="1" x14ac:dyDescent="0.25">
      <c r="A1119">
        <v>255</v>
      </c>
      <c r="B1119" t="s">
        <v>1026</v>
      </c>
      <c r="C1119" t="s">
        <v>1027</v>
      </c>
      <c r="D1119">
        <v>0</v>
      </c>
      <c r="E1119" t="str">
        <f>_xlfn.XLOOKUP(F1119, Keys!B:B, Keys!A:A, "找不到")</f>
        <v>FA</v>
      </c>
      <c r="F1119" t="s">
        <v>63</v>
      </c>
      <c r="G1119">
        <v>0.65992690843342849</v>
      </c>
      <c r="H1119" t="s">
        <v>64</v>
      </c>
      <c r="I1119" t="s">
        <v>65</v>
      </c>
      <c r="J1119" t="s">
        <v>1028</v>
      </c>
      <c r="K1119">
        <v>255.96639459461599</v>
      </c>
      <c r="L1119">
        <v>2670.6401302582349</v>
      </c>
    </row>
    <row r="1120" spans="1:12" hidden="1" x14ac:dyDescent="0.25">
      <c r="A1120">
        <v>258</v>
      </c>
      <c r="B1120" t="s">
        <v>1026</v>
      </c>
      <c r="C1120" t="s">
        <v>1027</v>
      </c>
      <c r="D1120">
        <v>0</v>
      </c>
      <c r="E1120" t="str">
        <f>_xlfn.XLOOKUP(F1120, Keys!B:B, Keys!A:A, "找不到")</f>
        <v>FA</v>
      </c>
      <c r="F1120" t="s">
        <v>63</v>
      </c>
      <c r="G1120">
        <v>0.30572455379247759</v>
      </c>
      <c r="H1120" t="s">
        <v>64</v>
      </c>
      <c r="I1120" t="s">
        <v>65</v>
      </c>
      <c r="J1120" t="s">
        <v>1353</v>
      </c>
      <c r="K1120">
        <v>142.7215192881971</v>
      </c>
      <c r="L1120">
        <v>1237.228322908805</v>
      </c>
    </row>
    <row r="1121" spans="1:12" hidden="1" x14ac:dyDescent="0.25">
      <c r="A1121">
        <v>259</v>
      </c>
      <c r="B1121" t="s">
        <v>1026</v>
      </c>
      <c r="C1121" t="s">
        <v>1027</v>
      </c>
      <c r="D1121">
        <v>0</v>
      </c>
      <c r="E1121" t="str">
        <f>_xlfn.XLOOKUP(F1121, Keys!B:B, Keys!A:A, "找不到")</f>
        <v>FA</v>
      </c>
      <c r="F1121" t="s">
        <v>63</v>
      </c>
      <c r="G1121">
        <v>7.1639964572053891E-2</v>
      </c>
      <c r="H1121" t="s">
        <v>64</v>
      </c>
      <c r="I1121" t="s">
        <v>65</v>
      </c>
      <c r="J1121" t="s">
        <v>1353</v>
      </c>
      <c r="K1121">
        <v>76.793543789428838</v>
      </c>
      <c r="L1121">
        <v>289.91781039900673</v>
      </c>
    </row>
    <row r="1122" spans="1:12" hidden="1" x14ac:dyDescent="0.25">
      <c r="A1122">
        <v>264</v>
      </c>
      <c r="B1122" t="s">
        <v>1026</v>
      </c>
      <c r="C1122" t="s">
        <v>1027</v>
      </c>
      <c r="D1122">
        <v>0</v>
      </c>
      <c r="E1122" t="str">
        <f>_xlfn.XLOOKUP(F1122, Keys!B:B, Keys!A:A, "找不到")</f>
        <v>FA</v>
      </c>
      <c r="F1122" t="s">
        <v>63</v>
      </c>
      <c r="G1122">
        <v>1.9959097167585831</v>
      </c>
      <c r="H1122" t="s">
        <v>64</v>
      </c>
      <c r="I1122" t="s">
        <v>65</v>
      </c>
      <c r="J1122" t="s">
        <v>1457</v>
      </c>
      <c r="K1122">
        <v>344.59547250291581</v>
      </c>
      <c r="L1122">
        <v>8077.1923645321849</v>
      </c>
    </row>
    <row r="1123" spans="1:12" hidden="1" x14ac:dyDescent="0.25">
      <c r="A1123">
        <v>265</v>
      </c>
      <c r="B1123" t="s">
        <v>1026</v>
      </c>
      <c r="C1123" t="s">
        <v>1027</v>
      </c>
      <c r="D1123">
        <v>0</v>
      </c>
      <c r="E1123" t="str">
        <f>_xlfn.XLOOKUP(F1123, Keys!B:B, Keys!A:A, "找不到")</f>
        <v>FA</v>
      </c>
      <c r="F1123" t="s">
        <v>63</v>
      </c>
      <c r="G1123">
        <v>0.41291652402737061</v>
      </c>
      <c r="H1123" t="s">
        <v>64</v>
      </c>
      <c r="I1123" t="s">
        <v>65</v>
      </c>
      <c r="J1123" t="s">
        <v>1353</v>
      </c>
      <c r="K1123">
        <v>217.91105149546729</v>
      </c>
      <c r="L1123">
        <v>1671.0205712508489</v>
      </c>
    </row>
    <row r="1124" spans="1:12" hidden="1" x14ac:dyDescent="0.25">
      <c r="A1124">
        <v>268</v>
      </c>
      <c r="B1124" t="s">
        <v>1026</v>
      </c>
      <c r="C1124" t="s">
        <v>1027</v>
      </c>
      <c r="D1124" t="s">
        <v>1192</v>
      </c>
      <c r="E1124" t="str">
        <f>_xlfn.XLOOKUP(F1124, Keys!B:B, Keys!A:A, "找不到")</f>
        <v>FA</v>
      </c>
      <c r="F1124" t="s">
        <v>63</v>
      </c>
      <c r="G1124">
        <v>1.4584757613486741</v>
      </c>
      <c r="H1124" t="s">
        <v>64</v>
      </c>
      <c r="I1124" t="s">
        <v>65</v>
      </c>
      <c r="J1124" t="s">
        <v>1228</v>
      </c>
      <c r="K1124">
        <v>337.22833656734008</v>
      </c>
      <c r="L1124">
        <v>5902.2656107674457</v>
      </c>
    </row>
    <row r="1125" spans="1:12" hidden="1" x14ac:dyDescent="0.25">
      <c r="A1125">
        <v>284</v>
      </c>
      <c r="B1125" t="s">
        <v>1026</v>
      </c>
      <c r="C1125" t="s">
        <v>1027</v>
      </c>
      <c r="D1125">
        <v>0</v>
      </c>
      <c r="E1125" t="str">
        <f>_xlfn.XLOOKUP(F1125, Keys!B:B, Keys!A:A, "找不到")</f>
        <v>FA</v>
      </c>
      <c r="F1125" t="s">
        <v>63</v>
      </c>
      <c r="G1125">
        <v>2.4171947593457568</v>
      </c>
      <c r="H1125" t="s">
        <v>64</v>
      </c>
      <c r="I1125" t="s">
        <v>65</v>
      </c>
      <c r="J1125" t="s">
        <v>1393</v>
      </c>
      <c r="K1125">
        <v>469.77990692513742</v>
      </c>
      <c r="L1125">
        <v>9782.0792643279274</v>
      </c>
    </row>
    <row r="1126" spans="1:12" hidden="1" x14ac:dyDescent="0.25">
      <c r="A1126">
        <v>1</v>
      </c>
      <c r="B1126" t="s">
        <v>152</v>
      </c>
      <c r="C1126" t="s">
        <v>149</v>
      </c>
      <c r="D1126">
        <v>0</v>
      </c>
      <c r="E1126" t="str">
        <f>_xlfn.XLOOKUP(F1126, Keys!B:B, Keys!A:A, "找不到")</f>
        <v>FA</v>
      </c>
      <c r="F1126" t="s">
        <v>63</v>
      </c>
      <c r="G1126">
        <v>36.181704256286977</v>
      </c>
      <c r="H1126" t="s">
        <v>64</v>
      </c>
      <c r="I1126" t="s">
        <v>65</v>
      </c>
      <c r="J1126">
        <v>0</v>
      </c>
      <c r="K1126">
        <v>2712.0971988427118</v>
      </c>
      <c r="L1126">
        <v>146422.7479333384</v>
      </c>
    </row>
    <row r="1127" spans="1:12" hidden="1" x14ac:dyDescent="0.25">
      <c r="A1127">
        <v>2</v>
      </c>
      <c r="B1127" t="s">
        <v>152</v>
      </c>
      <c r="C1127" t="s">
        <v>149</v>
      </c>
      <c r="D1127">
        <v>0</v>
      </c>
      <c r="E1127" t="str">
        <f>_xlfn.XLOOKUP(F1127, Keys!B:B, Keys!A:A, "找不到")</f>
        <v>FA</v>
      </c>
      <c r="F1127" t="s">
        <v>63</v>
      </c>
      <c r="G1127">
        <v>2.4911964860761211</v>
      </c>
      <c r="H1127" t="s">
        <v>64</v>
      </c>
      <c r="I1127" t="s">
        <v>65</v>
      </c>
      <c r="J1127" t="s">
        <v>57</v>
      </c>
      <c r="K1127">
        <v>458.66838826262011</v>
      </c>
      <c r="L1127">
        <v>10081.55482531644</v>
      </c>
    </row>
    <row r="1128" spans="1:12" hidden="1" x14ac:dyDescent="0.25">
      <c r="A1128">
        <v>3</v>
      </c>
      <c r="B1128" t="s">
        <v>152</v>
      </c>
      <c r="C1128" t="s">
        <v>149</v>
      </c>
      <c r="D1128">
        <v>0</v>
      </c>
      <c r="E1128" t="str">
        <f>_xlfn.XLOOKUP(F1128, Keys!B:B, Keys!A:A, "找不到")</f>
        <v>FA</v>
      </c>
      <c r="F1128" t="s">
        <v>63</v>
      </c>
      <c r="G1128">
        <v>4.2400641717694949</v>
      </c>
      <c r="H1128" t="s">
        <v>64</v>
      </c>
      <c r="I1128" t="s">
        <v>65</v>
      </c>
      <c r="J1128">
        <v>0</v>
      </c>
      <c r="K1128">
        <v>554.30175829897098</v>
      </c>
      <c r="L1128">
        <v>17158.99956084312</v>
      </c>
    </row>
    <row r="1129" spans="1:12" hidden="1" x14ac:dyDescent="0.25">
      <c r="A1129">
        <v>4</v>
      </c>
      <c r="B1129" t="s">
        <v>152</v>
      </c>
      <c r="C1129" t="s">
        <v>149</v>
      </c>
      <c r="D1129">
        <v>0</v>
      </c>
      <c r="E1129" t="str">
        <f>_xlfn.XLOOKUP(F1129, Keys!B:B, Keys!A:A, "找不到")</f>
        <v>FA</v>
      </c>
      <c r="F1129" t="s">
        <v>63</v>
      </c>
      <c r="G1129">
        <v>0.96811345928720038</v>
      </c>
      <c r="H1129" t="s">
        <v>64</v>
      </c>
      <c r="I1129" t="s">
        <v>65</v>
      </c>
      <c r="J1129">
        <v>0</v>
      </c>
      <c r="K1129">
        <v>349.86621152956292</v>
      </c>
      <c r="L1129">
        <v>3917.8318416399829</v>
      </c>
    </row>
    <row r="1130" spans="1:12" hidden="1" x14ac:dyDescent="0.25">
      <c r="A1130">
        <v>5</v>
      </c>
      <c r="B1130" t="s">
        <v>152</v>
      </c>
      <c r="C1130" t="s">
        <v>149</v>
      </c>
      <c r="D1130">
        <v>0</v>
      </c>
      <c r="E1130" t="str">
        <f>_xlfn.XLOOKUP(F1130, Keys!B:B, Keys!A:A, "找不到")</f>
        <v>FA</v>
      </c>
      <c r="F1130" t="s">
        <v>63</v>
      </c>
      <c r="G1130">
        <v>2.4860369115637742</v>
      </c>
      <c r="H1130" t="s">
        <v>64</v>
      </c>
      <c r="I1130" t="s">
        <v>65</v>
      </c>
      <c r="J1130" t="s">
        <v>57</v>
      </c>
      <c r="K1130">
        <v>499.72936852243862</v>
      </c>
      <c r="L1130">
        <v>10060.67468454381</v>
      </c>
    </row>
    <row r="1131" spans="1:12" hidden="1" x14ac:dyDescent="0.25">
      <c r="A1131">
        <v>6</v>
      </c>
      <c r="B1131" t="s">
        <v>152</v>
      </c>
      <c r="C1131" t="s">
        <v>149</v>
      </c>
      <c r="D1131">
        <v>0</v>
      </c>
      <c r="E1131" t="str">
        <f>_xlfn.XLOOKUP(F1131, Keys!B:B, Keys!A:A, "找不到")</f>
        <v>FA</v>
      </c>
      <c r="F1131" t="s">
        <v>63</v>
      </c>
      <c r="G1131">
        <v>3.8738959521534819</v>
      </c>
      <c r="H1131" t="s">
        <v>64</v>
      </c>
      <c r="I1131" t="s">
        <v>65</v>
      </c>
      <c r="J1131">
        <v>0</v>
      </c>
      <c r="K1131">
        <v>526.69440646178623</v>
      </c>
      <c r="L1131">
        <v>15677.163422272661</v>
      </c>
    </row>
    <row r="1132" spans="1:12" hidden="1" x14ac:dyDescent="0.25">
      <c r="A1132">
        <v>7</v>
      </c>
      <c r="B1132" t="s">
        <v>152</v>
      </c>
      <c r="C1132" t="s">
        <v>149</v>
      </c>
      <c r="D1132">
        <v>0</v>
      </c>
      <c r="E1132" t="str">
        <f>_xlfn.XLOOKUP(F1132, Keys!B:B, Keys!A:A, "找不到")</f>
        <v>FA</v>
      </c>
      <c r="F1132" t="s">
        <v>63</v>
      </c>
      <c r="G1132">
        <v>10.60672239838075</v>
      </c>
      <c r="H1132" t="s">
        <v>64</v>
      </c>
      <c r="I1132" t="s">
        <v>65</v>
      </c>
      <c r="J1132">
        <v>0</v>
      </c>
      <c r="K1132">
        <v>862.2317103283749</v>
      </c>
      <c r="L1132">
        <v>42924.054354546788</v>
      </c>
    </row>
    <row r="1133" spans="1:12" hidden="1" x14ac:dyDescent="0.25">
      <c r="A1133">
        <v>8</v>
      </c>
      <c r="B1133" t="s">
        <v>152</v>
      </c>
      <c r="C1133" t="s">
        <v>149</v>
      </c>
      <c r="D1133">
        <v>0</v>
      </c>
      <c r="E1133" t="str">
        <f>_xlfn.XLOOKUP(F1133, Keys!B:B, Keys!A:A, "找不到")</f>
        <v>FA</v>
      </c>
      <c r="F1133" t="s">
        <v>63</v>
      </c>
      <c r="G1133">
        <v>39.515881250588357</v>
      </c>
      <c r="H1133" t="s">
        <v>64</v>
      </c>
      <c r="I1133" t="s">
        <v>65</v>
      </c>
      <c r="J1133">
        <v>0</v>
      </c>
      <c r="K1133">
        <v>1822.193766645298</v>
      </c>
      <c r="L1133">
        <v>159915.73748804949</v>
      </c>
    </row>
    <row r="1134" spans="1:12" hidden="1" x14ac:dyDescent="0.25">
      <c r="A1134">
        <v>9</v>
      </c>
      <c r="B1134" t="s">
        <v>152</v>
      </c>
      <c r="C1134" t="s">
        <v>149</v>
      </c>
      <c r="D1134">
        <v>0</v>
      </c>
      <c r="E1134" t="str">
        <f>_xlfn.XLOOKUP(F1134, Keys!B:B, Keys!A:A, "找不到")</f>
        <v>FA</v>
      </c>
      <c r="F1134" t="s">
        <v>63</v>
      </c>
      <c r="G1134">
        <v>9.4226596235240976</v>
      </c>
      <c r="H1134" t="s">
        <v>64</v>
      </c>
      <c r="I1134" t="s">
        <v>65</v>
      </c>
      <c r="J1134">
        <v>0</v>
      </c>
      <c r="K1134">
        <v>1131.724524578259</v>
      </c>
      <c r="L1134">
        <v>38132.3031426077</v>
      </c>
    </row>
    <row r="1135" spans="1:12" hidden="1" x14ac:dyDescent="0.25">
      <c r="A1135">
        <v>10</v>
      </c>
      <c r="B1135" t="s">
        <v>152</v>
      </c>
      <c r="C1135" t="s">
        <v>149</v>
      </c>
      <c r="D1135">
        <v>0</v>
      </c>
      <c r="E1135" t="str">
        <f>_xlfn.XLOOKUP(F1135, Keys!B:B, Keys!A:A, "找不到")</f>
        <v>FA</v>
      </c>
      <c r="F1135" t="s">
        <v>63</v>
      </c>
      <c r="G1135">
        <v>0.1197435833385942</v>
      </c>
      <c r="H1135" t="s">
        <v>64</v>
      </c>
      <c r="I1135" t="s">
        <v>65</v>
      </c>
      <c r="J1135">
        <v>0</v>
      </c>
      <c r="K1135">
        <v>83.421426452205722</v>
      </c>
      <c r="L1135">
        <v>484.58702762115149</v>
      </c>
    </row>
    <row r="1136" spans="1:12" hidden="1" x14ac:dyDescent="0.25">
      <c r="A1136">
        <v>11</v>
      </c>
      <c r="B1136" t="s">
        <v>152</v>
      </c>
      <c r="C1136" t="s">
        <v>149</v>
      </c>
      <c r="D1136">
        <v>0</v>
      </c>
      <c r="E1136" t="str">
        <f>_xlfn.XLOOKUP(F1136, Keys!B:B, Keys!A:A, "找不到")</f>
        <v>FA</v>
      </c>
      <c r="F1136" t="s">
        <v>63</v>
      </c>
      <c r="G1136">
        <v>9.749459766763649E-2</v>
      </c>
      <c r="H1136" t="s">
        <v>64</v>
      </c>
      <c r="I1136" t="s">
        <v>65</v>
      </c>
      <c r="J1136">
        <v>0</v>
      </c>
      <c r="K1136">
        <v>129.6784100002227</v>
      </c>
      <c r="L1136">
        <v>394.54821691186822</v>
      </c>
    </row>
    <row r="1137" spans="1:12" hidden="1" x14ac:dyDescent="0.25">
      <c r="A1137">
        <v>12</v>
      </c>
      <c r="B1137" t="s">
        <v>152</v>
      </c>
      <c r="C1137" t="s">
        <v>149</v>
      </c>
      <c r="D1137">
        <v>0</v>
      </c>
      <c r="E1137" t="str">
        <f>_xlfn.XLOOKUP(F1137, Keys!B:B, Keys!A:A, "找不到")</f>
        <v>FA</v>
      </c>
      <c r="F1137" t="s">
        <v>63</v>
      </c>
      <c r="G1137">
        <v>44.840628215963093</v>
      </c>
      <c r="H1137" t="s">
        <v>64</v>
      </c>
      <c r="I1137" t="s">
        <v>65</v>
      </c>
      <c r="J1137">
        <v>0</v>
      </c>
      <c r="K1137">
        <v>2988.577809349883</v>
      </c>
      <c r="L1137">
        <v>181464.31013673561</v>
      </c>
    </row>
    <row r="1138" spans="1:12" hidden="1" x14ac:dyDescent="0.25">
      <c r="A1138">
        <v>13</v>
      </c>
      <c r="B1138" t="s">
        <v>152</v>
      </c>
      <c r="C1138" t="s">
        <v>149</v>
      </c>
      <c r="D1138">
        <v>0</v>
      </c>
      <c r="E1138" t="str">
        <f>_xlfn.XLOOKUP(F1138, Keys!B:B, Keys!A:A, "找不到")</f>
        <v>FA</v>
      </c>
      <c r="F1138" t="s">
        <v>63</v>
      </c>
      <c r="G1138">
        <v>9.0248871063512634E-2</v>
      </c>
      <c r="H1138" t="s">
        <v>64</v>
      </c>
      <c r="I1138" t="s">
        <v>65</v>
      </c>
      <c r="J1138" t="s">
        <v>57</v>
      </c>
      <c r="K1138">
        <v>110.048662891623</v>
      </c>
      <c r="L1138">
        <v>365.22568437900219</v>
      </c>
    </row>
    <row r="1139" spans="1:12" hidden="1" x14ac:dyDescent="0.25">
      <c r="A1139">
        <v>14</v>
      </c>
      <c r="B1139" t="s">
        <v>152</v>
      </c>
      <c r="C1139" t="s">
        <v>149</v>
      </c>
      <c r="D1139">
        <v>0</v>
      </c>
      <c r="E1139" t="str">
        <f>_xlfn.XLOOKUP(F1139, Keys!B:B, Keys!A:A, "找不到")</f>
        <v>FA</v>
      </c>
      <c r="F1139" t="s">
        <v>63</v>
      </c>
      <c r="G1139">
        <v>0.83197255227451494</v>
      </c>
      <c r="H1139" t="s">
        <v>64</v>
      </c>
      <c r="I1139" t="s">
        <v>65</v>
      </c>
      <c r="J1139" t="s">
        <v>57</v>
      </c>
      <c r="K1139">
        <v>608.6169226722858</v>
      </c>
      <c r="L1139">
        <v>3366.8869339669091</v>
      </c>
    </row>
    <row r="1140" spans="1:12" hidden="1" x14ac:dyDescent="0.25">
      <c r="A1140">
        <v>15</v>
      </c>
      <c r="B1140" t="s">
        <v>152</v>
      </c>
      <c r="C1140" t="s">
        <v>149</v>
      </c>
      <c r="D1140">
        <v>0</v>
      </c>
      <c r="E1140" t="str">
        <f>_xlfn.XLOOKUP(F1140, Keys!B:B, Keys!A:A, "找不到")</f>
        <v>FA</v>
      </c>
      <c r="F1140" t="s">
        <v>63</v>
      </c>
      <c r="G1140">
        <v>22.195609663039651</v>
      </c>
      <c r="H1140" t="s">
        <v>64</v>
      </c>
      <c r="I1140" t="s">
        <v>65</v>
      </c>
      <c r="J1140" t="s">
        <v>57</v>
      </c>
      <c r="K1140">
        <v>1285.375953250151</v>
      </c>
      <c r="L1140">
        <v>89822.804804815416</v>
      </c>
    </row>
    <row r="1141" spans="1:12" hidden="1" x14ac:dyDescent="0.25">
      <c r="A1141">
        <v>16</v>
      </c>
      <c r="B1141" t="s">
        <v>152</v>
      </c>
      <c r="C1141" t="s">
        <v>149</v>
      </c>
      <c r="D1141">
        <v>0</v>
      </c>
      <c r="E1141" t="str">
        <f>_xlfn.XLOOKUP(F1141, Keys!B:B, Keys!A:A, "找不到")</f>
        <v>FA</v>
      </c>
      <c r="F1141" t="s">
        <v>63</v>
      </c>
      <c r="G1141">
        <v>1.844329313838067</v>
      </c>
      <c r="H1141" t="s">
        <v>64</v>
      </c>
      <c r="I1141" t="s">
        <v>65</v>
      </c>
      <c r="J1141" t="s">
        <v>57</v>
      </c>
      <c r="K1141">
        <v>394.83974051886918</v>
      </c>
      <c r="L1141">
        <v>7463.765783759447</v>
      </c>
    </row>
    <row r="1142" spans="1:12" hidden="1" x14ac:dyDescent="0.25">
      <c r="A1142">
        <v>17</v>
      </c>
      <c r="B1142" t="s">
        <v>152</v>
      </c>
      <c r="C1142" t="s">
        <v>149</v>
      </c>
      <c r="D1142">
        <v>0</v>
      </c>
      <c r="E1142" t="str">
        <f>_xlfn.XLOOKUP(F1142, Keys!B:B, Keys!A:A, "找不到")</f>
        <v>FA</v>
      </c>
      <c r="F1142" t="s">
        <v>63</v>
      </c>
      <c r="G1142">
        <v>3.5364988962758011</v>
      </c>
      <c r="H1142" t="s">
        <v>64</v>
      </c>
      <c r="I1142" t="s">
        <v>65</v>
      </c>
      <c r="J1142">
        <v>0</v>
      </c>
      <c r="K1142">
        <v>713.73786555235426</v>
      </c>
      <c r="L1142">
        <v>14311.760518189059</v>
      </c>
    </row>
    <row r="1143" spans="1:12" hidden="1" x14ac:dyDescent="0.25">
      <c r="A1143">
        <v>18</v>
      </c>
      <c r="B1143" t="s">
        <v>152</v>
      </c>
      <c r="C1143" t="s">
        <v>149</v>
      </c>
      <c r="D1143">
        <v>0</v>
      </c>
      <c r="E1143" t="str">
        <f>_xlfn.XLOOKUP(F1143, Keys!B:B, Keys!A:A, "找不到")</f>
        <v>FA</v>
      </c>
      <c r="F1143" t="s">
        <v>63</v>
      </c>
      <c r="G1143">
        <v>5.6817791826998114</v>
      </c>
      <c r="H1143" t="s">
        <v>64</v>
      </c>
      <c r="I1143" t="s">
        <v>65</v>
      </c>
      <c r="J1143">
        <v>0</v>
      </c>
      <c r="K1143">
        <v>842.39994858048112</v>
      </c>
      <c r="L1143">
        <v>22993.43654982157</v>
      </c>
    </row>
    <row r="1144" spans="1:12" hidden="1" x14ac:dyDescent="0.25">
      <c r="A1144">
        <v>19</v>
      </c>
      <c r="B1144" t="s">
        <v>152</v>
      </c>
      <c r="C1144" t="s">
        <v>149</v>
      </c>
      <c r="D1144">
        <v>0</v>
      </c>
      <c r="E1144" t="str">
        <f>_xlfn.XLOOKUP(F1144, Keys!B:B, Keys!A:A, "找不到")</f>
        <v>FA</v>
      </c>
      <c r="F1144" t="s">
        <v>63</v>
      </c>
      <c r="G1144">
        <v>0.44074036933291277</v>
      </c>
      <c r="H1144" t="s">
        <v>64</v>
      </c>
      <c r="I1144" t="s">
        <v>65</v>
      </c>
      <c r="J1144">
        <v>0</v>
      </c>
      <c r="K1144">
        <v>228.38411771024369</v>
      </c>
      <c r="L1144">
        <v>1783.6201287192259</v>
      </c>
    </row>
    <row r="1145" spans="1:12" hidden="1" x14ac:dyDescent="0.25">
      <c r="A1145">
        <v>20</v>
      </c>
      <c r="B1145" t="s">
        <v>152</v>
      </c>
      <c r="C1145" t="s">
        <v>149</v>
      </c>
      <c r="D1145">
        <v>0</v>
      </c>
      <c r="E1145" t="str">
        <f>_xlfn.XLOOKUP(F1145, Keys!B:B, Keys!A:A, "找不到")</f>
        <v>FA</v>
      </c>
      <c r="F1145" t="s">
        <v>63</v>
      </c>
      <c r="G1145">
        <v>2.1257265769387721</v>
      </c>
      <c r="H1145" t="s">
        <v>64</v>
      </c>
      <c r="I1145" t="s">
        <v>65</v>
      </c>
      <c r="J1145">
        <v>0</v>
      </c>
      <c r="K1145">
        <v>403.15271066688558</v>
      </c>
      <c r="L1145">
        <v>8602.5446602952688</v>
      </c>
    </row>
    <row r="1146" spans="1:12" hidden="1" x14ac:dyDescent="0.25">
      <c r="A1146">
        <v>22</v>
      </c>
      <c r="B1146" t="s">
        <v>152</v>
      </c>
      <c r="C1146" t="s">
        <v>149</v>
      </c>
      <c r="D1146">
        <v>0</v>
      </c>
      <c r="E1146" t="str">
        <f>_xlfn.XLOOKUP(F1146, Keys!B:B, Keys!A:A, "找不到")</f>
        <v>FA</v>
      </c>
      <c r="F1146" t="s">
        <v>63</v>
      </c>
      <c r="G1146">
        <v>3.032284683898792</v>
      </c>
      <c r="H1146" t="s">
        <v>64</v>
      </c>
      <c r="I1146" t="s">
        <v>65</v>
      </c>
      <c r="J1146">
        <v>0</v>
      </c>
      <c r="K1146">
        <v>486.40816825784981</v>
      </c>
      <c r="L1146">
        <v>12271.26983261123</v>
      </c>
    </row>
    <row r="1147" spans="1:12" hidden="1" x14ac:dyDescent="0.25">
      <c r="A1147">
        <v>23</v>
      </c>
      <c r="B1147" t="s">
        <v>152</v>
      </c>
      <c r="C1147" t="s">
        <v>149</v>
      </c>
      <c r="D1147">
        <v>0</v>
      </c>
      <c r="E1147" t="str">
        <f>_xlfn.XLOOKUP(F1147, Keys!B:B, Keys!A:A, "找不到")</f>
        <v>FA</v>
      </c>
      <c r="F1147" t="s">
        <v>63</v>
      </c>
      <c r="G1147">
        <v>7.3465962211325699</v>
      </c>
      <c r="H1147" t="s">
        <v>64</v>
      </c>
      <c r="I1147" t="s">
        <v>65</v>
      </c>
      <c r="J1147">
        <v>0</v>
      </c>
      <c r="K1147">
        <v>682.81316136425994</v>
      </c>
      <c r="L1147">
        <v>29730.739023107079</v>
      </c>
    </row>
    <row r="1148" spans="1:12" hidden="1" x14ac:dyDescent="0.25">
      <c r="A1148">
        <v>25</v>
      </c>
      <c r="B1148" t="s">
        <v>152</v>
      </c>
      <c r="C1148" t="s">
        <v>149</v>
      </c>
      <c r="D1148">
        <v>0</v>
      </c>
      <c r="E1148" t="str">
        <f>_xlfn.XLOOKUP(F1148, Keys!B:B, Keys!A:A, "找不到")</f>
        <v>FA</v>
      </c>
      <c r="F1148" t="s">
        <v>63</v>
      </c>
      <c r="G1148">
        <v>0.73781320519534499</v>
      </c>
      <c r="H1148" t="s">
        <v>64</v>
      </c>
      <c r="I1148" t="s">
        <v>65</v>
      </c>
      <c r="J1148">
        <v>0</v>
      </c>
      <c r="K1148">
        <v>245.75291637039069</v>
      </c>
      <c r="L1148">
        <v>2985.8360513085731</v>
      </c>
    </row>
    <row r="1149" spans="1:12" hidden="1" x14ac:dyDescent="0.25">
      <c r="A1149">
        <v>26</v>
      </c>
      <c r="B1149" t="s">
        <v>152</v>
      </c>
      <c r="C1149" t="s">
        <v>149</v>
      </c>
      <c r="D1149">
        <v>0</v>
      </c>
      <c r="E1149" t="str">
        <f>_xlfn.XLOOKUP(F1149, Keys!B:B, Keys!A:A, "找不到")</f>
        <v>FA</v>
      </c>
      <c r="F1149" t="s">
        <v>63</v>
      </c>
      <c r="G1149">
        <v>0.63779236381644722</v>
      </c>
      <c r="H1149" t="s">
        <v>64</v>
      </c>
      <c r="I1149" t="s">
        <v>65</v>
      </c>
      <c r="J1149">
        <v>0</v>
      </c>
      <c r="K1149">
        <v>220.20228241750459</v>
      </c>
      <c r="L1149">
        <v>2581.064447915734</v>
      </c>
    </row>
    <row r="1150" spans="1:12" hidden="1" x14ac:dyDescent="0.25">
      <c r="A1150">
        <v>31</v>
      </c>
      <c r="B1150" t="s">
        <v>152</v>
      </c>
      <c r="C1150" t="s">
        <v>149</v>
      </c>
      <c r="D1150">
        <v>0</v>
      </c>
      <c r="E1150" t="str">
        <f>_xlfn.XLOOKUP(F1150, Keys!B:B, Keys!A:A, "找不到")</f>
        <v>FA</v>
      </c>
      <c r="F1150" t="s">
        <v>63</v>
      </c>
      <c r="G1150">
        <v>32.01019617079006</v>
      </c>
      <c r="H1150" t="s">
        <v>64</v>
      </c>
      <c r="I1150" t="s">
        <v>65</v>
      </c>
      <c r="J1150" t="s">
        <v>57</v>
      </c>
      <c r="K1150">
        <v>1649.3858115128569</v>
      </c>
      <c r="L1150">
        <v>129541.186120272</v>
      </c>
    </row>
    <row r="1151" spans="1:12" hidden="1" x14ac:dyDescent="0.25">
      <c r="A1151">
        <v>32</v>
      </c>
      <c r="B1151" t="s">
        <v>152</v>
      </c>
      <c r="C1151" t="s">
        <v>149</v>
      </c>
      <c r="D1151">
        <v>0</v>
      </c>
      <c r="E1151" t="str">
        <f>_xlfn.XLOOKUP(F1151, Keys!B:B, Keys!A:A, "找不到")</f>
        <v>FA</v>
      </c>
      <c r="F1151" t="s">
        <v>63</v>
      </c>
      <c r="G1151">
        <v>30.957418425556931</v>
      </c>
      <c r="H1151" t="s">
        <v>64</v>
      </c>
      <c r="I1151" t="s">
        <v>65</v>
      </c>
      <c r="J1151" t="s">
        <v>57</v>
      </c>
      <c r="K1151">
        <v>1463.70545350712</v>
      </c>
      <c r="L1151">
        <v>125280.72869880281</v>
      </c>
    </row>
    <row r="1152" spans="1:12" hidden="1" x14ac:dyDescent="0.25">
      <c r="A1152">
        <v>33</v>
      </c>
      <c r="B1152" t="s">
        <v>152</v>
      </c>
      <c r="C1152" t="s">
        <v>149</v>
      </c>
      <c r="D1152">
        <v>0</v>
      </c>
      <c r="E1152" t="str">
        <f>_xlfn.XLOOKUP(F1152, Keys!B:B, Keys!A:A, "找不到")</f>
        <v>FA</v>
      </c>
      <c r="F1152" t="s">
        <v>63</v>
      </c>
      <c r="G1152">
        <v>13.99245213864652</v>
      </c>
      <c r="H1152" t="s">
        <v>64</v>
      </c>
      <c r="I1152" t="s">
        <v>65</v>
      </c>
      <c r="J1152" t="s">
        <v>57</v>
      </c>
      <c r="K1152">
        <v>961.90610594290331</v>
      </c>
      <c r="L1152">
        <v>56625.671304864998</v>
      </c>
    </row>
    <row r="1153" spans="1:12" hidden="1" x14ac:dyDescent="0.25">
      <c r="A1153">
        <v>34</v>
      </c>
      <c r="B1153" t="s">
        <v>152</v>
      </c>
      <c r="C1153" t="s">
        <v>149</v>
      </c>
      <c r="D1153">
        <v>0</v>
      </c>
      <c r="E1153" t="str">
        <f>_xlfn.XLOOKUP(F1153, Keys!B:B, Keys!A:A, "找不到")</f>
        <v>FA</v>
      </c>
      <c r="F1153" t="s">
        <v>63</v>
      </c>
      <c r="G1153">
        <v>9.9720880552151083</v>
      </c>
      <c r="H1153" t="s">
        <v>64</v>
      </c>
      <c r="I1153" t="s">
        <v>65</v>
      </c>
      <c r="J1153" t="s">
        <v>57</v>
      </c>
      <c r="K1153">
        <v>876.8967105880904</v>
      </c>
      <c r="L1153">
        <v>40355.770013904221</v>
      </c>
    </row>
    <row r="1154" spans="1:12" hidden="1" x14ac:dyDescent="0.25">
      <c r="A1154">
        <v>35</v>
      </c>
      <c r="B1154" t="s">
        <v>152</v>
      </c>
      <c r="C1154" t="s">
        <v>149</v>
      </c>
      <c r="D1154">
        <v>0</v>
      </c>
      <c r="E1154" t="str">
        <f>_xlfn.XLOOKUP(F1154, Keys!B:B, Keys!A:A, "找不到")</f>
        <v>FA</v>
      </c>
      <c r="F1154" t="s">
        <v>63</v>
      </c>
      <c r="G1154">
        <v>89.115456764151801</v>
      </c>
      <c r="H1154" t="s">
        <v>64</v>
      </c>
      <c r="I1154" t="s">
        <v>65</v>
      </c>
      <c r="J1154" t="s">
        <v>57</v>
      </c>
      <c r="K1154">
        <v>2667.3894167450512</v>
      </c>
      <c r="L1154">
        <v>360638.90109527903</v>
      </c>
    </row>
    <row r="1155" spans="1:12" hidden="1" x14ac:dyDescent="0.25">
      <c r="A1155">
        <v>36</v>
      </c>
      <c r="B1155" t="s">
        <v>152</v>
      </c>
      <c r="C1155" t="s">
        <v>149</v>
      </c>
      <c r="D1155">
        <v>0</v>
      </c>
      <c r="E1155" t="str">
        <f>_xlfn.XLOOKUP(F1155, Keys!B:B, Keys!A:A, "找不到")</f>
        <v>FA</v>
      </c>
      <c r="F1155" t="s">
        <v>63</v>
      </c>
      <c r="G1155">
        <v>20.732667445773409</v>
      </c>
      <c r="H1155" t="s">
        <v>64</v>
      </c>
      <c r="I1155" t="s">
        <v>65</v>
      </c>
      <c r="J1155" t="s">
        <v>57</v>
      </c>
      <c r="K1155">
        <v>1397.8363528496909</v>
      </c>
      <c r="L1155">
        <v>83902.464015931953</v>
      </c>
    </row>
    <row r="1156" spans="1:12" hidden="1" x14ac:dyDescent="0.25">
      <c r="A1156">
        <v>37</v>
      </c>
      <c r="B1156" t="s">
        <v>152</v>
      </c>
      <c r="C1156" t="s">
        <v>149</v>
      </c>
      <c r="D1156">
        <v>0</v>
      </c>
      <c r="E1156" t="str">
        <f>_xlfn.XLOOKUP(F1156, Keys!B:B, Keys!A:A, "找不到")</f>
        <v>FA</v>
      </c>
      <c r="F1156" t="s">
        <v>63</v>
      </c>
      <c r="G1156">
        <v>17.465261329572819</v>
      </c>
      <c r="H1156" t="s">
        <v>64</v>
      </c>
      <c r="I1156" t="s">
        <v>65</v>
      </c>
      <c r="J1156" t="s">
        <v>57</v>
      </c>
      <c r="K1156">
        <v>1384.0076190587961</v>
      </c>
      <c r="L1156">
        <v>70679.68769894421</v>
      </c>
    </row>
    <row r="1157" spans="1:12" hidden="1" x14ac:dyDescent="0.25">
      <c r="A1157">
        <v>38</v>
      </c>
      <c r="B1157" t="s">
        <v>152</v>
      </c>
      <c r="C1157" t="s">
        <v>149</v>
      </c>
      <c r="D1157">
        <v>0</v>
      </c>
      <c r="E1157" t="str">
        <f>_xlfn.XLOOKUP(F1157, Keys!B:B, Keys!A:A, "找不到")</f>
        <v>FA</v>
      </c>
      <c r="F1157" t="s">
        <v>63</v>
      </c>
      <c r="G1157">
        <v>7.8160873430610964</v>
      </c>
      <c r="H1157" t="s">
        <v>64</v>
      </c>
      <c r="I1157" t="s">
        <v>65</v>
      </c>
      <c r="J1157" t="s">
        <v>57</v>
      </c>
      <c r="K1157">
        <v>1187.186514051142</v>
      </c>
      <c r="L1157">
        <v>31630.709785018771</v>
      </c>
    </row>
    <row r="1158" spans="1:12" hidden="1" x14ac:dyDescent="0.25">
      <c r="A1158">
        <v>39</v>
      </c>
      <c r="B1158" t="s">
        <v>152</v>
      </c>
      <c r="C1158" t="s">
        <v>149</v>
      </c>
      <c r="D1158">
        <v>0</v>
      </c>
      <c r="E1158" t="str">
        <f>_xlfn.XLOOKUP(F1158, Keys!B:B, Keys!A:A, "找不到")</f>
        <v>FA</v>
      </c>
      <c r="F1158" t="s">
        <v>63</v>
      </c>
      <c r="G1158">
        <v>24.044314215993069</v>
      </c>
      <c r="H1158" t="s">
        <v>64</v>
      </c>
      <c r="I1158" t="s">
        <v>65</v>
      </c>
      <c r="J1158" t="s">
        <v>57</v>
      </c>
      <c r="K1158">
        <v>1487.5094451218681</v>
      </c>
      <c r="L1158">
        <v>97304.276623912461</v>
      </c>
    </row>
    <row r="1159" spans="1:12" hidden="1" x14ac:dyDescent="0.25">
      <c r="A1159">
        <v>40</v>
      </c>
      <c r="B1159" t="s">
        <v>152</v>
      </c>
      <c r="C1159" t="s">
        <v>149</v>
      </c>
      <c r="D1159">
        <v>0</v>
      </c>
      <c r="E1159" t="str">
        <f>_xlfn.XLOOKUP(F1159, Keys!B:B, Keys!A:A, "找不到")</f>
        <v>FA</v>
      </c>
      <c r="F1159" t="s">
        <v>63</v>
      </c>
      <c r="G1159">
        <v>0.20757823591550781</v>
      </c>
      <c r="H1159" t="s">
        <v>64</v>
      </c>
      <c r="I1159" t="s">
        <v>65</v>
      </c>
      <c r="J1159" t="s">
        <v>57</v>
      </c>
      <c r="K1159">
        <v>131.76866499520511</v>
      </c>
      <c r="L1159">
        <v>840.042677332484</v>
      </c>
    </row>
    <row r="1160" spans="1:12" hidden="1" x14ac:dyDescent="0.25">
      <c r="A1160">
        <v>41</v>
      </c>
      <c r="B1160" t="s">
        <v>152</v>
      </c>
      <c r="C1160" t="s">
        <v>149</v>
      </c>
      <c r="D1160">
        <v>0</v>
      </c>
      <c r="E1160" t="str">
        <f>_xlfn.XLOOKUP(F1160, Keys!B:B, Keys!A:A, "找不到")</f>
        <v>FA</v>
      </c>
      <c r="F1160" t="s">
        <v>63</v>
      </c>
      <c r="G1160">
        <v>1.79120208407229</v>
      </c>
      <c r="H1160" t="s">
        <v>64</v>
      </c>
      <c r="I1160" t="s">
        <v>65</v>
      </c>
      <c r="J1160" t="s">
        <v>57</v>
      </c>
      <c r="K1160">
        <v>374.43590166535262</v>
      </c>
      <c r="L1160">
        <v>7248.7666527818292</v>
      </c>
    </row>
    <row r="1161" spans="1:12" hidden="1" x14ac:dyDescent="0.25">
      <c r="A1161">
        <v>42</v>
      </c>
      <c r="B1161" t="s">
        <v>152</v>
      </c>
      <c r="C1161" t="s">
        <v>149</v>
      </c>
      <c r="D1161">
        <v>0</v>
      </c>
      <c r="E1161" t="str">
        <f>_xlfn.XLOOKUP(F1161, Keys!B:B, Keys!A:A, "找不到")</f>
        <v>FA</v>
      </c>
      <c r="F1161" t="s">
        <v>63</v>
      </c>
      <c r="G1161">
        <v>0.23997425538331249</v>
      </c>
      <c r="H1161" t="s">
        <v>64</v>
      </c>
      <c r="I1161" t="s">
        <v>65</v>
      </c>
      <c r="J1161" t="s">
        <v>57</v>
      </c>
      <c r="K1161">
        <v>119.5564736722793</v>
      </c>
      <c r="L1161">
        <v>971.14524118569614</v>
      </c>
    </row>
    <row r="1162" spans="1:12" hidden="1" x14ac:dyDescent="0.25">
      <c r="A1162">
        <v>43</v>
      </c>
      <c r="B1162" t="s">
        <v>152</v>
      </c>
      <c r="C1162" t="s">
        <v>149</v>
      </c>
      <c r="D1162">
        <v>0</v>
      </c>
      <c r="E1162" t="str">
        <f>_xlfn.XLOOKUP(F1162, Keys!B:B, Keys!A:A, "找不到")</f>
        <v>FA</v>
      </c>
      <c r="F1162" t="s">
        <v>63</v>
      </c>
      <c r="G1162">
        <v>0.44703654113662361</v>
      </c>
      <c r="H1162" t="s">
        <v>64</v>
      </c>
      <c r="I1162" t="s">
        <v>65</v>
      </c>
      <c r="J1162" t="s">
        <v>57</v>
      </c>
      <c r="K1162">
        <v>199.1513599478466</v>
      </c>
      <c r="L1162">
        <v>1809.0999339387261</v>
      </c>
    </row>
    <row r="1163" spans="1:12" hidden="1" x14ac:dyDescent="0.25">
      <c r="A1163">
        <v>44</v>
      </c>
      <c r="B1163" t="s">
        <v>152</v>
      </c>
      <c r="C1163" t="s">
        <v>149</v>
      </c>
      <c r="D1163">
        <v>0</v>
      </c>
      <c r="E1163" t="str">
        <f>_xlfn.XLOOKUP(F1163, Keys!B:B, Keys!A:A, "找不到")</f>
        <v>FA</v>
      </c>
      <c r="F1163" t="s">
        <v>63</v>
      </c>
      <c r="G1163">
        <v>18.488831365544659</v>
      </c>
      <c r="H1163" t="s">
        <v>64</v>
      </c>
      <c r="I1163" t="s">
        <v>65</v>
      </c>
      <c r="J1163" t="s">
        <v>57</v>
      </c>
      <c r="K1163">
        <v>1106.670783403451</v>
      </c>
      <c r="L1163">
        <v>74821.94524180665</v>
      </c>
    </row>
    <row r="1164" spans="1:12" hidden="1" x14ac:dyDescent="0.25">
      <c r="A1164">
        <v>45</v>
      </c>
      <c r="B1164" t="s">
        <v>152</v>
      </c>
      <c r="C1164" t="s">
        <v>149</v>
      </c>
      <c r="D1164">
        <v>0</v>
      </c>
      <c r="E1164" t="str">
        <f>_xlfn.XLOOKUP(F1164, Keys!B:B, Keys!A:A, "找不到")</f>
        <v>FA</v>
      </c>
      <c r="F1164" t="s">
        <v>63</v>
      </c>
      <c r="G1164">
        <v>2.8399447059487368</v>
      </c>
      <c r="H1164" t="s">
        <v>64</v>
      </c>
      <c r="I1164" t="s">
        <v>65</v>
      </c>
      <c r="J1164" t="s">
        <v>57</v>
      </c>
      <c r="K1164">
        <v>519.13381968486556</v>
      </c>
      <c r="L1164">
        <v>11492.89444406133</v>
      </c>
    </row>
    <row r="1165" spans="1:12" hidden="1" x14ac:dyDescent="0.25">
      <c r="A1165">
        <v>46</v>
      </c>
      <c r="B1165" t="s">
        <v>152</v>
      </c>
      <c r="C1165" t="s">
        <v>149</v>
      </c>
      <c r="D1165">
        <v>0</v>
      </c>
      <c r="E1165" t="str">
        <f>_xlfn.XLOOKUP(F1165, Keys!B:B, Keys!A:A, "找不到")</f>
        <v>FA</v>
      </c>
      <c r="F1165" t="s">
        <v>63</v>
      </c>
      <c r="G1165">
        <v>8.3129344415492756</v>
      </c>
      <c r="H1165" t="s">
        <v>64</v>
      </c>
      <c r="I1165" t="s">
        <v>65</v>
      </c>
      <c r="J1165" t="s">
        <v>57</v>
      </c>
      <c r="K1165">
        <v>797.15374812544803</v>
      </c>
      <c r="L1165">
        <v>33641.38669918607</v>
      </c>
    </row>
    <row r="1166" spans="1:12" hidden="1" x14ac:dyDescent="0.25">
      <c r="A1166">
        <v>47</v>
      </c>
      <c r="B1166" t="s">
        <v>152</v>
      </c>
      <c r="C1166" t="s">
        <v>149</v>
      </c>
      <c r="D1166">
        <v>0</v>
      </c>
      <c r="E1166" t="str">
        <f>_xlfn.XLOOKUP(F1166, Keys!B:B, Keys!A:A, "找不到")</f>
        <v>FA</v>
      </c>
      <c r="F1166" t="s">
        <v>63</v>
      </c>
      <c r="G1166">
        <v>0.79433023331515884</v>
      </c>
      <c r="H1166" t="s">
        <v>64</v>
      </c>
      <c r="I1166" t="s">
        <v>65</v>
      </c>
      <c r="J1166">
        <v>0</v>
      </c>
      <c r="K1166">
        <v>227.3840403265732</v>
      </c>
      <c r="L1166">
        <v>3214.5532643981401</v>
      </c>
    </row>
    <row r="1167" spans="1:12" hidden="1" x14ac:dyDescent="0.25">
      <c r="A1167">
        <v>48</v>
      </c>
      <c r="B1167" t="s">
        <v>152</v>
      </c>
      <c r="C1167" t="s">
        <v>149</v>
      </c>
      <c r="D1167">
        <v>0</v>
      </c>
      <c r="E1167" t="str">
        <f>_xlfn.XLOOKUP(F1167, Keys!B:B, Keys!A:A, "找不到")</f>
        <v>FA</v>
      </c>
      <c r="F1167" t="s">
        <v>63</v>
      </c>
      <c r="G1167">
        <v>9.4869422163348371</v>
      </c>
      <c r="H1167" t="s">
        <v>64</v>
      </c>
      <c r="I1167" t="s">
        <v>65</v>
      </c>
      <c r="J1167">
        <v>0</v>
      </c>
      <c r="K1167">
        <v>915.71359175068096</v>
      </c>
      <c r="L1167">
        <v>38392.446606745179</v>
      </c>
    </row>
    <row r="1168" spans="1:12" hidden="1" x14ac:dyDescent="0.25">
      <c r="A1168">
        <v>49</v>
      </c>
      <c r="B1168" t="s">
        <v>152</v>
      </c>
      <c r="C1168" t="s">
        <v>149</v>
      </c>
      <c r="D1168">
        <v>0</v>
      </c>
      <c r="E1168" t="str">
        <f>_xlfn.XLOOKUP(F1168, Keys!B:B, Keys!A:A, "找不到")</f>
        <v>FA</v>
      </c>
      <c r="F1168" t="s">
        <v>63</v>
      </c>
      <c r="G1168">
        <v>36.223893416117448</v>
      </c>
      <c r="H1168" t="s">
        <v>64</v>
      </c>
      <c r="I1168" t="s">
        <v>65</v>
      </c>
      <c r="J1168">
        <v>0</v>
      </c>
      <c r="K1168">
        <v>1908.285679544246</v>
      </c>
      <c r="L1168">
        <v>146593.48208869001</v>
      </c>
    </row>
    <row r="1169" spans="1:12" hidden="1" x14ac:dyDescent="0.25">
      <c r="A1169">
        <v>50</v>
      </c>
      <c r="B1169" t="s">
        <v>152</v>
      </c>
      <c r="C1169" t="s">
        <v>149</v>
      </c>
      <c r="D1169">
        <v>0</v>
      </c>
      <c r="E1169" t="str">
        <f>_xlfn.XLOOKUP(F1169, Keys!B:B, Keys!A:A, "找不到")</f>
        <v>FA</v>
      </c>
      <c r="F1169" t="s">
        <v>63</v>
      </c>
      <c r="G1169">
        <v>0.29974335936414948</v>
      </c>
      <c r="H1169" t="s">
        <v>64</v>
      </c>
      <c r="I1169" t="s">
        <v>65</v>
      </c>
      <c r="J1169">
        <v>0</v>
      </c>
      <c r="K1169">
        <v>152.7779796596044</v>
      </c>
      <c r="L1169">
        <v>1213.023191002472</v>
      </c>
    </row>
    <row r="1170" spans="1:12" hidden="1" x14ac:dyDescent="0.25">
      <c r="A1170">
        <v>51</v>
      </c>
      <c r="B1170" t="s">
        <v>152</v>
      </c>
      <c r="C1170" t="s">
        <v>149</v>
      </c>
      <c r="D1170">
        <v>0</v>
      </c>
      <c r="E1170" t="str">
        <f>_xlfn.XLOOKUP(F1170, Keys!B:B, Keys!A:A, "找不到")</f>
        <v>FA</v>
      </c>
      <c r="F1170" t="s">
        <v>63</v>
      </c>
      <c r="G1170">
        <v>2.8513802603388911</v>
      </c>
      <c r="H1170" t="s">
        <v>64</v>
      </c>
      <c r="I1170" t="s">
        <v>65</v>
      </c>
      <c r="J1170">
        <v>0</v>
      </c>
      <c r="K1170">
        <v>807.05599188604572</v>
      </c>
      <c r="L1170">
        <v>11539.172675901569</v>
      </c>
    </row>
    <row r="1171" spans="1:12" hidden="1" x14ac:dyDescent="0.25">
      <c r="A1171">
        <v>52</v>
      </c>
      <c r="B1171" t="s">
        <v>152</v>
      </c>
      <c r="C1171" t="s">
        <v>149</v>
      </c>
      <c r="D1171">
        <v>0</v>
      </c>
      <c r="E1171" t="str">
        <f>_xlfn.XLOOKUP(F1171, Keys!B:B, Keys!A:A, "找不到")</f>
        <v>FA</v>
      </c>
      <c r="F1171" t="s">
        <v>63</v>
      </c>
      <c r="G1171">
        <v>2.0127077102153672</v>
      </c>
      <c r="H1171" t="s">
        <v>64</v>
      </c>
      <c r="I1171" t="s">
        <v>65</v>
      </c>
      <c r="J1171" t="s">
        <v>57</v>
      </c>
      <c r="K1171">
        <v>527.64281493660201</v>
      </c>
      <c r="L1171">
        <v>8145.1717041532929</v>
      </c>
    </row>
    <row r="1172" spans="1:12" hidden="1" x14ac:dyDescent="0.25">
      <c r="A1172">
        <v>53</v>
      </c>
      <c r="B1172" t="s">
        <v>152</v>
      </c>
      <c r="C1172" t="s">
        <v>149</v>
      </c>
      <c r="D1172">
        <v>0</v>
      </c>
      <c r="E1172" t="str">
        <f>_xlfn.XLOOKUP(F1172, Keys!B:B, Keys!A:A, "找不到")</f>
        <v>FA</v>
      </c>
      <c r="F1172" t="s">
        <v>63</v>
      </c>
      <c r="G1172">
        <v>17.654752755920789</v>
      </c>
      <c r="H1172" t="s">
        <v>64</v>
      </c>
      <c r="I1172" t="s">
        <v>65</v>
      </c>
      <c r="J1172" t="s">
        <v>57</v>
      </c>
      <c r="K1172">
        <v>1151.686452081686</v>
      </c>
      <c r="L1172">
        <v>71446.535362037816</v>
      </c>
    </row>
    <row r="1173" spans="1:12" hidden="1" x14ac:dyDescent="0.25">
      <c r="A1173">
        <v>54</v>
      </c>
      <c r="B1173" t="s">
        <v>152</v>
      </c>
      <c r="C1173" t="s">
        <v>149</v>
      </c>
      <c r="D1173">
        <v>0</v>
      </c>
      <c r="E1173" t="str">
        <f>_xlfn.XLOOKUP(F1173, Keys!B:B, Keys!A:A, "找不到")</f>
        <v>FA</v>
      </c>
      <c r="F1173" t="s">
        <v>63</v>
      </c>
      <c r="G1173">
        <v>0.38943096009740041</v>
      </c>
      <c r="H1173" t="s">
        <v>64</v>
      </c>
      <c r="I1173" t="s">
        <v>65</v>
      </c>
      <c r="J1173" t="s">
        <v>57</v>
      </c>
      <c r="K1173">
        <v>161.39995258315361</v>
      </c>
      <c r="L1173">
        <v>1575.9774858552021</v>
      </c>
    </row>
    <row r="1174" spans="1:12" hidden="1" x14ac:dyDescent="0.25">
      <c r="A1174">
        <v>55</v>
      </c>
      <c r="B1174" t="s">
        <v>152</v>
      </c>
      <c r="C1174" t="s">
        <v>149</v>
      </c>
      <c r="D1174">
        <v>0</v>
      </c>
      <c r="E1174" t="str">
        <f>_xlfn.XLOOKUP(F1174, Keys!B:B, Keys!A:A, "找不到")</f>
        <v>FA</v>
      </c>
      <c r="F1174" t="s">
        <v>63</v>
      </c>
      <c r="G1174">
        <v>16.745444257062751</v>
      </c>
      <c r="H1174" t="s">
        <v>64</v>
      </c>
      <c r="I1174" t="s">
        <v>65</v>
      </c>
      <c r="J1174" t="s">
        <v>57</v>
      </c>
      <c r="K1174">
        <v>1130.4740279121829</v>
      </c>
      <c r="L1174">
        <v>67766.679704083333</v>
      </c>
    </row>
    <row r="1175" spans="1:12" hidden="1" x14ac:dyDescent="0.25">
      <c r="A1175">
        <v>56</v>
      </c>
      <c r="B1175" t="s">
        <v>152</v>
      </c>
      <c r="C1175" t="s">
        <v>149</v>
      </c>
      <c r="D1175">
        <v>0</v>
      </c>
      <c r="E1175" t="str">
        <f>_xlfn.XLOOKUP(F1175, Keys!B:B, Keys!A:A, "找不到")</f>
        <v>FA</v>
      </c>
      <c r="F1175" t="s">
        <v>63</v>
      </c>
      <c r="G1175">
        <v>2.592855638510335</v>
      </c>
      <c r="H1175" t="s">
        <v>64</v>
      </c>
      <c r="I1175" t="s">
        <v>65</v>
      </c>
      <c r="J1175" t="s">
        <v>57</v>
      </c>
      <c r="K1175">
        <v>868.20328576148381</v>
      </c>
      <c r="L1175">
        <v>10492.956464845491</v>
      </c>
    </row>
    <row r="1176" spans="1:12" hidden="1" x14ac:dyDescent="0.25">
      <c r="A1176">
        <v>57</v>
      </c>
      <c r="B1176" t="s">
        <v>152</v>
      </c>
      <c r="C1176" t="s">
        <v>149</v>
      </c>
      <c r="D1176">
        <v>0</v>
      </c>
      <c r="E1176" t="str">
        <f>_xlfn.XLOOKUP(F1176, Keys!B:B, Keys!A:A, "找不到")</f>
        <v>FA</v>
      </c>
      <c r="F1176" t="s">
        <v>63</v>
      </c>
      <c r="G1176">
        <v>51.953226136370191</v>
      </c>
      <c r="H1176" t="s">
        <v>64</v>
      </c>
      <c r="I1176" t="s">
        <v>65</v>
      </c>
      <c r="J1176" t="s">
        <v>57</v>
      </c>
      <c r="K1176">
        <v>2103.88299655234</v>
      </c>
      <c r="L1176">
        <v>210248.08784587961</v>
      </c>
    </row>
    <row r="1177" spans="1:12" hidden="1" x14ac:dyDescent="0.25">
      <c r="A1177">
        <v>58</v>
      </c>
      <c r="B1177" t="s">
        <v>152</v>
      </c>
      <c r="C1177" t="s">
        <v>149</v>
      </c>
      <c r="D1177">
        <v>0</v>
      </c>
      <c r="E1177" t="str">
        <f>_xlfn.XLOOKUP(F1177, Keys!B:B, Keys!A:A, "找不到")</f>
        <v>FA</v>
      </c>
      <c r="F1177" t="s">
        <v>63</v>
      </c>
      <c r="G1177">
        <v>7.3579957458113414</v>
      </c>
      <c r="H1177" t="s">
        <v>64</v>
      </c>
      <c r="I1177" t="s">
        <v>65</v>
      </c>
      <c r="J1177" t="s">
        <v>57</v>
      </c>
      <c r="K1177">
        <v>776.31517786460176</v>
      </c>
      <c r="L1177">
        <v>29776.87144729518</v>
      </c>
    </row>
    <row r="1178" spans="1:12" hidden="1" x14ac:dyDescent="0.25">
      <c r="A1178">
        <v>59</v>
      </c>
      <c r="B1178" t="s">
        <v>152</v>
      </c>
      <c r="C1178" t="s">
        <v>149</v>
      </c>
      <c r="D1178">
        <v>0</v>
      </c>
      <c r="E1178" t="str">
        <f>_xlfn.XLOOKUP(F1178, Keys!B:B, Keys!A:A, "找不到")</f>
        <v>FA</v>
      </c>
      <c r="F1178" t="s">
        <v>63</v>
      </c>
      <c r="G1178">
        <v>34.838202061212421</v>
      </c>
      <c r="H1178" t="s">
        <v>64</v>
      </c>
      <c r="I1178" t="s">
        <v>65</v>
      </c>
      <c r="J1178" t="s">
        <v>57</v>
      </c>
      <c r="K1178">
        <v>1616.261066617531</v>
      </c>
      <c r="L1178">
        <v>140985.76569878531</v>
      </c>
    </row>
    <row r="1179" spans="1:12" hidden="1" x14ac:dyDescent="0.25">
      <c r="A1179">
        <v>61</v>
      </c>
      <c r="B1179" t="s">
        <v>152</v>
      </c>
      <c r="C1179" t="s">
        <v>149</v>
      </c>
      <c r="D1179">
        <v>0</v>
      </c>
      <c r="E1179" t="str">
        <f>_xlfn.XLOOKUP(F1179, Keys!B:B, Keys!A:A, "找不到")</f>
        <v>FA</v>
      </c>
      <c r="F1179" t="s">
        <v>63</v>
      </c>
      <c r="G1179">
        <v>3.7486625414208099</v>
      </c>
      <c r="H1179" t="s">
        <v>64</v>
      </c>
      <c r="I1179" t="s">
        <v>65</v>
      </c>
      <c r="J1179">
        <v>0</v>
      </c>
      <c r="K1179">
        <v>691.42243530597932</v>
      </c>
      <c r="L1179">
        <v>15170.35976253748</v>
      </c>
    </row>
    <row r="1180" spans="1:12" hidden="1" x14ac:dyDescent="0.25">
      <c r="A1180">
        <v>62</v>
      </c>
      <c r="B1180" t="s">
        <v>152</v>
      </c>
      <c r="C1180" t="s">
        <v>149</v>
      </c>
      <c r="D1180">
        <v>0</v>
      </c>
      <c r="E1180" t="str">
        <f>_xlfn.XLOOKUP(F1180, Keys!B:B, Keys!A:A, "找不到")</f>
        <v>FA</v>
      </c>
      <c r="F1180" t="s">
        <v>63</v>
      </c>
      <c r="G1180">
        <v>0.8431049963930205</v>
      </c>
      <c r="H1180" t="s">
        <v>64</v>
      </c>
      <c r="I1180" t="s">
        <v>65</v>
      </c>
      <c r="J1180" t="s">
        <v>57</v>
      </c>
      <c r="K1180">
        <v>284.49804068334799</v>
      </c>
      <c r="L1180">
        <v>3411.9385171510439</v>
      </c>
    </row>
    <row r="1181" spans="1:12" hidden="1" x14ac:dyDescent="0.25">
      <c r="A1181">
        <v>63</v>
      </c>
      <c r="B1181" t="s">
        <v>152</v>
      </c>
      <c r="C1181" t="s">
        <v>149</v>
      </c>
      <c r="D1181">
        <v>0</v>
      </c>
      <c r="E1181" t="str">
        <f>_xlfn.XLOOKUP(F1181, Keys!B:B, Keys!A:A, "找不到")</f>
        <v>FA</v>
      </c>
      <c r="F1181" t="s">
        <v>63</v>
      </c>
      <c r="G1181">
        <v>2.4921016856585592</v>
      </c>
      <c r="H1181" t="s">
        <v>64</v>
      </c>
      <c r="I1181" t="s">
        <v>65</v>
      </c>
      <c r="J1181" t="s">
        <v>57</v>
      </c>
      <c r="K1181">
        <v>494.78049103459642</v>
      </c>
      <c r="L1181">
        <v>10085.218052713069</v>
      </c>
    </row>
    <row r="1182" spans="1:12" hidden="1" x14ac:dyDescent="0.25">
      <c r="A1182">
        <v>64</v>
      </c>
      <c r="B1182" t="s">
        <v>152</v>
      </c>
      <c r="C1182" t="s">
        <v>149</v>
      </c>
      <c r="D1182">
        <v>0</v>
      </c>
      <c r="E1182" t="str">
        <f>_xlfn.XLOOKUP(F1182, Keys!B:B, Keys!A:A, "找不到")</f>
        <v>FA</v>
      </c>
      <c r="F1182" t="s">
        <v>63</v>
      </c>
      <c r="G1182">
        <v>1.2841178652883121</v>
      </c>
      <c r="H1182" t="s">
        <v>64</v>
      </c>
      <c r="I1182" t="s">
        <v>65</v>
      </c>
      <c r="J1182">
        <v>0</v>
      </c>
      <c r="K1182">
        <v>386.71441385988612</v>
      </c>
      <c r="L1182">
        <v>5196.6614168854649</v>
      </c>
    </row>
    <row r="1183" spans="1:12" hidden="1" x14ac:dyDescent="0.25">
      <c r="A1183">
        <v>65</v>
      </c>
      <c r="B1183" t="s">
        <v>152</v>
      </c>
      <c r="C1183" t="s">
        <v>149</v>
      </c>
      <c r="D1183">
        <v>0</v>
      </c>
      <c r="E1183" t="str">
        <f>_xlfn.XLOOKUP(F1183, Keys!B:B, Keys!A:A, "找不到")</f>
        <v>FA</v>
      </c>
      <c r="F1183" t="s">
        <v>63</v>
      </c>
      <c r="G1183">
        <v>0.40315196443129869</v>
      </c>
      <c r="H1183" t="s">
        <v>64</v>
      </c>
      <c r="I1183" t="s">
        <v>65</v>
      </c>
      <c r="J1183" t="s">
        <v>57</v>
      </c>
      <c r="K1183">
        <v>246.5225948704973</v>
      </c>
      <c r="L1183">
        <v>1631.504642474021</v>
      </c>
    </row>
    <row r="1184" spans="1:12" hidden="1" x14ac:dyDescent="0.25">
      <c r="A1184">
        <v>66</v>
      </c>
      <c r="B1184" t="s">
        <v>152</v>
      </c>
      <c r="C1184" t="s">
        <v>149</v>
      </c>
      <c r="D1184">
        <v>0</v>
      </c>
      <c r="E1184" t="str">
        <f>_xlfn.XLOOKUP(F1184, Keys!B:B, Keys!A:A, "找不到")</f>
        <v>FA</v>
      </c>
      <c r="F1184" t="s">
        <v>63</v>
      </c>
      <c r="G1184">
        <v>0.58560351657925691</v>
      </c>
      <c r="H1184" t="s">
        <v>64</v>
      </c>
      <c r="I1184" t="s">
        <v>65</v>
      </c>
      <c r="J1184" t="s">
        <v>57</v>
      </c>
      <c r="K1184">
        <v>192.38362850136079</v>
      </c>
      <c r="L1184">
        <v>2369.8628314906368</v>
      </c>
    </row>
    <row r="1185" spans="1:12" hidden="1" x14ac:dyDescent="0.25">
      <c r="A1185">
        <v>67</v>
      </c>
      <c r="B1185" t="s">
        <v>152</v>
      </c>
      <c r="C1185" t="s">
        <v>149</v>
      </c>
      <c r="D1185">
        <v>0</v>
      </c>
      <c r="E1185" t="str">
        <f>_xlfn.XLOOKUP(F1185, Keys!B:B, Keys!A:A, "找不到")</f>
        <v>FA</v>
      </c>
      <c r="F1185" t="s">
        <v>63</v>
      </c>
      <c r="G1185">
        <v>1.541014229383453</v>
      </c>
      <c r="H1185" t="s">
        <v>64</v>
      </c>
      <c r="I1185" t="s">
        <v>65</v>
      </c>
      <c r="J1185">
        <v>0</v>
      </c>
      <c r="K1185">
        <v>500.95660218804318</v>
      </c>
      <c r="L1185">
        <v>6236.2882763183716</v>
      </c>
    </row>
    <row r="1186" spans="1:12" hidden="1" x14ac:dyDescent="0.25">
      <c r="A1186">
        <v>68</v>
      </c>
      <c r="B1186" t="s">
        <v>152</v>
      </c>
      <c r="C1186" t="s">
        <v>149</v>
      </c>
      <c r="D1186">
        <v>0</v>
      </c>
      <c r="E1186" t="str">
        <f>_xlfn.XLOOKUP(F1186, Keys!B:B, Keys!A:A, "找不到")</f>
        <v>FA</v>
      </c>
      <c r="F1186" t="s">
        <v>63</v>
      </c>
      <c r="G1186">
        <v>40.069454371443783</v>
      </c>
      <c r="H1186" t="s">
        <v>64</v>
      </c>
      <c r="I1186" t="s">
        <v>65</v>
      </c>
      <c r="J1186" t="s">
        <v>57</v>
      </c>
      <c r="K1186">
        <v>1609.305337317428</v>
      </c>
      <c r="L1186">
        <v>162155.97738840189</v>
      </c>
    </row>
    <row r="1187" spans="1:12" hidden="1" x14ac:dyDescent="0.25">
      <c r="A1187">
        <v>69</v>
      </c>
      <c r="B1187" t="s">
        <v>152</v>
      </c>
      <c r="C1187" t="s">
        <v>149</v>
      </c>
      <c r="D1187">
        <v>0</v>
      </c>
      <c r="E1187" t="str">
        <f>_xlfn.XLOOKUP(F1187, Keys!B:B, Keys!A:A, "找不到")</f>
        <v>FA</v>
      </c>
      <c r="F1187" t="s">
        <v>63</v>
      </c>
      <c r="G1187">
        <v>0.23377010758270281</v>
      </c>
      <c r="H1187" t="s">
        <v>64</v>
      </c>
      <c r="I1187" t="s">
        <v>65</v>
      </c>
      <c r="J1187" t="s">
        <v>57</v>
      </c>
      <c r="K1187">
        <v>144.80381418146911</v>
      </c>
      <c r="L1187">
        <v>946.03784538379705</v>
      </c>
    </row>
    <row r="1188" spans="1:12" hidden="1" x14ac:dyDescent="0.25">
      <c r="A1188">
        <v>70</v>
      </c>
      <c r="B1188" t="s">
        <v>152</v>
      </c>
      <c r="C1188" t="s">
        <v>149</v>
      </c>
      <c r="D1188">
        <v>0</v>
      </c>
      <c r="E1188" t="str">
        <f>_xlfn.XLOOKUP(F1188, Keys!B:B, Keys!A:A, "找不到")</f>
        <v>FA</v>
      </c>
      <c r="F1188" t="s">
        <v>63</v>
      </c>
      <c r="G1188">
        <v>10.763121435770589</v>
      </c>
      <c r="H1188" t="s">
        <v>64</v>
      </c>
      <c r="I1188" t="s">
        <v>65</v>
      </c>
      <c r="J1188" t="s">
        <v>57</v>
      </c>
      <c r="K1188">
        <v>989.43179034775494</v>
      </c>
      <c r="L1188">
        <v>43556.981335170443</v>
      </c>
    </row>
    <row r="1189" spans="1:12" hidden="1" x14ac:dyDescent="0.25">
      <c r="A1189">
        <v>71</v>
      </c>
      <c r="B1189" t="s">
        <v>152</v>
      </c>
      <c r="C1189" t="s">
        <v>149</v>
      </c>
      <c r="D1189">
        <v>0</v>
      </c>
      <c r="E1189" t="str">
        <f>_xlfn.XLOOKUP(F1189, Keys!B:B, Keys!A:A, "找不到")</f>
        <v>FA</v>
      </c>
      <c r="F1189" t="s">
        <v>63</v>
      </c>
      <c r="G1189">
        <v>50.482145990957861</v>
      </c>
      <c r="H1189" t="s">
        <v>64</v>
      </c>
      <c r="I1189" t="s">
        <v>65</v>
      </c>
      <c r="J1189" t="s">
        <v>57</v>
      </c>
      <c r="K1189">
        <v>2193.7795888708079</v>
      </c>
      <c r="L1189">
        <v>204294.81389848061</v>
      </c>
    </row>
    <row r="1190" spans="1:12" hidden="1" x14ac:dyDescent="0.25">
      <c r="A1190">
        <v>72</v>
      </c>
      <c r="B1190" t="s">
        <v>152</v>
      </c>
      <c r="C1190" t="s">
        <v>149</v>
      </c>
      <c r="D1190">
        <v>0</v>
      </c>
      <c r="E1190" t="str">
        <f>_xlfn.XLOOKUP(F1190, Keys!B:B, Keys!A:A, "找不到")</f>
        <v>FA</v>
      </c>
      <c r="F1190" t="s">
        <v>63</v>
      </c>
      <c r="G1190">
        <v>11.41423733301048</v>
      </c>
      <c r="H1190" t="s">
        <v>64</v>
      </c>
      <c r="I1190" t="s">
        <v>65</v>
      </c>
      <c r="J1190" t="s">
        <v>57</v>
      </c>
      <c r="K1190">
        <v>1029.132002225994</v>
      </c>
      <c r="L1190">
        <v>46191.964425564249</v>
      </c>
    </row>
    <row r="1191" spans="1:12" hidden="1" x14ac:dyDescent="0.25">
      <c r="A1191">
        <v>73</v>
      </c>
      <c r="B1191" t="s">
        <v>152</v>
      </c>
      <c r="C1191" t="s">
        <v>149</v>
      </c>
      <c r="D1191">
        <v>0</v>
      </c>
      <c r="E1191" t="str">
        <f>_xlfn.XLOOKUP(F1191, Keys!B:B, Keys!A:A, "找不到")</f>
        <v>FA</v>
      </c>
      <c r="F1191" t="s">
        <v>63</v>
      </c>
      <c r="G1191">
        <v>36.842220132651477</v>
      </c>
      <c r="H1191" t="s">
        <v>64</v>
      </c>
      <c r="I1191" t="s">
        <v>65</v>
      </c>
      <c r="J1191" t="s">
        <v>57</v>
      </c>
      <c r="K1191">
        <v>2092.603547666788</v>
      </c>
      <c r="L1191">
        <v>149095.77154178501</v>
      </c>
    </row>
    <row r="1192" spans="1:12" hidden="1" x14ac:dyDescent="0.25">
      <c r="A1192">
        <v>74</v>
      </c>
      <c r="B1192" t="s">
        <v>152</v>
      </c>
      <c r="C1192" t="s">
        <v>149</v>
      </c>
      <c r="D1192">
        <v>0</v>
      </c>
      <c r="E1192" t="str">
        <f>_xlfn.XLOOKUP(F1192, Keys!B:B, Keys!A:A, "找不到")</f>
        <v>FA</v>
      </c>
      <c r="F1192" t="s">
        <v>63</v>
      </c>
      <c r="G1192">
        <v>33.406532545492347</v>
      </c>
      <c r="H1192" t="s">
        <v>64</v>
      </c>
      <c r="I1192" t="s">
        <v>65</v>
      </c>
      <c r="J1192" t="s">
        <v>57</v>
      </c>
      <c r="K1192">
        <v>1939.35063399248</v>
      </c>
      <c r="L1192">
        <v>135191.98154922569</v>
      </c>
    </row>
    <row r="1193" spans="1:12" hidden="1" x14ac:dyDescent="0.25">
      <c r="A1193">
        <v>75</v>
      </c>
      <c r="B1193" t="s">
        <v>152</v>
      </c>
      <c r="C1193" t="s">
        <v>149</v>
      </c>
      <c r="D1193">
        <v>0</v>
      </c>
      <c r="E1193" t="str">
        <f>_xlfn.XLOOKUP(F1193, Keys!B:B, Keys!A:A, "找不到")</f>
        <v>FA</v>
      </c>
      <c r="F1193" t="s">
        <v>63</v>
      </c>
      <c r="G1193">
        <v>4.2772343447122809</v>
      </c>
      <c r="H1193" t="s">
        <v>64</v>
      </c>
      <c r="I1193" t="s">
        <v>65</v>
      </c>
      <c r="J1193" t="s">
        <v>57</v>
      </c>
      <c r="K1193">
        <v>545.8555428894224</v>
      </c>
      <c r="L1193">
        <v>17309.422515629569</v>
      </c>
    </row>
    <row r="1194" spans="1:12" hidden="1" x14ac:dyDescent="0.25">
      <c r="A1194">
        <v>76</v>
      </c>
      <c r="B1194" t="s">
        <v>152</v>
      </c>
      <c r="C1194" t="s">
        <v>149</v>
      </c>
      <c r="D1194">
        <v>0</v>
      </c>
      <c r="E1194" t="str">
        <f>_xlfn.XLOOKUP(F1194, Keys!B:B, Keys!A:A, "找不到")</f>
        <v>FA</v>
      </c>
      <c r="F1194" t="s">
        <v>63</v>
      </c>
      <c r="G1194">
        <v>5.7443554924971716</v>
      </c>
      <c r="H1194" t="s">
        <v>64</v>
      </c>
      <c r="I1194" t="s">
        <v>65</v>
      </c>
      <c r="J1194" t="s">
        <v>57</v>
      </c>
      <c r="K1194">
        <v>768.31099626331104</v>
      </c>
      <c r="L1194">
        <v>23246.67490396752</v>
      </c>
    </row>
    <row r="1195" spans="1:12" hidden="1" x14ac:dyDescent="0.25">
      <c r="A1195">
        <v>77</v>
      </c>
      <c r="B1195" t="s">
        <v>152</v>
      </c>
      <c r="C1195" t="s">
        <v>149</v>
      </c>
      <c r="D1195">
        <v>0</v>
      </c>
      <c r="E1195" t="str">
        <f>_xlfn.XLOOKUP(F1195, Keys!B:B, Keys!A:A, "找不到")</f>
        <v>FA</v>
      </c>
      <c r="F1195" t="s">
        <v>63</v>
      </c>
      <c r="G1195">
        <v>41.257745365921018</v>
      </c>
      <c r="H1195" t="s">
        <v>64</v>
      </c>
      <c r="I1195" t="s">
        <v>65</v>
      </c>
      <c r="J1195" t="s">
        <v>57</v>
      </c>
      <c r="K1195">
        <v>1765.0977807783579</v>
      </c>
      <c r="L1195">
        <v>166964.8396665121</v>
      </c>
    </row>
    <row r="1196" spans="1:12" hidden="1" x14ac:dyDescent="0.25">
      <c r="A1196">
        <v>78</v>
      </c>
      <c r="B1196" t="s">
        <v>152</v>
      </c>
      <c r="C1196" t="s">
        <v>149</v>
      </c>
      <c r="D1196">
        <v>0</v>
      </c>
      <c r="E1196" t="str">
        <f>_xlfn.XLOOKUP(F1196, Keys!B:B, Keys!A:A, "找不到")</f>
        <v>FA</v>
      </c>
      <c r="F1196" t="s">
        <v>63</v>
      </c>
      <c r="G1196">
        <v>9.9955854395242696</v>
      </c>
      <c r="H1196" t="s">
        <v>64</v>
      </c>
      <c r="I1196" t="s">
        <v>65</v>
      </c>
      <c r="J1196" t="s">
        <v>57</v>
      </c>
      <c r="K1196">
        <v>1129.1151703636949</v>
      </c>
      <c r="L1196">
        <v>40450.860934868651</v>
      </c>
    </row>
    <row r="1197" spans="1:12" hidden="1" x14ac:dyDescent="0.25">
      <c r="A1197">
        <v>79</v>
      </c>
      <c r="B1197" t="s">
        <v>152</v>
      </c>
      <c r="C1197" t="s">
        <v>149</v>
      </c>
      <c r="D1197">
        <v>0</v>
      </c>
      <c r="E1197" t="str">
        <f>_xlfn.XLOOKUP(F1197, Keys!B:B, Keys!A:A, "找不到")</f>
        <v>FA</v>
      </c>
      <c r="F1197" t="s">
        <v>63</v>
      </c>
      <c r="G1197">
        <v>4.7663960445369176</v>
      </c>
      <c r="H1197" t="s">
        <v>64</v>
      </c>
      <c r="I1197" t="s">
        <v>65</v>
      </c>
      <c r="J1197" t="s">
        <v>57</v>
      </c>
      <c r="K1197">
        <v>582.52042009882155</v>
      </c>
      <c r="L1197">
        <v>19288.997600449431</v>
      </c>
    </row>
    <row r="1198" spans="1:12" hidden="1" x14ac:dyDescent="0.25">
      <c r="A1198">
        <v>80</v>
      </c>
      <c r="B1198" t="s">
        <v>152</v>
      </c>
      <c r="C1198" t="s">
        <v>149</v>
      </c>
      <c r="D1198">
        <v>0</v>
      </c>
      <c r="E1198" t="str">
        <f>_xlfn.XLOOKUP(F1198, Keys!B:B, Keys!A:A, "找不到")</f>
        <v>FA</v>
      </c>
      <c r="F1198" t="s">
        <v>63</v>
      </c>
      <c r="G1198">
        <v>6.5134696378214647</v>
      </c>
      <c r="H1198" t="s">
        <v>64</v>
      </c>
      <c r="I1198" t="s">
        <v>65</v>
      </c>
      <c r="J1198" t="s">
        <v>57</v>
      </c>
      <c r="K1198">
        <v>791.1783143247269</v>
      </c>
      <c r="L1198">
        <v>26359.181872547251</v>
      </c>
    </row>
    <row r="1199" spans="1:12" hidden="1" x14ac:dyDescent="0.25">
      <c r="A1199">
        <v>81</v>
      </c>
      <c r="B1199" t="s">
        <v>152</v>
      </c>
      <c r="C1199" t="s">
        <v>149</v>
      </c>
      <c r="D1199">
        <v>0</v>
      </c>
      <c r="E1199" t="str">
        <f>_xlfn.XLOOKUP(F1199, Keys!B:B, Keys!A:A, "找不到")</f>
        <v>FA</v>
      </c>
      <c r="F1199" t="s">
        <v>63</v>
      </c>
      <c r="G1199">
        <v>43.342744031198961</v>
      </c>
      <c r="H1199" t="s">
        <v>64</v>
      </c>
      <c r="I1199" t="s">
        <v>65</v>
      </c>
      <c r="J1199">
        <v>0</v>
      </c>
      <c r="K1199">
        <v>1675.295452983016</v>
      </c>
      <c r="L1199">
        <v>175402.56365664981</v>
      </c>
    </row>
    <row r="1200" spans="1:12" hidden="1" x14ac:dyDescent="0.25">
      <c r="A1200">
        <v>82</v>
      </c>
      <c r="B1200" t="s">
        <v>152</v>
      </c>
      <c r="C1200" t="s">
        <v>149</v>
      </c>
      <c r="D1200">
        <v>0</v>
      </c>
      <c r="E1200" t="str">
        <f>_xlfn.XLOOKUP(F1200, Keys!B:B, Keys!A:A, "找不到")</f>
        <v>FA</v>
      </c>
      <c r="F1200" t="s">
        <v>63</v>
      </c>
      <c r="G1200">
        <v>18.37712394244053</v>
      </c>
      <c r="H1200" t="s">
        <v>64</v>
      </c>
      <c r="I1200" t="s">
        <v>65</v>
      </c>
      <c r="J1200" t="s">
        <v>57</v>
      </c>
      <c r="K1200">
        <v>1197.49744916589</v>
      </c>
      <c r="L1200">
        <v>74369.87953092689</v>
      </c>
    </row>
    <row r="1201" spans="1:12" hidden="1" x14ac:dyDescent="0.25">
      <c r="A1201">
        <v>83</v>
      </c>
      <c r="B1201" t="s">
        <v>152</v>
      </c>
      <c r="C1201" t="s">
        <v>149</v>
      </c>
      <c r="D1201">
        <v>0</v>
      </c>
      <c r="E1201" t="str">
        <f>_xlfn.XLOOKUP(F1201, Keys!B:B, Keys!A:A, "找不到")</f>
        <v>FA</v>
      </c>
      <c r="F1201" t="s">
        <v>63</v>
      </c>
      <c r="G1201">
        <v>1.6721964489913539</v>
      </c>
      <c r="H1201" t="s">
        <v>64</v>
      </c>
      <c r="I1201" t="s">
        <v>65</v>
      </c>
      <c r="J1201" t="s">
        <v>57</v>
      </c>
      <c r="K1201">
        <v>794.40278335168557</v>
      </c>
      <c r="L1201">
        <v>6767.1660077520983</v>
      </c>
    </row>
    <row r="1202" spans="1:12" hidden="1" x14ac:dyDescent="0.25">
      <c r="A1202">
        <v>84</v>
      </c>
      <c r="B1202" t="s">
        <v>152</v>
      </c>
      <c r="C1202" t="s">
        <v>149</v>
      </c>
      <c r="D1202">
        <v>0</v>
      </c>
      <c r="E1202" t="str">
        <f>_xlfn.XLOOKUP(F1202, Keys!B:B, Keys!A:A, "找不到")</f>
        <v>FA</v>
      </c>
      <c r="F1202" t="s">
        <v>63</v>
      </c>
      <c r="G1202">
        <v>58.639688015602907</v>
      </c>
      <c r="H1202" t="s">
        <v>64</v>
      </c>
      <c r="I1202" t="s">
        <v>65</v>
      </c>
      <c r="J1202" t="s">
        <v>57</v>
      </c>
      <c r="K1202">
        <v>2970.0561742724062</v>
      </c>
      <c r="L1202">
        <v>237307.34728191479</v>
      </c>
    </row>
    <row r="1203" spans="1:12" hidden="1" x14ac:dyDescent="0.25">
      <c r="A1203">
        <v>85</v>
      </c>
      <c r="B1203" t="s">
        <v>152</v>
      </c>
      <c r="C1203" t="s">
        <v>149</v>
      </c>
      <c r="D1203">
        <v>0</v>
      </c>
      <c r="E1203" t="str">
        <f>_xlfn.XLOOKUP(F1203, Keys!B:B, Keys!A:A, "找不到")</f>
        <v>FA</v>
      </c>
      <c r="F1203" t="s">
        <v>63</v>
      </c>
      <c r="G1203">
        <v>0.20145103498740571</v>
      </c>
      <c r="H1203" t="s">
        <v>64</v>
      </c>
      <c r="I1203" t="s">
        <v>65</v>
      </c>
      <c r="J1203" t="s">
        <v>57</v>
      </c>
      <c r="K1203">
        <v>343.28797707633578</v>
      </c>
      <c r="L1203">
        <v>815.24667572135183</v>
      </c>
    </row>
    <row r="1204" spans="1:12" hidden="1" x14ac:dyDescent="0.25">
      <c r="A1204">
        <v>87</v>
      </c>
      <c r="B1204" t="s">
        <v>152</v>
      </c>
      <c r="C1204" t="s">
        <v>149</v>
      </c>
      <c r="D1204">
        <v>0</v>
      </c>
      <c r="E1204" t="str">
        <f>_xlfn.XLOOKUP(F1204, Keys!B:B, Keys!A:A, "找不到")</f>
        <v>FA</v>
      </c>
      <c r="F1204" t="s">
        <v>63</v>
      </c>
      <c r="G1204">
        <v>0.95775295477968114</v>
      </c>
      <c r="H1204" t="s">
        <v>64</v>
      </c>
      <c r="I1204" t="s">
        <v>65</v>
      </c>
      <c r="J1204" t="s">
        <v>57</v>
      </c>
      <c r="K1204">
        <v>248.21586695359289</v>
      </c>
      <c r="L1204">
        <v>3875.9041997240251</v>
      </c>
    </row>
    <row r="1205" spans="1:12" hidden="1" x14ac:dyDescent="0.25">
      <c r="A1205">
        <v>88</v>
      </c>
      <c r="B1205" t="s">
        <v>152</v>
      </c>
      <c r="C1205" t="s">
        <v>149</v>
      </c>
      <c r="D1205">
        <v>0</v>
      </c>
      <c r="E1205" t="str">
        <f>_xlfn.XLOOKUP(F1205, Keys!B:B, Keys!A:A, "找不到")</f>
        <v>FA</v>
      </c>
      <c r="F1205" t="s">
        <v>63</v>
      </c>
      <c r="G1205">
        <v>54.465130729013417</v>
      </c>
      <c r="H1205" t="s">
        <v>64</v>
      </c>
      <c r="I1205" t="s">
        <v>65</v>
      </c>
      <c r="J1205" t="s">
        <v>57</v>
      </c>
      <c r="K1205">
        <v>2149.3505659383118</v>
      </c>
      <c r="L1205">
        <v>220413.44574046481</v>
      </c>
    </row>
    <row r="1206" spans="1:12" hidden="1" x14ac:dyDescent="0.25">
      <c r="A1206">
        <v>89</v>
      </c>
      <c r="B1206" t="s">
        <v>152</v>
      </c>
      <c r="C1206" t="s">
        <v>149</v>
      </c>
      <c r="D1206">
        <v>0</v>
      </c>
      <c r="E1206" t="str">
        <f>_xlfn.XLOOKUP(F1206, Keys!B:B, Keys!A:A, "找不到")</f>
        <v>FA</v>
      </c>
      <c r="F1206" t="s">
        <v>63</v>
      </c>
      <c r="G1206">
        <v>1.2589307568975601</v>
      </c>
      <c r="H1206" t="s">
        <v>64</v>
      </c>
      <c r="I1206" t="s">
        <v>65</v>
      </c>
      <c r="J1206" t="s">
        <v>57</v>
      </c>
      <c r="K1206">
        <v>498.48760913128149</v>
      </c>
      <c r="L1206">
        <v>5094.7323978169952</v>
      </c>
    </row>
    <row r="1207" spans="1:12" hidden="1" x14ac:dyDescent="0.25">
      <c r="A1207">
        <v>90</v>
      </c>
      <c r="B1207" t="s">
        <v>152</v>
      </c>
      <c r="C1207" t="s">
        <v>149</v>
      </c>
      <c r="D1207">
        <v>0</v>
      </c>
      <c r="E1207" t="str">
        <f>_xlfn.XLOOKUP(F1207, Keys!B:B, Keys!A:A, "找不到")</f>
        <v>FA</v>
      </c>
      <c r="F1207" t="s">
        <v>63</v>
      </c>
      <c r="G1207">
        <v>67.91262393657054</v>
      </c>
      <c r="H1207" t="s">
        <v>64</v>
      </c>
      <c r="I1207" t="s">
        <v>65</v>
      </c>
      <c r="J1207" t="s">
        <v>57</v>
      </c>
      <c r="K1207">
        <v>2260.8002260880921</v>
      </c>
      <c r="L1207">
        <v>274833.73767359782</v>
      </c>
    </row>
    <row r="1208" spans="1:12" hidden="1" x14ac:dyDescent="0.25">
      <c r="A1208">
        <v>91</v>
      </c>
      <c r="B1208" t="s">
        <v>152</v>
      </c>
      <c r="C1208" t="s">
        <v>149</v>
      </c>
      <c r="D1208">
        <v>0</v>
      </c>
      <c r="E1208" t="str">
        <f>_xlfn.XLOOKUP(F1208, Keys!B:B, Keys!A:A, "找不到")</f>
        <v>FA</v>
      </c>
      <c r="F1208" t="s">
        <v>63</v>
      </c>
      <c r="G1208">
        <v>31.237770381237979</v>
      </c>
      <c r="H1208" t="s">
        <v>64</v>
      </c>
      <c r="I1208" t="s">
        <v>65</v>
      </c>
      <c r="J1208" t="s">
        <v>57</v>
      </c>
      <c r="K1208">
        <v>1672.2765844401199</v>
      </c>
      <c r="L1208">
        <v>126415.27734937309</v>
      </c>
    </row>
    <row r="1209" spans="1:12" hidden="1" x14ac:dyDescent="0.25">
      <c r="A1209">
        <v>92</v>
      </c>
      <c r="B1209" t="s">
        <v>152</v>
      </c>
      <c r="C1209" t="s">
        <v>149</v>
      </c>
      <c r="D1209">
        <v>0</v>
      </c>
      <c r="E1209" t="str">
        <f>_xlfn.XLOOKUP(F1209, Keys!B:B, Keys!A:A, "找不到")</f>
        <v>FA</v>
      </c>
      <c r="F1209" t="s">
        <v>63</v>
      </c>
      <c r="G1209">
        <v>9.005201615673684</v>
      </c>
      <c r="H1209" t="s">
        <v>64</v>
      </c>
      <c r="I1209" t="s">
        <v>65</v>
      </c>
      <c r="J1209" t="s">
        <v>57</v>
      </c>
      <c r="K1209">
        <v>925.9089142479877</v>
      </c>
      <c r="L1209">
        <v>36442.903764865187</v>
      </c>
    </row>
    <row r="1210" spans="1:12" hidden="1" x14ac:dyDescent="0.25">
      <c r="A1210">
        <v>93</v>
      </c>
      <c r="B1210" t="s">
        <v>152</v>
      </c>
      <c r="C1210" t="s">
        <v>149</v>
      </c>
      <c r="D1210">
        <v>0</v>
      </c>
      <c r="E1210" t="str">
        <f>_xlfn.XLOOKUP(F1210, Keys!B:B, Keys!A:A, "找不到")</f>
        <v>FA</v>
      </c>
      <c r="F1210" t="s">
        <v>63</v>
      </c>
      <c r="G1210">
        <v>16.78507755359318</v>
      </c>
      <c r="H1210" t="s">
        <v>64</v>
      </c>
      <c r="I1210" t="s">
        <v>65</v>
      </c>
      <c r="J1210" t="s">
        <v>57</v>
      </c>
      <c r="K1210">
        <v>1262.8359543361171</v>
      </c>
      <c r="L1210">
        <v>67927.070606251335</v>
      </c>
    </row>
    <row r="1211" spans="1:12" hidden="1" x14ac:dyDescent="0.25">
      <c r="A1211">
        <v>94</v>
      </c>
      <c r="B1211" t="s">
        <v>152</v>
      </c>
      <c r="C1211" t="s">
        <v>149</v>
      </c>
      <c r="D1211">
        <v>0</v>
      </c>
      <c r="E1211" t="str">
        <f>_xlfn.XLOOKUP(F1211, Keys!B:B, Keys!A:A, "找不到")</f>
        <v>FA</v>
      </c>
      <c r="F1211" t="s">
        <v>63</v>
      </c>
      <c r="G1211">
        <v>12.22126192762107</v>
      </c>
      <c r="H1211" t="s">
        <v>64</v>
      </c>
      <c r="I1211" t="s">
        <v>65</v>
      </c>
      <c r="J1211" t="s">
        <v>57</v>
      </c>
      <c r="K1211">
        <v>1192.3481398732181</v>
      </c>
      <c r="L1211">
        <v>49457.890152988723</v>
      </c>
    </row>
    <row r="1212" spans="1:12" hidden="1" x14ac:dyDescent="0.25">
      <c r="A1212">
        <v>95</v>
      </c>
      <c r="B1212" t="s">
        <v>152</v>
      </c>
      <c r="C1212" t="s">
        <v>149</v>
      </c>
      <c r="D1212">
        <v>0</v>
      </c>
      <c r="E1212" t="str">
        <f>_xlfn.XLOOKUP(F1212, Keys!B:B, Keys!A:A, "找不到")</f>
        <v>FA</v>
      </c>
      <c r="F1212" t="s">
        <v>63</v>
      </c>
      <c r="G1212">
        <v>59.300742216039303</v>
      </c>
      <c r="H1212" t="s">
        <v>64</v>
      </c>
      <c r="I1212" t="s">
        <v>65</v>
      </c>
      <c r="J1212">
        <v>0</v>
      </c>
      <c r="K1212">
        <v>2192.9737359601731</v>
      </c>
      <c r="L1212">
        <v>239982.54941930319</v>
      </c>
    </row>
    <row r="1213" spans="1:12" hidden="1" x14ac:dyDescent="0.25">
      <c r="A1213">
        <v>96</v>
      </c>
      <c r="B1213" t="s">
        <v>152</v>
      </c>
      <c r="C1213" t="s">
        <v>149</v>
      </c>
      <c r="D1213">
        <v>0</v>
      </c>
      <c r="E1213" t="str">
        <f>_xlfn.XLOOKUP(F1213, Keys!B:B, Keys!A:A, "找不到")</f>
        <v>FA</v>
      </c>
      <c r="F1213" t="s">
        <v>63</v>
      </c>
      <c r="G1213">
        <v>64.959319310494507</v>
      </c>
      <c r="H1213" t="s">
        <v>64</v>
      </c>
      <c r="I1213" t="s">
        <v>65</v>
      </c>
      <c r="J1213" t="s">
        <v>57</v>
      </c>
      <c r="K1213">
        <v>2012.7466084857399</v>
      </c>
      <c r="L1213">
        <v>262882.09007371578</v>
      </c>
    </row>
    <row r="1214" spans="1:12" hidden="1" x14ac:dyDescent="0.25">
      <c r="A1214">
        <v>97</v>
      </c>
      <c r="B1214" t="s">
        <v>152</v>
      </c>
      <c r="C1214" t="s">
        <v>149</v>
      </c>
      <c r="D1214">
        <v>0</v>
      </c>
      <c r="E1214" t="str">
        <f>_xlfn.XLOOKUP(F1214, Keys!B:B, Keys!A:A, "找不到")</f>
        <v>FA</v>
      </c>
      <c r="F1214" t="s">
        <v>63</v>
      </c>
      <c r="G1214">
        <v>5.6700954965051578</v>
      </c>
      <c r="H1214" t="s">
        <v>64</v>
      </c>
      <c r="I1214" t="s">
        <v>65</v>
      </c>
      <c r="J1214" t="s">
        <v>57</v>
      </c>
      <c r="K1214">
        <v>874.74247226131877</v>
      </c>
      <c r="L1214">
        <v>22946.15416017807</v>
      </c>
    </row>
    <row r="1215" spans="1:12" hidden="1" x14ac:dyDescent="0.25">
      <c r="A1215">
        <v>98</v>
      </c>
      <c r="B1215" t="s">
        <v>152</v>
      </c>
      <c r="C1215" t="s">
        <v>149</v>
      </c>
      <c r="D1215">
        <v>0</v>
      </c>
      <c r="E1215" t="str">
        <f>_xlfn.XLOOKUP(F1215, Keys!B:B, Keys!A:A, "找不到")</f>
        <v>FA</v>
      </c>
      <c r="F1215" t="s">
        <v>63</v>
      </c>
      <c r="G1215">
        <v>37.261812359664447</v>
      </c>
      <c r="H1215" t="s">
        <v>64</v>
      </c>
      <c r="I1215" t="s">
        <v>65</v>
      </c>
      <c r="J1215" t="s">
        <v>57</v>
      </c>
      <c r="K1215">
        <v>1585.306521202682</v>
      </c>
      <c r="L1215">
        <v>150793.80783259991</v>
      </c>
    </row>
    <row r="1216" spans="1:12" hidden="1" x14ac:dyDescent="0.25">
      <c r="A1216">
        <v>99</v>
      </c>
      <c r="B1216" t="s">
        <v>152</v>
      </c>
      <c r="C1216" t="s">
        <v>149</v>
      </c>
      <c r="D1216">
        <v>0</v>
      </c>
      <c r="E1216" t="str">
        <f>_xlfn.XLOOKUP(F1216, Keys!B:B, Keys!A:A, "找不到")</f>
        <v>FA</v>
      </c>
      <c r="F1216" t="s">
        <v>63</v>
      </c>
      <c r="G1216">
        <v>5.0774115378022451</v>
      </c>
      <c r="H1216" t="s">
        <v>64</v>
      </c>
      <c r="I1216" t="s">
        <v>65</v>
      </c>
      <c r="J1216" t="s">
        <v>57</v>
      </c>
      <c r="K1216">
        <v>669.31086536533087</v>
      </c>
      <c r="L1216">
        <v>20547.63768139141</v>
      </c>
    </row>
    <row r="1217" spans="1:12" hidden="1" x14ac:dyDescent="0.25">
      <c r="A1217">
        <v>100</v>
      </c>
      <c r="B1217" t="s">
        <v>152</v>
      </c>
      <c r="C1217" t="s">
        <v>149</v>
      </c>
      <c r="D1217">
        <v>0</v>
      </c>
      <c r="E1217" t="str">
        <f>_xlfn.XLOOKUP(F1217, Keys!B:B, Keys!A:A, "找不到")</f>
        <v>FA</v>
      </c>
      <c r="F1217" t="s">
        <v>63</v>
      </c>
      <c r="G1217">
        <v>35.995556031254722</v>
      </c>
      <c r="H1217" t="s">
        <v>64</v>
      </c>
      <c r="I1217" t="s">
        <v>65</v>
      </c>
      <c r="J1217">
        <v>0</v>
      </c>
      <c r="K1217">
        <v>1982.8710961764109</v>
      </c>
      <c r="L1217">
        <v>145669.4297800787</v>
      </c>
    </row>
    <row r="1218" spans="1:12" hidden="1" x14ac:dyDescent="0.25">
      <c r="A1218">
        <v>101</v>
      </c>
      <c r="B1218" t="s">
        <v>152</v>
      </c>
      <c r="C1218" t="s">
        <v>149</v>
      </c>
      <c r="D1218">
        <v>0</v>
      </c>
      <c r="E1218" t="str">
        <f>_xlfn.XLOOKUP(F1218, Keys!B:B, Keys!A:A, "找不到")</f>
        <v>FA</v>
      </c>
      <c r="F1218" t="s">
        <v>63</v>
      </c>
      <c r="G1218">
        <v>1.1759727143638741</v>
      </c>
      <c r="H1218" t="s">
        <v>64</v>
      </c>
      <c r="I1218" t="s">
        <v>65</v>
      </c>
      <c r="J1218" t="s">
        <v>57</v>
      </c>
      <c r="K1218">
        <v>267.28690510308019</v>
      </c>
      <c r="L1218">
        <v>4759.0117677186372</v>
      </c>
    </row>
    <row r="1219" spans="1:12" hidden="1" x14ac:dyDescent="0.25">
      <c r="A1219">
        <v>102</v>
      </c>
      <c r="B1219" t="s">
        <v>152</v>
      </c>
      <c r="C1219" t="s">
        <v>149</v>
      </c>
      <c r="D1219">
        <v>0</v>
      </c>
      <c r="E1219" t="str">
        <f>_xlfn.XLOOKUP(F1219, Keys!B:B, Keys!A:A, "找不到")</f>
        <v>FA</v>
      </c>
      <c r="F1219" t="s">
        <v>63</v>
      </c>
      <c r="G1219">
        <v>0.97269165161075954</v>
      </c>
      <c r="H1219" t="s">
        <v>64</v>
      </c>
      <c r="I1219" t="s">
        <v>65</v>
      </c>
      <c r="J1219" t="s">
        <v>57</v>
      </c>
      <c r="K1219">
        <v>263.69717214126263</v>
      </c>
      <c r="L1219">
        <v>3936.3592027569312</v>
      </c>
    </row>
    <row r="1220" spans="1:12" hidden="1" x14ac:dyDescent="0.25">
      <c r="A1220">
        <v>103</v>
      </c>
      <c r="B1220" t="s">
        <v>152</v>
      </c>
      <c r="C1220" t="s">
        <v>149</v>
      </c>
      <c r="D1220">
        <v>0</v>
      </c>
      <c r="E1220" t="str">
        <f>_xlfn.XLOOKUP(F1220, Keys!B:B, Keys!A:A, "找不到")</f>
        <v>FA</v>
      </c>
      <c r="F1220" t="s">
        <v>63</v>
      </c>
      <c r="G1220">
        <v>17.233243025306528</v>
      </c>
      <c r="H1220" t="s">
        <v>64</v>
      </c>
      <c r="I1220" t="s">
        <v>65</v>
      </c>
      <c r="J1220">
        <v>0</v>
      </c>
      <c r="K1220">
        <v>2203.0652207850871</v>
      </c>
      <c r="L1220">
        <v>69740.739178419477</v>
      </c>
    </row>
    <row r="1221" spans="1:12" hidden="1" x14ac:dyDescent="0.25">
      <c r="A1221">
        <v>105</v>
      </c>
      <c r="B1221" t="s">
        <v>152</v>
      </c>
      <c r="C1221" t="s">
        <v>149</v>
      </c>
      <c r="D1221">
        <v>0</v>
      </c>
      <c r="E1221" t="str">
        <f>_xlfn.XLOOKUP(F1221, Keys!B:B, Keys!A:A, "找不到")</f>
        <v>FA</v>
      </c>
      <c r="F1221" t="s">
        <v>63</v>
      </c>
      <c r="G1221">
        <v>7.248715042222118</v>
      </c>
      <c r="H1221" t="s">
        <v>64</v>
      </c>
      <c r="I1221" t="s">
        <v>65</v>
      </c>
      <c r="J1221" t="s">
        <v>57</v>
      </c>
      <c r="K1221">
        <v>708.90460103576038</v>
      </c>
      <c r="L1221">
        <v>29334.626361152172</v>
      </c>
    </row>
    <row r="1222" spans="1:12" hidden="1" x14ac:dyDescent="0.25">
      <c r="A1222">
        <v>106</v>
      </c>
      <c r="B1222" t="s">
        <v>152</v>
      </c>
      <c r="C1222" t="s">
        <v>149</v>
      </c>
      <c r="D1222">
        <v>0</v>
      </c>
      <c r="E1222" t="str">
        <f>_xlfn.XLOOKUP(F1222, Keys!B:B, Keys!A:A, "找不到")</f>
        <v>FA</v>
      </c>
      <c r="F1222" t="s">
        <v>63</v>
      </c>
      <c r="G1222">
        <v>8.009259949627852</v>
      </c>
      <c r="H1222" t="s">
        <v>64</v>
      </c>
      <c r="I1222" t="s">
        <v>65</v>
      </c>
      <c r="J1222" t="s">
        <v>57</v>
      </c>
      <c r="K1222">
        <v>1022.521862422806</v>
      </c>
      <c r="L1222">
        <v>32412.45471551178</v>
      </c>
    </row>
    <row r="1223" spans="1:12" hidden="1" x14ac:dyDescent="0.25">
      <c r="A1223">
        <v>107</v>
      </c>
      <c r="B1223" t="s">
        <v>152</v>
      </c>
      <c r="C1223" t="s">
        <v>149</v>
      </c>
      <c r="D1223">
        <v>0</v>
      </c>
      <c r="E1223" t="str">
        <f>_xlfn.XLOOKUP(F1223, Keys!B:B, Keys!A:A, "找不到")</f>
        <v>FA</v>
      </c>
      <c r="F1223" t="s">
        <v>63</v>
      </c>
      <c r="G1223">
        <v>8.580267057998558</v>
      </c>
      <c r="H1223" t="s">
        <v>64</v>
      </c>
      <c r="I1223" t="s">
        <v>65</v>
      </c>
      <c r="J1223" t="s">
        <v>57</v>
      </c>
      <c r="K1223">
        <v>1032.3891680045431</v>
      </c>
      <c r="L1223">
        <v>34723.247742420703</v>
      </c>
    </row>
    <row r="1224" spans="1:12" hidden="1" x14ac:dyDescent="0.25">
      <c r="A1224">
        <v>108</v>
      </c>
      <c r="B1224" t="s">
        <v>152</v>
      </c>
      <c r="C1224" t="s">
        <v>149</v>
      </c>
      <c r="D1224">
        <v>0</v>
      </c>
      <c r="E1224" t="str">
        <f>_xlfn.XLOOKUP(F1224, Keys!B:B, Keys!A:A, "找不到")</f>
        <v>FA</v>
      </c>
      <c r="F1224" t="s">
        <v>63</v>
      </c>
      <c r="G1224">
        <v>18.791781886887641</v>
      </c>
      <c r="H1224" t="s">
        <v>64</v>
      </c>
      <c r="I1224" t="s">
        <v>65</v>
      </c>
      <c r="J1224" t="s">
        <v>57</v>
      </c>
      <c r="K1224">
        <v>1152.013086933971</v>
      </c>
      <c r="L1224">
        <v>76047.947408776687</v>
      </c>
    </row>
    <row r="1225" spans="1:12" hidden="1" x14ac:dyDescent="0.25">
      <c r="A1225">
        <v>109</v>
      </c>
      <c r="B1225" t="s">
        <v>152</v>
      </c>
      <c r="C1225" t="s">
        <v>149</v>
      </c>
      <c r="D1225">
        <v>0</v>
      </c>
      <c r="E1225" t="str">
        <f>_xlfn.XLOOKUP(F1225, Keys!B:B, Keys!A:A, "找不到")</f>
        <v>FA</v>
      </c>
      <c r="F1225" t="s">
        <v>63</v>
      </c>
      <c r="G1225">
        <v>13.251597069923569</v>
      </c>
      <c r="H1225" t="s">
        <v>64</v>
      </c>
      <c r="I1225" t="s">
        <v>65</v>
      </c>
      <c r="J1225" t="s">
        <v>57</v>
      </c>
      <c r="K1225">
        <v>929.81449708793252</v>
      </c>
      <c r="L1225">
        <v>53627.525219363582</v>
      </c>
    </row>
    <row r="1226" spans="1:12" hidden="1" x14ac:dyDescent="0.25">
      <c r="A1226">
        <v>110</v>
      </c>
      <c r="B1226" t="s">
        <v>152</v>
      </c>
      <c r="C1226" t="s">
        <v>149</v>
      </c>
      <c r="D1226">
        <v>0</v>
      </c>
      <c r="E1226" t="str">
        <f>_xlfn.XLOOKUP(F1226, Keys!B:B, Keys!A:A, "找不到")</f>
        <v>FA</v>
      </c>
      <c r="F1226" t="s">
        <v>63</v>
      </c>
      <c r="G1226">
        <v>1.24971412044471</v>
      </c>
      <c r="H1226" t="s">
        <v>64</v>
      </c>
      <c r="I1226" t="s">
        <v>65</v>
      </c>
      <c r="J1226" t="s">
        <v>57</v>
      </c>
      <c r="K1226">
        <v>1127.164489323882</v>
      </c>
      <c r="L1226">
        <v>5057.4338442007866</v>
      </c>
    </row>
    <row r="1227" spans="1:12" hidden="1" x14ac:dyDescent="0.25">
      <c r="A1227">
        <v>111</v>
      </c>
      <c r="B1227" t="s">
        <v>152</v>
      </c>
      <c r="C1227" t="s">
        <v>149</v>
      </c>
      <c r="D1227">
        <v>0</v>
      </c>
      <c r="E1227" t="str">
        <f>_xlfn.XLOOKUP(F1227, Keys!B:B, Keys!A:A, "找不到")</f>
        <v>FA</v>
      </c>
      <c r="F1227" t="s">
        <v>63</v>
      </c>
      <c r="G1227">
        <v>10.2589111585098</v>
      </c>
      <c r="H1227" t="s">
        <v>64</v>
      </c>
      <c r="I1227" t="s">
        <v>65</v>
      </c>
      <c r="J1227" t="s">
        <v>57</v>
      </c>
      <c r="K1227">
        <v>1257.887721360923</v>
      </c>
      <c r="L1227">
        <v>41516.506574506653</v>
      </c>
    </row>
    <row r="1228" spans="1:12" hidden="1" x14ac:dyDescent="0.25">
      <c r="A1228">
        <v>112</v>
      </c>
      <c r="B1228" t="s">
        <v>152</v>
      </c>
      <c r="C1228" t="s">
        <v>149</v>
      </c>
      <c r="D1228">
        <v>0</v>
      </c>
      <c r="E1228" t="str">
        <f>_xlfn.XLOOKUP(F1228, Keys!B:B, Keys!A:A, "找不到")</f>
        <v>FA</v>
      </c>
      <c r="F1228" t="s">
        <v>63</v>
      </c>
      <c r="G1228">
        <v>12.47294654555972</v>
      </c>
      <c r="H1228" t="s">
        <v>64</v>
      </c>
      <c r="I1228" t="s">
        <v>65</v>
      </c>
      <c r="J1228" t="s">
        <v>57</v>
      </c>
      <c r="K1228">
        <v>947.5465071229097</v>
      </c>
      <c r="L1228">
        <v>50476.425739651277</v>
      </c>
    </row>
    <row r="1229" spans="1:12" hidden="1" x14ac:dyDescent="0.25">
      <c r="A1229">
        <v>113</v>
      </c>
      <c r="B1229" t="s">
        <v>152</v>
      </c>
      <c r="C1229" t="s">
        <v>149</v>
      </c>
      <c r="D1229">
        <v>0</v>
      </c>
      <c r="E1229" t="str">
        <f>_xlfn.XLOOKUP(F1229, Keys!B:B, Keys!A:A, "找不到")</f>
        <v>FA</v>
      </c>
      <c r="F1229" t="s">
        <v>63</v>
      </c>
      <c r="G1229">
        <v>18.749087589050561</v>
      </c>
      <c r="H1229" t="s">
        <v>64</v>
      </c>
      <c r="I1229" t="s">
        <v>65</v>
      </c>
      <c r="J1229">
        <v>0</v>
      </c>
      <c r="K1229">
        <v>2257.5366095091822</v>
      </c>
      <c r="L1229">
        <v>75875.169024261981</v>
      </c>
    </row>
    <row r="1230" spans="1:12" hidden="1" x14ac:dyDescent="0.25">
      <c r="A1230">
        <v>114</v>
      </c>
      <c r="B1230" t="s">
        <v>152</v>
      </c>
      <c r="C1230" t="s">
        <v>149</v>
      </c>
      <c r="D1230">
        <v>0</v>
      </c>
      <c r="E1230" t="str">
        <f>_xlfn.XLOOKUP(F1230, Keys!B:B, Keys!A:A, "找不到")</f>
        <v>FA</v>
      </c>
      <c r="F1230" t="s">
        <v>63</v>
      </c>
      <c r="G1230">
        <v>0.9877295102884206</v>
      </c>
      <c r="H1230" t="s">
        <v>64</v>
      </c>
      <c r="I1230" t="s">
        <v>65</v>
      </c>
      <c r="J1230" t="s">
        <v>57</v>
      </c>
      <c r="K1230">
        <v>379.61680749450289</v>
      </c>
      <c r="L1230">
        <v>3997.215501150718</v>
      </c>
    </row>
    <row r="1231" spans="1:12" hidden="1" x14ac:dyDescent="0.25">
      <c r="A1231">
        <v>115</v>
      </c>
      <c r="B1231" t="s">
        <v>152</v>
      </c>
      <c r="C1231" t="s">
        <v>149</v>
      </c>
      <c r="D1231">
        <v>0</v>
      </c>
      <c r="E1231" t="str">
        <f>_xlfn.XLOOKUP(F1231, Keys!B:B, Keys!A:A, "找不到")</f>
        <v>FA</v>
      </c>
      <c r="F1231" t="s">
        <v>63</v>
      </c>
      <c r="G1231">
        <v>17.276910684653441</v>
      </c>
      <c r="H1231" t="s">
        <v>64</v>
      </c>
      <c r="I1231" t="s">
        <v>65</v>
      </c>
      <c r="J1231" t="s">
        <v>57</v>
      </c>
      <c r="K1231">
        <v>2298.489733932845</v>
      </c>
      <c r="L1231">
        <v>69917.45663296782</v>
      </c>
    </row>
    <row r="1232" spans="1:12" hidden="1" x14ac:dyDescent="0.25">
      <c r="A1232">
        <v>117</v>
      </c>
      <c r="B1232" t="s">
        <v>152</v>
      </c>
      <c r="C1232" t="s">
        <v>149</v>
      </c>
      <c r="D1232">
        <v>0</v>
      </c>
      <c r="E1232" t="str">
        <f>_xlfn.XLOOKUP(F1232, Keys!B:B, Keys!A:A, "找不到")</f>
        <v>FA</v>
      </c>
      <c r="F1232" t="s">
        <v>63</v>
      </c>
      <c r="G1232">
        <v>3.455382092405491</v>
      </c>
      <c r="H1232" t="s">
        <v>64</v>
      </c>
      <c r="I1232" t="s">
        <v>65</v>
      </c>
      <c r="J1232" t="s">
        <v>57</v>
      </c>
      <c r="K1232">
        <v>635.24207636032213</v>
      </c>
      <c r="L1232">
        <v>13983.49114640576</v>
      </c>
    </row>
    <row r="1233" spans="1:12" hidden="1" x14ac:dyDescent="0.25">
      <c r="A1233">
        <v>118</v>
      </c>
      <c r="B1233" t="s">
        <v>152</v>
      </c>
      <c r="C1233" t="s">
        <v>149</v>
      </c>
      <c r="D1233">
        <v>0</v>
      </c>
      <c r="E1233" t="str">
        <f>_xlfn.XLOOKUP(F1233, Keys!B:B, Keys!A:A, "找不到")</f>
        <v>FA</v>
      </c>
      <c r="F1233" t="s">
        <v>63</v>
      </c>
      <c r="G1233">
        <v>5.4366940325557902</v>
      </c>
      <c r="H1233" t="s">
        <v>64</v>
      </c>
      <c r="I1233" t="s">
        <v>65</v>
      </c>
      <c r="J1233" t="s">
        <v>57</v>
      </c>
      <c r="K1233">
        <v>920.26895005026699</v>
      </c>
      <c r="L1233">
        <v>22001.608168616822</v>
      </c>
    </row>
    <row r="1234" spans="1:12" hidden="1" x14ac:dyDescent="0.25">
      <c r="A1234">
        <v>119</v>
      </c>
      <c r="B1234" t="s">
        <v>152</v>
      </c>
      <c r="C1234" t="s">
        <v>149</v>
      </c>
      <c r="D1234">
        <v>0</v>
      </c>
      <c r="E1234" t="str">
        <f>_xlfn.XLOOKUP(F1234, Keys!B:B, Keys!A:A, "找不到")</f>
        <v>FA</v>
      </c>
      <c r="F1234" t="s">
        <v>63</v>
      </c>
      <c r="G1234">
        <v>0.54483448449636029</v>
      </c>
      <c r="H1234" t="s">
        <v>64</v>
      </c>
      <c r="I1234" t="s">
        <v>65</v>
      </c>
      <c r="J1234" t="s">
        <v>57</v>
      </c>
      <c r="K1234">
        <v>342.11375213675927</v>
      </c>
      <c r="L1234">
        <v>2204.8757522232781</v>
      </c>
    </row>
    <row r="1235" spans="1:12" hidden="1" x14ac:dyDescent="0.25">
      <c r="A1235">
        <v>120</v>
      </c>
      <c r="B1235" t="s">
        <v>152</v>
      </c>
      <c r="C1235" t="s">
        <v>149</v>
      </c>
      <c r="D1235">
        <v>0</v>
      </c>
      <c r="E1235" t="str">
        <f>_xlfn.XLOOKUP(F1235, Keys!B:B, Keys!A:A, "找不到")</f>
        <v>FA</v>
      </c>
      <c r="F1235" t="s">
        <v>63</v>
      </c>
      <c r="G1235">
        <v>7.6326027122660474</v>
      </c>
      <c r="H1235" t="s">
        <v>64</v>
      </c>
      <c r="I1235" t="s">
        <v>65</v>
      </c>
      <c r="J1235" t="s">
        <v>57</v>
      </c>
      <c r="K1235">
        <v>951.02093686573812</v>
      </c>
      <c r="L1235">
        <v>30888.170858321391</v>
      </c>
    </row>
    <row r="1236" spans="1:12" hidden="1" x14ac:dyDescent="0.25">
      <c r="A1236">
        <v>121</v>
      </c>
      <c r="B1236" t="s">
        <v>152</v>
      </c>
      <c r="C1236" t="s">
        <v>149</v>
      </c>
      <c r="D1236">
        <v>0</v>
      </c>
      <c r="E1236" t="str">
        <f>_xlfn.XLOOKUP(F1236, Keys!B:B, Keys!A:A, "找不到")</f>
        <v>FA</v>
      </c>
      <c r="F1236" t="s">
        <v>63</v>
      </c>
      <c r="G1236">
        <v>9.2567111369963833</v>
      </c>
      <c r="H1236" t="s">
        <v>64</v>
      </c>
      <c r="I1236" t="s">
        <v>65</v>
      </c>
      <c r="J1236" t="s">
        <v>57</v>
      </c>
      <c r="K1236">
        <v>1338.875938488475</v>
      </c>
      <c r="L1236">
        <v>37460.730757828613</v>
      </c>
    </row>
    <row r="1237" spans="1:12" hidden="1" x14ac:dyDescent="0.25">
      <c r="A1237">
        <v>122</v>
      </c>
      <c r="B1237" t="s">
        <v>152</v>
      </c>
      <c r="C1237" t="s">
        <v>149</v>
      </c>
      <c r="D1237">
        <v>0</v>
      </c>
      <c r="E1237" t="str">
        <f>_xlfn.XLOOKUP(F1237, Keys!B:B, Keys!A:A, "找不到")</f>
        <v>FA</v>
      </c>
      <c r="F1237" t="s">
        <v>63</v>
      </c>
      <c r="G1237">
        <v>44.89938038205463</v>
      </c>
      <c r="H1237" t="s">
        <v>64</v>
      </c>
      <c r="I1237" t="s">
        <v>65</v>
      </c>
      <c r="J1237" t="s">
        <v>57</v>
      </c>
      <c r="K1237">
        <v>1709.9902457807491</v>
      </c>
      <c r="L1237">
        <v>181702.07266846221</v>
      </c>
    </row>
    <row r="1238" spans="1:12" hidden="1" x14ac:dyDescent="0.25">
      <c r="A1238">
        <v>123</v>
      </c>
      <c r="B1238" t="s">
        <v>152</v>
      </c>
      <c r="C1238" t="s">
        <v>149</v>
      </c>
      <c r="D1238">
        <v>0</v>
      </c>
      <c r="E1238" t="str">
        <f>_xlfn.XLOOKUP(F1238, Keys!B:B, Keys!A:A, "找不到")</f>
        <v>FA</v>
      </c>
      <c r="F1238" t="s">
        <v>63</v>
      </c>
      <c r="G1238">
        <v>34.397907757860452</v>
      </c>
      <c r="H1238" t="s">
        <v>64</v>
      </c>
      <c r="I1238" t="s">
        <v>65</v>
      </c>
      <c r="J1238" t="s">
        <v>57</v>
      </c>
      <c r="K1238">
        <v>1492.955381055722</v>
      </c>
      <c r="L1238">
        <v>139203.95074226649</v>
      </c>
    </row>
    <row r="1239" spans="1:12" hidden="1" x14ac:dyDescent="0.25">
      <c r="A1239">
        <v>127</v>
      </c>
      <c r="B1239" t="s">
        <v>152</v>
      </c>
      <c r="C1239" t="s">
        <v>149</v>
      </c>
      <c r="D1239">
        <v>0</v>
      </c>
      <c r="E1239" t="str">
        <f>_xlfn.XLOOKUP(F1239, Keys!B:B, Keys!A:A, "找不到")</f>
        <v>FA</v>
      </c>
      <c r="F1239" t="s">
        <v>63</v>
      </c>
      <c r="G1239">
        <v>0.69648982173037599</v>
      </c>
      <c r="H1239" t="s">
        <v>64</v>
      </c>
      <c r="I1239" t="s">
        <v>65</v>
      </c>
      <c r="J1239" t="s">
        <v>57</v>
      </c>
      <c r="K1239">
        <v>505.98150655369523</v>
      </c>
      <c r="L1239">
        <v>2818.605582616859</v>
      </c>
    </row>
    <row r="1240" spans="1:12" hidden="1" x14ac:dyDescent="0.25">
      <c r="A1240">
        <v>128</v>
      </c>
      <c r="B1240" t="s">
        <v>152</v>
      </c>
      <c r="C1240" t="s">
        <v>149</v>
      </c>
      <c r="D1240">
        <v>0</v>
      </c>
      <c r="E1240" t="str">
        <f>_xlfn.XLOOKUP(F1240, Keys!B:B, Keys!A:A, "找不到")</f>
        <v>FA</v>
      </c>
      <c r="F1240" t="s">
        <v>63</v>
      </c>
      <c r="G1240">
        <v>1.5966051052508921</v>
      </c>
      <c r="H1240" t="s">
        <v>64</v>
      </c>
      <c r="I1240" t="s">
        <v>65</v>
      </c>
      <c r="J1240" t="s">
        <v>57</v>
      </c>
      <c r="K1240">
        <v>1327.187867653312</v>
      </c>
      <c r="L1240">
        <v>6461.2574692252319</v>
      </c>
    </row>
    <row r="1241" spans="1:12" hidden="1" x14ac:dyDescent="0.25">
      <c r="A1241">
        <v>129</v>
      </c>
      <c r="B1241" t="s">
        <v>152</v>
      </c>
      <c r="C1241" t="s">
        <v>149</v>
      </c>
      <c r="D1241">
        <v>0</v>
      </c>
      <c r="E1241" t="str">
        <f>_xlfn.XLOOKUP(F1241, Keys!B:B, Keys!A:A, "找不到")</f>
        <v>FA</v>
      </c>
      <c r="F1241" t="s">
        <v>63</v>
      </c>
      <c r="G1241">
        <v>0.27182091435632899</v>
      </c>
      <c r="H1241" t="s">
        <v>64</v>
      </c>
      <c r="I1241" t="s">
        <v>65</v>
      </c>
      <c r="J1241" t="s">
        <v>57</v>
      </c>
      <c r="K1241">
        <v>368.0225248647933</v>
      </c>
      <c r="L1241">
        <v>1100.0246130996029</v>
      </c>
    </row>
    <row r="1242" spans="1:12" hidden="1" x14ac:dyDescent="0.25">
      <c r="A1242">
        <v>131</v>
      </c>
      <c r="B1242" t="s">
        <v>152</v>
      </c>
      <c r="C1242" t="s">
        <v>149</v>
      </c>
      <c r="D1242">
        <v>0</v>
      </c>
      <c r="E1242" t="str">
        <f>_xlfn.XLOOKUP(F1242, Keys!B:B, Keys!A:A, "找不到")</f>
        <v>FA</v>
      </c>
      <c r="F1242" t="s">
        <v>63</v>
      </c>
      <c r="G1242">
        <v>1.9177461037939421</v>
      </c>
      <c r="H1242" t="s">
        <v>64</v>
      </c>
      <c r="I1242" t="s">
        <v>65</v>
      </c>
      <c r="J1242" t="s">
        <v>57</v>
      </c>
      <c r="K1242">
        <v>591.55345911745837</v>
      </c>
      <c r="L1242">
        <v>7760.8741801367678</v>
      </c>
    </row>
    <row r="1243" spans="1:12" hidden="1" x14ac:dyDescent="0.25">
      <c r="A1243">
        <v>132</v>
      </c>
      <c r="B1243" t="s">
        <v>152</v>
      </c>
      <c r="C1243" t="s">
        <v>149</v>
      </c>
      <c r="D1243">
        <v>0</v>
      </c>
      <c r="E1243" t="str">
        <f>_xlfn.XLOOKUP(F1243, Keys!B:B, Keys!A:A, "找不到")</f>
        <v>FA</v>
      </c>
      <c r="F1243" t="s">
        <v>63</v>
      </c>
      <c r="G1243">
        <v>0.89258437812223079</v>
      </c>
      <c r="H1243" t="s">
        <v>64</v>
      </c>
      <c r="I1243" t="s">
        <v>65</v>
      </c>
      <c r="J1243" t="s">
        <v>57</v>
      </c>
      <c r="K1243">
        <v>261.26384700357067</v>
      </c>
      <c r="L1243">
        <v>3612.1752718244979</v>
      </c>
    </row>
    <row r="1244" spans="1:12" hidden="1" x14ac:dyDescent="0.25">
      <c r="A1244">
        <v>133</v>
      </c>
      <c r="B1244" t="s">
        <v>152</v>
      </c>
      <c r="C1244" t="s">
        <v>149</v>
      </c>
      <c r="D1244">
        <v>0</v>
      </c>
      <c r="E1244" t="str">
        <f>_xlfn.XLOOKUP(F1244, Keys!B:B, Keys!A:A, "找不到")</f>
        <v>FA</v>
      </c>
      <c r="F1244" t="s">
        <v>63</v>
      </c>
      <c r="G1244">
        <v>11.247129166742869</v>
      </c>
      <c r="H1244" t="s">
        <v>64</v>
      </c>
      <c r="I1244" t="s">
        <v>65</v>
      </c>
      <c r="J1244" t="s">
        <v>57</v>
      </c>
      <c r="K1244">
        <v>1142.302569282351</v>
      </c>
      <c r="L1244">
        <v>45515.698964609539</v>
      </c>
    </row>
    <row r="1245" spans="1:12" hidden="1" x14ac:dyDescent="0.25">
      <c r="A1245">
        <v>134</v>
      </c>
      <c r="B1245" t="s">
        <v>152</v>
      </c>
      <c r="C1245" t="s">
        <v>149</v>
      </c>
      <c r="D1245">
        <v>0</v>
      </c>
      <c r="E1245" t="str">
        <f>_xlfn.XLOOKUP(F1245, Keys!B:B, Keys!A:A, "找不到")</f>
        <v>FA</v>
      </c>
      <c r="F1245" t="s">
        <v>63</v>
      </c>
      <c r="G1245">
        <v>6.1278271249714606</v>
      </c>
      <c r="H1245" t="s">
        <v>64</v>
      </c>
      <c r="I1245" t="s">
        <v>65</v>
      </c>
      <c r="J1245" t="s">
        <v>57</v>
      </c>
      <c r="K1245">
        <v>683.12609831246243</v>
      </c>
      <c r="L1245">
        <v>24798.535750091491</v>
      </c>
    </row>
    <row r="1246" spans="1:12" hidden="1" x14ac:dyDescent="0.25">
      <c r="A1246">
        <v>135</v>
      </c>
      <c r="B1246" t="s">
        <v>152</v>
      </c>
      <c r="C1246" t="s">
        <v>149</v>
      </c>
      <c r="D1246">
        <v>0</v>
      </c>
      <c r="E1246" t="str">
        <f>_xlfn.XLOOKUP(F1246, Keys!B:B, Keys!A:A, "找不到")</f>
        <v>FA</v>
      </c>
      <c r="F1246" t="s">
        <v>63</v>
      </c>
      <c r="G1246">
        <v>3.7971732769374071</v>
      </c>
      <c r="H1246" t="s">
        <v>64</v>
      </c>
      <c r="I1246" t="s">
        <v>65</v>
      </c>
      <c r="J1246" t="s">
        <v>57</v>
      </c>
      <c r="K1246">
        <v>500.45215408493277</v>
      </c>
      <c r="L1246">
        <v>15366.676529384449</v>
      </c>
    </row>
    <row r="1247" spans="1:12" hidden="1" x14ac:dyDescent="0.25">
      <c r="A1247">
        <v>136</v>
      </c>
      <c r="B1247" t="s">
        <v>152</v>
      </c>
      <c r="C1247" t="s">
        <v>149</v>
      </c>
      <c r="D1247">
        <v>0</v>
      </c>
      <c r="E1247" t="str">
        <f>_xlfn.XLOOKUP(F1247, Keys!B:B, Keys!A:A, "找不到")</f>
        <v>FA</v>
      </c>
      <c r="F1247" t="s">
        <v>63</v>
      </c>
      <c r="G1247">
        <v>2.8891140958230781</v>
      </c>
      <c r="H1247" t="s">
        <v>64</v>
      </c>
      <c r="I1247" t="s">
        <v>65</v>
      </c>
      <c r="J1247" t="s">
        <v>57</v>
      </c>
      <c r="K1247">
        <v>771.72976692159602</v>
      </c>
      <c r="L1247">
        <v>11691.87670118803</v>
      </c>
    </row>
    <row r="1248" spans="1:12" hidden="1" x14ac:dyDescent="0.25">
      <c r="A1248">
        <v>137</v>
      </c>
      <c r="B1248" t="s">
        <v>152</v>
      </c>
      <c r="C1248" t="s">
        <v>149</v>
      </c>
      <c r="D1248">
        <v>0</v>
      </c>
      <c r="E1248" t="str">
        <f>_xlfn.XLOOKUP(F1248, Keys!B:B, Keys!A:A, "找不到")</f>
        <v>FA</v>
      </c>
      <c r="F1248" t="s">
        <v>63</v>
      </c>
      <c r="G1248">
        <v>22.898146087995251</v>
      </c>
      <c r="H1248" t="s">
        <v>64</v>
      </c>
      <c r="I1248" t="s">
        <v>65</v>
      </c>
      <c r="J1248" t="s">
        <v>57</v>
      </c>
      <c r="K1248">
        <v>1302.5433760482979</v>
      </c>
      <c r="L1248">
        <v>92665.880220407213</v>
      </c>
    </row>
    <row r="1249" spans="1:12" hidden="1" x14ac:dyDescent="0.25">
      <c r="A1249">
        <v>138</v>
      </c>
      <c r="B1249" t="s">
        <v>152</v>
      </c>
      <c r="C1249" t="s">
        <v>149</v>
      </c>
      <c r="D1249">
        <v>0</v>
      </c>
      <c r="E1249" t="str">
        <f>_xlfn.XLOOKUP(F1249, Keys!B:B, Keys!A:A, "找不到")</f>
        <v>FA</v>
      </c>
      <c r="F1249" t="s">
        <v>63</v>
      </c>
      <c r="G1249">
        <v>16.28032290071679</v>
      </c>
      <c r="H1249" t="s">
        <v>64</v>
      </c>
      <c r="I1249" t="s">
        <v>65</v>
      </c>
      <c r="J1249" t="s">
        <v>57</v>
      </c>
      <c r="K1249">
        <v>1445.678767175863</v>
      </c>
      <c r="L1249">
        <v>65884.392826819298</v>
      </c>
    </row>
    <row r="1250" spans="1:12" hidden="1" x14ac:dyDescent="0.25">
      <c r="A1250">
        <v>139</v>
      </c>
      <c r="B1250" t="s">
        <v>152</v>
      </c>
      <c r="C1250" t="s">
        <v>149</v>
      </c>
      <c r="D1250">
        <v>0</v>
      </c>
      <c r="E1250" t="str">
        <f>_xlfn.XLOOKUP(F1250, Keys!B:B, Keys!A:A, "找不到")</f>
        <v>FA</v>
      </c>
      <c r="F1250" t="s">
        <v>63</v>
      </c>
      <c r="G1250">
        <v>0.57965883469050683</v>
      </c>
      <c r="H1250" t="s">
        <v>64</v>
      </c>
      <c r="I1250" t="s">
        <v>65</v>
      </c>
      <c r="J1250" t="s">
        <v>57</v>
      </c>
      <c r="K1250">
        <v>565.65535712062831</v>
      </c>
      <c r="L1250">
        <v>2345.8054611806392</v>
      </c>
    </row>
    <row r="1251" spans="1:12" hidden="1" x14ac:dyDescent="0.25">
      <c r="A1251">
        <v>140</v>
      </c>
      <c r="B1251" t="s">
        <v>152</v>
      </c>
      <c r="C1251" t="s">
        <v>149</v>
      </c>
      <c r="D1251">
        <v>0</v>
      </c>
      <c r="E1251" t="str">
        <f>_xlfn.XLOOKUP(F1251, Keys!B:B, Keys!A:A, "找不到")</f>
        <v>FA</v>
      </c>
      <c r="F1251" t="s">
        <v>63</v>
      </c>
      <c r="G1251">
        <v>1.4786534735890471</v>
      </c>
      <c r="H1251" t="s">
        <v>64</v>
      </c>
      <c r="I1251" t="s">
        <v>65</v>
      </c>
      <c r="J1251" t="s">
        <v>57</v>
      </c>
      <c r="K1251">
        <v>589.5182438243155</v>
      </c>
      <c r="L1251">
        <v>5983.9222417629344</v>
      </c>
    </row>
    <row r="1252" spans="1:12" hidden="1" x14ac:dyDescent="0.25">
      <c r="A1252">
        <v>141</v>
      </c>
      <c r="B1252" t="s">
        <v>152</v>
      </c>
      <c r="C1252" t="s">
        <v>149</v>
      </c>
      <c r="D1252">
        <v>0</v>
      </c>
      <c r="E1252" t="str">
        <f>_xlfn.XLOOKUP(F1252, Keys!B:B, Keys!A:A, "找不到")</f>
        <v>FA</v>
      </c>
      <c r="F1252" t="s">
        <v>63</v>
      </c>
      <c r="G1252">
        <v>4.9997202611514062</v>
      </c>
      <c r="H1252" t="s">
        <v>64</v>
      </c>
      <c r="I1252" t="s">
        <v>65</v>
      </c>
      <c r="J1252" t="s">
        <v>57</v>
      </c>
      <c r="K1252">
        <v>1341.398452992132</v>
      </c>
      <c r="L1252">
        <v>20233.230981886969</v>
      </c>
    </row>
    <row r="1253" spans="1:12" hidden="1" x14ac:dyDescent="0.25">
      <c r="A1253">
        <v>144</v>
      </c>
      <c r="B1253" t="s">
        <v>152</v>
      </c>
      <c r="C1253" t="s">
        <v>149</v>
      </c>
      <c r="D1253">
        <v>0</v>
      </c>
      <c r="E1253" t="str">
        <f>_xlfn.XLOOKUP(F1253, Keys!B:B, Keys!A:A, "找不到")</f>
        <v>FA</v>
      </c>
      <c r="F1253" t="s">
        <v>63</v>
      </c>
      <c r="G1253">
        <v>136.37705810256659</v>
      </c>
      <c r="H1253" t="s">
        <v>64</v>
      </c>
      <c r="I1253" t="s">
        <v>65</v>
      </c>
      <c r="J1253">
        <v>0</v>
      </c>
      <c r="K1253">
        <v>2633.5123397775892</v>
      </c>
      <c r="L1253">
        <v>551900.58105050598</v>
      </c>
    </row>
    <row r="1254" spans="1:12" hidden="1" x14ac:dyDescent="0.25">
      <c r="A1254">
        <v>145</v>
      </c>
      <c r="B1254" t="s">
        <v>152</v>
      </c>
      <c r="C1254" t="s">
        <v>149</v>
      </c>
      <c r="D1254">
        <v>0</v>
      </c>
      <c r="E1254" t="str">
        <f>_xlfn.XLOOKUP(F1254, Keys!B:B, Keys!A:A, "找不到")</f>
        <v>FA</v>
      </c>
      <c r="F1254" t="s">
        <v>63</v>
      </c>
      <c r="G1254">
        <v>141.91473363400559</v>
      </c>
      <c r="H1254" t="s">
        <v>64</v>
      </c>
      <c r="I1254" t="s">
        <v>65</v>
      </c>
      <c r="J1254">
        <v>0</v>
      </c>
      <c r="K1254">
        <v>2686.4480210605311</v>
      </c>
      <c r="L1254">
        <v>574310.84848105733</v>
      </c>
    </row>
    <row r="1255" spans="1:12" hidden="1" x14ac:dyDescent="0.25">
      <c r="A1255">
        <v>151</v>
      </c>
      <c r="B1255" t="s">
        <v>152</v>
      </c>
      <c r="C1255" t="s">
        <v>149</v>
      </c>
      <c r="D1255">
        <v>0</v>
      </c>
      <c r="E1255" t="str">
        <f>_xlfn.XLOOKUP(F1255, Keys!B:B, Keys!A:A, "找不到")</f>
        <v>FA</v>
      </c>
      <c r="F1255" t="s">
        <v>63</v>
      </c>
      <c r="G1255">
        <v>17.783873842745049</v>
      </c>
      <c r="H1255" t="s">
        <v>64</v>
      </c>
      <c r="I1255" t="s">
        <v>65</v>
      </c>
      <c r="J1255" t="s">
        <v>57</v>
      </c>
      <c r="K1255">
        <v>1127.811175331198</v>
      </c>
      <c r="L1255">
        <v>71969.071951664111</v>
      </c>
    </row>
    <row r="1256" spans="1:12" hidden="1" x14ac:dyDescent="0.25">
      <c r="A1256">
        <v>152</v>
      </c>
      <c r="B1256" t="s">
        <v>152</v>
      </c>
      <c r="C1256" t="s">
        <v>149</v>
      </c>
      <c r="D1256">
        <v>0</v>
      </c>
      <c r="E1256" t="str">
        <f>_xlfn.XLOOKUP(F1256, Keys!B:B, Keys!A:A, "找不到")</f>
        <v>FA</v>
      </c>
      <c r="F1256" t="s">
        <v>63</v>
      </c>
      <c r="G1256">
        <v>58.341181438930597</v>
      </c>
      <c r="H1256" t="s">
        <v>64</v>
      </c>
      <c r="I1256" t="s">
        <v>65</v>
      </c>
      <c r="J1256">
        <v>0</v>
      </c>
      <c r="K1256">
        <v>1992.153309599254</v>
      </c>
      <c r="L1256">
        <v>236099.32919291241</v>
      </c>
    </row>
    <row r="1257" spans="1:12" hidden="1" x14ac:dyDescent="0.25">
      <c r="A1257">
        <v>153</v>
      </c>
      <c r="B1257" t="s">
        <v>152</v>
      </c>
      <c r="C1257" t="s">
        <v>149</v>
      </c>
      <c r="D1257">
        <v>0</v>
      </c>
      <c r="E1257" t="str">
        <f>_xlfn.XLOOKUP(F1257, Keys!B:B, Keys!A:A, "找不到")</f>
        <v>FA</v>
      </c>
      <c r="F1257" t="s">
        <v>63</v>
      </c>
      <c r="G1257">
        <v>96.042738308678693</v>
      </c>
      <c r="H1257" t="s">
        <v>64</v>
      </c>
      <c r="I1257" t="s">
        <v>65</v>
      </c>
      <c r="J1257">
        <v>0</v>
      </c>
      <c r="K1257">
        <v>3584.2217398211228</v>
      </c>
      <c r="L1257">
        <v>388672.7270387123</v>
      </c>
    </row>
    <row r="1258" spans="1:12" hidden="1" x14ac:dyDescent="0.25">
      <c r="A1258">
        <v>155</v>
      </c>
      <c r="B1258" t="s">
        <v>152</v>
      </c>
      <c r="C1258" t="s">
        <v>149</v>
      </c>
      <c r="D1258">
        <v>0</v>
      </c>
      <c r="E1258" t="str">
        <f>_xlfn.XLOOKUP(F1258, Keys!B:B, Keys!A:A, "找不到")</f>
        <v>FA</v>
      </c>
      <c r="F1258" t="s">
        <v>63</v>
      </c>
      <c r="G1258">
        <v>16.7089147165821</v>
      </c>
      <c r="H1258" t="s">
        <v>64</v>
      </c>
      <c r="I1258" t="s">
        <v>65</v>
      </c>
      <c r="J1258" t="s">
        <v>57</v>
      </c>
      <c r="K1258">
        <v>2050.257968024338</v>
      </c>
      <c r="L1258">
        <v>67618.849307260884</v>
      </c>
    </row>
    <row r="1259" spans="1:12" hidden="1" x14ac:dyDescent="0.25">
      <c r="A1259">
        <v>156</v>
      </c>
      <c r="B1259" t="s">
        <v>152</v>
      </c>
      <c r="C1259" t="s">
        <v>149</v>
      </c>
      <c r="D1259">
        <v>0</v>
      </c>
      <c r="E1259" t="str">
        <f>_xlfn.XLOOKUP(F1259, Keys!B:B, Keys!A:A, "找不到")</f>
        <v>FA</v>
      </c>
      <c r="F1259" t="s">
        <v>63</v>
      </c>
      <c r="G1259">
        <v>3.9513318419625798</v>
      </c>
      <c r="H1259" t="s">
        <v>64</v>
      </c>
      <c r="I1259" t="s">
        <v>65</v>
      </c>
      <c r="J1259" t="s">
        <v>57</v>
      </c>
      <c r="K1259">
        <v>1293.5740835822189</v>
      </c>
      <c r="L1259">
        <v>15990.536603762341</v>
      </c>
    </row>
    <row r="1260" spans="1:12" hidden="1" x14ac:dyDescent="0.25">
      <c r="A1260">
        <v>157</v>
      </c>
      <c r="B1260" t="s">
        <v>152</v>
      </c>
      <c r="C1260" t="s">
        <v>149</v>
      </c>
      <c r="D1260">
        <v>0</v>
      </c>
      <c r="E1260" t="str">
        <f>_xlfn.XLOOKUP(F1260, Keys!B:B, Keys!A:A, "找不到")</f>
        <v>FA</v>
      </c>
      <c r="F1260" t="s">
        <v>63</v>
      </c>
      <c r="G1260">
        <v>19.671440363165569</v>
      </c>
      <c r="H1260" t="s">
        <v>64</v>
      </c>
      <c r="I1260" t="s">
        <v>65</v>
      </c>
      <c r="J1260" t="s">
        <v>57</v>
      </c>
      <c r="K1260">
        <v>2339.3026384064501</v>
      </c>
      <c r="L1260">
        <v>79607.813202469537</v>
      </c>
    </row>
    <row r="1261" spans="1:12" hidden="1" x14ac:dyDescent="0.25">
      <c r="A1261">
        <v>161</v>
      </c>
      <c r="B1261" t="s">
        <v>152</v>
      </c>
      <c r="C1261" t="s">
        <v>149</v>
      </c>
      <c r="D1261">
        <v>0</v>
      </c>
      <c r="E1261" t="str">
        <f>_xlfn.XLOOKUP(F1261, Keys!B:B, Keys!A:A, "找不到")</f>
        <v>FA</v>
      </c>
      <c r="F1261" t="s">
        <v>63</v>
      </c>
      <c r="G1261">
        <v>20.841462467946581</v>
      </c>
      <c r="H1261" t="s">
        <v>64</v>
      </c>
      <c r="I1261" t="s">
        <v>65</v>
      </c>
      <c r="J1261" t="s">
        <v>57</v>
      </c>
      <c r="K1261">
        <v>1273.7781556497971</v>
      </c>
      <c r="L1261">
        <v>84342.743611255224</v>
      </c>
    </row>
    <row r="1262" spans="1:12" hidden="1" x14ac:dyDescent="0.25">
      <c r="A1262">
        <v>163</v>
      </c>
      <c r="B1262" t="s">
        <v>152</v>
      </c>
      <c r="C1262" t="s">
        <v>149</v>
      </c>
      <c r="D1262">
        <v>0</v>
      </c>
      <c r="E1262" t="str">
        <f>_xlfn.XLOOKUP(F1262, Keys!B:B, Keys!A:A, "找不到")</f>
        <v>FA</v>
      </c>
      <c r="F1262" t="s">
        <v>63</v>
      </c>
      <c r="G1262">
        <v>11.14583213755974</v>
      </c>
      <c r="H1262" t="s">
        <v>64</v>
      </c>
      <c r="I1262" t="s">
        <v>65</v>
      </c>
      <c r="J1262" t="s">
        <v>57</v>
      </c>
      <c r="K1262">
        <v>1538.3250280425809</v>
      </c>
      <c r="L1262">
        <v>45105.762791746703</v>
      </c>
    </row>
    <row r="1263" spans="1:12" hidden="1" x14ac:dyDescent="0.25">
      <c r="A1263">
        <v>164</v>
      </c>
      <c r="B1263" t="s">
        <v>152</v>
      </c>
      <c r="C1263" t="s">
        <v>149</v>
      </c>
      <c r="D1263">
        <v>0</v>
      </c>
      <c r="E1263" t="str">
        <f>_xlfn.XLOOKUP(F1263, Keys!B:B, Keys!A:A, "找不到")</f>
        <v>FA</v>
      </c>
      <c r="F1263" t="s">
        <v>63</v>
      </c>
      <c r="G1263">
        <v>0.33275798291997999</v>
      </c>
      <c r="H1263" t="s">
        <v>64</v>
      </c>
      <c r="I1263" t="s">
        <v>65</v>
      </c>
      <c r="J1263" t="s">
        <v>372</v>
      </c>
      <c r="K1263">
        <v>225.5316623922653</v>
      </c>
      <c r="L1263">
        <v>1346.629166795871</v>
      </c>
    </row>
    <row r="1264" spans="1:12" hidden="1" x14ac:dyDescent="0.25">
      <c r="A1264">
        <v>165</v>
      </c>
      <c r="B1264" t="s">
        <v>152</v>
      </c>
      <c r="C1264" t="s">
        <v>149</v>
      </c>
      <c r="D1264">
        <v>0</v>
      </c>
      <c r="E1264" t="str">
        <f>_xlfn.XLOOKUP(F1264, Keys!B:B, Keys!A:A, "找不到")</f>
        <v>FA</v>
      </c>
      <c r="F1264" t="s">
        <v>63</v>
      </c>
      <c r="G1264">
        <v>4.9123540804737624</v>
      </c>
      <c r="H1264" t="s">
        <v>64</v>
      </c>
      <c r="I1264" t="s">
        <v>65</v>
      </c>
      <c r="J1264" t="s">
        <v>57</v>
      </c>
      <c r="K1264">
        <v>603.14559739313313</v>
      </c>
      <c r="L1264">
        <v>19879.671178273289</v>
      </c>
    </row>
    <row r="1265" spans="1:12" hidden="1" x14ac:dyDescent="0.25">
      <c r="A1265">
        <v>166</v>
      </c>
      <c r="B1265" t="s">
        <v>152</v>
      </c>
      <c r="C1265" t="s">
        <v>149</v>
      </c>
      <c r="D1265">
        <v>0</v>
      </c>
      <c r="E1265" t="str">
        <f>_xlfn.XLOOKUP(F1265, Keys!B:B, Keys!A:A, "找不到")</f>
        <v>FA</v>
      </c>
      <c r="F1265" t="s">
        <v>63</v>
      </c>
      <c r="G1265">
        <v>7.481077524907743</v>
      </c>
      <c r="H1265" t="s">
        <v>64</v>
      </c>
      <c r="I1265" t="s">
        <v>65</v>
      </c>
      <c r="J1265" t="s">
        <v>57</v>
      </c>
      <c r="K1265">
        <v>1267.9890550211919</v>
      </c>
      <c r="L1265">
        <v>30274.967727895011</v>
      </c>
    </row>
    <row r="1266" spans="1:12" hidden="1" x14ac:dyDescent="0.25">
      <c r="A1266">
        <v>167</v>
      </c>
      <c r="B1266" t="s">
        <v>152</v>
      </c>
      <c r="C1266" t="s">
        <v>149</v>
      </c>
      <c r="D1266">
        <v>0</v>
      </c>
      <c r="E1266" t="str">
        <f>_xlfn.XLOOKUP(F1266, Keys!B:B, Keys!A:A, "找不到")</f>
        <v>FA</v>
      </c>
      <c r="F1266" t="s">
        <v>63</v>
      </c>
      <c r="G1266">
        <v>2.9104535763429018</v>
      </c>
      <c r="H1266" t="s">
        <v>64</v>
      </c>
      <c r="I1266" t="s">
        <v>65</v>
      </c>
      <c r="J1266" t="s">
        <v>57</v>
      </c>
      <c r="K1266">
        <v>487.55597095204092</v>
      </c>
      <c r="L1266">
        <v>11778.234860412649</v>
      </c>
    </row>
    <row r="1267" spans="1:12" hidden="1" x14ac:dyDescent="0.25">
      <c r="A1267">
        <v>168</v>
      </c>
      <c r="B1267" t="s">
        <v>152</v>
      </c>
      <c r="C1267" t="s">
        <v>149</v>
      </c>
      <c r="D1267">
        <v>0</v>
      </c>
      <c r="E1267" t="str">
        <f>_xlfn.XLOOKUP(F1267, Keys!B:B, Keys!A:A, "找不到")</f>
        <v>FA</v>
      </c>
      <c r="F1267" t="s">
        <v>63</v>
      </c>
      <c r="G1267">
        <v>57.493438590893383</v>
      </c>
      <c r="H1267" t="s">
        <v>64</v>
      </c>
      <c r="I1267" t="s">
        <v>65</v>
      </c>
      <c r="J1267">
        <v>0</v>
      </c>
      <c r="K1267">
        <v>2007.395993559438</v>
      </c>
      <c r="L1267">
        <v>232668.62188097369</v>
      </c>
    </row>
    <row r="1268" spans="1:12" hidden="1" x14ac:dyDescent="0.25">
      <c r="A1268">
        <v>170</v>
      </c>
      <c r="B1268" t="s">
        <v>152</v>
      </c>
      <c r="C1268" t="s">
        <v>149</v>
      </c>
      <c r="D1268">
        <v>0</v>
      </c>
      <c r="E1268" t="str">
        <f>_xlfn.XLOOKUP(F1268, Keys!B:B, Keys!A:A, "找不到")</f>
        <v>FA</v>
      </c>
      <c r="F1268" t="s">
        <v>63</v>
      </c>
      <c r="G1268">
        <v>57.979418977397387</v>
      </c>
      <c r="H1268" t="s">
        <v>64</v>
      </c>
      <c r="I1268" t="s">
        <v>65</v>
      </c>
      <c r="J1268">
        <v>0</v>
      </c>
      <c r="K1268">
        <v>1988.371229252404</v>
      </c>
      <c r="L1268">
        <v>234635.32259605289</v>
      </c>
    </row>
    <row r="1269" spans="1:12" hidden="1" x14ac:dyDescent="0.25">
      <c r="A1269">
        <v>171</v>
      </c>
      <c r="B1269" t="s">
        <v>152</v>
      </c>
      <c r="C1269" t="s">
        <v>149</v>
      </c>
      <c r="D1269">
        <v>0</v>
      </c>
      <c r="E1269" t="str">
        <f>_xlfn.XLOOKUP(F1269, Keys!B:B, Keys!A:A, "找不到")</f>
        <v>FA</v>
      </c>
      <c r="F1269" t="s">
        <v>63</v>
      </c>
      <c r="G1269">
        <v>26.264402979872521</v>
      </c>
      <c r="H1269" t="s">
        <v>64</v>
      </c>
      <c r="I1269" t="s">
        <v>65</v>
      </c>
      <c r="J1269" t="s">
        <v>57</v>
      </c>
      <c r="K1269">
        <v>1372.9453073693339</v>
      </c>
      <c r="L1269">
        <v>106288.6930339458</v>
      </c>
    </row>
    <row r="1270" spans="1:12" hidden="1" x14ac:dyDescent="0.25">
      <c r="A1270">
        <v>172</v>
      </c>
      <c r="B1270" t="s">
        <v>152</v>
      </c>
      <c r="C1270" t="s">
        <v>149</v>
      </c>
      <c r="D1270">
        <v>0</v>
      </c>
      <c r="E1270" t="str">
        <f>_xlfn.XLOOKUP(F1270, Keys!B:B, Keys!A:A, "找不到")</f>
        <v>FA</v>
      </c>
      <c r="F1270" t="s">
        <v>63</v>
      </c>
      <c r="G1270">
        <v>19.6886700869848</v>
      </c>
      <c r="H1270" t="s">
        <v>64</v>
      </c>
      <c r="I1270" t="s">
        <v>65</v>
      </c>
      <c r="J1270" t="s">
        <v>57</v>
      </c>
      <c r="K1270">
        <v>1304.2156821147171</v>
      </c>
      <c r="L1270">
        <v>79677.539699869303</v>
      </c>
    </row>
    <row r="1271" spans="1:12" hidden="1" x14ac:dyDescent="0.25">
      <c r="A1271">
        <v>173</v>
      </c>
      <c r="B1271" t="s">
        <v>152</v>
      </c>
      <c r="C1271" t="s">
        <v>149</v>
      </c>
      <c r="D1271">
        <v>0</v>
      </c>
      <c r="E1271" t="str">
        <f>_xlfn.XLOOKUP(F1271, Keys!B:B, Keys!A:A, "找不到")</f>
        <v>FA</v>
      </c>
      <c r="F1271" t="s">
        <v>63</v>
      </c>
      <c r="G1271">
        <v>6.8830344081709276</v>
      </c>
      <c r="H1271" t="s">
        <v>64</v>
      </c>
      <c r="I1271" t="s">
        <v>65</v>
      </c>
      <c r="J1271" t="s">
        <v>57</v>
      </c>
      <c r="K1271">
        <v>791.86115456399193</v>
      </c>
      <c r="L1271">
        <v>27854.76341924896</v>
      </c>
    </row>
    <row r="1272" spans="1:12" hidden="1" x14ac:dyDescent="0.25">
      <c r="A1272">
        <v>174</v>
      </c>
      <c r="B1272" t="s">
        <v>152</v>
      </c>
      <c r="C1272" t="s">
        <v>149</v>
      </c>
      <c r="D1272">
        <v>0</v>
      </c>
      <c r="E1272" t="str">
        <f>_xlfn.XLOOKUP(F1272, Keys!B:B, Keys!A:A, "找不到")</f>
        <v>FA</v>
      </c>
      <c r="F1272" t="s">
        <v>63</v>
      </c>
      <c r="G1272">
        <v>0.3709989626472987</v>
      </c>
      <c r="H1272" t="s">
        <v>64</v>
      </c>
      <c r="I1272" t="s">
        <v>65</v>
      </c>
      <c r="J1272">
        <v>0</v>
      </c>
      <c r="K1272">
        <v>277.63603791352938</v>
      </c>
      <c r="L1272">
        <v>1501.385540229114</v>
      </c>
    </row>
    <row r="1273" spans="1:12" hidden="1" x14ac:dyDescent="0.25">
      <c r="A1273">
        <v>178</v>
      </c>
      <c r="B1273" t="s">
        <v>152</v>
      </c>
      <c r="C1273" t="s">
        <v>149</v>
      </c>
      <c r="D1273">
        <v>0</v>
      </c>
      <c r="E1273" t="str">
        <f>_xlfn.XLOOKUP(F1273, Keys!B:B, Keys!A:A, "找不到")</f>
        <v>FA</v>
      </c>
      <c r="F1273" t="s">
        <v>63</v>
      </c>
      <c r="G1273">
        <v>111.8478747620848</v>
      </c>
      <c r="H1273" t="s">
        <v>64</v>
      </c>
      <c r="I1273" t="s">
        <v>65</v>
      </c>
      <c r="J1273">
        <v>0</v>
      </c>
      <c r="K1273">
        <v>2384.9460924609461</v>
      </c>
      <c r="L1273">
        <v>452634.10084732668</v>
      </c>
    </row>
    <row r="1274" spans="1:12" hidden="1" x14ac:dyDescent="0.25">
      <c r="A1274">
        <v>180</v>
      </c>
      <c r="B1274" t="s">
        <v>152</v>
      </c>
      <c r="C1274" t="s">
        <v>149</v>
      </c>
      <c r="D1274">
        <v>0</v>
      </c>
      <c r="E1274" t="str">
        <f>_xlfn.XLOOKUP(F1274, Keys!B:B, Keys!A:A, "找不到")</f>
        <v>FA</v>
      </c>
      <c r="F1274" t="s">
        <v>63</v>
      </c>
      <c r="G1274">
        <v>4.955233249735004</v>
      </c>
      <c r="H1274" t="s">
        <v>64</v>
      </c>
      <c r="I1274" t="s">
        <v>65</v>
      </c>
      <c r="J1274">
        <v>0</v>
      </c>
      <c r="K1274">
        <v>738.95667429634057</v>
      </c>
      <c r="L1274">
        <v>20053.19771389076</v>
      </c>
    </row>
    <row r="1275" spans="1:12" hidden="1" x14ac:dyDescent="0.25">
      <c r="A1275">
        <v>1</v>
      </c>
      <c r="B1275" t="s">
        <v>378</v>
      </c>
      <c r="C1275" t="s">
        <v>379</v>
      </c>
      <c r="D1275">
        <v>0</v>
      </c>
      <c r="E1275" t="str">
        <f>_xlfn.XLOOKUP(F1275, Keys!B:B, Keys!A:A, "找不到")</f>
        <v>FA</v>
      </c>
      <c r="F1275" t="s">
        <v>63</v>
      </c>
      <c r="G1275">
        <v>1.1344223523244259</v>
      </c>
      <c r="H1275" t="s">
        <v>64</v>
      </c>
      <c r="I1275" t="s">
        <v>65</v>
      </c>
      <c r="J1275" t="s">
        <v>380</v>
      </c>
      <c r="K1275">
        <v>340.87902976960532</v>
      </c>
      <c r="L1275">
        <v>4590.8627456508366</v>
      </c>
    </row>
    <row r="1276" spans="1:12" hidden="1" x14ac:dyDescent="0.25">
      <c r="A1276">
        <v>2</v>
      </c>
      <c r="B1276" t="s">
        <v>378</v>
      </c>
      <c r="C1276" t="s">
        <v>379</v>
      </c>
      <c r="D1276">
        <v>0</v>
      </c>
      <c r="E1276" t="str">
        <f>_xlfn.XLOOKUP(F1276, Keys!B:B, Keys!A:A, "找不到")</f>
        <v>FA</v>
      </c>
      <c r="F1276" t="s">
        <v>63</v>
      </c>
      <c r="G1276">
        <v>0.34968843407345879</v>
      </c>
      <c r="H1276" t="s">
        <v>64</v>
      </c>
      <c r="I1276" t="s">
        <v>65</v>
      </c>
      <c r="J1276" t="s">
        <v>387</v>
      </c>
      <c r="K1276">
        <v>162.4299601277946</v>
      </c>
      <c r="L1276">
        <v>1415.1445458416979</v>
      </c>
    </row>
    <row r="1277" spans="1:12" hidden="1" x14ac:dyDescent="0.25">
      <c r="A1277">
        <v>3</v>
      </c>
      <c r="B1277" t="s">
        <v>378</v>
      </c>
      <c r="C1277" t="s">
        <v>379</v>
      </c>
      <c r="D1277">
        <v>0</v>
      </c>
      <c r="E1277" t="str">
        <f>_xlfn.XLOOKUP(F1277, Keys!B:B, Keys!A:A, "找不到")</f>
        <v>FA</v>
      </c>
      <c r="F1277" t="s">
        <v>63</v>
      </c>
      <c r="G1277">
        <v>0.1080501001363583</v>
      </c>
      <c r="H1277" t="s">
        <v>64</v>
      </c>
      <c r="I1277" t="s">
        <v>65</v>
      </c>
      <c r="J1277" t="s">
        <v>387</v>
      </c>
      <c r="K1277">
        <v>91.653020730264771</v>
      </c>
      <c r="L1277">
        <v>437.26499073599848</v>
      </c>
    </row>
    <row r="1278" spans="1:12" hidden="1" x14ac:dyDescent="0.25">
      <c r="A1278">
        <v>15</v>
      </c>
      <c r="B1278" t="s">
        <v>378</v>
      </c>
      <c r="C1278" t="s">
        <v>379</v>
      </c>
      <c r="D1278">
        <v>0</v>
      </c>
      <c r="E1278" t="str">
        <f>_xlfn.XLOOKUP(F1278, Keys!B:B, Keys!A:A, "找不到")</f>
        <v>FA</v>
      </c>
      <c r="F1278" t="s">
        <v>63</v>
      </c>
      <c r="G1278">
        <v>2.4227185609601212</v>
      </c>
      <c r="H1278" t="s">
        <v>64</v>
      </c>
      <c r="I1278" t="s">
        <v>65</v>
      </c>
      <c r="J1278" t="s">
        <v>429</v>
      </c>
      <c r="K1278">
        <v>451.25516229117022</v>
      </c>
      <c r="L1278">
        <v>9804.4333857834772</v>
      </c>
    </row>
    <row r="1279" spans="1:12" hidden="1" x14ac:dyDescent="0.25">
      <c r="A1279">
        <v>16</v>
      </c>
      <c r="B1279" t="s">
        <v>378</v>
      </c>
      <c r="C1279" t="s">
        <v>379</v>
      </c>
      <c r="D1279">
        <v>0</v>
      </c>
      <c r="E1279" t="str">
        <f>_xlfn.XLOOKUP(F1279, Keys!B:B, Keys!A:A, "找不到")</f>
        <v>FA</v>
      </c>
      <c r="F1279" t="s">
        <v>63</v>
      </c>
      <c r="G1279">
        <v>0.34710861932552739</v>
      </c>
      <c r="H1279" t="s">
        <v>64</v>
      </c>
      <c r="I1279" t="s">
        <v>65</v>
      </c>
      <c r="J1279" t="s">
        <v>429</v>
      </c>
      <c r="K1279">
        <v>188.32646935871799</v>
      </c>
      <c r="L1279">
        <v>1404.704364199745</v>
      </c>
    </row>
    <row r="1280" spans="1:12" hidden="1" x14ac:dyDescent="0.25">
      <c r="A1280">
        <v>29</v>
      </c>
      <c r="B1280" t="s">
        <v>378</v>
      </c>
      <c r="C1280" t="s">
        <v>379</v>
      </c>
      <c r="D1280">
        <v>0</v>
      </c>
      <c r="E1280" t="str">
        <f>_xlfn.XLOOKUP(F1280, Keys!B:B, Keys!A:A, "找不到")</f>
        <v>FA</v>
      </c>
      <c r="F1280" t="s">
        <v>63</v>
      </c>
      <c r="G1280">
        <v>7.3187875959737774</v>
      </c>
      <c r="H1280" t="s">
        <v>64</v>
      </c>
      <c r="I1280" t="s">
        <v>65</v>
      </c>
      <c r="J1280" t="s">
        <v>467</v>
      </c>
      <c r="K1280">
        <v>824.94663407481221</v>
      </c>
      <c r="L1280">
        <v>29618.201059633699</v>
      </c>
    </row>
    <row r="1281" spans="1:12" hidden="1" x14ac:dyDescent="0.25">
      <c r="A1281">
        <v>30</v>
      </c>
      <c r="B1281" t="s">
        <v>378</v>
      </c>
      <c r="C1281" t="s">
        <v>379</v>
      </c>
      <c r="D1281">
        <v>0</v>
      </c>
      <c r="E1281" t="str">
        <f>_xlfn.XLOOKUP(F1281, Keys!B:B, Keys!A:A, "找不到")</f>
        <v>FA</v>
      </c>
      <c r="F1281" t="s">
        <v>63</v>
      </c>
      <c r="G1281">
        <v>0.24302168383406611</v>
      </c>
      <c r="H1281" t="s">
        <v>64</v>
      </c>
      <c r="I1281" t="s">
        <v>65</v>
      </c>
      <c r="J1281" t="s">
        <v>469</v>
      </c>
      <c r="K1281">
        <v>147.1419517762607</v>
      </c>
      <c r="L1281">
        <v>983.47779591360245</v>
      </c>
    </row>
    <row r="1282" spans="1:12" hidden="1" x14ac:dyDescent="0.25">
      <c r="A1282">
        <v>31</v>
      </c>
      <c r="B1282" t="s">
        <v>378</v>
      </c>
      <c r="C1282" t="s">
        <v>379</v>
      </c>
      <c r="D1282">
        <v>0</v>
      </c>
      <c r="E1282" t="str">
        <f>_xlfn.XLOOKUP(F1282, Keys!B:B, Keys!A:A, "找不到")</f>
        <v>FA</v>
      </c>
      <c r="F1282" t="s">
        <v>63</v>
      </c>
      <c r="G1282">
        <v>0.75769758178993085</v>
      </c>
      <c r="H1282" t="s">
        <v>64</v>
      </c>
      <c r="I1282" t="s">
        <v>65</v>
      </c>
      <c r="J1282" t="s">
        <v>469</v>
      </c>
      <c r="K1282">
        <v>265.66767932825468</v>
      </c>
      <c r="L1282">
        <v>3066.3055903136269</v>
      </c>
    </row>
    <row r="1283" spans="1:12" hidden="1" x14ac:dyDescent="0.25">
      <c r="A1283">
        <v>34</v>
      </c>
      <c r="B1283" t="s">
        <v>378</v>
      </c>
      <c r="C1283" t="s">
        <v>379</v>
      </c>
      <c r="D1283" t="s">
        <v>479</v>
      </c>
      <c r="E1283" t="str">
        <f>_xlfn.XLOOKUP(F1283, Keys!B:B, Keys!A:A, "找不到")</f>
        <v>FA</v>
      </c>
      <c r="F1283" t="s">
        <v>63</v>
      </c>
      <c r="G1283">
        <v>0.66748689354858115</v>
      </c>
      <c r="H1283" t="s">
        <v>64</v>
      </c>
      <c r="I1283" t="s">
        <v>65</v>
      </c>
      <c r="J1283" t="s">
        <v>480</v>
      </c>
      <c r="K1283">
        <v>224.6159133667438</v>
      </c>
      <c r="L1283">
        <v>2701.234426951803</v>
      </c>
    </row>
    <row r="1284" spans="1:12" hidden="1" x14ac:dyDescent="0.25">
      <c r="A1284">
        <v>48</v>
      </c>
      <c r="B1284" t="s">
        <v>378</v>
      </c>
      <c r="C1284" t="s">
        <v>379</v>
      </c>
      <c r="D1284" t="s">
        <v>479</v>
      </c>
      <c r="E1284" t="str">
        <f>_xlfn.XLOOKUP(F1284, Keys!B:B, Keys!A:A, "找不到")</f>
        <v>FA</v>
      </c>
      <c r="F1284" t="s">
        <v>63</v>
      </c>
      <c r="G1284">
        <v>0.39381224558922318</v>
      </c>
      <c r="H1284" t="s">
        <v>64</v>
      </c>
      <c r="I1284" t="s">
        <v>65</v>
      </c>
      <c r="J1284" t="s">
        <v>480</v>
      </c>
      <c r="K1284">
        <v>163.14619818387311</v>
      </c>
      <c r="L1284">
        <v>1593.7079901080999</v>
      </c>
    </row>
    <row r="1285" spans="1:12" hidden="1" x14ac:dyDescent="0.25">
      <c r="A1285">
        <v>49</v>
      </c>
      <c r="B1285" t="s">
        <v>378</v>
      </c>
      <c r="C1285" t="s">
        <v>379</v>
      </c>
      <c r="D1285" t="s">
        <v>479</v>
      </c>
      <c r="E1285" t="str">
        <f>_xlfn.XLOOKUP(F1285, Keys!B:B, Keys!A:A, "找不到")</f>
        <v>FA</v>
      </c>
      <c r="F1285" t="s">
        <v>63</v>
      </c>
      <c r="G1285">
        <v>0.680204311512557</v>
      </c>
      <c r="H1285" t="s">
        <v>64</v>
      </c>
      <c r="I1285" t="s">
        <v>65</v>
      </c>
      <c r="J1285" t="s">
        <v>480</v>
      </c>
      <c r="K1285">
        <v>214.756482246817</v>
      </c>
      <c r="L1285">
        <v>2752.70019737854</v>
      </c>
    </row>
    <row r="1286" spans="1:12" hidden="1" x14ac:dyDescent="0.25">
      <c r="A1286">
        <v>52</v>
      </c>
      <c r="B1286" t="s">
        <v>378</v>
      </c>
      <c r="C1286" t="s">
        <v>379</v>
      </c>
      <c r="D1286" t="s">
        <v>479</v>
      </c>
      <c r="E1286" t="str">
        <f>_xlfn.XLOOKUP(F1286, Keys!B:B, Keys!A:A, "找不到")</f>
        <v>FA</v>
      </c>
      <c r="F1286" t="s">
        <v>63</v>
      </c>
      <c r="G1286">
        <v>1.8142759549570899</v>
      </c>
      <c r="H1286" t="s">
        <v>64</v>
      </c>
      <c r="I1286" t="s">
        <v>65</v>
      </c>
      <c r="J1286" t="s">
        <v>532</v>
      </c>
      <c r="K1286">
        <v>349.45678689367259</v>
      </c>
      <c r="L1286">
        <v>7342.1436688693002</v>
      </c>
    </row>
    <row r="1287" spans="1:12" hidden="1" x14ac:dyDescent="0.25">
      <c r="A1287">
        <v>54</v>
      </c>
      <c r="B1287" t="s">
        <v>378</v>
      </c>
      <c r="C1287" t="s">
        <v>379</v>
      </c>
      <c r="D1287">
        <v>0</v>
      </c>
      <c r="E1287" t="str">
        <f>_xlfn.XLOOKUP(F1287, Keys!B:B, Keys!A:A, "找不到")</f>
        <v>FA</v>
      </c>
      <c r="F1287" t="s">
        <v>63</v>
      </c>
      <c r="G1287">
        <v>4.3101684989271218</v>
      </c>
      <c r="H1287" t="s">
        <v>64</v>
      </c>
      <c r="I1287" t="s">
        <v>65</v>
      </c>
      <c r="J1287" t="s">
        <v>543</v>
      </c>
      <c r="K1287">
        <v>743.85120536781562</v>
      </c>
      <c r="L1287">
        <v>17442.70284225099</v>
      </c>
    </row>
    <row r="1288" spans="1:12" hidden="1" x14ac:dyDescent="0.25">
      <c r="A1288">
        <v>55</v>
      </c>
      <c r="B1288" t="s">
        <v>378</v>
      </c>
      <c r="C1288" t="s">
        <v>379</v>
      </c>
      <c r="D1288">
        <v>0</v>
      </c>
      <c r="E1288" t="str">
        <f>_xlfn.XLOOKUP(F1288, Keys!B:B, Keys!A:A, "找不到")</f>
        <v>FA</v>
      </c>
      <c r="F1288" t="s">
        <v>63</v>
      </c>
      <c r="G1288">
        <v>2.8804020042305338</v>
      </c>
      <c r="H1288" t="s">
        <v>64</v>
      </c>
      <c r="I1288" t="s">
        <v>65</v>
      </c>
      <c r="J1288" t="s">
        <v>550</v>
      </c>
      <c r="K1288">
        <v>453.03446134523568</v>
      </c>
      <c r="L1288">
        <v>11656.619976347451</v>
      </c>
    </row>
    <row r="1289" spans="1:12" hidden="1" x14ac:dyDescent="0.25">
      <c r="A1289">
        <v>56</v>
      </c>
      <c r="B1289" t="s">
        <v>378</v>
      </c>
      <c r="C1289" t="s">
        <v>379</v>
      </c>
      <c r="D1289">
        <v>0</v>
      </c>
      <c r="E1289" t="str">
        <f>_xlfn.XLOOKUP(F1289, Keys!B:B, Keys!A:A, "找不到")</f>
        <v>FA</v>
      </c>
      <c r="F1289" t="s">
        <v>63</v>
      </c>
      <c r="G1289">
        <v>1.429328206949487</v>
      </c>
      <c r="H1289" t="s">
        <v>64</v>
      </c>
      <c r="I1289" t="s">
        <v>65</v>
      </c>
      <c r="J1289" t="s">
        <v>556</v>
      </c>
      <c r="K1289">
        <v>357.16829353254042</v>
      </c>
      <c r="L1289">
        <v>5784.309171224555</v>
      </c>
    </row>
    <row r="1290" spans="1:12" hidden="1" x14ac:dyDescent="0.25">
      <c r="A1290">
        <v>57</v>
      </c>
      <c r="B1290" t="s">
        <v>378</v>
      </c>
      <c r="C1290" t="s">
        <v>379</v>
      </c>
      <c r="D1290">
        <v>0</v>
      </c>
      <c r="E1290" t="str">
        <f>_xlfn.XLOOKUP(F1290, Keys!B:B, Keys!A:A, "找不到")</f>
        <v>FA</v>
      </c>
      <c r="F1290" t="s">
        <v>63</v>
      </c>
      <c r="G1290">
        <v>11.3990180174958</v>
      </c>
      <c r="H1290" t="s">
        <v>64</v>
      </c>
      <c r="I1290" t="s">
        <v>65</v>
      </c>
      <c r="J1290" t="s">
        <v>559</v>
      </c>
      <c r="K1290">
        <v>1595.5399296267001</v>
      </c>
      <c r="L1290">
        <v>46130.373794466861</v>
      </c>
    </row>
    <row r="1291" spans="1:12" hidden="1" x14ac:dyDescent="0.25">
      <c r="A1291">
        <v>58</v>
      </c>
      <c r="B1291" t="s">
        <v>378</v>
      </c>
      <c r="C1291" t="s">
        <v>379</v>
      </c>
      <c r="D1291">
        <v>0</v>
      </c>
      <c r="E1291" t="str">
        <f>_xlfn.XLOOKUP(F1291, Keys!B:B, Keys!A:A, "找不到")</f>
        <v>FA</v>
      </c>
      <c r="F1291" t="s">
        <v>63</v>
      </c>
      <c r="G1291">
        <v>9.5857462136914222</v>
      </c>
      <c r="H1291" t="s">
        <v>64</v>
      </c>
      <c r="I1291" t="s">
        <v>65</v>
      </c>
      <c r="J1291" t="s">
        <v>565</v>
      </c>
      <c r="K1291">
        <v>934.14354253812655</v>
      </c>
      <c r="L1291">
        <v>38792.293797393642</v>
      </c>
    </row>
    <row r="1292" spans="1:12" hidden="1" x14ac:dyDescent="0.25">
      <c r="A1292">
        <v>59</v>
      </c>
      <c r="B1292" t="s">
        <v>378</v>
      </c>
      <c r="C1292" t="s">
        <v>379</v>
      </c>
      <c r="D1292">
        <v>0</v>
      </c>
      <c r="E1292" t="str">
        <f>_xlfn.XLOOKUP(F1292, Keys!B:B, Keys!A:A, "找不到")</f>
        <v>FA</v>
      </c>
      <c r="F1292" t="s">
        <v>63</v>
      </c>
      <c r="G1292">
        <v>2.4717478332318752</v>
      </c>
      <c r="H1292" t="s">
        <v>64</v>
      </c>
      <c r="I1292" t="s">
        <v>65</v>
      </c>
      <c r="J1292" t="s">
        <v>569</v>
      </c>
      <c r="K1292">
        <v>710.97554305618667</v>
      </c>
      <c r="L1292">
        <v>10002.8486048221</v>
      </c>
    </row>
    <row r="1293" spans="1:12" hidden="1" x14ac:dyDescent="0.25">
      <c r="A1293">
        <v>60</v>
      </c>
      <c r="B1293" t="s">
        <v>378</v>
      </c>
      <c r="C1293" t="s">
        <v>379</v>
      </c>
      <c r="D1293">
        <v>0</v>
      </c>
      <c r="E1293" t="str">
        <f>_xlfn.XLOOKUP(F1293, Keys!B:B, Keys!A:A, "找不到")</f>
        <v>FA</v>
      </c>
      <c r="F1293" t="s">
        <v>63</v>
      </c>
      <c r="G1293">
        <v>2.492773107863862</v>
      </c>
      <c r="H1293" t="s">
        <v>64</v>
      </c>
      <c r="I1293" t="s">
        <v>65</v>
      </c>
      <c r="J1293" t="s">
        <v>573</v>
      </c>
      <c r="K1293">
        <v>495.57476922667269</v>
      </c>
      <c r="L1293">
        <v>10087.935212845379</v>
      </c>
    </row>
    <row r="1294" spans="1:12" hidden="1" x14ac:dyDescent="0.25">
      <c r="A1294">
        <v>61</v>
      </c>
      <c r="B1294" t="s">
        <v>378</v>
      </c>
      <c r="C1294" t="s">
        <v>379</v>
      </c>
      <c r="D1294">
        <v>0</v>
      </c>
      <c r="E1294" t="str">
        <f>_xlfn.XLOOKUP(F1294, Keys!B:B, Keys!A:A, "找不到")</f>
        <v>FA</v>
      </c>
      <c r="F1294" t="s">
        <v>63</v>
      </c>
      <c r="G1294">
        <v>3.1037168830560851</v>
      </c>
      <c r="H1294" t="s">
        <v>64</v>
      </c>
      <c r="I1294" t="s">
        <v>65</v>
      </c>
      <c r="J1294" t="s">
        <v>573</v>
      </c>
      <c r="K1294">
        <v>466.09573577204901</v>
      </c>
      <c r="L1294">
        <v>12560.346842843959</v>
      </c>
    </row>
    <row r="1295" spans="1:12" hidden="1" x14ac:dyDescent="0.25">
      <c r="A1295">
        <v>62</v>
      </c>
      <c r="B1295" t="s">
        <v>378</v>
      </c>
      <c r="C1295" t="s">
        <v>379</v>
      </c>
      <c r="D1295">
        <v>0</v>
      </c>
      <c r="E1295" t="str">
        <f>_xlfn.XLOOKUP(F1295, Keys!B:B, Keys!A:A, "找不到")</f>
        <v>FA</v>
      </c>
      <c r="F1295" t="s">
        <v>63</v>
      </c>
      <c r="G1295">
        <v>0.86808047170842928</v>
      </c>
      <c r="H1295" t="s">
        <v>64</v>
      </c>
      <c r="I1295" t="s">
        <v>65</v>
      </c>
      <c r="J1295" t="s">
        <v>573</v>
      </c>
      <c r="K1295">
        <v>319.24638497557311</v>
      </c>
      <c r="L1295">
        <v>3513.0110841235628</v>
      </c>
    </row>
    <row r="1296" spans="1:12" hidden="1" x14ac:dyDescent="0.25">
      <c r="A1296">
        <v>63</v>
      </c>
      <c r="B1296" t="s">
        <v>378</v>
      </c>
      <c r="C1296" t="s">
        <v>379</v>
      </c>
      <c r="D1296">
        <v>0</v>
      </c>
      <c r="E1296" t="str">
        <f>_xlfn.XLOOKUP(F1296, Keys!B:B, Keys!A:A, "找不到")</f>
        <v>FA</v>
      </c>
      <c r="F1296" t="s">
        <v>63</v>
      </c>
      <c r="G1296">
        <v>0.98056840514142896</v>
      </c>
      <c r="H1296" t="s">
        <v>64</v>
      </c>
      <c r="I1296" t="s">
        <v>65</v>
      </c>
      <c r="J1296" t="s">
        <v>573</v>
      </c>
      <c r="K1296">
        <v>258.44774287165649</v>
      </c>
      <c r="L1296">
        <v>3968.235420874928</v>
      </c>
    </row>
    <row r="1297" spans="1:12" hidden="1" x14ac:dyDescent="0.25">
      <c r="A1297">
        <v>64</v>
      </c>
      <c r="B1297" t="s">
        <v>378</v>
      </c>
      <c r="C1297" t="s">
        <v>379</v>
      </c>
      <c r="D1297">
        <v>0</v>
      </c>
      <c r="E1297" t="str">
        <f>_xlfn.XLOOKUP(F1297, Keys!B:B, Keys!A:A, "找不到")</f>
        <v>FA</v>
      </c>
      <c r="F1297" t="s">
        <v>63</v>
      </c>
      <c r="G1297">
        <v>5.0568231535309351</v>
      </c>
      <c r="H1297" t="s">
        <v>64</v>
      </c>
      <c r="I1297" t="s">
        <v>65</v>
      </c>
      <c r="J1297" t="s">
        <v>573</v>
      </c>
      <c r="K1297">
        <v>831.54775135679301</v>
      </c>
      <c r="L1297">
        <v>20464.319113002279</v>
      </c>
    </row>
    <row r="1298" spans="1:12" hidden="1" x14ac:dyDescent="0.25">
      <c r="A1298">
        <v>93</v>
      </c>
      <c r="B1298" t="s">
        <v>378</v>
      </c>
      <c r="C1298" t="s">
        <v>379</v>
      </c>
      <c r="D1298">
        <v>0</v>
      </c>
      <c r="E1298" t="str">
        <f>_xlfn.XLOOKUP(F1298, Keys!B:B, Keys!A:A, "找不到")</f>
        <v>FA</v>
      </c>
      <c r="F1298" t="s">
        <v>63</v>
      </c>
      <c r="G1298">
        <v>6.558342751652263E-2</v>
      </c>
      <c r="H1298" t="s">
        <v>64</v>
      </c>
      <c r="I1298" t="s">
        <v>65</v>
      </c>
      <c r="J1298" t="s">
        <v>641</v>
      </c>
      <c r="K1298">
        <v>83.051530158832207</v>
      </c>
      <c r="L1298">
        <v>265.40777647828878</v>
      </c>
    </row>
    <row r="1299" spans="1:12" hidden="1" x14ac:dyDescent="0.25">
      <c r="A1299">
        <v>94</v>
      </c>
      <c r="B1299" t="s">
        <v>378</v>
      </c>
      <c r="C1299" t="s">
        <v>379</v>
      </c>
      <c r="D1299">
        <v>0</v>
      </c>
      <c r="E1299" t="str">
        <f>_xlfn.XLOOKUP(F1299, Keys!B:B, Keys!A:A, "找不到")</f>
        <v>FA</v>
      </c>
      <c r="F1299" t="s">
        <v>63</v>
      </c>
      <c r="G1299">
        <v>6.606944007014319E-2</v>
      </c>
      <c r="H1299" t="s">
        <v>64</v>
      </c>
      <c r="I1299" t="s">
        <v>65</v>
      </c>
      <c r="J1299" t="s">
        <v>645</v>
      </c>
      <c r="K1299">
        <v>76.529169989065139</v>
      </c>
      <c r="L1299">
        <v>267.37460736959082</v>
      </c>
    </row>
    <row r="1300" spans="1:12" hidden="1" x14ac:dyDescent="0.25">
      <c r="A1300">
        <v>95</v>
      </c>
      <c r="B1300" t="s">
        <v>378</v>
      </c>
      <c r="C1300" t="s">
        <v>379</v>
      </c>
      <c r="D1300">
        <v>0</v>
      </c>
      <c r="E1300" t="str">
        <f>_xlfn.XLOOKUP(F1300, Keys!B:B, Keys!A:A, "找不到")</f>
        <v>FA</v>
      </c>
      <c r="F1300" t="s">
        <v>63</v>
      </c>
      <c r="G1300">
        <v>6.8337739655904312E-2</v>
      </c>
      <c r="H1300" t="s">
        <v>64</v>
      </c>
      <c r="I1300" t="s">
        <v>65</v>
      </c>
      <c r="J1300" t="s">
        <v>647</v>
      </c>
      <c r="K1300">
        <v>76.645603752533333</v>
      </c>
      <c r="L1300">
        <v>276.55412683419661</v>
      </c>
    </row>
    <row r="1301" spans="1:12" hidden="1" x14ac:dyDescent="0.25">
      <c r="A1301">
        <v>101</v>
      </c>
      <c r="B1301" t="s">
        <v>378</v>
      </c>
      <c r="C1301" t="s">
        <v>379</v>
      </c>
      <c r="D1301">
        <v>0</v>
      </c>
      <c r="E1301" t="str">
        <f>_xlfn.XLOOKUP(F1301, Keys!B:B, Keys!A:A, "找不到")</f>
        <v>FA</v>
      </c>
      <c r="F1301" t="s">
        <v>63</v>
      </c>
      <c r="G1301">
        <v>0.43829542525829868</v>
      </c>
      <c r="H1301" t="s">
        <v>64</v>
      </c>
      <c r="I1301" t="s">
        <v>65</v>
      </c>
      <c r="J1301" t="s">
        <v>380</v>
      </c>
      <c r="K1301">
        <v>231.57194622788381</v>
      </c>
      <c r="L1301">
        <v>1773.7257515109959</v>
      </c>
    </row>
    <row r="1302" spans="1:12" hidden="1" x14ac:dyDescent="0.25">
      <c r="A1302">
        <v>103</v>
      </c>
      <c r="B1302" t="s">
        <v>378</v>
      </c>
      <c r="C1302" t="s">
        <v>379</v>
      </c>
      <c r="D1302">
        <v>0</v>
      </c>
      <c r="E1302" t="str">
        <f>_xlfn.XLOOKUP(F1302, Keys!B:B, Keys!A:A, "找不到")</f>
        <v>FA</v>
      </c>
      <c r="F1302" t="s">
        <v>63</v>
      </c>
      <c r="G1302">
        <v>5.3099243583136886</v>
      </c>
      <c r="H1302" t="s">
        <v>64</v>
      </c>
      <c r="I1302" t="s">
        <v>65</v>
      </c>
      <c r="J1302" t="s">
        <v>675</v>
      </c>
      <c r="K1302">
        <v>732.28953711665849</v>
      </c>
      <c r="L1302">
        <v>21488.58744616378</v>
      </c>
    </row>
    <row r="1303" spans="1:12" hidden="1" x14ac:dyDescent="0.25">
      <c r="A1303">
        <v>104</v>
      </c>
      <c r="B1303" t="s">
        <v>378</v>
      </c>
      <c r="C1303" t="s">
        <v>379</v>
      </c>
      <c r="D1303" t="s">
        <v>479</v>
      </c>
      <c r="E1303" t="str">
        <f>_xlfn.XLOOKUP(F1303, Keys!B:B, Keys!A:A, "找不到")</f>
        <v>FA</v>
      </c>
      <c r="F1303" t="s">
        <v>63</v>
      </c>
      <c r="G1303">
        <v>0.42279952768806828</v>
      </c>
      <c r="H1303" t="s">
        <v>64</v>
      </c>
      <c r="I1303" t="s">
        <v>65</v>
      </c>
      <c r="J1303" t="s">
        <v>480</v>
      </c>
      <c r="K1303">
        <v>165.62387930534021</v>
      </c>
      <c r="L1303">
        <v>1711.0158280686139</v>
      </c>
    </row>
    <row r="1304" spans="1:12" hidden="1" x14ac:dyDescent="0.25">
      <c r="A1304">
        <v>106</v>
      </c>
      <c r="B1304" t="s">
        <v>378</v>
      </c>
      <c r="C1304" t="s">
        <v>379</v>
      </c>
      <c r="D1304">
        <v>0</v>
      </c>
      <c r="E1304" t="str">
        <f>_xlfn.XLOOKUP(F1304, Keys!B:B, Keys!A:A, "找不到")</f>
        <v>FA</v>
      </c>
      <c r="F1304" t="s">
        <v>63</v>
      </c>
      <c r="G1304">
        <v>0.31908311016324808</v>
      </c>
      <c r="H1304" t="s">
        <v>64</v>
      </c>
      <c r="I1304" t="s">
        <v>65</v>
      </c>
      <c r="J1304" t="s">
        <v>678</v>
      </c>
      <c r="K1304">
        <v>146.1177397959168</v>
      </c>
      <c r="L1304">
        <v>1291.288698793137</v>
      </c>
    </row>
    <row r="1305" spans="1:12" hidden="1" x14ac:dyDescent="0.25">
      <c r="A1305">
        <v>107</v>
      </c>
      <c r="B1305" t="s">
        <v>378</v>
      </c>
      <c r="C1305" t="s">
        <v>379</v>
      </c>
      <c r="D1305" t="s">
        <v>479</v>
      </c>
      <c r="E1305" t="str">
        <f>_xlfn.XLOOKUP(F1305, Keys!B:B, Keys!A:A, "找不到")</f>
        <v>FA</v>
      </c>
      <c r="F1305" t="s">
        <v>63</v>
      </c>
      <c r="G1305">
        <v>1.8785036913776609</v>
      </c>
      <c r="H1305" t="s">
        <v>64</v>
      </c>
      <c r="I1305" t="s">
        <v>65</v>
      </c>
      <c r="J1305" t="s">
        <v>532</v>
      </c>
      <c r="K1305">
        <v>425.36067985390213</v>
      </c>
      <c r="L1305">
        <v>7602.0651361839327</v>
      </c>
    </row>
    <row r="1306" spans="1:12" hidden="1" x14ac:dyDescent="0.25">
      <c r="A1306">
        <v>108</v>
      </c>
      <c r="B1306" t="s">
        <v>378</v>
      </c>
      <c r="C1306" t="s">
        <v>379</v>
      </c>
      <c r="D1306">
        <v>0</v>
      </c>
      <c r="E1306" t="str">
        <f>_xlfn.XLOOKUP(F1306, Keys!B:B, Keys!A:A, "找不到")</f>
        <v>FA</v>
      </c>
      <c r="F1306" t="s">
        <v>63</v>
      </c>
      <c r="G1306">
        <v>0.24601496979673909</v>
      </c>
      <c r="H1306" t="s">
        <v>64</v>
      </c>
      <c r="I1306" t="s">
        <v>65</v>
      </c>
      <c r="J1306" t="s">
        <v>679</v>
      </c>
      <c r="K1306">
        <v>130.9444547820199</v>
      </c>
      <c r="L1306">
        <v>995.59124288946475</v>
      </c>
    </row>
    <row r="1307" spans="1:12" hidden="1" x14ac:dyDescent="0.25">
      <c r="A1307">
        <v>125</v>
      </c>
      <c r="B1307" t="s">
        <v>378</v>
      </c>
      <c r="C1307" t="s">
        <v>379</v>
      </c>
      <c r="D1307">
        <v>0</v>
      </c>
      <c r="E1307" t="str">
        <f>_xlfn.XLOOKUP(F1307, Keys!B:B, Keys!A:A, "找不到")</f>
        <v>FA</v>
      </c>
      <c r="F1307" t="s">
        <v>63</v>
      </c>
      <c r="G1307">
        <v>6.8166703423212752E-2</v>
      </c>
      <c r="H1307" t="s">
        <v>64</v>
      </c>
      <c r="I1307" t="s">
        <v>65</v>
      </c>
      <c r="J1307" t="s">
        <v>667</v>
      </c>
      <c r="K1307">
        <v>72.970748278307823</v>
      </c>
      <c r="L1307">
        <v>275.86196498882111</v>
      </c>
    </row>
    <row r="1308" spans="1:12" hidden="1" x14ac:dyDescent="0.25">
      <c r="A1308">
        <v>127</v>
      </c>
      <c r="B1308" t="s">
        <v>378</v>
      </c>
      <c r="C1308" t="s">
        <v>379</v>
      </c>
      <c r="D1308" t="s">
        <v>479</v>
      </c>
      <c r="E1308" t="str">
        <f>_xlfn.XLOOKUP(F1308, Keys!B:B, Keys!A:A, "找不到")</f>
        <v>FA</v>
      </c>
      <c r="F1308" t="s">
        <v>63</v>
      </c>
      <c r="G1308">
        <v>0.45570057978812778</v>
      </c>
      <c r="H1308" t="s">
        <v>64</v>
      </c>
      <c r="I1308" t="s">
        <v>65</v>
      </c>
      <c r="J1308" t="s">
        <v>480</v>
      </c>
      <c r="K1308">
        <v>231.5563828082729</v>
      </c>
      <c r="L1308">
        <v>1844.1621946483911</v>
      </c>
    </row>
    <row r="1309" spans="1:12" x14ac:dyDescent="0.25">
      <c r="A1309">
        <v>76</v>
      </c>
      <c r="B1309" t="s">
        <v>91</v>
      </c>
      <c r="C1309" t="s">
        <v>36</v>
      </c>
      <c r="D1309" t="s">
        <v>95</v>
      </c>
      <c r="E1309" t="str">
        <f>_xlfn.XLOOKUP(F1309, Keys!B:B, Keys!A:A, "找不到")</f>
        <v>MON</v>
      </c>
      <c r="F1309" t="s">
        <v>100</v>
      </c>
      <c r="G1309">
        <v>1.0031308501082801</v>
      </c>
      <c r="H1309" t="s">
        <v>46</v>
      </c>
      <c r="I1309" t="s">
        <v>47</v>
      </c>
      <c r="J1309">
        <v>0</v>
      </c>
      <c r="K1309">
        <v>256.32905417489718</v>
      </c>
      <c r="L1309">
        <v>4059.542761423073</v>
      </c>
    </row>
    <row r="1310" spans="1:12" x14ac:dyDescent="0.25">
      <c r="A1310">
        <v>89</v>
      </c>
      <c r="B1310" t="s">
        <v>91</v>
      </c>
      <c r="C1310" t="s">
        <v>36</v>
      </c>
      <c r="D1310" t="s">
        <v>95</v>
      </c>
      <c r="E1310" t="str">
        <f>_xlfn.XLOOKUP(F1310, Keys!B:B, Keys!A:A, "找不到")</f>
        <v>MON</v>
      </c>
      <c r="F1310" t="s">
        <v>100</v>
      </c>
      <c r="G1310">
        <v>1.0659547916662171</v>
      </c>
      <c r="H1310" t="s">
        <v>46</v>
      </c>
      <c r="I1310" t="s">
        <v>47</v>
      </c>
      <c r="J1310">
        <v>0</v>
      </c>
      <c r="K1310">
        <v>265.24456907390629</v>
      </c>
      <c r="L1310">
        <v>4313.7832497582276</v>
      </c>
    </row>
    <row r="1311" spans="1:12" x14ac:dyDescent="0.25">
      <c r="A1311">
        <v>92</v>
      </c>
      <c r="B1311" t="s">
        <v>91</v>
      </c>
      <c r="C1311" t="s">
        <v>36</v>
      </c>
      <c r="D1311" t="s">
        <v>95</v>
      </c>
      <c r="E1311" t="str">
        <f>_xlfn.XLOOKUP(F1311, Keys!B:B, Keys!A:A, "找不到")</f>
        <v>MON</v>
      </c>
      <c r="F1311" t="s">
        <v>100</v>
      </c>
      <c r="G1311">
        <v>1.085392546348418</v>
      </c>
      <c r="H1311" t="s">
        <v>46</v>
      </c>
      <c r="I1311" t="s">
        <v>47</v>
      </c>
      <c r="J1311">
        <v>0</v>
      </c>
      <c r="K1311">
        <v>267.82343118740158</v>
      </c>
      <c r="L1311">
        <v>4392.445366779084</v>
      </c>
    </row>
    <row r="1312" spans="1:12" x14ac:dyDescent="0.25">
      <c r="A1312">
        <v>95</v>
      </c>
      <c r="B1312" t="s">
        <v>91</v>
      </c>
      <c r="C1312" t="s">
        <v>36</v>
      </c>
      <c r="D1312" t="s">
        <v>95</v>
      </c>
      <c r="E1312" t="str">
        <f>_xlfn.XLOOKUP(F1312, Keys!B:B, Keys!A:A, "找不到")</f>
        <v>MON</v>
      </c>
      <c r="F1312" t="s">
        <v>100</v>
      </c>
      <c r="G1312">
        <v>1.0972420515156971</v>
      </c>
      <c r="H1312" t="s">
        <v>46</v>
      </c>
      <c r="I1312" t="s">
        <v>47</v>
      </c>
      <c r="J1312">
        <v>0</v>
      </c>
      <c r="K1312">
        <v>268.83201577330738</v>
      </c>
      <c r="L1312">
        <v>4440.3988046811073</v>
      </c>
    </row>
    <row r="1313" spans="1:12" x14ac:dyDescent="0.25">
      <c r="A1313">
        <v>97</v>
      </c>
      <c r="B1313" t="s">
        <v>91</v>
      </c>
      <c r="C1313" t="s">
        <v>36</v>
      </c>
      <c r="D1313" t="s">
        <v>95</v>
      </c>
      <c r="E1313" t="str">
        <f>_xlfn.XLOOKUP(F1313, Keys!B:B, Keys!A:A, "找不到")</f>
        <v>MON</v>
      </c>
      <c r="F1313" t="s">
        <v>100</v>
      </c>
      <c r="G1313">
        <v>0.61049766714066156</v>
      </c>
      <c r="H1313" t="s">
        <v>46</v>
      </c>
      <c r="I1313" t="s">
        <v>47</v>
      </c>
      <c r="J1313">
        <v>0</v>
      </c>
      <c r="K1313">
        <v>201.66529437952761</v>
      </c>
      <c r="L1313">
        <v>2470.606287543671</v>
      </c>
    </row>
    <row r="1314" spans="1:12" x14ac:dyDescent="0.25">
      <c r="A1314">
        <v>98</v>
      </c>
      <c r="B1314" t="s">
        <v>91</v>
      </c>
      <c r="C1314" t="s">
        <v>36</v>
      </c>
      <c r="D1314" t="s">
        <v>95</v>
      </c>
      <c r="E1314" t="str">
        <f>_xlfn.XLOOKUP(F1314, Keys!B:B, Keys!A:A, "找不到")</f>
        <v>MON</v>
      </c>
      <c r="F1314" t="s">
        <v>100</v>
      </c>
      <c r="G1314">
        <v>0.32606721709954117</v>
      </c>
      <c r="H1314" t="s">
        <v>46</v>
      </c>
      <c r="I1314" t="s">
        <v>47</v>
      </c>
      <c r="J1314">
        <v>0</v>
      </c>
      <c r="K1314">
        <v>162.366961255815</v>
      </c>
      <c r="L1314">
        <v>1319.552489858055</v>
      </c>
    </row>
    <row r="1315" spans="1:12" x14ac:dyDescent="0.25">
      <c r="A1315">
        <v>99</v>
      </c>
      <c r="B1315" t="s">
        <v>91</v>
      </c>
      <c r="C1315" t="s">
        <v>36</v>
      </c>
      <c r="D1315" t="s">
        <v>95</v>
      </c>
      <c r="E1315" t="str">
        <f>_xlfn.XLOOKUP(F1315, Keys!B:B, Keys!A:A, "找不到")</f>
        <v>MON</v>
      </c>
      <c r="F1315" t="s">
        <v>100</v>
      </c>
      <c r="G1315">
        <v>0.75848046303644578</v>
      </c>
      <c r="H1315" t="s">
        <v>46</v>
      </c>
      <c r="I1315" t="s">
        <v>47</v>
      </c>
      <c r="J1315">
        <v>0</v>
      </c>
      <c r="K1315">
        <v>221.96200007738031</v>
      </c>
      <c r="L1315">
        <v>3069.4738109869322</v>
      </c>
    </row>
    <row r="1316" spans="1:12" x14ac:dyDescent="0.25">
      <c r="A1316">
        <v>100</v>
      </c>
      <c r="B1316" t="s">
        <v>91</v>
      </c>
      <c r="C1316" t="s">
        <v>36</v>
      </c>
      <c r="D1316" t="s">
        <v>95</v>
      </c>
      <c r="E1316" t="str">
        <f>_xlfn.XLOOKUP(F1316, Keys!B:B, Keys!A:A, "找不到")</f>
        <v>MON</v>
      </c>
      <c r="F1316" t="s">
        <v>100</v>
      </c>
      <c r="G1316">
        <v>1.075310606837983</v>
      </c>
      <c r="H1316" t="s">
        <v>46</v>
      </c>
      <c r="I1316" t="s">
        <v>47</v>
      </c>
      <c r="J1316">
        <v>0</v>
      </c>
      <c r="K1316">
        <v>266.03227315043921</v>
      </c>
      <c r="L1316">
        <v>4351.6450419198954</v>
      </c>
    </row>
    <row r="1317" spans="1:12" x14ac:dyDescent="0.25">
      <c r="A1317">
        <v>101</v>
      </c>
      <c r="B1317" t="s">
        <v>91</v>
      </c>
      <c r="C1317" t="s">
        <v>36</v>
      </c>
      <c r="D1317" t="s">
        <v>95</v>
      </c>
      <c r="E1317" t="str">
        <f>_xlfn.XLOOKUP(F1317, Keys!B:B, Keys!A:A, "找不到")</f>
        <v>MON</v>
      </c>
      <c r="F1317" t="s">
        <v>100</v>
      </c>
      <c r="G1317">
        <v>0.47594859651006782</v>
      </c>
      <c r="H1317" t="s">
        <v>46</v>
      </c>
      <c r="I1317" t="s">
        <v>47</v>
      </c>
      <c r="J1317">
        <v>0</v>
      </c>
      <c r="K1317">
        <v>183.29294322308269</v>
      </c>
      <c r="L1317">
        <v>1926.103338924685</v>
      </c>
    </row>
    <row r="1318" spans="1:12" x14ac:dyDescent="0.25">
      <c r="A1318">
        <v>174</v>
      </c>
      <c r="B1318" t="s">
        <v>42</v>
      </c>
      <c r="C1318" t="s">
        <v>36</v>
      </c>
      <c r="D1318" t="s">
        <v>43</v>
      </c>
      <c r="E1318" t="str">
        <f>_xlfn.XLOOKUP(F1318, Keys!B:B, Keys!A:A, "找不到")</f>
        <v>OCG</v>
      </c>
      <c r="F1318" t="s">
        <v>133</v>
      </c>
      <c r="G1318">
        <v>0.4947121630525193</v>
      </c>
      <c r="H1318" t="s">
        <v>46</v>
      </c>
      <c r="I1318" t="s">
        <v>47</v>
      </c>
      <c r="J1318">
        <v>0</v>
      </c>
      <c r="K1318">
        <v>205.32728932580599</v>
      </c>
      <c r="L1318">
        <v>2002.037102428885</v>
      </c>
    </row>
    <row r="1319" spans="1:12" x14ac:dyDescent="0.25">
      <c r="A1319">
        <v>159</v>
      </c>
      <c r="B1319" t="s">
        <v>42</v>
      </c>
      <c r="C1319" t="s">
        <v>36</v>
      </c>
      <c r="D1319">
        <v>0</v>
      </c>
      <c r="E1319" t="str">
        <f>_xlfn.XLOOKUP(F1319, Keys!B:B, Keys!A:A, "找不到")</f>
        <v>ONG</v>
      </c>
      <c r="F1319" t="s">
        <v>130</v>
      </c>
      <c r="G1319">
        <v>0.47255644785755241</v>
      </c>
      <c r="H1319" t="s">
        <v>46</v>
      </c>
      <c r="I1319" t="s">
        <v>47</v>
      </c>
      <c r="J1319" t="s">
        <v>57</v>
      </c>
      <c r="K1319">
        <v>179.55210262442381</v>
      </c>
      <c r="L1319">
        <v>1912.375745454199</v>
      </c>
    </row>
    <row r="1320" spans="1:12" x14ac:dyDescent="0.25">
      <c r="A1320">
        <v>55</v>
      </c>
      <c r="B1320" t="s">
        <v>42</v>
      </c>
      <c r="C1320" t="s">
        <v>36</v>
      </c>
      <c r="D1320" t="s">
        <v>43</v>
      </c>
      <c r="E1320" t="str">
        <f>_xlfn.XLOOKUP(F1320, Keys!B:B, Keys!A:A, "找不到")</f>
        <v>PIC</v>
      </c>
      <c r="F1320" t="s">
        <v>88</v>
      </c>
      <c r="G1320">
        <v>5.3796935140694666</v>
      </c>
      <c r="H1320" t="s">
        <v>46</v>
      </c>
      <c r="I1320" t="s">
        <v>47</v>
      </c>
      <c r="J1320">
        <v>0</v>
      </c>
      <c r="K1320">
        <v>635.96399955736115</v>
      </c>
      <c r="L1320">
        <v>21770.934331605891</v>
      </c>
    </row>
    <row r="1321" spans="1:12" x14ac:dyDescent="0.25">
      <c r="A1321">
        <v>211</v>
      </c>
      <c r="B1321" t="s">
        <v>42</v>
      </c>
      <c r="C1321" t="s">
        <v>36</v>
      </c>
      <c r="D1321" t="s">
        <v>126</v>
      </c>
      <c r="E1321" t="str">
        <f>_xlfn.XLOOKUP(F1321, Keys!B:B, Keys!A:A, "找不到")</f>
        <v>PIW</v>
      </c>
      <c r="F1321" t="s">
        <v>114</v>
      </c>
      <c r="G1321">
        <v>6.1532808220642803</v>
      </c>
      <c r="H1321" t="s">
        <v>46</v>
      </c>
      <c r="I1321" t="s">
        <v>47</v>
      </c>
      <c r="J1321">
        <v>0</v>
      </c>
      <c r="K1321">
        <v>687.84267532839897</v>
      </c>
      <c r="L1321">
        <v>24901.54361967646</v>
      </c>
    </row>
    <row r="1322" spans="1:12" x14ac:dyDescent="0.25">
      <c r="A1322">
        <v>115</v>
      </c>
      <c r="B1322" t="s">
        <v>42</v>
      </c>
      <c r="C1322" t="s">
        <v>36</v>
      </c>
      <c r="D1322" t="s">
        <v>43</v>
      </c>
      <c r="E1322" t="str">
        <f>_xlfn.XLOOKUP(F1322, Keys!B:B, Keys!A:A, "找不到")</f>
        <v>PIW</v>
      </c>
      <c r="F1322" t="s">
        <v>114</v>
      </c>
      <c r="G1322">
        <v>7.9520289708909724</v>
      </c>
      <c r="H1322" t="s">
        <v>46</v>
      </c>
      <c r="I1322" t="s">
        <v>47</v>
      </c>
      <c r="J1322">
        <v>0</v>
      </c>
      <c r="K1322">
        <v>792.79885169820238</v>
      </c>
      <c r="L1322">
        <v>32180.84823522521</v>
      </c>
    </row>
    <row r="1323" spans="1:12" x14ac:dyDescent="0.25">
      <c r="A1323">
        <v>116</v>
      </c>
      <c r="B1323" t="s">
        <v>42</v>
      </c>
      <c r="C1323" t="s">
        <v>36</v>
      </c>
      <c r="D1323" t="s">
        <v>43</v>
      </c>
      <c r="E1323" t="str">
        <f>_xlfn.XLOOKUP(F1323, Keys!B:B, Keys!A:A, "找不到")</f>
        <v>PIW</v>
      </c>
      <c r="F1323" t="s">
        <v>114</v>
      </c>
      <c r="G1323">
        <v>1.6297137988814601</v>
      </c>
      <c r="H1323" t="s">
        <v>46</v>
      </c>
      <c r="I1323" t="s">
        <v>47</v>
      </c>
      <c r="J1323">
        <v>0</v>
      </c>
      <c r="K1323">
        <v>358.22074104995772</v>
      </c>
      <c r="L1323">
        <v>6595.2441346274964</v>
      </c>
    </row>
    <row r="1324" spans="1:12" x14ac:dyDescent="0.25">
      <c r="A1324">
        <v>118</v>
      </c>
      <c r="B1324" t="s">
        <v>42</v>
      </c>
      <c r="C1324" t="s">
        <v>36</v>
      </c>
      <c r="D1324" t="s">
        <v>43</v>
      </c>
      <c r="E1324" t="str">
        <f>_xlfn.XLOOKUP(F1324, Keys!B:B, Keys!A:A, "找不到")</f>
        <v>PIW</v>
      </c>
      <c r="F1324" t="s">
        <v>114</v>
      </c>
      <c r="G1324">
        <v>3.268909838981803</v>
      </c>
      <c r="H1324" t="s">
        <v>46</v>
      </c>
      <c r="I1324" t="s">
        <v>47</v>
      </c>
      <c r="J1324">
        <v>0</v>
      </c>
      <c r="K1324">
        <v>552.1700620243588</v>
      </c>
      <c r="L1324">
        <v>13228.861691523911</v>
      </c>
    </row>
    <row r="1325" spans="1:12" x14ac:dyDescent="0.25">
      <c r="A1325">
        <v>119</v>
      </c>
      <c r="B1325" t="s">
        <v>42</v>
      </c>
      <c r="C1325" t="s">
        <v>36</v>
      </c>
      <c r="D1325" t="s">
        <v>43</v>
      </c>
      <c r="E1325" t="str">
        <f>_xlfn.XLOOKUP(F1325, Keys!B:B, Keys!A:A, "找不到")</f>
        <v>PIW</v>
      </c>
      <c r="F1325" t="s">
        <v>114</v>
      </c>
      <c r="G1325">
        <v>8.1175193792897868</v>
      </c>
      <c r="H1325" t="s">
        <v>46</v>
      </c>
      <c r="I1325" t="s">
        <v>47</v>
      </c>
      <c r="J1325">
        <v>0</v>
      </c>
      <c r="K1325">
        <v>902.44806109758247</v>
      </c>
      <c r="L1325">
        <v>32850.566836171267</v>
      </c>
    </row>
    <row r="1326" spans="1:12" x14ac:dyDescent="0.25">
      <c r="A1326">
        <v>138</v>
      </c>
      <c r="B1326" t="s">
        <v>42</v>
      </c>
      <c r="C1326" t="s">
        <v>36</v>
      </c>
      <c r="D1326" t="s">
        <v>43</v>
      </c>
      <c r="E1326" t="str">
        <f>_xlfn.XLOOKUP(F1326, Keys!B:B, Keys!A:A, "找不到")</f>
        <v>PIW</v>
      </c>
      <c r="F1326" t="s">
        <v>114</v>
      </c>
      <c r="G1326">
        <v>20.532894875671641</v>
      </c>
      <c r="H1326" t="s">
        <v>46</v>
      </c>
      <c r="I1326" t="s">
        <v>47</v>
      </c>
      <c r="J1326">
        <v>0</v>
      </c>
      <c r="K1326">
        <v>1239.703389604535</v>
      </c>
      <c r="L1326">
        <v>83094.009873782925</v>
      </c>
    </row>
    <row r="1327" spans="1:12" x14ac:dyDescent="0.25">
      <c r="A1327">
        <v>140</v>
      </c>
      <c r="B1327" t="s">
        <v>42</v>
      </c>
      <c r="C1327" t="s">
        <v>36</v>
      </c>
      <c r="D1327" t="s">
        <v>43</v>
      </c>
      <c r="E1327" t="str">
        <f>_xlfn.XLOOKUP(F1327, Keys!B:B, Keys!A:A, "找不到")</f>
        <v>PIW</v>
      </c>
      <c r="F1327" t="s">
        <v>114</v>
      </c>
      <c r="G1327">
        <v>6.4300640567677911</v>
      </c>
      <c r="H1327" t="s">
        <v>46</v>
      </c>
      <c r="I1327" t="s">
        <v>47</v>
      </c>
      <c r="J1327">
        <v>0</v>
      </c>
      <c r="K1327">
        <v>941.98433452743711</v>
      </c>
      <c r="L1327">
        <v>26021.650111070488</v>
      </c>
    </row>
    <row r="1328" spans="1:12" x14ac:dyDescent="0.25">
      <c r="A1328">
        <v>142</v>
      </c>
      <c r="B1328" t="s">
        <v>42</v>
      </c>
      <c r="C1328" t="s">
        <v>36</v>
      </c>
      <c r="D1328" t="s">
        <v>43</v>
      </c>
      <c r="E1328" t="str">
        <f>_xlfn.XLOOKUP(F1328, Keys!B:B, Keys!A:A, "找不到")</f>
        <v>PIW</v>
      </c>
      <c r="F1328" t="s">
        <v>114</v>
      </c>
      <c r="G1328">
        <v>8.1515647725364619</v>
      </c>
      <c r="H1328" t="s">
        <v>46</v>
      </c>
      <c r="I1328" t="s">
        <v>47</v>
      </c>
      <c r="J1328">
        <v>0</v>
      </c>
      <c r="K1328">
        <v>752.77408693645725</v>
      </c>
      <c r="L1328">
        <v>32988.344205593647</v>
      </c>
    </row>
    <row r="1329" spans="1:12" x14ac:dyDescent="0.25">
      <c r="A1329">
        <v>182</v>
      </c>
      <c r="B1329" t="s">
        <v>42</v>
      </c>
      <c r="C1329" t="s">
        <v>36</v>
      </c>
      <c r="D1329" t="s">
        <v>43</v>
      </c>
      <c r="E1329" t="str">
        <f>_xlfn.XLOOKUP(F1329, Keys!B:B, Keys!A:A, "找不到")</f>
        <v>PIW</v>
      </c>
      <c r="F1329" t="s">
        <v>114</v>
      </c>
      <c r="G1329">
        <v>6.2250737209785481</v>
      </c>
      <c r="H1329" t="s">
        <v>46</v>
      </c>
      <c r="I1329" t="s">
        <v>47</v>
      </c>
      <c r="J1329">
        <v>0</v>
      </c>
      <c r="K1329">
        <v>2041.311325774773</v>
      </c>
      <c r="L1329">
        <v>25192.080335876071</v>
      </c>
    </row>
    <row r="1330" spans="1:12" x14ac:dyDescent="0.25">
      <c r="A1330">
        <v>200</v>
      </c>
      <c r="B1330" t="s">
        <v>42</v>
      </c>
      <c r="C1330" t="s">
        <v>36</v>
      </c>
      <c r="D1330" t="s">
        <v>126</v>
      </c>
      <c r="E1330" t="str">
        <f>_xlfn.XLOOKUP(F1330, Keys!B:B, Keys!A:A, "找不到")</f>
        <v>PIW</v>
      </c>
      <c r="F1330" t="s">
        <v>114</v>
      </c>
      <c r="G1330">
        <v>14.853811426915341</v>
      </c>
      <c r="H1330" t="s">
        <v>46</v>
      </c>
      <c r="I1330" t="s">
        <v>47</v>
      </c>
      <c r="J1330">
        <v>0</v>
      </c>
      <c r="K1330">
        <v>995.47184261019675</v>
      </c>
      <c r="L1330">
        <v>60111.48261582086</v>
      </c>
    </row>
    <row r="1331" spans="1:12" x14ac:dyDescent="0.25">
      <c r="A1331">
        <v>201</v>
      </c>
      <c r="B1331" t="s">
        <v>42</v>
      </c>
      <c r="C1331" t="s">
        <v>36</v>
      </c>
      <c r="D1331" t="s">
        <v>126</v>
      </c>
      <c r="E1331" t="str">
        <f>_xlfn.XLOOKUP(F1331, Keys!B:B, Keys!A:A, "找不到")</f>
        <v>PIW</v>
      </c>
      <c r="F1331" t="s">
        <v>114</v>
      </c>
      <c r="G1331">
        <v>4.3073361651121527</v>
      </c>
      <c r="H1331" t="s">
        <v>46</v>
      </c>
      <c r="I1331" t="s">
        <v>47</v>
      </c>
      <c r="J1331">
        <v>0</v>
      </c>
      <c r="K1331">
        <v>615.28284878337229</v>
      </c>
      <c r="L1331">
        <v>17431.24074811317</v>
      </c>
    </row>
    <row r="1332" spans="1:12" x14ac:dyDescent="0.25">
      <c r="A1332">
        <v>202</v>
      </c>
      <c r="B1332" t="s">
        <v>42</v>
      </c>
      <c r="C1332" t="s">
        <v>36</v>
      </c>
      <c r="D1332" t="s">
        <v>126</v>
      </c>
      <c r="E1332" t="str">
        <f>_xlfn.XLOOKUP(F1332, Keys!B:B, Keys!A:A, "找不到")</f>
        <v>PIW</v>
      </c>
      <c r="F1332" t="s">
        <v>114</v>
      </c>
      <c r="G1332">
        <v>13.63002333270604</v>
      </c>
      <c r="H1332" t="s">
        <v>46</v>
      </c>
      <c r="I1332" t="s">
        <v>47</v>
      </c>
      <c r="J1332">
        <v>0</v>
      </c>
      <c r="K1332">
        <v>984.84519120437369</v>
      </c>
      <c r="L1332">
        <v>55158.968097075063</v>
      </c>
    </row>
    <row r="1333" spans="1:12" x14ac:dyDescent="0.25">
      <c r="A1333">
        <v>204</v>
      </c>
      <c r="B1333" t="s">
        <v>42</v>
      </c>
      <c r="C1333" t="s">
        <v>36</v>
      </c>
      <c r="D1333" t="s">
        <v>126</v>
      </c>
      <c r="E1333" t="str">
        <f>_xlfn.XLOOKUP(F1333, Keys!B:B, Keys!A:A, "找不到")</f>
        <v>PIW</v>
      </c>
      <c r="F1333" t="s">
        <v>114</v>
      </c>
      <c r="G1333">
        <v>19.44761340060224</v>
      </c>
      <c r="H1333" t="s">
        <v>46</v>
      </c>
      <c r="I1333" t="s">
        <v>47</v>
      </c>
      <c r="J1333">
        <v>0</v>
      </c>
      <c r="K1333">
        <v>1098.411080203339</v>
      </c>
      <c r="L1333">
        <v>78702.013998320675</v>
      </c>
    </row>
    <row r="1334" spans="1:12" x14ac:dyDescent="0.25">
      <c r="A1334">
        <v>205</v>
      </c>
      <c r="B1334" t="s">
        <v>42</v>
      </c>
      <c r="C1334" t="s">
        <v>36</v>
      </c>
      <c r="D1334" t="s">
        <v>126</v>
      </c>
      <c r="E1334" t="str">
        <f>_xlfn.XLOOKUP(F1334, Keys!B:B, Keys!A:A, "找不到")</f>
        <v>PIW</v>
      </c>
      <c r="F1334" t="s">
        <v>114</v>
      </c>
      <c r="G1334">
        <v>3.0598279602673331</v>
      </c>
      <c r="H1334" t="s">
        <v>46</v>
      </c>
      <c r="I1334" t="s">
        <v>47</v>
      </c>
      <c r="J1334">
        <v>0</v>
      </c>
      <c r="K1334">
        <v>570.08996318236632</v>
      </c>
      <c r="L1334">
        <v>12382.73396333327</v>
      </c>
    </row>
    <row r="1335" spans="1:12" x14ac:dyDescent="0.25">
      <c r="A1335">
        <v>206</v>
      </c>
      <c r="B1335" t="s">
        <v>42</v>
      </c>
      <c r="C1335" t="s">
        <v>36</v>
      </c>
      <c r="D1335" t="s">
        <v>126</v>
      </c>
      <c r="E1335" t="str">
        <f>_xlfn.XLOOKUP(F1335, Keys!B:B, Keys!A:A, "找不到")</f>
        <v>PIW</v>
      </c>
      <c r="F1335" t="s">
        <v>114</v>
      </c>
      <c r="G1335">
        <v>4.4734660632551364</v>
      </c>
      <c r="H1335" t="s">
        <v>46</v>
      </c>
      <c r="I1335" t="s">
        <v>47</v>
      </c>
      <c r="J1335">
        <v>0</v>
      </c>
      <c r="K1335">
        <v>642.74653856569216</v>
      </c>
      <c r="L1335">
        <v>18103.54728258921</v>
      </c>
    </row>
    <row r="1336" spans="1:12" x14ac:dyDescent="0.25">
      <c r="A1336">
        <v>207</v>
      </c>
      <c r="B1336" t="s">
        <v>42</v>
      </c>
      <c r="C1336" t="s">
        <v>36</v>
      </c>
      <c r="D1336" t="s">
        <v>126</v>
      </c>
      <c r="E1336" t="str">
        <f>_xlfn.XLOOKUP(F1336, Keys!B:B, Keys!A:A, "找不到")</f>
        <v>PIW</v>
      </c>
      <c r="F1336" t="s">
        <v>114</v>
      </c>
      <c r="G1336">
        <v>4.3029460746196673</v>
      </c>
      <c r="H1336" t="s">
        <v>46</v>
      </c>
      <c r="I1336" t="s">
        <v>47</v>
      </c>
      <c r="J1336">
        <v>0</v>
      </c>
      <c r="K1336">
        <v>586.63847125291795</v>
      </c>
      <c r="L1336">
        <v>17413.474611144258</v>
      </c>
    </row>
    <row r="1337" spans="1:12" x14ac:dyDescent="0.25">
      <c r="A1337">
        <v>209</v>
      </c>
      <c r="B1337" t="s">
        <v>42</v>
      </c>
      <c r="C1337" t="s">
        <v>36</v>
      </c>
      <c r="D1337" t="s">
        <v>126</v>
      </c>
      <c r="E1337" t="str">
        <f>_xlfn.XLOOKUP(F1337, Keys!B:B, Keys!A:A, "找不到")</f>
        <v>PIW</v>
      </c>
      <c r="F1337" t="s">
        <v>114</v>
      </c>
      <c r="G1337">
        <v>26.267209922134729</v>
      </c>
      <c r="H1337" t="s">
        <v>46</v>
      </c>
      <c r="I1337" t="s">
        <v>47</v>
      </c>
      <c r="J1337">
        <v>0</v>
      </c>
      <c r="K1337">
        <v>1334.2312906513559</v>
      </c>
      <c r="L1337">
        <v>106300.05237170419</v>
      </c>
    </row>
    <row r="1338" spans="1:12" x14ac:dyDescent="0.25">
      <c r="A1338">
        <v>210</v>
      </c>
      <c r="B1338" t="s">
        <v>42</v>
      </c>
      <c r="C1338" t="s">
        <v>36</v>
      </c>
      <c r="D1338" t="s">
        <v>126</v>
      </c>
      <c r="E1338" t="str">
        <f>_xlfn.XLOOKUP(F1338, Keys!B:B, Keys!A:A, "找不到")</f>
        <v>PIW</v>
      </c>
      <c r="F1338" t="s">
        <v>114</v>
      </c>
      <c r="G1338">
        <v>6.1591818828760294</v>
      </c>
      <c r="H1338" t="s">
        <v>46</v>
      </c>
      <c r="I1338" t="s">
        <v>47</v>
      </c>
      <c r="J1338">
        <v>0</v>
      </c>
      <c r="K1338">
        <v>740.84161144860536</v>
      </c>
      <c r="L1338">
        <v>24925.42446104472</v>
      </c>
    </row>
    <row r="1339" spans="1:12" x14ac:dyDescent="0.25">
      <c r="A1339">
        <v>212</v>
      </c>
      <c r="B1339" t="s">
        <v>42</v>
      </c>
      <c r="C1339" t="s">
        <v>36</v>
      </c>
      <c r="D1339" t="s">
        <v>126</v>
      </c>
      <c r="E1339" t="str">
        <f>_xlfn.XLOOKUP(F1339, Keys!B:B, Keys!A:A, "找不到")</f>
        <v>PIW</v>
      </c>
      <c r="F1339" t="s">
        <v>114</v>
      </c>
      <c r="G1339">
        <v>1.2634040698233351</v>
      </c>
      <c r="H1339" t="s">
        <v>46</v>
      </c>
      <c r="I1339" t="s">
        <v>47</v>
      </c>
      <c r="J1339">
        <v>0</v>
      </c>
      <c r="K1339">
        <v>271.34734392193951</v>
      </c>
      <c r="L1339">
        <v>5112.8353253717096</v>
      </c>
    </row>
    <row r="1340" spans="1:12" x14ac:dyDescent="0.25">
      <c r="A1340">
        <v>213</v>
      </c>
      <c r="B1340" t="s">
        <v>42</v>
      </c>
      <c r="C1340" t="s">
        <v>36</v>
      </c>
      <c r="D1340" t="s">
        <v>126</v>
      </c>
      <c r="E1340" t="str">
        <f>_xlfn.XLOOKUP(F1340, Keys!B:B, Keys!A:A, "找不到")</f>
        <v>PIW</v>
      </c>
      <c r="F1340" t="s">
        <v>114</v>
      </c>
      <c r="G1340">
        <v>1.1392079624971261</v>
      </c>
      <c r="H1340" t="s">
        <v>46</v>
      </c>
      <c r="I1340" t="s">
        <v>47</v>
      </c>
      <c r="J1340">
        <v>0</v>
      </c>
      <c r="K1340">
        <v>267.62499571502121</v>
      </c>
      <c r="L1340">
        <v>4610.2295003802728</v>
      </c>
    </row>
    <row r="1341" spans="1:12" x14ac:dyDescent="0.25">
      <c r="A1341">
        <v>214</v>
      </c>
      <c r="B1341" t="s">
        <v>42</v>
      </c>
      <c r="C1341" t="s">
        <v>36</v>
      </c>
      <c r="D1341" t="s">
        <v>126</v>
      </c>
      <c r="E1341" t="str">
        <f>_xlfn.XLOOKUP(F1341, Keys!B:B, Keys!A:A, "找不到")</f>
        <v>PIW</v>
      </c>
      <c r="F1341" t="s">
        <v>114</v>
      </c>
      <c r="G1341">
        <v>1.259941443532073</v>
      </c>
      <c r="H1341" t="s">
        <v>46</v>
      </c>
      <c r="I1341" t="s">
        <v>47</v>
      </c>
      <c r="J1341">
        <v>0</v>
      </c>
      <c r="K1341">
        <v>284.68958769415252</v>
      </c>
      <c r="L1341">
        <v>5098.8225178753728</v>
      </c>
    </row>
    <row r="1342" spans="1:12" x14ac:dyDescent="0.25">
      <c r="A1342">
        <v>215</v>
      </c>
      <c r="B1342" t="s">
        <v>42</v>
      </c>
      <c r="C1342" t="s">
        <v>36</v>
      </c>
      <c r="D1342" t="s">
        <v>126</v>
      </c>
      <c r="E1342" t="str">
        <f>_xlfn.XLOOKUP(F1342, Keys!B:B, Keys!A:A, "找不到")</f>
        <v>PIW</v>
      </c>
      <c r="F1342" t="s">
        <v>114</v>
      </c>
      <c r="G1342">
        <v>5.9756705244967936</v>
      </c>
      <c r="H1342" t="s">
        <v>46</v>
      </c>
      <c r="I1342" t="s">
        <v>47</v>
      </c>
      <c r="J1342">
        <v>0</v>
      </c>
      <c r="K1342">
        <v>690.55408291684978</v>
      </c>
      <c r="L1342">
        <v>24182.777371218981</v>
      </c>
    </row>
    <row r="1343" spans="1:12" x14ac:dyDescent="0.25">
      <c r="A1343">
        <v>216</v>
      </c>
      <c r="B1343" t="s">
        <v>42</v>
      </c>
      <c r="C1343" t="s">
        <v>36</v>
      </c>
      <c r="D1343" t="s">
        <v>126</v>
      </c>
      <c r="E1343" t="str">
        <f>_xlfn.XLOOKUP(F1343, Keys!B:B, Keys!A:A, "找不到")</f>
        <v>PIW</v>
      </c>
      <c r="F1343" t="s">
        <v>114</v>
      </c>
      <c r="G1343">
        <v>16.910651505865388</v>
      </c>
      <c r="H1343" t="s">
        <v>46</v>
      </c>
      <c r="I1343" t="s">
        <v>47</v>
      </c>
      <c r="J1343">
        <v>0</v>
      </c>
      <c r="K1343">
        <v>1212.451704361376</v>
      </c>
      <c r="L1343">
        <v>68435.252394215422</v>
      </c>
    </row>
    <row r="1344" spans="1:12" x14ac:dyDescent="0.25">
      <c r="A1344">
        <v>217</v>
      </c>
      <c r="B1344" t="s">
        <v>42</v>
      </c>
      <c r="C1344" t="s">
        <v>36</v>
      </c>
      <c r="D1344" t="s">
        <v>126</v>
      </c>
      <c r="E1344" t="str">
        <f>_xlfn.XLOOKUP(F1344, Keys!B:B, Keys!A:A, "找不到")</f>
        <v>PIW</v>
      </c>
      <c r="F1344" t="s">
        <v>114</v>
      </c>
      <c r="G1344">
        <v>6.2588185748076892</v>
      </c>
      <c r="H1344" t="s">
        <v>46</v>
      </c>
      <c r="I1344" t="s">
        <v>47</v>
      </c>
      <c r="J1344">
        <v>0</v>
      </c>
      <c r="K1344">
        <v>739.68853721470862</v>
      </c>
      <c r="L1344">
        <v>25328.641460561441</v>
      </c>
    </row>
    <row r="1345" spans="1:12" x14ac:dyDescent="0.25">
      <c r="A1345">
        <v>318</v>
      </c>
      <c r="B1345" t="s">
        <v>42</v>
      </c>
      <c r="C1345" t="s">
        <v>36</v>
      </c>
      <c r="D1345" t="s">
        <v>126</v>
      </c>
      <c r="E1345" t="str">
        <f>_xlfn.XLOOKUP(F1345, Keys!B:B, Keys!A:A, "找不到")</f>
        <v>PIW</v>
      </c>
      <c r="F1345" t="s">
        <v>114</v>
      </c>
      <c r="G1345">
        <v>16.641059108624489</v>
      </c>
      <c r="H1345" t="s">
        <v>46</v>
      </c>
      <c r="I1345" t="s">
        <v>47</v>
      </c>
      <c r="J1345">
        <v>0</v>
      </c>
      <c r="K1345">
        <v>1127.4097202517701</v>
      </c>
      <c r="L1345">
        <v>67344.246305990862</v>
      </c>
    </row>
    <row r="1346" spans="1:12" x14ac:dyDescent="0.25">
      <c r="A1346">
        <v>39</v>
      </c>
      <c r="B1346" t="s">
        <v>42</v>
      </c>
      <c r="C1346" t="s">
        <v>36</v>
      </c>
      <c r="D1346" t="s">
        <v>43</v>
      </c>
      <c r="E1346" t="str">
        <f>_xlfn.XLOOKUP(F1346, Keys!B:B, Keys!A:A, "找不到")</f>
        <v>PN</v>
      </c>
      <c r="F1346" t="s">
        <v>80</v>
      </c>
      <c r="G1346">
        <v>7.4271287667495569</v>
      </c>
      <c r="H1346" t="s">
        <v>46</v>
      </c>
      <c r="I1346" t="s">
        <v>47</v>
      </c>
      <c r="J1346">
        <v>0</v>
      </c>
      <c r="K1346">
        <v>911.72933095157509</v>
      </c>
      <c r="L1346">
        <v>30056.64397616791</v>
      </c>
    </row>
    <row r="1347" spans="1:12" x14ac:dyDescent="0.25">
      <c r="A1347">
        <v>48</v>
      </c>
      <c r="B1347" t="s">
        <v>42</v>
      </c>
      <c r="C1347" t="s">
        <v>36</v>
      </c>
      <c r="D1347" t="s">
        <v>43</v>
      </c>
      <c r="E1347" t="str">
        <f>_xlfn.XLOOKUP(F1347, Keys!B:B, Keys!A:A, "找不到")</f>
        <v>PN</v>
      </c>
      <c r="F1347" t="s">
        <v>80</v>
      </c>
      <c r="G1347">
        <v>22.19473580382731</v>
      </c>
      <c r="H1347" t="s">
        <v>46</v>
      </c>
      <c r="I1347" t="s">
        <v>47</v>
      </c>
      <c r="J1347">
        <v>0</v>
      </c>
      <c r="K1347">
        <v>1513.2092103806001</v>
      </c>
      <c r="L1347">
        <v>89819.268407904106</v>
      </c>
    </row>
    <row r="1348" spans="1:12" x14ac:dyDescent="0.25">
      <c r="A1348">
        <v>161</v>
      </c>
      <c r="B1348" t="s">
        <v>42</v>
      </c>
      <c r="C1348" t="s">
        <v>36</v>
      </c>
      <c r="D1348" t="s">
        <v>126</v>
      </c>
      <c r="E1348" t="str">
        <f>_xlfn.XLOOKUP(F1348, Keys!B:B, Keys!A:A, "找不到")</f>
        <v>PN</v>
      </c>
      <c r="F1348" t="s">
        <v>80</v>
      </c>
      <c r="G1348">
        <v>9.3026386928937832</v>
      </c>
      <c r="H1348" t="s">
        <v>46</v>
      </c>
      <c r="I1348" t="s">
        <v>47</v>
      </c>
      <c r="J1348">
        <v>0</v>
      </c>
      <c r="K1348">
        <v>780.23898022677872</v>
      </c>
      <c r="L1348">
        <v>37646.593725828257</v>
      </c>
    </row>
    <row r="1349" spans="1:12" x14ac:dyDescent="0.25">
      <c r="A1349">
        <v>188</v>
      </c>
      <c r="B1349" t="s">
        <v>42</v>
      </c>
      <c r="C1349" t="s">
        <v>36</v>
      </c>
      <c r="D1349" t="s">
        <v>43</v>
      </c>
      <c r="E1349" t="str">
        <f>_xlfn.XLOOKUP(F1349, Keys!B:B, Keys!A:A, "找不到")</f>
        <v>PN</v>
      </c>
      <c r="F1349" t="s">
        <v>80</v>
      </c>
      <c r="G1349">
        <v>4.587131783231043</v>
      </c>
      <c r="H1349" t="s">
        <v>46</v>
      </c>
      <c r="I1349" t="s">
        <v>47</v>
      </c>
      <c r="J1349">
        <v>0</v>
      </c>
      <c r="K1349">
        <v>743.50196617959534</v>
      </c>
      <c r="L1349">
        <v>18563.537971441339</v>
      </c>
    </row>
    <row r="1350" spans="1:12" x14ac:dyDescent="0.25">
      <c r="A1350">
        <v>189</v>
      </c>
      <c r="B1350" t="s">
        <v>42</v>
      </c>
      <c r="C1350" t="s">
        <v>36</v>
      </c>
      <c r="D1350" t="s">
        <v>43</v>
      </c>
      <c r="E1350" t="str">
        <f>_xlfn.XLOOKUP(F1350, Keys!B:B, Keys!A:A, "找不到")</f>
        <v>PN</v>
      </c>
      <c r="F1350" t="s">
        <v>80</v>
      </c>
      <c r="G1350">
        <v>20.66828759718668</v>
      </c>
      <c r="H1350" t="s">
        <v>46</v>
      </c>
      <c r="I1350" t="s">
        <v>47</v>
      </c>
      <c r="J1350">
        <v>0</v>
      </c>
      <c r="K1350">
        <v>3154.18736335011</v>
      </c>
      <c r="L1350">
        <v>83641.926970058499</v>
      </c>
    </row>
    <row r="1351" spans="1:12" x14ac:dyDescent="0.25">
      <c r="A1351">
        <v>197</v>
      </c>
      <c r="B1351" t="s">
        <v>42</v>
      </c>
      <c r="C1351" t="s">
        <v>36</v>
      </c>
      <c r="D1351" t="s">
        <v>126</v>
      </c>
      <c r="E1351" t="str">
        <f>_xlfn.XLOOKUP(F1351, Keys!B:B, Keys!A:A, "找不到")</f>
        <v>PN</v>
      </c>
      <c r="F1351" t="s">
        <v>80</v>
      </c>
      <c r="G1351">
        <v>0.90208567267164252</v>
      </c>
      <c r="H1351" t="s">
        <v>46</v>
      </c>
      <c r="I1351" t="s">
        <v>47</v>
      </c>
      <c r="J1351">
        <v>0</v>
      </c>
      <c r="K1351">
        <v>289.99090791820919</v>
      </c>
      <c r="L1351">
        <v>3650.62580049486</v>
      </c>
    </row>
    <row r="1352" spans="1:12" x14ac:dyDescent="0.25">
      <c r="A1352">
        <v>47</v>
      </c>
      <c r="B1352" t="s">
        <v>42</v>
      </c>
      <c r="C1352" t="s">
        <v>36</v>
      </c>
      <c r="D1352" t="s">
        <v>43</v>
      </c>
      <c r="E1352" t="str">
        <f>_xlfn.XLOOKUP(F1352, Keys!B:B, Keys!A:A, "找不到")</f>
        <v>PU</v>
      </c>
      <c r="F1352" t="s">
        <v>78</v>
      </c>
      <c r="G1352">
        <v>17.37134387908317</v>
      </c>
      <c r="H1352" t="s">
        <v>46</v>
      </c>
      <c r="I1352" t="s">
        <v>47</v>
      </c>
      <c r="J1352">
        <v>0</v>
      </c>
      <c r="K1352">
        <v>1162.892155058481</v>
      </c>
      <c r="L1352">
        <v>70299.615740968409</v>
      </c>
    </row>
    <row r="1353" spans="1:12" x14ac:dyDescent="0.25">
      <c r="A1353">
        <v>129</v>
      </c>
      <c r="B1353" t="s">
        <v>42</v>
      </c>
      <c r="C1353" t="s">
        <v>36</v>
      </c>
      <c r="D1353" t="s">
        <v>43</v>
      </c>
      <c r="E1353" t="str">
        <f>_xlfn.XLOOKUP(F1353, Keys!B:B, Keys!A:A, "找不到")</f>
        <v>PU</v>
      </c>
      <c r="F1353" t="s">
        <v>78</v>
      </c>
      <c r="G1353">
        <v>7.9705777189532938</v>
      </c>
      <c r="H1353" t="s">
        <v>46</v>
      </c>
      <c r="I1353" t="s">
        <v>47</v>
      </c>
      <c r="J1353">
        <v>0</v>
      </c>
      <c r="K1353">
        <v>808.60756841093462</v>
      </c>
      <c r="L1353">
        <v>32255.912655706081</v>
      </c>
    </row>
    <row r="1354" spans="1:12" x14ac:dyDescent="0.25">
      <c r="A1354">
        <v>273</v>
      </c>
      <c r="B1354" t="s">
        <v>42</v>
      </c>
      <c r="C1354" t="s">
        <v>36</v>
      </c>
      <c r="D1354" t="s">
        <v>43</v>
      </c>
      <c r="E1354" t="str">
        <f>_xlfn.XLOOKUP(F1354, Keys!B:B, Keys!A:A, "找不到")</f>
        <v>PU</v>
      </c>
      <c r="F1354" t="s">
        <v>78</v>
      </c>
      <c r="G1354">
        <v>0.70333658668262178</v>
      </c>
      <c r="H1354" t="s">
        <v>46</v>
      </c>
      <c r="I1354" t="s">
        <v>47</v>
      </c>
      <c r="J1354">
        <v>0</v>
      </c>
      <c r="K1354">
        <v>252.18210082324981</v>
      </c>
      <c r="L1354">
        <v>2846.3135681683489</v>
      </c>
    </row>
    <row r="1355" spans="1:12" x14ac:dyDescent="0.25">
      <c r="A1355">
        <v>275</v>
      </c>
      <c r="B1355" t="s">
        <v>42</v>
      </c>
      <c r="C1355" t="s">
        <v>36</v>
      </c>
      <c r="D1355" t="s">
        <v>43</v>
      </c>
      <c r="E1355" t="str">
        <f>_xlfn.XLOOKUP(F1355, Keys!B:B, Keys!A:A, "找不到")</f>
        <v>PU</v>
      </c>
      <c r="F1355" t="s">
        <v>78</v>
      </c>
      <c r="G1355">
        <v>0.48377007357863439</v>
      </c>
      <c r="H1355" t="s">
        <v>46</v>
      </c>
      <c r="I1355" t="s">
        <v>47</v>
      </c>
      <c r="J1355">
        <v>0</v>
      </c>
      <c r="K1355">
        <v>219.11850756339291</v>
      </c>
      <c r="L1355">
        <v>1957.7558602422271</v>
      </c>
    </row>
    <row r="1356" spans="1:12" x14ac:dyDescent="0.25">
      <c r="A1356">
        <v>14</v>
      </c>
      <c r="B1356" t="s">
        <v>42</v>
      </c>
      <c r="C1356" t="s">
        <v>36</v>
      </c>
      <c r="D1356" t="s">
        <v>43</v>
      </c>
      <c r="E1356" t="str">
        <f>_xlfn.XLOOKUP(F1356, Keys!B:B, Keys!A:A, "找不到")</f>
        <v>PEI</v>
      </c>
      <c r="F1356" t="s">
        <v>68</v>
      </c>
      <c r="G1356">
        <v>39.136150574570337</v>
      </c>
      <c r="H1356" t="s">
        <v>46</v>
      </c>
      <c r="I1356" t="s">
        <v>47</v>
      </c>
      <c r="J1356">
        <v>0</v>
      </c>
      <c r="K1356">
        <v>1593.9093279417609</v>
      </c>
      <c r="L1356">
        <v>158379.01581614319</v>
      </c>
    </row>
    <row r="1357" spans="1:12" x14ac:dyDescent="0.25">
      <c r="A1357">
        <v>50</v>
      </c>
      <c r="B1357" t="s">
        <v>42</v>
      </c>
      <c r="C1357" t="s">
        <v>36</v>
      </c>
      <c r="D1357" t="s">
        <v>43</v>
      </c>
      <c r="E1357" t="str">
        <f>_xlfn.XLOOKUP(F1357, Keys!B:B, Keys!A:A, "找不到")</f>
        <v>PEI</v>
      </c>
      <c r="F1357" t="s">
        <v>68</v>
      </c>
      <c r="G1357">
        <v>17.096429244277189</v>
      </c>
      <c r="H1357" t="s">
        <v>46</v>
      </c>
      <c r="I1357" t="s">
        <v>47</v>
      </c>
      <c r="J1357" t="s">
        <v>85</v>
      </c>
      <c r="K1357">
        <v>1056.2300985381289</v>
      </c>
      <c r="L1357">
        <v>69187.071235318494</v>
      </c>
    </row>
    <row r="1358" spans="1:12" x14ac:dyDescent="0.25">
      <c r="A1358">
        <v>106</v>
      </c>
      <c r="B1358" t="s">
        <v>42</v>
      </c>
      <c r="C1358" t="s">
        <v>36</v>
      </c>
      <c r="D1358" t="s">
        <v>43</v>
      </c>
      <c r="E1358" t="str">
        <f>_xlfn.XLOOKUP(F1358, Keys!B:B, Keys!A:A, "找不到")</f>
        <v>PEI</v>
      </c>
      <c r="F1358" t="s">
        <v>68</v>
      </c>
      <c r="G1358">
        <v>7.1468522131981391</v>
      </c>
      <c r="H1358" t="s">
        <v>46</v>
      </c>
      <c r="I1358" t="s">
        <v>47</v>
      </c>
      <c r="J1358">
        <v>0</v>
      </c>
      <c r="K1358">
        <v>1005.356391659139</v>
      </c>
      <c r="L1358">
        <v>28922.400468410731</v>
      </c>
    </row>
    <row r="1359" spans="1:12" x14ac:dyDescent="0.25">
      <c r="A1359">
        <v>107</v>
      </c>
      <c r="B1359" t="s">
        <v>42</v>
      </c>
      <c r="C1359" t="s">
        <v>36</v>
      </c>
      <c r="D1359" t="s">
        <v>43</v>
      </c>
      <c r="E1359" t="str">
        <f>_xlfn.XLOOKUP(F1359, Keys!B:B, Keys!A:A, "找不到")</f>
        <v>PEI</v>
      </c>
      <c r="F1359" t="s">
        <v>68</v>
      </c>
      <c r="G1359">
        <v>4.550758519964865</v>
      </c>
      <c r="H1359" t="s">
        <v>46</v>
      </c>
      <c r="I1359" t="s">
        <v>47</v>
      </c>
      <c r="J1359">
        <v>0</v>
      </c>
      <c r="K1359">
        <v>841.43347718770065</v>
      </c>
      <c r="L1359">
        <v>18416.340008597701</v>
      </c>
    </row>
    <row r="1360" spans="1:12" x14ac:dyDescent="0.25">
      <c r="A1360">
        <v>110</v>
      </c>
      <c r="B1360" t="s">
        <v>42</v>
      </c>
      <c r="C1360" t="s">
        <v>36</v>
      </c>
      <c r="D1360" t="s">
        <v>43</v>
      </c>
      <c r="E1360" t="str">
        <f>_xlfn.XLOOKUP(F1360, Keys!B:B, Keys!A:A, "找不到")</f>
        <v>PEI</v>
      </c>
      <c r="F1360" t="s">
        <v>68</v>
      </c>
      <c r="G1360">
        <v>1.6754268957786309</v>
      </c>
      <c r="H1360" t="s">
        <v>46</v>
      </c>
      <c r="I1360" t="s">
        <v>47</v>
      </c>
      <c r="J1360">
        <v>0</v>
      </c>
      <c r="K1360">
        <v>436.36643955156791</v>
      </c>
      <c r="L1360">
        <v>6780.239214373185</v>
      </c>
    </row>
    <row r="1361" spans="1:12" x14ac:dyDescent="0.25">
      <c r="A1361">
        <v>123</v>
      </c>
      <c r="B1361" t="s">
        <v>42</v>
      </c>
      <c r="C1361" t="s">
        <v>36</v>
      </c>
      <c r="D1361" t="s">
        <v>43</v>
      </c>
      <c r="E1361" t="str">
        <f>_xlfn.XLOOKUP(F1361, Keys!B:B, Keys!A:A, "找不到")</f>
        <v>PEI</v>
      </c>
      <c r="F1361" t="s">
        <v>68</v>
      </c>
      <c r="G1361">
        <v>2.464882885492909</v>
      </c>
      <c r="H1361" t="s">
        <v>46</v>
      </c>
      <c r="I1361" t="s">
        <v>47</v>
      </c>
      <c r="J1361">
        <v>0</v>
      </c>
      <c r="K1361">
        <v>415.62186130122433</v>
      </c>
      <c r="L1361">
        <v>9975.0670358490661</v>
      </c>
    </row>
    <row r="1362" spans="1:12" x14ac:dyDescent="0.25">
      <c r="A1362">
        <v>124</v>
      </c>
      <c r="B1362" t="s">
        <v>42</v>
      </c>
      <c r="C1362" t="s">
        <v>36</v>
      </c>
      <c r="D1362" t="s">
        <v>43</v>
      </c>
      <c r="E1362" t="str">
        <f>_xlfn.XLOOKUP(F1362, Keys!B:B, Keys!A:A, "找不到")</f>
        <v>PEI</v>
      </c>
      <c r="F1362" t="s">
        <v>68</v>
      </c>
      <c r="G1362">
        <v>0.86712798053894347</v>
      </c>
      <c r="H1362" t="s">
        <v>46</v>
      </c>
      <c r="I1362" t="s">
        <v>47</v>
      </c>
      <c r="J1362">
        <v>0</v>
      </c>
      <c r="K1362">
        <v>313.41379981267681</v>
      </c>
      <c r="L1362">
        <v>3509.1564736986229</v>
      </c>
    </row>
    <row r="1363" spans="1:12" x14ac:dyDescent="0.25">
      <c r="A1363">
        <v>125</v>
      </c>
      <c r="B1363" t="s">
        <v>42</v>
      </c>
      <c r="C1363" t="s">
        <v>36</v>
      </c>
      <c r="D1363" t="s">
        <v>43</v>
      </c>
      <c r="E1363" t="str">
        <f>_xlfn.XLOOKUP(F1363, Keys!B:B, Keys!A:A, "找不到")</f>
        <v>PEI</v>
      </c>
      <c r="F1363" t="s">
        <v>68</v>
      </c>
      <c r="G1363">
        <v>1.374116418090584</v>
      </c>
      <c r="H1363" t="s">
        <v>46</v>
      </c>
      <c r="I1363" t="s">
        <v>47</v>
      </c>
      <c r="J1363">
        <v>0</v>
      </c>
      <c r="K1363">
        <v>291.02925557381701</v>
      </c>
      <c r="L1363">
        <v>5560.874095149301</v>
      </c>
    </row>
    <row r="1364" spans="1:12" x14ac:dyDescent="0.25">
      <c r="A1364">
        <v>126</v>
      </c>
      <c r="B1364" t="s">
        <v>42</v>
      </c>
      <c r="C1364" t="s">
        <v>36</v>
      </c>
      <c r="D1364" t="s">
        <v>43</v>
      </c>
      <c r="E1364" t="str">
        <f>_xlfn.XLOOKUP(F1364, Keys!B:B, Keys!A:A, "找不到")</f>
        <v>PEI</v>
      </c>
      <c r="F1364" t="s">
        <v>68</v>
      </c>
      <c r="G1364">
        <v>1.4904803692243509</v>
      </c>
      <c r="H1364" t="s">
        <v>46</v>
      </c>
      <c r="I1364" t="s">
        <v>47</v>
      </c>
      <c r="J1364">
        <v>0</v>
      </c>
      <c r="K1364">
        <v>291.14874610162542</v>
      </c>
      <c r="L1364">
        <v>6031.784181769287</v>
      </c>
    </row>
    <row r="1365" spans="1:12" x14ac:dyDescent="0.25">
      <c r="A1365">
        <v>127</v>
      </c>
      <c r="B1365" t="s">
        <v>42</v>
      </c>
      <c r="C1365" t="s">
        <v>36</v>
      </c>
      <c r="D1365" t="s">
        <v>43</v>
      </c>
      <c r="E1365" t="str">
        <f>_xlfn.XLOOKUP(F1365, Keys!B:B, Keys!A:A, "找不到")</f>
        <v>PEI</v>
      </c>
      <c r="F1365" t="s">
        <v>68</v>
      </c>
      <c r="G1365">
        <v>1.1508441503971769</v>
      </c>
      <c r="H1365" t="s">
        <v>46</v>
      </c>
      <c r="I1365" t="s">
        <v>47</v>
      </c>
      <c r="J1365">
        <v>0</v>
      </c>
      <c r="K1365">
        <v>287.57097337346119</v>
      </c>
      <c r="L1365">
        <v>4657.3196704763386</v>
      </c>
    </row>
    <row r="1366" spans="1:12" x14ac:dyDescent="0.25">
      <c r="A1366">
        <v>181</v>
      </c>
      <c r="B1366" t="s">
        <v>42</v>
      </c>
      <c r="C1366" t="s">
        <v>36</v>
      </c>
      <c r="D1366" t="s">
        <v>43</v>
      </c>
      <c r="E1366" t="str">
        <f>_xlfn.XLOOKUP(F1366, Keys!B:B, Keys!A:A, "找不到")</f>
        <v>PEI</v>
      </c>
      <c r="F1366" t="s">
        <v>68</v>
      </c>
      <c r="G1366">
        <v>2.2697946744450759</v>
      </c>
      <c r="H1366" t="s">
        <v>46</v>
      </c>
      <c r="I1366" t="s">
        <v>47</v>
      </c>
      <c r="J1366">
        <v>0</v>
      </c>
      <c r="K1366">
        <v>404.8252939781421</v>
      </c>
      <c r="L1366">
        <v>9185.5698980502239</v>
      </c>
    </row>
    <row r="1367" spans="1:12" x14ac:dyDescent="0.25">
      <c r="A1367">
        <v>196</v>
      </c>
      <c r="B1367" t="s">
        <v>42</v>
      </c>
      <c r="C1367" t="s">
        <v>36</v>
      </c>
      <c r="D1367" t="s">
        <v>126</v>
      </c>
      <c r="E1367" t="str">
        <f>_xlfn.XLOOKUP(F1367, Keys!B:B, Keys!A:A, "找不到")</f>
        <v>PEI</v>
      </c>
      <c r="F1367" t="s">
        <v>68</v>
      </c>
      <c r="G1367">
        <v>0.66147205974626166</v>
      </c>
      <c r="H1367" t="s">
        <v>46</v>
      </c>
      <c r="I1367" t="s">
        <v>47</v>
      </c>
      <c r="J1367">
        <v>0</v>
      </c>
      <c r="K1367">
        <v>235.9373748313773</v>
      </c>
      <c r="L1367">
        <v>2676.893160784251</v>
      </c>
    </row>
    <row r="1368" spans="1:12" x14ac:dyDescent="0.25">
      <c r="A1368">
        <v>288</v>
      </c>
      <c r="B1368" t="s">
        <v>42</v>
      </c>
      <c r="C1368" t="s">
        <v>36</v>
      </c>
      <c r="D1368" t="s">
        <v>43</v>
      </c>
      <c r="E1368" t="str">
        <f>_xlfn.XLOOKUP(F1368, Keys!B:B, Keys!A:A, "找不到")</f>
        <v>PEI</v>
      </c>
      <c r="F1368" t="s">
        <v>68</v>
      </c>
      <c r="G1368">
        <v>1.587046142086449</v>
      </c>
      <c r="H1368" t="s">
        <v>46</v>
      </c>
      <c r="I1368" t="s">
        <v>47</v>
      </c>
      <c r="J1368">
        <v>0</v>
      </c>
      <c r="K1368">
        <v>323.29363639443852</v>
      </c>
      <c r="L1368">
        <v>6422.5735630162526</v>
      </c>
    </row>
    <row r="1369" spans="1:12" x14ac:dyDescent="0.25">
      <c r="A1369">
        <v>289</v>
      </c>
      <c r="B1369" t="s">
        <v>42</v>
      </c>
      <c r="C1369" t="s">
        <v>36</v>
      </c>
      <c r="D1369" t="s">
        <v>43</v>
      </c>
      <c r="E1369" t="str">
        <f>_xlfn.XLOOKUP(F1369, Keys!B:B, Keys!A:A, "找不到")</f>
        <v>PEI</v>
      </c>
      <c r="F1369" t="s">
        <v>68</v>
      </c>
      <c r="G1369">
        <v>1.679598593367355</v>
      </c>
      <c r="H1369" t="s">
        <v>46</v>
      </c>
      <c r="I1369" t="s">
        <v>47</v>
      </c>
      <c r="J1369">
        <v>0</v>
      </c>
      <c r="K1369">
        <v>331.85792606819928</v>
      </c>
      <c r="L1369">
        <v>6797.1215430816719</v>
      </c>
    </row>
    <row r="1370" spans="1:12" x14ac:dyDescent="0.25">
      <c r="A1370">
        <v>294</v>
      </c>
      <c r="B1370" t="s">
        <v>42</v>
      </c>
      <c r="C1370" t="s">
        <v>36</v>
      </c>
      <c r="D1370" t="s">
        <v>43</v>
      </c>
      <c r="E1370" t="str">
        <f>_xlfn.XLOOKUP(F1370, Keys!B:B, Keys!A:A, "找不到")</f>
        <v>PEI</v>
      </c>
      <c r="F1370" t="s">
        <v>68</v>
      </c>
      <c r="G1370">
        <v>1.972622768495812</v>
      </c>
      <c r="H1370" t="s">
        <v>46</v>
      </c>
      <c r="I1370" t="s">
        <v>47</v>
      </c>
      <c r="J1370">
        <v>0</v>
      </c>
      <c r="K1370">
        <v>360.99386509497509</v>
      </c>
      <c r="L1370">
        <v>7982.9530514400176</v>
      </c>
    </row>
    <row r="1371" spans="1:12" x14ac:dyDescent="0.25">
      <c r="A1371">
        <v>297</v>
      </c>
      <c r="B1371" t="s">
        <v>42</v>
      </c>
      <c r="C1371" t="s">
        <v>36</v>
      </c>
      <c r="D1371" t="s">
        <v>43</v>
      </c>
      <c r="E1371" t="str">
        <f>_xlfn.XLOOKUP(F1371, Keys!B:B, Keys!A:A, "找不到")</f>
        <v>PEI</v>
      </c>
      <c r="F1371" t="s">
        <v>68</v>
      </c>
      <c r="G1371">
        <v>11.28616449752368</v>
      </c>
      <c r="H1371" t="s">
        <v>46</v>
      </c>
      <c r="I1371" t="s">
        <v>47</v>
      </c>
      <c r="J1371" t="s">
        <v>85</v>
      </c>
      <c r="K1371">
        <v>907.50775696626624</v>
      </c>
      <c r="L1371">
        <v>45673.669975563767</v>
      </c>
    </row>
    <row r="1372" spans="1:12" x14ac:dyDescent="0.25">
      <c r="A1372">
        <v>109</v>
      </c>
      <c r="B1372" t="s">
        <v>42</v>
      </c>
      <c r="C1372" t="s">
        <v>36</v>
      </c>
      <c r="D1372" t="s">
        <v>43</v>
      </c>
      <c r="E1372" t="str">
        <f>_xlfn.XLOOKUP(F1372, Keys!B:B, Keys!A:A, "找不到")</f>
        <v>PI</v>
      </c>
      <c r="F1372" t="s">
        <v>112</v>
      </c>
      <c r="G1372">
        <v>1.64068360493992</v>
      </c>
      <c r="H1372" t="s">
        <v>46</v>
      </c>
      <c r="I1372" t="s">
        <v>47</v>
      </c>
      <c r="J1372">
        <v>0</v>
      </c>
      <c r="K1372">
        <v>528.15264271923104</v>
      </c>
      <c r="L1372">
        <v>6639.6375423011104</v>
      </c>
    </row>
    <row r="1373" spans="1:12" x14ac:dyDescent="0.25">
      <c r="A1373">
        <v>255</v>
      </c>
      <c r="B1373" t="s">
        <v>42</v>
      </c>
      <c r="C1373" t="s">
        <v>36</v>
      </c>
      <c r="D1373" t="s">
        <v>43</v>
      </c>
      <c r="E1373" t="str">
        <f>_xlfn.XLOOKUP(F1373, Keys!B:B, Keys!A:A, "找不到")</f>
        <v>PI</v>
      </c>
      <c r="F1373" t="s">
        <v>112</v>
      </c>
      <c r="G1373">
        <v>2.2540968094963851</v>
      </c>
      <c r="H1373" t="s">
        <v>46</v>
      </c>
      <c r="I1373" t="s">
        <v>47</v>
      </c>
      <c r="J1373">
        <v>0</v>
      </c>
      <c r="K1373">
        <v>630.41310718301634</v>
      </c>
      <c r="L1373">
        <v>9122.0426383558588</v>
      </c>
    </row>
    <row r="1374" spans="1:12" x14ac:dyDescent="0.25">
      <c r="A1374">
        <v>3</v>
      </c>
      <c r="B1374" t="s">
        <v>42</v>
      </c>
      <c r="C1374" t="s">
        <v>36</v>
      </c>
      <c r="D1374" t="s">
        <v>43</v>
      </c>
      <c r="E1374" t="str">
        <f>_xlfn.XLOOKUP(F1374, Keys!B:B, Keys!A:A, "找不到")</f>
        <v>SSG</v>
      </c>
      <c r="F1374" t="s">
        <v>56</v>
      </c>
      <c r="G1374">
        <v>4.5375133921447048</v>
      </c>
      <c r="H1374" t="s">
        <v>46</v>
      </c>
      <c r="I1374" t="s">
        <v>47</v>
      </c>
      <c r="J1374" t="s">
        <v>57</v>
      </c>
      <c r="K1374">
        <v>549.12262617731301</v>
      </c>
      <c r="L1374">
        <v>18362.738663608008</v>
      </c>
    </row>
    <row r="1375" spans="1:12" x14ac:dyDescent="0.25">
      <c r="A1375">
        <v>4</v>
      </c>
      <c r="B1375" t="s">
        <v>42</v>
      </c>
      <c r="C1375" t="s">
        <v>36</v>
      </c>
      <c r="D1375" t="s">
        <v>43</v>
      </c>
      <c r="E1375" t="str">
        <f>_xlfn.XLOOKUP(F1375, Keys!B:B, Keys!A:A, "找不到")</f>
        <v>SSG</v>
      </c>
      <c r="F1375" t="s">
        <v>56</v>
      </c>
      <c r="G1375">
        <v>4.4202210866826688</v>
      </c>
      <c r="H1375" t="s">
        <v>46</v>
      </c>
      <c r="I1375" t="s">
        <v>47</v>
      </c>
      <c r="J1375" t="s">
        <v>57</v>
      </c>
      <c r="K1375">
        <v>567.4494202141251</v>
      </c>
      <c r="L1375">
        <v>17888.07164528469</v>
      </c>
    </row>
    <row r="1376" spans="1:12" x14ac:dyDescent="0.25">
      <c r="A1376">
        <v>10</v>
      </c>
      <c r="B1376" t="s">
        <v>42</v>
      </c>
      <c r="C1376" t="s">
        <v>36</v>
      </c>
      <c r="D1376" t="s">
        <v>43</v>
      </c>
      <c r="E1376" t="str">
        <f>_xlfn.XLOOKUP(F1376, Keys!B:B, Keys!A:A, "找不到")</f>
        <v>SSG</v>
      </c>
      <c r="F1376" t="s">
        <v>56</v>
      </c>
      <c r="G1376">
        <v>12.58422554162347</v>
      </c>
      <c r="H1376" t="s">
        <v>46</v>
      </c>
      <c r="I1376" t="s">
        <v>47</v>
      </c>
      <c r="J1376">
        <v>0</v>
      </c>
      <c r="K1376">
        <v>964.1770580194775</v>
      </c>
      <c r="L1376">
        <v>50926.757660875999</v>
      </c>
    </row>
    <row r="1377" spans="1:12" x14ac:dyDescent="0.25">
      <c r="A1377">
        <v>192</v>
      </c>
      <c r="B1377" t="s">
        <v>42</v>
      </c>
      <c r="C1377" t="s">
        <v>36</v>
      </c>
      <c r="D1377">
        <v>0</v>
      </c>
      <c r="E1377" t="str">
        <f>_xlfn.XLOOKUP(F1377, Keys!B:B, Keys!A:A, "找不到")</f>
        <v>SSG</v>
      </c>
      <c r="F1377" t="s">
        <v>56</v>
      </c>
      <c r="G1377">
        <v>3.69119588700819</v>
      </c>
      <c r="H1377" t="s">
        <v>46</v>
      </c>
      <c r="I1377" t="s">
        <v>47</v>
      </c>
      <c r="J1377">
        <v>0</v>
      </c>
      <c r="K1377">
        <v>609.84124573530278</v>
      </c>
      <c r="L1377">
        <v>14937.79953281394</v>
      </c>
    </row>
    <row r="1378" spans="1:12" x14ac:dyDescent="0.25">
      <c r="A1378">
        <v>58</v>
      </c>
      <c r="B1378" t="s">
        <v>91</v>
      </c>
      <c r="C1378" t="s">
        <v>36</v>
      </c>
      <c r="D1378" t="s">
        <v>95</v>
      </c>
      <c r="E1378" t="str">
        <f>_xlfn.XLOOKUP(F1378, Keys!B:B, Keys!A:A, "找不到")</f>
        <v>TW</v>
      </c>
      <c r="F1378" t="s">
        <v>97</v>
      </c>
      <c r="G1378">
        <v>1.133019665843727</v>
      </c>
      <c r="H1378" t="s">
        <v>46</v>
      </c>
      <c r="I1378" t="s">
        <v>47</v>
      </c>
      <c r="J1378">
        <v>0</v>
      </c>
      <c r="K1378">
        <v>273.87800175656957</v>
      </c>
      <c r="L1378">
        <v>4585.1862521518551</v>
      </c>
    </row>
    <row r="1379" spans="1:12" x14ac:dyDescent="0.25">
      <c r="A1379">
        <v>64</v>
      </c>
      <c r="B1379" t="s">
        <v>91</v>
      </c>
      <c r="C1379" t="s">
        <v>36</v>
      </c>
      <c r="D1379" t="s">
        <v>95</v>
      </c>
      <c r="E1379" t="str">
        <f>_xlfn.XLOOKUP(F1379, Keys!B:B, Keys!A:A, "找不到")</f>
        <v>TW</v>
      </c>
      <c r="F1379" t="s">
        <v>97</v>
      </c>
      <c r="G1379">
        <v>1.116745314777819</v>
      </c>
      <c r="H1379" t="s">
        <v>46</v>
      </c>
      <c r="I1379" t="s">
        <v>47</v>
      </c>
      <c r="J1379">
        <v>0</v>
      </c>
      <c r="K1379">
        <v>271.11534721429581</v>
      </c>
      <c r="L1379">
        <v>4519.3260265797562</v>
      </c>
    </row>
    <row r="1380" spans="1:12" x14ac:dyDescent="0.25">
      <c r="A1380">
        <v>72</v>
      </c>
      <c r="B1380" t="s">
        <v>91</v>
      </c>
      <c r="C1380" t="s">
        <v>36</v>
      </c>
      <c r="D1380" t="s">
        <v>95</v>
      </c>
      <c r="E1380" t="str">
        <f>_xlfn.XLOOKUP(F1380, Keys!B:B, Keys!A:A, "找不到")</f>
        <v>TW</v>
      </c>
      <c r="F1380" t="s">
        <v>97</v>
      </c>
      <c r="G1380">
        <v>1.9478041183083441</v>
      </c>
      <c r="H1380" t="s">
        <v>46</v>
      </c>
      <c r="I1380" t="s">
        <v>47</v>
      </c>
      <c r="J1380">
        <v>0</v>
      </c>
      <c r="K1380">
        <v>366.32697647813922</v>
      </c>
      <c r="L1380">
        <v>7882.5151357823042</v>
      </c>
    </row>
    <row r="1381" spans="1:12" x14ac:dyDescent="0.25">
      <c r="A1381">
        <v>73</v>
      </c>
      <c r="B1381" t="s">
        <v>91</v>
      </c>
      <c r="C1381" t="s">
        <v>36</v>
      </c>
      <c r="D1381" t="s">
        <v>95</v>
      </c>
      <c r="E1381" t="str">
        <f>_xlfn.XLOOKUP(F1381, Keys!B:B, Keys!A:A, "找不到")</f>
        <v>TW</v>
      </c>
      <c r="F1381" t="s">
        <v>97</v>
      </c>
      <c r="G1381">
        <v>1.1129433771951289</v>
      </c>
      <c r="H1381" t="s">
        <v>46</v>
      </c>
      <c r="I1381" t="s">
        <v>47</v>
      </c>
      <c r="J1381">
        <v>0</v>
      </c>
      <c r="K1381">
        <v>271.88620736506692</v>
      </c>
      <c r="L1381">
        <v>4503.9400695119166</v>
      </c>
    </row>
    <row r="1382" spans="1:12" x14ac:dyDescent="0.25">
      <c r="A1382">
        <v>74</v>
      </c>
      <c r="B1382" t="s">
        <v>91</v>
      </c>
      <c r="C1382" t="s">
        <v>36</v>
      </c>
      <c r="D1382" t="s">
        <v>95</v>
      </c>
      <c r="E1382" t="str">
        <f>_xlfn.XLOOKUP(F1382, Keys!B:B, Keys!A:A, "找不到")</f>
        <v>TW</v>
      </c>
      <c r="F1382" t="s">
        <v>97</v>
      </c>
      <c r="G1382">
        <v>1.107843352613429</v>
      </c>
      <c r="H1382" t="s">
        <v>46</v>
      </c>
      <c r="I1382" t="s">
        <v>47</v>
      </c>
      <c r="J1382">
        <v>0</v>
      </c>
      <c r="K1382">
        <v>271.44298791137959</v>
      </c>
      <c r="L1382">
        <v>4483.3009197225483</v>
      </c>
    </row>
    <row r="1383" spans="1:12" x14ac:dyDescent="0.25">
      <c r="A1383">
        <v>75</v>
      </c>
      <c r="B1383" t="s">
        <v>91</v>
      </c>
      <c r="C1383" t="s">
        <v>36</v>
      </c>
      <c r="D1383" t="s">
        <v>95</v>
      </c>
      <c r="E1383" t="str">
        <f>_xlfn.XLOOKUP(F1383, Keys!B:B, Keys!A:A, "找不到")</f>
        <v>TW</v>
      </c>
      <c r="F1383" t="s">
        <v>97</v>
      </c>
      <c r="G1383">
        <v>1.020481658214532</v>
      </c>
      <c r="H1383" t="s">
        <v>46</v>
      </c>
      <c r="I1383" t="s">
        <v>47</v>
      </c>
      <c r="J1383">
        <v>0</v>
      </c>
      <c r="K1383">
        <v>258.22387800029833</v>
      </c>
      <c r="L1383">
        <v>4129.7592715074452</v>
      </c>
    </row>
    <row r="1384" spans="1:12" x14ac:dyDescent="0.25">
      <c r="A1384">
        <v>86</v>
      </c>
      <c r="B1384" t="s">
        <v>91</v>
      </c>
      <c r="C1384" t="s">
        <v>36</v>
      </c>
      <c r="D1384" t="s">
        <v>95</v>
      </c>
      <c r="E1384" t="str">
        <f>_xlfn.XLOOKUP(F1384, Keys!B:B, Keys!A:A, "找不到")</f>
        <v>TW</v>
      </c>
      <c r="F1384" t="s">
        <v>97</v>
      </c>
      <c r="G1384">
        <v>1.0878960316710049</v>
      </c>
      <c r="H1384" t="s">
        <v>46</v>
      </c>
      <c r="I1384" t="s">
        <v>47</v>
      </c>
      <c r="J1384">
        <v>0</v>
      </c>
      <c r="K1384">
        <v>267.93172012582562</v>
      </c>
      <c r="L1384">
        <v>4402.5766529602824</v>
      </c>
    </row>
    <row r="1385" spans="1:12" x14ac:dyDescent="0.25">
      <c r="A1385">
        <v>87</v>
      </c>
      <c r="B1385" t="s">
        <v>91</v>
      </c>
      <c r="C1385" t="s">
        <v>36</v>
      </c>
      <c r="D1385" t="s">
        <v>95</v>
      </c>
      <c r="E1385" t="str">
        <f>_xlfn.XLOOKUP(F1385, Keys!B:B, Keys!A:A, "找不到")</f>
        <v>TW</v>
      </c>
      <c r="F1385" t="s">
        <v>97</v>
      </c>
      <c r="G1385">
        <v>1.050013394243833</v>
      </c>
      <c r="H1385" t="s">
        <v>46</v>
      </c>
      <c r="I1385" t="s">
        <v>47</v>
      </c>
      <c r="J1385">
        <v>0</v>
      </c>
      <c r="K1385">
        <v>263.00923505313028</v>
      </c>
      <c r="L1385">
        <v>4249.2704451664604</v>
      </c>
    </row>
    <row r="1386" spans="1:12" x14ac:dyDescent="0.25">
      <c r="A1386">
        <v>88</v>
      </c>
      <c r="B1386" t="s">
        <v>91</v>
      </c>
      <c r="C1386" t="s">
        <v>36</v>
      </c>
      <c r="D1386" t="s">
        <v>95</v>
      </c>
      <c r="E1386" t="str">
        <f>_xlfn.XLOOKUP(F1386, Keys!B:B, Keys!A:A, "找不到")</f>
        <v>TW</v>
      </c>
      <c r="F1386" t="s">
        <v>97</v>
      </c>
      <c r="G1386">
        <v>1.119272274340031</v>
      </c>
      <c r="H1386" t="s">
        <v>46</v>
      </c>
      <c r="I1386" t="s">
        <v>47</v>
      </c>
      <c r="J1386">
        <v>0</v>
      </c>
      <c r="K1386">
        <v>270.19608882825747</v>
      </c>
      <c r="L1386">
        <v>4529.5523100183291</v>
      </c>
    </row>
    <row r="1387" spans="1:12" x14ac:dyDescent="0.25">
      <c r="A1387">
        <v>91</v>
      </c>
      <c r="B1387" t="s">
        <v>91</v>
      </c>
      <c r="C1387" t="s">
        <v>36</v>
      </c>
      <c r="D1387" t="s">
        <v>95</v>
      </c>
      <c r="E1387" t="str">
        <f>_xlfn.XLOOKUP(F1387, Keys!B:B, Keys!A:A, "找不到")</f>
        <v>TW</v>
      </c>
      <c r="F1387" t="s">
        <v>97</v>
      </c>
      <c r="G1387">
        <v>1.0746161820441571</v>
      </c>
      <c r="H1387" t="s">
        <v>46</v>
      </c>
      <c r="I1387" t="s">
        <v>47</v>
      </c>
      <c r="J1387">
        <v>0</v>
      </c>
      <c r="K1387">
        <v>265.23634571466391</v>
      </c>
      <c r="L1387">
        <v>4348.8347932421402</v>
      </c>
    </row>
    <row r="1388" spans="1:12" x14ac:dyDescent="0.25">
      <c r="A1388">
        <v>94</v>
      </c>
      <c r="B1388" t="s">
        <v>91</v>
      </c>
      <c r="C1388" t="s">
        <v>36</v>
      </c>
      <c r="D1388" t="s">
        <v>95</v>
      </c>
      <c r="E1388" t="str">
        <f>_xlfn.XLOOKUP(F1388, Keys!B:B, Keys!A:A, "找不到")</f>
        <v>TW</v>
      </c>
      <c r="F1388" t="s">
        <v>97</v>
      </c>
      <c r="G1388">
        <v>1.0889513238699879</v>
      </c>
      <c r="H1388" t="s">
        <v>46</v>
      </c>
      <c r="I1388" t="s">
        <v>47</v>
      </c>
      <c r="J1388">
        <v>0</v>
      </c>
      <c r="K1388">
        <v>267.55067555209177</v>
      </c>
      <c r="L1388">
        <v>4406.8472860557604</v>
      </c>
    </row>
    <row r="1389" spans="1:12" x14ac:dyDescent="0.25">
      <c r="A1389">
        <v>96</v>
      </c>
      <c r="B1389" t="s">
        <v>91</v>
      </c>
      <c r="C1389" t="s">
        <v>36</v>
      </c>
      <c r="D1389" t="s">
        <v>95</v>
      </c>
      <c r="E1389" t="str">
        <f>_xlfn.XLOOKUP(F1389, Keys!B:B, Keys!A:A, "找不到")</f>
        <v>TW</v>
      </c>
      <c r="F1389" t="s">
        <v>97</v>
      </c>
      <c r="G1389">
        <v>1.069269401600734</v>
      </c>
      <c r="H1389" t="s">
        <v>46</v>
      </c>
      <c r="I1389" t="s">
        <v>47</v>
      </c>
      <c r="J1389">
        <v>0</v>
      </c>
      <c r="K1389">
        <v>264.9236615529037</v>
      </c>
      <c r="L1389">
        <v>4327.1970539146414</v>
      </c>
    </row>
    <row r="1390" spans="1:12" x14ac:dyDescent="0.25">
      <c r="A1390">
        <v>130</v>
      </c>
      <c r="B1390" t="s">
        <v>42</v>
      </c>
      <c r="C1390" t="s">
        <v>36</v>
      </c>
      <c r="D1390" t="s">
        <v>43</v>
      </c>
      <c r="E1390" t="str">
        <f>_xlfn.XLOOKUP(F1390, Keys!B:B, Keys!A:A, "找不到")</f>
        <v>WSG</v>
      </c>
      <c r="F1390" t="s">
        <v>123</v>
      </c>
      <c r="G1390">
        <v>9.8435119582932771</v>
      </c>
      <c r="H1390" t="s">
        <v>46</v>
      </c>
      <c r="I1390" t="s">
        <v>47</v>
      </c>
      <c r="J1390">
        <v>0</v>
      </c>
      <c r="K1390">
        <v>937.15238631746297</v>
      </c>
      <c r="L1390">
        <v>39835.438928986718</v>
      </c>
    </row>
    <row r="1391" spans="1:12" x14ac:dyDescent="0.25">
      <c r="A1391">
        <v>244</v>
      </c>
      <c r="B1391" t="s">
        <v>42</v>
      </c>
      <c r="C1391" t="s">
        <v>36</v>
      </c>
      <c r="D1391" t="s">
        <v>43</v>
      </c>
      <c r="E1391" t="str">
        <f>_xlfn.XLOOKUP(F1391, Keys!B:B, Keys!A:A, "找不到")</f>
        <v>WSG</v>
      </c>
      <c r="F1391" t="s">
        <v>123</v>
      </c>
      <c r="G1391">
        <v>7.1840601371725699</v>
      </c>
      <c r="H1391" t="s">
        <v>46</v>
      </c>
      <c r="I1391" t="s">
        <v>47</v>
      </c>
      <c r="J1391">
        <v>0</v>
      </c>
      <c r="K1391">
        <v>774.3649582204506</v>
      </c>
      <c r="L1391">
        <v>29072.976196813132</v>
      </c>
    </row>
    <row r="1392" spans="1:12" x14ac:dyDescent="0.25">
      <c r="A1392">
        <v>12</v>
      </c>
      <c r="B1392" t="s">
        <v>42</v>
      </c>
      <c r="C1392" t="s">
        <v>36</v>
      </c>
      <c r="D1392" t="s">
        <v>43</v>
      </c>
      <c r="E1392" t="str">
        <f>_xlfn.XLOOKUP(F1392, Keys!B:B, Keys!A:A, "找不到")</f>
        <v>CO</v>
      </c>
      <c r="F1392" t="s">
        <v>59</v>
      </c>
      <c r="G1392">
        <v>27.033271731380939</v>
      </c>
      <c r="H1392" t="s">
        <v>60</v>
      </c>
      <c r="I1392" t="s">
        <v>66</v>
      </c>
      <c r="J1392">
        <v>0</v>
      </c>
      <c r="K1392">
        <v>1172.5031110864061</v>
      </c>
      <c r="L1392">
        <v>109400.20692501339</v>
      </c>
    </row>
    <row r="1393" spans="1:12" x14ac:dyDescent="0.25">
      <c r="A1393">
        <v>193</v>
      </c>
      <c r="B1393" t="s">
        <v>42</v>
      </c>
      <c r="C1393" t="s">
        <v>36</v>
      </c>
      <c r="D1393" t="s">
        <v>43</v>
      </c>
      <c r="E1393" t="str">
        <f>_xlfn.XLOOKUP(F1393, Keys!B:B, Keys!A:A, "找不到")</f>
        <v>CO</v>
      </c>
      <c r="F1393" t="s">
        <v>59</v>
      </c>
      <c r="G1393">
        <v>31.430590409389911</v>
      </c>
      <c r="H1393" t="s">
        <v>60</v>
      </c>
      <c r="I1393" t="s">
        <v>66</v>
      </c>
      <c r="J1393">
        <v>0</v>
      </c>
      <c r="K1393">
        <v>1264.2733062167899</v>
      </c>
      <c r="L1393">
        <v>127195.5954399364</v>
      </c>
    </row>
    <row r="1394" spans="1:12" x14ac:dyDescent="0.25">
      <c r="A1394">
        <v>103</v>
      </c>
      <c r="B1394" t="s">
        <v>42</v>
      </c>
      <c r="C1394" t="s">
        <v>36</v>
      </c>
      <c r="D1394" t="s">
        <v>43</v>
      </c>
      <c r="E1394" t="str">
        <f>_xlfn.XLOOKUP(F1394, Keys!B:B, Keys!A:A, "找不到")</f>
        <v>HA</v>
      </c>
      <c r="F1394" t="s">
        <v>82</v>
      </c>
      <c r="G1394">
        <v>23.85508398272442</v>
      </c>
      <c r="H1394" t="s">
        <v>60</v>
      </c>
      <c r="I1394" t="s">
        <v>66</v>
      </c>
      <c r="J1394">
        <v>0</v>
      </c>
      <c r="K1394">
        <v>1400.539669045548</v>
      </c>
      <c r="L1394">
        <v>96538.485975937438</v>
      </c>
    </row>
    <row r="1395" spans="1:12" x14ac:dyDescent="0.25">
      <c r="A1395">
        <v>190</v>
      </c>
      <c r="B1395" t="s">
        <v>42</v>
      </c>
      <c r="C1395" t="s">
        <v>36</v>
      </c>
      <c r="D1395" t="s">
        <v>43</v>
      </c>
      <c r="E1395" t="str">
        <f>_xlfn.XLOOKUP(F1395, Keys!B:B, Keys!A:A, "找不到")</f>
        <v>HA</v>
      </c>
      <c r="F1395" t="s">
        <v>82</v>
      </c>
      <c r="G1395">
        <v>31.209126942948711</v>
      </c>
      <c r="H1395" t="s">
        <v>60</v>
      </c>
      <c r="I1395" t="s">
        <v>66</v>
      </c>
      <c r="J1395">
        <v>0</v>
      </c>
      <c r="K1395">
        <v>1259.811326638564</v>
      </c>
      <c r="L1395">
        <v>126299.3610035077</v>
      </c>
    </row>
    <row r="1396" spans="1:12" x14ac:dyDescent="0.25">
      <c r="A1396">
        <v>120</v>
      </c>
      <c r="B1396" t="s">
        <v>42</v>
      </c>
      <c r="C1396" t="s">
        <v>36</v>
      </c>
      <c r="D1396" t="s">
        <v>43</v>
      </c>
      <c r="E1396" t="str">
        <f>_xlfn.XLOOKUP(F1396, Keys!B:B, Keys!A:A, "找不到")</f>
        <v>PIC</v>
      </c>
      <c r="F1396" t="s">
        <v>88</v>
      </c>
      <c r="G1396">
        <v>29.774464652388289</v>
      </c>
      <c r="H1396" t="s">
        <v>60</v>
      </c>
      <c r="I1396" t="s">
        <v>66</v>
      </c>
      <c r="J1396">
        <v>0</v>
      </c>
      <c r="K1396">
        <v>1273.6218690890701</v>
      </c>
      <c r="L1396">
        <v>120493.4654754192</v>
      </c>
    </row>
    <row r="1397" spans="1:12" x14ac:dyDescent="0.25">
      <c r="A1397">
        <v>121</v>
      </c>
      <c r="B1397" t="s">
        <v>42</v>
      </c>
      <c r="C1397" t="s">
        <v>36</v>
      </c>
      <c r="D1397" t="s">
        <v>43</v>
      </c>
      <c r="E1397" t="str">
        <f>_xlfn.XLOOKUP(F1397, Keys!B:B, Keys!A:A, "找不到")</f>
        <v>PIC</v>
      </c>
      <c r="F1397" t="s">
        <v>88</v>
      </c>
      <c r="G1397">
        <v>1.58729877475563</v>
      </c>
      <c r="H1397" t="s">
        <v>60</v>
      </c>
      <c r="I1397" t="s">
        <v>66</v>
      </c>
      <c r="J1397">
        <v>0</v>
      </c>
      <c r="K1397">
        <v>404.49731822828778</v>
      </c>
      <c r="L1397">
        <v>6423.5959352455166</v>
      </c>
    </row>
    <row r="1398" spans="1:12" x14ac:dyDescent="0.25">
      <c r="A1398">
        <v>131</v>
      </c>
      <c r="B1398" t="s">
        <v>42</v>
      </c>
      <c r="C1398" t="s">
        <v>36</v>
      </c>
      <c r="D1398" t="s">
        <v>43</v>
      </c>
      <c r="E1398" t="str">
        <f>_xlfn.XLOOKUP(F1398, Keys!B:B, Keys!A:A, "找不到")</f>
        <v>PIW</v>
      </c>
      <c r="F1398" t="s">
        <v>114</v>
      </c>
      <c r="G1398">
        <v>40.726142141352867</v>
      </c>
      <c r="H1398" t="s">
        <v>60</v>
      </c>
      <c r="I1398" t="s">
        <v>66</v>
      </c>
      <c r="J1398">
        <v>0</v>
      </c>
      <c r="K1398">
        <v>1603.170768593264</v>
      </c>
      <c r="L1398">
        <v>164813.5091376864</v>
      </c>
    </row>
    <row r="1399" spans="1:12" x14ac:dyDescent="0.25">
      <c r="A1399">
        <v>312</v>
      </c>
      <c r="B1399" t="s">
        <v>42</v>
      </c>
      <c r="C1399" t="s">
        <v>36</v>
      </c>
      <c r="D1399" t="s">
        <v>126</v>
      </c>
      <c r="E1399" t="str">
        <f>_xlfn.XLOOKUP(F1399, Keys!B:B, Keys!A:A, "找不到")</f>
        <v>PIW</v>
      </c>
      <c r="F1399" t="s">
        <v>114</v>
      </c>
      <c r="G1399">
        <v>0.41898055395124451</v>
      </c>
      <c r="H1399" t="s">
        <v>60</v>
      </c>
      <c r="I1399" t="s">
        <v>66</v>
      </c>
      <c r="J1399">
        <v>0</v>
      </c>
      <c r="K1399">
        <v>183.55095582551581</v>
      </c>
      <c r="L1399">
        <v>1695.5609278552331</v>
      </c>
    </row>
    <row r="1400" spans="1:12" x14ac:dyDescent="0.25">
      <c r="A1400">
        <v>277</v>
      </c>
      <c r="B1400" t="s">
        <v>42</v>
      </c>
      <c r="C1400" t="s">
        <v>36</v>
      </c>
      <c r="D1400" t="s">
        <v>43</v>
      </c>
      <c r="E1400" t="str">
        <f>_xlfn.XLOOKUP(F1400, Keys!B:B, Keys!A:A, "找不到")</f>
        <v>PN</v>
      </c>
      <c r="F1400" t="s">
        <v>80</v>
      </c>
      <c r="G1400">
        <v>0.45820376277540759</v>
      </c>
      <c r="H1400" t="s">
        <v>60</v>
      </c>
      <c r="I1400" t="s">
        <v>66</v>
      </c>
      <c r="J1400">
        <v>0</v>
      </c>
      <c r="K1400">
        <v>181.09207381512371</v>
      </c>
      <c r="L1400">
        <v>1854.2922573171161</v>
      </c>
    </row>
    <row r="1401" spans="1:12" x14ac:dyDescent="0.25">
      <c r="A1401">
        <v>278</v>
      </c>
      <c r="B1401" t="s">
        <v>42</v>
      </c>
      <c r="C1401" t="s">
        <v>36</v>
      </c>
      <c r="D1401" t="s">
        <v>43</v>
      </c>
      <c r="E1401" t="str">
        <f>_xlfn.XLOOKUP(F1401, Keys!B:B, Keys!A:A, "找不到")</f>
        <v>PN</v>
      </c>
      <c r="F1401" t="s">
        <v>80</v>
      </c>
      <c r="G1401">
        <v>2.5753744732718169</v>
      </c>
      <c r="H1401" t="s">
        <v>60</v>
      </c>
      <c r="I1401" t="s">
        <v>66</v>
      </c>
      <c r="J1401">
        <v>0</v>
      </c>
      <c r="K1401">
        <v>447.5781678170336</v>
      </c>
      <c r="L1401">
        <v>10422.212416053049</v>
      </c>
    </row>
    <row r="1402" spans="1:12" x14ac:dyDescent="0.25">
      <c r="A1402">
        <v>279</v>
      </c>
      <c r="B1402" t="s">
        <v>42</v>
      </c>
      <c r="C1402" t="s">
        <v>36</v>
      </c>
      <c r="D1402" t="s">
        <v>43</v>
      </c>
      <c r="E1402" t="str">
        <f>_xlfn.XLOOKUP(F1402, Keys!B:B, Keys!A:A, "找不到")</f>
        <v>PN</v>
      </c>
      <c r="F1402" t="s">
        <v>80</v>
      </c>
      <c r="G1402">
        <v>0.51421741169694757</v>
      </c>
      <c r="H1402" t="s">
        <v>60</v>
      </c>
      <c r="I1402" t="s">
        <v>66</v>
      </c>
      <c r="J1402">
        <v>0</v>
      </c>
      <c r="K1402">
        <v>217.82892742724351</v>
      </c>
      <c r="L1402">
        <v>2080.9723589168088</v>
      </c>
    </row>
    <row r="1403" spans="1:12" x14ac:dyDescent="0.25">
      <c r="A1403">
        <v>112</v>
      </c>
      <c r="B1403" t="s">
        <v>42</v>
      </c>
      <c r="C1403" t="s">
        <v>36</v>
      </c>
      <c r="D1403" t="s">
        <v>43</v>
      </c>
      <c r="E1403" t="str">
        <f>_xlfn.XLOOKUP(F1403, Keys!B:B, Keys!A:A, "找不到")</f>
        <v>PEI</v>
      </c>
      <c r="F1403" t="s">
        <v>68</v>
      </c>
      <c r="G1403">
        <v>5.3680295731284229</v>
      </c>
      <c r="H1403" t="s">
        <v>60</v>
      </c>
      <c r="I1403" t="s">
        <v>66</v>
      </c>
      <c r="J1403">
        <v>0</v>
      </c>
      <c r="K1403">
        <v>1006.268308230613</v>
      </c>
      <c r="L1403">
        <v>21723.731848488391</v>
      </c>
    </row>
    <row r="1404" spans="1:12" x14ac:dyDescent="0.25">
      <c r="A1404">
        <v>63</v>
      </c>
      <c r="B1404" t="s">
        <v>91</v>
      </c>
      <c r="C1404" t="s">
        <v>36</v>
      </c>
      <c r="D1404" t="s">
        <v>95</v>
      </c>
      <c r="E1404" t="str">
        <f>_xlfn.XLOOKUP(F1404, Keys!B:B, Keys!A:A, "找不到")</f>
        <v>TW</v>
      </c>
      <c r="F1404" t="s">
        <v>97</v>
      </c>
      <c r="G1404">
        <v>1.134957007208292</v>
      </c>
      <c r="H1404" t="s">
        <v>60</v>
      </c>
      <c r="I1404" t="s">
        <v>66</v>
      </c>
      <c r="J1404">
        <v>0</v>
      </c>
      <c r="K1404">
        <v>272.41073259150198</v>
      </c>
      <c r="L1404">
        <v>4593.0264258560919</v>
      </c>
    </row>
    <row r="1405" spans="1:12" x14ac:dyDescent="0.25">
      <c r="A1405">
        <v>77</v>
      </c>
      <c r="B1405" t="s">
        <v>91</v>
      </c>
      <c r="C1405" t="s">
        <v>36</v>
      </c>
      <c r="D1405" t="s">
        <v>95</v>
      </c>
      <c r="E1405" t="str">
        <f>_xlfn.XLOOKUP(F1405, Keys!B:B, Keys!A:A, "找不到")</f>
        <v>TW</v>
      </c>
      <c r="F1405" t="s">
        <v>97</v>
      </c>
      <c r="G1405">
        <v>0.9617906549163191</v>
      </c>
      <c r="H1405" t="s">
        <v>60</v>
      </c>
      <c r="I1405" t="s">
        <v>66</v>
      </c>
      <c r="J1405">
        <v>0</v>
      </c>
      <c r="K1405">
        <v>252.07328176366039</v>
      </c>
      <c r="L1405">
        <v>3892.2442578138698</v>
      </c>
    </row>
    <row r="1406" spans="1:12" x14ac:dyDescent="0.25">
      <c r="A1406">
        <v>111</v>
      </c>
      <c r="B1406" t="s">
        <v>42</v>
      </c>
      <c r="C1406" t="s">
        <v>36</v>
      </c>
      <c r="D1406" t="s">
        <v>43</v>
      </c>
      <c r="E1406" t="str">
        <f>_xlfn.XLOOKUP(F1406, Keys!B:B, Keys!A:A, "找不到")</f>
        <v>TW</v>
      </c>
      <c r="F1406" t="s">
        <v>97</v>
      </c>
      <c r="G1406">
        <v>0.41413377762584502</v>
      </c>
      <c r="H1406" t="s">
        <v>60</v>
      </c>
      <c r="I1406" t="s">
        <v>66</v>
      </c>
      <c r="J1406">
        <v>0</v>
      </c>
      <c r="K1406">
        <v>283.28127375202951</v>
      </c>
      <c r="L1406">
        <v>1675.946641497786</v>
      </c>
    </row>
    <row r="1407" spans="1:12" x14ac:dyDescent="0.25">
      <c r="A1407">
        <v>155</v>
      </c>
      <c r="B1407" t="s">
        <v>42</v>
      </c>
      <c r="C1407" t="s">
        <v>36</v>
      </c>
      <c r="D1407">
        <v>0</v>
      </c>
      <c r="E1407" t="str">
        <f>_xlfn.XLOOKUP(F1407, Keys!B:B, Keys!A:A, "找不到")</f>
        <v>TW</v>
      </c>
      <c r="F1407" t="s">
        <v>97</v>
      </c>
      <c r="G1407">
        <v>0.50435544877690319</v>
      </c>
      <c r="H1407" t="s">
        <v>60</v>
      </c>
      <c r="I1407" t="s">
        <v>66</v>
      </c>
      <c r="J1407" t="s">
        <v>57</v>
      </c>
      <c r="K1407">
        <v>195.9310576129588</v>
      </c>
      <c r="L1407">
        <v>2041.0622512960861</v>
      </c>
    </row>
    <row r="1408" spans="1:12" x14ac:dyDescent="0.25">
      <c r="A1408">
        <v>156</v>
      </c>
      <c r="B1408" t="s">
        <v>42</v>
      </c>
      <c r="C1408" t="s">
        <v>36</v>
      </c>
      <c r="D1408">
        <v>0</v>
      </c>
      <c r="E1408" t="str">
        <f>_xlfn.XLOOKUP(F1408, Keys!B:B, Keys!A:A, "找不到")</f>
        <v>TW</v>
      </c>
      <c r="F1408" t="s">
        <v>97</v>
      </c>
      <c r="G1408">
        <v>2.323003341774768</v>
      </c>
      <c r="H1408" t="s">
        <v>60</v>
      </c>
      <c r="I1408" t="s">
        <v>66</v>
      </c>
      <c r="J1408" t="s">
        <v>57</v>
      </c>
      <c r="K1408">
        <v>390.45653803706369</v>
      </c>
      <c r="L1408">
        <v>9400.8985964746626</v>
      </c>
    </row>
    <row r="1409" spans="1:12" x14ac:dyDescent="0.25">
      <c r="A1409">
        <v>158</v>
      </c>
      <c r="B1409" t="s">
        <v>42</v>
      </c>
      <c r="C1409" t="s">
        <v>36</v>
      </c>
      <c r="D1409">
        <v>0</v>
      </c>
      <c r="E1409" t="str">
        <f>_xlfn.XLOOKUP(F1409, Keys!B:B, Keys!A:A, "找不到")</f>
        <v>TW</v>
      </c>
      <c r="F1409" t="s">
        <v>97</v>
      </c>
      <c r="G1409">
        <v>2.1488305749406269</v>
      </c>
      <c r="H1409" t="s">
        <v>60</v>
      </c>
      <c r="I1409" t="s">
        <v>66</v>
      </c>
      <c r="J1409" t="s">
        <v>57</v>
      </c>
      <c r="K1409">
        <v>629.71499243305084</v>
      </c>
      <c r="L1409">
        <v>8696.0435969875634</v>
      </c>
    </row>
    <row r="1410" spans="1:12" x14ac:dyDescent="0.25">
      <c r="A1410">
        <v>28</v>
      </c>
      <c r="B1410" t="s">
        <v>42</v>
      </c>
      <c r="C1410" t="s">
        <v>36</v>
      </c>
      <c r="D1410" t="s">
        <v>43</v>
      </c>
      <c r="E1410" t="str">
        <f>_xlfn.XLOOKUP(F1410, Keys!B:B, Keys!A:A, "找不到")</f>
        <v>AL</v>
      </c>
      <c r="F1410" t="s">
        <v>45</v>
      </c>
      <c r="G1410">
        <v>44.869584780678757</v>
      </c>
      <c r="H1410" t="s">
        <v>73</v>
      </c>
      <c r="I1410" t="s">
        <v>74</v>
      </c>
      <c r="J1410">
        <v>0</v>
      </c>
      <c r="K1410">
        <v>1739.7532728895831</v>
      </c>
      <c r="L1410">
        <v>181581.49366535939</v>
      </c>
    </row>
    <row r="1411" spans="1:12" x14ac:dyDescent="0.25">
      <c r="A1411">
        <v>25</v>
      </c>
      <c r="B1411" t="s">
        <v>42</v>
      </c>
      <c r="C1411" t="s">
        <v>36</v>
      </c>
      <c r="D1411" t="s">
        <v>43</v>
      </c>
      <c r="E1411" t="str">
        <f>_xlfn.XLOOKUP(F1411, Keys!B:B, Keys!A:A, "找不到")</f>
        <v>CS</v>
      </c>
      <c r="F1411" t="s">
        <v>53</v>
      </c>
      <c r="G1411">
        <v>20.12076194972347</v>
      </c>
      <c r="H1411" t="s">
        <v>73</v>
      </c>
      <c r="I1411" t="s">
        <v>74</v>
      </c>
      <c r="J1411">
        <v>0</v>
      </c>
      <c r="K1411">
        <v>1201.4619241419091</v>
      </c>
      <c r="L1411">
        <v>81426.16042413596</v>
      </c>
    </row>
    <row r="1412" spans="1:12" x14ac:dyDescent="0.25">
      <c r="A1412">
        <v>26</v>
      </c>
      <c r="B1412" t="s">
        <v>42</v>
      </c>
      <c r="C1412" t="s">
        <v>36</v>
      </c>
      <c r="D1412" t="s">
        <v>43</v>
      </c>
      <c r="E1412" t="str">
        <f>_xlfn.XLOOKUP(F1412, Keys!B:B, Keys!A:A, "找不到")</f>
        <v>CS</v>
      </c>
      <c r="F1412" t="s">
        <v>53</v>
      </c>
      <c r="G1412">
        <v>31.477048954785289</v>
      </c>
      <c r="H1412" t="s">
        <v>73</v>
      </c>
      <c r="I1412" t="s">
        <v>74</v>
      </c>
      <c r="J1412">
        <v>0</v>
      </c>
      <c r="K1412">
        <v>1468.232465682662</v>
      </c>
      <c r="L1412">
        <v>127383.6072547915</v>
      </c>
    </row>
    <row r="1413" spans="1:12" x14ac:dyDescent="0.25">
      <c r="A1413">
        <v>30</v>
      </c>
      <c r="B1413" t="s">
        <v>42</v>
      </c>
      <c r="C1413" t="s">
        <v>36</v>
      </c>
      <c r="D1413" t="s">
        <v>43</v>
      </c>
      <c r="E1413" t="str">
        <f>_xlfn.XLOOKUP(F1413, Keys!B:B, Keys!A:A, "找不到")</f>
        <v>CS</v>
      </c>
      <c r="F1413" t="s">
        <v>53</v>
      </c>
      <c r="G1413">
        <v>44.767297539325703</v>
      </c>
      <c r="H1413" t="s">
        <v>73</v>
      </c>
      <c r="I1413" t="s">
        <v>74</v>
      </c>
      <c r="J1413" t="s">
        <v>57</v>
      </c>
      <c r="K1413">
        <v>1948.8666392964151</v>
      </c>
      <c r="L1413">
        <v>181167.55022998821</v>
      </c>
    </row>
    <row r="1414" spans="1:12" x14ac:dyDescent="0.25">
      <c r="A1414">
        <v>32</v>
      </c>
      <c r="B1414" t="s">
        <v>42</v>
      </c>
      <c r="C1414" t="s">
        <v>36</v>
      </c>
      <c r="D1414" t="s">
        <v>43</v>
      </c>
      <c r="E1414" t="str">
        <f>_xlfn.XLOOKUP(F1414, Keys!B:B, Keys!A:A, "找不到")</f>
        <v>CS</v>
      </c>
      <c r="F1414" t="s">
        <v>53</v>
      </c>
      <c r="G1414">
        <v>10.82962076480519</v>
      </c>
      <c r="H1414" t="s">
        <v>73</v>
      </c>
      <c r="I1414" t="s">
        <v>74</v>
      </c>
      <c r="J1414">
        <v>0</v>
      </c>
      <c r="K1414">
        <v>914.02223409757516</v>
      </c>
      <c r="L1414">
        <v>43826.095648415561</v>
      </c>
    </row>
    <row r="1415" spans="1:12" x14ac:dyDescent="0.25">
      <c r="A1415">
        <v>33</v>
      </c>
      <c r="B1415" t="s">
        <v>42</v>
      </c>
      <c r="C1415" t="s">
        <v>36</v>
      </c>
      <c r="D1415" t="s">
        <v>43</v>
      </c>
      <c r="E1415" t="str">
        <f>_xlfn.XLOOKUP(F1415, Keys!B:B, Keys!A:A, "找不到")</f>
        <v>CS</v>
      </c>
      <c r="F1415" t="s">
        <v>53</v>
      </c>
      <c r="G1415">
        <v>11.26319457881235</v>
      </c>
      <c r="H1415" t="s">
        <v>73</v>
      </c>
      <c r="I1415" t="s">
        <v>74</v>
      </c>
      <c r="J1415">
        <v>0</v>
      </c>
      <c r="K1415">
        <v>897.91866654142279</v>
      </c>
      <c r="L1415">
        <v>45580.71364067986</v>
      </c>
    </row>
    <row r="1416" spans="1:12" x14ac:dyDescent="0.25">
      <c r="A1416">
        <v>34</v>
      </c>
      <c r="B1416" t="s">
        <v>42</v>
      </c>
      <c r="C1416" t="s">
        <v>36</v>
      </c>
      <c r="D1416" t="s">
        <v>43</v>
      </c>
      <c r="E1416" t="str">
        <f>_xlfn.XLOOKUP(F1416, Keys!B:B, Keys!A:A, "找不到")</f>
        <v>CS</v>
      </c>
      <c r="F1416" t="s">
        <v>53</v>
      </c>
      <c r="G1416">
        <v>6.9916953152474726</v>
      </c>
      <c r="H1416" t="s">
        <v>73</v>
      </c>
      <c r="I1416" t="s">
        <v>74</v>
      </c>
      <c r="J1416">
        <v>0</v>
      </c>
      <c r="K1416">
        <v>673.52284914440611</v>
      </c>
      <c r="L1416">
        <v>28294.50026786112</v>
      </c>
    </row>
    <row r="1417" spans="1:12" x14ac:dyDescent="0.25">
      <c r="A1417">
        <v>49</v>
      </c>
      <c r="B1417" t="s">
        <v>42</v>
      </c>
      <c r="C1417" t="s">
        <v>36</v>
      </c>
      <c r="D1417" t="s">
        <v>43</v>
      </c>
      <c r="E1417" t="str">
        <f>_xlfn.XLOOKUP(F1417, Keys!B:B, Keys!A:A, "找不到")</f>
        <v>CS</v>
      </c>
      <c r="F1417" t="s">
        <v>53</v>
      </c>
      <c r="G1417">
        <v>9.9551776593983323</v>
      </c>
      <c r="H1417" t="s">
        <v>73</v>
      </c>
      <c r="I1417" t="s">
        <v>74</v>
      </c>
      <c r="J1417">
        <v>0</v>
      </c>
      <c r="K1417">
        <v>837.98756759165849</v>
      </c>
      <c r="L1417">
        <v>40287.335796251173</v>
      </c>
    </row>
    <row r="1418" spans="1:12" x14ac:dyDescent="0.25">
      <c r="A1418">
        <v>51</v>
      </c>
      <c r="B1418" t="s">
        <v>42</v>
      </c>
      <c r="C1418" t="s">
        <v>36</v>
      </c>
      <c r="D1418" t="s">
        <v>43</v>
      </c>
      <c r="E1418" t="str">
        <f>_xlfn.XLOOKUP(F1418, Keys!B:B, Keys!A:A, "找不到")</f>
        <v>CS</v>
      </c>
      <c r="F1418" t="s">
        <v>53</v>
      </c>
      <c r="G1418">
        <v>18.008544275952861</v>
      </c>
      <c r="H1418" t="s">
        <v>73</v>
      </c>
      <c r="I1418" t="s">
        <v>74</v>
      </c>
      <c r="J1418">
        <v>0</v>
      </c>
      <c r="K1418">
        <v>1116.420731237615</v>
      </c>
      <c r="L1418">
        <v>72878.284574061385</v>
      </c>
    </row>
    <row r="1419" spans="1:12" x14ac:dyDescent="0.25">
      <c r="A1419">
        <v>191</v>
      </c>
      <c r="B1419" t="s">
        <v>42</v>
      </c>
      <c r="C1419" t="s">
        <v>36</v>
      </c>
      <c r="D1419" t="s">
        <v>43</v>
      </c>
      <c r="E1419" t="str">
        <f>_xlfn.XLOOKUP(F1419, Keys!B:B, Keys!A:A, "找不到")</f>
        <v>CS</v>
      </c>
      <c r="F1419" t="s">
        <v>53</v>
      </c>
      <c r="G1419">
        <v>35.480575297169807</v>
      </c>
      <c r="H1419" t="s">
        <v>73</v>
      </c>
      <c r="I1419" t="s">
        <v>74</v>
      </c>
      <c r="J1419">
        <v>0</v>
      </c>
      <c r="K1419">
        <v>1856.7610695598621</v>
      </c>
      <c r="L1419">
        <v>143585.36835269749</v>
      </c>
    </row>
    <row r="1420" spans="1:12" x14ac:dyDescent="0.25">
      <c r="A1420">
        <v>24</v>
      </c>
      <c r="B1420" t="s">
        <v>42</v>
      </c>
      <c r="C1420" t="s">
        <v>36</v>
      </c>
      <c r="D1420">
        <v>0</v>
      </c>
      <c r="E1420" t="str">
        <f>_xlfn.XLOOKUP(F1420, Keys!B:B, Keys!A:A, "找不到")</f>
        <v>CO</v>
      </c>
      <c r="F1420" t="s">
        <v>59</v>
      </c>
      <c r="G1420">
        <v>18.709873370653408</v>
      </c>
      <c r="H1420" t="s">
        <v>73</v>
      </c>
      <c r="I1420" t="s">
        <v>74</v>
      </c>
      <c r="J1420">
        <v>0</v>
      </c>
      <c r="K1420">
        <v>1248.145990492369</v>
      </c>
      <c r="L1420">
        <v>75716.474077912935</v>
      </c>
    </row>
    <row r="1421" spans="1:12" x14ac:dyDescent="0.25">
      <c r="A1421">
        <v>29</v>
      </c>
      <c r="B1421" t="s">
        <v>42</v>
      </c>
      <c r="C1421" t="s">
        <v>36</v>
      </c>
      <c r="D1421" t="s">
        <v>43</v>
      </c>
      <c r="E1421" t="str">
        <f>_xlfn.XLOOKUP(F1421, Keys!B:B, Keys!A:A, "找不到")</f>
        <v>CO</v>
      </c>
      <c r="F1421" t="s">
        <v>59</v>
      </c>
      <c r="G1421">
        <v>41.113708088466183</v>
      </c>
      <c r="H1421" t="s">
        <v>73</v>
      </c>
      <c r="I1421" t="s">
        <v>74</v>
      </c>
      <c r="J1421">
        <v>0</v>
      </c>
      <c r="K1421">
        <v>1623.1631405669809</v>
      </c>
      <c r="L1421">
        <v>166381.93915357921</v>
      </c>
    </row>
    <row r="1422" spans="1:12" x14ac:dyDescent="0.25">
      <c r="A1422">
        <v>35</v>
      </c>
      <c r="B1422" t="s">
        <v>42</v>
      </c>
      <c r="C1422" t="s">
        <v>36</v>
      </c>
      <c r="D1422" t="s">
        <v>43</v>
      </c>
      <c r="E1422" t="str">
        <f>_xlfn.XLOOKUP(F1422, Keys!B:B, Keys!A:A, "找不到")</f>
        <v>CO</v>
      </c>
      <c r="F1422" t="s">
        <v>59</v>
      </c>
      <c r="G1422">
        <v>19.820299006261529</v>
      </c>
      <c r="H1422" t="s">
        <v>73</v>
      </c>
      <c r="I1422" t="s">
        <v>74</v>
      </c>
      <c r="J1422">
        <v>0</v>
      </c>
      <c r="K1422">
        <v>1129.5848618688369</v>
      </c>
      <c r="L1422">
        <v>80210.225167957644</v>
      </c>
    </row>
    <row r="1423" spans="1:12" x14ac:dyDescent="0.25">
      <c r="A1423">
        <v>40</v>
      </c>
      <c r="B1423" t="s">
        <v>42</v>
      </c>
      <c r="C1423" t="s">
        <v>36</v>
      </c>
      <c r="D1423" t="s">
        <v>43</v>
      </c>
      <c r="E1423" t="str">
        <f>_xlfn.XLOOKUP(F1423, Keys!B:B, Keys!A:A, "找不到")</f>
        <v>CO</v>
      </c>
      <c r="F1423" t="s">
        <v>59</v>
      </c>
      <c r="G1423">
        <v>37.628816659501453</v>
      </c>
      <c r="H1423" t="s">
        <v>73</v>
      </c>
      <c r="I1423" t="s">
        <v>74</v>
      </c>
      <c r="J1423">
        <v>0</v>
      </c>
      <c r="K1423">
        <v>1577.5332085370489</v>
      </c>
      <c r="L1423">
        <v>152279.02748131641</v>
      </c>
    </row>
    <row r="1424" spans="1:12" x14ac:dyDescent="0.25">
      <c r="A1424">
        <v>313</v>
      </c>
      <c r="B1424" t="s">
        <v>42</v>
      </c>
      <c r="C1424" t="s">
        <v>36</v>
      </c>
      <c r="D1424">
        <v>0</v>
      </c>
      <c r="E1424" t="str">
        <f>_xlfn.XLOOKUP(F1424, Keys!B:B, Keys!A:A, "找不到")</f>
        <v>MFC</v>
      </c>
      <c r="F1424" t="s">
        <v>147</v>
      </c>
      <c r="G1424">
        <v>3.2092275681919483E-2</v>
      </c>
      <c r="H1424" t="s">
        <v>73</v>
      </c>
      <c r="I1424" t="s">
        <v>74</v>
      </c>
      <c r="J1424">
        <v>0</v>
      </c>
      <c r="K1424">
        <v>46.626502732816427</v>
      </c>
      <c r="L1424">
        <v>129.87335144569349</v>
      </c>
    </row>
    <row r="1425" spans="1:12" x14ac:dyDescent="0.25">
      <c r="A1425">
        <v>11</v>
      </c>
      <c r="B1425" t="s">
        <v>42</v>
      </c>
      <c r="C1425" t="s">
        <v>36</v>
      </c>
      <c r="D1425" t="s">
        <v>43</v>
      </c>
      <c r="E1425" t="str">
        <f>_xlfn.XLOOKUP(F1425, Keys!B:B, Keys!A:A, "找不到")</f>
        <v>FA</v>
      </c>
      <c r="F1425" t="s">
        <v>63</v>
      </c>
      <c r="G1425">
        <v>2.0792022854548802</v>
      </c>
      <c r="H1425" t="s">
        <v>64</v>
      </c>
      <c r="I1425" t="s">
        <v>65</v>
      </c>
      <c r="J1425">
        <v>0</v>
      </c>
      <c r="K1425">
        <v>645.02957166470139</v>
      </c>
      <c r="L1425">
        <v>8414.2667793953005</v>
      </c>
    </row>
    <row r="1426" spans="1:12" x14ac:dyDescent="0.25">
      <c r="A1426">
        <v>15</v>
      </c>
      <c r="B1426" t="s">
        <v>42</v>
      </c>
      <c r="C1426" t="s">
        <v>36</v>
      </c>
      <c r="D1426" t="s">
        <v>43</v>
      </c>
      <c r="E1426" t="str">
        <f>_xlfn.XLOOKUP(F1426, Keys!B:B, Keys!A:A, "找不到")</f>
        <v>FA</v>
      </c>
      <c r="F1426" t="s">
        <v>63</v>
      </c>
      <c r="G1426">
        <v>32.813983219516317</v>
      </c>
      <c r="H1426" t="s">
        <v>64</v>
      </c>
      <c r="I1426" t="s">
        <v>65</v>
      </c>
      <c r="J1426">
        <v>0</v>
      </c>
      <c r="K1426">
        <v>1452.20018147107</v>
      </c>
      <c r="L1426">
        <v>132794.00991193391</v>
      </c>
    </row>
    <row r="1427" spans="1:12" x14ac:dyDescent="0.25">
      <c r="A1427">
        <v>17</v>
      </c>
      <c r="B1427" t="s">
        <v>42</v>
      </c>
      <c r="C1427" t="s">
        <v>36</v>
      </c>
      <c r="D1427">
        <v>0</v>
      </c>
      <c r="E1427" t="str">
        <f>_xlfn.XLOOKUP(F1427, Keys!B:B, Keys!A:A, "找不到")</f>
        <v>FA</v>
      </c>
      <c r="F1427" t="s">
        <v>63</v>
      </c>
      <c r="G1427">
        <v>22.651039136911031</v>
      </c>
      <c r="H1427" t="s">
        <v>64</v>
      </c>
      <c r="I1427" t="s">
        <v>65</v>
      </c>
      <c r="J1427">
        <v>0</v>
      </c>
      <c r="K1427">
        <v>1239.261680377439</v>
      </c>
      <c r="L1427">
        <v>91665.869868354945</v>
      </c>
    </row>
    <row r="1428" spans="1:12" x14ac:dyDescent="0.25">
      <c r="A1428">
        <v>18</v>
      </c>
      <c r="B1428" t="s">
        <v>42</v>
      </c>
      <c r="C1428" t="s">
        <v>36</v>
      </c>
      <c r="D1428" t="s">
        <v>43</v>
      </c>
      <c r="E1428" t="str">
        <f>_xlfn.XLOOKUP(F1428, Keys!B:B, Keys!A:A, "找不到")</f>
        <v>FA</v>
      </c>
      <c r="F1428" t="s">
        <v>63</v>
      </c>
      <c r="G1428">
        <v>37.33416628890113</v>
      </c>
      <c r="H1428" t="s">
        <v>64</v>
      </c>
      <c r="I1428" t="s">
        <v>65</v>
      </c>
      <c r="J1428">
        <v>0</v>
      </c>
      <c r="K1428">
        <v>1623.215799566575</v>
      </c>
      <c r="L1428">
        <v>151086.61496704459</v>
      </c>
    </row>
    <row r="1429" spans="1:12" x14ac:dyDescent="0.25">
      <c r="A1429">
        <v>19</v>
      </c>
      <c r="B1429" t="s">
        <v>42</v>
      </c>
      <c r="C1429" t="s">
        <v>36</v>
      </c>
      <c r="D1429" t="s">
        <v>43</v>
      </c>
      <c r="E1429" t="str">
        <f>_xlfn.XLOOKUP(F1429, Keys!B:B, Keys!A:A, "找不到")</f>
        <v>FA</v>
      </c>
      <c r="F1429" t="s">
        <v>63</v>
      </c>
      <c r="G1429">
        <v>11.889706437499489</v>
      </c>
      <c r="H1429" t="s">
        <v>64</v>
      </c>
      <c r="I1429" t="s">
        <v>65</v>
      </c>
      <c r="J1429">
        <v>0</v>
      </c>
      <c r="K1429">
        <v>977.90082598802883</v>
      </c>
      <c r="L1429">
        <v>48116.127321362241</v>
      </c>
    </row>
    <row r="1430" spans="1:12" x14ac:dyDescent="0.25">
      <c r="A1430">
        <v>20</v>
      </c>
      <c r="B1430" t="s">
        <v>42</v>
      </c>
      <c r="C1430" t="s">
        <v>36</v>
      </c>
      <c r="D1430" t="s">
        <v>43</v>
      </c>
      <c r="E1430" t="str">
        <f>_xlfn.XLOOKUP(F1430, Keys!B:B, Keys!A:A, "找不到")</f>
        <v>FA</v>
      </c>
      <c r="F1430" t="s">
        <v>63</v>
      </c>
      <c r="G1430">
        <v>15.94317594344585</v>
      </c>
      <c r="H1430" t="s">
        <v>64</v>
      </c>
      <c r="I1430" t="s">
        <v>65</v>
      </c>
      <c r="J1430">
        <v>0</v>
      </c>
      <c r="K1430">
        <v>1228.524896071315</v>
      </c>
      <c r="L1430">
        <v>64520.002039937113</v>
      </c>
    </row>
    <row r="1431" spans="1:12" hidden="1" x14ac:dyDescent="0.25">
      <c r="A1431">
        <v>855</v>
      </c>
      <c r="B1431" t="s">
        <v>2605</v>
      </c>
      <c r="C1431" t="s">
        <v>2606</v>
      </c>
      <c r="D1431" t="s">
        <v>2712</v>
      </c>
      <c r="E1431" t="str">
        <f>_xlfn.XLOOKUP(F1431, Keys!B:B, Keys!A:A, "找不到")</f>
        <v>GB</v>
      </c>
      <c r="F1431" t="s">
        <v>3838</v>
      </c>
      <c r="G1431">
        <v>1.4107826415529821</v>
      </c>
      <c r="H1431" t="s">
        <v>64</v>
      </c>
      <c r="I1431" t="s">
        <v>65</v>
      </c>
      <c r="J1431" t="s">
        <v>2876</v>
      </c>
      <c r="K1431">
        <v>0</v>
      </c>
      <c r="L1431">
        <v>384.9275775632089</v>
      </c>
    </row>
    <row r="1432" spans="1:12" hidden="1" x14ac:dyDescent="0.25">
      <c r="A1432">
        <v>83</v>
      </c>
      <c r="B1432" t="s">
        <v>2605</v>
      </c>
      <c r="C1432" t="s">
        <v>2606</v>
      </c>
      <c r="D1432" t="s">
        <v>2712</v>
      </c>
      <c r="E1432" t="str">
        <f>_xlfn.XLOOKUP(F1432, Keys!B:B, Keys!A:A, "找不到")</f>
        <v>HA</v>
      </c>
      <c r="F1432" t="s">
        <v>82</v>
      </c>
      <c r="G1432">
        <v>8.8668701827959833</v>
      </c>
      <c r="H1432" t="s">
        <v>46</v>
      </c>
      <c r="I1432" t="s">
        <v>47</v>
      </c>
      <c r="J1432" t="s">
        <v>2768</v>
      </c>
      <c r="K1432">
        <v>0</v>
      </c>
      <c r="L1432">
        <v>768.19455874988591</v>
      </c>
    </row>
    <row r="1433" spans="1:12" hidden="1" x14ac:dyDescent="0.25">
      <c r="A1433">
        <v>84</v>
      </c>
      <c r="B1433" t="s">
        <v>2605</v>
      </c>
      <c r="C1433" t="s">
        <v>2606</v>
      </c>
      <c r="D1433" t="s">
        <v>2712</v>
      </c>
      <c r="E1433" t="str">
        <f>_xlfn.XLOOKUP(F1433, Keys!B:B, Keys!A:A, "找不到")</f>
        <v>HA</v>
      </c>
      <c r="F1433" t="s">
        <v>82</v>
      </c>
      <c r="G1433">
        <v>9.7802821387686691</v>
      </c>
      <c r="H1433" t="s">
        <v>46</v>
      </c>
      <c r="I1433" t="s">
        <v>47</v>
      </c>
      <c r="J1433" t="s">
        <v>2768</v>
      </c>
      <c r="K1433">
        <v>0</v>
      </c>
      <c r="L1433">
        <v>917.64041505477485</v>
      </c>
    </row>
    <row r="1434" spans="1:12" hidden="1" x14ac:dyDescent="0.25">
      <c r="A1434">
        <v>85</v>
      </c>
      <c r="B1434" t="s">
        <v>2605</v>
      </c>
      <c r="C1434" t="s">
        <v>2606</v>
      </c>
      <c r="D1434" t="s">
        <v>2712</v>
      </c>
      <c r="E1434" t="str">
        <f>_xlfn.XLOOKUP(F1434, Keys!B:B, Keys!A:A, "找不到")</f>
        <v>HA</v>
      </c>
      <c r="F1434" t="s">
        <v>82</v>
      </c>
      <c r="G1434">
        <v>5.0902603851691319</v>
      </c>
      <c r="H1434" t="s">
        <v>46</v>
      </c>
      <c r="I1434" t="s">
        <v>47</v>
      </c>
      <c r="J1434" t="s">
        <v>2768</v>
      </c>
      <c r="K1434">
        <v>0</v>
      </c>
      <c r="L1434">
        <v>627.99979547334601</v>
      </c>
    </row>
    <row r="1435" spans="1:12" hidden="1" x14ac:dyDescent="0.25">
      <c r="A1435">
        <v>87</v>
      </c>
      <c r="B1435" t="s">
        <v>2605</v>
      </c>
      <c r="C1435" t="s">
        <v>2606</v>
      </c>
      <c r="D1435" t="s">
        <v>2712</v>
      </c>
      <c r="E1435" t="str">
        <f>_xlfn.XLOOKUP(F1435, Keys!B:B, Keys!A:A, "找不到")</f>
        <v>HA</v>
      </c>
      <c r="F1435" t="s">
        <v>82</v>
      </c>
      <c r="G1435">
        <v>2.012583595719915</v>
      </c>
      <c r="H1435" t="s">
        <v>46</v>
      </c>
      <c r="I1435" t="s">
        <v>47</v>
      </c>
      <c r="J1435" t="s">
        <v>2768</v>
      </c>
      <c r="K1435">
        <v>0</v>
      </c>
      <c r="L1435">
        <v>534.75160106663498</v>
      </c>
    </row>
    <row r="1436" spans="1:12" hidden="1" x14ac:dyDescent="0.25">
      <c r="A1436">
        <v>109</v>
      </c>
      <c r="B1436" t="s">
        <v>2605</v>
      </c>
      <c r="C1436" t="s">
        <v>2606</v>
      </c>
      <c r="D1436">
        <v>0</v>
      </c>
      <c r="E1436" t="str">
        <f>_xlfn.XLOOKUP(F1436, Keys!B:B, Keys!A:A, "找不到")</f>
        <v>HA</v>
      </c>
      <c r="F1436" t="s">
        <v>82</v>
      </c>
      <c r="G1436">
        <v>4.3587475546829788</v>
      </c>
      <c r="H1436" t="s">
        <v>60</v>
      </c>
      <c r="I1436" t="s">
        <v>66</v>
      </c>
      <c r="J1436" t="s">
        <v>2804</v>
      </c>
      <c r="K1436">
        <v>0</v>
      </c>
      <c r="L1436">
        <v>547.26105466628405</v>
      </c>
    </row>
    <row r="1437" spans="1:12" hidden="1" x14ac:dyDescent="0.25">
      <c r="A1437">
        <v>482</v>
      </c>
      <c r="B1437" t="s">
        <v>2605</v>
      </c>
      <c r="C1437" t="s">
        <v>2606</v>
      </c>
      <c r="D1437" t="s">
        <v>3027</v>
      </c>
      <c r="E1437" t="str">
        <f>_xlfn.XLOOKUP(F1437, Keys!B:B, Keys!A:A, "找不到")</f>
        <v>HA</v>
      </c>
      <c r="F1437" t="s">
        <v>82</v>
      </c>
      <c r="G1437">
        <v>7.6182413235038924</v>
      </c>
      <c r="H1437" t="s">
        <v>46</v>
      </c>
      <c r="I1437" t="s">
        <v>47</v>
      </c>
      <c r="J1437" t="s">
        <v>3364</v>
      </c>
      <c r="K1437">
        <v>0</v>
      </c>
      <c r="L1437">
        <v>720.83474531158595</v>
      </c>
    </row>
    <row r="1438" spans="1:12" hidden="1" x14ac:dyDescent="0.25">
      <c r="A1438">
        <v>491</v>
      </c>
      <c r="B1438" t="s">
        <v>2605</v>
      </c>
      <c r="C1438" t="s">
        <v>2606</v>
      </c>
      <c r="D1438" t="s">
        <v>3027</v>
      </c>
      <c r="E1438" t="str">
        <f>_xlfn.XLOOKUP(F1438, Keys!B:B, Keys!A:A, "找不到")</f>
        <v>HA</v>
      </c>
      <c r="F1438" t="s">
        <v>82</v>
      </c>
      <c r="G1438">
        <v>7.9223504841366719</v>
      </c>
      <c r="H1438" t="s">
        <v>46</v>
      </c>
      <c r="I1438" t="s">
        <v>47</v>
      </c>
      <c r="J1438" t="s">
        <v>3364</v>
      </c>
      <c r="K1438">
        <v>0</v>
      </c>
      <c r="L1438">
        <v>724.8706133288656</v>
      </c>
    </row>
    <row r="1439" spans="1:12" hidden="1" x14ac:dyDescent="0.25">
      <c r="A1439">
        <v>521</v>
      </c>
      <c r="B1439" t="s">
        <v>2605</v>
      </c>
      <c r="C1439" t="s">
        <v>2606</v>
      </c>
      <c r="D1439" t="s">
        <v>3027</v>
      </c>
      <c r="E1439" t="str">
        <f>_xlfn.XLOOKUP(F1439, Keys!B:B, Keys!A:A, "找不到")</f>
        <v>HA</v>
      </c>
      <c r="F1439" t="s">
        <v>82</v>
      </c>
      <c r="G1439">
        <v>10.02848268150934</v>
      </c>
      <c r="H1439" t="s">
        <v>46</v>
      </c>
      <c r="I1439" t="s">
        <v>47</v>
      </c>
      <c r="J1439" t="s">
        <v>3364</v>
      </c>
      <c r="K1439">
        <v>0</v>
      </c>
      <c r="L1439">
        <v>810.59109120419498</v>
      </c>
    </row>
    <row r="1440" spans="1:12" hidden="1" x14ac:dyDescent="0.25">
      <c r="A1440">
        <v>638</v>
      </c>
      <c r="B1440" t="s">
        <v>2605</v>
      </c>
      <c r="C1440" t="s">
        <v>2606</v>
      </c>
      <c r="D1440">
        <v>0</v>
      </c>
      <c r="E1440" t="str">
        <f>_xlfn.XLOOKUP(F1440, Keys!B:B, Keys!A:A, "找不到")</f>
        <v>HA</v>
      </c>
      <c r="F1440" t="s">
        <v>82</v>
      </c>
      <c r="G1440">
        <v>17.743680672728608</v>
      </c>
      <c r="H1440" t="s">
        <v>46</v>
      </c>
      <c r="I1440" t="s">
        <v>47</v>
      </c>
      <c r="J1440" t="s">
        <v>3549</v>
      </c>
      <c r="K1440">
        <v>0</v>
      </c>
      <c r="L1440">
        <v>1321.8696979934009</v>
      </c>
    </row>
    <row r="1441" spans="1:12" hidden="1" x14ac:dyDescent="0.25">
      <c r="A1441">
        <v>800</v>
      </c>
      <c r="B1441" t="s">
        <v>2605</v>
      </c>
      <c r="C1441" t="s">
        <v>2606</v>
      </c>
      <c r="D1441">
        <v>0</v>
      </c>
      <c r="E1441" t="str">
        <f>_xlfn.XLOOKUP(F1441, Keys!B:B, Keys!A:A, "找不到")</f>
        <v>HA</v>
      </c>
      <c r="F1441" t="s">
        <v>82</v>
      </c>
      <c r="G1441">
        <v>24.795168946085901</v>
      </c>
      <c r="H1441" t="s">
        <v>60</v>
      </c>
      <c r="I1441" t="s">
        <v>66</v>
      </c>
      <c r="J1441" t="s">
        <v>3808</v>
      </c>
      <c r="K1441">
        <v>0</v>
      </c>
      <c r="L1441">
        <v>1122.918494403842</v>
      </c>
    </row>
    <row r="1442" spans="1:12" hidden="1" x14ac:dyDescent="0.25">
      <c r="A1442">
        <v>849</v>
      </c>
      <c r="B1442" t="s">
        <v>2605</v>
      </c>
      <c r="C1442" t="s">
        <v>2606</v>
      </c>
      <c r="D1442" t="s">
        <v>2702</v>
      </c>
      <c r="E1442" t="str">
        <f>_xlfn.XLOOKUP(F1442, Keys!B:B, Keys!A:A, "找不到")</f>
        <v>HA</v>
      </c>
      <c r="F1442" t="s">
        <v>82</v>
      </c>
      <c r="G1442">
        <v>1.6141343210412089</v>
      </c>
      <c r="H1442" t="s">
        <v>46</v>
      </c>
      <c r="I1442" t="s">
        <v>47</v>
      </c>
      <c r="J1442">
        <v>0</v>
      </c>
      <c r="K1442">
        <v>0</v>
      </c>
      <c r="L1442">
        <v>399.28249155917888</v>
      </c>
    </row>
    <row r="1443" spans="1:12" hidden="1" x14ac:dyDescent="0.25">
      <c r="A1443">
        <v>893</v>
      </c>
      <c r="B1443" t="s">
        <v>2605</v>
      </c>
      <c r="C1443" t="s">
        <v>2606</v>
      </c>
      <c r="D1443">
        <v>0</v>
      </c>
      <c r="E1443" t="str">
        <f>_xlfn.XLOOKUP(F1443, Keys!B:B, Keys!A:A, "找不到")</f>
        <v>HA</v>
      </c>
      <c r="F1443" t="s">
        <v>82</v>
      </c>
      <c r="G1443">
        <v>43.429723650961307</v>
      </c>
      <c r="H1443" t="s">
        <v>60</v>
      </c>
      <c r="I1443" t="s">
        <v>66</v>
      </c>
      <c r="J1443" t="s">
        <v>3879</v>
      </c>
      <c r="K1443">
        <v>0</v>
      </c>
      <c r="L1443">
        <v>1486.137113834762</v>
      </c>
    </row>
    <row r="1444" spans="1:12" hidden="1" x14ac:dyDescent="0.25">
      <c r="A1444">
        <v>945</v>
      </c>
      <c r="B1444" t="s">
        <v>2605</v>
      </c>
      <c r="C1444" t="s">
        <v>2606</v>
      </c>
      <c r="D1444">
        <v>0</v>
      </c>
      <c r="E1444" t="str">
        <f>_xlfn.XLOOKUP(F1444, Keys!B:B, Keys!A:A, "找不到")</f>
        <v>HA</v>
      </c>
      <c r="F1444" t="s">
        <v>82</v>
      </c>
      <c r="G1444">
        <v>3.5083970743051061</v>
      </c>
      <c r="H1444" t="s">
        <v>60</v>
      </c>
      <c r="I1444" t="s">
        <v>66</v>
      </c>
      <c r="J1444" t="s">
        <v>2706</v>
      </c>
      <c r="K1444">
        <v>0</v>
      </c>
      <c r="L1444">
        <v>476.34591438123567</v>
      </c>
    </row>
    <row r="1445" spans="1:12" hidden="1" x14ac:dyDescent="0.25">
      <c r="A1445">
        <v>994</v>
      </c>
      <c r="B1445" t="s">
        <v>2605</v>
      </c>
      <c r="C1445" t="s">
        <v>2606</v>
      </c>
      <c r="D1445">
        <v>0</v>
      </c>
      <c r="E1445" t="str">
        <f>_xlfn.XLOOKUP(F1445, Keys!B:B, Keys!A:A, "找不到")</f>
        <v>HA</v>
      </c>
      <c r="F1445" t="s">
        <v>82</v>
      </c>
      <c r="G1445">
        <v>14.08050124339611</v>
      </c>
      <c r="H1445" t="s">
        <v>46</v>
      </c>
      <c r="I1445" t="s">
        <v>47</v>
      </c>
      <c r="J1445" t="s">
        <v>3548</v>
      </c>
      <c r="K1445">
        <v>0</v>
      </c>
      <c r="L1445">
        <v>991.60045846522212</v>
      </c>
    </row>
    <row r="1446" spans="1:12" hidden="1" x14ac:dyDescent="0.25">
      <c r="A1446">
        <v>1001</v>
      </c>
      <c r="B1446" t="s">
        <v>2605</v>
      </c>
      <c r="C1446" t="s">
        <v>2606</v>
      </c>
      <c r="D1446" t="s">
        <v>3027</v>
      </c>
      <c r="E1446" t="str">
        <f>_xlfn.XLOOKUP(F1446, Keys!B:B, Keys!A:A, "找不到")</f>
        <v>HA</v>
      </c>
      <c r="F1446" t="s">
        <v>82</v>
      </c>
      <c r="G1446">
        <v>3.386103482864566</v>
      </c>
      <c r="H1446" t="s">
        <v>46</v>
      </c>
      <c r="I1446" t="s">
        <v>47</v>
      </c>
      <c r="J1446" t="s">
        <v>3097</v>
      </c>
      <c r="K1446">
        <v>0</v>
      </c>
      <c r="L1446">
        <v>630.09024913598171</v>
      </c>
    </row>
    <row r="1447" spans="1:12" hidden="1" x14ac:dyDescent="0.25">
      <c r="A1447">
        <v>1002</v>
      </c>
      <c r="B1447" t="s">
        <v>2605</v>
      </c>
      <c r="C1447" t="s">
        <v>2606</v>
      </c>
      <c r="D1447" t="s">
        <v>3027</v>
      </c>
      <c r="E1447" t="str">
        <f>_xlfn.XLOOKUP(F1447, Keys!B:B, Keys!A:A, "找不到")</f>
        <v>HA</v>
      </c>
      <c r="F1447" t="s">
        <v>82</v>
      </c>
      <c r="G1447">
        <v>4.2463044225424547</v>
      </c>
      <c r="H1447" t="s">
        <v>46</v>
      </c>
      <c r="I1447" t="s">
        <v>47</v>
      </c>
      <c r="J1447" t="s">
        <v>3097</v>
      </c>
      <c r="K1447">
        <v>0</v>
      </c>
      <c r="L1447">
        <v>657.30450165551326</v>
      </c>
    </row>
    <row r="1448" spans="1:12" hidden="1" x14ac:dyDescent="0.25">
      <c r="A1448">
        <v>1006</v>
      </c>
      <c r="B1448" t="s">
        <v>2605</v>
      </c>
      <c r="C1448" t="s">
        <v>2606</v>
      </c>
      <c r="D1448" t="s">
        <v>3027</v>
      </c>
      <c r="E1448" t="str">
        <f>_xlfn.XLOOKUP(F1448, Keys!B:B, Keys!A:A, "找不到")</f>
        <v>HA</v>
      </c>
      <c r="F1448" t="s">
        <v>82</v>
      </c>
      <c r="G1448">
        <v>2.6793355108421801</v>
      </c>
      <c r="H1448" t="s">
        <v>46</v>
      </c>
      <c r="I1448" t="s">
        <v>47</v>
      </c>
      <c r="J1448" t="s">
        <v>3364</v>
      </c>
      <c r="K1448">
        <v>0</v>
      </c>
      <c r="L1448">
        <v>440.77514980811691</v>
      </c>
    </row>
    <row r="1449" spans="1:12" hidden="1" x14ac:dyDescent="0.25">
      <c r="A1449">
        <v>1007</v>
      </c>
      <c r="B1449" t="s">
        <v>2605</v>
      </c>
      <c r="C1449" t="s">
        <v>2606</v>
      </c>
      <c r="D1449" t="s">
        <v>3027</v>
      </c>
      <c r="E1449" t="str">
        <f>_xlfn.XLOOKUP(F1449, Keys!B:B, Keys!A:A, "找不到")</f>
        <v>HA</v>
      </c>
      <c r="F1449" t="s">
        <v>82</v>
      </c>
      <c r="G1449">
        <v>1.6494711453107651</v>
      </c>
      <c r="H1449" t="s">
        <v>46</v>
      </c>
      <c r="I1449" t="s">
        <v>47</v>
      </c>
      <c r="J1449" t="s">
        <v>3364</v>
      </c>
      <c r="K1449">
        <v>0</v>
      </c>
      <c r="L1449">
        <v>495.02293874746698</v>
      </c>
    </row>
    <row r="1450" spans="1:12" hidden="1" x14ac:dyDescent="0.25">
      <c r="A1450">
        <v>1012</v>
      </c>
      <c r="B1450" t="s">
        <v>2605</v>
      </c>
      <c r="C1450" t="s">
        <v>2606</v>
      </c>
      <c r="D1450" t="s">
        <v>3027</v>
      </c>
      <c r="E1450" t="str">
        <f>_xlfn.XLOOKUP(F1450, Keys!B:B, Keys!A:A, "找不到")</f>
        <v>HA</v>
      </c>
      <c r="F1450" t="s">
        <v>82</v>
      </c>
      <c r="G1450">
        <v>7.4586533112857047</v>
      </c>
      <c r="H1450" t="s">
        <v>46</v>
      </c>
      <c r="I1450" t="s">
        <v>47</v>
      </c>
      <c r="J1450" t="s">
        <v>3958</v>
      </c>
      <c r="K1450">
        <v>0</v>
      </c>
      <c r="L1450">
        <v>975.16847393866146</v>
      </c>
    </row>
    <row r="1451" spans="1:12" hidden="1" x14ac:dyDescent="0.25">
      <c r="A1451">
        <v>257</v>
      </c>
      <c r="B1451" t="s">
        <v>2042</v>
      </c>
      <c r="C1451" t="s">
        <v>972</v>
      </c>
      <c r="D1451">
        <v>0</v>
      </c>
      <c r="E1451" t="str">
        <f>_xlfn.XLOOKUP(F1451, Keys!B:B, Keys!A:A, "找不到")</f>
        <v>HA</v>
      </c>
      <c r="F1451" t="s">
        <v>82</v>
      </c>
      <c r="G1451">
        <v>12.58045568174111</v>
      </c>
      <c r="H1451" t="s">
        <v>60</v>
      </c>
      <c r="I1451" t="s">
        <v>66</v>
      </c>
      <c r="J1451" t="s">
        <v>2509</v>
      </c>
      <c r="K1451">
        <v>979.38347137398</v>
      </c>
      <c r="L1451">
        <v>50911.501518174977</v>
      </c>
    </row>
    <row r="1452" spans="1:12" hidden="1" x14ac:dyDescent="0.25">
      <c r="A1452">
        <v>269</v>
      </c>
      <c r="B1452" t="s">
        <v>2042</v>
      </c>
      <c r="C1452" t="s">
        <v>972</v>
      </c>
      <c r="D1452">
        <v>0</v>
      </c>
      <c r="E1452" t="str">
        <f>_xlfn.XLOOKUP(F1452, Keys!B:B, Keys!A:A, "找不到")</f>
        <v>HA</v>
      </c>
      <c r="F1452" t="s">
        <v>82</v>
      </c>
      <c r="G1452">
        <v>5.9618748451720016</v>
      </c>
      <c r="H1452" t="s">
        <v>60</v>
      </c>
      <c r="I1452" t="s">
        <v>66</v>
      </c>
      <c r="J1452" t="s">
        <v>2509</v>
      </c>
      <c r="K1452">
        <v>752.05309927026929</v>
      </c>
      <c r="L1452">
        <v>24126.94801442487</v>
      </c>
    </row>
    <row r="1453" spans="1:12" hidden="1" x14ac:dyDescent="0.25">
      <c r="A1453">
        <v>356</v>
      </c>
      <c r="B1453" t="s">
        <v>2042</v>
      </c>
      <c r="C1453" t="s">
        <v>972</v>
      </c>
      <c r="D1453" t="s">
        <v>2586</v>
      </c>
      <c r="E1453" t="str">
        <f>_xlfn.XLOOKUP(F1453, Keys!B:B, Keys!A:A, "找不到")</f>
        <v>HA</v>
      </c>
      <c r="F1453" t="s">
        <v>82</v>
      </c>
      <c r="G1453">
        <v>2.5079265194002121</v>
      </c>
      <c r="H1453" t="s">
        <v>46</v>
      </c>
      <c r="I1453" t="s">
        <v>47</v>
      </c>
      <c r="J1453" t="s">
        <v>2593</v>
      </c>
      <c r="K1453">
        <v>476.28910013894262</v>
      </c>
      <c r="L1453">
        <v>10149.25913893798</v>
      </c>
    </row>
    <row r="1454" spans="1:12" hidden="1" x14ac:dyDescent="0.25">
      <c r="A1454">
        <v>358</v>
      </c>
      <c r="B1454" t="s">
        <v>2042</v>
      </c>
      <c r="C1454" t="s">
        <v>972</v>
      </c>
      <c r="D1454" t="s">
        <v>2586</v>
      </c>
      <c r="E1454" t="str">
        <f>_xlfn.XLOOKUP(F1454, Keys!B:B, Keys!A:A, "找不到")</f>
        <v>HA</v>
      </c>
      <c r="F1454" t="s">
        <v>82</v>
      </c>
      <c r="G1454">
        <v>5.7227079176114648</v>
      </c>
      <c r="H1454" t="s">
        <v>46</v>
      </c>
      <c r="I1454" t="s">
        <v>47</v>
      </c>
      <c r="J1454" t="s">
        <v>2593</v>
      </c>
      <c r="K1454">
        <v>643.16208883137767</v>
      </c>
      <c r="L1454">
        <v>23159.06992609235</v>
      </c>
    </row>
    <row r="1455" spans="1:12" hidden="1" x14ac:dyDescent="0.25">
      <c r="A1455">
        <v>359</v>
      </c>
      <c r="B1455" t="s">
        <v>2042</v>
      </c>
      <c r="C1455" t="s">
        <v>972</v>
      </c>
      <c r="D1455" t="s">
        <v>2586</v>
      </c>
      <c r="E1455" t="str">
        <f>_xlfn.XLOOKUP(F1455, Keys!B:B, Keys!A:A, "找不到")</f>
        <v>HA</v>
      </c>
      <c r="F1455" t="s">
        <v>82</v>
      </c>
      <c r="G1455">
        <v>13.856388331978071</v>
      </c>
      <c r="H1455" t="s">
        <v>46</v>
      </c>
      <c r="I1455" t="s">
        <v>47</v>
      </c>
      <c r="J1455" t="s">
        <v>2593</v>
      </c>
      <c r="K1455">
        <v>939.61573709720903</v>
      </c>
      <c r="L1455">
        <v>56075.03841246324</v>
      </c>
    </row>
    <row r="1456" spans="1:12" hidden="1" x14ac:dyDescent="0.25">
      <c r="A1456">
        <v>360</v>
      </c>
      <c r="B1456" t="s">
        <v>2042</v>
      </c>
      <c r="C1456" t="s">
        <v>972</v>
      </c>
      <c r="D1456" t="s">
        <v>2586</v>
      </c>
      <c r="E1456" t="str">
        <f>_xlfn.XLOOKUP(F1456, Keys!B:B, Keys!A:A, "找不到")</f>
        <v>HA</v>
      </c>
      <c r="F1456" t="s">
        <v>82</v>
      </c>
      <c r="G1456">
        <v>19.61310746145017</v>
      </c>
      <c r="H1456" t="s">
        <v>46</v>
      </c>
      <c r="I1456" t="s">
        <v>47</v>
      </c>
      <c r="J1456" t="s">
        <v>2593</v>
      </c>
      <c r="K1456">
        <v>1230.884589855998</v>
      </c>
      <c r="L1456">
        <v>79371.747380262997</v>
      </c>
    </row>
    <row r="1457" spans="1:12" hidden="1" x14ac:dyDescent="0.25">
      <c r="A1457">
        <v>363</v>
      </c>
      <c r="B1457" t="s">
        <v>2042</v>
      </c>
      <c r="C1457" t="s">
        <v>972</v>
      </c>
      <c r="D1457" t="s">
        <v>2586</v>
      </c>
      <c r="E1457" t="str">
        <f>_xlfn.XLOOKUP(F1457, Keys!B:B, Keys!A:A, "找不到")</f>
        <v>HA</v>
      </c>
      <c r="F1457" t="s">
        <v>82</v>
      </c>
      <c r="G1457">
        <v>16.010154907331099</v>
      </c>
      <c r="H1457" t="s">
        <v>46</v>
      </c>
      <c r="I1457" t="s">
        <v>47</v>
      </c>
      <c r="J1457" t="s">
        <v>2593</v>
      </c>
      <c r="K1457">
        <v>1032.579501542604</v>
      </c>
      <c r="L1457">
        <v>64791.057374322067</v>
      </c>
    </row>
    <row r="1458" spans="1:12" hidden="1" x14ac:dyDescent="0.25">
      <c r="A1458">
        <v>364</v>
      </c>
      <c r="B1458" t="s">
        <v>2042</v>
      </c>
      <c r="C1458" t="s">
        <v>972</v>
      </c>
      <c r="D1458" t="s">
        <v>2586</v>
      </c>
      <c r="E1458" t="str">
        <f>_xlfn.XLOOKUP(F1458, Keys!B:B, Keys!A:A, "找不到")</f>
        <v>HA</v>
      </c>
      <c r="F1458" t="s">
        <v>82</v>
      </c>
      <c r="G1458">
        <v>14.33097244123601</v>
      </c>
      <c r="H1458" t="s">
        <v>46</v>
      </c>
      <c r="I1458" t="s">
        <v>47</v>
      </c>
      <c r="J1458" t="s">
        <v>2593</v>
      </c>
      <c r="K1458">
        <v>1008.570046922993</v>
      </c>
      <c r="L1458">
        <v>57995.619845300738</v>
      </c>
    </row>
    <row r="1459" spans="1:12" hidden="1" x14ac:dyDescent="0.25">
      <c r="A1459">
        <v>365</v>
      </c>
      <c r="B1459" t="s">
        <v>2042</v>
      </c>
      <c r="C1459" t="s">
        <v>972</v>
      </c>
      <c r="D1459" t="s">
        <v>2586</v>
      </c>
      <c r="E1459" t="str">
        <f>_xlfn.XLOOKUP(F1459, Keys!B:B, Keys!A:A, "找不到")</f>
        <v>HA</v>
      </c>
      <c r="F1459" t="s">
        <v>82</v>
      </c>
      <c r="G1459">
        <v>0.35000085928111241</v>
      </c>
      <c r="H1459" t="s">
        <v>46</v>
      </c>
      <c r="I1459" t="s">
        <v>47</v>
      </c>
      <c r="J1459" t="s">
        <v>2593</v>
      </c>
      <c r="K1459">
        <v>167.53017647141121</v>
      </c>
      <c r="L1459">
        <v>1416.408890857186</v>
      </c>
    </row>
    <row r="1460" spans="1:12" hidden="1" x14ac:dyDescent="0.25">
      <c r="A1460">
        <v>147</v>
      </c>
      <c r="B1460" t="s">
        <v>152</v>
      </c>
      <c r="C1460" t="s">
        <v>149</v>
      </c>
      <c r="D1460">
        <v>0</v>
      </c>
      <c r="E1460" t="str">
        <f>_xlfn.XLOOKUP(F1460, Keys!B:B, Keys!A:A, "找不到")</f>
        <v>HA</v>
      </c>
      <c r="F1460" t="s">
        <v>82</v>
      </c>
      <c r="G1460">
        <v>119.0500545990988</v>
      </c>
      <c r="H1460" t="s">
        <v>60</v>
      </c>
      <c r="I1460" t="s">
        <v>66</v>
      </c>
      <c r="J1460">
        <v>0</v>
      </c>
      <c r="K1460">
        <v>2460.5347235897411</v>
      </c>
      <c r="L1460">
        <v>481780.40516112722</v>
      </c>
    </row>
    <row r="1461" spans="1:12" x14ac:dyDescent="0.25">
      <c r="A1461">
        <v>21</v>
      </c>
      <c r="B1461" t="s">
        <v>42</v>
      </c>
      <c r="C1461" t="s">
        <v>36</v>
      </c>
      <c r="D1461" t="s">
        <v>43</v>
      </c>
      <c r="E1461" t="str">
        <f>_xlfn.XLOOKUP(F1461, Keys!B:B, Keys!A:A, "找不到")</f>
        <v>FA</v>
      </c>
      <c r="F1461" t="s">
        <v>63</v>
      </c>
      <c r="G1461">
        <v>10.14972712004195</v>
      </c>
      <c r="H1461" t="s">
        <v>64</v>
      </c>
      <c r="I1461" t="s">
        <v>65</v>
      </c>
      <c r="J1461">
        <v>0</v>
      </c>
      <c r="K1461">
        <v>948.35649549506184</v>
      </c>
      <c r="L1461">
        <v>41074.652679795647</v>
      </c>
    </row>
    <row r="1462" spans="1:12" x14ac:dyDescent="0.25">
      <c r="A1462">
        <v>22</v>
      </c>
      <c r="B1462" t="s">
        <v>42</v>
      </c>
      <c r="C1462" t="s">
        <v>36</v>
      </c>
      <c r="D1462">
        <v>0</v>
      </c>
      <c r="E1462" t="str">
        <f>_xlfn.XLOOKUP(F1462, Keys!B:B, Keys!A:A, "找不到")</f>
        <v>FA</v>
      </c>
      <c r="F1462" t="s">
        <v>63</v>
      </c>
      <c r="G1462">
        <v>8.4362912885006089</v>
      </c>
      <c r="H1462" t="s">
        <v>64</v>
      </c>
      <c r="I1462" t="s">
        <v>65</v>
      </c>
      <c r="J1462">
        <v>0</v>
      </c>
      <c r="K1462">
        <v>742.0606193665709</v>
      </c>
      <c r="L1462">
        <v>34140.596144353884</v>
      </c>
    </row>
    <row r="1463" spans="1:12" x14ac:dyDescent="0.25">
      <c r="A1463">
        <v>23</v>
      </c>
      <c r="B1463" t="s">
        <v>42</v>
      </c>
      <c r="C1463" t="s">
        <v>36</v>
      </c>
      <c r="D1463">
        <v>0</v>
      </c>
      <c r="E1463" t="str">
        <f>_xlfn.XLOOKUP(F1463, Keys!B:B, Keys!A:A, "找不到")</f>
        <v>FA</v>
      </c>
      <c r="F1463" t="s">
        <v>63</v>
      </c>
      <c r="G1463">
        <v>10.96826097424252</v>
      </c>
      <c r="H1463" t="s">
        <v>64</v>
      </c>
      <c r="I1463" t="s">
        <v>65</v>
      </c>
      <c r="J1463">
        <v>0</v>
      </c>
      <c r="K1463">
        <v>843.54127273170377</v>
      </c>
      <c r="L1463">
        <v>44387.154914614737</v>
      </c>
    </row>
    <row r="1464" spans="1:12" x14ac:dyDescent="0.25">
      <c r="A1464">
        <v>27</v>
      </c>
      <c r="B1464" t="s">
        <v>42</v>
      </c>
      <c r="C1464" t="s">
        <v>36</v>
      </c>
      <c r="D1464" t="s">
        <v>43</v>
      </c>
      <c r="E1464" t="str">
        <f>_xlfn.XLOOKUP(F1464, Keys!B:B, Keys!A:A, "找不到")</f>
        <v>FA</v>
      </c>
      <c r="F1464" t="s">
        <v>63</v>
      </c>
      <c r="G1464">
        <v>3.2982797014337621</v>
      </c>
      <c r="H1464" t="s">
        <v>64</v>
      </c>
      <c r="I1464" t="s">
        <v>65</v>
      </c>
      <c r="J1464">
        <v>0</v>
      </c>
      <c r="K1464">
        <v>537.29956263357667</v>
      </c>
      <c r="L1464">
        <v>13347.717783436519</v>
      </c>
    </row>
    <row r="1465" spans="1:12" x14ac:dyDescent="0.25">
      <c r="A1465">
        <v>31</v>
      </c>
      <c r="B1465" t="s">
        <v>42</v>
      </c>
      <c r="C1465" t="s">
        <v>36</v>
      </c>
      <c r="D1465" t="s">
        <v>43</v>
      </c>
      <c r="E1465" t="str">
        <f>_xlfn.XLOOKUP(F1465, Keys!B:B, Keys!A:A, "找不到")</f>
        <v>FA</v>
      </c>
      <c r="F1465" t="s">
        <v>63</v>
      </c>
      <c r="G1465">
        <v>2.7611367732186092</v>
      </c>
      <c r="H1465" t="s">
        <v>64</v>
      </c>
      <c r="I1465" t="s">
        <v>65</v>
      </c>
      <c r="J1465">
        <v>0</v>
      </c>
      <c r="K1465">
        <v>448.95324944089242</v>
      </c>
      <c r="L1465">
        <v>11173.968779654961</v>
      </c>
    </row>
    <row r="1466" spans="1:12" x14ac:dyDescent="0.25">
      <c r="A1466">
        <v>56</v>
      </c>
      <c r="B1466" t="s">
        <v>42</v>
      </c>
      <c r="C1466" t="s">
        <v>36</v>
      </c>
      <c r="D1466" t="s">
        <v>43</v>
      </c>
      <c r="E1466" t="str">
        <f>_xlfn.XLOOKUP(F1466, Keys!B:B, Keys!A:A, "找不到")</f>
        <v>FA</v>
      </c>
      <c r="F1466" t="s">
        <v>63</v>
      </c>
      <c r="G1466">
        <v>9.2008418755634693</v>
      </c>
      <c r="H1466" t="s">
        <v>64</v>
      </c>
      <c r="I1466" t="s">
        <v>65</v>
      </c>
      <c r="J1466">
        <v>0</v>
      </c>
      <c r="K1466">
        <v>777.07566879517753</v>
      </c>
      <c r="L1466">
        <v>37234.634974001841</v>
      </c>
    </row>
    <row r="1467" spans="1:12" x14ac:dyDescent="0.25">
      <c r="A1467">
        <v>57</v>
      </c>
      <c r="B1467" t="s">
        <v>91</v>
      </c>
      <c r="C1467" t="s">
        <v>36</v>
      </c>
      <c r="D1467" t="s">
        <v>43</v>
      </c>
      <c r="E1467" t="str">
        <f>_xlfn.XLOOKUP(F1467, Keys!B:B, Keys!A:A, "找不到")</f>
        <v>FA</v>
      </c>
      <c r="F1467" t="s">
        <v>63</v>
      </c>
      <c r="G1467">
        <v>2.5715751099511919</v>
      </c>
      <c r="H1467" t="s">
        <v>64</v>
      </c>
      <c r="I1467" t="s">
        <v>65</v>
      </c>
      <c r="J1467">
        <v>0</v>
      </c>
      <c r="K1467">
        <v>408.10542340511262</v>
      </c>
      <c r="L1467">
        <v>10406.83687669585</v>
      </c>
    </row>
    <row r="1468" spans="1:12" x14ac:dyDescent="0.25">
      <c r="A1468">
        <v>60</v>
      </c>
      <c r="B1468" t="s">
        <v>91</v>
      </c>
      <c r="C1468" t="s">
        <v>36</v>
      </c>
      <c r="D1468" t="s">
        <v>95</v>
      </c>
      <c r="E1468" t="str">
        <f>_xlfn.XLOOKUP(F1468, Keys!B:B, Keys!A:A, "找不到")</f>
        <v>FA</v>
      </c>
      <c r="F1468" t="s">
        <v>63</v>
      </c>
      <c r="G1468">
        <v>0.1029087794293831</v>
      </c>
      <c r="H1468" t="s">
        <v>64</v>
      </c>
      <c r="I1468" t="s">
        <v>65</v>
      </c>
      <c r="J1468">
        <v>0</v>
      </c>
      <c r="K1468">
        <v>133.7221798975182</v>
      </c>
      <c r="L1468">
        <v>416.4587207883614</v>
      </c>
    </row>
    <row r="1469" spans="1:12" x14ac:dyDescent="0.25">
      <c r="A1469">
        <v>61</v>
      </c>
      <c r="B1469" t="s">
        <v>91</v>
      </c>
      <c r="C1469" t="s">
        <v>36</v>
      </c>
      <c r="D1469" t="s">
        <v>95</v>
      </c>
      <c r="E1469" t="str">
        <f>_xlfn.XLOOKUP(F1469, Keys!B:B, Keys!A:A, "找不到")</f>
        <v>FA</v>
      </c>
      <c r="F1469" t="s">
        <v>63</v>
      </c>
      <c r="G1469">
        <v>0.77526742651559821</v>
      </c>
      <c r="H1469" t="s">
        <v>64</v>
      </c>
      <c r="I1469" t="s">
        <v>65</v>
      </c>
      <c r="J1469">
        <v>0</v>
      </c>
      <c r="K1469">
        <v>224.52032589474479</v>
      </c>
      <c r="L1469">
        <v>3137.4085136936742</v>
      </c>
    </row>
    <row r="1470" spans="1:12" x14ac:dyDescent="0.25">
      <c r="A1470">
        <v>62</v>
      </c>
      <c r="B1470" t="s">
        <v>91</v>
      </c>
      <c r="C1470" t="s">
        <v>36</v>
      </c>
      <c r="D1470" t="s">
        <v>95</v>
      </c>
      <c r="E1470" t="str">
        <f>_xlfn.XLOOKUP(F1470, Keys!B:B, Keys!A:A, "找不到")</f>
        <v>FA</v>
      </c>
      <c r="F1470" t="s">
        <v>63</v>
      </c>
      <c r="G1470">
        <v>1.100806322863759</v>
      </c>
      <c r="H1470" t="s">
        <v>64</v>
      </c>
      <c r="I1470" t="s">
        <v>65</v>
      </c>
      <c r="J1470">
        <v>0</v>
      </c>
      <c r="K1470">
        <v>268.94077984898911</v>
      </c>
      <c r="L1470">
        <v>4454.822956773739</v>
      </c>
    </row>
    <row r="1471" spans="1:12" x14ac:dyDescent="0.25">
      <c r="A1471">
        <v>65</v>
      </c>
      <c r="B1471" t="s">
        <v>91</v>
      </c>
      <c r="C1471" t="s">
        <v>36</v>
      </c>
      <c r="D1471" t="s">
        <v>95</v>
      </c>
      <c r="E1471" t="str">
        <f>_xlfn.XLOOKUP(F1471, Keys!B:B, Keys!A:A, "找不到")</f>
        <v>FA</v>
      </c>
      <c r="F1471" t="s">
        <v>63</v>
      </c>
      <c r="G1471">
        <v>1.1057177961178739</v>
      </c>
      <c r="H1471" t="s">
        <v>64</v>
      </c>
      <c r="I1471" t="s">
        <v>65</v>
      </c>
      <c r="J1471">
        <v>0</v>
      </c>
      <c r="K1471">
        <v>269.58310539782258</v>
      </c>
      <c r="L1471">
        <v>4474.6990633599462</v>
      </c>
    </row>
    <row r="1472" spans="1:12" x14ac:dyDescent="0.25">
      <c r="A1472">
        <v>68</v>
      </c>
      <c r="B1472" t="s">
        <v>91</v>
      </c>
      <c r="C1472" t="s">
        <v>36</v>
      </c>
      <c r="D1472" t="s">
        <v>95</v>
      </c>
      <c r="E1472" t="str">
        <f>_xlfn.XLOOKUP(F1472, Keys!B:B, Keys!A:A, "找不到")</f>
        <v>FA</v>
      </c>
      <c r="F1472" t="s">
        <v>63</v>
      </c>
      <c r="G1472">
        <v>2.1729037307057522</v>
      </c>
      <c r="H1472" t="s">
        <v>64</v>
      </c>
      <c r="I1472" t="s">
        <v>65</v>
      </c>
      <c r="J1472">
        <v>0</v>
      </c>
      <c r="K1472">
        <v>385.93108600028091</v>
      </c>
      <c r="L1472">
        <v>8793.464591686683</v>
      </c>
    </row>
    <row r="1473" spans="1:12" hidden="1" x14ac:dyDescent="0.25">
      <c r="A1473">
        <v>1081</v>
      </c>
      <c r="B1473">
        <v>0</v>
      </c>
      <c r="C1473" t="s">
        <v>2606</v>
      </c>
      <c r="D1473">
        <v>0</v>
      </c>
      <c r="E1473" t="str">
        <f>_xlfn.XLOOKUP(F1473, Keys!B:B, Keys!A:A, "找不到")</f>
        <v>MFC</v>
      </c>
      <c r="F1473" t="s">
        <v>147</v>
      </c>
      <c r="G1473">
        <v>0.29053890755449951</v>
      </c>
      <c r="H1473" t="s">
        <v>46</v>
      </c>
      <c r="I1473" t="s">
        <v>47</v>
      </c>
      <c r="J1473" t="s">
        <v>57</v>
      </c>
      <c r="K1473">
        <v>0</v>
      </c>
      <c r="L1473">
        <v>147.21031606745129</v>
      </c>
    </row>
    <row r="1474" spans="1:12" hidden="1" x14ac:dyDescent="0.25">
      <c r="A1474">
        <v>1083</v>
      </c>
      <c r="B1474">
        <v>0</v>
      </c>
      <c r="C1474" t="s">
        <v>2606</v>
      </c>
      <c r="D1474">
        <v>0</v>
      </c>
      <c r="E1474" t="str">
        <f>_xlfn.XLOOKUP(F1474, Keys!B:B, Keys!A:A, "找不到")</f>
        <v>MFC</v>
      </c>
      <c r="F1474" t="s">
        <v>147</v>
      </c>
      <c r="G1474">
        <v>7.2011195685048143E-2</v>
      </c>
      <c r="H1474" t="s">
        <v>60</v>
      </c>
      <c r="I1474" t="s">
        <v>66</v>
      </c>
      <c r="J1474">
        <v>0</v>
      </c>
      <c r="K1474">
        <v>0</v>
      </c>
      <c r="L1474">
        <v>79.301222976738671</v>
      </c>
    </row>
    <row r="1475" spans="1:12" hidden="1" x14ac:dyDescent="0.25">
      <c r="A1475">
        <v>519</v>
      </c>
      <c r="B1475" t="s">
        <v>2605</v>
      </c>
      <c r="C1475" t="s">
        <v>2606</v>
      </c>
      <c r="D1475" t="s">
        <v>2702</v>
      </c>
      <c r="E1475" t="str">
        <f>_xlfn.XLOOKUP(F1475, Keys!B:B, Keys!A:A, "找不到")</f>
        <v>MFC</v>
      </c>
      <c r="F1475" t="s">
        <v>147</v>
      </c>
      <c r="G1475">
        <v>0.97456050283772588</v>
      </c>
      <c r="H1475" t="s">
        <v>46</v>
      </c>
      <c r="I1475" t="s">
        <v>47</v>
      </c>
      <c r="J1475" t="s">
        <v>2883</v>
      </c>
      <c r="K1475">
        <v>0</v>
      </c>
      <c r="L1475">
        <v>271.97341264688731</v>
      </c>
    </row>
    <row r="1476" spans="1:12" hidden="1" x14ac:dyDescent="0.25">
      <c r="A1476">
        <v>143</v>
      </c>
      <c r="B1476" t="s">
        <v>2042</v>
      </c>
      <c r="C1476" t="s">
        <v>972</v>
      </c>
      <c r="D1476" t="s">
        <v>2241</v>
      </c>
      <c r="E1476" t="str">
        <f>_xlfn.XLOOKUP(F1476, Keys!B:B, Keys!A:A, "找不到")</f>
        <v>MFC</v>
      </c>
      <c r="F1476" t="s">
        <v>147</v>
      </c>
      <c r="G1476">
        <v>3.452241514997568</v>
      </c>
      <c r="H1476" t="s">
        <v>46</v>
      </c>
      <c r="I1476" t="s">
        <v>47</v>
      </c>
      <c r="J1476" t="s">
        <v>2293</v>
      </c>
      <c r="K1476">
        <v>495.81008782189582</v>
      </c>
      <c r="L1476">
        <v>13970.781629714451</v>
      </c>
    </row>
    <row r="1477" spans="1:12" hidden="1" x14ac:dyDescent="0.25">
      <c r="A1477">
        <v>188</v>
      </c>
      <c r="B1477" t="s">
        <v>2042</v>
      </c>
      <c r="C1477" t="s">
        <v>972</v>
      </c>
      <c r="D1477">
        <v>0</v>
      </c>
      <c r="E1477" t="str">
        <f>_xlfn.XLOOKUP(F1477, Keys!B:B, Keys!A:A, "找不到")</f>
        <v>MFC</v>
      </c>
      <c r="F1477" t="s">
        <v>147</v>
      </c>
      <c r="G1477">
        <v>0.1228654389429451</v>
      </c>
      <c r="H1477" t="s">
        <v>46</v>
      </c>
      <c r="I1477" t="s">
        <v>47</v>
      </c>
      <c r="J1477" t="s">
        <v>2370</v>
      </c>
      <c r="K1477">
        <v>105.3290926824336</v>
      </c>
      <c r="L1477">
        <v>497.22077955838188</v>
      </c>
    </row>
    <row r="1478" spans="1:12" hidden="1" x14ac:dyDescent="0.25">
      <c r="A1478">
        <v>9</v>
      </c>
      <c r="B1478" t="s">
        <v>1026</v>
      </c>
      <c r="C1478" t="s">
        <v>1027</v>
      </c>
      <c r="D1478">
        <v>0</v>
      </c>
      <c r="E1478" t="str">
        <f>_xlfn.XLOOKUP(F1478, Keys!B:B, Keys!A:A, "找不到")</f>
        <v>MFC</v>
      </c>
      <c r="F1478" t="s">
        <v>147</v>
      </c>
      <c r="G1478">
        <v>1.2613152826911469</v>
      </c>
      <c r="H1478" t="s">
        <v>73</v>
      </c>
      <c r="I1478" t="s">
        <v>74</v>
      </c>
      <c r="J1478" t="s">
        <v>1028</v>
      </c>
      <c r="K1478">
        <v>330.68343185371668</v>
      </c>
      <c r="L1478">
        <v>5104.3822699386028</v>
      </c>
    </row>
    <row r="1479" spans="1:12" x14ac:dyDescent="0.25">
      <c r="A1479">
        <v>69</v>
      </c>
      <c r="B1479" t="s">
        <v>91</v>
      </c>
      <c r="C1479" t="s">
        <v>36</v>
      </c>
      <c r="D1479" t="s">
        <v>95</v>
      </c>
      <c r="E1479" t="str">
        <f>_xlfn.XLOOKUP(F1479, Keys!B:B, Keys!A:A, "找不到")</f>
        <v>FA</v>
      </c>
      <c r="F1479" t="s">
        <v>63</v>
      </c>
      <c r="G1479">
        <v>0.67846442966943288</v>
      </c>
      <c r="H1479" t="s">
        <v>64</v>
      </c>
      <c r="I1479" t="s">
        <v>65</v>
      </c>
      <c r="J1479">
        <v>0</v>
      </c>
      <c r="K1479">
        <v>268.71333815512992</v>
      </c>
      <c r="L1479">
        <v>2745.659117203184</v>
      </c>
    </row>
    <row r="1480" spans="1:12" hidden="1" x14ac:dyDescent="0.25">
      <c r="A1480">
        <v>35</v>
      </c>
      <c r="B1480">
        <v>0</v>
      </c>
      <c r="C1480" t="s">
        <v>2606</v>
      </c>
      <c r="D1480">
        <v>0</v>
      </c>
      <c r="E1480" t="str">
        <f>_xlfn.XLOOKUP(F1480, Keys!B:B, Keys!A:A, "找不到")</f>
        <v>MON</v>
      </c>
      <c r="F1480" t="s">
        <v>100</v>
      </c>
      <c r="G1480">
        <v>3.3921058898362522</v>
      </c>
      <c r="H1480" t="s">
        <v>60</v>
      </c>
      <c r="I1480" t="s">
        <v>66</v>
      </c>
      <c r="J1480" t="s">
        <v>57</v>
      </c>
      <c r="K1480">
        <v>0</v>
      </c>
      <c r="L1480">
        <v>635.2022603302886</v>
      </c>
    </row>
    <row r="1481" spans="1:12" hidden="1" x14ac:dyDescent="0.25">
      <c r="A1481">
        <v>1091</v>
      </c>
      <c r="B1481">
        <v>0</v>
      </c>
      <c r="C1481" t="s">
        <v>2606</v>
      </c>
      <c r="D1481">
        <v>0</v>
      </c>
      <c r="E1481" t="str">
        <f>_xlfn.XLOOKUP(F1481, Keys!B:B, Keys!A:A, "找不到")</f>
        <v>MON</v>
      </c>
      <c r="F1481" t="s">
        <v>100</v>
      </c>
      <c r="G1481">
        <v>0.5024086494274691</v>
      </c>
      <c r="H1481" t="s">
        <v>46</v>
      </c>
      <c r="I1481" t="s">
        <v>47</v>
      </c>
      <c r="J1481" t="s">
        <v>2883</v>
      </c>
      <c r="K1481">
        <v>0</v>
      </c>
      <c r="L1481">
        <v>215.93286151813189</v>
      </c>
    </row>
    <row r="1482" spans="1:12" hidden="1" x14ac:dyDescent="0.25">
      <c r="A1482">
        <v>1094</v>
      </c>
      <c r="B1482">
        <v>0</v>
      </c>
      <c r="C1482" t="s">
        <v>2606</v>
      </c>
      <c r="D1482">
        <v>0</v>
      </c>
      <c r="E1482" t="str">
        <f>_xlfn.XLOOKUP(F1482, Keys!B:B, Keys!A:A, "找不到")</f>
        <v>MON</v>
      </c>
      <c r="F1482" t="s">
        <v>100</v>
      </c>
      <c r="G1482">
        <v>0.17974486073603729</v>
      </c>
      <c r="H1482" t="s">
        <v>73</v>
      </c>
      <c r="I1482" t="s">
        <v>74</v>
      </c>
      <c r="J1482">
        <v>0</v>
      </c>
      <c r="K1482">
        <v>0</v>
      </c>
      <c r="L1482">
        <v>110.1962817472393</v>
      </c>
    </row>
    <row r="1483" spans="1:12" hidden="1" x14ac:dyDescent="0.25">
      <c r="A1483">
        <v>1100</v>
      </c>
      <c r="B1483">
        <v>0</v>
      </c>
      <c r="C1483" t="s">
        <v>2606</v>
      </c>
      <c r="D1483">
        <v>0</v>
      </c>
      <c r="E1483" t="str">
        <f>_xlfn.XLOOKUP(F1483, Keys!B:B, Keys!A:A, "找不到")</f>
        <v>MON</v>
      </c>
      <c r="F1483" t="s">
        <v>100</v>
      </c>
      <c r="G1483">
        <v>1.161003210474449</v>
      </c>
      <c r="H1483" t="s">
        <v>46</v>
      </c>
      <c r="I1483" t="s">
        <v>47</v>
      </c>
      <c r="J1483" t="s">
        <v>57</v>
      </c>
      <c r="K1483">
        <v>0</v>
      </c>
      <c r="L1483">
        <v>467.9583780126647</v>
      </c>
    </row>
    <row r="1484" spans="1:12" hidden="1" x14ac:dyDescent="0.25">
      <c r="A1484">
        <v>1116</v>
      </c>
      <c r="B1484">
        <v>0</v>
      </c>
      <c r="C1484" t="s">
        <v>2606</v>
      </c>
      <c r="D1484">
        <v>0</v>
      </c>
      <c r="E1484" t="str">
        <f>_xlfn.XLOOKUP(F1484, Keys!B:B, Keys!A:A, "找不到")</f>
        <v>MON</v>
      </c>
      <c r="F1484" t="s">
        <v>100</v>
      </c>
      <c r="G1484">
        <v>0.23331302212127919</v>
      </c>
      <c r="H1484" t="s">
        <v>60</v>
      </c>
      <c r="I1484" t="s">
        <v>66</v>
      </c>
      <c r="J1484" t="s">
        <v>57</v>
      </c>
      <c r="K1484">
        <v>0</v>
      </c>
      <c r="L1484">
        <v>232.6479993995444</v>
      </c>
    </row>
    <row r="1485" spans="1:12" hidden="1" x14ac:dyDescent="0.25">
      <c r="A1485">
        <v>1118</v>
      </c>
      <c r="B1485">
        <v>0</v>
      </c>
      <c r="C1485" t="s">
        <v>2606</v>
      </c>
      <c r="D1485">
        <v>0</v>
      </c>
      <c r="E1485" t="str">
        <f>_xlfn.XLOOKUP(F1485, Keys!B:B, Keys!A:A, "找不到")</f>
        <v>MON</v>
      </c>
      <c r="F1485" t="s">
        <v>100</v>
      </c>
      <c r="G1485">
        <v>7.820706325674022E-2</v>
      </c>
      <c r="H1485" t="s">
        <v>60</v>
      </c>
      <c r="I1485" t="s">
        <v>66</v>
      </c>
      <c r="J1485">
        <v>0</v>
      </c>
      <c r="K1485">
        <v>0</v>
      </c>
      <c r="L1485">
        <v>76.462602612026856</v>
      </c>
    </row>
    <row r="1486" spans="1:12" hidden="1" x14ac:dyDescent="0.25">
      <c r="A1486">
        <v>1119</v>
      </c>
      <c r="B1486">
        <v>0</v>
      </c>
      <c r="C1486" t="s">
        <v>2606</v>
      </c>
      <c r="D1486">
        <v>0</v>
      </c>
      <c r="E1486" t="str">
        <f>_xlfn.XLOOKUP(F1486, Keys!B:B, Keys!A:A, "找不到")</f>
        <v>MON</v>
      </c>
      <c r="F1486" t="s">
        <v>100</v>
      </c>
      <c r="G1486">
        <v>0.14889855445671729</v>
      </c>
      <c r="H1486" t="s">
        <v>60</v>
      </c>
      <c r="I1486" t="s">
        <v>66</v>
      </c>
      <c r="J1486">
        <v>0</v>
      </c>
      <c r="K1486">
        <v>0</v>
      </c>
      <c r="L1486">
        <v>104.4905990226484</v>
      </c>
    </row>
    <row r="1487" spans="1:12" hidden="1" x14ac:dyDescent="0.25">
      <c r="A1487">
        <v>1122</v>
      </c>
      <c r="B1487">
        <v>0</v>
      </c>
      <c r="C1487" t="s">
        <v>2606</v>
      </c>
      <c r="D1487">
        <v>0</v>
      </c>
      <c r="E1487" t="str">
        <f>_xlfn.XLOOKUP(F1487, Keys!B:B, Keys!A:A, "找不到")</f>
        <v>MON</v>
      </c>
      <c r="F1487" t="s">
        <v>100</v>
      </c>
      <c r="G1487">
        <v>0.80449252947757255</v>
      </c>
      <c r="H1487" t="s">
        <v>60</v>
      </c>
      <c r="I1487" t="s">
        <v>66</v>
      </c>
      <c r="J1487" t="s">
        <v>673</v>
      </c>
      <c r="K1487">
        <v>0</v>
      </c>
      <c r="L1487">
        <v>357.99017490305619</v>
      </c>
    </row>
    <row r="1488" spans="1:12" hidden="1" x14ac:dyDescent="0.25">
      <c r="A1488">
        <v>4</v>
      </c>
      <c r="C1488" t="s">
        <v>3970</v>
      </c>
      <c r="D1488" t="s">
        <v>57</v>
      </c>
      <c r="E1488" t="str">
        <f>_xlfn.XLOOKUP(F1488, Keys!B:B, Keys!A:A, "找不到")</f>
        <v>MON</v>
      </c>
      <c r="F1488" t="s">
        <v>100</v>
      </c>
      <c r="G1488">
        <v>2.330689827413911E-2</v>
      </c>
      <c r="H1488" t="s">
        <v>60</v>
      </c>
      <c r="I1488" t="s">
        <v>66</v>
      </c>
      <c r="J1488" t="s">
        <v>3980</v>
      </c>
      <c r="K1488">
        <v>0</v>
      </c>
      <c r="L1488">
        <v>0</v>
      </c>
    </row>
    <row r="1489" spans="1:12" hidden="1" x14ac:dyDescent="0.25">
      <c r="A1489">
        <v>5</v>
      </c>
      <c r="C1489" t="s">
        <v>3970</v>
      </c>
      <c r="D1489" t="s">
        <v>57</v>
      </c>
      <c r="E1489" t="str">
        <f>_xlfn.XLOOKUP(F1489, Keys!B:B, Keys!A:A, "找不到")</f>
        <v>MON</v>
      </c>
      <c r="F1489" t="s">
        <v>100</v>
      </c>
      <c r="G1489">
        <v>1.708504057058138E-2</v>
      </c>
      <c r="H1489" t="s">
        <v>60</v>
      </c>
      <c r="I1489" t="s">
        <v>66</v>
      </c>
      <c r="J1489" t="s">
        <v>3980</v>
      </c>
      <c r="K1489">
        <v>0</v>
      </c>
      <c r="L1489">
        <v>0</v>
      </c>
    </row>
    <row r="1490" spans="1:12" hidden="1" x14ac:dyDescent="0.25">
      <c r="A1490">
        <v>6</v>
      </c>
      <c r="C1490" t="s">
        <v>3970</v>
      </c>
      <c r="D1490" t="s">
        <v>57</v>
      </c>
      <c r="E1490" t="str">
        <f>_xlfn.XLOOKUP(F1490, Keys!B:B, Keys!A:A, "找不到")</f>
        <v>MON</v>
      </c>
      <c r="F1490" t="s">
        <v>100</v>
      </c>
      <c r="G1490">
        <v>4.0959163995972533E-2</v>
      </c>
      <c r="H1490" t="s">
        <v>60</v>
      </c>
      <c r="I1490" t="s">
        <v>66</v>
      </c>
      <c r="J1490" t="s">
        <v>3980</v>
      </c>
      <c r="K1490">
        <v>0</v>
      </c>
      <c r="L1490">
        <v>0</v>
      </c>
    </row>
    <row r="1491" spans="1:12" hidden="1" x14ac:dyDescent="0.25">
      <c r="A1491">
        <v>7</v>
      </c>
      <c r="C1491" t="s">
        <v>3970</v>
      </c>
      <c r="D1491" t="s">
        <v>57</v>
      </c>
      <c r="E1491" t="str">
        <f>_xlfn.XLOOKUP(F1491, Keys!B:B, Keys!A:A, "找不到")</f>
        <v>MON</v>
      </c>
      <c r="F1491" t="s">
        <v>100</v>
      </c>
      <c r="G1491">
        <v>1.1027034082226109E-2</v>
      </c>
      <c r="H1491" t="s">
        <v>60</v>
      </c>
      <c r="I1491" t="s">
        <v>66</v>
      </c>
      <c r="J1491" t="s">
        <v>3980</v>
      </c>
      <c r="K1491">
        <v>0</v>
      </c>
      <c r="L1491">
        <v>0</v>
      </c>
    </row>
    <row r="1492" spans="1:12" hidden="1" x14ac:dyDescent="0.25">
      <c r="A1492">
        <v>10</v>
      </c>
      <c r="C1492" t="s">
        <v>3970</v>
      </c>
      <c r="D1492" t="s">
        <v>57</v>
      </c>
      <c r="E1492" t="str">
        <f>_xlfn.XLOOKUP(F1492, Keys!B:B, Keys!A:A, "找不到")</f>
        <v>MON</v>
      </c>
      <c r="F1492" t="s">
        <v>100</v>
      </c>
      <c r="G1492">
        <v>0.35424386462177537</v>
      </c>
      <c r="H1492" t="s">
        <v>60</v>
      </c>
      <c r="I1492" t="s">
        <v>66</v>
      </c>
      <c r="J1492" t="s">
        <v>3980</v>
      </c>
      <c r="K1492">
        <v>0</v>
      </c>
      <c r="L1492">
        <v>0</v>
      </c>
    </row>
    <row r="1493" spans="1:12" hidden="1" x14ac:dyDescent="0.25">
      <c r="A1493">
        <v>119</v>
      </c>
      <c r="C1493" t="s">
        <v>3970</v>
      </c>
      <c r="D1493" t="s">
        <v>57</v>
      </c>
      <c r="E1493" t="str">
        <f>_xlfn.XLOOKUP(F1493, Keys!B:B, Keys!A:A, "找不到")</f>
        <v>MON</v>
      </c>
      <c r="F1493" t="s">
        <v>100</v>
      </c>
      <c r="G1493">
        <v>0.62478700267862175</v>
      </c>
      <c r="H1493" t="s">
        <v>60</v>
      </c>
      <c r="I1493" t="s">
        <v>66</v>
      </c>
      <c r="J1493" t="s">
        <v>4190</v>
      </c>
      <c r="K1493">
        <v>0</v>
      </c>
      <c r="L1493">
        <v>0</v>
      </c>
    </row>
    <row r="1494" spans="1:12" hidden="1" x14ac:dyDescent="0.25">
      <c r="A1494">
        <v>120</v>
      </c>
      <c r="C1494" t="s">
        <v>3970</v>
      </c>
      <c r="D1494" t="s">
        <v>57</v>
      </c>
      <c r="E1494" t="str">
        <f>_xlfn.XLOOKUP(F1494, Keys!B:B, Keys!A:A, "找不到")</f>
        <v>MON</v>
      </c>
      <c r="F1494" t="s">
        <v>100</v>
      </c>
      <c r="G1494">
        <v>0.3388675651683789</v>
      </c>
      <c r="H1494" t="s">
        <v>60</v>
      </c>
      <c r="I1494" t="s">
        <v>66</v>
      </c>
      <c r="J1494" t="s">
        <v>3980</v>
      </c>
      <c r="K1494">
        <v>0</v>
      </c>
      <c r="L1494">
        <v>0</v>
      </c>
    </row>
    <row r="1495" spans="1:12" hidden="1" x14ac:dyDescent="0.25">
      <c r="A1495">
        <v>121</v>
      </c>
      <c r="C1495" t="s">
        <v>3970</v>
      </c>
      <c r="D1495" t="s">
        <v>57</v>
      </c>
      <c r="E1495" t="str">
        <f>_xlfn.XLOOKUP(F1495, Keys!B:B, Keys!A:A, "找不到")</f>
        <v>MON</v>
      </c>
      <c r="F1495" t="s">
        <v>100</v>
      </c>
      <c r="G1495">
        <v>0.24447960429999741</v>
      </c>
      <c r="H1495" t="s">
        <v>60</v>
      </c>
      <c r="I1495" t="s">
        <v>66</v>
      </c>
      <c r="J1495" t="s">
        <v>3980</v>
      </c>
      <c r="K1495">
        <v>0</v>
      </c>
      <c r="L1495">
        <v>0</v>
      </c>
    </row>
    <row r="1496" spans="1:12" hidden="1" x14ac:dyDescent="0.25">
      <c r="A1496">
        <v>122</v>
      </c>
      <c r="C1496" t="s">
        <v>3970</v>
      </c>
      <c r="D1496" t="s">
        <v>57</v>
      </c>
      <c r="E1496" t="str">
        <f>_xlfn.XLOOKUP(F1496, Keys!B:B, Keys!A:A, "找不到")</f>
        <v>MON</v>
      </c>
      <c r="F1496" t="s">
        <v>100</v>
      </c>
      <c r="G1496">
        <v>3.8760855285776698E-2</v>
      </c>
      <c r="H1496" t="s">
        <v>60</v>
      </c>
      <c r="I1496" t="s">
        <v>66</v>
      </c>
      <c r="J1496" t="s">
        <v>3980</v>
      </c>
      <c r="K1496">
        <v>0</v>
      </c>
      <c r="L1496">
        <v>0</v>
      </c>
    </row>
    <row r="1497" spans="1:12" hidden="1" x14ac:dyDescent="0.25">
      <c r="A1497">
        <v>123</v>
      </c>
      <c r="C1497" t="s">
        <v>3970</v>
      </c>
      <c r="D1497" t="s">
        <v>57</v>
      </c>
      <c r="E1497" t="str">
        <f>_xlfn.XLOOKUP(F1497, Keys!B:B, Keys!A:A, "找不到")</f>
        <v>MON</v>
      </c>
      <c r="F1497" t="s">
        <v>100</v>
      </c>
      <c r="G1497">
        <v>0.37717646631715279</v>
      </c>
      <c r="H1497" t="s">
        <v>60</v>
      </c>
      <c r="I1497" t="s">
        <v>66</v>
      </c>
      <c r="J1497" t="s">
        <v>4195</v>
      </c>
      <c r="K1497">
        <v>0</v>
      </c>
      <c r="L1497">
        <v>0</v>
      </c>
    </row>
    <row r="1498" spans="1:12" hidden="1" x14ac:dyDescent="0.25">
      <c r="A1498">
        <v>124</v>
      </c>
      <c r="C1498" t="s">
        <v>3970</v>
      </c>
      <c r="D1498" t="s">
        <v>57</v>
      </c>
      <c r="E1498" t="str">
        <f>_xlfn.XLOOKUP(F1498, Keys!B:B, Keys!A:A, "找不到")</f>
        <v>MON</v>
      </c>
      <c r="F1498" t="s">
        <v>100</v>
      </c>
      <c r="G1498">
        <v>1.504933192260339E-2</v>
      </c>
      <c r="H1498" t="s">
        <v>60</v>
      </c>
      <c r="I1498" t="s">
        <v>66</v>
      </c>
      <c r="J1498" t="s">
        <v>4195</v>
      </c>
      <c r="K1498">
        <v>0</v>
      </c>
      <c r="L1498">
        <v>0</v>
      </c>
    </row>
    <row r="1499" spans="1:12" hidden="1" x14ac:dyDescent="0.25">
      <c r="A1499">
        <v>125</v>
      </c>
      <c r="C1499" t="s">
        <v>3970</v>
      </c>
      <c r="D1499" t="s">
        <v>57</v>
      </c>
      <c r="E1499" t="str">
        <f>_xlfn.XLOOKUP(F1499, Keys!B:B, Keys!A:A, "找不到")</f>
        <v>MON</v>
      </c>
      <c r="F1499" t="s">
        <v>100</v>
      </c>
      <c r="G1499">
        <v>6.333594079173774E-3</v>
      </c>
      <c r="H1499" t="s">
        <v>60</v>
      </c>
      <c r="I1499" t="s">
        <v>66</v>
      </c>
      <c r="J1499" t="s">
        <v>4195</v>
      </c>
      <c r="K1499">
        <v>0</v>
      </c>
      <c r="L1499">
        <v>0</v>
      </c>
    </row>
    <row r="1500" spans="1:12" hidden="1" x14ac:dyDescent="0.25">
      <c r="A1500">
        <v>126</v>
      </c>
      <c r="C1500" t="s">
        <v>3970</v>
      </c>
      <c r="D1500" t="s">
        <v>57</v>
      </c>
      <c r="E1500" t="str">
        <f>_xlfn.XLOOKUP(F1500, Keys!B:B, Keys!A:A, "找不到")</f>
        <v>MON</v>
      </c>
      <c r="F1500" t="s">
        <v>100</v>
      </c>
      <c r="G1500">
        <v>1.1984834017730289E-2</v>
      </c>
      <c r="H1500" t="s">
        <v>60</v>
      </c>
      <c r="I1500" t="s">
        <v>66</v>
      </c>
      <c r="J1500" t="s">
        <v>4195</v>
      </c>
      <c r="K1500">
        <v>0</v>
      </c>
      <c r="L1500">
        <v>0</v>
      </c>
    </row>
    <row r="1501" spans="1:12" hidden="1" x14ac:dyDescent="0.25">
      <c r="A1501">
        <v>127</v>
      </c>
      <c r="C1501" t="s">
        <v>3970</v>
      </c>
      <c r="D1501" t="s">
        <v>57</v>
      </c>
      <c r="E1501" t="str">
        <f>_xlfn.XLOOKUP(F1501, Keys!B:B, Keys!A:A, "找不到")</f>
        <v>MON</v>
      </c>
      <c r="F1501" t="s">
        <v>100</v>
      </c>
      <c r="G1501">
        <v>1.4358356961702481E-2</v>
      </c>
      <c r="H1501" t="s">
        <v>60</v>
      </c>
      <c r="I1501" t="s">
        <v>66</v>
      </c>
      <c r="J1501" t="s">
        <v>4195</v>
      </c>
      <c r="K1501">
        <v>0</v>
      </c>
      <c r="L1501">
        <v>0</v>
      </c>
    </row>
    <row r="1502" spans="1:12" hidden="1" x14ac:dyDescent="0.25">
      <c r="A1502">
        <v>128</v>
      </c>
      <c r="C1502" t="s">
        <v>3970</v>
      </c>
      <c r="D1502" t="s">
        <v>57</v>
      </c>
      <c r="E1502" t="str">
        <f>_xlfn.XLOOKUP(F1502, Keys!B:B, Keys!A:A, "找不到")</f>
        <v>MON</v>
      </c>
      <c r="F1502" t="s">
        <v>100</v>
      </c>
      <c r="G1502">
        <v>4.0764316430379408E-3</v>
      </c>
      <c r="H1502" t="s">
        <v>60</v>
      </c>
      <c r="I1502" t="s">
        <v>66</v>
      </c>
      <c r="J1502" t="s">
        <v>4195</v>
      </c>
      <c r="K1502">
        <v>0</v>
      </c>
      <c r="L1502">
        <v>0</v>
      </c>
    </row>
    <row r="1503" spans="1:12" hidden="1" x14ac:dyDescent="0.25">
      <c r="A1503">
        <v>129</v>
      </c>
      <c r="C1503" t="s">
        <v>3970</v>
      </c>
      <c r="D1503" t="s">
        <v>57</v>
      </c>
      <c r="E1503" t="str">
        <f>_xlfn.XLOOKUP(F1503, Keys!B:B, Keys!A:A, "找不到")</f>
        <v>MON</v>
      </c>
      <c r="F1503" t="s">
        <v>100</v>
      </c>
      <c r="G1503">
        <v>8.0331586813906317E-3</v>
      </c>
      <c r="H1503" t="s">
        <v>60</v>
      </c>
      <c r="I1503" t="s">
        <v>66</v>
      </c>
      <c r="J1503" t="s">
        <v>4195</v>
      </c>
      <c r="K1503">
        <v>0</v>
      </c>
      <c r="L1503">
        <v>0</v>
      </c>
    </row>
    <row r="1504" spans="1:12" hidden="1" x14ac:dyDescent="0.25">
      <c r="A1504">
        <v>131</v>
      </c>
      <c r="C1504" t="s">
        <v>3970</v>
      </c>
      <c r="D1504" t="s">
        <v>57</v>
      </c>
      <c r="E1504" t="str">
        <f>_xlfn.XLOOKUP(F1504, Keys!B:B, Keys!A:A, "找不到")</f>
        <v>MON</v>
      </c>
      <c r="F1504" t="s">
        <v>100</v>
      </c>
      <c r="G1504">
        <v>0.12147827188584739</v>
      </c>
      <c r="H1504" t="s">
        <v>60</v>
      </c>
      <c r="I1504" t="s">
        <v>66</v>
      </c>
      <c r="J1504" t="s">
        <v>3980</v>
      </c>
      <c r="K1504">
        <v>0</v>
      </c>
      <c r="L1504">
        <v>0</v>
      </c>
    </row>
    <row r="1505" spans="1:12" hidden="1" x14ac:dyDescent="0.25">
      <c r="A1505">
        <v>132</v>
      </c>
      <c r="C1505" t="s">
        <v>3970</v>
      </c>
      <c r="D1505" t="s">
        <v>57</v>
      </c>
      <c r="E1505" t="str">
        <f>_xlfn.XLOOKUP(F1505, Keys!B:B, Keys!A:A, "找不到")</f>
        <v>MON</v>
      </c>
      <c r="F1505" t="s">
        <v>100</v>
      </c>
      <c r="G1505">
        <v>0.18938376621231709</v>
      </c>
      <c r="H1505" t="s">
        <v>60</v>
      </c>
      <c r="I1505" t="s">
        <v>66</v>
      </c>
      <c r="J1505" t="s">
        <v>3980</v>
      </c>
      <c r="K1505">
        <v>0</v>
      </c>
      <c r="L1505">
        <v>0</v>
      </c>
    </row>
    <row r="1506" spans="1:12" hidden="1" x14ac:dyDescent="0.25">
      <c r="A1506">
        <v>133</v>
      </c>
      <c r="C1506" t="s">
        <v>3970</v>
      </c>
      <c r="D1506" t="s">
        <v>57</v>
      </c>
      <c r="E1506" t="str">
        <f>_xlfn.XLOOKUP(F1506, Keys!B:B, Keys!A:A, "找不到")</f>
        <v>MON</v>
      </c>
      <c r="F1506" t="s">
        <v>100</v>
      </c>
      <c r="G1506">
        <v>0.31565651616320928</v>
      </c>
      <c r="H1506" t="s">
        <v>60</v>
      </c>
      <c r="I1506" t="s">
        <v>66</v>
      </c>
      <c r="J1506" t="s">
        <v>3980</v>
      </c>
      <c r="K1506">
        <v>0</v>
      </c>
      <c r="L1506">
        <v>0</v>
      </c>
    </row>
    <row r="1507" spans="1:12" hidden="1" x14ac:dyDescent="0.25">
      <c r="A1507">
        <v>135</v>
      </c>
      <c r="C1507" t="s">
        <v>3970</v>
      </c>
      <c r="D1507" t="s">
        <v>57</v>
      </c>
      <c r="E1507" t="str">
        <f>_xlfn.XLOOKUP(F1507, Keys!B:B, Keys!A:A, "找不到")</f>
        <v>MON</v>
      </c>
      <c r="F1507" t="s">
        <v>100</v>
      </c>
      <c r="G1507">
        <v>0.43574033750725522</v>
      </c>
      <c r="H1507" t="s">
        <v>60</v>
      </c>
      <c r="I1507" t="s">
        <v>66</v>
      </c>
      <c r="J1507" t="s">
        <v>4210</v>
      </c>
      <c r="K1507">
        <v>0</v>
      </c>
      <c r="L1507">
        <v>0</v>
      </c>
    </row>
    <row r="1508" spans="1:12" hidden="1" x14ac:dyDescent="0.25">
      <c r="A1508">
        <v>136</v>
      </c>
      <c r="C1508" t="s">
        <v>3970</v>
      </c>
      <c r="D1508" t="s">
        <v>57</v>
      </c>
      <c r="E1508" t="str">
        <f>_xlfn.XLOOKUP(F1508, Keys!B:B, Keys!A:A, "找不到")</f>
        <v>MON</v>
      </c>
      <c r="F1508" t="s">
        <v>100</v>
      </c>
      <c r="G1508">
        <v>0.30628087090199319</v>
      </c>
      <c r="H1508" t="s">
        <v>60</v>
      </c>
      <c r="I1508" t="s">
        <v>66</v>
      </c>
      <c r="J1508" t="s">
        <v>3980</v>
      </c>
      <c r="K1508">
        <v>0</v>
      </c>
      <c r="L1508">
        <v>0</v>
      </c>
    </row>
    <row r="1509" spans="1:12" hidden="1" x14ac:dyDescent="0.25">
      <c r="A1509">
        <v>138</v>
      </c>
      <c r="C1509" t="s">
        <v>3970</v>
      </c>
      <c r="D1509" t="s">
        <v>57</v>
      </c>
      <c r="E1509" t="str">
        <f>_xlfn.XLOOKUP(F1509, Keys!B:B, Keys!A:A, "找不到")</f>
        <v>MON</v>
      </c>
      <c r="F1509" t="s">
        <v>100</v>
      </c>
      <c r="G1509">
        <v>1.153717036660451</v>
      </c>
      <c r="H1509" t="s">
        <v>60</v>
      </c>
      <c r="I1509" t="s">
        <v>66</v>
      </c>
      <c r="J1509" t="s">
        <v>3980</v>
      </c>
      <c r="K1509">
        <v>0</v>
      </c>
      <c r="L1509">
        <v>0</v>
      </c>
    </row>
    <row r="1510" spans="1:12" hidden="1" x14ac:dyDescent="0.25">
      <c r="A1510">
        <v>139</v>
      </c>
      <c r="C1510" t="s">
        <v>3970</v>
      </c>
      <c r="D1510" t="s">
        <v>57</v>
      </c>
      <c r="E1510" t="str">
        <f>_xlfn.XLOOKUP(F1510, Keys!B:B, Keys!A:A, "找不到")</f>
        <v>MON</v>
      </c>
      <c r="F1510" t="s">
        <v>100</v>
      </c>
      <c r="G1510">
        <v>1.153717036660451</v>
      </c>
      <c r="H1510" t="s">
        <v>60</v>
      </c>
      <c r="I1510" t="s">
        <v>66</v>
      </c>
      <c r="J1510" t="s">
        <v>3980</v>
      </c>
      <c r="K1510">
        <v>0</v>
      </c>
      <c r="L1510">
        <v>0</v>
      </c>
    </row>
    <row r="1511" spans="1:12" hidden="1" x14ac:dyDescent="0.25">
      <c r="A1511">
        <v>140</v>
      </c>
      <c r="C1511" t="s">
        <v>3970</v>
      </c>
      <c r="D1511" t="s">
        <v>57</v>
      </c>
      <c r="E1511" t="str">
        <f>_xlfn.XLOOKUP(F1511, Keys!B:B, Keys!A:A, "找不到")</f>
        <v>MON</v>
      </c>
      <c r="F1511" t="s">
        <v>100</v>
      </c>
      <c r="G1511">
        <v>0.1155212384339543</v>
      </c>
      <c r="H1511" t="s">
        <v>60</v>
      </c>
      <c r="I1511" t="s">
        <v>66</v>
      </c>
      <c r="J1511" t="s">
        <v>3980</v>
      </c>
      <c r="K1511">
        <v>0</v>
      </c>
      <c r="L1511">
        <v>0</v>
      </c>
    </row>
    <row r="1512" spans="1:12" hidden="1" x14ac:dyDescent="0.25">
      <c r="A1512">
        <v>141</v>
      </c>
      <c r="C1512" t="s">
        <v>3970</v>
      </c>
      <c r="D1512">
        <v>0</v>
      </c>
      <c r="E1512" t="str">
        <f>_xlfn.XLOOKUP(F1512, Keys!B:B, Keys!A:A, "找不到")</f>
        <v>MON</v>
      </c>
      <c r="F1512" t="s">
        <v>100</v>
      </c>
      <c r="G1512">
        <v>3.770365397309762E-2</v>
      </c>
      <c r="H1512" t="s">
        <v>60</v>
      </c>
      <c r="I1512" t="s">
        <v>66</v>
      </c>
      <c r="J1512" t="s">
        <v>3980</v>
      </c>
      <c r="K1512">
        <v>0</v>
      </c>
      <c r="L1512">
        <v>0</v>
      </c>
    </row>
    <row r="1513" spans="1:12" hidden="1" x14ac:dyDescent="0.25">
      <c r="A1513">
        <v>155</v>
      </c>
      <c r="C1513" t="s">
        <v>3970</v>
      </c>
      <c r="D1513">
        <v>0</v>
      </c>
      <c r="E1513" t="str">
        <f>_xlfn.XLOOKUP(F1513, Keys!B:B, Keys!A:A, "找不到")</f>
        <v>MON</v>
      </c>
      <c r="F1513" t="s">
        <v>100</v>
      </c>
      <c r="G1513">
        <v>0.23609755398796789</v>
      </c>
      <c r="H1513" t="s">
        <v>60</v>
      </c>
      <c r="I1513" t="s">
        <v>66</v>
      </c>
      <c r="J1513" t="s">
        <v>4239</v>
      </c>
      <c r="K1513">
        <v>0</v>
      </c>
      <c r="L1513">
        <v>0</v>
      </c>
    </row>
    <row r="1514" spans="1:12" hidden="1" x14ac:dyDescent="0.25">
      <c r="A1514">
        <v>156</v>
      </c>
      <c r="C1514" t="s">
        <v>3970</v>
      </c>
      <c r="D1514">
        <v>0</v>
      </c>
      <c r="E1514" t="str">
        <f>_xlfn.XLOOKUP(F1514, Keys!B:B, Keys!A:A, "找不到")</f>
        <v>MON</v>
      </c>
      <c r="F1514" t="s">
        <v>100</v>
      </c>
      <c r="G1514">
        <v>0.1106900042589153</v>
      </c>
      <c r="H1514" t="s">
        <v>60</v>
      </c>
      <c r="I1514" t="s">
        <v>66</v>
      </c>
      <c r="J1514" t="s">
        <v>4240</v>
      </c>
      <c r="K1514">
        <v>0</v>
      </c>
      <c r="L1514">
        <v>0</v>
      </c>
    </row>
    <row r="1515" spans="1:12" hidden="1" x14ac:dyDescent="0.25">
      <c r="A1515">
        <v>160</v>
      </c>
      <c r="C1515" t="s">
        <v>3970</v>
      </c>
      <c r="D1515" t="s">
        <v>57</v>
      </c>
      <c r="E1515" t="str">
        <f>_xlfn.XLOOKUP(F1515, Keys!B:B, Keys!A:A, "找不到")</f>
        <v>MON</v>
      </c>
      <c r="F1515" t="s">
        <v>100</v>
      </c>
      <c r="G1515">
        <v>1.1984834017730289E-2</v>
      </c>
      <c r="H1515" t="s">
        <v>60</v>
      </c>
      <c r="I1515" t="s">
        <v>66</v>
      </c>
      <c r="J1515" t="s">
        <v>4195</v>
      </c>
      <c r="K1515">
        <v>0</v>
      </c>
      <c r="L1515">
        <v>0</v>
      </c>
    </row>
    <row r="1516" spans="1:12" hidden="1" x14ac:dyDescent="0.25">
      <c r="A1516">
        <v>172</v>
      </c>
      <c r="C1516" t="s">
        <v>3970</v>
      </c>
      <c r="D1516">
        <v>0</v>
      </c>
      <c r="E1516" t="str">
        <f>_xlfn.XLOOKUP(F1516, Keys!B:B, Keys!A:A, "找不到")</f>
        <v>MON</v>
      </c>
      <c r="F1516" t="s">
        <v>100</v>
      </c>
      <c r="G1516">
        <v>1.4332060905984311E-2</v>
      </c>
      <c r="H1516" t="s">
        <v>60</v>
      </c>
      <c r="I1516" t="s">
        <v>66</v>
      </c>
      <c r="J1516" t="s">
        <v>3980</v>
      </c>
      <c r="K1516">
        <v>0</v>
      </c>
      <c r="L1516">
        <v>0</v>
      </c>
    </row>
    <row r="1517" spans="1:12" hidden="1" x14ac:dyDescent="0.25">
      <c r="A1517">
        <v>175</v>
      </c>
      <c r="C1517" t="s">
        <v>3970</v>
      </c>
      <c r="D1517">
        <v>0</v>
      </c>
      <c r="E1517" t="str">
        <f>_xlfn.XLOOKUP(F1517, Keys!B:B, Keys!A:A, "找不到")</f>
        <v>MON</v>
      </c>
      <c r="F1517" t="s">
        <v>100</v>
      </c>
      <c r="G1517">
        <v>8.7661022233427719</v>
      </c>
      <c r="H1517" t="s">
        <v>60</v>
      </c>
      <c r="I1517" t="s">
        <v>66</v>
      </c>
      <c r="J1517" t="s">
        <v>57</v>
      </c>
      <c r="K1517">
        <v>0</v>
      </c>
      <c r="L1517">
        <v>0</v>
      </c>
    </row>
    <row r="1518" spans="1:12" hidden="1" x14ac:dyDescent="0.25">
      <c r="A1518">
        <v>1</v>
      </c>
      <c r="B1518" t="s">
        <v>2605</v>
      </c>
      <c r="C1518" t="s">
        <v>2606</v>
      </c>
      <c r="D1518">
        <v>0</v>
      </c>
      <c r="E1518" t="str">
        <f>_xlfn.XLOOKUP(F1518, Keys!B:B, Keys!A:A, "找不到")</f>
        <v>MON</v>
      </c>
      <c r="F1518" t="s">
        <v>100</v>
      </c>
      <c r="G1518">
        <v>5.2083650196011459E-2</v>
      </c>
      <c r="H1518" t="s">
        <v>60</v>
      </c>
      <c r="I1518" t="s">
        <v>66</v>
      </c>
      <c r="J1518" t="s">
        <v>2607</v>
      </c>
      <c r="K1518">
        <v>0</v>
      </c>
      <c r="L1518">
        <v>103.2652220122811</v>
      </c>
    </row>
    <row r="1519" spans="1:12" hidden="1" x14ac:dyDescent="0.25">
      <c r="A1519">
        <v>2</v>
      </c>
      <c r="B1519" t="s">
        <v>2605</v>
      </c>
      <c r="C1519" t="s">
        <v>2606</v>
      </c>
      <c r="D1519">
        <v>0</v>
      </c>
      <c r="E1519" t="str">
        <f>_xlfn.XLOOKUP(F1519, Keys!B:B, Keys!A:A, "找不到")</f>
        <v>MON</v>
      </c>
      <c r="F1519" t="s">
        <v>100</v>
      </c>
      <c r="G1519">
        <v>3.9164252026990306E-3</v>
      </c>
      <c r="H1519" t="s">
        <v>60</v>
      </c>
      <c r="I1519" t="s">
        <v>66</v>
      </c>
      <c r="J1519" t="s">
        <v>2611</v>
      </c>
      <c r="K1519">
        <v>0</v>
      </c>
      <c r="L1519">
        <v>23.93487872510844</v>
      </c>
    </row>
    <row r="1520" spans="1:12" hidden="1" x14ac:dyDescent="0.25">
      <c r="A1520">
        <v>3</v>
      </c>
      <c r="B1520" t="s">
        <v>2605</v>
      </c>
      <c r="C1520" t="s">
        <v>2606</v>
      </c>
      <c r="D1520">
        <v>0</v>
      </c>
      <c r="E1520" t="str">
        <f>_xlfn.XLOOKUP(F1520, Keys!B:B, Keys!A:A, "找不到")</f>
        <v>MON</v>
      </c>
      <c r="F1520" t="s">
        <v>100</v>
      </c>
      <c r="G1520">
        <v>1.4710926255579999E-3</v>
      </c>
      <c r="H1520" t="s">
        <v>60</v>
      </c>
      <c r="I1520" t="s">
        <v>66</v>
      </c>
      <c r="J1520" t="s">
        <v>2613</v>
      </c>
      <c r="K1520">
        <v>0</v>
      </c>
      <c r="L1520">
        <v>14.020290320068771</v>
      </c>
    </row>
    <row r="1521" spans="1:12" hidden="1" x14ac:dyDescent="0.25">
      <c r="A1521">
        <v>4</v>
      </c>
      <c r="B1521" t="s">
        <v>2605</v>
      </c>
      <c r="C1521" t="s">
        <v>2606</v>
      </c>
      <c r="D1521">
        <v>0</v>
      </c>
      <c r="E1521" t="str">
        <f>_xlfn.XLOOKUP(F1521, Keys!B:B, Keys!A:A, "找不到")</f>
        <v>MON</v>
      </c>
      <c r="F1521" t="s">
        <v>100</v>
      </c>
      <c r="G1521">
        <v>3.0456764496412389E-3</v>
      </c>
      <c r="H1521" t="s">
        <v>60</v>
      </c>
      <c r="I1521" t="s">
        <v>66</v>
      </c>
      <c r="J1521" t="s">
        <v>2615</v>
      </c>
      <c r="K1521">
        <v>0</v>
      </c>
      <c r="L1521">
        <v>16.244795623565459</v>
      </c>
    </row>
    <row r="1522" spans="1:12" hidden="1" x14ac:dyDescent="0.25">
      <c r="A1522">
        <v>5</v>
      </c>
      <c r="B1522" t="s">
        <v>2605</v>
      </c>
      <c r="C1522" t="s">
        <v>2606</v>
      </c>
      <c r="D1522">
        <v>0</v>
      </c>
      <c r="E1522" t="str">
        <f>_xlfn.XLOOKUP(F1522, Keys!B:B, Keys!A:A, "找不到")</f>
        <v>MON</v>
      </c>
      <c r="F1522" t="s">
        <v>100</v>
      </c>
      <c r="G1522">
        <v>2.997598542702162E-2</v>
      </c>
      <c r="H1522" t="s">
        <v>60</v>
      </c>
      <c r="I1522" t="s">
        <v>66</v>
      </c>
      <c r="J1522" t="s">
        <v>2617</v>
      </c>
      <c r="K1522">
        <v>0</v>
      </c>
      <c r="L1522">
        <v>69.193154292071981</v>
      </c>
    </row>
    <row r="1523" spans="1:12" hidden="1" x14ac:dyDescent="0.25">
      <c r="A1523">
        <v>6</v>
      </c>
      <c r="B1523" t="s">
        <v>2605</v>
      </c>
      <c r="C1523" t="s">
        <v>2606</v>
      </c>
      <c r="D1523">
        <v>0</v>
      </c>
      <c r="E1523" t="str">
        <f>_xlfn.XLOOKUP(F1523, Keys!B:B, Keys!A:A, "找不到")</f>
        <v>MON</v>
      </c>
      <c r="F1523" t="s">
        <v>100</v>
      </c>
      <c r="G1523">
        <v>3.5711166312774279E-3</v>
      </c>
      <c r="H1523" t="s">
        <v>60</v>
      </c>
      <c r="I1523" t="s">
        <v>66</v>
      </c>
      <c r="J1523" t="s">
        <v>2619</v>
      </c>
      <c r="K1523">
        <v>0</v>
      </c>
      <c r="L1523">
        <v>15.327355180624339</v>
      </c>
    </row>
    <row r="1524" spans="1:12" hidden="1" x14ac:dyDescent="0.25">
      <c r="A1524">
        <v>26</v>
      </c>
      <c r="B1524" t="s">
        <v>2605</v>
      </c>
      <c r="C1524" t="s">
        <v>2606</v>
      </c>
      <c r="D1524">
        <v>0</v>
      </c>
      <c r="E1524" t="str">
        <f>_xlfn.XLOOKUP(F1524, Keys!B:B, Keys!A:A, "找不到")</f>
        <v>MON</v>
      </c>
      <c r="F1524" t="s">
        <v>100</v>
      </c>
      <c r="G1524">
        <v>0.24576531916197389</v>
      </c>
      <c r="H1524" t="s">
        <v>73</v>
      </c>
      <c r="I1524" t="s">
        <v>74</v>
      </c>
      <c r="J1524" t="s">
        <v>2662</v>
      </c>
      <c r="K1524">
        <v>0</v>
      </c>
      <c r="L1524">
        <v>183.81458660573779</v>
      </c>
    </row>
    <row r="1525" spans="1:12" hidden="1" x14ac:dyDescent="0.25">
      <c r="A1525">
        <v>68</v>
      </c>
      <c r="B1525" t="s">
        <v>2605</v>
      </c>
      <c r="C1525" t="s">
        <v>2606</v>
      </c>
      <c r="D1525">
        <v>0</v>
      </c>
      <c r="E1525" t="str">
        <f>_xlfn.XLOOKUP(F1525, Keys!B:B, Keys!A:A, "找不到")</f>
        <v>MON</v>
      </c>
      <c r="F1525" t="s">
        <v>100</v>
      </c>
      <c r="G1525">
        <v>0.23864133304635229</v>
      </c>
      <c r="H1525" t="s">
        <v>60</v>
      </c>
      <c r="I1525" t="s">
        <v>66</v>
      </c>
      <c r="J1525" t="s">
        <v>2747</v>
      </c>
      <c r="K1525">
        <v>0</v>
      </c>
      <c r="L1525">
        <v>138.43968778407921</v>
      </c>
    </row>
    <row r="1526" spans="1:12" hidden="1" x14ac:dyDescent="0.25">
      <c r="A1526">
        <v>141</v>
      </c>
      <c r="B1526" t="s">
        <v>2605</v>
      </c>
      <c r="C1526" t="s">
        <v>2606</v>
      </c>
      <c r="D1526">
        <v>0</v>
      </c>
      <c r="E1526" t="str">
        <f>_xlfn.XLOOKUP(F1526, Keys!B:B, Keys!A:A, "找不到")</f>
        <v>MON</v>
      </c>
      <c r="F1526" t="s">
        <v>100</v>
      </c>
      <c r="G1526">
        <v>0.25159474455181607</v>
      </c>
      <c r="H1526" t="s">
        <v>60</v>
      </c>
      <c r="I1526" t="s">
        <v>66</v>
      </c>
      <c r="J1526" t="s">
        <v>2777</v>
      </c>
      <c r="K1526">
        <v>0</v>
      </c>
      <c r="L1526">
        <v>200.08474387384209</v>
      </c>
    </row>
    <row r="1527" spans="1:12" hidden="1" x14ac:dyDescent="0.25">
      <c r="A1527">
        <v>248</v>
      </c>
      <c r="B1527" t="s">
        <v>2605</v>
      </c>
      <c r="C1527" t="s">
        <v>2606</v>
      </c>
      <c r="D1527">
        <v>0</v>
      </c>
      <c r="E1527" t="str">
        <f>_xlfn.XLOOKUP(F1527, Keys!B:B, Keys!A:A, "找不到")</f>
        <v>MON</v>
      </c>
      <c r="F1527" t="s">
        <v>100</v>
      </c>
      <c r="G1527">
        <v>1.810277747816238</v>
      </c>
      <c r="H1527" t="s">
        <v>60</v>
      </c>
      <c r="I1527" t="s">
        <v>66</v>
      </c>
      <c r="J1527" t="s">
        <v>3016</v>
      </c>
      <c r="K1527">
        <v>0</v>
      </c>
      <c r="L1527">
        <v>484.09449342632439</v>
      </c>
    </row>
    <row r="1528" spans="1:12" hidden="1" x14ac:dyDescent="0.25">
      <c r="A1528">
        <v>252</v>
      </c>
      <c r="B1528" t="s">
        <v>2605</v>
      </c>
      <c r="C1528" t="s">
        <v>2606</v>
      </c>
      <c r="D1528">
        <v>0</v>
      </c>
      <c r="E1528" t="str">
        <f>_xlfn.XLOOKUP(F1528, Keys!B:B, Keys!A:A, "找不到")</f>
        <v>MON</v>
      </c>
      <c r="F1528" t="s">
        <v>100</v>
      </c>
      <c r="G1528">
        <v>0.22673516574314881</v>
      </c>
      <c r="H1528" t="s">
        <v>60</v>
      </c>
      <c r="I1528" t="s">
        <v>66</v>
      </c>
      <c r="J1528" t="s">
        <v>3016</v>
      </c>
      <c r="K1528">
        <v>0</v>
      </c>
      <c r="L1528">
        <v>127.531348287217</v>
      </c>
    </row>
    <row r="1529" spans="1:12" hidden="1" x14ac:dyDescent="0.25">
      <c r="A1529">
        <v>256</v>
      </c>
      <c r="B1529" t="s">
        <v>2605</v>
      </c>
      <c r="C1529" t="s">
        <v>2606</v>
      </c>
      <c r="D1529">
        <v>0</v>
      </c>
      <c r="E1529" t="str">
        <f>_xlfn.XLOOKUP(F1529, Keys!B:B, Keys!A:A, "找不到")</f>
        <v>MON</v>
      </c>
      <c r="F1529" t="s">
        <v>100</v>
      </c>
      <c r="G1529">
        <v>5.0622511885068402E-2</v>
      </c>
      <c r="H1529" t="s">
        <v>60</v>
      </c>
      <c r="I1529" t="s">
        <v>66</v>
      </c>
      <c r="J1529" t="s">
        <v>3016</v>
      </c>
      <c r="K1529">
        <v>0</v>
      </c>
      <c r="L1529">
        <v>64.795558467869327</v>
      </c>
    </row>
    <row r="1530" spans="1:12" hidden="1" x14ac:dyDescent="0.25">
      <c r="A1530">
        <v>337</v>
      </c>
      <c r="B1530" t="s">
        <v>2605</v>
      </c>
      <c r="C1530" t="s">
        <v>2606</v>
      </c>
      <c r="D1530">
        <v>0</v>
      </c>
      <c r="E1530" t="str">
        <f>_xlfn.XLOOKUP(F1530, Keys!B:B, Keys!A:A, "找不到")</f>
        <v>MON</v>
      </c>
      <c r="F1530" t="s">
        <v>100</v>
      </c>
      <c r="G1530">
        <v>0.34021063961584402</v>
      </c>
      <c r="H1530" t="s">
        <v>60</v>
      </c>
      <c r="I1530" t="s">
        <v>66</v>
      </c>
      <c r="J1530" t="s">
        <v>57</v>
      </c>
      <c r="K1530">
        <v>0</v>
      </c>
      <c r="L1530">
        <v>175.48476302042411</v>
      </c>
    </row>
    <row r="1531" spans="1:12" hidden="1" x14ac:dyDescent="0.25">
      <c r="A1531">
        <v>813</v>
      </c>
      <c r="B1531" t="s">
        <v>2605</v>
      </c>
      <c r="C1531" t="s">
        <v>2606</v>
      </c>
      <c r="D1531">
        <v>0</v>
      </c>
      <c r="E1531" t="str">
        <f>_xlfn.XLOOKUP(F1531, Keys!B:B, Keys!A:A, "找不到")</f>
        <v>MON</v>
      </c>
      <c r="F1531" t="s">
        <v>100</v>
      </c>
      <c r="G1531">
        <v>5.4450653247158547</v>
      </c>
      <c r="H1531" t="s">
        <v>60</v>
      </c>
      <c r="I1531" t="s">
        <v>66</v>
      </c>
      <c r="J1531" t="s">
        <v>3822</v>
      </c>
      <c r="K1531">
        <v>0</v>
      </c>
      <c r="L1531">
        <v>614.51648954606424</v>
      </c>
    </row>
    <row r="1532" spans="1:12" hidden="1" x14ac:dyDescent="0.25">
      <c r="A1532">
        <v>859</v>
      </c>
      <c r="B1532" t="s">
        <v>2605</v>
      </c>
      <c r="C1532" t="s">
        <v>2606</v>
      </c>
      <c r="D1532">
        <v>0</v>
      </c>
      <c r="E1532" t="str">
        <f>_xlfn.XLOOKUP(F1532, Keys!B:B, Keys!A:A, "找不到")</f>
        <v>MON</v>
      </c>
      <c r="F1532" t="s">
        <v>100</v>
      </c>
      <c r="G1532">
        <v>6.4128345053596526E-3</v>
      </c>
      <c r="H1532" t="s">
        <v>73</v>
      </c>
      <c r="I1532" t="s">
        <v>74</v>
      </c>
      <c r="J1532" t="s">
        <v>3844</v>
      </c>
      <c r="K1532">
        <v>0</v>
      </c>
      <c r="L1532">
        <v>21.08874940102671</v>
      </c>
    </row>
    <row r="1533" spans="1:12" hidden="1" x14ac:dyDescent="0.25">
      <c r="A1533">
        <v>860</v>
      </c>
      <c r="B1533" t="s">
        <v>2605</v>
      </c>
      <c r="C1533" t="s">
        <v>2606</v>
      </c>
      <c r="D1533">
        <v>0</v>
      </c>
      <c r="E1533" t="str">
        <f>_xlfn.XLOOKUP(F1533, Keys!B:B, Keys!A:A, "找不到")</f>
        <v>MON</v>
      </c>
      <c r="F1533" t="s">
        <v>100</v>
      </c>
      <c r="G1533">
        <v>4.0714698985636802E-2</v>
      </c>
      <c r="H1533" t="s">
        <v>73</v>
      </c>
      <c r="I1533" t="s">
        <v>74</v>
      </c>
      <c r="J1533" t="s">
        <v>3844</v>
      </c>
      <c r="K1533">
        <v>0</v>
      </c>
      <c r="L1533">
        <v>67.012256062681089</v>
      </c>
    </row>
    <row r="1534" spans="1:12" hidden="1" x14ac:dyDescent="0.25">
      <c r="A1534">
        <v>861</v>
      </c>
      <c r="B1534" t="s">
        <v>2605</v>
      </c>
      <c r="C1534" t="s">
        <v>2606</v>
      </c>
      <c r="D1534">
        <v>0</v>
      </c>
      <c r="E1534" t="str">
        <f>_xlfn.XLOOKUP(F1534, Keys!B:B, Keys!A:A, "找不到")</f>
        <v>MON</v>
      </c>
      <c r="F1534" t="s">
        <v>100</v>
      </c>
      <c r="G1534">
        <v>4.7203787601178541E-2</v>
      </c>
      <c r="H1534" t="s">
        <v>73</v>
      </c>
      <c r="I1534" t="s">
        <v>74</v>
      </c>
      <c r="J1534" t="s">
        <v>3844</v>
      </c>
      <c r="K1534">
        <v>0</v>
      </c>
      <c r="L1534">
        <v>62.282920069030247</v>
      </c>
    </row>
    <row r="1535" spans="1:12" hidden="1" x14ac:dyDescent="0.25">
      <c r="A1535">
        <v>862</v>
      </c>
      <c r="B1535" t="s">
        <v>2605</v>
      </c>
      <c r="C1535" t="s">
        <v>2606</v>
      </c>
      <c r="D1535">
        <v>0</v>
      </c>
      <c r="E1535" t="str">
        <f>_xlfn.XLOOKUP(F1535, Keys!B:B, Keys!A:A, "找不到")</f>
        <v>MON</v>
      </c>
      <c r="F1535" t="s">
        <v>100</v>
      </c>
      <c r="G1535">
        <v>3.5371647508592651E-3</v>
      </c>
      <c r="H1535" t="s">
        <v>73</v>
      </c>
      <c r="I1535" t="s">
        <v>74</v>
      </c>
      <c r="J1535" t="s">
        <v>3844</v>
      </c>
      <c r="K1535">
        <v>0</v>
      </c>
      <c r="L1535">
        <v>23.00775303937278</v>
      </c>
    </row>
    <row r="1536" spans="1:12" hidden="1" x14ac:dyDescent="0.25">
      <c r="A1536">
        <v>863</v>
      </c>
      <c r="B1536" t="s">
        <v>2605</v>
      </c>
      <c r="C1536" t="s">
        <v>2606</v>
      </c>
      <c r="D1536">
        <v>0</v>
      </c>
      <c r="E1536" t="str">
        <f>_xlfn.XLOOKUP(F1536, Keys!B:B, Keys!A:A, "找不到")</f>
        <v>MON</v>
      </c>
      <c r="F1536" t="s">
        <v>100</v>
      </c>
      <c r="G1536">
        <v>5.194424768472847E-4</v>
      </c>
      <c r="H1536" t="s">
        <v>73</v>
      </c>
      <c r="I1536" t="s">
        <v>74</v>
      </c>
      <c r="J1536" t="s">
        <v>3844</v>
      </c>
      <c r="K1536">
        <v>0</v>
      </c>
      <c r="L1536">
        <v>10.26524307115989</v>
      </c>
    </row>
    <row r="1537" spans="1:12" hidden="1" x14ac:dyDescent="0.25">
      <c r="A1537">
        <v>864</v>
      </c>
      <c r="B1537" t="s">
        <v>2605</v>
      </c>
      <c r="C1537" t="s">
        <v>2606</v>
      </c>
      <c r="D1537">
        <v>0</v>
      </c>
      <c r="E1537" t="str">
        <f>_xlfn.XLOOKUP(F1537, Keys!B:B, Keys!A:A, "找不到")</f>
        <v>MON</v>
      </c>
      <c r="F1537" t="s">
        <v>100</v>
      </c>
      <c r="G1537">
        <v>6.2260241878733412E-4</v>
      </c>
      <c r="H1537" t="s">
        <v>73</v>
      </c>
      <c r="I1537" t="s">
        <v>74</v>
      </c>
      <c r="J1537" t="s">
        <v>3844</v>
      </c>
      <c r="K1537">
        <v>0</v>
      </c>
      <c r="L1537">
        <v>6.6749683220335374</v>
      </c>
    </row>
    <row r="1538" spans="1:12" hidden="1" x14ac:dyDescent="0.25">
      <c r="A1538">
        <v>865</v>
      </c>
      <c r="B1538" t="s">
        <v>2605</v>
      </c>
      <c r="C1538" t="s">
        <v>2606</v>
      </c>
      <c r="D1538">
        <v>0</v>
      </c>
      <c r="E1538" t="str">
        <f>_xlfn.XLOOKUP(F1538, Keys!B:B, Keys!A:A, "找不到")</f>
        <v>MON</v>
      </c>
      <c r="F1538" t="s">
        <v>100</v>
      </c>
      <c r="G1538">
        <v>1.1912523926545231E-2</v>
      </c>
      <c r="H1538" t="s">
        <v>60</v>
      </c>
      <c r="I1538" t="s">
        <v>66</v>
      </c>
      <c r="J1538" t="s">
        <v>3847</v>
      </c>
      <c r="K1538">
        <v>0</v>
      </c>
      <c r="L1538">
        <v>32.878791295934107</v>
      </c>
    </row>
    <row r="1539" spans="1:12" hidden="1" x14ac:dyDescent="0.25">
      <c r="A1539">
        <v>866</v>
      </c>
      <c r="B1539" t="s">
        <v>2605</v>
      </c>
      <c r="C1539" t="s">
        <v>2606</v>
      </c>
      <c r="D1539">
        <v>0</v>
      </c>
      <c r="E1539" t="str">
        <f>_xlfn.XLOOKUP(F1539, Keys!B:B, Keys!A:A, "找不到")</f>
        <v>MON</v>
      </c>
      <c r="F1539" t="s">
        <v>100</v>
      </c>
      <c r="G1539">
        <v>1.6622578713990019E-2</v>
      </c>
      <c r="H1539" t="s">
        <v>60</v>
      </c>
      <c r="I1539" t="s">
        <v>66</v>
      </c>
      <c r="J1539" t="s">
        <v>3847</v>
      </c>
      <c r="K1539">
        <v>0</v>
      </c>
      <c r="L1539">
        <v>44.857429092693927</v>
      </c>
    </row>
    <row r="1540" spans="1:12" hidden="1" x14ac:dyDescent="0.25">
      <c r="A1540">
        <v>869</v>
      </c>
      <c r="B1540" t="s">
        <v>2605</v>
      </c>
      <c r="C1540" t="s">
        <v>2606</v>
      </c>
      <c r="D1540">
        <v>0</v>
      </c>
      <c r="E1540" t="str">
        <f>_xlfn.XLOOKUP(F1540, Keys!B:B, Keys!A:A, "找不到")</f>
        <v>MON</v>
      </c>
      <c r="F1540" t="s">
        <v>100</v>
      </c>
      <c r="G1540">
        <v>0.62939541651183395</v>
      </c>
      <c r="H1540" t="s">
        <v>60</v>
      </c>
      <c r="I1540" t="s">
        <v>66</v>
      </c>
      <c r="J1540" t="s">
        <v>3853</v>
      </c>
      <c r="K1540">
        <v>0</v>
      </c>
      <c r="L1540">
        <v>244.84386570621871</v>
      </c>
    </row>
    <row r="1541" spans="1:12" hidden="1" x14ac:dyDescent="0.25">
      <c r="A1541">
        <v>870</v>
      </c>
      <c r="B1541" t="s">
        <v>2605</v>
      </c>
      <c r="C1541" t="s">
        <v>2606</v>
      </c>
      <c r="D1541">
        <v>0</v>
      </c>
      <c r="E1541" t="str">
        <f>_xlfn.XLOOKUP(F1541, Keys!B:B, Keys!A:A, "找不到")</f>
        <v>MON</v>
      </c>
      <c r="F1541" t="s">
        <v>100</v>
      </c>
      <c r="G1541">
        <v>1.43179792150923E-2</v>
      </c>
      <c r="H1541" t="s">
        <v>60</v>
      </c>
      <c r="I1541" t="s">
        <v>66</v>
      </c>
      <c r="J1541" t="s">
        <v>3853</v>
      </c>
      <c r="K1541">
        <v>0</v>
      </c>
      <c r="L1541">
        <v>36.087821824552591</v>
      </c>
    </row>
    <row r="1542" spans="1:12" hidden="1" x14ac:dyDescent="0.25">
      <c r="A1542">
        <v>871</v>
      </c>
      <c r="B1542" t="s">
        <v>2605</v>
      </c>
      <c r="C1542" t="s">
        <v>2606</v>
      </c>
      <c r="D1542">
        <v>0</v>
      </c>
      <c r="E1542" t="str">
        <f>_xlfn.XLOOKUP(F1542, Keys!B:B, Keys!A:A, "找不到")</f>
        <v>MON</v>
      </c>
      <c r="F1542" t="s">
        <v>100</v>
      </c>
      <c r="G1542">
        <v>5.0220679422900392E-2</v>
      </c>
      <c r="H1542" t="s">
        <v>60</v>
      </c>
      <c r="I1542" t="s">
        <v>66</v>
      </c>
      <c r="J1542" t="s">
        <v>3853</v>
      </c>
      <c r="K1542">
        <v>0</v>
      </c>
      <c r="L1542">
        <v>73.535256081962871</v>
      </c>
    </row>
    <row r="1543" spans="1:12" hidden="1" x14ac:dyDescent="0.25">
      <c r="A1543">
        <v>872</v>
      </c>
      <c r="B1543" t="s">
        <v>2605</v>
      </c>
      <c r="C1543" t="s">
        <v>2606</v>
      </c>
      <c r="D1543">
        <v>0</v>
      </c>
      <c r="E1543" t="str">
        <f>_xlfn.XLOOKUP(F1543, Keys!B:B, Keys!A:A, "找不到")</f>
        <v>MON</v>
      </c>
      <c r="F1543" t="s">
        <v>100</v>
      </c>
      <c r="G1543">
        <v>2.595901838925721E-2</v>
      </c>
      <c r="H1543" t="s">
        <v>60</v>
      </c>
      <c r="I1543" t="s">
        <v>66</v>
      </c>
      <c r="J1543" t="s">
        <v>3853</v>
      </c>
      <c r="K1543">
        <v>0</v>
      </c>
      <c r="L1543">
        <v>38.134940877567303</v>
      </c>
    </row>
    <row r="1544" spans="1:12" hidden="1" x14ac:dyDescent="0.25">
      <c r="A1544">
        <v>873</v>
      </c>
      <c r="B1544" t="s">
        <v>2605</v>
      </c>
      <c r="C1544" t="s">
        <v>2606</v>
      </c>
      <c r="D1544">
        <v>0</v>
      </c>
      <c r="E1544" t="str">
        <f>_xlfn.XLOOKUP(F1544, Keys!B:B, Keys!A:A, "找不到")</f>
        <v>MON</v>
      </c>
      <c r="F1544" t="s">
        <v>100</v>
      </c>
      <c r="G1544">
        <v>2.366986125794885E-2</v>
      </c>
      <c r="H1544" t="s">
        <v>60</v>
      </c>
      <c r="I1544" t="s">
        <v>66</v>
      </c>
      <c r="J1544" t="s">
        <v>3857</v>
      </c>
      <c r="K1544">
        <v>0</v>
      </c>
      <c r="L1544">
        <v>49.060736346692437</v>
      </c>
    </row>
    <row r="1545" spans="1:12" hidden="1" x14ac:dyDescent="0.25">
      <c r="A1545">
        <v>874</v>
      </c>
      <c r="B1545" t="s">
        <v>2605</v>
      </c>
      <c r="C1545" t="s">
        <v>2606</v>
      </c>
      <c r="D1545">
        <v>0</v>
      </c>
      <c r="E1545" t="str">
        <f>_xlfn.XLOOKUP(F1545, Keys!B:B, Keys!A:A, "找不到")</f>
        <v>MON</v>
      </c>
      <c r="F1545" t="s">
        <v>100</v>
      </c>
      <c r="G1545">
        <v>4.2592044542884757E-3</v>
      </c>
      <c r="H1545" t="s">
        <v>60</v>
      </c>
      <c r="I1545" t="s">
        <v>66</v>
      </c>
      <c r="J1545" t="s">
        <v>3857</v>
      </c>
      <c r="K1545">
        <v>0</v>
      </c>
      <c r="L1545">
        <v>18.36482019385641</v>
      </c>
    </row>
    <row r="1546" spans="1:12" hidden="1" x14ac:dyDescent="0.25">
      <c r="A1546">
        <v>875</v>
      </c>
      <c r="B1546" t="s">
        <v>2605</v>
      </c>
      <c r="C1546" t="s">
        <v>2606</v>
      </c>
      <c r="D1546">
        <v>0</v>
      </c>
      <c r="E1546" t="str">
        <f>_xlfn.XLOOKUP(F1546, Keys!B:B, Keys!A:A, "找不到")</f>
        <v>MON</v>
      </c>
      <c r="F1546" t="s">
        <v>100</v>
      </c>
      <c r="G1546">
        <v>1.82979554995213E-3</v>
      </c>
      <c r="H1546" t="s">
        <v>60</v>
      </c>
      <c r="I1546" t="s">
        <v>66</v>
      </c>
      <c r="J1546" t="s">
        <v>3857</v>
      </c>
      <c r="K1546">
        <v>0</v>
      </c>
      <c r="L1546">
        <v>10.926522229550759</v>
      </c>
    </row>
    <row r="1547" spans="1:12" hidden="1" x14ac:dyDescent="0.25">
      <c r="A1547">
        <v>876</v>
      </c>
      <c r="B1547" t="s">
        <v>2605</v>
      </c>
      <c r="C1547" t="s">
        <v>2606</v>
      </c>
      <c r="D1547">
        <v>0</v>
      </c>
      <c r="E1547" t="str">
        <f>_xlfn.XLOOKUP(F1547, Keys!B:B, Keys!A:A, "找不到")</f>
        <v>MON</v>
      </c>
      <c r="F1547" t="s">
        <v>100</v>
      </c>
      <c r="G1547">
        <v>4.424826535804692E-3</v>
      </c>
      <c r="H1547" t="s">
        <v>60</v>
      </c>
      <c r="I1547" t="s">
        <v>66</v>
      </c>
      <c r="J1547" t="s">
        <v>3857</v>
      </c>
      <c r="K1547">
        <v>0</v>
      </c>
      <c r="L1547">
        <v>24.192750953621559</v>
      </c>
    </row>
    <row r="1548" spans="1:12" hidden="1" x14ac:dyDescent="0.25">
      <c r="A1548">
        <v>877</v>
      </c>
      <c r="B1548" t="s">
        <v>2605</v>
      </c>
      <c r="C1548" t="s">
        <v>2606</v>
      </c>
      <c r="D1548">
        <v>0</v>
      </c>
      <c r="E1548" t="str">
        <f>_xlfn.XLOOKUP(F1548, Keys!B:B, Keys!A:A, "找不到")</f>
        <v>MON</v>
      </c>
      <c r="F1548" t="s">
        <v>100</v>
      </c>
      <c r="G1548">
        <v>1.6659585434349331E-3</v>
      </c>
      <c r="H1548" t="s">
        <v>60</v>
      </c>
      <c r="I1548" t="s">
        <v>66</v>
      </c>
      <c r="J1548" t="s">
        <v>3857</v>
      </c>
      <c r="K1548">
        <v>0</v>
      </c>
      <c r="L1548">
        <v>11.96893941666792</v>
      </c>
    </row>
    <row r="1549" spans="1:12" hidden="1" x14ac:dyDescent="0.25">
      <c r="A1549">
        <v>878</v>
      </c>
      <c r="B1549" t="s">
        <v>2605</v>
      </c>
      <c r="C1549" t="s">
        <v>2606</v>
      </c>
      <c r="D1549">
        <v>0</v>
      </c>
      <c r="E1549" t="str">
        <f>_xlfn.XLOOKUP(F1549, Keys!B:B, Keys!A:A, "找不到")</f>
        <v>MON</v>
      </c>
      <c r="F1549" t="s">
        <v>100</v>
      </c>
      <c r="G1549">
        <v>3.9553673321125353E-2</v>
      </c>
      <c r="H1549" t="s">
        <v>60</v>
      </c>
      <c r="I1549" t="s">
        <v>66</v>
      </c>
      <c r="J1549" t="s">
        <v>3857</v>
      </c>
      <c r="K1549">
        <v>0</v>
      </c>
      <c r="L1549">
        <v>53.422061306782773</v>
      </c>
    </row>
    <row r="1550" spans="1:12" hidden="1" x14ac:dyDescent="0.25">
      <c r="A1550">
        <v>879</v>
      </c>
      <c r="B1550" t="s">
        <v>2605</v>
      </c>
      <c r="C1550" t="s">
        <v>2606</v>
      </c>
      <c r="D1550">
        <v>0</v>
      </c>
      <c r="E1550" t="str">
        <f>_xlfn.XLOOKUP(F1550, Keys!B:B, Keys!A:A, "找不到")</f>
        <v>MON</v>
      </c>
      <c r="F1550" t="s">
        <v>100</v>
      </c>
      <c r="G1550">
        <v>2.7550266198977519E-2</v>
      </c>
      <c r="H1550" t="s">
        <v>60</v>
      </c>
      <c r="I1550" t="s">
        <v>66</v>
      </c>
      <c r="J1550" t="s">
        <v>3857</v>
      </c>
      <c r="K1550">
        <v>0</v>
      </c>
      <c r="L1550">
        <v>44.581245127060342</v>
      </c>
    </row>
    <row r="1551" spans="1:12" hidden="1" x14ac:dyDescent="0.25">
      <c r="A1551">
        <v>880</v>
      </c>
      <c r="B1551" t="s">
        <v>2605</v>
      </c>
      <c r="C1551" t="s">
        <v>2606</v>
      </c>
      <c r="D1551">
        <v>0</v>
      </c>
      <c r="E1551" t="str">
        <f>_xlfn.XLOOKUP(F1551, Keys!B:B, Keys!A:A, "找不到")</f>
        <v>MON</v>
      </c>
      <c r="F1551" t="s">
        <v>100</v>
      </c>
      <c r="G1551">
        <v>5.6727228433253573E-3</v>
      </c>
      <c r="H1551" t="s">
        <v>60</v>
      </c>
      <c r="I1551" t="s">
        <v>66</v>
      </c>
      <c r="J1551" t="s">
        <v>3857</v>
      </c>
      <c r="K1551">
        <v>0</v>
      </c>
      <c r="L1551">
        <v>25.91148361914977</v>
      </c>
    </row>
    <row r="1552" spans="1:12" hidden="1" x14ac:dyDescent="0.25">
      <c r="A1552">
        <v>881</v>
      </c>
      <c r="B1552" t="s">
        <v>2605</v>
      </c>
      <c r="C1552" t="s">
        <v>2606</v>
      </c>
      <c r="D1552">
        <v>0</v>
      </c>
      <c r="E1552" t="str">
        <f>_xlfn.XLOOKUP(F1552, Keys!B:B, Keys!A:A, "找不到")</f>
        <v>MON</v>
      </c>
      <c r="F1552" t="s">
        <v>100</v>
      </c>
      <c r="G1552">
        <v>7.6226519442745833E-2</v>
      </c>
      <c r="H1552" t="s">
        <v>60</v>
      </c>
      <c r="I1552" t="s">
        <v>66</v>
      </c>
      <c r="J1552" t="s">
        <v>3857</v>
      </c>
      <c r="K1552">
        <v>0</v>
      </c>
      <c r="L1552">
        <v>76.429122216884835</v>
      </c>
    </row>
    <row r="1553" spans="1:12" hidden="1" x14ac:dyDescent="0.25">
      <c r="A1553">
        <v>884</v>
      </c>
      <c r="B1553" t="s">
        <v>2605</v>
      </c>
      <c r="C1553" t="s">
        <v>2606</v>
      </c>
      <c r="D1553">
        <v>0</v>
      </c>
      <c r="E1553" t="str">
        <f>_xlfn.XLOOKUP(F1553, Keys!B:B, Keys!A:A, "找不到")</f>
        <v>MON</v>
      </c>
      <c r="F1553" t="s">
        <v>100</v>
      </c>
      <c r="G1553">
        <v>9.1870738227558032E-3</v>
      </c>
      <c r="H1553" t="s">
        <v>60</v>
      </c>
      <c r="I1553" t="s">
        <v>66</v>
      </c>
      <c r="J1553" t="s">
        <v>3864</v>
      </c>
      <c r="K1553">
        <v>0</v>
      </c>
      <c r="L1553">
        <v>25.311421221223799</v>
      </c>
    </row>
    <row r="1554" spans="1:12" hidden="1" x14ac:dyDescent="0.25">
      <c r="A1554">
        <v>885</v>
      </c>
      <c r="B1554" t="s">
        <v>2605</v>
      </c>
      <c r="C1554" t="s">
        <v>2606</v>
      </c>
      <c r="D1554">
        <v>0</v>
      </c>
      <c r="E1554" t="str">
        <f>_xlfn.XLOOKUP(F1554, Keys!B:B, Keys!A:A, "找不到")</f>
        <v>MON</v>
      </c>
      <c r="F1554" t="s">
        <v>100</v>
      </c>
      <c r="G1554">
        <v>0.1347302223604897</v>
      </c>
      <c r="H1554" t="s">
        <v>60</v>
      </c>
      <c r="I1554" t="s">
        <v>66</v>
      </c>
      <c r="J1554" t="s">
        <v>3867</v>
      </c>
      <c r="K1554">
        <v>0</v>
      </c>
      <c r="L1554">
        <v>185.90032917229081</v>
      </c>
    </row>
    <row r="1555" spans="1:12" hidden="1" x14ac:dyDescent="0.25">
      <c r="A1555">
        <v>886</v>
      </c>
      <c r="B1555" t="s">
        <v>2605</v>
      </c>
      <c r="C1555" t="s">
        <v>2606</v>
      </c>
      <c r="D1555">
        <v>0</v>
      </c>
      <c r="E1555" t="str">
        <f>_xlfn.XLOOKUP(F1555, Keys!B:B, Keys!A:A, "找不到")</f>
        <v>MON</v>
      </c>
      <c r="F1555" t="s">
        <v>100</v>
      </c>
      <c r="G1555">
        <v>6.7161360913494603E-2</v>
      </c>
      <c r="H1555" t="s">
        <v>60</v>
      </c>
      <c r="I1555" t="s">
        <v>66</v>
      </c>
      <c r="J1555" t="s">
        <v>3868</v>
      </c>
      <c r="K1555">
        <v>0</v>
      </c>
      <c r="L1555">
        <v>74.558507350224318</v>
      </c>
    </row>
    <row r="1556" spans="1:12" hidden="1" x14ac:dyDescent="0.25">
      <c r="A1556">
        <v>889</v>
      </c>
      <c r="B1556" t="s">
        <v>2605</v>
      </c>
      <c r="C1556" t="s">
        <v>2606</v>
      </c>
      <c r="D1556">
        <v>0</v>
      </c>
      <c r="E1556" t="str">
        <f>_xlfn.XLOOKUP(F1556, Keys!B:B, Keys!A:A, "找不到")</f>
        <v>MON</v>
      </c>
      <c r="F1556" t="s">
        <v>100</v>
      </c>
      <c r="G1556">
        <v>1.9898697531799809E-2</v>
      </c>
      <c r="H1556" t="s">
        <v>60</v>
      </c>
      <c r="I1556" t="s">
        <v>66</v>
      </c>
      <c r="J1556" t="s">
        <v>3873</v>
      </c>
      <c r="K1556">
        <v>0</v>
      </c>
      <c r="L1556">
        <v>36.884011417911573</v>
      </c>
    </row>
    <row r="1557" spans="1:12" hidden="1" x14ac:dyDescent="0.25">
      <c r="A1557">
        <v>890</v>
      </c>
      <c r="B1557" t="s">
        <v>2605</v>
      </c>
      <c r="C1557" t="s">
        <v>2606</v>
      </c>
      <c r="D1557">
        <v>0</v>
      </c>
      <c r="E1557" t="str">
        <f>_xlfn.XLOOKUP(F1557, Keys!B:B, Keys!A:A, "找不到")</f>
        <v>MON</v>
      </c>
      <c r="F1557" t="s">
        <v>100</v>
      </c>
      <c r="G1557">
        <v>9.9930570086615142E-2</v>
      </c>
      <c r="H1557" t="s">
        <v>60</v>
      </c>
      <c r="I1557" t="s">
        <v>66</v>
      </c>
      <c r="J1557" t="s">
        <v>3873</v>
      </c>
      <c r="K1557">
        <v>0</v>
      </c>
      <c r="L1557">
        <v>105.1964445616093</v>
      </c>
    </row>
    <row r="1558" spans="1:12" hidden="1" x14ac:dyDescent="0.25">
      <c r="A1558">
        <v>903</v>
      </c>
      <c r="B1558" t="s">
        <v>2605</v>
      </c>
      <c r="C1558" t="s">
        <v>2606</v>
      </c>
      <c r="D1558">
        <v>0</v>
      </c>
      <c r="E1558" t="str">
        <f>_xlfn.XLOOKUP(F1558, Keys!B:B, Keys!A:A, "找不到")</f>
        <v>MON</v>
      </c>
      <c r="F1558" t="s">
        <v>100</v>
      </c>
      <c r="G1558">
        <v>4.0880185371289892</v>
      </c>
      <c r="H1558" t="s">
        <v>60</v>
      </c>
      <c r="I1558" t="s">
        <v>66</v>
      </c>
      <c r="J1558" t="s">
        <v>3886</v>
      </c>
      <c r="K1558">
        <v>0</v>
      </c>
      <c r="L1558">
        <v>520.39052705805534</v>
      </c>
    </row>
    <row r="1559" spans="1:12" hidden="1" x14ac:dyDescent="0.25">
      <c r="A1559">
        <v>910</v>
      </c>
      <c r="B1559" t="s">
        <v>2605</v>
      </c>
      <c r="C1559" t="s">
        <v>2606</v>
      </c>
      <c r="D1559">
        <v>0</v>
      </c>
      <c r="E1559" t="str">
        <f>_xlfn.XLOOKUP(F1559, Keys!B:B, Keys!A:A, "找不到")</f>
        <v>MON</v>
      </c>
      <c r="F1559" t="s">
        <v>100</v>
      </c>
      <c r="G1559">
        <v>1.3348523552848131</v>
      </c>
      <c r="H1559" t="s">
        <v>46</v>
      </c>
      <c r="I1559" t="s">
        <v>47</v>
      </c>
      <c r="J1559" t="s">
        <v>57</v>
      </c>
      <c r="K1559">
        <v>0</v>
      </c>
      <c r="L1559">
        <v>356.31336601101538</v>
      </c>
    </row>
    <row r="1560" spans="1:12" hidden="1" x14ac:dyDescent="0.25">
      <c r="A1560">
        <v>917</v>
      </c>
      <c r="B1560" t="s">
        <v>2605</v>
      </c>
      <c r="C1560" t="s">
        <v>2606</v>
      </c>
      <c r="D1560" t="s">
        <v>57</v>
      </c>
      <c r="E1560" t="str">
        <f>_xlfn.XLOOKUP(F1560, Keys!B:B, Keys!A:A, "找不到")</f>
        <v>MON</v>
      </c>
      <c r="F1560" t="s">
        <v>100</v>
      </c>
      <c r="G1560">
        <v>6.1735343357037491E-3</v>
      </c>
      <c r="H1560" t="s">
        <v>60</v>
      </c>
      <c r="I1560" t="s">
        <v>66</v>
      </c>
      <c r="J1560" t="s">
        <v>3897</v>
      </c>
      <c r="K1560">
        <v>0</v>
      </c>
      <c r="L1560">
        <v>20.510531095197361</v>
      </c>
    </row>
    <row r="1561" spans="1:12" hidden="1" x14ac:dyDescent="0.25">
      <c r="A1561">
        <v>918</v>
      </c>
      <c r="B1561" t="s">
        <v>2605</v>
      </c>
      <c r="C1561" t="s">
        <v>2606</v>
      </c>
      <c r="D1561" t="s">
        <v>57</v>
      </c>
      <c r="E1561" t="str">
        <f>_xlfn.XLOOKUP(F1561, Keys!B:B, Keys!A:A, "找不到")</f>
        <v>MON</v>
      </c>
      <c r="F1561" t="s">
        <v>100</v>
      </c>
      <c r="G1561">
        <v>6.8107105913949431E-2</v>
      </c>
      <c r="H1561" t="s">
        <v>60</v>
      </c>
      <c r="I1561" t="s">
        <v>66</v>
      </c>
      <c r="J1561" t="s">
        <v>3897</v>
      </c>
      <c r="K1561">
        <v>0</v>
      </c>
      <c r="L1561">
        <v>85.225859771186123</v>
      </c>
    </row>
    <row r="1562" spans="1:12" hidden="1" x14ac:dyDescent="0.25">
      <c r="A1562">
        <v>922</v>
      </c>
      <c r="B1562" t="s">
        <v>2605</v>
      </c>
      <c r="C1562" t="s">
        <v>2606</v>
      </c>
      <c r="D1562" t="s">
        <v>57</v>
      </c>
      <c r="E1562" t="str">
        <f>_xlfn.XLOOKUP(F1562, Keys!B:B, Keys!A:A, "找不到")</f>
        <v>MON</v>
      </c>
      <c r="F1562" t="s">
        <v>100</v>
      </c>
      <c r="G1562">
        <v>2.8199902887254411E-2</v>
      </c>
      <c r="H1562" t="s">
        <v>60</v>
      </c>
      <c r="I1562" t="s">
        <v>66</v>
      </c>
      <c r="J1562" t="s">
        <v>3905</v>
      </c>
      <c r="K1562">
        <v>0</v>
      </c>
      <c r="L1562">
        <v>71.739882053524539</v>
      </c>
    </row>
    <row r="1563" spans="1:12" hidden="1" x14ac:dyDescent="0.25">
      <c r="A1563">
        <v>923</v>
      </c>
      <c r="B1563" t="s">
        <v>2605</v>
      </c>
      <c r="C1563" t="s">
        <v>2606</v>
      </c>
      <c r="D1563" t="s">
        <v>57</v>
      </c>
      <c r="E1563" t="str">
        <f>_xlfn.XLOOKUP(F1563, Keys!B:B, Keys!A:A, "找不到")</f>
        <v>MON</v>
      </c>
      <c r="F1563" t="s">
        <v>100</v>
      </c>
      <c r="G1563">
        <v>0.13391049094595511</v>
      </c>
      <c r="H1563" t="s">
        <v>60</v>
      </c>
      <c r="I1563" t="s">
        <v>66</v>
      </c>
      <c r="J1563" t="s">
        <v>3905</v>
      </c>
      <c r="K1563">
        <v>0</v>
      </c>
      <c r="L1563">
        <v>114.47526921484859</v>
      </c>
    </row>
    <row r="1564" spans="1:12" hidden="1" x14ac:dyDescent="0.25">
      <c r="A1564">
        <v>924</v>
      </c>
      <c r="B1564" t="s">
        <v>2605</v>
      </c>
      <c r="C1564" t="s">
        <v>2606</v>
      </c>
      <c r="D1564" t="s">
        <v>57</v>
      </c>
      <c r="E1564" t="str">
        <f>_xlfn.XLOOKUP(F1564, Keys!B:B, Keys!A:A, "找不到")</f>
        <v>MON</v>
      </c>
      <c r="F1564" t="s">
        <v>100</v>
      </c>
      <c r="G1564">
        <v>0.1216200662832711</v>
      </c>
      <c r="H1564" t="s">
        <v>60</v>
      </c>
      <c r="I1564" t="s">
        <v>66</v>
      </c>
      <c r="J1564" t="s">
        <v>3908</v>
      </c>
      <c r="K1564">
        <v>0</v>
      </c>
      <c r="L1564">
        <v>88.944714642935637</v>
      </c>
    </row>
    <row r="1565" spans="1:12" hidden="1" x14ac:dyDescent="0.25">
      <c r="A1565">
        <v>933</v>
      </c>
      <c r="B1565" t="s">
        <v>2605</v>
      </c>
      <c r="C1565" t="s">
        <v>2606</v>
      </c>
      <c r="D1565">
        <v>0</v>
      </c>
      <c r="E1565" t="str">
        <f>_xlfn.XLOOKUP(F1565, Keys!B:B, Keys!A:A, "找不到")</f>
        <v>MON</v>
      </c>
      <c r="F1565" t="s">
        <v>100</v>
      </c>
      <c r="G1565">
        <v>1.6907755343785651E-3</v>
      </c>
      <c r="H1565" t="s">
        <v>60</v>
      </c>
      <c r="I1565" t="s">
        <v>66</v>
      </c>
      <c r="J1565" t="s">
        <v>3914</v>
      </c>
      <c r="K1565">
        <v>0</v>
      </c>
      <c r="L1565">
        <v>15.00090777528359</v>
      </c>
    </row>
    <row r="1566" spans="1:12" hidden="1" x14ac:dyDescent="0.25">
      <c r="A1566">
        <v>934</v>
      </c>
      <c r="B1566" t="s">
        <v>2605</v>
      </c>
      <c r="C1566" t="s">
        <v>2606</v>
      </c>
      <c r="D1566">
        <v>0</v>
      </c>
      <c r="E1566" t="str">
        <f>_xlfn.XLOOKUP(F1566, Keys!B:B, Keys!A:A, "找不到")</f>
        <v>MON</v>
      </c>
      <c r="F1566" t="s">
        <v>100</v>
      </c>
      <c r="G1566">
        <v>1.7608212664814049E-2</v>
      </c>
      <c r="H1566" t="s">
        <v>60</v>
      </c>
      <c r="I1566" t="s">
        <v>66</v>
      </c>
      <c r="J1566" t="s">
        <v>3918</v>
      </c>
      <c r="K1566">
        <v>0</v>
      </c>
      <c r="L1566">
        <v>50.252496320598503</v>
      </c>
    </row>
    <row r="1567" spans="1:12" hidden="1" x14ac:dyDescent="0.25">
      <c r="A1567">
        <v>935</v>
      </c>
      <c r="B1567" t="s">
        <v>2605</v>
      </c>
      <c r="C1567" t="s">
        <v>2606</v>
      </c>
      <c r="D1567">
        <v>0</v>
      </c>
      <c r="E1567" t="str">
        <f>_xlfn.XLOOKUP(F1567, Keys!B:B, Keys!A:A, "找不到")</f>
        <v>MON</v>
      </c>
      <c r="F1567" t="s">
        <v>100</v>
      </c>
      <c r="G1567">
        <v>8.8439540498634044E-3</v>
      </c>
      <c r="H1567" t="s">
        <v>60</v>
      </c>
      <c r="I1567" t="s">
        <v>66</v>
      </c>
      <c r="J1567" t="s">
        <v>3919</v>
      </c>
      <c r="K1567">
        <v>0</v>
      </c>
      <c r="L1567">
        <v>29.931142479080481</v>
      </c>
    </row>
    <row r="1568" spans="1:12" hidden="1" x14ac:dyDescent="0.25">
      <c r="A1568">
        <v>936</v>
      </c>
      <c r="B1568" t="s">
        <v>2605</v>
      </c>
      <c r="C1568" t="s">
        <v>2606</v>
      </c>
      <c r="D1568">
        <v>0</v>
      </c>
      <c r="E1568" t="str">
        <f>_xlfn.XLOOKUP(F1568, Keys!B:B, Keys!A:A, "找不到")</f>
        <v>MON</v>
      </c>
      <c r="F1568" t="s">
        <v>100</v>
      </c>
      <c r="G1568">
        <v>3.8405640872721518E-2</v>
      </c>
      <c r="H1568" t="s">
        <v>60</v>
      </c>
      <c r="I1568" t="s">
        <v>66</v>
      </c>
      <c r="J1568" t="s">
        <v>3920</v>
      </c>
      <c r="K1568">
        <v>0</v>
      </c>
      <c r="L1568">
        <v>83.83633474621729</v>
      </c>
    </row>
    <row r="1569" spans="1:12" hidden="1" x14ac:dyDescent="0.25">
      <c r="A1569">
        <v>937</v>
      </c>
      <c r="B1569" t="s">
        <v>2605</v>
      </c>
      <c r="C1569" t="s">
        <v>2606</v>
      </c>
      <c r="D1569">
        <v>0</v>
      </c>
      <c r="E1569" t="str">
        <f>_xlfn.XLOOKUP(F1569, Keys!B:B, Keys!A:A, "找不到")</f>
        <v>MON</v>
      </c>
      <c r="F1569" t="s">
        <v>100</v>
      </c>
      <c r="G1569">
        <v>2.4896856097601431E-3</v>
      </c>
      <c r="H1569" t="s">
        <v>60</v>
      </c>
      <c r="I1569" t="s">
        <v>66</v>
      </c>
      <c r="J1569" t="s">
        <v>3921</v>
      </c>
      <c r="K1569">
        <v>0</v>
      </c>
      <c r="L1569">
        <v>30.387129086477991</v>
      </c>
    </row>
    <row r="1570" spans="1:12" hidden="1" x14ac:dyDescent="0.25">
      <c r="A1570">
        <v>938</v>
      </c>
      <c r="B1570" t="s">
        <v>2605</v>
      </c>
      <c r="C1570" t="s">
        <v>2606</v>
      </c>
      <c r="D1570">
        <v>0</v>
      </c>
      <c r="E1570" t="str">
        <f>_xlfn.XLOOKUP(F1570, Keys!B:B, Keys!A:A, "找不到")</f>
        <v>MON</v>
      </c>
      <c r="F1570" t="s">
        <v>100</v>
      </c>
      <c r="G1570">
        <v>1.0414773546827511E-2</v>
      </c>
      <c r="H1570" t="s">
        <v>60</v>
      </c>
      <c r="I1570" t="s">
        <v>66</v>
      </c>
      <c r="J1570" t="s">
        <v>3922</v>
      </c>
      <c r="K1570">
        <v>0</v>
      </c>
      <c r="L1570">
        <v>27.135538923404471</v>
      </c>
    </row>
    <row r="1571" spans="1:12" hidden="1" x14ac:dyDescent="0.25">
      <c r="A1571">
        <v>946</v>
      </c>
      <c r="B1571" t="s">
        <v>2605</v>
      </c>
      <c r="C1571" t="s">
        <v>2606</v>
      </c>
      <c r="D1571">
        <v>0</v>
      </c>
      <c r="E1571" t="str">
        <f>_xlfn.XLOOKUP(F1571, Keys!B:B, Keys!A:A, "找不到")</f>
        <v>MON</v>
      </c>
      <c r="F1571" t="s">
        <v>100</v>
      </c>
      <c r="G1571">
        <v>0.1416971293144331</v>
      </c>
      <c r="H1571" t="s">
        <v>60</v>
      </c>
      <c r="I1571" t="s">
        <v>66</v>
      </c>
      <c r="J1571" t="s">
        <v>2777</v>
      </c>
      <c r="K1571">
        <v>0</v>
      </c>
      <c r="L1571">
        <v>117.1647953148742</v>
      </c>
    </row>
    <row r="1572" spans="1:12" hidden="1" x14ac:dyDescent="0.25">
      <c r="A1572">
        <v>955</v>
      </c>
      <c r="B1572" t="s">
        <v>2605</v>
      </c>
      <c r="C1572" t="s">
        <v>2606</v>
      </c>
      <c r="D1572">
        <v>0</v>
      </c>
      <c r="E1572" t="str">
        <f>_xlfn.XLOOKUP(F1572, Keys!B:B, Keys!A:A, "找不到")</f>
        <v>MON</v>
      </c>
      <c r="F1572" t="s">
        <v>100</v>
      </c>
      <c r="G1572">
        <v>2.2050408775702461E-2</v>
      </c>
      <c r="H1572" t="s">
        <v>60</v>
      </c>
      <c r="I1572" t="s">
        <v>66</v>
      </c>
      <c r="J1572" t="s">
        <v>57</v>
      </c>
      <c r="K1572">
        <v>0</v>
      </c>
      <c r="L1572">
        <v>57.023785122512287</v>
      </c>
    </row>
    <row r="1573" spans="1:12" hidden="1" x14ac:dyDescent="0.25">
      <c r="A1573">
        <v>956</v>
      </c>
      <c r="B1573" t="s">
        <v>2605</v>
      </c>
      <c r="C1573" t="s">
        <v>2606</v>
      </c>
      <c r="D1573">
        <v>0</v>
      </c>
      <c r="E1573" t="str">
        <f>_xlfn.XLOOKUP(F1573, Keys!B:B, Keys!A:A, "找不到")</f>
        <v>MON</v>
      </c>
      <c r="F1573" t="s">
        <v>100</v>
      </c>
      <c r="G1573">
        <v>4.8613064260938407E-2</v>
      </c>
      <c r="H1573" t="s">
        <v>60</v>
      </c>
      <c r="I1573" t="s">
        <v>66</v>
      </c>
      <c r="J1573" t="s">
        <v>57</v>
      </c>
      <c r="K1573">
        <v>0</v>
      </c>
      <c r="L1573">
        <v>61.796885253222058</v>
      </c>
    </row>
    <row r="1574" spans="1:12" hidden="1" x14ac:dyDescent="0.25">
      <c r="A1574">
        <v>957</v>
      </c>
      <c r="B1574" t="s">
        <v>2605</v>
      </c>
      <c r="C1574" t="s">
        <v>2606</v>
      </c>
      <c r="D1574">
        <v>0</v>
      </c>
      <c r="E1574" t="str">
        <f>_xlfn.XLOOKUP(F1574, Keys!B:B, Keys!A:A, "找不到")</f>
        <v>MON</v>
      </c>
      <c r="F1574" t="s">
        <v>100</v>
      </c>
      <c r="G1574">
        <v>5.4343000272461153E-2</v>
      </c>
      <c r="H1574" t="s">
        <v>60</v>
      </c>
      <c r="I1574" t="s">
        <v>66</v>
      </c>
      <c r="J1574" t="s">
        <v>57</v>
      </c>
      <c r="K1574">
        <v>0</v>
      </c>
      <c r="L1574">
        <v>69.941204570744645</v>
      </c>
    </row>
    <row r="1575" spans="1:12" hidden="1" x14ac:dyDescent="0.25">
      <c r="A1575">
        <v>958</v>
      </c>
      <c r="B1575" t="s">
        <v>2605</v>
      </c>
      <c r="C1575" t="s">
        <v>2606</v>
      </c>
      <c r="D1575">
        <v>0</v>
      </c>
      <c r="E1575" t="str">
        <f>_xlfn.XLOOKUP(F1575, Keys!B:B, Keys!A:A, "找不到")</f>
        <v>MON</v>
      </c>
      <c r="F1575" t="s">
        <v>100</v>
      </c>
      <c r="G1575">
        <v>0.17463919380273979</v>
      </c>
      <c r="H1575" t="s">
        <v>60</v>
      </c>
      <c r="I1575" t="s">
        <v>66</v>
      </c>
      <c r="J1575" t="s">
        <v>57</v>
      </c>
      <c r="K1575">
        <v>0</v>
      </c>
      <c r="L1575">
        <v>107.7769575351189</v>
      </c>
    </row>
    <row r="1576" spans="1:12" hidden="1" x14ac:dyDescent="0.25">
      <c r="A1576">
        <v>960</v>
      </c>
      <c r="B1576" t="s">
        <v>2605</v>
      </c>
      <c r="C1576" t="s">
        <v>2606</v>
      </c>
      <c r="D1576">
        <v>0</v>
      </c>
      <c r="E1576" t="str">
        <f>_xlfn.XLOOKUP(F1576, Keys!B:B, Keys!A:A, "找不到")</f>
        <v>MON</v>
      </c>
      <c r="F1576" t="s">
        <v>100</v>
      </c>
      <c r="G1576">
        <v>0.15163760276060029</v>
      </c>
      <c r="H1576" t="s">
        <v>60</v>
      </c>
      <c r="I1576" t="s">
        <v>66</v>
      </c>
      <c r="J1576" t="s">
        <v>3944</v>
      </c>
      <c r="K1576">
        <v>0</v>
      </c>
      <c r="L1576">
        <v>101.638789280675</v>
      </c>
    </row>
    <row r="1577" spans="1:12" hidden="1" x14ac:dyDescent="0.25">
      <c r="A1577">
        <v>961</v>
      </c>
      <c r="B1577" t="s">
        <v>2605</v>
      </c>
      <c r="C1577" t="s">
        <v>2606</v>
      </c>
      <c r="D1577">
        <v>0</v>
      </c>
      <c r="E1577" t="str">
        <f>_xlfn.XLOOKUP(F1577, Keys!B:B, Keys!A:A, "找不到")</f>
        <v>MON</v>
      </c>
      <c r="F1577" t="s">
        <v>100</v>
      </c>
      <c r="G1577">
        <v>0.13712128342881691</v>
      </c>
      <c r="H1577" t="s">
        <v>60</v>
      </c>
      <c r="I1577" t="s">
        <v>66</v>
      </c>
      <c r="J1577" t="s">
        <v>3947</v>
      </c>
      <c r="K1577">
        <v>0</v>
      </c>
      <c r="L1577">
        <v>98.081522464290359</v>
      </c>
    </row>
    <row r="1578" spans="1:12" hidden="1" x14ac:dyDescent="0.25">
      <c r="A1578">
        <v>962</v>
      </c>
      <c r="B1578" t="s">
        <v>2605</v>
      </c>
      <c r="C1578" t="s">
        <v>2606</v>
      </c>
      <c r="D1578">
        <v>0</v>
      </c>
      <c r="E1578" t="str">
        <f>_xlfn.XLOOKUP(F1578, Keys!B:B, Keys!A:A, "找不到")</f>
        <v>MON</v>
      </c>
      <c r="F1578" t="s">
        <v>100</v>
      </c>
      <c r="G1578">
        <v>8.0148138493841503E-2</v>
      </c>
      <c r="H1578" t="s">
        <v>60</v>
      </c>
      <c r="I1578" t="s">
        <v>66</v>
      </c>
      <c r="J1578" t="s">
        <v>3948</v>
      </c>
      <c r="K1578">
        <v>0</v>
      </c>
      <c r="L1578">
        <v>83.00334375820853</v>
      </c>
    </row>
    <row r="1579" spans="1:12" hidden="1" x14ac:dyDescent="0.25">
      <c r="A1579">
        <v>963</v>
      </c>
      <c r="B1579" t="s">
        <v>2605</v>
      </c>
      <c r="C1579" t="s">
        <v>2606</v>
      </c>
      <c r="D1579">
        <v>0</v>
      </c>
      <c r="E1579" t="str">
        <f>_xlfn.XLOOKUP(F1579, Keys!B:B, Keys!A:A, "找不到")</f>
        <v>MON</v>
      </c>
      <c r="F1579" t="s">
        <v>100</v>
      </c>
      <c r="G1579">
        <v>0.1876243920409125</v>
      </c>
      <c r="H1579" t="s">
        <v>60</v>
      </c>
      <c r="I1579" t="s">
        <v>66</v>
      </c>
      <c r="J1579" t="s">
        <v>3949</v>
      </c>
      <c r="K1579">
        <v>0</v>
      </c>
      <c r="L1579">
        <v>113.0489286927521</v>
      </c>
    </row>
    <row r="1580" spans="1:12" hidden="1" x14ac:dyDescent="0.25">
      <c r="A1580">
        <v>964</v>
      </c>
      <c r="B1580" t="s">
        <v>2605</v>
      </c>
      <c r="C1580" t="s">
        <v>2606</v>
      </c>
      <c r="D1580">
        <v>0</v>
      </c>
      <c r="E1580" t="str">
        <f>_xlfn.XLOOKUP(F1580, Keys!B:B, Keys!A:A, "找不到")</f>
        <v>MON</v>
      </c>
      <c r="F1580" t="s">
        <v>100</v>
      </c>
      <c r="G1580">
        <v>0.33931443086937552</v>
      </c>
      <c r="H1580" t="s">
        <v>73</v>
      </c>
      <c r="I1580" t="s">
        <v>74</v>
      </c>
      <c r="J1580" t="s">
        <v>3954</v>
      </c>
      <c r="K1580">
        <v>0</v>
      </c>
      <c r="L1580">
        <v>154.11370355451911</v>
      </c>
    </row>
    <row r="1581" spans="1:12" hidden="1" x14ac:dyDescent="0.25">
      <c r="A1581">
        <v>965</v>
      </c>
      <c r="B1581" t="s">
        <v>2605</v>
      </c>
      <c r="C1581" t="s">
        <v>2606</v>
      </c>
      <c r="D1581">
        <v>0</v>
      </c>
      <c r="E1581" t="str">
        <f>_xlfn.XLOOKUP(F1581, Keys!B:B, Keys!A:A, "找不到")</f>
        <v>MON</v>
      </c>
      <c r="F1581" t="s">
        <v>100</v>
      </c>
      <c r="G1581">
        <v>2.188317631588812</v>
      </c>
      <c r="H1581" t="s">
        <v>60</v>
      </c>
      <c r="I1581" t="s">
        <v>66</v>
      </c>
      <c r="J1581" t="s">
        <v>2777</v>
      </c>
      <c r="K1581">
        <v>0</v>
      </c>
      <c r="L1581">
        <v>384.31034327263347</v>
      </c>
    </row>
    <row r="1582" spans="1:12" hidden="1" x14ac:dyDescent="0.25">
      <c r="A1582">
        <v>966</v>
      </c>
      <c r="B1582" t="s">
        <v>2605</v>
      </c>
      <c r="C1582" t="s">
        <v>2606</v>
      </c>
      <c r="D1582">
        <v>0</v>
      </c>
      <c r="E1582" t="str">
        <f>_xlfn.XLOOKUP(F1582, Keys!B:B, Keys!A:A, "找不到")</f>
        <v>MON</v>
      </c>
      <c r="F1582" t="s">
        <v>100</v>
      </c>
      <c r="G1582">
        <v>0.76193557104393084</v>
      </c>
      <c r="H1582" t="s">
        <v>60</v>
      </c>
      <c r="I1582" t="s">
        <v>66</v>
      </c>
      <c r="J1582" t="s">
        <v>2777</v>
      </c>
      <c r="K1582">
        <v>0</v>
      </c>
      <c r="L1582">
        <v>224.96924830446639</v>
      </c>
    </row>
    <row r="1583" spans="1:12" hidden="1" x14ac:dyDescent="0.25">
      <c r="A1583">
        <v>967</v>
      </c>
      <c r="B1583" t="s">
        <v>2605</v>
      </c>
      <c r="C1583" t="s">
        <v>2606</v>
      </c>
      <c r="D1583">
        <v>0</v>
      </c>
      <c r="E1583" t="str">
        <f>_xlfn.XLOOKUP(F1583, Keys!B:B, Keys!A:A, "找不到")</f>
        <v>MON</v>
      </c>
      <c r="F1583" t="s">
        <v>100</v>
      </c>
      <c r="G1583">
        <v>0.15096407362954109</v>
      </c>
      <c r="H1583" t="s">
        <v>60</v>
      </c>
      <c r="I1583" t="s">
        <v>66</v>
      </c>
      <c r="J1583" t="s">
        <v>2777</v>
      </c>
      <c r="K1583">
        <v>0</v>
      </c>
      <c r="L1583">
        <v>98.887177781567161</v>
      </c>
    </row>
    <row r="1584" spans="1:12" hidden="1" x14ac:dyDescent="0.25">
      <c r="A1584">
        <v>968</v>
      </c>
      <c r="B1584" t="s">
        <v>2605</v>
      </c>
      <c r="C1584" t="s">
        <v>2606</v>
      </c>
      <c r="D1584">
        <v>0</v>
      </c>
      <c r="E1584" t="str">
        <f>_xlfn.XLOOKUP(F1584, Keys!B:B, Keys!A:A, "找不到")</f>
        <v>MON</v>
      </c>
      <c r="F1584" t="s">
        <v>100</v>
      </c>
      <c r="G1584">
        <v>0.44796560639825422</v>
      </c>
      <c r="H1584" t="s">
        <v>60</v>
      </c>
      <c r="I1584" t="s">
        <v>66</v>
      </c>
      <c r="J1584" t="s">
        <v>2777</v>
      </c>
      <c r="K1584">
        <v>0</v>
      </c>
      <c r="L1584">
        <v>208.91270627592999</v>
      </c>
    </row>
    <row r="1585" spans="1:12" hidden="1" x14ac:dyDescent="0.25">
      <c r="A1585">
        <v>982</v>
      </c>
      <c r="B1585" t="s">
        <v>2605</v>
      </c>
      <c r="C1585" t="s">
        <v>2606</v>
      </c>
      <c r="D1585">
        <v>0</v>
      </c>
      <c r="E1585" t="str">
        <f>_xlfn.XLOOKUP(F1585, Keys!B:B, Keys!A:A, "找不到")</f>
        <v>MON</v>
      </c>
      <c r="F1585" t="s">
        <v>100</v>
      </c>
      <c r="G1585">
        <v>9.6253483633282941E-2</v>
      </c>
      <c r="H1585" t="s">
        <v>46</v>
      </c>
      <c r="I1585" t="s">
        <v>47</v>
      </c>
      <c r="J1585" t="s">
        <v>57</v>
      </c>
      <c r="K1585">
        <v>0</v>
      </c>
      <c r="L1585">
        <v>89.571030859654456</v>
      </c>
    </row>
    <row r="1586" spans="1:12" hidden="1" x14ac:dyDescent="0.25">
      <c r="A1586">
        <v>983</v>
      </c>
      <c r="B1586" t="s">
        <v>2605</v>
      </c>
      <c r="C1586" t="s">
        <v>2606</v>
      </c>
      <c r="D1586">
        <v>0</v>
      </c>
      <c r="E1586" t="str">
        <f>_xlfn.XLOOKUP(F1586, Keys!B:B, Keys!A:A, "找不到")</f>
        <v>MON</v>
      </c>
      <c r="F1586" t="s">
        <v>100</v>
      </c>
      <c r="G1586">
        <v>1.0084720078692411</v>
      </c>
      <c r="H1586" t="s">
        <v>46</v>
      </c>
      <c r="I1586" t="s">
        <v>47</v>
      </c>
      <c r="J1586" t="s">
        <v>57</v>
      </c>
      <c r="K1586">
        <v>0</v>
      </c>
      <c r="L1586">
        <v>260.95729327896441</v>
      </c>
    </row>
    <row r="1587" spans="1:12" hidden="1" x14ac:dyDescent="0.25">
      <c r="A1587">
        <v>1000</v>
      </c>
      <c r="B1587" t="s">
        <v>2605</v>
      </c>
      <c r="C1587" t="s">
        <v>2606</v>
      </c>
      <c r="D1587" t="s">
        <v>2702</v>
      </c>
      <c r="E1587" t="str">
        <f>_xlfn.XLOOKUP(F1587, Keys!B:B, Keys!A:A, "找不到")</f>
        <v>MON</v>
      </c>
      <c r="F1587" t="s">
        <v>100</v>
      </c>
      <c r="G1587">
        <v>0.89178618399623544</v>
      </c>
      <c r="H1587" t="s">
        <v>46</v>
      </c>
      <c r="I1587" t="s">
        <v>47</v>
      </c>
      <c r="J1587" t="s">
        <v>2883</v>
      </c>
      <c r="K1587">
        <v>0</v>
      </c>
      <c r="L1587">
        <v>250.25089161065759</v>
      </c>
    </row>
    <row r="1588" spans="1:12" hidden="1" x14ac:dyDescent="0.25">
      <c r="A1588">
        <v>1021</v>
      </c>
      <c r="B1588" t="s">
        <v>2605</v>
      </c>
      <c r="C1588" t="s">
        <v>2606</v>
      </c>
      <c r="D1588">
        <v>0</v>
      </c>
      <c r="E1588" t="str">
        <f>_xlfn.XLOOKUP(F1588, Keys!B:B, Keys!A:A, "找不到")</f>
        <v>MON</v>
      </c>
      <c r="F1588" t="s">
        <v>100</v>
      </c>
      <c r="G1588">
        <v>0.20622391448258551</v>
      </c>
      <c r="H1588" t="s">
        <v>46</v>
      </c>
      <c r="I1588" t="s">
        <v>47</v>
      </c>
      <c r="J1588" t="s">
        <v>57</v>
      </c>
      <c r="K1588">
        <v>0</v>
      </c>
      <c r="L1588">
        <v>119.9998008317378</v>
      </c>
    </row>
    <row r="1589" spans="1:12" hidden="1" x14ac:dyDescent="0.25">
      <c r="A1589">
        <v>1029</v>
      </c>
      <c r="B1589" t="s">
        <v>2605</v>
      </c>
      <c r="C1589" t="s">
        <v>2606</v>
      </c>
      <c r="D1589">
        <v>0</v>
      </c>
      <c r="E1589" t="str">
        <f>_xlfn.XLOOKUP(F1589, Keys!B:B, Keys!A:A, "找不到")</f>
        <v>MON</v>
      </c>
      <c r="F1589" t="s">
        <v>100</v>
      </c>
      <c r="G1589">
        <v>0.61276833202661529</v>
      </c>
      <c r="H1589" t="s">
        <v>60</v>
      </c>
      <c r="I1589" t="s">
        <v>66</v>
      </c>
      <c r="J1589" t="s">
        <v>3016</v>
      </c>
      <c r="K1589">
        <v>0</v>
      </c>
      <c r="L1589">
        <v>220.5738659892391</v>
      </c>
    </row>
    <row r="1590" spans="1:12" hidden="1" x14ac:dyDescent="0.25">
      <c r="A1590">
        <v>1030</v>
      </c>
      <c r="B1590" t="s">
        <v>2605</v>
      </c>
      <c r="C1590" t="s">
        <v>2606</v>
      </c>
      <c r="D1590">
        <v>0</v>
      </c>
      <c r="E1590" t="str">
        <f>_xlfn.XLOOKUP(F1590, Keys!B:B, Keys!A:A, "找不到")</f>
        <v>MON</v>
      </c>
      <c r="F1590" t="s">
        <v>100</v>
      </c>
      <c r="G1590">
        <v>0.22883339149386239</v>
      </c>
      <c r="H1590" t="s">
        <v>60</v>
      </c>
      <c r="I1590" t="s">
        <v>66</v>
      </c>
      <c r="J1590" t="s">
        <v>2777</v>
      </c>
      <c r="K1590">
        <v>0</v>
      </c>
      <c r="L1590">
        <v>212.94963678533429</v>
      </c>
    </row>
    <row r="1591" spans="1:12" hidden="1" x14ac:dyDescent="0.25">
      <c r="A1591">
        <v>1035</v>
      </c>
      <c r="B1591" t="s">
        <v>2605</v>
      </c>
      <c r="C1591" t="s">
        <v>2606</v>
      </c>
      <c r="D1591">
        <v>0</v>
      </c>
      <c r="E1591" t="str">
        <f>_xlfn.XLOOKUP(F1591, Keys!B:B, Keys!A:A, "找不到")</f>
        <v>MON</v>
      </c>
      <c r="F1591" t="s">
        <v>100</v>
      </c>
      <c r="G1591">
        <v>8.6686010667705218E-2</v>
      </c>
      <c r="H1591" t="s">
        <v>60</v>
      </c>
      <c r="I1591" t="s">
        <v>66</v>
      </c>
      <c r="J1591">
        <v>0</v>
      </c>
      <c r="K1591">
        <v>0</v>
      </c>
      <c r="L1591">
        <v>77.355491777986515</v>
      </c>
    </row>
    <row r="1592" spans="1:12" hidden="1" x14ac:dyDescent="0.25">
      <c r="A1592">
        <v>1036</v>
      </c>
      <c r="B1592" t="s">
        <v>2605</v>
      </c>
      <c r="C1592" t="s">
        <v>2606</v>
      </c>
      <c r="D1592">
        <v>0</v>
      </c>
      <c r="E1592" t="str">
        <f>_xlfn.XLOOKUP(F1592, Keys!B:B, Keys!A:A, "找不到")</f>
        <v>MON</v>
      </c>
      <c r="F1592" t="s">
        <v>100</v>
      </c>
      <c r="G1592">
        <v>0.24298433526346239</v>
      </c>
      <c r="H1592" t="s">
        <v>60</v>
      </c>
      <c r="I1592" t="s">
        <v>66</v>
      </c>
      <c r="J1592">
        <v>0</v>
      </c>
      <c r="K1592">
        <v>0</v>
      </c>
      <c r="L1592">
        <v>172.25011262809471</v>
      </c>
    </row>
    <row r="1593" spans="1:12" hidden="1" x14ac:dyDescent="0.25">
      <c r="A1593">
        <v>1038</v>
      </c>
      <c r="B1593" t="s">
        <v>2605</v>
      </c>
      <c r="C1593" t="s">
        <v>2606</v>
      </c>
      <c r="D1593">
        <v>0</v>
      </c>
      <c r="E1593" t="str">
        <f>_xlfn.XLOOKUP(F1593, Keys!B:B, Keys!A:A, "找不到")</f>
        <v>MON</v>
      </c>
      <c r="F1593" t="s">
        <v>100</v>
      </c>
      <c r="G1593">
        <v>0.207432250249971</v>
      </c>
      <c r="H1593" t="s">
        <v>60</v>
      </c>
      <c r="I1593" t="s">
        <v>66</v>
      </c>
      <c r="J1593">
        <v>0</v>
      </c>
      <c r="K1593">
        <v>0</v>
      </c>
      <c r="L1593">
        <v>193.252656869535</v>
      </c>
    </row>
    <row r="1594" spans="1:12" hidden="1" x14ac:dyDescent="0.25">
      <c r="A1594">
        <v>1039</v>
      </c>
      <c r="B1594" t="s">
        <v>2605</v>
      </c>
      <c r="C1594" t="s">
        <v>2606</v>
      </c>
      <c r="D1594">
        <v>0</v>
      </c>
      <c r="E1594" t="str">
        <f>_xlfn.XLOOKUP(F1594, Keys!B:B, Keys!A:A, "找不到")</f>
        <v>MON</v>
      </c>
      <c r="F1594" t="s">
        <v>100</v>
      </c>
      <c r="G1594">
        <v>0.33934593868850588</v>
      </c>
      <c r="H1594">
        <v>0</v>
      </c>
      <c r="I1594" t="s">
        <v>74</v>
      </c>
      <c r="J1594">
        <v>0</v>
      </c>
      <c r="K1594">
        <v>0</v>
      </c>
      <c r="L1594">
        <v>235.31729229333169</v>
      </c>
    </row>
    <row r="1595" spans="1:12" hidden="1" x14ac:dyDescent="0.25">
      <c r="A1595">
        <v>1040</v>
      </c>
      <c r="B1595" t="s">
        <v>2605</v>
      </c>
      <c r="C1595" t="s">
        <v>2606</v>
      </c>
      <c r="D1595">
        <v>0</v>
      </c>
      <c r="E1595" t="str">
        <f>_xlfn.XLOOKUP(F1595, Keys!B:B, Keys!A:A, "找不到")</f>
        <v>MON</v>
      </c>
      <c r="F1595" t="s">
        <v>100</v>
      </c>
      <c r="G1595">
        <v>0.28485555866874201</v>
      </c>
      <c r="H1595">
        <v>0</v>
      </c>
      <c r="I1595" t="s">
        <v>74</v>
      </c>
      <c r="J1595">
        <v>0</v>
      </c>
      <c r="K1595">
        <v>0</v>
      </c>
      <c r="L1595">
        <v>233.84806568877201</v>
      </c>
    </row>
    <row r="1596" spans="1:12" hidden="1" x14ac:dyDescent="0.25">
      <c r="A1596">
        <v>1041</v>
      </c>
      <c r="B1596" t="s">
        <v>2605</v>
      </c>
      <c r="C1596" t="s">
        <v>2606</v>
      </c>
      <c r="D1596">
        <v>0</v>
      </c>
      <c r="E1596" t="str">
        <f>_xlfn.XLOOKUP(F1596, Keys!B:B, Keys!A:A, "找不到")</f>
        <v>MON</v>
      </c>
      <c r="F1596" t="s">
        <v>100</v>
      </c>
      <c r="G1596">
        <v>6.7939770436997768E-2</v>
      </c>
      <c r="H1596" t="s">
        <v>60</v>
      </c>
      <c r="I1596" t="s">
        <v>66</v>
      </c>
      <c r="J1596" t="s">
        <v>2662</v>
      </c>
      <c r="K1596">
        <v>0</v>
      </c>
      <c r="L1596">
        <v>69.125185421511816</v>
      </c>
    </row>
    <row r="1597" spans="1:12" hidden="1" x14ac:dyDescent="0.25">
      <c r="A1597">
        <v>1042</v>
      </c>
      <c r="B1597" t="s">
        <v>2605</v>
      </c>
      <c r="C1597" t="s">
        <v>2606</v>
      </c>
      <c r="D1597">
        <v>0</v>
      </c>
      <c r="E1597" t="str">
        <f>_xlfn.XLOOKUP(F1597, Keys!B:B, Keys!A:A, "找不到")</f>
        <v>MON</v>
      </c>
      <c r="F1597" t="s">
        <v>100</v>
      </c>
      <c r="G1597">
        <v>7.1355478582129872E-2</v>
      </c>
      <c r="H1597" t="s">
        <v>60</v>
      </c>
      <c r="I1597" t="s">
        <v>66</v>
      </c>
      <c r="J1597" t="s">
        <v>2662</v>
      </c>
      <c r="K1597">
        <v>0</v>
      </c>
      <c r="L1597">
        <v>151.8247979712161</v>
      </c>
    </row>
    <row r="1598" spans="1:12" hidden="1" x14ac:dyDescent="0.25">
      <c r="A1598">
        <v>1045</v>
      </c>
      <c r="B1598" t="s">
        <v>2605</v>
      </c>
      <c r="C1598" t="s">
        <v>2606</v>
      </c>
      <c r="D1598">
        <v>0</v>
      </c>
      <c r="E1598" t="str">
        <f>_xlfn.XLOOKUP(F1598, Keys!B:B, Keys!A:A, "找不到")</f>
        <v>MON</v>
      </c>
      <c r="F1598" t="s">
        <v>100</v>
      </c>
      <c r="G1598">
        <v>0.14707104918279759</v>
      </c>
      <c r="H1598" t="s">
        <v>60</v>
      </c>
      <c r="I1598" t="s">
        <v>66</v>
      </c>
      <c r="J1598" t="s">
        <v>3963</v>
      </c>
      <c r="K1598">
        <v>0</v>
      </c>
      <c r="L1598">
        <v>195.74500787889471</v>
      </c>
    </row>
    <row r="1599" spans="1:12" hidden="1" x14ac:dyDescent="0.25">
      <c r="A1599">
        <v>1068</v>
      </c>
      <c r="B1599" t="s">
        <v>2605</v>
      </c>
      <c r="C1599" t="s">
        <v>2606</v>
      </c>
      <c r="D1599" t="s">
        <v>2712</v>
      </c>
      <c r="E1599" t="str">
        <f>_xlfn.XLOOKUP(F1599, Keys!B:B, Keys!A:A, "找不到")</f>
        <v>MON</v>
      </c>
      <c r="F1599" t="s">
        <v>100</v>
      </c>
      <c r="G1599">
        <v>0.48444292833354102</v>
      </c>
      <c r="H1599" t="s">
        <v>46</v>
      </c>
      <c r="I1599" t="s">
        <v>47</v>
      </c>
      <c r="J1599" t="s">
        <v>2722</v>
      </c>
      <c r="K1599">
        <v>0</v>
      </c>
      <c r="L1599">
        <v>380.01686497104379</v>
      </c>
    </row>
    <row r="1600" spans="1:12" hidden="1" x14ac:dyDescent="0.25">
      <c r="A1600">
        <v>79</v>
      </c>
      <c r="B1600" t="s">
        <v>2042</v>
      </c>
      <c r="C1600" t="s">
        <v>972</v>
      </c>
      <c r="D1600">
        <v>0</v>
      </c>
      <c r="E1600" t="str">
        <f>_xlfn.XLOOKUP(F1600, Keys!B:B, Keys!A:A, "找不到")</f>
        <v>MON</v>
      </c>
      <c r="F1600" t="s">
        <v>100</v>
      </c>
      <c r="G1600">
        <v>2.999189910444279</v>
      </c>
      <c r="H1600" t="s">
        <v>60</v>
      </c>
      <c r="I1600" t="s">
        <v>66</v>
      </c>
      <c r="J1600" t="s">
        <v>2178</v>
      </c>
      <c r="K1600">
        <v>689.32610544904651</v>
      </c>
      <c r="L1600">
        <v>12137.33950038816</v>
      </c>
    </row>
    <row r="1601" spans="1:12" hidden="1" x14ac:dyDescent="0.25">
      <c r="A1601">
        <v>183</v>
      </c>
      <c r="B1601" t="s">
        <v>2042</v>
      </c>
      <c r="C1601" t="s">
        <v>972</v>
      </c>
      <c r="D1601">
        <v>0</v>
      </c>
      <c r="E1601" t="str">
        <f>_xlfn.XLOOKUP(F1601, Keys!B:B, Keys!A:A, "找不到")</f>
        <v>MON</v>
      </c>
      <c r="F1601" t="s">
        <v>100</v>
      </c>
      <c r="G1601">
        <v>2.876585901650083</v>
      </c>
      <c r="H1601" t="s">
        <v>60</v>
      </c>
      <c r="I1601" t="s">
        <v>66</v>
      </c>
      <c r="J1601" t="s">
        <v>2178</v>
      </c>
      <c r="K1601">
        <v>616.78681548877375</v>
      </c>
      <c r="L1601">
        <v>11641.17669533815</v>
      </c>
    </row>
    <row r="1602" spans="1:12" hidden="1" x14ac:dyDescent="0.25">
      <c r="A1602">
        <v>184</v>
      </c>
      <c r="B1602" t="s">
        <v>2042</v>
      </c>
      <c r="C1602" t="s">
        <v>972</v>
      </c>
      <c r="D1602">
        <v>0</v>
      </c>
      <c r="E1602" t="str">
        <f>_xlfn.XLOOKUP(F1602, Keys!B:B, Keys!A:A, "找不到")</f>
        <v>MON</v>
      </c>
      <c r="F1602" t="s">
        <v>100</v>
      </c>
      <c r="G1602">
        <v>1.1836672435263731</v>
      </c>
      <c r="H1602" t="s">
        <v>60</v>
      </c>
      <c r="I1602" t="s">
        <v>66</v>
      </c>
      <c r="J1602" t="s">
        <v>2366</v>
      </c>
      <c r="K1602">
        <v>400.0447315467199</v>
      </c>
      <c r="L1602">
        <v>4790.1505470322336</v>
      </c>
    </row>
    <row r="1603" spans="1:12" hidden="1" x14ac:dyDescent="0.25">
      <c r="A1603">
        <v>185</v>
      </c>
      <c r="B1603" t="s">
        <v>2042</v>
      </c>
      <c r="C1603" t="s">
        <v>972</v>
      </c>
      <c r="D1603">
        <v>0</v>
      </c>
      <c r="E1603" t="str">
        <f>_xlfn.XLOOKUP(F1603, Keys!B:B, Keys!A:A, "找不到")</f>
        <v>MON</v>
      </c>
      <c r="F1603" t="s">
        <v>100</v>
      </c>
      <c r="G1603">
        <v>2.1057396539286319</v>
      </c>
      <c r="H1603" t="s">
        <v>60</v>
      </c>
      <c r="I1603" t="s">
        <v>66</v>
      </c>
      <c r="J1603" t="s">
        <v>2370</v>
      </c>
      <c r="K1603">
        <v>410.85967841247759</v>
      </c>
      <c r="L1603">
        <v>8521.6601290098679</v>
      </c>
    </row>
    <row r="1604" spans="1:12" hidden="1" x14ac:dyDescent="0.25">
      <c r="A1604">
        <v>186</v>
      </c>
      <c r="B1604" t="s">
        <v>2042</v>
      </c>
      <c r="C1604" t="s">
        <v>972</v>
      </c>
      <c r="D1604">
        <v>0</v>
      </c>
      <c r="E1604" t="str">
        <f>_xlfn.XLOOKUP(F1604, Keys!B:B, Keys!A:A, "找不到")</f>
        <v>MON</v>
      </c>
      <c r="F1604" t="s">
        <v>100</v>
      </c>
      <c r="G1604">
        <v>0.1820422903911223</v>
      </c>
      <c r="H1604" t="s">
        <v>60</v>
      </c>
      <c r="I1604" t="s">
        <v>66</v>
      </c>
      <c r="J1604" t="s">
        <v>2370</v>
      </c>
      <c r="K1604">
        <v>109.7342816217253</v>
      </c>
      <c r="L1604">
        <v>736.70195882260737</v>
      </c>
    </row>
    <row r="1605" spans="1:12" hidden="1" x14ac:dyDescent="0.25">
      <c r="A1605">
        <v>187</v>
      </c>
      <c r="B1605" t="s">
        <v>2042</v>
      </c>
      <c r="C1605" t="s">
        <v>972</v>
      </c>
      <c r="D1605">
        <v>0</v>
      </c>
      <c r="E1605" t="str">
        <f>_xlfn.XLOOKUP(F1605, Keys!B:B, Keys!A:A, "找不到")</f>
        <v>MON</v>
      </c>
      <c r="F1605" t="s">
        <v>100</v>
      </c>
      <c r="G1605">
        <v>0.26075036847631727</v>
      </c>
      <c r="H1605" t="s">
        <v>60</v>
      </c>
      <c r="I1605" t="s">
        <v>66</v>
      </c>
      <c r="J1605" t="s">
        <v>2370</v>
      </c>
      <c r="K1605">
        <v>162.19057969293871</v>
      </c>
      <c r="L1605">
        <v>1055.2235242014269</v>
      </c>
    </row>
    <row r="1606" spans="1:12" hidden="1" x14ac:dyDescent="0.25">
      <c r="A1606">
        <v>232</v>
      </c>
      <c r="B1606" t="s">
        <v>2042</v>
      </c>
      <c r="C1606" t="s">
        <v>972</v>
      </c>
      <c r="D1606">
        <v>0</v>
      </c>
      <c r="E1606" t="str">
        <f>_xlfn.XLOOKUP(F1606, Keys!B:B, Keys!A:A, "找不到")</f>
        <v>MON</v>
      </c>
      <c r="F1606" t="s">
        <v>100</v>
      </c>
      <c r="G1606">
        <v>6.5216793805866299E-2</v>
      </c>
      <c r="H1606" t="s">
        <v>60</v>
      </c>
      <c r="I1606" t="s">
        <v>66</v>
      </c>
      <c r="J1606" t="s">
        <v>2459</v>
      </c>
      <c r="K1606">
        <v>64.934074379125207</v>
      </c>
      <c r="L1606">
        <v>263.92405655677709</v>
      </c>
    </row>
    <row r="1607" spans="1:12" hidden="1" x14ac:dyDescent="0.25">
      <c r="A1607">
        <v>233</v>
      </c>
      <c r="B1607" t="s">
        <v>2042</v>
      </c>
      <c r="C1607" t="s">
        <v>972</v>
      </c>
      <c r="D1607">
        <v>0</v>
      </c>
      <c r="E1607" t="str">
        <f>_xlfn.XLOOKUP(F1607, Keys!B:B, Keys!A:A, "找不到")</f>
        <v>MON</v>
      </c>
      <c r="F1607" t="s">
        <v>100</v>
      </c>
      <c r="G1607">
        <v>1.265048470959408E-2</v>
      </c>
      <c r="H1607" t="s">
        <v>60</v>
      </c>
      <c r="I1607" t="s">
        <v>66</v>
      </c>
      <c r="J1607" t="s">
        <v>2459</v>
      </c>
      <c r="K1607">
        <v>28.629879598598318</v>
      </c>
      <c r="L1607">
        <v>51.194900072889332</v>
      </c>
    </row>
    <row r="1608" spans="1:12" hidden="1" x14ac:dyDescent="0.25">
      <c r="A1608">
        <v>321</v>
      </c>
      <c r="B1608" t="s">
        <v>2042</v>
      </c>
      <c r="C1608" t="s">
        <v>972</v>
      </c>
      <c r="D1608" t="s">
        <v>2241</v>
      </c>
      <c r="E1608" t="str">
        <f>_xlfn.XLOOKUP(F1608, Keys!B:B, Keys!A:A, "找不到")</f>
        <v>MON</v>
      </c>
      <c r="F1608" t="s">
        <v>100</v>
      </c>
      <c r="G1608">
        <v>0.35930032955247621</v>
      </c>
      <c r="H1608" t="s">
        <v>46</v>
      </c>
      <c r="I1608" t="s">
        <v>47</v>
      </c>
      <c r="J1608" t="s">
        <v>2580</v>
      </c>
      <c r="K1608">
        <v>167.76961819622531</v>
      </c>
      <c r="L1608">
        <v>1454.0426623847079</v>
      </c>
    </row>
    <row r="1609" spans="1:12" hidden="1" x14ac:dyDescent="0.25">
      <c r="A1609">
        <v>370</v>
      </c>
      <c r="B1609" t="s">
        <v>2042</v>
      </c>
      <c r="C1609" t="s">
        <v>972</v>
      </c>
      <c r="D1609" t="s">
        <v>2241</v>
      </c>
      <c r="E1609" t="str">
        <f>_xlfn.XLOOKUP(F1609, Keys!B:B, Keys!A:A, "找不到")</f>
        <v>MON</v>
      </c>
      <c r="F1609" t="s">
        <v>100</v>
      </c>
      <c r="G1609">
        <v>0.35809092716188612</v>
      </c>
      <c r="H1609" t="s">
        <v>46</v>
      </c>
      <c r="I1609" t="s">
        <v>47</v>
      </c>
      <c r="J1609" t="s">
        <v>2293</v>
      </c>
      <c r="K1609">
        <v>158.79273696224541</v>
      </c>
      <c r="L1609">
        <v>1449.148364975913</v>
      </c>
    </row>
    <row r="1610" spans="1:12" hidden="1" x14ac:dyDescent="0.25">
      <c r="A1610">
        <v>379</v>
      </c>
      <c r="B1610" t="s">
        <v>2042</v>
      </c>
      <c r="C1610" t="s">
        <v>972</v>
      </c>
      <c r="D1610">
        <v>0</v>
      </c>
      <c r="E1610" t="str">
        <f>_xlfn.XLOOKUP(F1610, Keys!B:B, Keys!A:A, "找不到")</f>
        <v>MON</v>
      </c>
      <c r="F1610" t="s">
        <v>100</v>
      </c>
      <c r="G1610">
        <v>0.17982215636199381</v>
      </c>
      <c r="H1610" t="s">
        <v>60</v>
      </c>
      <c r="I1610" t="s">
        <v>66</v>
      </c>
      <c r="J1610">
        <v>0</v>
      </c>
      <c r="K1610">
        <v>110.6226182680228</v>
      </c>
      <c r="L1610">
        <v>727.71735922987762</v>
      </c>
    </row>
    <row r="1611" spans="1:12" hidden="1" x14ac:dyDescent="0.25">
      <c r="A1611">
        <v>392</v>
      </c>
      <c r="B1611" t="s">
        <v>2042</v>
      </c>
      <c r="C1611" t="s">
        <v>972</v>
      </c>
      <c r="D1611">
        <v>0</v>
      </c>
      <c r="E1611" t="str">
        <f>_xlfn.XLOOKUP(F1611, Keys!B:B, Keys!A:A, "找不到")</f>
        <v>MON</v>
      </c>
      <c r="F1611" t="s">
        <v>100</v>
      </c>
      <c r="G1611">
        <v>0.3875137964413482</v>
      </c>
      <c r="H1611" t="s">
        <v>60</v>
      </c>
      <c r="I1611" t="s">
        <v>66</v>
      </c>
      <c r="J1611">
        <v>0</v>
      </c>
      <c r="K1611">
        <v>184.2523781605945</v>
      </c>
      <c r="L1611">
        <v>1568.2189687668781</v>
      </c>
    </row>
    <row r="1612" spans="1:12" hidden="1" x14ac:dyDescent="0.25">
      <c r="A1612">
        <v>394</v>
      </c>
      <c r="B1612" t="s">
        <v>2042</v>
      </c>
      <c r="C1612" t="s">
        <v>972</v>
      </c>
      <c r="D1612">
        <v>0</v>
      </c>
      <c r="E1612" t="str">
        <f>_xlfn.XLOOKUP(F1612, Keys!B:B, Keys!A:A, "找不到")</f>
        <v>MON</v>
      </c>
      <c r="F1612" t="s">
        <v>100</v>
      </c>
      <c r="G1612">
        <v>0.62793922028910132</v>
      </c>
      <c r="H1612" t="s">
        <v>60</v>
      </c>
      <c r="I1612" t="s">
        <v>66</v>
      </c>
      <c r="J1612" t="s">
        <v>2257</v>
      </c>
      <c r="K1612">
        <v>224.87709818955341</v>
      </c>
      <c r="L1612">
        <v>2541.1900312537582</v>
      </c>
    </row>
    <row r="1613" spans="1:12" hidden="1" x14ac:dyDescent="0.25">
      <c r="A1613">
        <v>402</v>
      </c>
      <c r="B1613" t="s">
        <v>2042</v>
      </c>
      <c r="C1613" t="s">
        <v>972</v>
      </c>
      <c r="D1613">
        <v>0</v>
      </c>
      <c r="E1613" t="str">
        <f>_xlfn.XLOOKUP(F1613, Keys!B:B, Keys!A:A, "找不到")</f>
        <v>MON</v>
      </c>
      <c r="F1613" t="s">
        <v>100</v>
      </c>
      <c r="G1613">
        <v>1.7992095340789289</v>
      </c>
      <c r="H1613" t="s">
        <v>60</v>
      </c>
      <c r="I1613" t="s">
        <v>66</v>
      </c>
      <c r="J1613">
        <v>0</v>
      </c>
      <c r="K1613">
        <v>476.54270722002121</v>
      </c>
      <c r="L1613">
        <v>7281.1717828886312</v>
      </c>
    </row>
    <row r="1614" spans="1:12" hidden="1" x14ac:dyDescent="0.25">
      <c r="A1614">
        <v>217</v>
      </c>
      <c r="B1614" t="s">
        <v>1482</v>
      </c>
      <c r="C1614" t="s">
        <v>1483</v>
      </c>
      <c r="D1614">
        <v>0</v>
      </c>
      <c r="E1614" t="str">
        <f>_xlfn.XLOOKUP(F1614, Keys!B:B, Keys!A:A, "找不到")</f>
        <v>MON</v>
      </c>
      <c r="F1614" t="s">
        <v>100</v>
      </c>
      <c r="G1614">
        <v>9.0573215371480886E-2</v>
      </c>
      <c r="H1614" t="s">
        <v>73</v>
      </c>
      <c r="I1614" t="s">
        <v>74</v>
      </c>
      <c r="J1614" t="s">
        <v>1926</v>
      </c>
      <c r="K1614">
        <v>90.088186208025093</v>
      </c>
      <c r="L1614">
        <v>366.53826447508749</v>
      </c>
    </row>
    <row r="1615" spans="1:12" hidden="1" x14ac:dyDescent="0.25">
      <c r="A1615">
        <v>219</v>
      </c>
      <c r="B1615" t="s">
        <v>1482</v>
      </c>
      <c r="C1615" t="s">
        <v>1483</v>
      </c>
      <c r="D1615">
        <v>0</v>
      </c>
      <c r="E1615" t="str">
        <f>_xlfn.XLOOKUP(F1615, Keys!B:B, Keys!A:A, "找不到")</f>
        <v>MON</v>
      </c>
      <c r="F1615" t="s">
        <v>100</v>
      </c>
      <c r="G1615">
        <v>7.7011254661549025E-2</v>
      </c>
      <c r="H1615" t="s">
        <v>73</v>
      </c>
      <c r="I1615" t="s">
        <v>74</v>
      </c>
      <c r="J1615" t="s">
        <v>1932</v>
      </c>
      <c r="K1615">
        <v>73.678761166395304</v>
      </c>
      <c r="L1615">
        <v>311.65473714187362</v>
      </c>
    </row>
    <row r="1616" spans="1:12" hidden="1" x14ac:dyDescent="0.25">
      <c r="A1616">
        <v>219</v>
      </c>
      <c r="B1616" t="s">
        <v>714</v>
      </c>
      <c r="C1616" t="s">
        <v>715</v>
      </c>
      <c r="D1616" t="s">
        <v>57</v>
      </c>
      <c r="E1616" t="str">
        <f>_xlfn.XLOOKUP(F1616, Keys!B:B, Keys!A:A, "找不到")</f>
        <v>OUT</v>
      </c>
      <c r="F1616" t="s">
        <v>403</v>
      </c>
      <c r="G1616">
        <v>2.102532694696031</v>
      </c>
      <c r="H1616">
        <v>0</v>
      </c>
      <c r="I1616" t="s">
        <v>38</v>
      </c>
      <c r="J1616" t="s">
        <v>1016</v>
      </c>
      <c r="K1616">
        <v>0</v>
      </c>
      <c r="L1616">
        <v>0</v>
      </c>
    </row>
    <row r="1617" spans="1:12" hidden="1" x14ac:dyDescent="0.25">
      <c r="A1617">
        <v>257</v>
      </c>
      <c r="B1617" t="s">
        <v>1026</v>
      </c>
      <c r="C1617" t="s">
        <v>1027</v>
      </c>
      <c r="D1617">
        <v>0</v>
      </c>
      <c r="E1617" t="str">
        <f>_xlfn.XLOOKUP(F1617, Keys!B:B, Keys!A:A, "找不到")</f>
        <v>MON</v>
      </c>
      <c r="F1617" t="s">
        <v>100</v>
      </c>
      <c r="G1617">
        <v>0.24882291516598379</v>
      </c>
      <c r="H1617" t="s">
        <v>73</v>
      </c>
      <c r="I1617" t="s">
        <v>74</v>
      </c>
      <c r="J1617" t="s">
        <v>1357</v>
      </c>
      <c r="K1617">
        <v>131.6423636197226</v>
      </c>
      <c r="L1617">
        <v>1006.954640094285</v>
      </c>
    </row>
    <row r="1618" spans="1:12" hidden="1" x14ac:dyDescent="0.25">
      <c r="A1618">
        <v>275</v>
      </c>
      <c r="B1618" t="s">
        <v>1026</v>
      </c>
      <c r="C1618" t="s">
        <v>1027</v>
      </c>
      <c r="D1618">
        <v>0</v>
      </c>
      <c r="E1618" t="str">
        <f>_xlfn.XLOOKUP(F1618, Keys!B:B, Keys!A:A, "找不到")</f>
        <v>MON</v>
      </c>
      <c r="F1618" t="s">
        <v>100</v>
      </c>
      <c r="G1618">
        <v>3.6338740500038907E-2</v>
      </c>
      <c r="H1618" t="s">
        <v>60</v>
      </c>
      <c r="I1618" t="s">
        <v>66</v>
      </c>
      <c r="J1618">
        <v>0</v>
      </c>
      <c r="K1618">
        <v>57.886194553652977</v>
      </c>
      <c r="L1618">
        <v>147.05825360693569</v>
      </c>
    </row>
    <row r="1619" spans="1:12" hidden="1" x14ac:dyDescent="0.25">
      <c r="A1619">
        <v>36</v>
      </c>
      <c r="B1619" t="s">
        <v>378</v>
      </c>
      <c r="C1619" t="s">
        <v>379</v>
      </c>
      <c r="D1619" t="s">
        <v>479</v>
      </c>
      <c r="E1619" t="str">
        <f>_xlfn.XLOOKUP(F1619, Keys!B:B, Keys!A:A, "找不到")</f>
        <v>MON</v>
      </c>
      <c r="F1619" t="s">
        <v>100</v>
      </c>
      <c r="G1619">
        <v>0.50406140474583172</v>
      </c>
      <c r="H1619" t="s">
        <v>46</v>
      </c>
      <c r="I1619" t="s">
        <v>47</v>
      </c>
      <c r="J1619" t="s">
        <v>480</v>
      </c>
      <c r="K1619">
        <v>217.58856933128129</v>
      </c>
      <c r="L1619">
        <v>2039.872292560646</v>
      </c>
    </row>
    <row r="1620" spans="1:12" hidden="1" x14ac:dyDescent="0.25">
      <c r="A1620">
        <v>37</v>
      </c>
      <c r="B1620" t="s">
        <v>378</v>
      </c>
      <c r="C1620" t="s">
        <v>379</v>
      </c>
      <c r="D1620" t="s">
        <v>479</v>
      </c>
      <c r="E1620" t="str">
        <f>_xlfn.XLOOKUP(F1620, Keys!B:B, Keys!A:A, "找不到")</f>
        <v>MON</v>
      </c>
      <c r="F1620" t="s">
        <v>100</v>
      </c>
      <c r="G1620">
        <v>0.54057014318897678</v>
      </c>
      <c r="H1620" t="s">
        <v>46</v>
      </c>
      <c r="I1620" t="s">
        <v>47</v>
      </c>
      <c r="J1620" t="s">
        <v>480</v>
      </c>
      <c r="K1620">
        <v>252.9685333112038</v>
      </c>
      <c r="L1620">
        <v>2187.618506187272</v>
      </c>
    </row>
    <row r="1621" spans="1:12" hidden="1" x14ac:dyDescent="0.25">
      <c r="A1621">
        <v>38</v>
      </c>
      <c r="B1621" t="s">
        <v>378</v>
      </c>
      <c r="C1621" t="s">
        <v>379</v>
      </c>
      <c r="D1621">
        <v>0</v>
      </c>
      <c r="E1621" t="str">
        <f>_xlfn.XLOOKUP(F1621, Keys!B:B, Keys!A:A, "找不到")</f>
        <v>MON</v>
      </c>
      <c r="F1621" t="s">
        <v>100</v>
      </c>
      <c r="G1621">
        <v>0.40288228954366101</v>
      </c>
      <c r="H1621" t="s">
        <v>46</v>
      </c>
      <c r="I1621" t="s">
        <v>47</v>
      </c>
      <c r="J1621" t="s">
        <v>494</v>
      </c>
      <c r="K1621">
        <v>177.87947879411661</v>
      </c>
      <c r="L1621">
        <v>1630.4133025576691</v>
      </c>
    </row>
    <row r="1622" spans="1:12" hidden="1" x14ac:dyDescent="0.25">
      <c r="A1622">
        <v>43</v>
      </c>
      <c r="B1622" t="s">
        <v>378</v>
      </c>
      <c r="C1622" t="s">
        <v>379</v>
      </c>
      <c r="D1622" t="s">
        <v>479</v>
      </c>
      <c r="E1622" t="str">
        <f>_xlfn.XLOOKUP(F1622, Keys!B:B, Keys!A:A, "找不到")</f>
        <v>MON</v>
      </c>
      <c r="F1622" t="s">
        <v>100</v>
      </c>
      <c r="G1622">
        <v>0.42893782328263302</v>
      </c>
      <c r="H1622" t="s">
        <v>46</v>
      </c>
      <c r="I1622" t="s">
        <v>47</v>
      </c>
      <c r="J1622" t="s">
        <v>480</v>
      </c>
      <c r="K1622">
        <v>242.5323735874548</v>
      </c>
      <c r="L1622">
        <v>1735.8567283815689</v>
      </c>
    </row>
    <row r="1623" spans="1:12" hidden="1" x14ac:dyDescent="0.25">
      <c r="A1623">
        <v>87</v>
      </c>
      <c r="B1623" t="s">
        <v>378</v>
      </c>
      <c r="C1623" t="s">
        <v>379</v>
      </c>
      <c r="D1623">
        <v>0</v>
      </c>
      <c r="E1623" t="str">
        <f>_xlfn.XLOOKUP(F1623, Keys!B:B, Keys!A:A, "找不到")</f>
        <v>MON</v>
      </c>
      <c r="F1623" t="s">
        <v>100</v>
      </c>
      <c r="G1623">
        <v>4.7845481683415653E-2</v>
      </c>
      <c r="H1623" t="s">
        <v>60</v>
      </c>
      <c r="I1623" t="s">
        <v>66</v>
      </c>
      <c r="J1623" t="s">
        <v>615</v>
      </c>
      <c r="K1623">
        <v>59.702872857484991</v>
      </c>
      <c r="L1623">
        <v>193.624569330855</v>
      </c>
    </row>
    <row r="1624" spans="1:12" hidden="1" x14ac:dyDescent="0.25">
      <c r="A1624">
        <v>88</v>
      </c>
      <c r="B1624" t="s">
        <v>378</v>
      </c>
      <c r="C1624" t="s">
        <v>379</v>
      </c>
      <c r="D1624">
        <v>0</v>
      </c>
      <c r="E1624" t="str">
        <f>_xlfn.XLOOKUP(F1624, Keys!B:B, Keys!A:A, "找不到")</f>
        <v>MON</v>
      </c>
      <c r="F1624" t="s">
        <v>100</v>
      </c>
      <c r="G1624">
        <v>0.12520212107576789</v>
      </c>
      <c r="H1624" t="s">
        <v>60</v>
      </c>
      <c r="I1624" t="s">
        <v>66</v>
      </c>
      <c r="J1624" t="s">
        <v>622</v>
      </c>
      <c r="K1624">
        <v>137.15606828832409</v>
      </c>
      <c r="L1624">
        <v>506.67703447968478</v>
      </c>
    </row>
    <row r="1625" spans="1:12" hidden="1" x14ac:dyDescent="0.25">
      <c r="A1625">
        <v>99</v>
      </c>
      <c r="B1625" t="s">
        <v>378</v>
      </c>
      <c r="C1625" t="s">
        <v>379</v>
      </c>
      <c r="D1625">
        <v>0</v>
      </c>
      <c r="E1625" t="str">
        <f>_xlfn.XLOOKUP(F1625, Keys!B:B, Keys!A:A, "找不到")</f>
        <v>MON</v>
      </c>
      <c r="F1625" t="s">
        <v>100</v>
      </c>
      <c r="G1625">
        <v>0.16750426333111609</v>
      </c>
      <c r="H1625" t="s">
        <v>60</v>
      </c>
      <c r="I1625" t="s">
        <v>66</v>
      </c>
      <c r="J1625" t="s">
        <v>661</v>
      </c>
      <c r="K1625">
        <v>111.294157859894</v>
      </c>
      <c r="L1625">
        <v>677.86841531185769</v>
      </c>
    </row>
    <row r="1626" spans="1:12" hidden="1" x14ac:dyDescent="0.25">
      <c r="A1626">
        <v>100</v>
      </c>
      <c r="B1626" t="s">
        <v>378</v>
      </c>
      <c r="C1626" t="s">
        <v>379</v>
      </c>
      <c r="D1626">
        <v>0</v>
      </c>
      <c r="E1626" t="str">
        <f>_xlfn.XLOOKUP(F1626, Keys!B:B, Keys!A:A, "找不到")</f>
        <v>MON</v>
      </c>
      <c r="F1626" t="s">
        <v>100</v>
      </c>
      <c r="G1626">
        <v>1.466441393494872E-2</v>
      </c>
      <c r="H1626" t="s">
        <v>60</v>
      </c>
      <c r="I1626" t="s">
        <v>66</v>
      </c>
      <c r="J1626" t="s">
        <v>667</v>
      </c>
      <c r="K1626">
        <v>31.459483426652991</v>
      </c>
      <c r="L1626">
        <v>59.345015093202257</v>
      </c>
    </row>
    <row r="1627" spans="1:12" hidden="1" x14ac:dyDescent="0.25">
      <c r="A1627">
        <v>105</v>
      </c>
      <c r="B1627" t="s">
        <v>378</v>
      </c>
      <c r="C1627" t="s">
        <v>379</v>
      </c>
      <c r="D1627" t="s">
        <v>479</v>
      </c>
      <c r="E1627" t="str">
        <f>_xlfn.XLOOKUP(F1627, Keys!B:B, Keys!A:A, "找不到")</f>
        <v>MON</v>
      </c>
      <c r="F1627" t="s">
        <v>100</v>
      </c>
      <c r="G1627">
        <v>0.58705447359287299</v>
      </c>
      <c r="H1627" t="s">
        <v>46</v>
      </c>
      <c r="I1627" t="s">
        <v>47</v>
      </c>
      <c r="J1627" t="s">
        <v>480</v>
      </c>
      <c r="K1627">
        <v>199.85092432951879</v>
      </c>
      <c r="L1627">
        <v>2375.734669687145</v>
      </c>
    </row>
    <row r="1628" spans="1:12" hidden="1" x14ac:dyDescent="0.25">
      <c r="A1628">
        <v>118</v>
      </c>
      <c r="B1628" t="s">
        <v>378</v>
      </c>
      <c r="C1628" t="s">
        <v>379</v>
      </c>
      <c r="D1628">
        <v>0</v>
      </c>
      <c r="E1628" t="str">
        <f>_xlfn.XLOOKUP(F1628, Keys!B:B, Keys!A:A, "找不到")</f>
        <v>MON</v>
      </c>
      <c r="F1628" t="s">
        <v>100</v>
      </c>
      <c r="G1628">
        <v>0.1214107882918983</v>
      </c>
      <c r="H1628" t="s">
        <v>60</v>
      </c>
      <c r="I1628" t="s">
        <v>66</v>
      </c>
      <c r="J1628" t="s">
        <v>57</v>
      </c>
      <c r="K1628">
        <v>90.269398366061409</v>
      </c>
      <c r="L1628">
        <v>491.33399368172462</v>
      </c>
    </row>
    <row r="1629" spans="1:12" hidden="1" x14ac:dyDescent="0.25">
      <c r="A1629">
        <v>119</v>
      </c>
      <c r="B1629" t="s">
        <v>378</v>
      </c>
      <c r="C1629" t="s">
        <v>379</v>
      </c>
      <c r="D1629">
        <v>0</v>
      </c>
      <c r="E1629" t="str">
        <f>_xlfn.XLOOKUP(F1629, Keys!B:B, Keys!A:A, "找不到")</f>
        <v>MON</v>
      </c>
      <c r="F1629" t="s">
        <v>100</v>
      </c>
      <c r="G1629">
        <v>3.5847531549151892E-3</v>
      </c>
      <c r="H1629" t="s">
        <v>60</v>
      </c>
      <c r="I1629" t="s">
        <v>66</v>
      </c>
      <c r="J1629" t="s">
        <v>57</v>
      </c>
      <c r="K1629">
        <v>18.13726306637804</v>
      </c>
      <c r="L1629">
        <v>14.50703935578659</v>
      </c>
    </row>
    <row r="1630" spans="1:12" x14ac:dyDescent="0.25">
      <c r="A1630">
        <v>70</v>
      </c>
      <c r="B1630" t="s">
        <v>91</v>
      </c>
      <c r="C1630" t="s">
        <v>36</v>
      </c>
      <c r="D1630" t="s">
        <v>95</v>
      </c>
      <c r="E1630" t="str">
        <f>_xlfn.XLOOKUP(F1630, Keys!B:B, Keys!A:A, "找不到")</f>
        <v>FA</v>
      </c>
      <c r="F1630" t="s">
        <v>63</v>
      </c>
      <c r="G1630">
        <v>0.28330329552746247</v>
      </c>
      <c r="H1630" t="s">
        <v>64</v>
      </c>
      <c r="I1630" t="s">
        <v>65</v>
      </c>
      <c r="J1630">
        <v>0</v>
      </c>
      <c r="K1630">
        <v>155.89815646869431</v>
      </c>
      <c r="L1630">
        <v>1146.4923469571991</v>
      </c>
    </row>
    <row r="1631" spans="1:12" x14ac:dyDescent="0.25">
      <c r="A1631">
        <v>71</v>
      </c>
      <c r="B1631" t="s">
        <v>91</v>
      </c>
      <c r="C1631" t="s">
        <v>36</v>
      </c>
      <c r="D1631" t="s">
        <v>95</v>
      </c>
      <c r="E1631" t="str">
        <f>_xlfn.XLOOKUP(F1631, Keys!B:B, Keys!A:A, "找不到")</f>
        <v>FA</v>
      </c>
      <c r="F1631" t="s">
        <v>63</v>
      </c>
      <c r="G1631">
        <v>0.78661830698135771</v>
      </c>
      <c r="H1631" t="s">
        <v>64</v>
      </c>
      <c r="I1631" t="s">
        <v>65</v>
      </c>
      <c r="J1631">
        <v>0</v>
      </c>
      <c r="K1631">
        <v>226.0856414773904</v>
      </c>
      <c r="L1631">
        <v>3183.3440809485119</v>
      </c>
    </row>
    <row r="1632" spans="1:12" x14ac:dyDescent="0.25">
      <c r="A1632">
        <v>78</v>
      </c>
      <c r="B1632" t="s">
        <v>91</v>
      </c>
      <c r="C1632" t="s">
        <v>36</v>
      </c>
      <c r="D1632" t="s">
        <v>95</v>
      </c>
      <c r="E1632" t="str">
        <f>_xlfn.XLOOKUP(F1632, Keys!B:B, Keys!A:A, "找不到")</f>
        <v>FA</v>
      </c>
      <c r="F1632" t="s">
        <v>63</v>
      </c>
      <c r="G1632">
        <v>0.28203551073289213</v>
      </c>
      <c r="H1632" t="s">
        <v>64</v>
      </c>
      <c r="I1632" t="s">
        <v>65</v>
      </c>
      <c r="J1632">
        <v>0</v>
      </c>
      <c r="K1632">
        <v>153.11416807364091</v>
      </c>
      <c r="L1632">
        <v>1141.361783396836</v>
      </c>
    </row>
    <row r="1633" spans="1:12" x14ac:dyDescent="0.25">
      <c r="A1633">
        <v>79</v>
      </c>
      <c r="B1633" t="s">
        <v>91</v>
      </c>
      <c r="C1633" t="s">
        <v>36</v>
      </c>
      <c r="D1633" t="s">
        <v>95</v>
      </c>
      <c r="E1633" t="str">
        <f>_xlfn.XLOOKUP(F1633, Keys!B:B, Keys!A:A, "找不到")</f>
        <v>FA</v>
      </c>
      <c r="F1633" t="s">
        <v>63</v>
      </c>
      <c r="G1633">
        <v>0.74692053799143021</v>
      </c>
      <c r="H1633" t="s">
        <v>64</v>
      </c>
      <c r="I1633" t="s">
        <v>65</v>
      </c>
      <c r="J1633">
        <v>0</v>
      </c>
      <c r="K1633">
        <v>220.05205788813589</v>
      </c>
      <c r="L1633">
        <v>3022.69226695006</v>
      </c>
    </row>
    <row r="1634" spans="1:12" x14ac:dyDescent="0.25">
      <c r="A1634">
        <v>80</v>
      </c>
      <c r="B1634" t="s">
        <v>91</v>
      </c>
      <c r="C1634" t="s">
        <v>36</v>
      </c>
      <c r="D1634" t="s">
        <v>95</v>
      </c>
      <c r="E1634" t="str">
        <f>_xlfn.XLOOKUP(F1634, Keys!B:B, Keys!A:A, "找不到")</f>
        <v>FA</v>
      </c>
      <c r="F1634" t="s">
        <v>63</v>
      </c>
      <c r="G1634">
        <v>0.41094746849751418</v>
      </c>
      <c r="H1634" t="s">
        <v>64</v>
      </c>
      <c r="I1634" t="s">
        <v>65</v>
      </c>
      <c r="J1634">
        <v>0</v>
      </c>
      <c r="K1634">
        <v>196.1268729796634</v>
      </c>
      <c r="L1634">
        <v>1663.052054359752</v>
      </c>
    </row>
    <row r="1635" spans="1:12" x14ac:dyDescent="0.25">
      <c r="A1635">
        <v>81</v>
      </c>
      <c r="B1635" t="s">
        <v>91</v>
      </c>
      <c r="C1635" t="s">
        <v>36</v>
      </c>
      <c r="D1635" t="s">
        <v>95</v>
      </c>
      <c r="E1635" t="str">
        <f>_xlfn.XLOOKUP(F1635, Keys!B:B, Keys!A:A, "找不到")</f>
        <v>FA</v>
      </c>
      <c r="F1635" t="s">
        <v>63</v>
      </c>
      <c r="G1635">
        <v>8.7673101204266968E-2</v>
      </c>
      <c r="H1635" t="s">
        <v>64</v>
      </c>
      <c r="I1635" t="s">
        <v>65</v>
      </c>
      <c r="J1635">
        <v>0</v>
      </c>
      <c r="K1635">
        <v>127.46137325357481</v>
      </c>
      <c r="L1635">
        <v>354.80187188628128</v>
      </c>
    </row>
    <row r="1636" spans="1:12" x14ac:dyDescent="0.25">
      <c r="A1636">
        <v>82</v>
      </c>
      <c r="B1636" t="s">
        <v>91</v>
      </c>
      <c r="C1636" t="s">
        <v>36</v>
      </c>
      <c r="D1636" t="s">
        <v>95</v>
      </c>
      <c r="E1636" t="str">
        <f>_xlfn.XLOOKUP(F1636, Keys!B:B, Keys!A:A, "找不到")</f>
        <v>FA</v>
      </c>
      <c r="F1636" t="s">
        <v>63</v>
      </c>
      <c r="G1636">
        <v>0.74861680387355645</v>
      </c>
      <c r="H1636" t="s">
        <v>64</v>
      </c>
      <c r="I1636" t="s">
        <v>65</v>
      </c>
      <c r="J1636">
        <v>0</v>
      </c>
      <c r="K1636">
        <v>220.42323023690059</v>
      </c>
      <c r="L1636">
        <v>3029.5568388874999</v>
      </c>
    </row>
    <row r="1637" spans="1:12" x14ac:dyDescent="0.25">
      <c r="A1637">
        <v>83</v>
      </c>
      <c r="B1637" t="s">
        <v>91</v>
      </c>
      <c r="C1637" t="s">
        <v>36</v>
      </c>
      <c r="D1637" t="s">
        <v>95</v>
      </c>
      <c r="E1637" t="str">
        <f>_xlfn.XLOOKUP(F1637, Keys!B:B, Keys!A:A, "找不到")</f>
        <v>FA</v>
      </c>
      <c r="F1637" t="s">
        <v>63</v>
      </c>
      <c r="G1637">
        <v>0.85226753810221711</v>
      </c>
      <c r="H1637" t="s">
        <v>64</v>
      </c>
      <c r="I1637" t="s">
        <v>65</v>
      </c>
      <c r="J1637">
        <v>0</v>
      </c>
      <c r="K1637">
        <v>235.0600202960938</v>
      </c>
      <c r="L1637">
        <v>3449.018156230823</v>
      </c>
    </row>
    <row r="1638" spans="1:12" x14ac:dyDescent="0.25">
      <c r="A1638">
        <v>84</v>
      </c>
      <c r="B1638" t="s">
        <v>91</v>
      </c>
      <c r="C1638" t="s">
        <v>36</v>
      </c>
      <c r="D1638" t="s">
        <v>95</v>
      </c>
      <c r="E1638" t="str">
        <f>_xlfn.XLOOKUP(F1638, Keys!B:B, Keys!A:A, "找不到")</f>
        <v>FA</v>
      </c>
      <c r="F1638" t="s">
        <v>63</v>
      </c>
      <c r="G1638">
        <v>0.79947595222876899</v>
      </c>
      <c r="H1638" t="s">
        <v>64</v>
      </c>
      <c r="I1638" t="s">
        <v>65</v>
      </c>
      <c r="J1638">
        <v>0</v>
      </c>
      <c r="K1638">
        <v>227.5674247500763</v>
      </c>
      <c r="L1638">
        <v>3235.3773333277409</v>
      </c>
    </row>
    <row r="1639" spans="1:12" x14ac:dyDescent="0.25">
      <c r="A1639">
        <v>85</v>
      </c>
      <c r="B1639" t="s">
        <v>91</v>
      </c>
      <c r="C1639" t="s">
        <v>36</v>
      </c>
      <c r="D1639" t="s">
        <v>95</v>
      </c>
      <c r="E1639" t="str">
        <f>_xlfn.XLOOKUP(F1639, Keys!B:B, Keys!A:A, "找不到")</f>
        <v>FA</v>
      </c>
      <c r="F1639" t="s">
        <v>63</v>
      </c>
      <c r="G1639">
        <v>1.110805150171793</v>
      </c>
      <c r="H1639" t="s">
        <v>64</v>
      </c>
      <c r="I1639" t="s">
        <v>65</v>
      </c>
      <c r="J1639">
        <v>0</v>
      </c>
      <c r="K1639">
        <v>269.95015404840058</v>
      </c>
      <c r="L1639">
        <v>4495.2869371374854</v>
      </c>
    </row>
    <row r="1640" spans="1:12" x14ac:dyDescent="0.25">
      <c r="A1640">
        <v>90</v>
      </c>
      <c r="B1640" t="s">
        <v>91</v>
      </c>
      <c r="C1640" t="s">
        <v>36</v>
      </c>
      <c r="D1640" t="s">
        <v>95</v>
      </c>
      <c r="E1640" t="str">
        <f>_xlfn.XLOOKUP(F1640, Keys!B:B, Keys!A:A, "找不到")</f>
        <v>FA</v>
      </c>
      <c r="F1640" t="s">
        <v>63</v>
      </c>
      <c r="G1640">
        <v>1.0262953730817139</v>
      </c>
      <c r="H1640" t="s">
        <v>64</v>
      </c>
      <c r="I1640" t="s">
        <v>65</v>
      </c>
      <c r="J1640">
        <v>0</v>
      </c>
      <c r="K1640">
        <v>259.87226914806092</v>
      </c>
      <c r="L1640">
        <v>4153.2866349650658</v>
      </c>
    </row>
    <row r="1641" spans="1:12" x14ac:dyDescent="0.25">
      <c r="A1641">
        <v>93</v>
      </c>
      <c r="B1641" t="s">
        <v>91</v>
      </c>
      <c r="C1641" t="s">
        <v>36</v>
      </c>
      <c r="D1641" t="s">
        <v>95</v>
      </c>
      <c r="E1641" t="str">
        <f>_xlfn.XLOOKUP(F1641, Keys!B:B, Keys!A:A, "找不到")</f>
        <v>FA</v>
      </c>
      <c r="F1641" t="s">
        <v>63</v>
      </c>
      <c r="G1641">
        <v>1.045816748113048</v>
      </c>
      <c r="H1641" t="s">
        <v>64</v>
      </c>
      <c r="I1641" t="s">
        <v>65</v>
      </c>
      <c r="J1641">
        <v>0</v>
      </c>
      <c r="K1641">
        <v>262.26289096898307</v>
      </c>
      <c r="L1641">
        <v>4232.2871528864534</v>
      </c>
    </row>
    <row r="1642" spans="1:12" hidden="1" x14ac:dyDescent="0.25">
      <c r="A1642">
        <v>1080</v>
      </c>
      <c r="B1642">
        <v>0</v>
      </c>
      <c r="C1642" t="s">
        <v>2606</v>
      </c>
      <c r="D1642">
        <v>0</v>
      </c>
      <c r="E1642" t="str">
        <f>_xlfn.XLOOKUP(F1642, Keys!B:B, Keys!A:A, "找不到")</f>
        <v>MV</v>
      </c>
      <c r="F1642" t="s">
        <v>705</v>
      </c>
      <c r="G1642">
        <v>0.47633294444711732</v>
      </c>
      <c r="H1642" t="s">
        <v>46</v>
      </c>
      <c r="I1642" t="s">
        <v>47</v>
      </c>
      <c r="J1642" t="s">
        <v>2883</v>
      </c>
      <c r="K1642">
        <v>0</v>
      </c>
      <c r="L1642">
        <v>173.70823089650671</v>
      </c>
    </row>
    <row r="1643" spans="1:12" hidden="1" x14ac:dyDescent="0.25">
      <c r="A1643">
        <v>1097</v>
      </c>
      <c r="B1643">
        <v>0</v>
      </c>
      <c r="C1643" t="s">
        <v>2606</v>
      </c>
      <c r="D1643">
        <v>0</v>
      </c>
      <c r="E1643" t="str">
        <f>_xlfn.XLOOKUP(F1643, Keys!B:B, Keys!A:A, "找不到")</f>
        <v>MV</v>
      </c>
      <c r="F1643" t="s">
        <v>705</v>
      </c>
      <c r="G1643">
        <v>0.18590139138641651</v>
      </c>
      <c r="H1643" t="s">
        <v>46</v>
      </c>
      <c r="I1643" t="s">
        <v>47</v>
      </c>
      <c r="J1643" t="s">
        <v>2801</v>
      </c>
      <c r="K1643">
        <v>0</v>
      </c>
      <c r="L1643">
        <v>112.22589093139889</v>
      </c>
    </row>
    <row r="1644" spans="1:12" hidden="1" x14ac:dyDescent="0.25">
      <c r="A1644">
        <v>1103</v>
      </c>
      <c r="B1644">
        <v>0</v>
      </c>
      <c r="C1644" t="s">
        <v>2606</v>
      </c>
      <c r="D1644">
        <v>0</v>
      </c>
      <c r="E1644" t="str">
        <f>_xlfn.XLOOKUP(F1644, Keys!B:B, Keys!A:A, "找不到")</f>
        <v>MV</v>
      </c>
      <c r="F1644" t="s">
        <v>705</v>
      </c>
      <c r="G1644">
        <v>0.32692553445381112</v>
      </c>
      <c r="H1644" t="s">
        <v>73</v>
      </c>
      <c r="I1644" t="s">
        <v>74</v>
      </c>
      <c r="J1644">
        <v>0</v>
      </c>
      <c r="K1644">
        <v>0</v>
      </c>
      <c r="L1644">
        <v>150.56898131499941</v>
      </c>
    </row>
    <row r="1645" spans="1:12" hidden="1" x14ac:dyDescent="0.25">
      <c r="A1645">
        <v>1104</v>
      </c>
      <c r="B1645">
        <v>0</v>
      </c>
      <c r="C1645" t="s">
        <v>2606</v>
      </c>
      <c r="D1645">
        <v>0</v>
      </c>
      <c r="E1645" t="str">
        <f>_xlfn.XLOOKUP(F1645, Keys!B:B, Keys!A:A, "找不到")</f>
        <v>MV</v>
      </c>
      <c r="F1645" t="s">
        <v>705</v>
      </c>
      <c r="G1645">
        <v>0.17204411873894401</v>
      </c>
      <c r="H1645" t="s">
        <v>73</v>
      </c>
      <c r="I1645" t="s">
        <v>74</v>
      </c>
      <c r="J1645">
        <v>0</v>
      </c>
      <c r="K1645">
        <v>0</v>
      </c>
      <c r="L1645">
        <v>174.314088021705</v>
      </c>
    </row>
    <row r="1646" spans="1:12" hidden="1" x14ac:dyDescent="0.25">
      <c r="A1646">
        <v>1105</v>
      </c>
      <c r="B1646">
        <v>0</v>
      </c>
      <c r="C1646" t="s">
        <v>2606</v>
      </c>
      <c r="D1646">
        <v>0</v>
      </c>
      <c r="E1646" t="str">
        <f>_xlfn.XLOOKUP(F1646, Keys!B:B, Keys!A:A, "找不到")</f>
        <v>MV</v>
      </c>
      <c r="F1646" t="s">
        <v>705</v>
      </c>
      <c r="G1646">
        <v>2.5244122190762872E-2</v>
      </c>
      <c r="H1646" t="s">
        <v>73</v>
      </c>
      <c r="I1646" t="s">
        <v>74</v>
      </c>
      <c r="J1646">
        <v>0</v>
      </c>
      <c r="K1646">
        <v>0</v>
      </c>
      <c r="L1646">
        <v>49.791433756716877</v>
      </c>
    </row>
    <row r="1647" spans="1:12" hidden="1" x14ac:dyDescent="0.25">
      <c r="A1647">
        <v>1106</v>
      </c>
      <c r="B1647">
        <v>0</v>
      </c>
      <c r="C1647" t="s">
        <v>2606</v>
      </c>
      <c r="D1647">
        <v>0</v>
      </c>
      <c r="E1647" t="str">
        <f>_xlfn.XLOOKUP(F1647, Keys!B:B, Keys!A:A, "找不到")</f>
        <v>MV</v>
      </c>
      <c r="F1647" t="s">
        <v>705</v>
      </c>
      <c r="G1647">
        <v>0.12640201224411821</v>
      </c>
      <c r="H1647" t="s">
        <v>73</v>
      </c>
      <c r="I1647" t="s">
        <v>74</v>
      </c>
      <c r="J1647">
        <v>0</v>
      </c>
      <c r="K1647">
        <v>0</v>
      </c>
      <c r="L1647">
        <v>99.68698092791206</v>
      </c>
    </row>
    <row r="1648" spans="1:12" hidden="1" x14ac:dyDescent="0.25">
      <c r="A1648">
        <v>1120</v>
      </c>
      <c r="B1648">
        <v>0</v>
      </c>
      <c r="C1648" t="s">
        <v>2606</v>
      </c>
      <c r="D1648">
        <v>0</v>
      </c>
      <c r="E1648" t="str">
        <f>_xlfn.XLOOKUP(F1648, Keys!B:B, Keys!A:A, "找不到")</f>
        <v>MV</v>
      </c>
      <c r="F1648" t="s">
        <v>705</v>
      </c>
      <c r="G1648">
        <v>4.7056407009648443E-2</v>
      </c>
      <c r="H1648" t="s">
        <v>73</v>
      </c>
      <c r="I1648" t="s">
        <v>74</v>
      </c>
      <c r="J1648">
        <v>0</v>
      </c>
      <c r="K1648">
        <v>0</v>
      </c>
      <c r="L1648">
        <v>55.647106894808417</v>
      </c>
    </row>
    <row r="1649" spans="1:12" hidden="1" x14ac:dyDescent="0.25">
      <c r="A1649">
        <v>116</v>
      </c>
      <c r="C1649" t="s">
        <v>3970</v>
      </c>
      <c r="D1649" t="s">
        <v>57</v>
      </c>
      <c r="E1649" t="str">
        <f>_xlfn.XLOOKUP(F1649, Keys!B:B, Keys!A:A, "找不到")</f>
        <v>MV</v>
      </c>
      <c r="F1649" t="s">
        <v>705</v>
      </c>
      <c r="G1649">
        <v>0.18865454711928711</v>
      </c>
      <c r="H1649">
        <v>0</v>
      </c>
      <c r="I1649" t="s">
        <v>74</v>
      </c>
      <c r="J1649" t="s">
        <v>4185</v>
      </c>
      <c r="K1649">
        <v>0</v>
      </c>
      <c r="L1649">
        <v>0</v>
      </c>
    </row>
    <row r="1650" spans="1:12" hidden="1" x14ac:dyDescent="0.25">
      <c r="A1650">
        <v>468</v>
      </c>
      <c r="B1650" t="s">
        <v>2605</v>
      </c>
      <c r="C1650" t="s">
        <v>2606</v>
      </c>
      <c r="D1650" t="s">
        <v>2702</v>
      </c>
      <c r="E1650" t="str">
        <f>_xlfn.XLOOKUP(F1650, Keys!B:B, Keys!A:A, "找不到")</f>
        <v>MV</v>
      </c>
      <c r="F1650" t="s">
        <v>705</v>
      </c>
      <c r="G1650">
        <v>0.66543953164830971</v>
      </c>
      <c r="H1650" t="s">
        <v>46</v>
      </c>
      <c r="I1650" t="s">
        <v>47</v>
      </c>
      <c r="J1650" t="s">
        <v>2883</v>
      </c>
      <c r="K1650">
        <v>0</v>
      </c>
      <c r="L1650">
        <v>233.84209754253001</v>
      </c>
    </row>
    <row r="1651" spans="1:12" hidden="1" x14ac:dyDescent="0.25">
      <c r="A1651">
        <v>160</v>
      </c>
      <c r="B1651" t="s">
        <v>2042</v>
      </c>
      <c r="C1651" t="s">
        <v>972</v>
      </c>
      <c r="D1651" t="s">
        <v>2241</v>
      </c>
      <c r="E1651" t="str">
        <f>_xlfn.XLOOKUP(F1651, Keys!B:B, Keys!A:A, "找不到")</f>
        <v>MV</v>
      </c>
      <c r="F1651" t="s">
        <v>705</v>
      </c>
      <c r="G1651">
        <v>0.93897214332764845</v>
      </c>
      <c r="H1651" t="s">
        <v>46</v>
      </c>
      <c r="I1651" t="s">
        <v>47</v>
      </c>
      <c r="J1651">
        <v>0</v>
      </c>
      <c r="K1651">
        <v>253.24239687451899</v>
      </c>
      <c r="L1651">
        <v>3799.9006482675809</v>
      </c>
    </row>
    <row r="1652" spans="1:12" hidden="1" x14ac:dyDescent="0.25">
      <c r="A1652">
        <v>240</v>
      </c>
      <c r="B1652" t="s">
        <v>2042</v>
      </c>
      <c r="C1652" t="s">
        <v>972</v>
      </c>
      <c r="D1652">
        <v>0</v>
      </c>
      <c r="E1652" t="str">
        <f>_xlfn.XLOOKUP(F1652, Keys!B:B, Keys!A:A, "找不到")</f>
        <v>MV</v>
      </c>
      <c r="F1652" t="s">
        <v>705</v>
      </c>
      <c r="G1652">
        <v>5.5392819705149469E-2</v>
      </c>
      <c r="H1652" t="s">
        <v>73</v>
      </c>
      <c r="I1652" t="s">
        <v>74</v>
      </c>
      <c r="J1652" t="s">
        <v>2476</v>
      </c>
      <c r="K1652">
        <v>60.931775781995498</v>
      </c>
      <c r="L1652">
        <v>224.16768484847211</v>
      </c>
    </row>
    <row r="1653" spans="1:12" hidden="1" x14ac:dyDescent="0.25">
      <c r="A1653">
        <v>380</v>
      </c>
      <c r="B1653" t="s">
        <v>2042</v>
      </c>
      <c r="C1653" t="s">
        <v>972</v>
      </c>
      <c r="D1653">
        <v>0</v>
      </c>
      <c r="E1653" t="str">
        <f>_xlfn.XLOOKUP(F1653, Keys!B:B, Keys!A:A, "找不到")</f>
        <v>MV</v>
      </c>
      <c r="F1653" t="s">
        <v>705</v>
      </c>
      <c r="G1653">
        <v>3.0019115142273931E-2</v>
      </c>
      <c r="H1653" t="s">
        <v>60</v>
      </c>
      <c r="I1653" t="s">
        <v>66</v>
      </c>
      <c r="J1653">
        <v>0</v>
      </c>
      <c r="K1653">
        <v>44.215944555796398</v>
      </c>
      <c r="L1653">
        <v>121.4835348419298</v>
      </c>
    </row>
    <row r="1654" spans="1:12" hidden="1" x14ac:dyDescent="0.25">
      <c r="A1654">
        <v>381</v>
      </c>
      <c r="B1654" t="s">
        <v>2042</v>
      </c>
      <c r="C1654" t="s">
        <v>972</v>
      </c>
      <c r="D1654">
        <v>0</v>
      </c>
      <c r="E1654" t="str">
        <f>_xlfn.XLOOKUP(F1654, Keys!B:B, Keys!A:A, "找不到")</f>
        <v>MV</v>
      </c>
      <c r="F1654" t="s">
        <v>705</v>
      </c>
      <c r="G1654">
        <v>4.4568848883775727E-2</v>
      </c>
      <c r="H1654" t="s">
        <v>46</v>
      </c>
      <c r="I1654" t="s">
        <v>47</v>
      </c>
      <c r="J1654">
        <v>0</v>
      </c>
      <c r="K1654">
        <v>54.238616522729863</v>
      </c>
      <c r="L1654">
        <v>180.36445380137661</v>
      </c>
    </row>
    <row r="1655" spans="1:12" hidden="1" x14ac:dyDescent="0.25">
      <c r="A1655">
        <v>273</v>
      </c>
      <c r="B1655" t="s">
        <v>1482</v>
      </c>
      <c r="C1655" t="s">
        <v>1483</v>
      </c>
      <c r="D1655">
        <v>0</v>
      </c>
      <c r="E1655" t="str">
        <f>_xlfn.XLOOKUP(F1655, Keys!B:B, Keys!A:A, "找不到")</f>
        <v>MV</v>
      </c>
      <c r="F1655" t="s">
        <v>705</v>
      </c>
      <c r="G1655">
        <v>1.6611053557812141E-2</v>
      </c>
      <c r="H1655" t="s">
        <v>73</v>
      </c>
      <c r="I1655" t="s">
        <v>74</v>
      </c>
      <c r="J1655">
        <v>0</v>
      </c>
      <c r="K1655">
        <v>32.880116402031277</v>
      </c>
      <c r="L1655">
        <v>67.222817664264184</v>
      </c>
    </row>
    <row r="1656" spans="1:12" hidden="1" x14ac:dyDescent="0.25">
      <c r="A1656">
        <v>274</v>
      </c>
      <c r="B1656" t="s">
        <v>1482</v>
      </c>
      <c r="C1656" t="s">
        <v>1483</v>
      </c>
      <c r="D1656">
        <v>0</v>
      </c>
      <c r="E1656" t="str">
        <f>_xlfn.XLOOKUP(F1656, Keys!B:B, Keys!A:A, "找不到")</f>
        <v>MV</v>
      </c>
      <c r="F1656" t="s">
        <v>705</v>
      </c>
      <c r="G1656">
        <v>8.6304191477537071E-3</v>
      </c>
      <c r="H1656" t="s">
        <v>73</v>
      </c>
      <c r="I1656" t="s">
        <v>74</v>
      </c>
      <c r="J1656">
        <v>0</v>
      </c>
      <c r="K1656">
        <v>23.809421776252911</v>
      </c>
      <c r="L1656">
        <v>34.926206860778763</v>
      </c>
    </row>
    <row r="1657" spans="1:12" hidden="1" x14ac:dyDescent="0.25">
      <c r="A1657">
        <v>220</v>
      </c>
      <c r="B1657" t="s">
        <v>714</v>
      </c>
      <c r="C1657" t="s">
        <v>715</v>
      </c>
      <c r="D1657" t="s">
        <v>57</v>
      </c>
      <c r="E1657" t="str">
        <f>_xlfn.XLOOKUP(F1657, Keys!B:B, Keys!A:A, "找不到")</f>
        <v>OUT</v>
      </c>
      <c r="F1657" t="s">
        <v>403</v>
      </c>
      <c r="G1657">
        <v>2.608075261326491</v>
      </c>
      <c r="H1657">
        <v>0</v>
      </c>
      <c r="I1657" t="s">
        <v>38</v>
      </c>
      <c r="J1657" t="s">
        <v>1016</v>
      </c>
      <c r="K1657">
        <v>0</v>
      </c>
      <c r="L1657">
        <v>0</v>
      </c>
    </row>
    <row r="1658" spans="1:12" hidden="1" x14ac:dyDescent="0.25">
      <c r="A1658">
        <v>7</v>
      </c>
      <c r="B1658" t="s">
        <v>1026</v>
      </c>
      <c r="C1658" t="s">
        <v>1027</v>
      </c>
      <c r="D1658">
        <v>0</v>
      </c>
      <c r="E1658" t="str">
        <f>_xlfn.XLOOKUP(F1658, Keys!B:B, Keys!A:A, "找不到")</f>
        <v>MV</v>
      </c>
      <c r="F1658" t="s">
        <v>705</v>
      </c>
      <c r="G1658">
        <v>1.2536137845897779</v>
      </c>
      <c r="H1658" t="s">
        <v>73</v>
      </c>
      <c r="I1658" t="s">
        <v>74</v>
      </c>
      <c r="J1658" t="s">
        <v>1028</v>
      </c>
      <c r="K1658">
        <v>290.65561710515851</v>
      </c>
      <c r="L1658">
        <v>5073.215288217174</v>
      </c>
    </row>
    <row r="1659" spans="1:12" hidden="1" x14ac:dyDescent="0.25">
      <c r="A1659">
        <v>260</v>
      </c>
      <c r="B1659" t="s">
        <v>1026</v>
      </c>
      <c r="C1659" t="s">
        <v>1027</v>
      </c>
      <c r="D1659">
        <v>0</v>
      </c>
      <c r="E1659" t="str">
        <f>_xlfn.XLOOKUP(F1659, Keys!B:B, Keys!A:A, "找不到")</f>
        <v>MV</v>
      </c>
      <c r="F1659" t="s">
        <v>705</v>
      </c>
      <c r="G1659">
        <v>0.1124233467301053</v>
      </c>
      <c r="H1659" t="s">
        <v>60</v>
      </c>
      <c r="I1659" t="s">
        <v>66</v>
      </c>
      <c r="J1659" t="s">
        <v>1278</v>
      </c>
      <c r="K1659">
        <v>86.603264491762218</v>
      </c>
      <c r="L1659">
        <v>454.96296259245929</v>
      </c>
    </row>
    <row r="1660" spans="1:12" hidden="1" x14ac:dyDescent="0.25">
      <c r="A1660">
        <v>122</v>
      </c>
      <c r="B1660" t="s">
        <v>378</v>
      </c>
      <c r="C1660" t="s">
        <v>379</v>
      </c>
      <c r="D1660">
        <v>0</v>
      </c>
      <c r="E1660" t="str">
        <f>_xlfn.XLOOKUP(F1660, Keys!B:B, Keys!A:A, "找不到")</f>
        <v>MV</v>
      </c>
      <c r="F1660" t="s">
        <v>705</v>
      </c>
      <c r="G1660">
        <v>0.11500011415655489</v>
      </c>
      <c r="H1660" t="s">
        <v>60</v>
      </c>
      <c r="I1660" t="s">
        <v>66</v>
      </c>
      <c r="J1660">
        <v>0</v>
      </c>
      <c r="K1660">
        <v>88.722665105193315</v>
      </c>
      <c r="L1660">
        <v>465.39081211257422</v>
      </c>
    </row>
    <row r="1661" spans="1:12" hidden="1" x14ac:dyDescent="0.25">
      <c r="A1661">
        <v>36</v>
      </c>
      <c r="C1661" t="s">
        <v>3970</v>
      </c>
      <c r="D1661" t="s">
        <v>57</v>
      </c>
      <c r="E1661" t="str">
        <f>_xlfn.XLOOKUP(F1661, Keys!B:B, Keys!A:A, "找不到")</f>
        <v>OCG</v>
      </c>
      <c r="F1661" t="s">
        <v>133</v>
      </c>
      <c r="G1661">
        <v>0.22330378291750319</v>
      </c>
      <c r="H1661" t="s">
        <v>46</v>
      </c>
      <c r="I1661" t="s">
        <v>47</v>
      </c>
      <c r="J1661" t="s">
        <v>57</v>
      </c>
      <c r="K1661">
        <v>0</v>
      </c>
      <c r="L1661">
        <v>0</v>
      </c>
    </row>
    <row r="1662" spans="1:12" hidden="1" x14ac:dyDescent="0.25">
      <c r="A1662">
        <v>66</v>
      </c>
      <c r="C1662" t="s">
        <v>3970</v>
      </c>
      <c r="D1662" t="s">
        <v>57</v>
      </c>
      <c r="E1662" t="str">
        <f>_xlfn.XLOOKUP(F1662, Keys!B:B, Keys!A:A, "找不到")</f>
        <v>OCG</v>
      </c>
      <c r="F1662" t="s">
        <v>133</v>
      </c>
      <c r="G1662">
        <v>0.25431891375170268</v>
      </c>
      <c r="H1662" t="s">
        <v>46</v>
      </c>
      <c r="I1662" t="s">
        <v>47</v>
      </c>
      <c r="J1662" t="s">
        <v>57</v>
      </c>
      <c r="K1662">
        <v>0</v>
      </c>
      <c r="L1662">
        <v>0</v>
      </c>
    </row>
    <row r="1663" spans="1:12" hidden="1" x14ac:dyDescent="0.25">
      <c r="A1663">
        <v>971</v>
      </c>
      <c r="B1663" t="s">
        <v>2605</v>
      </c>
      <c r="C1663" t="s">
        <v>2606</v>
      </c>
      <c r="D1663" t="s">
        <v>2712</v>
      </c>
      <c r="E1663" t="str">
        <f>_xlfn.XLOOKUP(F1663, Keys!B:B, Keys!A:A, "找不到")</f>
        <v>OCG</v>
      </c>
      <c r="F1663" t="s">
        <v>133</v>
      </c>
      <c r="G1663">
        <v>7.2191602792071194E-2</v>
      </c>
      <c r="H1663" t="s">
        <v>46</v>
      </c>
      <c r="I1663" t="s">
        <v>47</v>
      </c>
      <c r="J1663" t="s">
        <v>2768</v>
      </c>
      <c r="K1663">
        <v>0</v>
      </c>
      <c r="L1663">
        <v>80.115488579903911</v>
      </c>
    </row>
    <row r="1664" spans="1:12" hidden="1" x14ac:dyDescent="0.25">
      <c r="A1664">
        <v>152</v>
      </c>
      <c r="B1664" t="s">
        <v>2605</v>
      </c>
      <c r="C1664" t="s">
        <v>2606</v>
      </c>
      <c r="D1664">
        <v>0</v>
      </c>
      <c r="E1664" t="str">
        <f>_xlfn.XLOOKUP(F1664, Keys!B:B, Keys!A:A, "找不到")</f>
        <v>OCG</v>
      </c>
      <c r="F1664" t="s">
        <v>133</v>
      </c>
      <c r="G1664">
        <v>1.504495466877644</v>
      </c>
      <c r="H1664" t="s">
        <v>46</v>
      </c>
      <c r="I1664" t="s">
        <v>47</v>
      </c>
      <c r="J1664" t="s">
        <v>2756</v>
      </c>
      <c r="K1664">
        <v>0</v>
      </c>
      <c r="L1664">
        <v>318.68492088456281</v>
      </c>
    </row>
    <row r="1665" spans="1:12" hidden="1" x14ac:dyDescent="0.25">
      <c r="A1665">
        <v>404</v>
      </c>
      <c r="B1665" t="s">
        <v>2605</v>
      </c>
      <c r="C1665" t="s">
        <v>2606</v>
      </c>
      <c r="D1665">
        <v>0</v>
      </c>
      <c r="E1665" t="str">
        <f>_xlfn.XLOOKUP(F1665, Keys!B:B, Keys!A:A, "找不到")</f>
        <v>OCG</v>
      </c>
      <c r="F1665" t="s">
        <v>133</v>
      </c>
      <c r="G1665">
        <v>0.14387264151342391</v>
      </c>
      <c r="H1665" t="s">
        <v>60</v>
      </c>
      <c r="I1665" t="s">
        <v>66</v>
      </c>
      <c r="J1665" t="s">
        <v>3241</v>
      </c>
      <c r="K1665">
        <v>0</v>
      </c>
      <c r="L1665">
        <v>112.3543449012594</v>
      </c>
    </row>
    <row r="1666" spans="1:12" hidden="1" x14ac:dyDescent="0.25">
      <c r="A1666">
        <v>902</v>
      </c>
      <c r="B1666" t="s">
        <v>2605</v>
      </c>
      <c r="C1666" t="s">
        <v>2606</v>
      </c>
      <c r="D1666">
        <v>0</v>
      </c>
      <c r="E1666" t="str">
        <f>_xlfn.XLOOKUP(F1666, Keys!B:B, Keys!A:A, "找不到")</f>
        <v>OCG</v>
      </c>
      <c r="F1666" t="s">
        <v>133</v>
      </c>
      <c r="G1666">
        <v>0.41380923084209731</v>
      </c>
      <c r="H1666" t="s">
        <v>60</v>
      </c>
      <c r="I1666" t="s">
        <v>66</v>
      </c>
      <c r="J1666" t="s">
        <v>2777</v>
      </c>
      <c r="K1666">
        <v>0</v>
      </c>
      <c r="L1666">
        <v>167.86465614284421</v>
      </c>
    </row>
    <row r="1667" spans="1:12" hidden="1" x14ac:dyDescent="0.25">
      <c r="A1667">
        <v>973</v>
      </c>
      <c r="B1667" t="s">
        <v>2605</v>
      </c>
      <c r="C1667" t="s">
        <v>2606</v>
      </c>
      <c r="D1667" t="s">
        <v>2702</v>
      </c>
      <c r="E1667" t="str">
        <f>_xlfn.XLOOKUP(F1667, Keys!B:B, Keys!A:A, "找不到")</f>
        <v>OCG</v>
      </c>
      <c r="F1667" t="s">
        <v>133</v>
      </c>
      <c r="G1667">
        <v>0.2004875249088853</v>
      </c>
      <c r="H1667" t="s">
        <v>60</v>
      </c>
      <c r="I1667" t="s">
        <v>66</v>
      </c>
      <c r="J1667" t="s">
        <v>3135</v>
      </c>
      <c r="K1667">
        <v>0</v>
      </c>
      <c r="L1667">
        <v>142.685049138995</v>
      </c>
    </row>
    <row r="1668" spans="1:12" hidden="1" x14ac:dyDescent="0.25">
      <c r="A1668">
        <v>974</v>
      </c>
      <c r="B1668" t="s">
        <v>2605</v>
      </c>
      <c r="C1668" t="s">
        <v>2606</v>
      </c>
      <c r="D1668" t="s">
        <v>2702</v>
      </c>
      <c r="E1668" t="str">
        <f>_xlfn.XLOOKUP(F1668, Keys!B:B, Keys!A:A, "找不到")</f>
        <v>OCG</v>
      </c>
      <c r="F1668" t="s">
        <v>133</v>
      </c>
      <c r="G1668">
        <v>0.55855974282215204</v>
      </c>
      <c r="H1668" t="s">
        <v>60</v>
      </c>
      <c r="I1668" t="s">
        <v>66</v>
      </c>
      <c r="J1668" t="s">
        <v>3135</v>
      </c>
      <c r="K1668">
        <v>0</v>
      </c>
      <c r="L1668">
        <v>299.15384605339818</v>
      </c>
    </row>
    <row r="1669" spans="1:12" hidden="1" x14ac:dyDescent="0.25">
      <c r="A1669">
        <v>981</v>
      </c>
      <c r="B1669" t="s">
        <v>2605</v>
      </c>
      <c r="C1669" t="s">
        <v>2606</v>
      </c>
      <c r="D1669">
        <v>0</v>
      </c>
      <c r="E1669" t="str">
        <f>_xlfn.XLOOKUP(F1669, Keys!B:B, Keys!A:A, "找不到")</f>
        <v>OCG</v>
      </c>
      <c r="F1669" t="s">
        <v>133</v>
      </c>
      <c r="G1669">
        <v>0.57826864055059413</v>
      </c>
      <c r="H1669" t="s">
        <v>46</v>
      </c>
      <c r="I1669" t="s">
        <v>47</v>
      </c>
      <c r="J1669" t="s">
        <v>2801</v>
      </c>
      <c r="K1669">
        <v>0</v>
      </c>
      <c r="L1669">
        <v>203.92222213152999</v>
      </c>
    </row>
    <row r="1670" spans="1:12" hidden="1" x14ac:dyDescent="0.25">
      <c r="A1670">
        <v>987</v>
      </c>
      <c r="B1670" t="s">
        <v>2605</v>
      </c>
      <c r="C1670" t="s">
        <v>2606</v>
      </c>
      <c r="D1670">
        <v>0</v>
      </c>
      <c r="E1670" t="str">
        <f>_xlfn.XLOOKUP(F1670, Keys!B:B, Keys!A:A, "找不到")</f>
        <v>OCG</v>
      </c>
      <c r="F1670" t="s">
        <v>133</v>
      </c>
      <c r="G1670">
        <v>0.12551354339852949</v>
      </c>
      <c r="H1670" t="s">
        <v>60</v>
      </c>
      <c r="I1670" t="s">
        <v>66</v>
      </c>
      <c r="J1670" t="s">
        <v>3241</v>
      </c>
      <c r="K1670">
        <v>0</v>
      </c>
      <c r="L1670">
        <v>113.31671109790069</v>
      </c>
    </row>
    <row r="1671" spans="1:12" hidden="1" x14ac:dyDescent="0.25">
      <c r="A1671">
        <v>1005</v>
      </c>
      <c r="B1671" t="s">
        <v>2605</v>
      </c>
      <c r="C1671" t="s">
        <v>2606</v>
      </c>
      <c r="D1671" t="s">
        <v>2702</v>
      </c>
      <c r="E1671" t="str">
        <f>_xlfn.XLOOKUP(F1671, Keys!B:B, Keys!A:A, "找不到")</f>
        <v>OCG</v>
      </c>
      <c r="F1671" t="s">
        <v>133</v>
      </c>
      <c r="G1671">
        <v>6.1973202617245211E-2</v>
      </c>
      <c r="H1671" t="s">
        <v>46</v>
      </c>
      <c r="I1671" t="s">
        <v>47</v>
      </c>
      <c r="J1671" t="s">
        <v>2883</v>
      </c>
      <c r="K1671">
        <v>0</v>
      </c>
      <c r="L1671">
        <v>67.835710629110878</v>
      </c>
    </row>
    <row r="1672" spans="1:12" hidden="1" x14ac:dyDescent="0.25">
      <c r="A1672">
        <v>1067</v>
      </c>
      <c r="B1672" t="s">
        <v>2605</v>
      </c>
      <c r="C1672" t="s">
        <v>2606</v>
      </c>
      <c r="D1672" t="s">
        <v>2712</v>
      </c>
      <c r="E1672" t="str">
        <f>_xlfn.XLOOKUP(F1672, Keys!B:B, Keys!A:A, "找不到")</f>
        <v>OCG</v>
      </c>
      <c r="F1672" t="s">
        <v>133</v>
      </c>
      <c r="G1672">
        <v>0.36706701398955111</v>
      </c>
      <c r="H1672" t="s">
        <v>46</v>
      </c>
      <c r="I1672" t="s">
        <v>47</v>
      </c>
      <c r="J1672" t="s">
        <v>2722</v>
      </c>
      <c r="K1672">
        <v>0</v>
      </c>
      <c r="L1672">
        <v>208.4504218620699</v>
      </c>
    </row>
    <row r="1673" spans="1:12" hidden="1" x14ac:dyDescent="0.25">
      <c r="A1673">
        <v>1099</v>
      </c>
      <c r="B1673" t="s">
        <v>2605</v>
      </c>
      <c r="C1673" t="s">
        <v>2606</v>
      </c>
      <c r="D1673">
        <v>0</v>
      </c>
      <c r="E1673" t="str">
        <f>_xlfn.XLOOKUP(F1673, Keys!B:B, Keys!A:A, "找不到")</f>
        <v>OCG</v>
      </c>
      <c r="F1673" t="s">
        <v>133</v>
      </c>
      <c r="G1673">
        <v>0.1237124303686999</v>
      </c>
      <c r="H1673" t="s">
        <v>46</v>
      </c>
      <c r="I1673" t="s">
        <v>47</v>
      </c>
      <c r="J1673" t="s">
        <v>2801</v>
      </c>
      <c r="K1673">
        <v>0</v>
      </c>
      <c r="L1673">
        <v>96.75018869818166</v>
      </c>
    </row>
    <row r="1674" spans="1:12" hidden="1" x14ac:dyDescent="0.25">
      <c r="A1674">
        <v>261</v>
      </c>
      <c r="B1674" t="s">
        <v>2042</v>
      </c>
      <c r="C1674" t="s">
        <v>972</v>
      </c>
      <c r="D1674">
        <v>0</v>
      </c>
      <c r="E1674" t="str">
        <f>_xlfn.XLOOKUP(F1674, Keys!B:B, Keys!A:A, "找不到")</f>
        <v>OCG</v>
      </c>
      <c r="F1674" t="s">
        <v>133</v>
      </c>
      <c r="G1674">
        <v>0.36523771126942739</v>
      </c>
      <c r="H1674" t="s">
        <v>60</v>
      </c>
      <c r="I1674" t="s">
        <v>66</v>
      </c>
      <c r="J1674" t="s">
        <v>2519</v>
      </c>
      <c r="K1674">
        <v>149.76076579071079</v>
      </c>
      <c r="L1674">
        <v>1478.0704898294059</v>
      </c>
    </row>
    <row r="1675" spans="1:12" hidden="1" x14ac:dyDescent="0.25">
      <c r="A1675">
        <v>262</v>
      </c>
      <c r="B1675" t="s">
        <v>2042</v>
      </c>
      <c r="C1675" t="s">
        <v>972</v>
      </c>
      <c r="D1675">
        <v>0</v>
      </c>
      <c r="E1675" t="str">
        <f>_xlfn.XLOOKUP(F1675, Keys!B:B, Keys!A:A, "找不到")</f>
        <v>OCG</v>
      </c>
      <c r="F1675" t="s">
        <v>133</v>
      </c>
      <c r="G1675">
        <v>0.96203433813328088</v>
      </c>
      <c r="H1675" t="s">
        <v>60</v>
      </c>
      <c r="I1675" t="s">
        <v>66</v>
      </c>
      <c r="J1675" t="s">
        <v>2519</v>
      </c>
      <c r="K1675">
        <v>258.34147325603521</v>
      </c>
      <c r="L1675">
        <v>3893.2304127500788</v>
      </c>
    </row>
    <row r="1676" spans="1:12" hidden="1" x14ac:dyDescent="0.25">
      <c r="A1676">
        <v>304</v>
      </c>
      <c r="B1676" t="s">
        <v>2042</v>
      </c>
      <c r="C1676" t="s">
        <v>972</v>
      </c>
      <c r="D1676">
        <v>0</v>
      </c>
      <c r="E1676" t="str">
        <f>_xlfn.XLOOKUP(F1676, Keys!B:B, Keys!A:A, "找不到")</f>
        <v>OCG</v>
      </c>
      <c r="F1676" t="s">
        <v>133</v>
      </c>
      <c r="G1676">
        <v>0.1050180337173801</v>
      </c>
      <c r="H1676" t="s">
        <v>73</v>
      </c>
      <c r="I1676" t="s">
        <v>74</v>
      </c>
      <c r="J1676">
        <v>0</v>
      </c>
      <c r="K1676">
        <v>86.882731755804073</v>
      </c>
      <c r="L1676">
        <v>424.99460419371633</v>
      </c>
    </row>
    <row r="1677" spans="1:12" hidden="1" x14ac:dyDescent="0.25">
      <c r="A1677">
        <v>371</v>
      </c>
      <c r="B1677" t="s">
        <v>2042</v>
      </c>
      <c r="C1677" t="s">
        <v>972</v>
      </c>
      <c r="D1677" t="s">
        <v>2241</v>
      </c>
      <c r="E1677" t="str">
        <f>_xlfn.XLOOKUP(F1677, Keys!B:B, Keys!A:A, "找不到")</f>
        <v>OCG</v>
      </c>
      <c r="F1677" t="s">
        <v>133</v>
      </c>
      <c r="G1677">
        <v>0.26671513395003232</v>
      </c>
      <c r="H1677" t="s">
        <v>46</v>
      </c>
      <c r="I1677" t="s">
        <v>47</v>
      </c>
      <c r="J1677" t="s">
        <v>2293</v>
      </c>
      <c r="K1677">
        <v>133.91414481540079</v>
      </c>
      <c r="L1677">
        <v>1079.3621702213279</v>
      </c>
    </row>
    <row r="1678" spans="1:12" hidden="1" x14ac:dyDescent="0.25">
      <c r="A1678">
        <v>383</v>
      </c>
      <c r="B1678" t="s">
        <v>2042</v>
      </c>
      <c r="C1678" t="s">
        <v>972</v>
      </c>
      <c r="D1678">
        <v>0</v>
      </c>
      <c r="E1678" t="str">
        <f>_xlfn.XLOOKUP(F1678, Keys!B:B, Keys!A:A, "找不到")</f>
        <v>OCG</v>
      </c>
      <c r="F1678" t="s">
        <v>133</v>
      </c>
      <c r="G1678">
        <v>9.9097104376470527E-2</v>
      </c>
      <c r="H1678" t="s">
        <v>60</v>
      </c>
      <c r="I1678" t="s">
        <v>66</v>
      </c>
      <c r="J1678">
        <v>0</v>
      </c>
      <c r="K1678">
        <v>81.30834534637944</v>
      </c>
      <c r="L1678">
        <v>401.03335741898837</v>
      </c>
    </row>
    <row r="1679" spans="1:12" hidden="1" x14ac:dyDescent="0.25">
      <c r="A1679">
        <v>11</v>
      </c>
      <c r="B1679" t="s">
        <v>1026</v>
      </c>
      <c r="C1679" t="s">
        <v>1027</v>
      </c>
      <c r="D1679">
        <v>0</v>
      </c>
      <c r="E1679" t="str">
        <f>_xlfn.XLOOKUP(F1679, Keys!B:B, Keys!A:A, "找不到")</f>
        <v>OCG</v>
      </c>
      <c r="F1679" t="s">
        <v>133</v>
      </c>
      <c r="G1679">
        <v>0.12800770238242701</v>
      </c>
      <c r="H1679" t="s">
        <v>46</v>
      </c>
      <c r="I1679" t="s">
        <v>47</v>
      </c>
      <c r="J1679" t="s">
        <v>1046</v>
      </c>
      <c r="K1679">
        <v>95.204194452119381</v>
      </c>
      <c r="L1679">
        <v>518.03086462437886</v>
      </c>
    </row>
    <row r="1680" spans="1:12" hidden="1" x14ac:dyDescent="0.25">
      <c r="A1680">
        <v>163</v>
      </c>
      <c r="B1680" t="s">
        <v>1026</v>
      </c>
      <c r="C1680" t="s">
        <v>1027</v>
      </c>
      <c r="D1680" t="s">
        <v>57</v>
      </c>
      <c r="E1680" t="str">
        <f>_xlfn.XLOOKUP(F1680, Keys!B:B, Keys!A:A, "找不到")</f>
        <v>OCG</v>
      </c>
      <c r="F1680" t="s">
        <v>133</v>
      </c>
      <c r="G1680">
        <v>8.7809524370167716E-2</v>
      </c>
      <c r="H1680" t="s">
        <v>73</v>
      </c>
      <c r="I1680" t="s">
        <v>74</v>
      </c>
      <c r="J1680" t="s">
        <v>1343</v>
      </c>
      <c r="K1680">
        <v>90.36765373424123</v>
      </c>
      <c r="L1680">
        <v>355.35395905971728</v>
      </c>
    </row>
    <row r="1681" spans="1:12" hidden="1" x14ac:dyDescent="0.25">
      <c r="A1681">
        <v>164</v>
      </c>
      <c r="B1681" t="s">
        <v>1026</v>
      </c>
      <c r="C1681" t="s">
        <v>1027</v>
      </c>
      <c r="D1681" t="s">
        <v>57</v>
      </c>
      <c r="E1681" t="str">
        <f>_xlfn.XLOOKUP(F1681, Keys!B:B, Keys!A:A, "找不到")</f>
        <v>OCG</v>
      </c>
      <c r="F1681" t="s">
        <v>133</v>
      </c>
      <c r="G1681">
        <v>0.2198061788313618</v>
      </c>
      <c r="H1681" t="s">
        <v>73</v>
      </c>
      <c r="I1681" t="s">
        <v>74</v>
      </c>
      <c r="J1681" t="s">
        <v>1343</v>
      </c>
      <c r="K1681">
        <v>117.3737318566027</v>
      </c>
      <c r="L1681">
        <v>889.52760459375975</v>
      </c>
    </row>
    <row r="1682" spans="1:12" hidden="1" x14ac:dyDescent="0.25">
      <c r="A1682">
        <v>165</v>
      </c>
      <c r="B1682" t="s">
        <v>1026</v>
      </c>
      <c r="C1682" t="s">
        <v>1027</v>
      </c>
      <c r="D1682" t="s">
        <v>57</v>
      </c>
      <c r="E1682" t="str">
        <f>_xlfn.XLOOKUP(F1682, Keys!B:B, Keys!A:A, "找不到")</f>
        <v>OCG</v>
      </c>
      <c r="F1682" t="s">
        <v>133</v>
      </c>
      <c r="G1682">
        <v>1.132678845083489</v>
      </c>
      <c r="H1682" t="s">
        <v>73</v>
      </c>
      <c r="I1682" t="s">
        <v>74</v>
      </c>
      <c r="J1682" t="s">
        <v>1349</v>
      </c>
      <c r="K1682">
        <v>333.29207760024059</v>
      </c>
      <c r="L1682">
        <v>4583.8069939523721</v>
      </c>
    </row>
    <row r="1683" spans="1:12" hidden="1" x14ac:dyDescent="0.25">
      <c r="A1683">
        <v>166</v>
      </c>
      <c r="B1683" t="s">
        <v>1026</v>
      </c>
      <c r="C1683" t="s">
        <v>1027</v>
      </c>
      <c r="D1683" t="s">
        <v>57</v>
      </c>
      <c r="E1683" t="str">
        <f>_xlfn.XLOOKUP(F1683, Keys!B:B, Keys!A:A, "找不到")</f>
        <v>OCG</v>
      </c>
      <c r="F1683" t="s">
        <v>133</v>
      </c>
      <c r="G1683">
        <v>0.95182234501959029</v>
      </c>
      <c r="H1683" t="s">
        <v>73</v>
      </c>
      <c r="I1683" t="s">
        <v>74</v>
      </c>
      <c r="J1683" t="s">
        <v>1353</v>
      </c>
      <c r="K1683">
        <v>387.59984116299972</v>
      </c>
      <c r="L1683">
        <v>3851.9037775260599</v>
      </c>
    </row>
    <row r="1684" spans="1:12" hidden="1" x14ac:dyDescent="0.25">
      <c r="A1684">
        <v>167</v>
      </c>
      <c r="B1684" t="s">
        <v>1026</v>
      </c>
      <c r="C1684" t="s">
        <v>1027</v>
      </c>
      <c r="D1684">
        <v>0</v>
      </c>
      <c r="E1684" t="str">
        <f>_xlfn.XLOOKUP(F1684, Keys!B:B, Keys!A:A, "找不到")</f>
        <v>OCG</v>
      </c>
      <c r="F1684" t="s">
        <v>133</v>
      </c>
      <c r="G1684">
        <v>1.616105448922704</v>
      </c>
      <c r="H1684" t="s">
        <v>73</v>
      </c>
      <c r="I1684" t="s">
        <v>74</v>
      </c>
      <c r="J1684" t="s">
        <v>1353</v>
      </c>
      <c r="K1684">
        <v>336.36737262636848</v>
      </c>
      <c r="L1684">
        <v>6540.1728759138232</v>
      </c>
    </row>
    <row r="1685" spans="1:12" hidden="1" x14ac:dyDescent="0.25">
      <c r="A1685">
        <v>199</v>
      </c>
      <c r="B1685" t="s">
        <v>1026</v>
      </c>
      <c r="C1685" t="s">
        <v>1027</v>
      </c>
      <c r="D1685">
        <v>0</v>
      </c>
      <c r="E1685" t="str">
        <f>_xlfn.XLOOKUP(F1685, Keys!B:B, Keys!A:A, "找不到")</f>
        <v>OCG</v>
      </c>
      <c r="F1685" t="s">
        <v>133</v>
      </c>
      <c r="G1685">
        <v>0.202253383656638</v>
      </c>
      <c r="H1685" t="s">
        <v>60</v>
      </c>
      <c r="I1685" t="s">
        <v>66</v>
      </c>
      <c r="J1685" t="s">
        <v>1278</v>
      </c>
      <c r="K1685">
        <v>131.91152618333851</v>
      </c>
      <c r="L1685">
        <v>818.49367857443713</v>
      </c>
    </row>
    <row r="1686" spans="1:12" hidden="1" x14ac:dyDescent="0.25">
      <c r="A1686">
        <v>266</v>
      </c>
      <c r="B1686" t="s">
        <v>1026</v>
      </c>
      <c r="C1686" t="s">
        <v>1027</v>
      </c>
      <c r="D1686">
        <v>0</v>
      </c>
      <c r="E1686" t="str">
        <f>_xlfn.XLOOKUP(F1686, Keys!B:B, Keys!A:A, "找不到")</f>
        <v>OCG</v>
      </c>
      <c r="F1686" t="s">
        <v>133</v>
      </c>
      <c r="G1686">
        <v>0.28291494541176498</v>
      </c>
      <c r="H1686" t="s">
        <v>73</v>
      </c>
      <c r="I1686" t="s">
        <v>74</v>
      </c>
      <c r="J1686" t="s">
        <v>1353</v>
      </c>
      <c r="K1686">
        <v>189.8785050137063</v>
      </c>
      <c r="L1686">
        <v>1144.9207435109411</v>
      </c>
    </row>
    <row r="1687" spans="1:12" hidden="1" x14ac:dyDescent="0.25">
      <c r="A1687">
        <v>270</v>
      </c>
      <c r="B1687" t="s">
        <v>1026</v>
      </c>
      <c r="C1687" t="s">
        <v>1027</v>
      </c>
      <c r="D1687">
        <v>0</v>
      </c>
      <c r="E1687" t="str">
        <f>_xlfn.XLOOKUP(F1687, Keys!B:B, Keys!A:A, "找不到")</f>
        <v>OCG</v>
      </c>
      <c r="F1687" t="s">
        <v>133</v>
      </c>
      <c r="G1687">
        <v>0.33357991070999338</v>
      </c>
      <c r="H1687" t="s">
        <v>73</v>
      </c>
      <c r="I1687" t="s">
        <v>74</v>
      </c>
      <c r="J1687" t="s">
        <v>1028</v>
      </c>
      <c r="K1687">
        <v>186.99784617145241</v>
      </c>
      <c r="L1687">
        <v>1349.9554038565709</v>
      </c>
    </row>
    <row r="1688" spans="1:12" hidden="1" x14ac:dyDescent="0.25">
      <c r="A1688">
        <v>97</v>
      </c>
      <c r="B1688" t="s">
        <v>378</v>
      </c>
      <c r="C1688" t="s">
        <v>379</v>
      </c>
      <c r="D1688">
        <v>0</v>
      </c>
      <c r="E1688" t="str">
        <f>_xlfn.XLOOKUP(F1688, Keys!B:B, Keys!A:A, "找不到")</f>
        <v>OCG</v>
      </c>
      <c r="F1688" t="s">
        <v>133</v>
      </c>
      <c r="G1688">
        <v>6.192325516497426E-2</v>
      </c>
      <c r="H1688" t="s">
        <v>60</v>
      </c>
      <c r="I1688" t="s">
        <v>66</v>
      </c>
      <c r="J1688" t="s">
        <v>653</v>
      </c>
      <c r="K1688">
        <v>86.725481165620579</v>
      </c>
      <c r="L1688">
        <v>250.5955252413886</v>
      </c>
    </row>
    <row r="1689" spans="1:12" hidden="1" x14ac:dyDescent="0.25">
      <c r="A1689">
        <v>98</v>
      </c>
      <c r="B1689" t="s">
        <v>378</v>
      </c>
      <c r="C1689" t="s">
        <v>379</v>
      </c>
      <c r="D1689">
        <v>0</v>
      </c>
      <c r="E1689" t="str">
        <f>_xlfn.XLOOKUP(F1689, Keys!B:B, Keys!A:A, "找不到")</f>
        <v>OCG</v>
      </c>
      <c r="F1689" t="s">
        <v>133</v>
      </c>
      <c r="G1689">
        <v>9.7827778386751114E-3</v>
      </c>
      <c r="H1689" t="s">
        <v>60</v>
      </c>
      <c r="I1689" t="s">
        <v>66</v>
      </c>
      <c r="J1689" t="s">
        <v>659</v>
      </c>
      <c r="K1689">
        <v>29.062469365034701</v>
      </c>
      <c r="L1689">
        <v>39.589655683819139</v>
      </c>
    </row>
    <row r="1690" spans="1:12" x14ac:dyDescent="0.25">
      <c r="A1690">
        <v>102</v>
      </c>
      <c r="B1690" t="s">
        <v>42</v>
      </c>
      <c r="C1690" t="s">
        <v>36</v>
      </c>
      <c r="D1690" t="s">
        <v>43</v>
      </c>
      <c r="E1690" t="str">
        <f>_xlfn.XLOOKUP(F1690, Keys!B:B, Keys!A:A, "找不到")</f>
        <v>FA</v>
      </c>
      <c r="F1690" t="s">
        <v>63</v>
      </c>
      <c r="G1690">
        <v>12.069566529362319</v>
      </c>
      <c r="H1690" t="s">
        <v>64</v>
      </c>
      <c r="I1690" t="s">
        <v>65</v>
      </c>
      <c r="J1690">
        <v>0</v>
      </c>
      <c r="K1690">
        <v>2602.73559530579</v>
      </c>
      <c r="L1690">
        <v>48843.998200731403</v>
      </c>
    </row>
    <row r="1691" spans="1:12" hidden="1" x14ac:dyDescent="0.25">
      <c r="A1691">
        <v>1075</v>
      </c>
      <c r="B1691">
        <v>0</v>
      </c>
      <c r="C1691" t="s">
        <v>2606</v>
      </c>
      <c r="D1691">
        <v>0</v>
      </c>
      <c r="E1691" t="str">
        <f>_xlfn.XLOOKUP(F1691, Keys!B:B, Keys!A:A, "找不到")</f>
        <v>ONG</v>
      </c>
      <c r="F1691" t="s">
        <v>130</v>
      </c>
      <c r="G1691">
        <v>0.15386750886012149</v>
      </c>
      <c r="H1691" t="s">
        <v>60</v>
      </c>
      <c r="I1691" t="s">
        <v>66</v>
      </c>
      <c r="J1691">
        <v>0</v>
      </c>
      <c r="K1691">
        <v>0</v>
      </c>
      <c r="L1691">
        <v>121.9496022520117</v>
      </c>
    </row>
    <row r="1692" spans="1:12" hidden="1" x14ac:dyDescent="0.25">
      <c r="A1692">
        <v>39</v>
      </c>
      <c r="B1692" t="s">
        <v>2605</v>
      </c>
      <c r="C1692" t="s">
        <v>2606</v>
      </c>
      <c r="D1692">
        <v>0</v>
      </c>
      <c r="E1692" t="str">
        <f>_xlfn.XLOOKUP(F1692, Keys!B:B, Keys!A:A, "找不到")</f>
        <v>ONG</v>
      </c>
      <c r="F1692" t="s">
        <v>130</v>
      </c>
      <c r="G1692">
        <v>0.69188661205811575</v>
      </c>
      <c r="H1692" t="s">
        <v>73</v>
      </c>
      <c r="I1692" t="s">
        <v>74</v>
      </c>
      <c r="J1692" t="s">
        <v>2691</v>
      </c>
      <c r="K1692">
        <v>0</v>
      </c>
      <c r="L1692">
        <v>215.1876523734656</v>
      </c>
    </row>
    <row r="1693" spans="1:12" hidden="1" x14ac:dyDescent="0.25">
      <c r="A1693">
        <v>944</v>
      </c>
      <c r="B1693" t="s">
        <v>2605</v>
      </c>
      <c r="C1693" t="s">
        <v>2606</v>
      </c>
      <c r="D1693">
        <v>0</v>
      </c>
      <c r="E1693" t="str">
        <f>_xlfn.XLOOKUP(F1693, Keys!B:B, Keys!A:A, "找不到")</f>
        <v>ONG</v>
      </c>
      <c r="F1693" t="s">
        <v>130</v>
      </c>
      <c r="G1693">
        <v>0.29464589391631962</v>
      </c>
      <c r="H1693" t="s">
        <v>73</v>
      </c>
      <c r="I1693" t="s">
        <v>74</v>
      </c>
      <c r="J1693" t="s">
        <v>57</v>
      </c>
      <c r="K1693">
        <v>0</v>
      </c>
      <c r="L1693">
        <v>236.46199779035149</v>
      </c>
    </row>
    <row r="1694" spans="1:12" hidden="1" x14ac:dyDescent="0.25">
      <c r="A1694">
        <v>276</v>
      </c>
      <c r="B1694" t="s">
        <v>1026</v>
      </c>
      <c r="C1694" t="s">
        <v>1027</v>
      </c>
      <c r="D1694">
        <v>0</v>
      </c>
      <c r="E1694" t="str">
        <f>_xlfn.XLOOKUP(F1694, Keys!B:B, Keys!A:A, "找不到")</f>
        <v>ONG</v>
      </c>
      <c r="F1694" t="s">
        <v>130</v>
      </c>
      <c r="G1694">
        <v>0.49813070989548602</v>
      </c>
      <c r="H1694" t="s">
        <v>73</v>
      </c>
      <c r="I1694" t="s">
        <v>74</v>
      </c>
      <c r="J1694" t="s">
        <v>1365</v>
      </c>
      <c r="K1694">
        <v>176.56399484788761</v>
      </c>
      <c r="L1694">
        <v>2015.871526013259</v>
      </c>
    </row>
    <row r="1695" spans="1:12" hidden="1" x14ac:dyDescent="0.25">
      <c r="A1695">
        <v>283</v>
      </c>
      <c r="B1695" t="s">
        <v>1026</v>
      </c>
      <c r="C1695" t="s">
        <v>1027</v>
      </c>
      <c r="D1695">
        <v>0</v>
      </c>
      <c r="E1695" t="str">
        <f>_xlfn.XLOOKUP(F1695, Keys!B:B, Keys!A:A, "找不到")</f>
        <v>ONG</v>
      </c>
      <c r="F1695" t="s">
        <v>130</v>
      </c>
      <c r="G1695">
        <v>8.2460485461332708E-2</v>
      </c>
      <c r="H1695" t="s">
        <v>73</v>
      </c>
      <c r="I1695" t="s">
        <v>74</v>
      </c>
      <c r="J1695">
        <v>0</v>
      </c>
      <c r="K1695">
        <v>82.363860197023968</v>
      </c>
      <c r="L1695">
        <v>333.70708001040128</v>
      </c>
    </row>
    <row r="1696" spans="1:12" hidden="1" x14ac:dyDescent="0.25">
      <c r="A1696">
        <v>150</v>
      </c>
      <c r="B1696" t="s">
        <v>152</v>
      </c>
      <c r="C1696" t="s">
        <v>149</v>
      </c>
      <c r="D1696">
        <v>0</v>
      </c>
      <c r="E1696" t="str">
        <f>_xlfn.XLOOKUP(F1696, Keys!B:B, Keys!A:A, "找不到")</f>
        <v>ONG</v>
      </c>
      <c r="F1696" t="s">
        <v>130</v>
      </c>
      <c r="G1696">
        <v>0.26217608318449948</v>
      </c>
      <c r="H1696" t="s">
        <v>73</v>
      </c>
      <c r="I1696" t="s">
        <v>74</v>
      </c>
      <c r="J1696" t="s">
        <v>57</v>
      </c>
      <c r="K1696">
        <v>130.32283613073429</v>
      </c>
      <c r="L1696">
        <v>1060.993210003465</v>
      </c>
    </row>
    <row r="1697" spans="1:12" x14ac:dyDescent="0.25">
      <c r="A1697">
        <v>104</v>
      </c>
      <c r="B1697" t="s">
        <v>42</v>
      </c>
      <c r="C1697" t="s">
        <v>36</v>
      </c>
      <c r="D1697" t="s">
        <v>43</v>
      </c>
      <c r="E1697" t="str">
        <f>_xlfn.XLOOKUP(F1697, Keys!B:B, Keys!A:A, "找不到")</f>
        <v>FA</v>
      </c>
      <c r="F1697" t="s">
        <v>63</v>
      </c>
      <c r="G1697">
        <v>2.7148742286858281</v>
      </c>
      <c r="H1697" t="s">
        <v>64</v>
      </c>
      <c r="I1697" t="s">
        <v>65</v>
      </c>
      <c r="J1697">
        <v>0</v>
      </c>
      <c r="K1697">
        <v>455.1193508213658</v>
      </c>
      <c r="L1697">
        <v>10986.750155322159</v>
      </c>
    </row>
    <row r="1698" spans="1:12" hidden="1" x14ac:dyDescent="0.25">
      <c r="A1698">
        <v>1057</v>
      </c>
      <c r="B1698" t="s">
        <v>2605</v>
      </c>
      <c r="C1698" t="s">
        <v>2606</v>
      </c>
      <c r="D1698">
        <v>0</v>
      </c>
      <c r="E1698" t="str">
        <f>_xlfn.XLOOKUP(F1698, Keys!B:B, Keys!A:A, "找不到")</f>
        <v>OUT</v>
      </c>
      <c r="F1698" t="s">
        <v>403</v>
      </c>
      <c r="G1698">
        <v>0.1141860538515433</v>
      </c>
      <c r="H1698">
        <v>0</v>
      </c>
      <c r="I1698">
        <v>0</v>
      </c>
      <c r="J1698">
        <v>0</v>
      </c>
      <c r="K1698">
        <v>0</v>
      </c>
      <c r="L1698">
        <v>90.844492170580907</v>
      </c>
    </row>
    <row r="1699" spans="1:12" hidden="1" x14ac:dyDescent="0.25">
      <c r="A1699">
        <v>1078</v>
      </c>
      <c r="B1699">
        <v>0</v>
      </c>
      <c r="C1699" t="s">
        <v>2606</v>
      </c>
      <c r="D1699">
        <v>0</v>
      </c>
      <c r="E1699" t="str">
        <f>_xlfn.XLOOKUP(F1699, Keys!B:B, Keys!A:A, "找不到")</f>
        <v>OUT</v>
      </c>
      <c r="F1699" t="s">
        <v>403</v>
      </c>
      <c r="G1699">
        <v>0.52357588120885434</v>
      </c>
      <c r="H1699">
        <v>0</v>
      </c>
      <c r="I1699">
        <v>0</v>
      </c>
      <c r="J1699" t="s">
        <v>3883</v>
      </c>
      <c r="K1699">
        <v>0</v>
      </c>
      <c r="L1699">
        <v>211.17943943045239</v>
      </c>
    </row>
    <row r="1700" spans="1:12" hidden="1" x14ac:dyDescent="0.25">
      <c r="A1700">
        <v>12</v>
      </c>
      <c r="C1700" t="s">
        <v>3970</v>
      </c>
      <c r="D1700" t="s">
        <v>57</v>
      </c>
      <c r="E1700" t="str">
        <f>_xlfn.XLOOKUP(F1700, Keys!B:B, Keys!A:A, "找不到")</f>
        <v>OUT</v>
      </c>
      <c r="F1700" t="s">
        <v>403</v>
      </c>
      <c r="G1700">
        <v>5.5242750573769372</v>
      </c>
      <c r="H1700">
        <v>0</v>
      </c>
      <c r="I1700" t="s">
        <v>38</v>
      </c>
      <c r="J1700" t="s">
        <v>673</v>
      </c>
      <c r="K1700">
        <v>0</v>
      </c>
      <c r="L1700">
        <v>0</v>
      </c>
    </row>
    <row r="1701" spans="1:12" hidden="1" x14ac:dyDescent="0.25">
      <c r="A1701">
        <v>13</v>
      </c>
      <c r="C1701" t="s">
        <v>3970</v>
      </c>
      <c r="D1701" t="s">
        <v>57</v>
      </c>
      <c r="E1701" t="str">
        <f>_xlfn.XLOOKUP(F1701, Keys!B:B, Keys!A:A, "找不到")</f>
        <v>OUT</v>
      </c>
      <c r="F1701" t="s">
        <v>403</v>
      </c>
      <c r="G1701">
        <v>0.27886331627004252</v>
      </c>
      <c r="H1701">
        <v>0</v>
      </c>
      <c r="I1701" t="s">
        <v>38</v>
      </c>
      <c r="J1701" t="s">
        <v>3996</v>
      </c>
      <c r="K1701">
        <v>0</v>
      </c>
      <c r="L1701">
        <v>0</v>
      </c>
    </row>
    <row r="1702" spans="1:12" hidden="1" x14ac:dyDescent="0.25">
      <c r="A1702">
        <v>16</v>
      </c>
      <c r="C1702" t="s">
        <v>3970</v>
      </c>
      <c r="D1702" t="s">
        <v>57</v>
      </c>
      <c r="E1702" t="str">
        <f>_xlfn.XLOOKUP(F1702, Keys!B:B, Keys!A:A, "找不到")</f>
        <v>OUT</v>
      </c>
      <c r="F1702" t="s">
        <v>403</v>
      </c>
      <c r="G1702">
        <v>3.222241073926472</v>
      </c>
      <c r="H1702">
        <v>0</v>
      </c>
      <c r="I1702" t="s">
        <v>38</v>
      </c>
      <c r="J1702" t="s">
        <v>673</v>
      </c>
      <c r="K1702">
        <v>0</v>
      </c>
      <c r="L1702">
        <v>0</v>
      </c>
    </row>
    <row r="1703" spans="1:12" hidden="1" x14ac:dyDescent="0.25">
      <c r="A1703">
        <v>17</v>
      </c>
      <c r="C1703" t="s">
        <v>3970</v>
      </c>
      <c r="D1703" t="s">
        <v>57</v>
      </c>
      <c r="E1703" t="str">
        <f>_xlfn.XLOOKUP(F1703, Keys!B:B, Keys!A:A, "找不到")</f>
        <v>OUT</v>
      </c>
      <c r="F1703" t="s">
        <v>403</v>
      </c>
      <c r="G1703">
        <v>3.2136736283887708</v>
      </c>
      <c r="H1703">
        <v>0</v>
      </c>
      <c r="I1703" t="s">
        <v>38</v>
      </c>
      <c r="J1703" t="s">
        <v>4005</v>
      </c>
      <c r="K1703">
        <v>0</v>
      </c>
      <c r="L1703">
        <v>0</v>
      </c>
    </row>
    <row r="1704" spans="1:12" hidden="1" x14ac:dyDescent="0.25">
      <c r="A1704">
        <v>19</v>
      </c>
      <c r="C1704" t="s">
        <v>3970</v>
      </c>
      <c r="D1704" t="s">
        <v>57</v>
      </c>
      <c r="E1704" t="str">
        <f>_xlfn.XLOOKUP(F1704, Keys!B:B, Keys!A:A, "找不到")</f>
        <v>OUT</v>
      </c>
      <c r="F1704" t="s">
        <v>403</v>
      </c>
      <c r="G1704">
        <v>3.190598673533898</v>
      </c>
      <c r="H1704">
        <v>0</v>
      </c>
      <c r="I1704" t="s">
        <v>38</v>
      </c>
      <c r="J1704" t="s">
        <v>4010</v>
      </c>
      <c r="K1704">
        <v>0</v>
      </c>
      <c r="L1704">
        <v>0</v>
      </c>
    </row>
    <row r="1705" spans="1:12" hidden="1" x14ac:dyDescent="0.25">
      <c r="A1705">
        <v>20</v>
      </c>
      <c r="C1705" t="s">
        <v>3970</v>
      </c>
      <c r="D1705" t="s">
        <v>57</v>
      </c>
      <c r="E1705" t="str">
        <f>_xlfn.XLOOKUP(F1705, Keys!B:B, Keys!A:A, "找不到")</f>
        <v>OUT</v>
      </c>
      <c r="F1705" t="s">
        <v>403</v>
      </c>
      <c r="G1705">
        <v>0.48953486553075742</v>
      </c>
      <c r="H1705">
        <v>0</v>
      </c>
      <c r="I1705" t="s">
        <v>38</v>
      </c>
      <c r="J1705" t="s">
        <v>4010</v>
      </c>
      <c r="K1705">
        <v>0</v>
      </c>
      <c r="L1705">
        <v>0</v>
      </c>
    </row>
    <row r="1706" spans="1:12" hidden="1" x14ac:dyDescent="0.25">
      <c r="A1706">
        <v>74</v>
      </c>
      <c r="C1706" t="s">
        <v>3970</v>
      </c>
      <c r="D1706" t="s">
        <v>57</v>
      </c>
      <c r="E1706" t="str">
        <f>_xlfn.XLOOKUP(F1706, Keys!B:B, Keys!A:A, "找不到")</f>
        <v>OUT</v>
      </c>
      <c r="F1706" t="s">
        <v>403</v>
      </c>
      <c r="G1706">
        <v>8.366886027927892</v>
      </c>
      <c r="H1706">
        <v>0</v>
      </c>
      <c r="I1706" t="s">
        <v>38</v>
      </c>
      <c r="J1706" t="s">
        <v>57</v>
      </c>
      <c r="K1706">
        <v>0</v>
      </c>
      <c r="L1706">
        <v>0</v>
      </c>
    </row>
    <row r="1707" spans="1:12" hidden="1" x14ac:dyDescent="0.25">
      <c r="A1707">
        <v>75</v>
      </c>
      <c r="C1707" t="s">
        <v>3970</v>
      </c>
      <c r="D1707" t="s">
        <v>57</v>
      </c>
      <c r="E1707" t="str">
        <f>_xlfn.XLOOKUP(F1707, Keys!B:B, Keys!A:A, "找不到")</f>
        <v>OUT</v>
      </c>
      <c r="F1707" t="s">
        <v>403</v>
      </c>
      <c r="G1707">
        <v>4.5172663432236417</v>
      </c>
      <c r="H1707">
        <v>0</v>
      </c>
      <c r="I1707" t="s">
        <v>38</v>
      </c>
      <c r="J1707" t="s">
        <v>57</v>
      </c>
      <c r="K1707">
        <v>0</v>
      </c>
      <c r="L1707">
        <v>0</v>
      </c>
    </row>
    <row r="1708" spans="1:12" hidden="1" x14ac:dyDescent="0.25">
      <c r="A1708">
        <v>77</v>
      </c>
      <c r="C1708" t="s">
        <v>3970</v>
      </c>
      <c r="D1708" t="s">
        <v>57</v>
      </c>
      <c r="E1708" t="str">
        <f>_xlfn.XLOOKUP(F1708, Keys!B:B, Keys!A:A, "找不到")</f>
        <v>OUT</v>
      </c>
      <c r="F1708" t="s">
        <v>403</v>
      </c>
      <c r="G1708">
        <v>6.3644631281312396</v>
      </c>
      <c r="H1708">
        <v>0</v>
      </c>
      <c r="I1708" t="s">
        <v>38</v>
      </c>
      <c r="J1708" t="s">
        <v>57</v>
      </c>
      <c r="K1708">
        <v>0</v>
      </c>
      <c r="L1708">
        <v>0</v>
      </c>
    </row>
    <row r="1709" spans="1:12" hidden="1" x14ac:dyDescent="0.25">
      <c r="A1709">
        <v>79</v>
      </c>
      <c r="C1709" t="s">
        <v>3970</v>
      </c>
      <c r="D1709" t="s">
        <v>57</v>
      </c>
      <c r="E1709" t="str">
        <f>_xlfn.XLOOKUP(F1709, Keys!B:B, Keys!A:A, "找不到")</f>
        <v>OUT</v>
      </c>
      <c r="F1709" t="s">
        <v>403</v>
      </c>
      <c r="G1709">
        <v>7.1780719686614169</v>
      </c>
      <c r="H1709">
        <v>0</v>
      </c>
      <c r="I1709" t="s">
        <v>38</v>
      </c>
      <c r="J1709" t="s">
        <v>57</v>
      </c>
      <c r="K1709">
        <v>0</v>
      </c>
      <c r="L1709">
        <v>0</v>
      </c>
    </row>
    <row r="1710" spans="1:12" hidden="1" x14ac:dyDescent="0.25">
      <c r="A1710">
        <v>83</v>
      </c>
      <c r="C1710" t="s">
        <v>3970</v>
      </c>
      <c r="D1710" t="s">
        <v>57</v>
      </c>
      <c r="E1710" t="str">
        <f>_xlfn.XLOOKUP(F1710, Keys!B:B, Keys!A:A, "找不到")</f>
        <v>OUT</v>
      </c>
      <c r="F1710" t="s">
        <v>403</v>
      </c>
      <c r="G1710">
        <v>0.44208071568506002</v>
      </c>
      <c r="H1710">
        <v>0</v>
      </c>
      <c r="I1710" t="s">
        <v>38</v>
      </c>
      <c r="J1710" t="s">
        <v>2660</v>
      </c>
      <c r="K1710">
        <v>0</v>
      </c>
      <c r="L1710">
        <v>0</v>
      </c>
    </row>
    <row r="1711" spans="1:12" hidden="1" x14ac:dyDescent="0.25">
      <c r="A1711">
        <v>84</v>
      </c>
      <c r="C1711" t="s">
        <v>3970</v>
      </c>
      <c r="D1711" t="s">
        <v>57</v>
      </c>
      <c r="E1711" t="str">
        <f>_xlfn.XLOOKUP(F1711, Keys!B:B, Keys!A:A, "找不到")</f>
        <v>OUT</v>
      </c>
      <c r="F1711" t="s">
        <v>403</v>
      </c>
      <c r="G1711">
        <v>1.667416027583418</v>
      </c>
      <c r="H1711">
        <v>0</v>
      </c>
      <c r="I1711" t="s">
        <v>38</v>
      </c>
      <c r="J1711" t="s">
        <v>4133</v>
      </c>
      <c r="K1711">
        <v>0</v>
      </c>
      <c r="L1711">
        <v>0</v>
      </c>
    </row>
    <row r="1712" spans="1:12" hidden="1" x14ac:dyDescent="0.25">
      <c r="A1712">
        <v>85</v>
      </c>
      <c r="C1712" t="s">
        <v>3970</v>
      </c>
      <c r="D1712" t="s">
        <v>57</v>
      </c>
      <c r="E1712" t="str">
        <f>_xlfn.XLOOKUP(F1712, Keys!B:B, Keys!A:A, "找不到")</f>
        <v>OUT</v>
      </c>
      <c r="F1712" t="s">
        <v>403</v>
      </c>
      <c r="G1712">
        <v>8.2020701167501429</v>
      </c>
      <c r="H1712">
        <v>0</v>
      </c>
      <c r="I1712" t="s">
        <v>38</v>
      </c>
      <c r="J1712" t="s">
        <v>4133</v>
      </c>
      <c r="K1712">
        <v>0</v>
      </c>
      <c r="L1712">
        <v>0</v>
      </c>
    </row>
    <row r="1713" spans="1:12" hidden="1" x14ac:dyDescent="0.25">
      <c r="A1713">
        <v>87</v>
      </c>
      <c r="C1713" t="s">
        <v>3970</v>
      </c>
      <c r="D1713" t="s">
        <v>57</v>
      </c>
      <c r="E1713" t="str">
        <f>_xlfn.XLOOKUP(F1713, Keys!B:B, Keys!A:A, "找不到")</f>
        <v>OUT</v>
      </c>
      <c r="F1713" t="s">
        <v>403</v>
      </c>
      <c r="G1713">
        <v>10.72382123866576</v>
      </c>
      <c r="H1713">
        <v>0</v>
      </c>
      <c r="I1713" t="s">
        <v>38</v>
      </c>
      <c r="J1713" t="s">
        <v>673</v>
      </c>
      <c r="K1713">
        <v>0</v>
      </c>
      <c r="L1713">
        <v>0</v>
      </c>
    </row>
    <row r="1714" spans="1:12" hidden="1" x14ac:dyDescent="0.25">
      <c r="A1714">
        <v>88</v>
      </c>
      <c r="C1714" t="s">
        <v>3970</v>
      </c>
      <c r="D1714" t="s">
        <v>57</v>
      </c>
      <c r="E1714" t="str">
        <f>_xlfn.XLOOKUP(F1714, Keys!B:B, Keys!A:A, "找不到")</f>
        <v>OUT</v>
      </c>
      <c r="F1714" t="s">
        <v>403</v>
      </c>
      <c r="G1714">
        <v>0.20404170488631501</v>
      </c>
      <c r="H1714">
        <v>0</v>
      </c>
      <c r="I1714" t="s">
        <v>38</v>
      </c>
      <c r="J1714" t="s">
        <v>2660</v>
      </c>
      <c r="K1714">
        <v>0</v>
      </c>
      <c r="L1714">
        <v>0</v>
      </c>
    </row>
    <row r="1715" spans="1:12" hidden="1" x14ac:dyDescent="0.25">
      <c r="A1715">
        <v>89</v>
      </c>
      <c r="C1715" t="s">
        <v>3970</v>
      </c>
      <c r="D1715" t="s">
        <v>57</v>
      </c>
      <c r="E1715" t="str">
        <f>_xlfn.XLOOKUP(F1715, Keys!B:B, Keys!A:A, "找不到")</f>
        <v>OUT</v>
      </c>
      <c r="F1715" t="s">
        <v>403</v>
      </c>
      <c r="G1715">
        <v>2.4353835514971571</v>
      </c>
      <c r="H1715">
        <v>0</v>
      </c>
      <c r="I1715" t="s">
        <v>38</v>
      </c>
      <c r="J1715" t="s">
        <v>673</v>
      </c>
      <c r="K1715">
        <v>0</v>
      </c>
      <c r="L1715">
        <v>0</v>
      </c>
    </row>
    <row r="1716" spans="1:12" hidden="1" x14ac:dyDescent="0.25">
      <c r="A1716">
        <v>90</v>
      </c>
      <c r="C1716" t="s">
        <v>3970</v>
      </c>
      <c r="D1716" t="s">
        <v>57</v>
      </c>
      <c r="E1716" t="str">
        <f>_xlfn.XLOOKUP(F1716, Keys!B:B, Keys!A:A, "找不到")</f>
        <v>OUT</v>
      </c>
      <c r="F1716" t="s">
        <v>403</v>
      </c>
      <c r="G1716">
        <v>9.0467771456069074E-2</v>
      </c>
      <c r="H1716">
        <v>0</v>
      </c>
      <c r="I1716" t="s">
        <v>38</v>
      </c>
      <c r="J1716" t="s">
        <v>2660</v>
      </c>
      <c r="K1716">
        <v>0</v>
      </c>
      <c r="L1716">
        <v>0</v>
      </c>
    </row>
    <row r="1717" spans="1:12" hidden="1" x14ac:dyDescent="0.25">
      <c r="A1717">
        <v>91</v>
      </c>
      <c r="C1717" t="s">
        <v>3970</v>
      </c>
      <c r="D1717" t="s">
        <v>57</v>
      </c>
      <c r="E1717" t="str">
        <f>_xlfn.XLOOKUP(F1717, Keys!B:B, Keys!A:A, "找不到")</f>
        <v>OUT</v>
      </c>
      <c r="F1717" t="s">
        <v>403</v>
      </c>
      <c r="G1717">
        <v>0.1817664131290353</v>
      </c>
      <c r="H1717">
        <v>0</v>
      </c>
      <c r="I1717" t="s">
        <v>38</v>
      </c>
      <c r="J1717" t="s">
        <v>4146</v>
      </c>
      <c r="K1717">
        <v>0</v>
      </c>
      <c r="L1717">
        <v>0</v>
      </c>
    </row>
    <row r="1718" spans="1:12" hidden="1" x14ac:dyDescent="0.25">
      <c r="A1718">
        <v>103</v>
      </c>
      <c r="C1718" t="s">
        <v>3970</v>
      </c>
      <c r="D1718" t="s">
        <v>57</v>
      </c>
      <c r="E1718" t="str">
        <f>_xlfn.XLOOKUP(F1718, Keys!B:B, Keys!A:A, "找不到")</f>
        <v>OUT</v>
      </c>
      <c r="F1718" t="s">
        <v>403</v>
      </c>
      <c r="G1718">
        <v>5.1231462050631089</v>
      </c>
      <c r="H1718">
        <v>0</v>
      </c>
      <c r="I1718" t="s">
        <v>38</v>
      </c>
      <c r="J1718" t="s">
        <v>673</v>
      </c>
      <c r="K1718">
        <v>0</v>
      </c>
      <c r="L1718">
        <v>0</v>
      </c>
    </row>
    <row r="1719" spans="1:12" hidden="1" x14ac:dyDescent="0.25">
      <c r="A1719">
        <v>115</v>
      </c>
      <c r="C1719" t="s">
        <v>3970</v>
      </c>
      <c r="D1719" t="s">
        <v>57</v>
      </c>
      <c r="E1719" t="str">
        <f>_xlfn.XLOOKUP(F1719, Keys!B:B, Keys!A:A, "找不到")</f>
        <v>OUT</v>
      </c>
      <c r="F1719" t="s">
        <v>403</v>
      </c>
      <c r="G1719">
        <v>8.8460932419211815</v>
      </c>
      <c r="H1719">
        <v>0</v>
      </c>
      <c r="I1719">
        <v>0</v>
      </c>
      <c r="J1719" t="s">
        <v>673</v>
      </c>
      <c r="K1719">
        <v>0</v>
      </c>
      <c r="L1719">
        <v>0</v>
      </c>
    </row>
    <row r="1720" spans="1:12" hidden="1" x14ac:dyDescent="0.25">
      <c r="A1720">
        <v>143</v>
      </c>
      <c r="C1720" t="s">
        <v>3970</v>
      </c>
      <c r="D1720">
        <v>0</v>
      </c>
      <c r="E1720" t="str">
        <f>_xlfn.XLOOKUP(F1720, Keys!B:B, Keys!A:A, "找不到")</f>
        <v>OUT</v>
      </c>
      <c r="F1720" t="s">
        <v>403</v>
      </c>
      <c r="G1720">
        <v>3.7584225715780768</v>
      </c>
      <c r="H1720">
        <v>0</v>
      </c>
      <c r="I1720" t="s">
        <v>38</v>
      </c>
      <c r="J1720" t="s">
        <v>2621</v>
      </c>
      <c r="K1720">
        <v>0</v>
      </c>
      <c r="L1720">
        <v>0</v>
      </c>
    </row>
    <row r="1721" spans="1:12" hidden="1" x14ac:dyDescent="0.25">
      <c r="A1721">
        <v>165</v>
      </c>
      <c r="C1721" t="s">
        <v>3970</v>
      </c>
      <c r="D1721" t="s">
        <v>57</v>
      </c>
      <c r="E1721" t="str">
        <f>_xlfn.XLOOKUP(F1721, Keys!B:B, Keys!A:A, "找不到")</f>
        <v>OUT</v>
      </c>
      <c r="F1721" t="s">
        <v>403</v>
      </c>
      <c r="G1721">
        <v>3.0236458247410458</v>
      </c>
      <c r="H1721">
        <v>0</v>
      </c>
      <c r="I1721" t="s">
        <v>38</v>
      </c>
      <c r="J1721" t="s">
        <v>4010</v>
      </c>
      <c r="K1721">
        <v>0</v>
      </c>
      <c r="L1721">
        <v>0</v>
      </c>
    </row>
    <row r="1722" spans="1:12" hidden="1" x14ac:dyDescent="0.25">
      <c r="A1722">
        <v>166</v>
      </c>
      <c r="C1722" t="s">
        <v>3970</v>
      </c>
      <c r="D1722" t="s">
        <v>57</v>
      </c>
      <c r="E1722" t="str">
        <f>_xlfn.XLOOKUP(F1722, Keys!B:B, Keys!A:A, "找不到")</f>
        <v>OUT</v>
      </c>
      <c r="F1722" t="s">
        <v>403</v>
      </c>
      <c r="G1722">
        <v>0.33367140113251792</v>
      </c>
      <c r="H1722">
        <v>0</v>
      </c>
      <c r="I1722" t="s">
        <v>38</v>
      </c>
      <c r="J1722" t="s">
        <v>4243</v>
      </c>
      <c r="K1722">
        <v>0</v>
      </c>
      <c r="L1722">
        <v>0</v>
      </c>
    </row>
    <row r="1723" spans="1:12" hidden="1" x14ac:dyDescent="0.25">
      <c r="A1723">
        <v>31</v>
      </c>
      <c r="B1723" t="s">
        <v>2605</v>
      </c>
      <c r="C1723" t="s">
        <v>2606</v>
      </c>
      <c r="D1723">
        <v>0</v>
      </c>
      <c r="E1723" t="str">
        <f>_xlfn.XLOOKUP(F1723, Keys!B:B, Keys!A:A, "找不到")</f>
        <v>OUT</v>
      </c>
      <c r="F1723" t="s">
        <v>403</v>
      </c>
      <c r="G1723">
        <v>0.68329814018311508</v>
      </c>
      <c r="H1723">
        <v>0</v>
      </c>
      <c r="I1723" t="s">
        <v>38</v>
      </c>
      <c r="J1723" t="s">
        <v>495</v>
      </c>
      <c r="K1723">
        <v>0</v>
      </c>
      <c r="L1723">
        <v>218.32424891609071</v>
      </c>
    </row>
    <row r="1724" spans="1:12" hidden="1" x14ac:dyDescent="0.25">
      <c r="A1724">
        <v>38</v>
      </c>
      <c r="B1724" t="s">
        <v>2605</v>
      </c>
      <c r="C1724" t="s">
        <v>2606</v>
      </c>
      <c r="D1724">
        <v>0</v>
      </c>
      <c r="E1724" t="str">
        <f>_xlfn.XLOOKUP(F1724, Keys!B:B, Keys!A:A, "找不到")</f>
        <v>OUT</v>
      </c>
      <c r="F1724" t="s">
        <v>403</v>
      </c>
      <c r="G1724">
        <v>2.500412968514949</v>
      </c>
      <c r="H1724">
        <v>0</v>
      </c>
      <c r="I1724" t="s">
        <v>38</v>
      </c>
      <c r="J1724" t="s">
        <v>673</v>
      </c>
      <c r="K1724">
        <v>0</v>
      </c>
      <c r="L1724">
        <v>443.3907667576425</v>
      </c>
    </row>
    <row r="1725" spans="1:12" hidden="1" x14ac:dyDescent="0.25">
      <c r="A1725">
        <v>50</v>
      </c>
      <c r="B1725" t="s">
        <v>2605</v>
      </c>
      <c r="C1725" t="s">
        <v>2606</v>
      </c>
      <c r="D1725">
        <v>0</v>
      </c>
      <c r="E1725" t="str">
        <f>_xlfn.XLOOKUP(F1725, Keys!B:B, Keys!A:A, "找不到")</f>
        <v>OUT</v>
      </c>
      <c r="F1725" t="s">
        <v>403</v>
      </c>
      <c r="G1725">
        <v>2.1596096031387191</v>
      </c>
      <c r="H1725">
        <v>0</v>
      </c>
      <c r="I1725" t="s">
        <v>38</v>
      </c>
      <c r="J1725" t="s">
        <v>673</v>
      </c>
      <c r="K1725">
        <v>0</v>
      </c>
      <c r="L1725">
        <v>630.5380421514642</v>
      </c>
    </row>
    <row r="1726" spans="1:12" hidden="1" x14ac:dyDescent="0.25">
      <c r="A1726">
        <v>369</v>
      </c>
      <c r="B1726" t="s">
        <v>2605</v>
      </c>
      <c r="C1726" t="s">
        <v>2606</v>
      </c>
      <c r="D1726" t="s">
        <v>3027</v>
      </c>
      <c r="E1726" t="str">
        <f>_xlfn.XLOOKUP(F1726, Keys!B:B, Keys!A:A, "找不到")</f>
        <v>OUT</v>
      </c>
      <c r="F1726" t="s">
        <v>403</v>
      </c>
      <c r="G1726">
        <v>42.1362457939547</v>
      </c>
      <c r="H1726">
        <v>0</v>
      </c>
      <c r="I1726" t="s">
        <v>38</v>
      </c>
      <c r="J1726" t="s">
        <v>3196</v>
      </c>
      <c r="K1726">
        <v>0</v>
      </c>
      <c r="L1726">
        <v>2576.2347031009422</v>
      </c>
    </row>
    <row r="1727" spans="1:12" hidden="1" x14ac:dyDescent="0.25">
      <c r="A1727">
        <v>397</v>
      </c>
      <c r="B1727" t="s">
        <v>2605</v>
      </c>
      <c r="C1727" t="s">
        <v>2606</v>
      </c>
      <c r="D1727" t="s">
        <v>3027</v>
      </c>
      <c r="E1727" t="str">
        <f>_xlfn.XLOOKUP(F1727, Keys!B:B, Keys!A:A, "找不到")</f>
        <v>OUT</v>
      </c>
      <c r="F1727" t="s">
        <v>403</v>
      </c>
      <c r="G1727">
        <v>6.5125450939155742</v>
      </c>
      <c r="H1727">
        <v>0</v>
      </c>
      <c r="I1727" t="s">
        <v>38</v>
      </c>
      <c r="J1727" t="s">
        <v>3239</v>
      </c>
      <c r="K1727">
        <v>0</v>
      </c>
      <c r="L1727">
        <v>830.59725739894566</v>
      </c>
    </row>
    <row r="1728" spans="1:12" hidden="1" x14ac:dyDescent="0.25">
      <c r="A1728">
        <v>408</v>
      </c>
      <c r="B1728" t="s">
        <v>2605</v>
      </c>
      <c r="C1728" t="s">
        <v>2606</v>
      </c>
      <c r="D1728" t="s">
        <v>3027</v>
      </c>
      <c r="E1728" t="str">
        <f>_xlfn.XLOOKUP(F1728, Keys!B:B, Keys!A:A, "找不到")</f>
        <v>OUT</v>
      </c>
      <c r="F1728" t="s">
        <v>403</v>
      </c>
      <c r="G1728">
        <v>4.3062369700512724</v>
      </c>
      <c r="H1728">
        <v>0</v>
      </c>
      <c r="I1728" t="s">
        <v>38</v>
      </c>
      <c r="J1728" t="s">
        <v>3097</v>
      </c>
      <c r="K1728">
        <v>0</v>
      </c>
      <c r="L1728">
        <v>689.71012123124081</v>
      </c>
    </row>
    <row r="1729" spans="1:12" hidden="1" x14ac:dyDescent="0.25">
      <c r="A1729">
        <v>415</v>
      </c>
      <c r="B1729" t="s">
        <v>2605</v>
      </c>
      <c r="C1729" t="s">
        <v>2606</v>
      </c>
      <c r="D1729" t="s">
        <v>3027</v>
      </c>
      <c r="E1729" t="str">
        <f>_xlfn.XLOOKUP(F1729, Keys!B:B, Keys!A:A, "找不到")</f>
        <v>OUT</v>
      </c>
      <c r="F1729" t="s">
        <v>403</v>
      </c>
      <c r="G1729">
        <v>4.8975784442257826</v>
      </c>
      <c r="H1729">
        <v>0</v>
      </c>
      <c r="I1729" t="s">
        <v>38</v>
      </c>
      <c r="J1729" t="s">
        <v>3265</v>
      </c>
      <c r="K1729">
        <v>0</v>
      </c>
      <c r="L1729">
        <v>741.01742846173079</v>
      </c>
    </row>
    <row r="1730" spans="1:12" hidden="1" x14ac:dyDescent="0.25">
      <c r="A1730">
        <v>424</v>
      </c>
      <c r="B1730" t="s">
        <v>2605</v>
      </c>
      <c r="C1730" t="s">
        <v>2606</v>
      </c>
      <c r="D1730" t="s">
        <v>3027</v>
      </c>
      <c r="E1730" t="str">
        <f>_xlfn.XLOOKUP(F1730, Keys!B:B, Keys!A:A, "找不到")</f>
        <v>OUT</v>
      </c>
      <c r="F1730" t="s">
        <v>403</v>
      </c>
      <c r="G1730">
        <v>8.5946040412630342</v>
      </c>
      <c r="H1730">
        <v>0</v>
      </c>
      <c r="I1730" t="s">
        <v>38</v>
      </c>
      <c r="J1730" t="s">
        <v>3097</v>
      </c>
      <c r="K1730">
        <v>0</v>
      </c>
      <c r="L1730">
        <v>870.9815758602748</v>
      </c>
    </row>
    <row r="1731" spans="1:12" hidden="1" x14ac:dyDescent="0.25">
      <c r="A1731">
        <v>436</v>
      </c>
      <c r="B1731" t="s">
        <v>2605</v>
      </c>
      <c r="C1731" t="s">
        <v>2606</v>
      </c>
      <c r="D1731" t="s">
        <v>3027</v>
      </c>
      <c r="E1731" t="str">
        <f>_xlfn.XLOOKUP(F1731, Keys!B:B, Keys!A:A, "找不到")</f>
        <v>OUT</v>
      </c>
      <c r="F1731" t="s">
        <v>403</v>
      </c>
      <c r="G1731">
        <v>7.4036612514770992</v>
      </c>
      <c r="H1731">
        <v>0</v>
      </c>
      <c r="I1731" t="s">
        <v>38</v>
      </c>
      <c r="J1731" t="s">
        <v>3097</v>
      </c>
      <c r="K1731">
        <v>0</v>
      </c>
      <c r="L1731">
        <v>803.22762481444306</v>
      </c>
    </row>
    <row r="1732" spans="1:12" hidden="1" x14ac:dyDescent="0.25">
      <c r="A1732">
        <v>445</v>
      </c>
      <c r="B1732" t="s">
        <v>2605</v>
      </c>
      <c r="C1732" t="s">
        <v>2606</v>
      </c>
      <c r="D1732" t="s">
        <v>2702</v>
      </c>
      <c r="E1732" t="str">
        <f>_xlfn.XLOOKUP(F1732, Keys!B:B, Keys!A:A, "找不到")</f>
        <v>OUT</v>
      </c>
      <c r="F1732" t="s">
        <v>403</v>
      </c>
      <c r="G1732">
        <v>14.4632484633378</v>
      </c>
      <c r="H1732">
        <v>0</v>
      </c>
      <c r="I1732" t="s">
        <v>38</v>
      </c>
      <c r="J1732" t="s">
        <v>2883</v>
      </c>
      <c r="K1732">
        <v>0</v>
      </c>
      <c r="L1732">
        <v>1472.9206371178441</v>
      </c>
    </row>
    <row r="1733" spans="1:12" hidden="1" x14ac:dyDescent="0.25">
      <c r="A1733">
        <v>446</v>
      </c>
      <c r="B1733" t="s">
        <v>2605</v>
      </c>
      <c r="C1733" t="s">
        <v>2606</v>
      </c>
      <c r="D1733" t="s">
        <v>2702</v>
      </c>
      <c r="E1733" t="str">
        <f>_xlfn.XLOOKUP(F1733, Keys!B:B, Keys!A:A, "找不到")</f>
        <v>OUT</v>
      </c>
      <c r="F1733" t="s">
        <v>403</v>
      </c>
      <c r="G1733">
        <v>1.2360828828634109</v>
      </c>
      <c r="H1733">
        <v>0</v>
      </c>
      <c r="I1733" t="s">
        <v>38</v>
      </c>
      <c r="J1733" t="s">
        <v>2883</v>
      </c>
      <c r="K1733">
        <v>0</v>
      </c>
      <c r="L1733">
        <v>296.35858554314831</v>
      </c>
    </row>
    <row r="1734" spans="1:12" hidden="1" x14ac:dyDescent="0.25">
      <c r="A1734">
        <v>453</v>
      </c>
      <c r="B1734" t="s">
        <v>2605</v>
      </c>
      <c r="C1734" t="s">
        <v>2606</v>
      </c>
      <c r="D1734">
        <v>0</v>
      </c>
      <c r="E1734" t="str">
        <f>_xlfn.XLOOKUP(F1734, Keys!B:B, Keys!A:A, "找不到")</f>
        <v>OUT</v>
      </c>
      <c r="F1734" t="s">
        <v>403</v>
      </c>
      <c r="G1734">
        <v>7.2020145005885938</v>
      </c>
      <c r="H1734">
        <v>0</v>
      </c>
      <c r="I1734" t="s">
        <v>38</v>
      </c>
      <c r="J1734" t="s">
        <v>3191</v>
      </c>
      <c r="K1734">
        <v>0</v>
      </c>
      <c r="L1734">
        <v>882.69084492910281</v>
      </c>
    </row>
    <row r="1735" spans="1:12" hidden="1" x14ac:dyDescent="0.25">
      <c r="A1735">
        <v>455</v>
      </c>
      <c r="B1735" t="s">
        <v>2605</v>
      </c>
      <c r="C1735" t="s">
        <v>2606</v>
      </c>
      <c r="D1735" t="s">
        <v>3027</v>
      </c>
      <c r="E1735" t="str">
        <f>_xlfn.XLOOKUP(F1735, Keys!B:B, Keys!A:A, "找不到")</f>
        <v>OUT</v>
      </c>
      <c r="F1735" t="s">
        <v>403</v>
      </c>
      <c r="G1735">
        <v>3.874996742807383</v>
      </c>
      <c r="H1735">
        <v>0</v>
      </c>
      <c r="I1735" t="s">
        <v>38</v>
      </c>
      <c r="J1735" t="s">
        <v>3097</v>
      </c>
      <c r="K1735">
        <v>0</v>
      </c>
      <c r="L1735">
        <v>624.31569159488424</v>
      </c>
    </row>
    <row r="1736" spans="1:12" hidden="1" x14ac:dyDescent="0.25">
      <c r="A1736">
        <v>459</v>
      </c>
      <c r="B1736" t="s">
        <v>2605</v>
      </c>
      <c r="C1736" t="s">
        <v>2606</v>
      </c>
      <c r="D1736">
        <v>0</v>
      </c>
      <c r="E1736" t="str">
        <f>_xlfn.XLOOKUP(F1736, Keys!B:B, Keys!A:A, "找不到")</f>
        <v>OUT</v>
      </c>
      <c r="F1736" t="s">
        <v>403</v>
      </c>
      <c r="G1736">
        <v>5.1840977310887189</v>
      </c>
      <c r="H1736">
        <v>0</v>
      </c>
      <c r="I1736" t="s">
        <v>38</v>
      </c>
      <c r="J1736" t="s">
        <v>673</v>
      </c>
      <c r="K1736">
        <v>0</v>
      </c>
      <c r="L1736">
        <v>788.35897874923739</v>
      </c>
    </row>
    <row r="1737" spans="1:12" hidden="1" x14ac:dyDescent="0.25">
      <c r="A1737">
        <v>466</v>
      </c>
      <c r="B1737" t="s">
        <v>2605</v>
      </c>
      <c r="C1737" t="s">
        <v>2606</v>
      </c>
      <c r="D1737" t="s">
        <v>2702</v>
      </c>
      <c r="E1737" t="str">
        <f>_xlfn.XLOOKUP(F1737, Keys!B:B, Keys!A:A, "找不到")</f>
        <v>OUT</v>
      </c>
      <c r="F1737" t="s">
        <v>403</v>
      </c>
      <c r="G1737">
        <v>6.0929775533442871</v>
      </c>
      <c r="H1737">
        <v>0</v>
      </c>
      <c r="I1737" t="s">
        <v>38</v>
      </c>
      <c r="J1737" t="s">
        <v>2883</v>
      </c>
      <c r="K1737">
        <v>0</v>
      </c>
      <c r="L1737">
        <v>669.17731557530919</v>
      </c>
    </row>
    <row r="1738" spans="1:12" hidden="1" x14ac:dyDescent="0.25">
      <c r="A1738">
        <v>469</v>
      </c>
      <c r="B1738" t="s">
        <v>2605</v>
      </c>
      <c r="C1738" t="s">
        <v>2606</v>
      </c>
      <c r="D1738" t="s">
        <v>2702</v>
      </c>
      <c r="E1738" t="str">
        <f>_xlfn.XLOOKUP(F1738, Keys!B:B, Keys!A:A, "找不到")</f>
        <v>OUT</v>
      </c>
      <c r="F1738" t="s">
        <v>403</v>
      </c>
      <c r="G1738">
        <v>0.53410596271961508</v>
      </c>
      <c r="H1738">
        <v>0</v>
      </c>
      <c r="I1738" t="s">
        <v>38</v>
      </c>
      <c r="J1738" t="s">
        <v>2883</v>
      </c>
      <c r="K1738">
        <v>0</v>
      </c>
      <c r="L1738">
        <v>301.6981339066482</v>
      </c>
    </row>
    <row r="1739" spans="1:12" hidden="1" x14ac:dyDescent="0.25">
      <c r="A1739">
        <v>470</v>
      </c>
      <c r="B1739" t="s">
        <v>2605</v>
      </c>
      <c r="C1739" t="s">
        <v>2606</v>
      </c>
      <c r="D1739" t="s">
        <v>2702</v>
      </c>
      <c r="E1739" t="str">
        <f>_xlfn.XLOOKUP(F1739, Keys!B:B, Keys!A:A, "找不到")</f>
        <v>OUT</v>
      </c>
      <c r="F1739" t="s">
        <v>403</v>
      </c>
      <c r="G1739">
        <v>1.025523907746579</v>
      </c>
      <c r="H1739">
        <v>0</v>
      </c>
      <c r="I1739" t="s">
        <v>38</v>
      </c>
      <c r="J1739" t="s">
        <v>2883</v>
      </c>
      <c r="K1739">
        <v>0</v>
      </c>
      <c r="L1739">
        <v>407.78781173971402</v>
      </c>
    </row>
    <row r="1740" spans="1:12" hidden="1" x14ac:dyDescent="0.25">
      <c r="A1740">
        <v>473</v>
      </c>
      <c r="B1740" t="s">
        <v>2605</v>
      </c>
      <c r="C1740" t="s">
        <v>2606</v>
      </c>
      <c r="D1740">
        <v>0</v>
      </c>
      <c r="E1740" t="str">
        <f>_xlfn.XLOOKUP(F1740, Keys!B:B, Keys!A:A, "找不到")</f>
        <v>OUT</v>
      </c>
      <c r="F1740" t="s">
        <v>403</v>
      </c>
      <c r="G1740">
        <v>10.676713557851169</v>
      </c>
      <c r="H1740">
        <v>0</v>
      </c>
      <c r="I1740" t="s">
        <v>38</v>
      </c>
      <c r="J1740" t="s">
        <v>673</v>
      </c>
      <c r="K1740">
        <v>0</v>
      </c>
      <c r="L1740">
        <v>1340.0590195298089</v>
      </c>
    </row>
    <row r="1741" spans="1:12" hidden="1" x14ac:dyDescent="0.25">
      <c r="A1741">
        <v>474</v>
      </c>
      <c r="B1741" t="s">
        <v>2605</v>
      </c>
      <c r="C1741" t="s">
        <v>2606</v>
      </c>
      <c r="D1741">
        <v>0</v>
      </c>
      <c r="E1741" t="str">
        <f>_xlfn.XLOOKUP(F1741, Keys!B:B, Keys!A:A, "找不到")</f>
        <v>OUT</v>
      </c>
      <c r="F1741" t="s">
        <v>403</v>
      </c>
      <c r="G1741">
        <v>22.636511031855861</v>
      </c>
      <c r="H1741">
        <v>0</v>
      </c>
      <c r="I1741" t="s">
        <v>38</v>
      </c>
      <c r="J1741" t="s">
        <v>3211</v>
      </c>
      <c r="K1741">
        <v>0</v>
      </c>
      <c r="L1741">
        <v>2331.8486416475498</v>
      </c>
    </row>
    <row r="1742" spans="1:12" hidden="1" x14ac:dyDescent="0.25">
      <c r="A1742">
        <v>476</v>
      </c>
      <c r="B1742" t="s">
        <v>2605</v>
      </c>
      <c r="C1742" t="s">
        <v>2606</v>
      </c>
      <c r="D1742">
        <v>0</v>
      </c>
      <c r="E1742" t="str">
        <f>_xlfn.XLOOKUP(F1742, Keys!B:B, Keys!A:A, "找不到")</f>
        <v>OUT</v>
      </c>
      <c r="F1742" t="s">
        <v>403</v>
      </c>
      <c r="G1742">
        <v>12.763115280878541</v>
      </c>
      <c r="H1742">
        <v>0</v>
      </c>
      <c r="I1742" t="s">
        <v>38</v>
      </c>
      <c r="J1742" t="s">
        <v>3354</v>
      </c>
      <c r="K1742">
        <v>0</v>
      </c>
      <c r="L1742">
        <v>1394.8551473192831</v>
      </c>
    </row>
    <row r="1743" spans="1:12" hidden="1" x14ac:dyDescent="0.25">
      <c r="A1743">
        <v>478</v>
      </c>
      <c r="B1743" t="s">
        <v>2605</v>
      </c>
      <c r="C1743" t="s">
        <v>2606</v>
      </c>
      <c r="D1743" t="s">
        <v>2702</v>
      </c>
      <c r="E1743" t="str">
        <f>_xlfn.XLOOKUP(F1743, Keys!B:B, Keys!A:A, "找不到")</f>
        <v>OUT</v>
      </c>
      <c r="F1743" t="s">
        <v>403</v>
      </c>
      <c r="G1743">
        <v>9.5549387308762572</v>
      </c>
      <c r="H1743">
        <v>0</v>
      </c>
      <c r="I1743" t="s">
        <v>38</v>
      </c>
      <c r="J1743" t="s">
        <v>2883</v>
      </c>
      <c r="K1743">
        <v>0</v>
      </c>
      <c r="L1743">
        <v>972.64686343801975</v>
      </c>
    </row>
    <row r="1744" spans="1:12" hidden="1" x14ac:dyDescent="0.25">
      <c r="A1744">
        <v>479</v>
      </c>
      <c r="B1744" t="s">
        <v>2605</v>
      </c>
      <c r="C1744" t="s">
        <v>2606</v>
      </c>
      <c r="D1744" t="s">
        <v>2702</v>
      </c>
      <c r="E1744" t="str">
        <f>_xlfn.XLOOKUP(F1744, Keys!B:B, Keys!A:A, "找不到")</f>
        <v>OUT</v>
      </c>
      <c r="F1744" t="s">
        <v>403</v>
      </c>
      <c r="G1744">
        <v>25.266088014213359</v>
      </c>
      <c r="H1744">
        <v>0</v>
      </c>
      <c r="I1744" t="s">
        <v>38</v>
      </c>
      <c r="J1744" t="s">
        <v>2883</v>
      </c>
      <c r="K1744">
        <v>0</v>
      </c>
      <c r="L1744">
        <v>1277.831583668177</v>
      </c>
    </row>
    <row r="1745" spans="1:12" hidden="1" x14ac:dyDescent="0.25">
      <c r="A1745">
        <v>481</v>
      </c>
      <c r="B1745" t="s">
        <v>2605</v>
      </c>
      <c r="C1745" t="s">
        <v>2606</v>
      </c>
      <c r="D1745" t="s">
        <v>3027</v>
      </c>
      <c r="E1745" t="str">
        <f>_xlfn.XLOOKUP(F1745, Keys!B:B, Keys!A:A, "找不到")</f>
        <v>OUT</v>
      </c>
      <c r="F1745" t="s">
        <v>403</v>
      </c>
      <c r="G1745">
        <v>1.854424903739285</v>
      </c>
      <c r="H1745">
        <v>0</v>
      </c>
      <c r="I1745">
        <v>0</v>
      </c>
      <c r="J1745" t="s">
        <v>3097</v>
      </c>
      <c r="K1745">
        <v>0</v>
      </c>
      <c r="L1745">
        <v>347.73856410670601</v>
      </c>
    </row>
    <row r="1746" spans="1:12" hidden="1" x14ac:dyDescent="0.25">
      <c r="A1746">
        <v>483</v>
      </c>
      <c r="B1746" t="s">
        <v>2605</v>
      </c>
      <c r="C1746" t="s">
        <v>2606</v>
      </c>
      <c r="D1746" t="s">
        <v>3027</v>
      </c>
      <c r="E1746" t="str">
        <f>_xlfn.XLOOKUP(F1746, Keys!B:B, Keys!A:A, "找不到")</f>
        <v>OUT</v>
      </c>
      <c r="F1746" t="s">
        <v>403</v>
      </c>
      <c r="G1746">
        <v>3.85724948131173</v>
      </c>
      <c r="H1746">
        <v>0</v>
      </c>
      <c r="I1746">
        <v>0</v>
      </c>
      <c r="J1746" t="s">
        <v>3097</v>
      </c>
      <c r="K1746">
        <v>0</v>
      </c>
      <c r="L1746">
        <v>618.52819252241295</v>
      </c>
    </row>
    <row r="1747" spans="1:12" hidden="1" x14ac:dyDescent="0.25">
      <c r="A1747">
        <v>484</v>
      </c>
      <c r="B1747" t="s">
        <v>2605</v>
      </c>
      <c r="C1747" t="s">
        <v>2606</v>
      </c>
      <c r="D1747" t="s">
        <v>2702</v>
      </c>
      <c r="E1747" t="str">
        <f>_xlfn.XLOOKUP(F1747, Keys!B:B, Keys!A:A, "找不到")</f>
        <v>OUT</v>
      </c>
      <c r="F1747" t="s">
        <v>403</v>
      </c>
      <c r="G1747">
        <v>1.101678032740804</v>
      </c>
      <c r="H1747">
        <v>0</v>
      </c>
      <c r="I1747" t="s">
        <v>38</v>
      </c>
      <c r="J1747" t="s">
        <v>2883</v>
      </c>
      <c r="K1747">
        <v>0</v>
      </c>
      <c r="L1747">
        <v>308.89787385497948</v>
      </c>
    </row>
    <row r="1748" spans="1:12" hidden="1" x14ac:dyDescent="0.25">
      <c r="A1748">
        <v>485</v>
      </c>
      <c r="B1748" t="s">
        <v>2605</v>
      </c>
      <c r="C1748" t="s">
        <v>2606</v>
      </c>
      <c r="D1748">
        <v>0</v>
      </c>
      <c r="E1748" t="str">
        <f>_xlfn.XLOOKUP(F1748, Keys!B:B, Keys!A:A, "找不到")</f>
        <v>OUT</v>
      </c>
      <c r="F1748" t="s">
        <v>403</v>
      </c>
      <c r="G1748">
        <v>7.6559592347834808</v>
      </c>
      <c r="H1748">
        <v>0</v>
      </c>
      <c r="I1748" t="s">
        <v>38</v>
      </c>
      <c r="J1748" t="s">
        <v>3369</v>
      </c>
      <c r="K1748">
        <v>0</v>
      </c>
      <c r="L1748">
        <v>699.58910680574672</v>
      </c>
    </row>
    <row r="1749" spans="1:12" hidden="1" x14ac:dyDescent="0.25">
      <c r="A1749">
        <v>486</v>
      </c>
      <c r="B1749" t="s">
        <v>2605</v>
      </c>
      <c r="C1749" t="s">
        <v>2606</v>
      </c>
      <c r="D1749" t="s">
        <v>3027</v>
      </c>
      <c r="E1749" t="str">
        <f>_xlfn.XLOOKUP(F1749, Keys!B:B, Keys!A:A, "找不到")</f>
        <v>OUT</v>
      </c>
      <c r="F1749" t="s">
        <v>403</v>
      </c>
      <c r="G1749">
        <v>7.8316686243348324</v>
      </c>
      <c r="H1749">
        <v>0</v>
      </c>
      <c r="I1749" t="s">
        <v>38</v>
      </c>
      <c r="J1749" t="s">
        <v>3097</v>
      </c>
      <c r="K1749">
        <v>0</v>
      </c>
      <c r="L1749">
        <v>889.21000040310491</v>
      </c>
    </row>
    <row r="1750" spans="1:12" hidden="1" x14ac:dyDescent="0.25">
      <c r="A1750">
        <v>488</v>
      </c>
      <c r="B1750" t="s">
        <v>2605</v>
      </c>
      <c r="C1750" t="s">
        <v>2606</v>
      </c>
      <c r="D1750" t="s">
        <v>2702</v>
      </c>
      <c r="E1750" t="str">
        <f>_xlfn.XLOOKUP(F1750, Keys!B:B, Keys!A:A, "找不到")</f>
        <v>OUT</v>
      </c>
      <c r="F1750" t="s">
        <v>403</v>
      </c>
      <c r="G1750">
        <v>0.8675371957664848</v>
      </c>
      <c r="H1750">
        <v>0</v>
      </c>
      <c r="I1750" t="s">
        <v>38</v>
      </c>
      <c r="J1750" t="s">
        <v>2883</v>
      </c>
      <c r="K1750">
        <v>0</v>
      </c>
      <c r="L1750">
        <v>272.84415504184449</v>
      </c>
    </row>
    <row r="1751" spans="1:12" hidden="1" x14ac:dyDescent="0.25">
      <c r="A1751">
        <v>490</v>
      </c>
      <c r="B1751" t="s">
        <v>2605</v>
      </c>
      <c r="C1751" t="s">
        <v>2606</v>
      </c>
      <c r="D1751">
        <v>0</v>
      </c>
      <c r="E1751" t="str">
        <f>_xlfn.XLOOKUP(F1751, Keys!B:B, Keys!A:A, "找不到")</f>
        <v>OUT</v>
      </c>
      <c r="F1751" t="s">
        <v>403</v>
      </c>
      <c r="G1751">
        <v>3.5292357135541019</v>
      </c>
      <c r="H1751">
        <v>0</v>
      </c>
      <c r="I1751" t="s">
        <v>38</v>
      </c>
      <c r="J1751" t="s">
        <v>3380</v>
      </c>
      <c r="K1751">
        <v>0</v>
      </c>
      <c r="L1751">
        <v>502.35830231195348</v>
      </c>
    </row>
    <row r="1752" spans="1:12" hidden="1" x14ac:dyDescent="0.25">
      <c r="A1752">
        <v>492</v>
      </c>
      <c r="B1752" t="s">
        <v>2605</v>
      </c>
      <c r="C1752" t="s">
        <v>2606</v>
      </c>
      <c r="D1752" t="s">
        <v>2702</v>
      </c>
      <c r="E1752" t="str">
        <f>_xlfn.XLOOKUP(F1752, Keys!B:B, Keys!A:A, "找不到")</f>
        <v>OUT</v>
      </c>
      <c r="F1752" t="s">
        <v>403</v>
      </c>
      <c r="G1752">
        <v>32.547242879968607</v>
      </c>
      <c r="H1752">
        <v>0</v>
      </c>
      <c r="I1752" t="s">
        <v>38</v>
      </c>
      <c r="J1752" t="s">
        <v>2883</v>
      </c>
      <c r="K1752">
        <v>0</v>
      </c>
      <c r="L1752">
        <v>1444.4568853919629</v>
      </c>
    </row>
    <row r="1753" spans="1:12" hidden="1" x14ac:dyDescent="0.25">
      <c r="A1753">
        <v>493</v>
      </c>
      <c r="B1753" t="s">
        <v>2605</v>
      </c>
      <c r="C1753" t="s">
        <v>2606</v>
      </c>
      <c r="D1753" t="s">
        <v>3027</v>
      </c>
      <c r="E1753" t="str">
        <f>_xlfn.XLOOKUP(F1753, Keys!B:B, Keys!A:A, "找不到")</f>
        <v>OUT</v>
      </c>
      <c r="F1753" t="s">
        <v>403</v>
      </c>
      <c r="G1753">
        <v>1.5084029334393081</v>
      </c>
      <c r="H1753">
        <v>0</v>
      </c>
      <c r="I1753">
        <v>0</v>
      </c>
      <c r="J1753" t="s">
        <v>3097</v>
      </c>
      <c r="K1753">
        <v>0</v>
      </c>
      <c r="L1753">
        <v>330.99791899016009</v>
      </c>
    </row>
    <row r="1754" spans="1:12" hidden="1" x14ac:dyDescent="0.25">
      <c r="A1754">
        <v>494</v>
      </c>
      <c r="B1754" t="s">
        <v>2605</v>
      </c>
      <c r="C1754" t="s">
        <v>2606</v>
      </c>
      <c r="D1754" t="s">
        <v>2702</v>
      </c>
      <c r="E1754" t="str">
        <f>_xlfn.XLOOKUP(F1754, Keys!B:B, Keys!A:A, "找不到")</f>
        <v>OUT</v>
      </c>
      <c r="F1754" t="s">
        <v>403</v>
      </c>
      <c r="G1754">
        <v>6.2970173056150793</v>
      </c>
      <c r="H1754">
        <v>0</v>
      </c>
      <c r="I1754" t="s">
        <v>38</v>
      </c>
      <c r="J1754" t="s">
        <v>2883</v>
      </c>
      <c r="K1754">
        <v>0</v>
      </c>
      <c r="L1754">
        <v>736.27398584798379</v>
      </c>
    </row>
    <row r="1755" spans="1:12" hidden="1" x14ac:dyDescent="0.25">
      <c r="A1755">
        <v>496</v>
      </c>
      <c r="B1755" t="s">
        <v>2605</v>
      </c>
      <c r="C1755" t="s">
        <v>2606</v>
      </c>
      <c r="D1755">
        <v>0</v>
      </c>
      <c r="E1755" t="str">
        <f>_xlfn.XLOOKUP(F1755, Keys!B:B, Keys!A:A, "找不到")</f>
        <v>OUT</v>
      </c>
      <c r="F1755" t="s">
        <v>403</v>
      </c>
      <c r="G1755">
        <v>3.8751166284300389</v>
      </c>
      <c r="H1755">
        <v>0</v>
      </c>
      <c r="I1755" t="s">
        <v>38</v>
      </c>
      <c r="J1755" t="s">
        <v>3380</v>
      </c>
      <c r="K1755">
        <v>0</v>
      </c>
      <c r="L1755">
        <v>535.38049571560055</v>
      </c>
    </row>
    <row r="1756" spans="1:12" hidden="1" x14ac:dyDescent="0.25">
      <c r="A1756">
        <v>501</v>
      </c>
      <c r="B1756" t="s">
        <v>2605</v>
      </c>
      <c r="C1756" t="s">
        <v>2606</v>
      </c>
      <c r="D1756">
        <v>0</v>
      </c>
      <c r="E1756" t="str">
        <f>_xlfn.XLOOKUP(F1756, Keys!B:B, Keys!A:A, "找不到")</f>
        <v>OUT</v>
      </c>
      <c r="F1756" t="s">
        <v>403</v>
      </c>
      <c r="G1756">
        <v>0.13199358577843781</v>
      </c>
      <c r="H1756">
        <v>0</v>
      </c>
      <c r="I1756" t="s">
        <v>38</v>
      </c>
      <c r="J1756" t="s">
        <v>3354</v>
      </c>
      <c r="K1756">
        <v>0</v>
      </c>
      <c r="L1756">
        <v>122.5420233617785</v>
      </c>
    </row>
    <row r="1757" spans="1:12" hidden="1" x14ac:dyDescent="0.25">
      <c r="A1757">
        <v>503</v>
      </c>
      <c r="B1757" t="s">
        <v>2605</v>
      </c>
      <c r="C1757" t="s">
        <v>2606</v>
      </c>
      <c r="D1757">
        <v>0</v>
      </c>
      <c r="E1757" t="str">
        <f>_xlfn.XLOOKUP(F1757, Keys!B:B, Keys!A:A, "找不到")</f>
        <v>OUT</v>
      </c>
      <c r="F1757" t="s">
        <v>403</v>
      </c>
      <c r="G1757">
        <v>0.34635125558740237</v>
      </c>
      <c r="H1757">
        <v>0</v>
      </c>
      <c r="I1757" t="s">
        <v>38</v>
      </c>
      <c r="J1757" t="s">
        <v>3354</v>
      </c>
      <c r="K1757">
        <v>0</v>
      </c>
      <c r="L1757">
        <v>179.40097928846831</v>
      </c>
    </row>
    <row r="1758" spans="1:12" hidden="1" x14ac:dyDescent="0.25">
      <c r="A1758">
        <v>504</v>
      </c>
      <c r="B1758" t="s">
        <v>2605</v>
      </c>
      <c r="C1758" t="s">
        <v>2606</v>
      </c>
      <c r="D1758">
        <v>0</v>
      </c>
      <c r="E1758" t="str">
        <f>_xlfn.XLOOKUP(F1758, Keys!B:B, Keys!A:A, "找不到")</f>
        <v>OUT</v>
      </c>
      <c r="F1758" t="s">
        <v>403</v>
      </c>
      <c r="G1758">
        <v>0.34514927466305151</v>
      </c>
      <c r="H1758">
        <v>0</v>
      </c>
      <c r="I1758" t="s">
        <v>38</v>
      </c>
      <c r="J1758" t="s">
        <v>3354</v>
      </c>
      <c r="K1758">
        <v>0</v>
      </c>
      <c r="L1758">
        <v>171.05777363411829</v>
      </c>
    </row>
    <row r="1759" spans="1:12" hidden="1" x14ac:dyDescent="0.25">
      <c r="A1759">
        <v>506</v>
      </c>
      <c r="B1759" t="s">
        <v>2605</v>
      </c>
      <c r="C1759" t="s">
        <v>2606</v>
      </c>
      <c r="D1759">
        <v>0</v>
      </c>
      <c r="E1759" t="str">
        <f>_xlfn.XLOOKUP(F1759, Keys!B:B, Keys!A:A, "找不到")</f>
        <v>OUT</v>
      </c>
      <c r="F1759" t="s">
        <v>403</v>
      </c>
      <c r="G1759">
        <v>4.5101426538976064</v>
      </c>
      <c r="H1759">
        <v>0</v>
      </c>
      <c r="I1759" t="s">
        <v>38</v>
      </c>
      <c r="J1759" t="s">
        <v>3380</v>
      </c>
      <c r="K1759">
        <v>0</v>
      </c>
      <c r="L1759">
        <v>728.18818020359799</v>
      </c>
    </row>
    <row r="1760" spans="1:12" hidden="1" x14ac:dyDescent="0.25">
      <c r="A1760">
        <v>507</v>
      </c>
      <c r="B1760" t="s">
        <v>2605</v>
      </c>
      <c r="C1760" t="s">
        <v>2606</v>
      </c>
      <c r="D1760">
        <v>0</v>
      </c>
      <c r="E1760" t="str">
        <f>_xlfn.XLOOKUP(F1760, Keys!B:B, Keys!A:A, "找不到")</f>
        <v>OUT</v>
      </c>
      <c r="F1760" t="s">
        <v>403</v>
      </c>
      <c r="G1760">
        <v>2.5552318474718621</v>
      </c>
      <c r="H1760">
        <v>0</v>
      </c>
      <c r="I1760" t="s">
        <v>38</v>
      </c>
      <c r="J1760" t="s">
        <v>3376</v>
      </c>
      <c r="K1760">
        <v>0</v>
      </c>
      <c r="L1760">
        <v>601.32296429537848</v>
      </c>
    </row>
    <row r="1761" spans="1:12" hidden="1" x14ac:dyDescent="0.25">
      <c r="A1761">
        <v>509</v>
      </c>
      <c r="B1761" t="s">
        <v>2605</v>
      </c>
      <c r="C1761" t="s">
        <v>2606</v>
      </c>
      <c r="D1761">
        <v>0</v>
      </c>
      <c r="E1761" t="str">
        <f>_xlfn.XLOOKUP(F1761, Keys!B:B, Keys!A:A, "找不到")</f>
        <v>OUT</v>
      </c>
      <c r="F1761" t="s">
        <v>403</v>
      </c>
      <c r="G1761">
        <v>1.687331180828709</v>
      </c>
      <c r="H1761">
        <v>0</v>
      </c>
      <c r="I1761" t="s">
        <v>38</v>
      </c>
      <c r="J1761" t="s">
        <v>3405</v>
      </c>
      <c r="K1761">
        <v>0</v>
      </c>
      <c r="L1761">
        <v>335.40060243198837</v>
      </c>
    </row>
    <row r="1762" spans="1:12" hidden="1" x14ac:dyDescent="0.25">
      <c r="A1762">
        <v>510</v>
      </c>
      <c r="B1762" t="s">
        <v>2605</v>
      </c>
      <c r="C1762" t="s">
        <v>2606</v>
      </c>
      <c r="D1762" t="s">
        <v>3027</v>
      </c>
      <c r="E1762" t="str">
        <f>_xlfn.XLOOKUP(F1762, Keys!B:B, Keys!A:A, "找不到")</f>
        <v>OUT</v>
      </c>
      <c r="F1762" t="s">
        <v>403</v>
      </c>
      <c r="G1762">
        <v>3.5746988347540758</v>
      </c>
      <c r="H1762">
        <v>0</v>
      </c>
      <c r="I1762" t="s">
        <v>38</v>
      </c>
      <c r="J1762" t="s">
        <v>3364</v>
      </c>
      <c r="K1762">
        <v>0</v>
      </c>
      <c r="L1762">
        <v>690.18998649880496</v>
      </c>
    </row>
    <row r="1763" spans="1:12" hidden="1" x14ac:dyDescent="0.25">
      <c r="A1763">
        <v>511</v>
      </c>
      <c r="B1763" t="s">
        <v>2605</v>
      </c>
      <c r="C1763" t="s">
        <v>2606</v>
      </c>
      <c r="D1763">
        <v>0</v>
      </c>
      <c r="E1763" t="str">
        <f>_xlfn.XLOOKUP(F1763, Keys!B:B, Keys!A:A, "找不到")</f>
        <v>OUT</v>
      </c>
      <c r="F1763" t="s">
        <v>403</v>
      </c>
      <c r="G1763">
        <v>0.1358869115846246</v>
      </c>
      <c r="H1763">
        <v>0</v>
      </c>
      <c r="I1763" t="s">
        <v>38</v>
      </c>
      <c r="J1763" t="s">
        <v>3376</v>
      </c>
      <c r="K1763">
        <v>0</v>
      </c>
      <c r="L1763">
        <v>112.9169666697056</v>
      </c>
    </row>
    <row r="1764" spans="1:12" hidden="1" x14ac:dyDescent="0.25">
      <c r="A1764">
        <v>512</v>
      </c>
      <c r="B1764" t="s">
        <v>2605</v>
      </c>
      <c r="C1764" t="s">
        <v>2606</v>
      </c>
      <c r="D1764">
        <v>0</v>
      </c>
      <c r="E1764" t="str">
        <f>_xlfn.XLOOKUP(F1764, Keys!B:B, Keys!A:A, "找不到")</f>
        <v>OUT</v>
      </c>
      <c r="F1764" t="s">
        <v>403</v>
      </c>
      <c r="G1764">
        <v>0.44792109047337852</v>
      </c>
      <c r="H1764">
        <v>0</v>
      </c>
      <c r="I1764" t="s">
        <v>38</v>
      </c>
      <c r="J1764" t="s">
        <v>495</v>
      </c>
      <c r="K1764">
        <v>0</v>
      </c>
      <c r="L1764">
        <v>171.23031735965279</v>
      </c>
    </row>
    <row r="1765" spans="1:12" hidden="1" x14ac:dyDescent="0.25">
      <c r="A1765">
        <v>513</v>
      </c>
      <c r="B1765" t="s">
        <v>2605</v>
      </c>
      <c r="C1765" t="s">
        <v>2606</v>
      </c>
      <c r="D1765">
        <v>0</v>
      </c>
      <c r="E1765" t="str">
        <f>_xlfn.XLOOKUP(F1765, Keys!B:B, Keys!A:A, "找不到")</f>
        <v>OUT</v>
      </c>
      <c r="F1765" t="s">
        <v>403</v>
      </c>
      <c r="G1765">
        <v>1.441254085838003</v>
      </c>
      <c r="H1765">
        <v>0</v>
      </c>
      <c r="I1765" t="s">
        <v>38</v>
      </c>
      <c r="J1765" t="s">
        <v>3376</v>
      </c>
      <c r="K1765">
        <v>0</v>
      </c>
      <c r="L1765">
        <v>391.78196875939972</v>
      </c>
    </row>
    <row r="1766" spans="1:12" hidden="1" x14ac:dyDescent="0.25">
      <c r="A1766">
        <v>517</v>
      </c>
      <c r="B1766" t="s">
        <v>2605</v>
      </c>
      <c r="C1766" t="s">
        <v>2606</v>
      </c>
      <c r="D1766" t="s">
        <v>2702</v>
      </c>
      <c r="E1766" t="str">
        <f>_xlfn.XLOOKUP(F1766, Keys!B:B, Keys!A:A, "找不到")</f>
        <v>OUT</v>
      </c>
      <c r="F1766" t="s">
        <v>403</v>
      </c>
      <c r="G1766">
        <v>0.77659093723021477</v>
      </c>
      <c r="H1766">
        <v>0</v>
      </c>
      <c r="I1766" t="s">
        <v>38</v>
      </c>
      <c r="J1766" t="s">
        <v>2883</v>
      </c>
      <c r="K1766">
        <v>0</v>
      </c>
      <c r="L1766">
        <v>326.97216935748361</v>
      </c>
    </row>
    <row r="1767" spans="1:12" hidden="1" x14ac:dyDescent="0.25">
      <c r="A1767">
        <v>527</v>
      </c>
      <c r="B1767" t="s">
        <v>2605</v>
      </c>
      <c r="C1767" t="s">
        <v>2606</v>
      </c>
      <c r="D1767">
        <v>0</v>
      </c>
      <c r="E1767" t="str">
        <f>_xlfn.XLOOKUP(F1767, Keys!B:B, Keys!A:A, "找不到")</f>
        <v>OUT</v>
      </c>
      <c r="F1767" t="s">
        <v>403</v>
      </c>
      <c r="G1767">
        <v>1.0037523706996889</v>
      </c>
      <c r="H1767">
        <v>0</v>
      </c>
      <c r="I1767" t="s">
        <v>38</v>
      </c>
      <c r="J1767" t="s">
        <v>3191</v>
      </c>
      <c r="K1767">
        <v>0</v>
      </c>
      <c r="L1767">
        <v>268.88871781060323</v>
      </c>
    </row>
    <row r="1768" spans="1:12" hidden="1" x14ac:dyDescent="0.25">
      <c r="A1768">
        <v>529</v>
      </c>
      <c r="B1768" t="s">
        <v>2605</v>
      </c>
      <c r="C1768" t="s">
        <v>2606</v>
      </c>
      <c r="D1768">
        <v>0</v>
      </c>
      <c r="E1768" t="str">
        <f>_xlfn.XLOOKUP(F1768, Keys!B:B, Keys!A:A, "找不到")</f>
        <v>OUT</v>
      </c>
      <c r="F1768" t="s">
        <v>403</v>
      </c>
      <c r="G1768">
        <v>3.4189001258497782E-2</v>
      </c>
      <c r="H1768">
        <v>0</v>
      </c>
      <c r="I1768" t="s">
        <v>38</v>
      </c>
      <c r="J1768" t="s">
        <v>3191</v>
      </c>
      <c r="K1768">
        <v>0</v>
      </c>
      <c r="L1768">
        <v>79.348748819288943</v>
      </c>
    </row>
    <row r="1769" spans="1:12" hidden="1" x14ac:dyDescent="0.25">
      <c r="A1769">
        <v>530</v>
      </c>
      <c r="B1769" t="s">
        <v>2605</v>
      </c>
      <c r="C1769" t="s">
        <v>2606</v>
      </c>
      <c r="D1769">
        <v>0</v>
      </c>
      <c r="E1769" t="str">
        <f>_xlfn.XLOOKUP(F1769, Keys!B:B, Keys!A:A, "找不到")</f>
        <v>OUT</v>
      </c>
      <c r="F1769" t="s">
        <v>403</v>
      </c>
      <c r="G1769">
        <v>1.736788971235933</v>
      </c>
      <c r="H1769">
        <v>0</v>
      </c>
      <c r="I1769" t="s">
        <v>38</v>
      </c>
      <c r="J1769" t="s">
        <v>3191</v>
      </c>
      <c r="K1769">
        <v>0</v>
      </c>
      <c r="L1769">
        <v>540.40102922414121</v>
      </c>
    </row>
    <row r="1770" spans="1:12" hidden="1" x14ac:dyDescent="0.25">
      <c r="A1770">
        <v>531</v>
      </c>
      <c r="B1770" t="s">
        <v>2605</v>
      </c>
      <c r="C1770" t="s">
        <v>2606</v>
      </c>
      <c r="D1770">
        <v>0</v>
      </c>
      <c r="E1770" t="str">
        <f>_xlfn.XLOOKUP(F1770, Keys!B:B, Keys!A:A, "找不到")</f>
        <v>OUT</v>
      </c>
      <c r="F1770" t="s">
        <v>403</v>
      </c>
      <c r="G1770">
        <v>4.1218569023293457</v>
      </c>
      <c r="H1770">
        <v>0</v>
      </c>
      <c r="I1770" t="s">
        <v>38</v>
      </c>
      <c r="J1770" t="s">
        <v>3191</v>
      </c>
      <c r="K1770">
        <v>0</v>
      </c>
      <c r="L1770">
        <v>678.55195547094297</v>
      </c>
    </row>
    <row r="1771" spans="1:12" hidden="1" x14ac:dyDescent="0.25">
      <c r="A1771">
        <v>532</v>
      </c>
      <c r="B1771" t="s">
        <v>2605</v>
      </c>
      <c r="C1771" t="s">
        <v>2606</v>
      </c>
      <c r="D1771">
        <v>0</v>
      </c>
      <c r="E1771" t="str">
        <f>_xlfn.XLOOKUP(F1771, Keys!B:B, Keys!A:A, "找不到")</f>
        <v>OUT</v>
      </c>
      <c r="F1771" t="s">
        <v>403</v>
      </c>
      <c r="G1771">
        <v>3.6170695929053949</v>
      </c>
      <c r="H1771">
        <v>0</v>
      </c>
      <c r="I1771">
        <v>0</v>
      </c>
      <c r="J1771" t="s">
        <v>673</v>
      </c>
      <c r="K1771">
        <v>0</v>
      </c>
      <c r="L1771">
        <v>581.96264617795009</v>
      </c>
    </row>
    <row r="1772" spans="1:12" hidden="1" x14ac:dyDescent="0.25">
      <c r="A1772">
        <v>535</v>
      </c>
      <c r="B1772" t="s">
        <v>2605</v>
      </c>
      <c r="C1772" t="s">
        <v>2606</v>
      </c>
      <c r="D1772">
        <v>0</v>
      </c>
      <c r="E1772" t="str">
        <f>_xlfn.XLOOKUP(F1772, Keys!B:B, Keys!A:A, "找不到")</f>
        <v>OUT</v>
      </c>
      <c r="F1772" t="s">
        <v>403</v>
      </c>
      <c r="G1772">
        <v>3.0635442699815258</v>
      </c>
      <c r="H1772">
        <v>0</v>
      </c>
      <c r="I1772">
        <v>0</v>
      </c>
      <c r="J1772" t="s">
        <v>673</v>
      </c>
      <c r="K1772">
        <v>0</v>
      </c>
      <c r="L1772">
        <v>463.10649365798429</v>
      </c>
    </row>
    <row r="1773" spans="1:12" hidden="1" x14ac:dyDescent="0.25">
      <c r="A1773">
        <v>539</v>
      </c>
      <c r="B1773" t="s">
        <v>2605</v>
      </c>
      <c r="C1773" t="s">
        <v>2606</v>
      </c>
      <c r="D1773">
        <v>0</v>
      </c>
      <c r="E1773" t="str">
        <f>_xlfn.XLOOKUP(F1773, Keys!B:B, Keys!A:A, "找不到")</f>
        <v>OUT</v>
      </c>
      <c r="F1773" t="s">
        <v>403</v>
      </c>
      <c r="G1773">
        <v>28.499217393765122</v>
      </c>
      <c r="H1773">
        <v>0</v>
      </c>
      <c r="I1773" t="s">
        <v>38</v>
      </c>
      <c r="J1773" t="s">
        <v>3191</v>
      </c>
      <c r="K1773">
        <v>0</v>
      </c>
      <c r="L1773">
        <v>1405.6964186196119</v>
      </c>
    </row>
    <row r="1774" spans="1:12" hidden="1" x14ac:dyDescent="0.25">
      <c r="A1774">
        <v>540</v>
      </c>
      <c r="B1774" t="s">
        <v>2605</v>
      </c>
      <c r="C1774" t="s">
        <v>2606</v>
      </c>
      <c r="D1774">
        <v>0</v>
      </c>
      <c r="E1774" t="str">
        <f>_xlfn.XLOOKUP(F1774, Keys!B:B, Keys!A:A, "找不到")</f>
        <v>OUT</v>
      </c>
      <c r="F1774" t="s">
        <v>403</v>
      </c>
      <c r="G1774">
        <v>0.18580043624902251</v>
      </c>
      <c r="H1774">
        <v>0</v>
      </c>
      <c r="I1774" t="s">
        <v>38</v>
      </c>
      <c r="J1774" t="s">
        <v>3450</v>
      </c>
      <c r="K1774">
        <v>0</v>
      </c>
      <c r="L1774">
        <v>114.9152343635988</v>
      </c>
    </row>
    <row r="1775" spans="1:12" hidden="1" x14ac:dyDescent="0.25">
      <c r="A1775">
        <v>542</v>
      </c>
      <c r="B1775" t="s">
        <v>2605</v>
      </c>
      <c r="C1775" t="s">
        <v>2606</v>
      </c>
      <c r="D1775">
        <v>0</v>
      </c>
      <c r="E1775" t="str">
        <f>_xlfn.XLOOKUP(F1775, Keys!B:B, Keys!A:A, "找不到")</f>
        <v>OUT</v>
      </c>
      <c r="F1775" t="s">
        <v>403</v>
      </c>
      <c r="G1775">
        <v>3.39564402346008</v>
      </c>
      <c r="H1775">
        <v>0</v>
      </c>
      <c r="I1775" t="s">
        <v>38</v>
      </c>
      <c r="J1775" t="s">
        <v>3452</v>
      </c>
      <c r="K1775">
        <v>0</v>
      </c>
      <c r="L1775">
        <v>506.25910505492391</v>
      </c>
    </row>
    <row r="1776" spans="1:12" hidden="1" x14ac:dyDescent="0.25">
      <c r="A1776">
        <v>543</v>
      </c>
      <c r="B1776" t="s">
        <v>2605</v>
      </c>
      <c r="C1776" t="s">
        <v>2606</v>
      </c>
      <c r="D1776">
        <v>0</v>
      </c>
      <c r="E1776" t="str">
        <f>_xlfn.XLOOKUP(F1776, Keys!B:B, Keys!A:A, "找不到")</f>
        <v>OUT</v>
      </c>
      <c r="F1776" t="s">
        <v>403</v>
      </c>
      <c r="G1776">
        <v>14.060807408603051</v>
      </c>
      <c r="H1776">
        <v>0</v>
      </c>
      <c r="I1776" t="s">
        <v>38</v>
      </c>
      <c r="J1776" t="s">
        <v>3456</v>
      </c>
      <c r="K1776">
        <v>0</v>
      </c>
      <c r="L1776">
        <v>1064.6925726550071</v>
      </c>
    </row>
    <row r="1777" spans="1:12" hidden="1" x14ac:dyDescent="0.25">
      <c r="A1777">
        <v>544</v>
      </c>
      <c r="B1777" t="s">
        <v>2605</v>
      </c>
      <c r="C1777" t="s">
        <v>2606</v>
      </c>
      <c r="D1777">
        <v>0</v>
      </c>
      <c r="E1777" t="str">
        <f>_xlfn.XLOOKUP(F1777, Keys!B:B, Keys!A:A, "找不到")</f>
        <v>OUT</v>
      </c>
      <c r="F1777" t="s">
        <v>403</v>
      </c>
      <c r="G1777">
        <v>8.8815298742826165</v>
      </c>
      <c r="H1777">
        <v>0</v>
      </c>
      <c r="I1777" t="s">
        <v>38</v>
      </c>
      <c r="J1777" t="s">
        <v>3191</v>
      </c>
      <c r="K1777">
        <v>0</v>
      </c>
      <c r="L1777">
        <v>1108.704984004271</v>
      </c>
    </row>
    <row r="1778" spans="1:12" hidden="1" x14ac:dyDescent="0.25">
      <c r="A1778">
        <v>545</v>
      </c>
      <c r="B1778" t="s">
        <v>2605</v>
      </c>
      <c r="C1778" t="s">
        <v>2606</v>
      </c>
      <c r="D1778">
        <v>0</v>
      </c>
      <c r="E1778" t="str">
        <f>_xlfn.XLOOKUP(F1778, Keys!B:B, Keys!A:A, "找不到")</f>
        <v>OUT</v>
      </c>
      <c r="F1778" t="s">
        <v>403</v>
      </c>
      <c r="G1778">
        <v>8.3199064458772298</v>
      </c>
      <c r="H1778">
        <v>0</v>
      </c>
      <c r="I1778" t="s">
        <v>38</v>
      </c>
      <c r="J1778" t="s">
        <v>3461</v>
      </c>
      <c r="K1778">
        <v>0</v>
      </c>
      <c r="L1778">
        <v>807.69840907199261</v>
      </c>
    </row>
    <row r="1779" spans="1:12" hidden="1" x14ac:dyDescent="0.25">
      <c r="A1779">
        <v>546</v>
      </c>
      <c r="B1779" t="s">
        <v>2605</v>
      </c>
      <c r="C1779" t="s">
        <v>2606</v>
      </c>
      <c r="D1779">
        <v>0</v>
      </c>
      <c r="E1779" t="str">
        <f>_xlfn.XLOOKUP(F1779, Keys!B:B, Keys!A:A, "找不到")</f>
        <v>OUT</v>
      </c>
      <c r="F1779" t="s">
        <v>403</v>
      </c>
      <c r="G1779">
        <v>9.0294573146373782</v>
      </c>
      <c r="H1779">
        <v>0</v>
      </c>
      <c r="I1779" t="s">
        <v>38</v>
      </c>
      <c r="J1779" t="s">
        <v>3456</v>
      </c>
      <c r="K1779">
        <v>0</v>
      </c>
      <c r="L1779">
        <v>731.23599095979409</v>
      </c>
    </row>
    <row r="1780" spans="1:12" hidden="1" x14ac:dyDescent="0.25">
      <c r="A1780">
        <v>547</v>
      </c>
      <c r="B1780" t="s">
        <v>2605</v>
      </c>
      <c r="C1780" t="s">
        <v>2606</v>
      </c>
      <c r="D1780">
        <v>0</v>
      </c>
      <c r="E1780" t="str">
        <f>_xlfn.XLOOKUP(F1780, Keys!B:B, Keys!A:A, "找不到")</f>
        <v>OUT</v>
      </c>
      <c r="F1780" t="s">
        <v>403</v>
      </c>
      <c r="G1780">
        <v>0.46618316566474782</v>
      </c>
      <c r="H1780">
        <v>0</v>
      </c>
      <c r="I1780" t="s">
        <v>38</v>
      </c>
      <c r="J1780" t="s">
        <v>3456</v>
      </c>
      <c r="K1780">
        <v>0</v>
      </c>
      <c r="L1780">
        <v>286.07201122666362</v>
      </c>
    </row>
    <row r="1781" spans="1:12" hidden="1" x14ac:dyDescent="0.25">
      <c r="A1781">
        <v>548</v>
      </c>
      <c r="B1781" t="s">
        <v>2605</v>
      </c>
      <c r="C1781" t="s">
        <v>2606</v>
      </c>
      <c r="D1781">
        <v>0</v>
      </c>
      <c r="E1781" t="str">
        <f>_xlfn.XLOOKUP(F1781, Keys!B:B, Keys!A:A, "找不到")</f>
        <v>OUT</v>
      </c>
      <c r="F1781" t="s">
        <v>403</v>
      </c>
      <c r="G1781">
        <v>2.2142575861454659</v>
      </c>
      <c r="H1781">
        <v>0</v>
      </c>
      <c r="I1781" t="s">
        <v>38</v>
      </c>
      <c r="J1781" t="s">
        <v>3456</v>
      </c>
      <c r="K1781">
        <v>0</v>
      </c>
      <c r="L1781">
        <v>435.94586200761381</v>
      </c>
    </row>
    <row r="1782" spans="1:12" hidden="1" x14ac:dyDescent="0.25">
      <c r="A1782">
        <v>549</v>
      </c>
      <c r="B1782" t="s">
        <v>2605</v>
      </c>
      <c r="C1782" t="s">
        <v>2606</v>
      </c>
      <c r="D1782">
        <v>0</v>
      </c>
      <c r="E1782" t="str">
        <f>_xlfn.XLOOKUP(F1782, Keys!B:B, Keys!A:A, "找不到")</f>
        <v>OUT</v>
      </c>
      <c r="F1782" t="s">
        <v>403</v>
      </c>
      <c r="G1782">
        <v>0.25432626028804828</v>
      </c>
      <c r="H1782">
        <v>0</v>
      </c>
      <c r="I1782" t="s">
        <v>38</v>
      </c>
      <c r="J1782" t="s">
        <v>3461</v>
      </c>
      <c r="K1782">
        <v>0</v>
      </c>
      <c r="L1782">
        <v>150.8940315529631</v>
      </c>
    </row>
    <row r="1783" spans="1:12" hidden="1" x14ac:dyDescent="0.25">
      <c r="A1783">
        <v>550</v>
      </c>
      <c r="B1783" t="s">
        <v>2605</v>
      </c>
      <c r="C1783" t="s">
        <v>2606</v>
      </c>
      <c r="D1783">
        <v>0</v>
      </c>
      <c r="E1783" t="str">
        <f>_xlfn.XLOOKUP(F1783, Keys!B:B, Keys!A:A, "找不到")</f>
        <v>OUT</v>
      </c>
      <c r="F1783" t="s">
        <v>403</v>
      </c>
      <c r="G1783">
        <v>0.5173477623974041</v>
      </c>
      <c r="H1783">
        <v>0</v>
      </c>
      <c r="I1783" t="s">
        <v>38</v>
      </c>
      <c r="J1783" t="s">
        <v>3191</v>
      </c>
      <c r="K1783">
        <v>0</v>
      </c>
      <c r="L1783">
        <v>304.78073128463922</v>
      </c>
    </row>
    <row r="1784" spans="1:12" hidden="1" x14ac:dyDescent="0.25">
      <c r="A1784">
        <v>551</v>
      </c>
      <c r="B1784" t="s">
        <v>2605</v>
      </c>
      <c r="C1784" t="s">
        <v>2606</v>
      </c>
      <c r="D1784">
        <v>0</v>
      </c>
      <c r="E1784" t="str">
        <f>_xlfn.XLOOKUP(F1784, Keys!B:B, Keys!A:A, "找不到")</f>
        <v>OUT</v>
      </c>
      <c r="F1784" t="s">
        <v>403</v>
      </c>
      <c r="G1784">
        <v>29.21160669264528</v>
      </c>
      <c r="H1784">
        <v>0</v>
      </c>
      <c r="I1784" t="s">
        <v>38</v>
      </c>
      <c r="J1784" t="s">
        <v>3191</v>
      </c>
      <c r="K1784">
        <v>0</v>
      </c>
      <c r="L1784">
        <v>1420.4359555445531</v>
      </c>
    </row>
    <row r="1785" spans="1:12" hidden="1" x14ac:dyDescent="0.25">
      <c r="A1785">
        <v>552</v>
      </c>
      <c r="B1785" t="s">
        <v>2605</v>
      </c>
      <c r="C1785" t="s">
        <v>2606</v>
      </c>
      <c r="D1785">
        <v>0</v>
      </c>
      <c r="E1785" t="str">
        <f>_xlfn.XLOOKUP(F1785, Keys!B:B, Keys!A:A, "找不到")</f>
        <v>OUT</v>
      </c>
      <c r="F1785" t="s">
        <v>403</v>
      </c>
      <c r="G1785">
        <v>7.5089219009971604</v>
      </c>
      <c r="H1785">
        <v>0</v>
      </c>
      <c r="I1785" t="s">
        <v>38</v>
      </c>
      <c r="J1785" t="s">
        <v>3456</v>
      </c>
      <c r="K1785">
        <v>0</v>
      </c>
      <c r="L1785">
        <v>707.44896002987264</v>
      </c>
    </row>
    <row r="1786" spans="1:12" hidden="1" x14ac:dyDescent="0.25">
      <c r="A1786">
        <v>553</v>
      </c>
      <c r="B1786" t="s">
        <v>2605</v>
      </c>
      <c r="C1786" t="s">
        <v>2606</v>
      </c>
      <c r="D1786">
        <v>0</v>
      </c>
      <c r="E1786" t="str">
        <f>_xlfn.XLOOKUP(F1786, Keys!B:B, Keys!A:A, "找不到")</f>
        <v>OUT</v>
      </c>
      <c r="F1786" t="s">
        <v>403</v>
      </c>
      <c r="G1786">
        <v>10.33384398040976</v>
      </c>
      <c r="H1786">
        <v>0</v>
      </c>
      <c r="I1786" t="s">
        <v>38</v>
      </c>
      <c r="J1786" t="s">
        <v>3461</v>
      </c>
      <c r="K1786">
        <v>0</v>
      </c>
      <c r="L1786">
        <v>1074.531928134242</v>
      </c>
    </row>
    <row r="1787" spans="1:12" hidden="1" x14ac:dyDescent="0.25">
      <c r="A1787">
        <v>554</v>
      </c>
      <c r="B1787" t="s">
        <v>2605</v>
      </c>
      <c r="C1787" t="s">
        <v>2606</v>
      </c>
      <c r="D1787">
        <v>0</v>
      </c>
      <c r="E1787" t="str">
        <f>_xlfn.XLOOKUP(F1787, Keys!B:B, Keys!A:A, "找不到")</f>
        <v>OUT</v>
      </c>
      <c r="F1787" t="s">
        <v>403</v>
      </c>
      <c r="G1787">
        <v>2.1202198388874338</v>
      </c>
      <c r="H1787">
        <v>0</v>
      </c>
      <c r="I1787" t="s">
        <v>38</v>
      </c>
      <c r="J1787" t="s">
        <v>3456</v>
      </c>
      <c r="K1787">
        <v>0</v>
      </c>
      <c r="L1787">
        <v>397.84931103662052</v>
      </c>
    </row>
    <row r="1788" spans="1:12" hidden="1" x14ac:dyDescent="0.25">
      <c r="A1788">
        <v>555</v>
      </c>
      <c r="B1788" t="s">
        <v>2605</v>
      </c>
      <c r="C1788" t="s">
        <v>2606</v>
      </c>
      <c r="D1788">
        <v>0</v>
      </c>
      <c r="E1788" t="str">
        <f>_xlfn.XLOOKUP(F1788, Keys!B:B, Keys!A:A, "找不到")</f>
        <v>OUT</v>
      </c>
      <c r="F1788" t="s">
        <v>403</v>
      </c>
      <c r="G1788">
        <v>6.9051870945262754</v>
      </c>
      <c r="H1788">
        <v>0</v>
      </c>
      <c r="I1788" t="s">
        <v>38</v>
      </c>
      <c r="J1788" t="s">
        <v>673</v>
      </c>
      <c r="K1788">
        <v>0</v>
      </c>
      <c r="L1788">
        <v>840.19268145009357</v>
      </c>
    </row>
    <row r="1789" spans="1:12" hidden="1" x14ac:dyDescent="0.25">
      <c r="A1789">
        <v>556</v>
      </c>
      <c r="B1789" t="s">
        <v>2605</v>
      </c>
      <c r="C1789" t="s">
        <v>2606</v>
      </c>
      <c r="D1789">
        <v>0</v>
      </c>
      <c r="E1789" t="str">
        <f>_xlfn.XLOOKUP(F1789, Keys!B:B, Keys!A:A, "找不到")</f>
        <v>OUT</v>
      </c>
      <c r="F1789" t="s">
        <v>403</v>
      </c>
      <c r="G1789">
        <v>1.243841261383555</v>
      </c>
      <c r="H1789">
        <v>0</v>
      </c>
      <c r="I1789" t="s">
        <v>38</v>
      </c>
      <c r="J1789" t="s">
        <v>673</v>
      </c>
      <c r="K1789">
        <v>0</v>
      </c>
      <c r="L1789">
        <v>313.29189597557109</v>
      </c>
    </row>
    <row r="1790" spans="1:12" hidden="1" x14ac:dyDescent="0.25">
      <c r="A1790">
        <v>557</v>
      </c>
      <c r="B1790" t="s">
        <v>2605</v>
      </c>
      <c r="C1790" t="s">
        <v>2606</v>
      </c>
      <c r="D1790">
        <v>0</v>
      </c>
      <c r="E1790" t="str">
        <f>_xlfn.XLOOKUP(F1790, Keys!B:B, Keys!A:A, "找不到")</f>
        <v>OUT</v>
      </c>
      <c r="F1790" t="s">
        <v>403</v>
      </c>
      <c r="G1790">
        <v>5.1160250885258343</v>
      </c>
      <c r="H1790">
        <v>0</v>
      </c>
      <c r="I1790" t="s">
        <v>38</v>
      </c>
      <c r="J1790" t="s">
        <v>673</v>
      </c>
      <c r="K1790">
        <v>0</v>
      </c>
      <c r="L1790">
        <v>688.15369181315543</v>
      </c>
    </row>
    <row r="1791" spans="1:12" hidden="1" x14ac:dyDescent="0.25">
      <c r="A1791">
        <v>558</v>
      </c>
      <c r="B1791" t="s">
        <v>2605</v>
      </c>
      <c r="C1791" t="s">
        <v>2606</v>
      </c>
      <c r="D1791">
        <v>0</v>
      </c>
      <c r="E1791" t="str">
        <f>_xlfn.XLOOKUP(F1791, Keys!B:B, Keys!A:A, "找不到")</f>
        <v>OUT</v>
      </c>
      <c r="F1791" t="s">
        <v>403</v>
      </c>
      <c r="G1791">
        <v>3.1024516737323098</v>
      </c>
      <c r="H1791">
        <v>0</v>
      </c>
      <c r="I1791" t="s">
        <v>38</v>
      </c>
      <c r="J1791" t="s">
        <v>3477</v>
      </c>
      <c r="K1791">
        <v>0</v>
      </c>
      <c r="L1791">
        <v>477.07227561986031</v>
      </c>
    </row>
    <row r="1792" spans="1:12" hidden="1" x14ac:dyDescent="0.25">
      <c r="A1792">
        <v>559</v>
      </c>
      <c r="B1792" t="s">
        <v>2605</v>
      </c>
      <c r="C1792" t="s">
        <v>2606</v>
      </c>
      <c r="D1792">
        <v>0</v>
      </c>
      <c r="E1792" t="str">
        <f>_xlfn.XLOOKUP(F1792, Keys!B:B, Keys!A:A, "找不到")</f>
        <v>OUT</v>
      </c>
      <c r="F1792" t="s">
        <v>403</v>
      </c>
      <c r="G1792">
        <v>1.771956615333365</v>
      </c>
      <c r="H1792">
        <v>0</v>
      </c>
      <c r="I1792" t="s">
        <v>38</v>
      </c>
      <c r="J1792" t="s">
        <v>3452</v>
      </c>
      <c r="K1792">
        <v>0</v>
      </c>
      <c r="L1792">
        <v>484.169103559794</v>
      </c>
    </row>
    <row r="1793" spans="1:12" hidden="1" x14ac:dyDescent="0.25">
      <c r="A1793">
        <v>560</v>
      </c>
      <c r="B1793" t="s">
        <v>2605</v>
      </c>
      <c r="C1793" t="s">
        <v>2606</v>
      </c>
      <c r="D1793">
        <v>0</v>
      </c>
      <c r="E1793" t="str">
        <f>_xlfn.XLOOKUP(F1793, Keys!B:B, Keys!A:A, "找不到")</f>
        <v>OUT</v>
      </c>
      <c r="F1793" t="s">
        <v>403</v>
      </c>
      <c r="G1793">
        <v>16.903226307428302</v>
      </c>
      <c r="H1793">
        <v>0</v>
      </c>
      <c r="I1793" t="s">
        <v>38</v>
      </c>
      <c r="J1793" t="s">
        <v>3477</v>
      </c>
      <c r="K1793">
        <v>0</v>
      </c>
      <c r="L1793">
        <v>1275.279431936465</v>
      </c>
    </row>
    <row r="1794" spans="1:12" hidden="1" x14ac:dyDescent="0.25">
      <c r="A1794">
        <v>563</v>
      </c>
      <c r="B1794" t="s">
        <v>2605</v>
      </c>
      <c r="C1794" t="s">
        <v>2606</v>
      </c>
      <c r="D1794">
        <v>0</v>
      </c>
      <c r="E1794" t="str">
        <f>_xlfn.XLOOKUP(F1794, Keys!B:B, Keys!A:A, "找不到")</f>
        <v>OUT</v>
      </c>
      <c r="F1794" t="s">
        <v>403</v>
      </c>
      <c r="G1794">
        <v>5.7395755927117227</v>
      </c>
      <c r="H1794">
        <v>0</v>
      </c>
      <c r="I1794" t="s">
        <v>38</v>
      </c>
      <c r="J1794" t="s">
        <v>3485</v>
      </c>
      <c r="K1794">
        <v>0</v>
      </c>
      <c r="L1794">
        <v>631.29228686991667</v>
      </c>
    </row>
    <row r="1795" spans="1:12" hidden="1" x14ac:dyDescent="0.25">
      <c r="A1795">
        <v>565</v>
      </c>
      <c r="B1795" t="s">
        <v>2605</v>
      </c>
      <c r="C1795" t="s">
        <v>2606</v>
      </c>
      <c r="D1795">
        <v>0</v>
      </c>
      <c r="E1795" t="str">
        <f>_xlfn.XLOOKUP(F1795, Keys!B:B, Keys!A:A, "找不到")</f>
        <v>OUT</v>
      </c>
      <c r="F1795" t="s">
        <v>403</v>
      </c>
      <c r="G1795">
        <v>3.5946881931101942</v>
      </c>
      <c r="H1795">
        <v>0</v>
      </c>
      <c r="I1795" t="s">
        <v>38</v>
      </c>
      <c r="J1795" t="s">
        <v>3485</v>
      </c>
      <c r="K1795">
        <v>0</v>
      </c>
      <c r="L1795">
        <v>774.32758914969418</v>
      </c>
    </row>
    <row r="1796" spans="1:12" hidden="1" x14ac:dyDescent="0.25">
      <c r="A1796">
        <v>566</v>
      </c>
      <c r="B1796" t="s">
        <v>2605</v>
      </c>
      <c r="C1796" t="s">
        <v>2606</v>
      </c>
      <c r="D1796">
        <v>0</v>
      </c>
      <c r="E1796" t="str">
        <f>_xlfn.XLOOKUP(F1796, Keys!B:B, Keys!A:A, "找不到")</f>
        <v>OUT</v>
      </c>
      <c r="F1796" t="s">
        <v>403</v>
      </c>
      <c r="G1796">
        <v>19.938934946350521</v>
      </c>
      <c r="H1796">
        <v>0</v>
      </c>
      <c r="I1796" t="s">
        <v>38</v>
      </c>
      <c r="J1796" t="s">
        <v>3477</v>
      </c>
      <c r="K1796">
        <v>0</v>
      </c>
      <c r="L1796">
        <v>1294.9163550789949</v>
      </c>
    </row>
    <row r="1797" spans="1:12" hidden="1" x14ac:dyDescent="0.25">
      <c r="A1797">
        <v>570</v>
      </c>
      <c r="B1797" t="s">
        <v>2605</v>
      </c>
      <c r="C1797" t="s">
        <v>2606</v>
      </c>
      <c r="D1797">
        <v>0</v>
      </c>
      <c r="E1797" t="str">
        <f>_xlfn.XLOOKUP(F1797, Keys!B:B, Keys!A:A, "找不到")</f>
        <v>OUT</v>
      </c>
      <c r="F1797" t="s">
        <v>403</v>
      </c>
      <c r="G1797">
        <v>2.5454829725831769</v>
      </c>
      <c r="H1797">
        <v>0</v>
      </c>
      <c r="I1797" t="s">
        <v>38</v>
      </c>
      <c r="J1797" t="s">
        <v>3452</v>
      </c>
      <c r="K1797">
        <v>0</v>
      </c>
      <c r="L1797">
        <v>432.67519543898118</v>
      </c>
    </row>
    <row r="1798" spans="1:12" hidden="1" x14ac:dyDescent="0.25">
      <c r="A1798">
        <v>571</v>
      </c>
      <c r="B1798" t="s">
        <v>2605</v>
      </c>
      <c r="C1798" t="s">
        <v>2606</v>
      </c>
      <c r="D1798">
        <v>0</v>
      </c>
      <c r="E1798" t="str">
        <f>_xlfn.XLOOKUP(F1798, Keys!B:B, Keys!A:A, "找不到")</f>
        <v>OUT</v>
      </c>
      <c r="F1798" t="s">
        <v>403</v>
      </c>
      <c r="G1798">
        <v>0.44666859411313642</v>
      </c>
      <c r="H1798">
        <v>0</v>
      </c>
      <c r="I1798" t="s">
        <v>38</v>
      </c>
      <c r="J1798" t="s">
        <v>3452</v>
      </c>
      <c r="K1798">
        <v>0</v>
      </c>
      <c r="L1798">
        <v>185.6232040356978</v>
      </c>
    </row>
    <row r="1799" spans="1:12" hidden="1" x14ac:dyDescent="0.25">
      <c r="A1799">
        <v>572</v>
      </c>
      <c r="B1799" t="s">
        <v>2605</v>
      </c>
      <c r="C1799" t="s">
        <v>2606</v>
      </c>
      <c r="D1799">
        <v>0</v>
      </c>
      <c r="E1799" t="str">
        <f>_xlfn.XLOOKUP(F1799, Keys!B:B, Keys!A:A, "找不到")</f>
        <v>OUT</v>
      </c>
      <c r="F1799" t="s">
        <v>403</v>
      </c>
      <c r="G1799">
        <v>1.1439024367641779</v>
      </c>
      <c r="H1799">
        <v>0</v>
      </c>
      <c r="I1799" t="s">
        <v>38</v>
      </c>
      <c r="J1799" t="s">
        <v>3452</v>
      </c>
      <c r="K1799">
        <v>0</v>
      </c>
      <c r="L1799">
        <v>453.25921186928798</v>
      </c>
    </row>
    <row r="1800" spans="1:12" hidden="1" x14ac:dyDescent="0.25">
      <c r="A1800">
        <v>573</v>
      </c>
      <c r="B1800" t="s">
        <v>2605</v>
      </c>
      <c r="C1800" t="s">
        <v>2606</v>
      </c>
      <c r="D1800">
        <v>0</v>
      </c>
      <c r="E1800" t="str">
        <f>_xlfn.XLOOKUP(F1800, Keys!B:B, Keys!A:A, "找不到")</f>
        <v>OUT</v>
      </c>
      <c r="F1800" t="s">
        <v>403</v>
      </c>
      <c r="G1800">
        <v>8.4033176252664603</v>
      </c>
      <c r="H1800">
        <v>0</v>
      </c>
      <c r="I1800" t="s">
        <v>38</v>
      </c>
      <c r="J1800" t="s">
        <v>3452</v>
      </c>
      <c r="K1800">
        <v>0</v>
      </c>
      <c r="L1800">
        <v>972.02453008570581</v>
      </c>
    </row>
    <row r="1801" spans="1:12" hidden="1" x14ac:dyDescent="0.25">
      <c r="A1801">
        <v>575</v>
      </c>
      <c r="B1801" t="s">
        <v>2605</v>
      </c>
      <c r="C1801" t="s">
        <v>2606</v>
      </c>
      <c r="D1801">
        <v>0</v>
      </c>
      <c r="E1801" t="str">
        <f>_xlfn.XLOOKUP(F1801, Keys!B:B, Keys!A:A, "找不到")</f>
        <v>OUT</v>
      </c>
      <c r="F1801" t="s">
        <v>403</v>
      </c>
      <c r="G1801">
        <v>14.330293720940929</v>
      </c>
      <c r="H1801">
        <v>0</v>
      </c>
      <c r="I1801" t="s">
        <v>38</v>
      </c>
      <c r="J1801" t="s">
        <v>57</v>
      </c>
      <c r="K1801">
        <v>0</v>
      </c>
      <c r="L1801">
        <v>1363.999012575548</v>
      </c>
    </row>
    <row r="1802" spans="1:12" hidden="1" x14ac:dyDescent="0.25">
      <c r="A1802">
        <v>580</v>
      </c>
      <c r="B1802" t="s">
        <v>2605</v>
      </c>
      <c r="C1802" t="s">
        <v>2606</v>
      </c>
      <c r="D1802">
        <v>0</v>
      </c>
      <c r="E1802" t="str">
        <f>_xlfn.XLOOKUP(F1802, Keys!B:B, Keys!A:A, "找不到")</f>
        <v>OUT</v>
      </c>
      <c r="F1802" t="s">
        <v>403</v>
      </c>
      <c r="G1802">
        <v>17.19666773275566</v>
      </c>
      <c r="H1802">
        <v>0</v>
      </c>
      <c r="I1802" t="s">
        <v>38</v>
      </c>
      <c r="J1802" t="s">
        <v>3452</v>
      </c>
      <c r="K1802">
        <v>0</v>
      </c>
      <c r="L1802">
        <v>1449.811003036378</v>
      </c>
    </row>
    <row r="1803" spans="1:12" hidden="1" x14ac:dyDescent="0.25">
      <c r="A1803">
        <v>582</v>
      </c>
      <c r="B1803" t="s">
        <v>2605</v>
      </c>
      <c r="C1803" t="s">
        <v>2606</v>
      </c>
      <c r="D1803">
        <v>0</v>
      </c>
      <c r="E1803" t="str">
        <f>_xlfn.XLOOKUP(F1803, Keys!B:B, Keys!A:A, "找不到")</f>
        <v>OUT</v>
      </c>
      <c r="F1803" t="s">
        <v>403</v>
      </c>
      <c r="G1803">
        <v>0.40828575920802462</v>
      </c>
      <c r="H1803">
        <v>0</v>
      </c>
      <c r="I1803" t="s">
        <v>38</v>
      </c>
      <c r="J1803" t="s">
        <v>3452</v>
      </c>
      <c r="K1803">
        <v>0</v>
      </c>
      <c r="L1803">
        <v>180.90832694283719</v>
      </c>
    </row>
    <row r="1804" spans="1:12" hidden="1" x14ac:dyDescent="0.25">
      <c r="A1804">
        <v>583</v>
      </c>
      <c r="B1804" t="s">
        <v>2605</v>
      </c>
      <c r="C1804" t="s">
        <v>2606</v>
      </c>
      <c r="D1804">
        <v>0</v>
      </c>
      <c r="E1804" t="str">
        <f>_xlfn.XLOOKUP(F1804, Keys!B:B, Keys!A:A, "找不到")</f>
        <v>OUT</v>
      </c>
      <c r="F1804" t="s">
        <v>403</v>
      </c>
      <c r="G1804">
        <v>8.5129235510971402</v>
      </c>
      <c r="H1804">
        <v>0</v>
      </c>
      <c r="I1804" t="s">
        <v>38</v>
      </c>
      <c r="J1804" t="s">
        <v>3452</v>
      </c>
      <c r="K1804">
        <v>0</v>
      </c>
      <c r="L1804">
        <v>780.03705625517989</v>
      </c>
    </row>
    <row r="1805" spans="1:12" hidden="1" x14ac:dyDescent="0.25">
      <c r="A1805">
        <v>584</v>
      </c>
      <c r="B1805" t="s">
        <v>2605</v>
      </c>
      <c r="C1805" t="s">
        <v>2606</v>
      </c>
      <c r="D1805">
        <v>0</v>
      </c>
      <c r="E1805" t="str">
        <f>_xlfn.XLOOKUP(F1805, Keys!B:B, Keys!A:A, "找不到")</f>
        <v>OUT</v>
      </c>
      <c r="F1805" t="s">
        <v>403</v>
      </c>
      <c r="G1805">
        <v>0.58423582785256489</v>
      </c>
      <c r="H1805">
        <v>0</v>
      </c>
      <c r="I1805" t="s">
        <v>38</v>
      </c>
      <c r="J1805" t="s">
        <v>3452</v>
      </c>
      <c r="K1805">
        <v>0</v>
      </c>
      <c r="L1805">
        <v>187.93499536614351</v>
      </c>
    </row>
    <row r="1806" spans="1:12" hidden="1" x14ac:dyDescent="0.25">
      <c r="A1806">
        <v>585</v>
      </c>
      <c r="B1806" t="s">
        <v>2605</v>
      </c>
      <c r="C1806" t="s">
        <v>2606</v>
      </c>
      <c r="D1806">
        <v>0</v>
      </c>
      <c r="E1806" t="str">
        <f>_xlfn.XLOOKUP(F1806, Keys!B:B, Keys!A:A, "找不到")</f>
        <v>OUT</v>
      </c>
      <c r="F1806" t="s">
        <v>403</v>
      </c>
      <c r="G1806">
        <v>2.7163183473142429</v>
      </c>
      <c r="H1806">
        <v>0</v>
      </c>
      <c r="I1806" t="s">
        <v>38</v>
      </c>
      <c r="J1806" t="s">
        <v>3456</v>
      </c>
      <c r="K1806">
        <v>0</v>
      </c>
      <c r="L1806">
        <v>509.89475561540212</v>
      </c>
    </row>
    <row r="1807" spans="1:12" hidden="1" x14ac:dyDescent="0.25">
      <c r="A1807">
        <v>586</v>
      </c>
      <c r="B1807" t="s">
        <v>2605</v>
      </c>
      <c r="C1807" t="s">
        <v>2606</v>
      </c>
      <c r="D1807">
        <v>0</v>
      </c>
      <c r="E1807" t="str">
        <f>_xlfn.XLOOKUP(F1807, Keys!B:B, Keys!A:A, "找不到")</f>
        <v>OUT</v>
      </c>
      <c r="F1807" t="s">
        <v>403</v>
      </c>
      <c r="G1807">
        <v>4.1321578155676164</v>
      </c>
      <c r="H1807">
        <v>0</v>
      </c>
      <c r="I1807" t="s">
        <v>38</v>
      </c>
      <c r="J1807" t="s">
        <v>3456</v>
      </c>
      <c r="K1807">
        <v>0</v>
      </c>
      <c r="L1807">
        <v>570.55457272788055</v>
      </c>
    </row>
    <row r="1808" spans="1:12" hidden="1" x14ac:dyDescent="0.25">
      <c r="A1808">
        <v>587</v>
      </c>
      <c r="B1808" t="s">
        <v>2605</v>
      </c>
      <c r="C1808" t="s">
        <v>2606</v>
      </c>
      <c r="D1808">
        <v>0</v>
      </c>
      <c r="E1808" t="str">
        <f>_xlfn.XLOOKUP(F1808, Keys!B:B, Keys!A:A, "找不到")</f>
        <v>OUT</v>
      </c>
      <c r="F1808" t="s">
        <v>403</v>
      </c>
      <c r="G1808">
        <v>1.712189146421861</v>
      </c>
      <c r="H1808">
        <v>0</v>
      </c>
      <c r="I1808" t="s">
        <v>38</v>
      </c>
      <c r="J1808" t="s">
        <v>3452</v>
      </c>
      <c r="K1808">
        <v>0</v>
      </c>
      <c r="L1808">
        <v>349.20282554155818</v>
      </c>
    </row>
    <row r="1809" spans="1:12" hidden="1" x14ac:dyDescent="0.25">
      <c r="A1809">
        <v>588</v>
      </c>
      <c r="B1809" t="s">
        <v>2605</v>
      </c>
      <c r="C1809" t="s">
        <v>2606</v>
      </c>
      <c r="D1809">
        <v>0</v>
      </c>
      <c r="E1809" t="str">
        <f>_xlfn.XLOOKUP(F1809, Keys!B:B, Keys!A:A, "找不到")</f>
        <v>OUT</v>
      </c>
      <c r="F1809" t="s">
        <v>403</v>
      </c>
      <c r="G1809">
        <v>3.7187237166992708</v>
      </c>
      <c r="H1809">
        <v>0</v>
      </c>
      <c r="I1809" t="s">
        <v>38</v>
      </c>
      <c r="J1809" t="s">
        <v>3456</v>
      </c>
      <c r="K1809">
        <v>0</v>
      </c>
      <c r="L1809">
        <v>520.2664934827983</v>
      </c>
    </row>
    <row r="1810" spans="1:12" hidden="1" x14ac:dyDescent="0.25">
      <c r="A1810">
        <v>589</v>
      </c>
      <c r="B1810" t="s">
        <v>2605</v>
      </c>
      <c r="C1810" t="s">
        <v>2606</v>
      </c>
      <c r="D1810">
        <v>0</v>
      </c>
      <c r="E1810" t="str">
        <f>_xlfn.XLOOKUP(F1810, Keys!B:B, Keys!A:A, "找不到")</f>
        <v>OUT</v>
      </c>
      <c r="F1810" t="s">
        <v>403</v>
      </c>
      <c r="G1810">
        <v>1.0400087598529251</v>
      </c>
      <c r="H1810">
        <v>0</v>
      </c>
      <c r="I1810" t="s">
        <v>38</v>
      </c>
      <c r="J1810" t="s">
        <v>3456</v>
      </c>
      <c r="K1810">
        <v>0</v>
      </c>
      <c r="L1810">
        <v>319.07001967318553</v>
      </c>
    </row>
    <row r="1811" spans="1:12" hidden="1" x14ac:dyDescent="0.25">
      <c r="A1811">
        <v>592</v>
      </c>
      <c r="B1811" t="s">
        <v>2605</v>
      </c>
      <c r="C1811" t="s">
        <v>2606</v>
      </c>
      <c r="D1811">
        <v>0</v>
      </c>
      <c r="E1811" t="str">
        <f>_xlfn.XLOOKUP(F1811, Keys!B:B, Keys!A:A, "找不到")</f>
        <v>OUT</v>
      </c>
      <c r="F1811" t="s">
        <v>403</v>
      </c>
      <c r="G1811">
        <v>9.3421843826068898</v>
      </c>
      <c r="H1811">
        <v>0</v>
      </c>
      <c r="I1811" t="s">
        <v>38</v>
      </c>
      <c r="J1811" t="s">
        <v>3456</v>
      </c>
      <c r="K1811">
        <v>0</v>
      </c>
      <c r="L1811">
        <v>827.70363931018392</v>
      </c>
    </row>
    <row r="1812" spans="1:12" hidden="1" x14ac:dyDescent="0.25">
      <c r="A1812">
        <v>593</v>
      </c>
      <c r="B1812" t="s">
        <v>2605</v>
      </c>
      <c r="C1812" t="s">
        <v>2606</v>
      </c>
      <c r="D1812">
        <v>0</v>
      </c>
      <c r="E1812" t="str">
        <f>_xlfn.XLOOKUP(F1812, Keys!B:B, Keys!A:A, "找不到")</f>
        <v>OUT</v>
      </c>
      <c r="F1812" t="s">
        <v>403</v>
      </c>
      <c r="G1812">
        <v>14.735051158957541</v>
      </c>
      <c r="H1812">
        <v>0</v>
      </c>
      <c r="I1812" t="s">
        <v>38</v>
      </c>
      <c r="J1812" t="s">
        <v>3456</v>
      </c>
      <c r="K1812">
        <v>0</v>
      </c>
      <c r="L1812">
        <v>1024.362962366569</v>
      </c>
    </row>
    <row r="1813" spans="1:12" hidden="1" x14ac:dyDescent="0.25">
      <c r="A1813">
        <v>595</v>
      </c>
      <c r="B1813" t="s">
        <v>2605</v>
      </c>
      <c r="C1813" t="s">
        <v>2606</v>
      </c>
      <c r="D1813">
        <v>0</v>
      </c>
      <c r="E1813" t="str">
        <f>_xlfn.XLOOKUP(F1813, Keys!B:B, Keys!A:A, "找不到")</f>
        <v>OUT</v>
      </c>
      <c r="F1813" t="s">
        <v>403</v>
      </c>
      <c r="G1813">
        <v>2.7472725669799249</v>
      </c>
      <c r="H1813">
        <v>0</v>
      </c>
      <c r="I1813" t="s">
        <v>38</v>
      </c>
      <c r="J1813" t="s">
        <v>3456</v>
      </c>
      <c r="K1813">
        <v>0</v>
      </c>
      <c r="L1813">
        <v>498.14703641279522</v>
      </c>
    </row>
    <row r="1814" spans="1:12" hidden="1" x14ac:dyDescent="0.25">
      <c r="A1814">
        <v>596</v>
      </c>
      <c r="B1814" t="s">
        <v>2605</v>
      </c>
      <c r="C1814" t="s">
        <v>2606</v>
      </c>
      <c r="D1814">
        <v>0</v>
      </c>
      <c r="E1814" t="str">
        <f>_xlfn.XLOOKUP(F1814, Keys!B:B, Keys!A:A, "找不到")</f>
        <v>OUT</v>
      </c>
      <c r="F1814" t="s">
        <v>403</v>
      </c>
      <c r="G1814">
        <v>21.35383405329803</v>
      </c>
      <c r="H1814">
        <v>0</v>
      </c>
      <c r="I1814" t="s">
        <v>38</v>
      </c>
      <c r="J1814" t="s">
        <v>3456</v>
      </c>
      <c r="K1814">
        <v>0</v>
      </c>
      <c r="L1814">
        <v>1507.3564125746129</v>
      </c>
    </row>
    <row r="1815" spans="1:12" hidden="1" x14ac:dyDescent="0.25">
      <c r="A1815">
        <v>597</v>
      </c>
      <c r="B1815" t="s">
        <v>2605</v>
      </c>
      <c r="C1815" t="s">
        <v>2606</v>
      </c>
      <c r="D1815">
        <v>0</v>
      </c>
      <c r="E1815" t="str">
        <f>_xlfn.XLOOKUP(F1815, Keys!B:B, Keys!A:A, "找不到")</f>
        <v>OUT</v>
      </c>
      <c r="F1815" t="s">
        <v>403</v>
      </c>
      <c r="G1815">
        <v>2.8535874240587629</v>
      </c>
      <c r="H1815">
        <v>0</v>
      </c>
      <c r="I1815" t="s">
        <v>38</v>
      </c>
      <c r="J1815" t="s">
        <v>3456</v>
      </c>
      <c r="K1815">
        <v>0</v>
      </c>
      <c r="L1815">
        <v>603.73046637911909</v>
      </c>
    </row>
    <row r="1816" spans="1:12" hidden="1" x14ac:dyDescent="0.25">
      <c r="A1816">
        <v>598</v>
      </c>
      <c r="B1816" t="s">
        <v>2605</v>
      </c>
      <c r="C1816" t="s">
        <v>2606</v>
      </c>
      <c r="D1816">
        <v>0</v>
      </c>
      <c r="E1816" t="str">
        <f>_xlfn.XLOOKUP(F1816, Keys!B:B, Keys!A:A, "找不到")</f>
        <v>OUT</v>
      </c>
      <c r="F1816" t="s">
        <v>403</v>
      </c>
      <c r="G1816">
        <v>3.676268684859326</v>
      </c>
      <c r="H1816">
        <v>0</v>
      </c>
      <c r="I1816" t="s">
        <v>38</v>
      </c>
      <c r="J1816" t="s">
        <v>3456</v>
      </c>
      <c r="K1816">
        <v>0</v>
      </c>
      <c r="L1816">
        <v>531.28401451712273</v>
      </c>
    </row>
    <row r="1817" spans="1:12" hidden="1" x14ac:dyDescent="0.25">
      <c r="A1817">
        <v>599</v>
      </c>
      <c r="B1817" t="s">
        <v>2605</v>
      </c>
      <c r="C1817" t="s">
        <v>2606</v>
      </c>
      <c r="D1817">
        <v>0</v>
      </c>
      <c r="E1817" t="str">
        <f>_xlfn.XLOOKUP(F1817, Keys!B:B, Keys!A:A, "找不到")</f>
        <v>OUT</v>
      </c>
      <c r="F1817" t="s">
        <v>403</v>
      </c>
      <c r="G1817">
        <v>4.6749205553790709</v>
      </c>
      <c r="H1817">
        <v>0</v>
      </c>
      <c r="I1817" t="s">
        <v>38</v>
      </c>
      <c r="J1817" t="s">
        <v>3456</v>
      </c>
      <c r="K1817">
        <v>0</v>
      </c>
      <c r="L1817">
        <v>636.86858770775609</v>
      </c>
    </row>
    <row r="1818" spans="1:12" hidden="1" x14ac:dyDescent="0.25">
      <c r="A1818">
        <v>609</v>
      </c>
      <c r="B1818" t="s">
        <v>2605</v>
      </c>
      <c r="C1818" t="s">
        <v>2606</v>
      </c>
      <c r="D1818">
        <v>0</v>
      </c>
      <c r="E1818" t="str">
        <f>_xlfn.XLOOKUP(F1818, Keys!B:B, Keys!A:A, "找不到")</f>
        <v>OUT</v>
      </c>
      <c r="F1818" t="s">
        <v>403</v>
      </c>
      <c r="G1818">
        <v>0.56731533992156558</v>
      </c>
      <c r="H1818">
        <v>0</v>
      </c>
      <c r="I1818" t="s">
        <v>38</v>
      </c>
      <c r="J1818" t="s">
        <v>3548</v>
      </c>
      <c r="K1818">
        <v>0</v>
      </c>
      <c r="L1818">
        <v>336.07670982651899</v>
      </c>
    </row>
    <row r="1819" spans="1:12" hidden="1" x14ac:dyDescent="0.25">
      <c r="A1819">
        <v>610</v>
      </c>
      <c r="B1819" t="s">
        <v>2605</v>
      </c>
      <c r="C1819" t="s">
        <v>2606</v>
      </c>
      <c r="D1819">
        <v>0</v>
      </c>
      <c r="E1819" t="str">
        <f>_xlfn.XLOOKUP(F1819, Keys!B:B, Keys!A:A, "找不到")</f>
        <v>OUT</v>
      </c>
      <c r="F1819" t="s">
        <v>403</v>
      </c>
      <c r="G1819">
        <v>0.42718574319414349</v>
      </c>
      <c r="H1819">
        <v>0</v>
      </c>
      <c r="I1819" t="s">
        <v>38</v>
      </c>
      <c r="J1819" t="s">
        <v>3553</v>
      </c>
      <c r="K1819">
        <v>0</v>
      </c>
      <c r="L1819">
        <v>171.3273400578675</v>
      </c>
    </row>
    <row r="1820" spans="1:12" hidden="1" x14ac:dyDescent="0.25">
      <c r="A1820">
        <v>611</v>
      </c>
      <c r="B1820" t="s">
        <v>2605</v>
      </c>
      <c r="C1820" t="s">
        <v>2606</v>
      </c>
      <c r="D1820">
        <v>0</v>
      </c>
      <c r="E1820" t="str">
        <f>_xlfn.XLOOKUP(F1820, Keys!B:B, Keys!A:A, "找不到")</f>
        <v>OUT</v>
      </c>
      <c r="F1820" t="s">
        <v>403</v>
      </c>
      <c r="G1820">
        <v>0.72504421799278462</v>
      </c>
      <c r="H1820">
        <v>0</v>
      </c>
      <c r="I1820" t="s">
        <v>38</v>
      </c>
      <c r="J1820" t="s">
        <v>3548</v>
      </c>
      <c r="K1820">
        <v>0</v>
      </c>
      <c r="L1820">
        <v>235.93085097613931</v>
      </c>
    </row>
    <row r="1821" spans="1:12" hidden="1" x14ac:dyDescent="0.25">
      <c r="A1821">
        <v>615</v>
      </c>
      <c r="B1821" t="s">
        <v>2605</v>
      </c>
      <c r="C1821" t="s">
        <v>2606</v>
      </c>
      <c r="D1821">
        <v>0</v>
      </c>
      <c r="E1821" t="str">
        <f>_xlfn.XLOOKUP(F1821, Keys!B:B, Keys!A:A, "找不到")</f>
        <v>OUT</v>
      </c>
      <c r="F1821" t="s">
        <v>403</v>
      </c>
      <c r="G1821">
        <v>3.1995248335786132E-2</v>
      </c>
      <c r="H1821">
        <v>0</v>
      </c>
      <c r="I1821" t="s">
        <v>38</v>
      </c>
      <c r="J1821" t="s">
        <v>3561</v>
      </c>
      <c r="K1821">
        <v>0</v>
      </c>
      <c r="L1821">
        <v>46.636462482250607</v>
      </c>
    </row>
    <row r="1822" spans="1:12" hidden="1" x14ac:dyDescent="0.25">
      <c r="A1822">
        <v>616</v>
      </c>
      <c r="B1822" t="s">
        <v>2605</v>
      </c>
      <c r="C1822" t="s">
        <v>2606</v>
      </c>
      <c r="D1822">
        <v>0</v>
      </c>
      <c r="E1822" t="str">
        <f>_xlfn.XLOOKUP(F1822, Keys!B:B, Keys!A:A, "找不到")</f>
        <v>OUT</v>
      </c>
      <c r="F1822" t="s">
        <v>403</v>
      </c>
      <c r="G1822">
        <v>16.913319645366521</v>
      </c>
      <c r="H1822">
        <v>0</v>
      </c>
      <c r="I1822" t="s">
        <v>38</v>
      </c>
      <c r="J1822" t="s">
        <v>3548</v>
      </c>
      <c r="K1822">
        <v>0</v>
      </c>
      <c r="L1822">
        <v>1296.254541399403</v>
      </c>
    </row>
    <row r="1823" spans="1:12" hidden="1" x14ac:dyDescent="0.25">
      <c r="A1823">
        <v>617</v>
      </c>
      <c r="B1823" t="s">
        <v>2605</v>
      </c>
      <c r="C1823" t="s">
        <v>2606</v>
      </c>
      <c r="D1823">
        <v>0</v>
      </c>
      <c r="E1823" t="str">
        <f>_xlfn.XLOOKUP(F1823, Keys!B:B, Keys!A:A, "找不到")</f>
        <v>OUT</v>
      </c>
      <c r="F1823" t="s">
        <v>403</v>
      </c>
      <c r="G1823">
        <v>1.9049424678288489</v>
      </c>
      <c r="H1823">
        <v>0</v>
      </c>
      <c r="I1823" t="s">
        <v>38</v>
      </c>
      <c r="J1823" t="s">
        <v>673</v>
      </c>
      <c r="K1823">
        <v>0</v>
      </c>
      <c r="L1823">
        <v>552.32022234734859</v>
      </c>
    </row>
    <row r="1824" spans="1:12" hidden="1" x14ac:dyDescent="0.25">
      <c r="A1824">
        <v>618</v>
      </c>
      <c r="B1824" t="s">
        <v>2605</v>
      </c>
      <c r="C1824" t="s">
        <v>2606</v>
      </c>
      <c r="D1824">
        <v>0</v>
      </c>
      <c r="E1824" t="str">
        <f>_xlfn.XLOOKUP(F1824, Keys!B:B, Keys!A:A, "找不到")</f>
        <v>OUT</v>
      </c>
      <c r="F1824" t="s">
        <v>403</v>
      </c>
      <c r="G1824">
        <v>2.6249801266908799</v>
      </c>
      <c r="H1824">
        <v>0</v>
      </c>
      <c r="I1824" t="s">
        <v>38</v>
      </c>
      <c r="J1824" t="s">
        <v>673</v>
      </c>
      <c r="K1824">
        <v>0</v>
      </c>
      <c r="L1824">
        <v>419.29260038392852</v>
      </c>
    </row>
    <row r="1825" spans="1:12" hidden="1" x14ac:dyDescent="0.25">
      <c r="A1825">
        <v>619</v>
      </c>
      <c r="B1825" t="s">
        <v>2605</v>
      </c>
      <c r="C1825" t="s">
        <v>2606</v>
      </c>
      <c r="D1825">
        <v>0</v>
      </c>
      <c r="E1825" t="str">
        <f>_xlfn.XLOOKUP(F1825, Keys!B:B, Keys!A:A, "找不到")</f>
        <v>OUT</v>
      </c>
      <c r="F1825" t="s">
        <v>403</v>
      </c>
      <c r="G1825">
        <v>10.86141340046462</v>
      </c>
      <c r="H1825">
        <v>0</v>
      </c>
      <c r="I1825" t="s">
        <v>38</v>
      </c>
      <c r="J1825" t="s">
        <v>673</v>
      </c>
      <c r="K1825">
        <v>0</v>
      </c>
      <c r="L1825">
        <v>1409.6602044980509</v>
      </c>
    </row>
    <row r="1826" spans="1:12" hidden="1" x14ac:dyDescent="0.25">
      <c r="A1826">
        <v>621</v>
      </c>
      <c r="B1826" t="s">
        <v>2605</v>
      </c>
      <c r="C1826" t="s">
        <v>2606</v>
      </c>
      <c r="D1826">
        <v>0</v>
      </c>
      <c r="E1826" t="str">
        <f>_xlfn.XLOOKUP(F1826, Keys!B:B, Keys!A:A, "找不到")</f>
        <v>OUT</v>
      </c>
      <c r="F1826" t="s">
        <v>403</v>
      </c>
      <c r="G1826">
        <v>1.6207360898480441</v>
      </c>
      <c r="H1826">
        <v>0</v>
      </c>
      <c r="I1826" t="s">
        <v>38</v>
      </c>
      <c r="J1826" t="s">
        <v>3571</v>
      </c>
      <c r="K1826">
        <v>0</v>
      </c>
      <c r="L1826">
        <v>433.26570182763561</v>
      </c>
    </row>
    <row r="1827" spans="1:12" hidden="1" x14ac:dyDescent="0.25">
      <c r="A1827">
        <v>622</v>
      </c>
      <c r="B1827" t="s">
        <v>2605</v>
      </c>
      <c r="C1827" t="s">
        <v>2606</v>
      </c>
      <c r="D1827">
        <v>0</v>
      </c>
      <c r="E1827" t="str">
        <f>_xlfn.XLOOKUP(F1827, Keys!B:B, Keys!A:A, "找不到")</f>
        <v>OUT</v>
      </c>
      <c r="F1827" t="s">
        <v>403</v>
      </c>
      <c r="G1827">
        <v>0.1920141524820394</v>
      </c>
      <c r="H1827">
        <v>0</v>
      </c>
      <c r="I1827" t="s">
        <v>38</v>
      </c>
      <c r="J1827" t="s">
        <v>3548</v>
      </c>
      <c r="K1827">
        <v>0</v>
      </c>
      <c r="L1827">
        <v>134.68170223744519</v>
      </c>
    </row>
    <row r="1828" spans="1:12" hidden="1" x14ac:dyDescent="0.25">
      <c r="A1828">
        <v>623</v>
      </c>
      <c r="B1828" t="s">
        <v>2605</v>
      </c>
      <c r="C1828" t="s">
        <v>2606</v>
      </c>
      <c r="D1828">
        <v>0</v>
      </c>
      <c r="E1828" t="str">
        <f>_xlfn.XLOOKUP(F1828, Keys!B:B, Keys!A:A, "找不到")</f>
        <v>OUT</v>
      </c>
      <c r="F1828" t="s">
        <v>403</v>
      </c>
      <c r="G1828">
        <v>18.52411218504572</v>
      </c>
      <c r="H1828">
        <v>0</v>
      </c>
      <c r="I1828" t="s">
        <v>38</v>
      </c>
      <c r="J1828" t="s">
        <v>3571</v>
      </c>
      <c r="K1828">
        <v>0</v>
      </c>
      <c r="L1828">
        <v>1369.4010058290551</v>
      </c>
    </row>
    <row r="1829" spans="1:12" hidden="1" x14ac:dyDescent="0.25">
      <c r="A1829">
        <v>624</v>
      </c>
      <c r="B1829" t="s">
        <v>2605</v>
      </c>
      <c r="C1829" t="s">
        <v>2606</v>
      </c>
      <c r="D1829">
        <v>0</v>
      </c>
      <c r="E1829" t="str">
        <f>_xlfn.XLOOKUP(F1829, Keys!B:B, Keys!A:A, "找不到")</f>
        <v>OUT</v>
      </c>
      <c r="F1829" t="s">
        <v>403</v>
      </c>
      <c r="G1829">
        <v>1.0629196310028439</v>
      </c>
      <c r="H1829">
        <v>0</v>
      </c>
      <c r="I1829">
        <v>0</v>
      </c>
      <c r="J1829" t="s">
        <v>1172</v>
      </c>
      <c r="K1829">
        <v>0</v>
      </c>
      <c r="L1829">
        <v>359.26051002573598</v>
      </c>
    </row>
    <row r="1830" spans="1:12" hidden="1" x14ac:dyDescent="0.25">
      <c r="A1830">
        <v>625</v>
      </c>
      <c r="B1830" t="s">
        <v>2605</v>
      </c>
      <c r="C1830" t="s">
        <v>2606</v>
      </c>
      <c r="D1830">
        <v>0</v>
      </c>
      <c r="E1830" t="str">
        <f>_xlfn.XLOOKUP(F1830, Keys!B:B, Keys!A:A, "找不到")</f>
        <v>OUT</v>
      </c>
      <c r="F1830" t="s">
        <v>403</v>
      </c>
      <c r="G1830">
        <v>17.310285434684051</v>
      </c>
      <c r="H1830">
        <v>0</v>
      </c>
      <c r="I1830">
        <v>0</v>
      </c>
      <c r="J1830" t="s">
        <v>673</v>
      </c>
      <c r="K1830">
        <v>0</v>
      </c>
      <c r="L1830">
        <v>1148.3766098612859</v>
      </c>
    </row>
    <row r="1831" spans="1:12" hidden="1" x14ac:dyDescent="0.25">
      <c r="A1831">
        <v>626</v>
      </c>
      <c r="B1831" t="s">
        <v>2605</v>
      </c>
      <c r="C1831" t="s">
        <v>2606</v>
      </c>
      <c r="D1831">
        <v>0</v>
      </c>
      <c r="E1831" t="str">
        <f>_xlfn.XLOOKUP(F1831, Keys!B:B, Keys!A:A, "找不到")</f>
        <v>OUT</v>
      </c>
      <c r="F1831" t="s">
        <v>403</v>
      </c>
      <c r="G1831">
        <v>0.26587761507303481</v>
      </c>
      <c r="H1831">
        <v>0</v>
      </c>
      <c r="I1831">
        <v>0</v>
      </c>
      <c r="J1831" t="s">
        <v>3548</v>
      </c>
      <c r="K1831">
        <v>0</v>
      </c>
      <c r="L1831">
        <v>154.20654374496129</v>
      </c>
    </row>
    <row r="1832" spans="1:12" hidden="1" x14ac:dyDescent="0.25">
      <c r="A1832">
        <v>627</v>
      </c>
      <c r="B1832" t="s">
        <v>2605</v>
      </c>
      <c r="C1832" t="s">
        <v>2606</v>
      </c>
      <c r="D1832">
        <v>0</v>
      </c>
      <c r="E1832" t="str">
        <f>_xlfn.XLOOKUP(F1832, Keys!B:B, Keys!A:A, "找不到")</f>
        <v>OUT</v>
      </c>
      <c r="F1832" t="s">
        <v>403</v>
      </c>
      <c r="G1832">
        <v>0.95680739494453493</v>
      </c>
      <c r="H1832">
        <v>0</v>
      </c>
      <c r="I1832">
        <v>0</v>
      </c>
      <c r="J1832" t="s">
        <v>1172</v>
      </c>
      <c r="K1832">
        <v>0</v>
      </c>
      <c r="L1832">
        <v>247.93937965945489</v>
      </c>
    </row>
    <row r="1833" spans="1:12" hidden="1" x14ac:dyDescent="0.25">
      <c r="A1833">
        <v>628</v>
      </c>
      <c r="B1833" t="s">
        <v>2605</v>
      </c>
      <c r="C1833" t="s">
        <v>2606</v>
      </c>
      <c r="D1833">
        <v>0</v>
      </c>
      <c r="E1833" t="str">
        <f>_xlfn.XLOOKUP(F1833, Keys!B:B, Keys!A:A, "找不到")</f>
        <v>OUT</v>
      </c>
      <c r="F1833" t="s">
        <v>403</v>
      </c>
      <c r="G1833">
        <v>1.0387899635560449</v>
      </c>
      <c r="H1833">
        <v>0</v>
      </c>
      <c r="I1833">
        <v>0</v>
      </c>
      <c r="J1833" t="s">
        <v>3582</v>
      </c>
      <c r="K1833">
        <v>0</v>
      </c>
      <c r="L1833">
        <v>287.87181149955308</v>
      </c>
    </row>
    <row r="1834" spans="1:12" hidden="1" x14ac:dyDescent="0.25">
      <c r="A1834">
        <v>629</v>
      </c>
      <c r="B1834" t="s">
        <v>2605</v>
      </c>
      <c r="C1834" t="s">
        <v>2606</v>
      </c>
      <c r="D1834">
        <v>0</v>
      </c>
      <c r="E1834" t="str">
        <f>_xlfn.XLOOKUP(F1834, Keys!B:B, Keys!A:A, "找不到")</f>
        <v>OUT</v>
      </c>
      <c r="F1834" t="s">
        <v>403</v>
      </c>
      <c r="G1834">
        <v>7.1086726605489051E-2</v>
      </c>
      <c r="H1834">
        <v>0</v>
      </c>
      <c r="I1834">
        <v>0</v>
      </c>
      <c r="J1834" t="s">
        <v>2691</v>
      </c>
      <c r="K1834">
        <v>0</v>
      </c>
      <c r="L1834">
        <v>70.17124624439306</v>
      </c>
    </row>
    <row r="1835" spans="1:12" hidden="1" x14ac:dyDescent="0.25">
      <c r="A1835">
        <v>630</v>
      </c>
      <c r="B1835" t="s">
        <v>2605</v>
      </c>
      <c r="C1835" t="s">
        <v>2606</v>
      </c>
      <c r="D1835">
        <v>0</v>
      </c>
      <c r="E1835" t="str">
        <f>_xlfn.XLOOKUP(F1835, Keys!B:B, Keys!A:A, "找不到")</f>
        <v>OUT</v>
      </c>
      <c r="F1835" t="s">
        <v>403</v>
      </c>
      <c r="G1835">
        <v>0.56803155848526077</v>
      </c>
      <c r="H1835">
        <v>0</v>
      </c>
      <c r="I1835">
        <v>0</v>
      </c>
      <c r="J1835" t="s">
        <v>3582</v>
      </c>
      <c r="K1835">
        <v>0</v>
      </c>
      <c r="L1835">
        <v>204.58629593726141</v>
      </c>
    </row>
    <row r="1836" spans="1:12" hidden="1" x14ac:dyDescent="0.25">
      <c r="A1836">
        <v>631</v>
      </c>
      <c r="B1836" t="s">
        <v>2605</v>
      </c>
      <c r="C1836" t="s">
        <v>2606</v>
      </c>
      <c r="D1836">
        <v>0</v>
      </c>
      <c r="E1836" t="str">
        <f>_xlfn.XLOOKUP(F1836, Keys!B:B, Keys!A:A, "找不到")</f>
        <v>OUT</v>
      </c>
      <c r="F1836" t="s">
        <v>403</v>
      </c>
      <c r="G1836">
        <v>0.11132979938177889</v>
      </c>
      <c r="H1836">
        <v>0</v>
      </c>
      <c r="I1836">
        <v>0</v>
      </c>
      <c r="J1836" t="s">
        <v>3586</v>
      </c>
      <c r="K1836">
        <v>0</v>
      </c>
      <c r="L1836">
        <v>103.6186407142032</v>
      </c>
    </row>
    <row r="1837" spans="1:12" hidden="1" x14ac:dyDescent="0.25">
      <c r="A1837">
        <v>632</v>
      </c>
      <c r="B1837" t="s">
        <v>2605</v>
      </c>
      <c r="C1837" t="s">
        <v>2606</v>
      </c>
      <c r="D1837">
        <v>0</v>
      </c>
      <c r="E1837" t="str">
        <f>_xlfn.XLOOKUP(F1837, Keys!B:B, Keys!A:A, "找不到")</f>
        <v>OUT</v>
      </c>
      <c r="F1837" t="s">
        <v>403</v>
      </c>
      <c r="G1837">
        <v>5.4759695036996856</v>
      </c>
      <c r="H1837">
        <v>0</v>
      </c>
      <c r="I1837">
        <v>0</v>
      </c>
      <c r="J1837" t="s">
        <v>3548</v>
      </c>
      <c r="K1837">
        <v>0</v>
      </c>
      <c r="L1837">
        <v>761.37175252776819</v>
      </c>
    </row>
    <row r="1838" spans="1:12" hidden="1" x14ac:dyDescent="0.25">
      <c r="A1838">
        <v>633</v>
      </c>
      <c r="B1838" t="s">
        <v>2605</v>
      </c>
      <c r="C1838" t="s">
        <v>2606</v>
      </c>
      <c r="D1838">
        <v>0</v>
      </c>
      <c r="E1838" t="str">
        <f>_xlfn.XLOOKUP(F1838, Keys!B:B, Keys!A:A, "找不到")</f>
        <v>OUT</v>
      </c>
      <c r="F1838" t="s">
        <v>403</v>
      </c>
      <c r="G1838">
        <v>1.409945815697609</v>
      </c>
      <c r="H1838">
        <v>0</v>
      </c>
      <c r="I1838">
        <v>0</v>
      </c>
      <c r="J1838" t="s">
        <v>3548</v>
      </c>
      <c r="K1838">
        <v>0</v>
      </c>
      <c r="L1838">
        <v>634.1171983120272</v>
      </c>
    </row>
    <row r="1839" spans="1:12" hidden="1" x14ac:dyDescent="0.25">
      <c r="A1839">
        <v>634</v>
      </c>
      <c r="B1839" t="s">
        <v>2605</v>
      </c>
      <c r="C1839" t="s">
        <v>2606</v>
      </c>
      <c r="D1839">
        <v>0</v>
      </c>
      <c r="E1839" t="str">
        <f>_xlfn.XLOOKUP(F1839, Keys!B:B, Keys!A:A, "找不到")</f>
        <v>OUT</v>
      </c>
      <c r="F1839" t="s">
        <v>403</v>
      </c>
      <c r="G1839">
        <v>0.89061443110914951</v>
      </c>
      <c r="H1839">
        <v>0</v>
      </c>
      <c r="I1839">
        <v>0</v>
      </c>
      <c r="J1839" t="s">
        <v>1172</v>
      </c>
      <c r="K1839">
        <v>0</v>
      </c>
      <c r="L1839">
        <v>251.38040769333159</v>
      </c>
    </row>
    <row r="1840" spans="1:12" hidden="1" x14ac:dyDescent="0.25">
      <c r="A1840">
        <v>636</v>
      </c>
      <c r="B1840" t="s">
        <v>2605</v>
      </c>
      <c r="C1840" t="s">
        <v>2606</v>
      </c>
      <c r="D1840">
        <v>0</v>
      </c>
      <c r="E1840" t="str">
        <f>_xlfn.XLOOKUP(F1840, Keys!B:B, Keys!A:A, "找不到")</f>
        <v>OUT</v>
      </c>
      <c r="F1840" t="s">
        <v>403</v>
      </c>
      <c r="G1840">
        <v>6.323932871531242</v>
      </c>
      <c r="H1840">
        <v>0</v>
      </c>
      <c r="I1840" t="s">
        <v>38</v>
      </c>
      <c r="J1840" t="s">
        <v>3592</v>
      </c>
      <c r="K1840">
        <v>0</v>
      </c>
      <c r="L1840">
        <v>647.49181770038194</v>
      </c>
    </row>
    <row r="1841" spans="1:12" hidden="1" x14ac:dyDescent="0.25">
      <c r="A1841">
        <v>637</v>
      </c>
      <c r="B1841" t="s">
        <v>2605</v>
      </c>
      <c r="C1841" t="s">
        <v>2606</v>
      </c>
      <c r="D1841">
        <v>0</v>
      </c>
      <c r="E1841" t="str">
        <f>_xlfn.XLOOKUP(F1841, Keys!B:B, Keys!A:A, "找不到")</f>
        <v>OUT</v>
      </c>
      <c r="F1841" t="s">
        <v>403</v>
      </c>
      <c r="G1841">
        <v>5.6772538463390712</v>
      </c>
      <c r="H1841">
        <v>0</v>
      </c>
      <c r="I1841" t="s">
        <v>38</v>
      </c>
      <c r="J1841" t="s">
        <v>3592</v>
      </c>
      <c r="K1841">
        <v>0</v>
      </c>
      <c r="L1841">
        <v>690.33445473191728</v>
      </c>
    </row>
    <row r="1842" spans="1:12" hidden="1" x14ac:dyDescent="0.25">
      <c r="A1842">
        <v>639</v>
      </c>
      <c r="B1842" t="s">
        <v>2605</v>
      </c>
      <c r="C1842" t="s">
        <v>2606</v>
      </c>
      <c r="D1842">
        <v>0</v>
      </c>
      <c r="E1842" t="str">
        <f>_xlfn.XLOOKUP(F1842, Keys!B:B, Keys!A:A, "找不到")</f>
        <v>OUT</v>
      </c>
      <c r="F1842" t="s">
        <v>403</v>
      </c>
      <c r="G1842">
        <v>1.3827454463318589</v>
      </c>
      <c r="H1842">
        <v>0</v>
      </c>
      <c r="I1842" t="s">
        <v>38</v>
      </c>
      <c r="J1842" t="s">
        <v>3548</v>
      </c>
      <c r="K1842">
        <v>0</v>
      </c>
      <c r="L1842">
        <v>333.1105410774021</v>
      </c>
    </row>
    <row r="1843" spans="1:12" hidden="1" x14ac:dyDescent="0.25">
      <c r="A1843">
        <v>640</v>
      </c>
      <c r="B1843" t="s">
        <v>2605</v>
      </c>
      <c r="C1843" t="s">
        <v>2606</v>
      </c>
      <c r="D1843">
        <v>0</v>
      </c>
      <c r="E1843" t="str">
        <f>_xlfn.XLOOKUP(F1843, Keys!B:B, Keys!A:A, "找不到")</f>
        <v>OUT</v>
      </c>
      <c r="F1843" t="s">
        <v>403</v>
      </c>
      <c r="G1843">
        <v>0.33199429133540648</v>
      </c>
      <c r="H1843">
        <v>0</v>
      </c>
      <c r="I1843" t="s">
        <v>38</v>
      </c>
      <c r="J1843" t="s">
        <v>3548</v>
      </c>
      <c r="K1843">
        <v>0</v>
      </c>
      <c r="L1843">
        <v>216.33768578298441</v>
      </c>
    </row>
    <row r="1844" spans="1:12" hidden="1" x14ac:dyDescent="0.25">
      <c r="A1844">
        <v>641</v>
      </c>
      <c r="B1844" t="s">
        <v>2605</v>
      </c>
      <c r="C1844" t="s">
        <v>2606</v>
      </c>
      <c r="D1844">
        <v>0</v>
      </c>
      <c r="E1844" t="str">
        <f>_xlfn.XLOOKUP(F1844, Keys!B:B, Keys!A:A, "找不到")</f>
        <v>OUT</v>
      </c>
      <c r="F1844" t="s">
        <v>403</v>
      </c>
      <c r="G1844">
        <v>11.85616190906506</v>
      </c>
      <c r="H1844">
        <v>0</v>
      </c>
      <c r="I1844" t="s">
        <v>38</v>
      </c>
      <c r="J1844" t="s">
        <v>3592</v>
      </c>
      <c r="K1844">
        <v>0</v>
      </c>
      <c r="L1844">
        <v>876.58846778438885</v>
      </c>
    </row>
    <row r="1845" spans="1:12" hidden="1" x14ac:dyDescent="0.25">
      <c r="A1845">
        <v>642</v>
      </c>
      <c r="B1845" t="s">
        <v>2605</v>
      </c>
      <c r="C1845" t="s">
        <v>2606</v>
      </c>
      <c r="D1845">
        <v>0</v>
      </c>
      <c r="E1845" t="str">
        <f>_xlfn.XLOOKUP(F1845, Keys!B:B, Keys!A:A, "找不到")</f>
        <v>OUT</v>
      </c>
      <c r="F1845" t="s">
        <v>403</v>
      </c>
      <c r="G1845">
        <v>29.238148523685169</v>
      </c>
      <c r="H1845">
        <v>0</v>
      </c>
      <c r="I1845" t="s">
        <v>38</v>
      </c>
      <c r="J1845" t="s">
        <v>3592</v>
      </c>
      <c r="K1845">
        <v>0</v>
      </c>
      <c r="L1845">
        <v>1440.6924613140991</v>
      </c>
    </row>
    <row r="1846" spans="1:12" hidden="1" x14ac:dyDescent="0.25">
      <c r="A1846">
        <v>643</v>
      </c>
      <c r="B1846" t="s">
        <v>2605</v>
      </c>
      <c r="C1846" t="s">
        <v>2606</v>
      </c>
      <c r="D1846">
        <v>0</v>
      </c>
      <c r="E1846" t="str">
        <f>_xlfn.XLOOKUP(F1846, Keys!B:B, Keys!A:A, "找不到")</f>
        <v>OUT</v>
      </c>
      <c r="F1846" t="s">
        <v>403</v>
      </c>
      <c r="G1846">
        <v>37.265087669594799</v>
      </c>
      <c r="H1846">
        <v>0</v>
      </c>
      <c r="I1846" t="s">
        <v>38</v>
      </c>
      <c r="J1846" t="s">
        <v>673</v>
      </c>
      <c r="K1846">
        <v>0</v>
      </c>
      <c r="L1846">
        <v>2202.8175339953982</v>
      </c>
    </row>
    <row r="1847" spans="1:12" hidden="1" x14ac:dyDescent="0.25">
      <c r="A1847">
        <v>644</v>
      </c>
      <c r="B1847" t="s">
        <v>2605</v>
      </c>
      <c r="C1847" t="s">
        <v>2606</v>
      </c>
      <c r="D1847">
        <v>0</v>
      </c>
      <c r="E1847" t="str">
        <f>_xlfn.XLOOKUP(F1847, Keys!B:B, Keys!A:A, "找不到")</f>
        <v>OUT</v>
      </c>
      <c r="F1847" t="s">
        <v>403</v>
      </c>
      <c r="G1847">
        <v>11.518014177184391</v>
      </c>
      <c r="H1847">
        <v>0</v>
      </c>
      <c r="I1847" t="s">
        <v>38</v>
      </c>
      <c r="J1847" t="s">
        <v>3592</v>
      </c>
      <c r="K1847">
        <v>0</v>
      </c>
      <c r="L1847">
        <v>857.34359754751756</v>
      </c>
    </row>
    <row r="1848" spans="1:12" hidden="1" x14ac:dyDescent="0.25">
      <c r="A1848">
        <v>645</v>
      </c>
      <c r="B1848" t="s">
        <v>2605</v>
      </c>
      <c r="C1848" t="s">
        <v>2606</v>
      </c>
      <c r="D1848">
        <v>0</v>
      </c>
      <c r="E1848" t="str">
        <f>_xlfn.XLOOKUP(F1848, Keys!B:B, Keys!A:A, "找不到")</f>
        <v>OUT</v>
      </c>
      <c r="F1848" t="s">
        <v>403</v>
      </c>
      <c r="G1848">
        <v>24.058559763760439</v>
      </c>
      <c r="H1848">
        <v>0</v>
      </c>
      <c r="I1848" t="s">
        <v>38</v>
      </c>
      <c r="J1848" t="s">
        <v>673</v>
      </c>
      <c r="K1848">
        <v>0</v>
      </c>
      <c r="L1848">
        <v>1726.612612413111</v>
      </c>
    </row>
    <row r="1849" spans="1:12" hidden="1" x14ac:dyDescent="0.25">
      <c r="A1849">
        <v>646</v>
      </c>
      <c r="B1849" t="s">
        <v>2605</v>
      </c>
      <c r="C1849" t="s">
        <v>2606</v>
      </c>
      <c r="D1849">
        <v>0</v>
      </c>
      <c r="E1849" t="str">
        <f>_xlfn.XLOOKUP(F1849, Keys!B:B, Keys!A:A, "找不到")</f>
        <v>OUT</v>
      </c>
      <c r="F1849" t="s">
        <v>403</v>
      </c>
      <c r="G1849">
        <v>0.28612021589724129</v>
      </c>
      <c r="H1849">
        <v>0</v>
      </c>
      <c r="I1849" t="s">
        <v>38</v>
      </c>
      <c r="J1849" t="s">
        <v>57</v>
      </c>
      <c r="K1849">
        <v>0</v>
      </c>
      <c r="L1849">
        <v>149.5023597441745</v>
      </c>
    </row>
    <row r="1850" spans="1:12" hidden="1" x14ac:dyDescent="0.25">
      <c r="A1850">
        <v>647</v>
      </c>
      <c r="B1850" t="s">
        <v>2605</v>
      </c>
      <c r="C1850" t="s">
        <v>2606</v>
      </c>
      <c r="D1850">
        <v>0</v>
      </c>
      <c r="E1850" t="str">
        <f>_xlfn.XLOOKUP(F1850, Keys!B:B, Keys!A:A, "找不到")</f>
        <v>OUT</v>
      </c>
      <c r="F1850" t="s">
        <v>403</v>
      </c>
      <c r="G1850">
        <v>0.30972401772237301</v>
      </c>
      <c r="H1850">
        <v>0</v>
      </c>
      <c r="I1850" t="s">
        <v>38</v>
      </c>
      <c r="J1850">
        <v>0</v>
      </c>
      <c r="K1850">
        <v>0</v>
      </c>
      <c r="L1850">
        <v>138.29504991698971</v>
      </c>
    </row>
    <row r="1851" spans="1:12" hidden="1" x14ac:dyDescent="0.25">
      <c r="A1851">
        <v>648</v>
      </c>
      <c r="B1851" t="s">
        <v>2605</v>
      </c>
      <c r="C1851" t="s">
        <v>2606</v>
      </c>
      <c r="D1851">
        <v>0</v>
      </c>
      <c r="E1851" t="str">
        <f>_xlfn.XLOOKUP(F1851, Keys!B:B, Keys!A:A, "找不到")</f>
        <v>OUT</v>
      </c>
      <c r="F1851" t="s">
        <v>403</v>
      </c>
      <c r="G1851">
        <v>0.99382058391626182</v>
      </c>
      <c r="H1851">
        <v>0</v>
      </c>
      <c r="I1851" t="s">
        <v>38</v>
      </c>
      <c r="J1851" t="s">
        <v>3609</v>
      </c>
      <c r="K1851">
        <v>0</v>
      </c>
      <c r="L1851">
        <v>368.50215488626611</v>
      </c>
    </row>
    <row r="1852" spans="1:12" hidden="1" x14ac:dyDescent="0.25">
      <c r="A1852">
        <v>649</v>
      </c>
      <c r="B1852" t="s">
        <v>2605</v>
      </c>
      <c r="C1852" t="s">
        <v>2606</v>
      </c>
      <c r="D1852">
        <v>0</v>
      </c>
      <c r="E1852" t="str">
        <f>_xlfn.XLOOKUP(F1852, Keys!B:B, Keys!A:A, "找不到")</f>
        <v>OUT</v>
      </c>
      <c r="F1852" t="s">
        <v>403</v>
      </c>
      <c r="G1852">
        <v>20.965159849896299</v>
      </c>
      <c r="H1852">
        <v>0</v>
      </c>
      <c r="I1852" t="s">
        <v>38</v>
      </c>
      <c r="J1852" t="s">
        <v>3609</v>
      </c>
      <c r="K1852">
        <v>0</v>
      </c>
      <c r="L1852">
        <v>1199.689285408474</v>
      </c>
    </row>
    <row r="1853" spans="1:12" hidden="1" x14ac:dyDescent="0.25">
      <c r="A1853">
        <v>650</v>
      </c>
      <c r="B1853" t="s">
        <v>2605</v>
      </c>
      <c r="C1853" t="s">
        <v>2606</v>
      </c>
      <c r="D1853">
        <v>0</v>
      </c>
      <c r="E1853" t="str">
        <f>_xlfn.XLOOKUP(F1853, Keys!B:B, Keys!A:A, "找不到")</f>
        <v>OUT</v>
      </c>
      <c r="F1853" t="s">
        <v>403</v>
      </c>
      <c r="G1853">
        <v>16.397759036641109</v>
      </c>
      <c r="H1853">
        <v>0</v>
      </c>
      <c r="I1853" t="s">
        <v>38</v>
      </c>
      <c r="J1853" t="s">
        <v>3609</v>
      </c>
      <c r="K1853">
        <v>0</v>
      </c>
      <c r="L1853">
        <v>1175.284147183917</v>
      </c>
    </row>
    <row r="1854" spans="1:12" hidden="1" x14ac:dyDescent="0.25">
      <c r="A1854">
        <v>652</v>
      </c>
      <c r="B1854" t="s">
        <v>2605</v>
      </c>
      <c r="C1854" t="s">
        <v>2606</v>
      </c>
      <c r="D1854">
        <v>0</v>
      </c>
      <c r="E1854" t="str">
        <f>_xlfn.XLOOKUP(F1854, Keys!B:B, Keys!A:A, "找不到")</f>
        <v>OUT</v>
      </c>
      <c r="F1854" t="s">
        <v>403</v>
      </c>
      <c r="G1854">
        <v>19.628733558330651</v>
      </c>
      <c r="H1854">
        <v>0</v>
      </c>
      <c r="I1854" t="s">
        <v>38</v>
      </c>
      <c r="J1854" t="s">
        <v>3609</v>
      </c>
      <c r="K1854">
        <v>0</v>
      </c>
      <c r="L1854">
        <v>1207.47710504576</v>
      </c>
    </row>
    <row r="1855" spans="1:12" hidden="1" x14ac:dyDescent="0.25">
      <c r="A1855">
        <v>653</v>
      </c>
      <c r="B1855" t="s">
        <v>2605</v>
      </c>
      <c r="C1855" t="s">
        <v>2606</v>
      </c>
      <c r="D1855">
        <v>0</v>
      </c>
      <c r="E1855" t="str">
        <f>_xlfn.XLOOKUP(F1855, Keys!B:B, Keys!A:A, "找不到")</f>
        <v>OUT</v>
      </c>
      <c r="F1855" t="s">
        <v>403</v>
      </c>
      <c r="G1855">
        <v>9.0580476052849548</v>
      </c>
      <c r="H1855">
        <v>0</v>
      </c>
      <c r="I1855" t="s">
        <v>38</v>
      </c>
      <c r="J1855" t="s">
        <v>3618</v>
      </c>
      <c r="K1855">
        <v>0</v>
      </c>
      <c r="L1855">
        <v>872.6690789804602</v>
      </c>
    </row>
    <row r="1856" spans="1:12" hidden="1" x14ac:dyDescent="0.25">
      <c r="A1856">
        <v>655</v>
      </c>
      <c r="B1856" t="s">
        <v>2605</v>
      </c>
      <c r="C1856" t="s">
        <v>2606</v>
      </c>
      <c r="D1856">
        <v>0</v>
      </c>
      <c r="E1856" t="str">
        <f>_xlfn.XLOOKUP(F1856, Keys!B:B, Keys!A:A, "找不到")</f>
        <v>OUT</v>
      </c>
      <c r="F1856" t="s">
        <v>403</v>
      </c>
      <c r="G1856">
        <v>32.681913174344047</v>
      </c>
      <c r="H1856">
        <v>0</v>
      </c>
      <c r="I1856" t="s">
        <v>38</v>
      </c>
      <c r="J1856" t="s">
        <v>3618</v>
      </c>
      <c r="K1856">
        <v>0</v>
      </c>
      <c r="L1856">
        <v>1468.445186388971</v>
      </c>
    </row>
    <row r="1857" spans="1:12" hidden="1" x14ac:dyDescent="0.25">
      <c r="A1857">
        <v>656</v>
      </c>
      <c r="B1857" t="s">
        <v>2605</v>
      </c>
      <c r="C1857" t="s">
        <v>2606</v>
      </c>
      <c r="D1857">
        <v>0</v>
      </c>
      <c r="E1857" t="str">
        <f>_xlfn.XLOOKUP(F1857, Keys!B:B, Keys!A:A, "找不到")</f>
        <v>OUT</v>
      </c>
      <c r="F1857" t="s">
        <v>403</v>
      </c>
      <c r="G1857">
        <v>13.156088410388319</v>
      </c>
      <c r="H1857">
        <v>0</v>
      </c>
      <c r="I1857" t="s">
        <v>38</v>
      </c>
      <c r="J1857" t="s">
        <v>3618</v>
      </c>
      <c r="K1857">
        <v>0</v>
      </c>
      <c r="L1857">
        <v>1039.5074477644171</v>
      </c>
    </row>
    <row r="1858" spans="1:12" hidden="1" x14ac:dyDescent="0.25">
      <c r="A1858">
        <v>657</v>
      </c>
      <c r="B1858" t="s">
        <v>2605</v>
      </c>
      <c r="C1858" t="s">
        <v>2606</v>
      </c>
      <c r="D1858">
        <v>0</v>
      </c>
      <c r="E1858" t="str">
        <f>_xlfn.XLOOKUP(F1858, Keys!B:B, Keys!A:A, "找不到")</f>
        <v>OUT</v>
      </c>
      <c r="F1858" t="s">
        <v>403</v>
      </c>
      <c r="G1858">
        <v>2.470014735765282</v>
      </c>
      <c r="H1858">
        <v>0</v>
      </c>
      <c r="I1858" t="s">
        <v>38</v>
      </c>
      <c r="J1858" t="s">
        <v>3618</v>
      </c>
      <c r="K1858">
        <v>0</v>
      </c>
      <c r="L1858">
        <v>604.01398949400084</v>
      </c>
    </row>
    <row r="1859" spans="1:12" hidden="1" x14ac:dyDescent="0.25">
      <c r="A1859">
        <v>658</v>
      </c>
      <c r="B1859" t="s">
        <v>2605</v>
      </c>
      <c r="C1859" t="s">
        <v>2606</v>
      </c>
      <c r="D1859">
        <v>0</v>
      </c>
      <c r="E1859" t="str">
        <f>_xlfn.XLOOKUP(F1859, Keys!B:B, Keys!A:A, "找不到")</f>
        <v>OUT</v>
      </c>
      <c r="F1859" t="s">
        <v>403</v>
      </c>
      <c r="G1859">
        <v>28.157223500085681</v>
      </c>
      <c r="H1859">
        <v>0</v>
      </c>
      <c r="I1859" t="s">
        <v>38</v>
      </c>
      <c r="J1859" t="s">
        <v>3624</v>
      </c>
      <c r="K1859">
        <v>0</v>
      </c>
      <c r="L1859">
        <v>1589.6659588701359</v>
      </c>
    </row>
    <row r="1860" spans="1:12" hidden="1" x14ac:dyDescent="0.25">
      <c r="A1860">
        <v>659</v>
      </c>
      <c r="B1860" t="s">
        <v>2605</v>
      </c>
      <c r="C1860" t="s">
        <v>2606</v>
      </c>
      <c r="D1860">
        <v>0</v>
      </c>
      <c r="E1860" t="str">
        <f>_xlfn.XLOOKUP(F1860, Keys!B:B, Keys!A:A, "找不到")</f>
        <v>OUT</v>
      </c>
      <c r="F1860" t="s">
        <v>403</v>
      </c>
      <c r="G1860">
        <v>11.169938933348901</v>
      </c>
      <c r="H1860">
        <v>0</v>
      </c>
      <c r="I1860" t="s">
        <v>38</v>
      </c>
      <c r="J1860" t="s">
        <v>3628</v>
      </c>
      <c r="K1860">
        <v>0</v>
      </c>
      <c r="L1860">
        <v>1278.766962782784</v>
      </c>
    </row>
    <row r="1861" spans="1:12" hidden="1" x14ac:dyDescent="0.25">
      <c r="A1861">
        <v>660</v>
      </c>
      <c r="B1861" t="s">
        <v>2605</v>
      </c>
      <c r="C1861" t="s">
        <v>2606</v>
      </c>
      <c r="D1861">
        <v>0</v>
      </c>
      <c r="E1861" t="str">
        <f>_xlfn.XLOOKUP(F1861, Keys!B:B, Keys!A:A, "找不到")</f>
        <v>OUT</v>
      </c>
      <c r="F1861" t="s">
        <v>403</v>
      </c>
      <c r="G1861">
        <v>9.8671073143476864</v>
      </c>
      <c r="H1861">
        <v>0</v>
      </c>
      <c r="I1861" t="s">
        <v>38</v>
      </c>
      <c r="J1861" t="s">
        <v>3634</v>
      </c>
      <c r="K1861">
        <v>0</v>
      </c>
      <c r="L1861">
        <v>873.23717859181238</v>
      </c>
    </row>
    <row r="1862" spans="1:12" hidden="1" x14ac:dyDescent="0.25">
      <c r="A1862">
        <v>661</v>
      </c>
      <c r="B1862" t="s">
        <v>2605</v>
      </c>
      <c r="C1862" t="s">
        <v>2606</v>
      </c>
      <c r="D1862">
        <v>0</v>
      </c>
      <c r="E1862" t="str">
        <f>_xlfn.XLOOKUP(F1862, Keys!B:B, Keys!A:A, "找不到")</f>
        <v>OUT</v>
      </c>
      <c r="F1862" t="s">
        <v>403</v>
      </c>
      <c r="G1862">
        <v>26.408112733753399</v>
      </c>
      <c r="H1862">
        <v>0</v>
      </c>
      <c r="I1862" t="s">
        <v>38</v>
      </c>
      <c r="J1862" t="s">
        <v>3624</v>
      </c>
      <c r="K1862">
        <v>0</v>
      </c>
      <c r="L1862">
        <v>1292.870730266922</v>
      </c>
    </row>
    <row r="1863" spans="1:12" hidden="1" x14ac:dyDescent="0.25">
      <c r="A1863">
        <v>662</v>
      </c>
      <c r="B1863" t="s">
        <v>2605</v>
      </c>
      <c r="C1863" t="s">
        <v>2606</v>
      </c>
      <c r="D1863">
        <v>0</v>
      </c>
      <c r="E1863" t="str">
        <f>_xlfn.XLOOKUP(F1863, Keys!B:B, Keys!A:A, "找不到")</f>
        <v>OUT</v>
      </c>
      <c r="F1863" t="s">
        <v>403</v>
      </c>
      <c r="G1863">
        <v>0.30599875394043469</v>
      </c>
      <c r="H1863">
        <v>0</v>
      </c>
      <c r="I1863" t="s">
        <v>38</v>
      </c>
      <c r="J1863" t="s">
        <v>3634</v>
      </c>
      <c r="K1863">
        <v>0</v>
      </c>
      <c r="L1863">
        <v>211.4457900042008</v>
      </c>
    </row>
    <row r="1864" spans="1:12" hidden="1" x14ac:dyDescent="0.25">
      <c r="A1864">
        <v>665</v>
      </c>
      <c r="B1864" t="s">
        <v>2605</v>
      </c>
      <c r="C1864" t="s">
        <v>2606</v>
      </c>
      <c r="D1864">
        <v>0</v>
      </c>
      <c r="E1864" t="str">
        <f>_xlfn.XLOOKUP(F1864, Keys!B:B, Keys!A:A, "找不到")</f>
        <v>OUT</v>
      </c>
      <c r="F1864" t="s">
        <v>403</v>
      </c>
      <c r="G1864">
        <v>15.53833768187588</v>
      </c>
      <c r="H1864">
        <v>0</v>
      </c>
      <c r="I1864" t="s">
        <v>38</v>
      </c>
      <c r="J1864" t="s">
        <v>3624</v>
      </c>
      <c r="K1864">
        <v>0</v>
      </c>
      <c r="L1864">
        <v>1853.048569418208</v>
      </c>
    </row>
    <row r="1865" spans="1:12" hidden="1" x14ac:dyDescent="0.25">
      <c r="A1865">
        <v>666</v>
      </c>
      <c r="B1865" t="s">
        <v>2605</v>
      </c>
      <c r="C1865" t="s">
        <v>2606</v>
      </c>
      <c r="D1865">
        <v>0</v>
      </c>
      <c r="E1865" t="str">
        <f>_xlfn.XLOOKUP(F1865, Keys!B:B, Keys!A:A, "找不到")</f>
        <v>OUT</v>
      </c>
      <c r="F1865" t="s">
        <v>403</v>
      </c>
      <c r="G1865">
        <v>11.65142752529931</v>
      </c>
      <c r="H1865">
        <v>0</v>
      </c>
      <c r="I1865" t="s">
        <v>38</v>
      </c>
      <c r="J1865" t="s">
        <v>3624</v>
      </c>
      <c r="K1865">
        <v>0</v>
      </c>
      <c r="L1865">
        <v>927.2004322143315</v>
      </c>
    </row>
    <row r="1866" spans="1:12" hidden="1" x14ac:dyDescent="0.25">
      <c r="A1866">
        <v>668</v>
      </c>
      <c r="B1866" t="s">
        <v>2605</v>
      </c>
      <c r="C1866" t="s">
        <v>2606</v>
      </c>
      <c r="D1866">
        <v>0</v>
      </c>
      <c r="E1866" t="str">
        <f>_xlfn.XLOOKUP(F1866, Keys!B:B, Keys!A:A, "找不到")</f>
        <v>OUT</v>
      </c>
      <c r="F1866" t="s">
        <v>403</v>
      </c>
      <c r="G1866">
        <v>14.460018374664051</v>
      </c>
      <c r="H1866">
        <v>0</v>
      </c>
      <c r="I1866" t="s">
        <v>38</v>
      </c>
      <c r="J1866" t="s">
        <v>3624</v>
      </c>
      <c r="K1866">
        <v>0</v>
      </c>
      <c r="L1866">
        <v>1172.285040933411</v>
      </c>
    </row>
    <row r="1867" spans="1:12" hidden="1" x14ac:dyDescent="0.25">
      <c r="A1867">
        <v>672</v>
      </c>
      <c r="B1867" t="s">
        <v>2605</v>
      </c>
      <c r="C1867" t="s">
        <v>2606</v>
      </c>
      <c r="D1867">
        <v>0</v>
      </c>
      <c r="E1867" t="str">
        <f>_xlfn.XLOOKUP(F1867, Keys!B:B, Keys!A:A, "找不到")</f>
        <v>OUT</v>
      </c>
      <c r="F1867" t="s">
        <v>403</v>
      </c>
      <c r="G1867">
        <v>3.9134749073097721</v>
      </c>
      <c r="H1867">
        <v>0</v>
      </c>
      <c r="I1867" t="s">
        <v>38</v>
      </c>
      <c r="J1867" t="s">
        <v>673</v>
      </c>
      <c r="K1867">
        <v>0</v>
      </c>
      <c r="L1867">
        <v>692.42398146798496</v>
      </c>
    </row>
    <row r="1868" spans="1:12" hidden="1" x14ac:dyDescent="0.25">
      <c r="A1868">
        <v>675</v>
      </c>
      <c r="B1868" t="s">
        <v>2605</v>
      </c>
      <c r="C1868" t="s">
        <v>2606</v>
      </c>
      <c r="D1868">
        <v>0</v>
      </c>
      <c r="E1868" t="str">
        <f>_xlfn.XLOOKUP(F1868, Keys!B:B, Keys!A:A, "找不到")</f>
        <v>OUT</v>
      </c>
      <c r="F1868" t="s">
        <v>403</v>
      </c>
      <c r="G1868">
        <v>1.4925073574329779</v>
      </c>
      <c r="H1868">
        <v>0</v>
      </c>
      <c r="I1868" t="s">
        <v>38</v>
      </c>
      <c r="J1868" t="s">
        <v>3662</v>
      </c>
      <c r="K1868">
        <v>0</v>
      </c>
      <c r="L1868">
        <v>481.57192337053863</v>
      </c>
    </row>
    <row r="1869" spans="1:12" hidden="1" x14ac:dyDescent="0.25">
      <c r="A1869">
        <v>676</v>
      </c>
      <c r="B1869" t="s">
        <v>2605</v>
      </c>
      <c r="C1869" t="s">
        <v>2606</v>
      </c>
      <c r="D1869">
        <v>0</v>
      </c>
      <c r="E1869" t="str">
        <f>_xlfn.XLOOKUP(F1869, Keys!B:B, Keys!A:A, "找不到")</f>
        <v>OUT</v>
      </c>
      <c r="F1869" t="s">
        <v>403</v>
      </c>
      <c r="G1869">
        <v>2.0746343227768831</v>
      </c>
      <c r="H1869">
        <v>0</v>
      </c>
      <c r="I1869" t="s">
        <v>38</v>
      </c>
      <c r="J1869" t="s">
        <v>3662</v>
      </c>
      <c r="K1869">
        <v>0</v>
      </c>
      <c r="L1869">
        <v>468.82032456607237</v>
      </c>
    </row>
    <row r="1870" spans="1:12" hidden="1" x14ac:dyDescent="0.25">
      <c r="A1870">
        <v>678</v>
      </c>
      <c r="B1870" t="s">
        <v>2605</v>
      </c>
      <c r="C1870" t="s">
        <v>2606</v>
      </c>
      <c r="D1870">
        <v>0</v>
      </c>
      <c r="E1870" t="str">
        <f>_xlfn.XLOOKUP(F1870, Keys!B:B, Keys!A:A, "找不到")</f>
        <v>OUT</v>
      </c>
      <c r="F1870" t="s">
        <v>403</v>
      </c>
      <c r="G1870">
        <v>2.393683663832924</v>
      </c>
      <c r="H1870">
        <v>0</v>
      </c>
      <c r="I1870" t="s">
        <v>38</v>
      </c>
      <c r="J1870" t="s">
        <v>3667</v>
      </c>
      <c r="K1870">
        <v>0</v>
      </c>
      <c r="L1870">
        <v>416.80721910966861</v>
      </c>
    </row>
    <row r="1871" spans="1:12" hidden="1" x14ac:dyDescent="0.25">
      <c r="A1871">
        <v>679</v>
      </c>
      <c r="B1871" t="s">
        <v>2605</v>
      </c>
      <c r="C1871" t="s">
        <v>2606</v>
      </c>
      <c r="D1871">
        <v>0</v>
      </c>
      <c r="E1871" t="str">
        <f>_xlfn.XLOOKUP(F1871, Keys!B:B, Keys!A:A, "找不到")</f>
        <v>OUT</v>
      </c>
      <c r="F1871" t="s">
        <v>403</v>
      </c>
      <c r="G1871">
        <v>3.48453047268741</v>
      </c>
      <c r="H1871">
        <v>0</v>
      </c>
      <c r="I1871" t="s">
        <v>38</v>
      </c>
      <c r="J1871" t="s">
        <v>3662</v>
      </c>
      <c r="K1871">
        <v>0</v>
      </c>
      <c r="L1871">
        <v>687.9681098990884</v>
      </c>
    </row>
    <row r="1872" spans="1:12" hidden="1" x14ac:dyDescent="0.25">
      <c r="A1872">
        <v>680</v>
      </c>
      <c r="B1872" t="s">
        <v>2605</v>
      </c>
      <c r="C1872" t="s">
        <v>2606</v>
      </c>
      <c r="D1872">
        <v>0</v>
      </c>
      <c r="E1872" t="str">
        <f>_xlfn.XLOOKUP(F1872, Keys!B:B, Keys!A:A, "找不到")</f>
        <v>OUT</v>
      </c>
      <c r="F1872" t="s">
        <v>403</v>
      </c>
      <c r="G1872">
        <v>0.2244917378176606</v>
      </c>
      <c r="H1872">
        <v>0</v>
      </c>
      <c r="I1872" t="s">
        <v>38</v>
      </c>
      <c r="J1872" t="s">
        <v>3662</v>
      </c>
      <c r="K1872">
        <v>0</v>
      </c>
      <c r="L1872">
        <v>145.03040015549271</v>
      </c>
    </row>
    <row r="1873" spans="1:12" hidden="1" x14ac:dyDescent="0.25">
      <c r="A1873">
        <v>682</v>
      </c>
      <c r="B1873" t="s">
        <v>2605</v>
      </c>
      <c r="C1873" t="s">
        <v>2606</v>
      </c>
      <c r="D1873">
        <v>0</v>
      </c>
      <c r="E1873" t="str">
        <f>_xlfn.XLOOKUP(F1873, Keys!B:B, Keys!A:A, "找不到")</f>
        <v>OUT</v>
      </c>
      <c r="F1873" t="s">
        <v>403</v>
      </c>
      <c r="G1873">
        <v>2.3617688564384181</v>
      </c>
      <c r="H1873">
        <v>0</v>
      </c>
      <c r="I1873" t="s">
        <v>38</v>
      </c>
      <c r="J1873" t="s">
        <v>3662</v>
      </c>
      <c r="K1873">
        <v>0</v>
      </c>
      <c r="L1873">
        <v>992.13002949706981</v>
      </c>
    </row>
    <row r="1874" spans="1:12" hidden="1" x14ac:dyDescent="0.25">
      <c r="A1874">
        <v>683</v>
      </c>
      <c r="B1874" t="s">
        <v>2605</v>
      </c>
      <c r="C1874" t="s">
        <v>2606</v>
      </c>
      <c r="D1874">
        <v>0</v>
      </c>
      <c r="E1874" t="str">
        <f>_xlfn.XLOOKUP(F1874, Keys!B:B, Keys!A:A, "找不到")</f>
        <v>OUT</v>
      </c>
      <c r="F1874" t="s">
        <v>403</v>
      </c>
      <c r="G1874">
        <v>18.18967074412242</v>
      </c>
      <c r="H1874">
        <v>0</v>
      </c>
      <c r="I1874" t="s">
        <v>38</v>
      </c>
      <c r="J1874" t="s">
        <v>3662</v>
      </c>
      <c r="K1874">
        <v>0</v>
      </c>
      <c r="L1874">
        <v>1246.9475155747939</v>
      </c>
    </row>
    <row r="1875" spans="1:12" hidden="1" x14ac:dyDescent="0.25">
      <c r="A1875">
        <v>686</v>
      </c>
      <c r="B1875" t="s">
        <v>2605</v>
      </c>
      <c r="C1875" t="s">
        <v>2606</v>
      </c>
      <c r="D1875">
        <v>0</v>
      </c>
      <c r="E1875" t="str">
        <f>_xlfn.XLOOKUP(F1875, Keys!B:B, Keys!A:A, "找不到")</f>
        <v>OUT</v>
      </c>
      <c r="F1875" t="s">
        <v>403</v>
      </c>
      <c r="G1875">
        <v>22.172261142259249</v>
      </c>
      <c r="H1875">
        <v>0</v>
      </c>
      <c r="I1875" t="s">
        <v>38</v>
      </c>
      <c r="J1875" t="s">
        <v>3662</v>
      </c>
      <c r="K1875">
        <v>0</v>
      </c>
      <c r="L1875">
        <v>1347.240732313425</v>
      </c>
    </row>
    <row r="1876" spans="1:12" hidden="1" x14ac:dyDescent="0.25">
      <c r="A1876">
        <v>690</v>
      </c>
      <c r="B1876" t="s">
        <v>2605</v>
      </c>
      <c r="C1876" t="s">
        <v>2606</v>
      </c>
      <c r="D1876">
        <v>0</v>
      </c>
      <c r="E1876" t="str">
        <f>_xlfn.XLOOKUP(F1876, Keys!B:B, Keys!A:A, "找不到")</f>
        <v>OUT</v>
      </c>
      <c r="F1876" t="s">
        <v>403</v>
      </c>
      <c r="G1876">
        <v>24.031222293949629</v>
      </c>
      <c r="H1876">
        <v>0</v>
      </c>
      <c r="I1876" t="s">
        <v>38</v>
      </c>
      <c r="J1876" t="s">
        <v>3680</v>
      </c>
      <c r="K1876">
        <v>0</v>
      </c>
      <c r="L1876">
        <v>1678.1216464887191</v>
      </c>
    </row>
    <row r="1877" spans="1:12" hidden="1" x14ac:dyDescent="0.25">
      <c r="A1877">
        <v>695</v>
      </c>
      <c r="B1877" t="s">
        <v>2605</v>
      </c>
      <c r="C1877" t="s">
        <v>2606</v>
      </c>
      <c r="D1877">
        <v>0</v>
      </c>
      <c r="E1877" t="str">
        <f>_xlfn.XLOOKUP(F1877, Keys!B:B, Keys!A:A, "找不到")</f>
        <v>OUT</v>
      </c>
      <c r="F1877" t="s">
        <v>403</v>
      </c>
      <c r="G1877">
        <v>4.762489602516272</v>
      </c>
      <c r="H1877">
        <v>0</v>
      </c>
      <c r="I1877" t="s">
        <v>38</v>
      </c>
      <c r="J1877" t="s">
        <v>3680</v>
      </c>
      <c r="K1877">
        <v>0</v>
      </c>
      <c r="L1877">
        <v>605.38954967915618</v>
      </c>
    </row>
    <row r="1878" spans="1:12" hidden="1" x14ac:dyDescent="0.25">
      <c r="A1878">
        <v>696</v>
      </c>
      <c r="B1878" t="s">
        <v>2605</v>
      </c>
      <c r="C1878" t="s">
        <v>2606</v>
      </c>
      <c r="D1878">
        <v>0</v>
      </c>
      <c r="E1878" t="str">
        <f>_xlfn.XLOOKUP(F1878, Keys!B:B, Keys!A:A, "找不到")</f>
        <v>OUT</v>
      </c>
      <c r="F1878" t="s">
        <v>403</v>
      </c>
      <c r="G1878">
        <v>2.547278063761282</v>
      </c>
      <c r="H1878">
        <v>0</v>
      </c>
      <c r="I1878" t="s">
        <v>38</v>
      </c>
      <c r="J1878" t="s">
        <v>3680</v>
      </c>
      <c r="K1878">
        <v>0</v>
      </c>
      <c r="L1878">
        <v>408.87737640985199</v>
      </c>
    </row>
    <row r="1879" spans="1:12" hidden="1" x14ac:dyDescent="0.25">
      <c r="A1879">
        <v>697</v>
      </c>
      <c r="B1879" t="s">
        <v>2605</v>
      </c>
      <c r="C1879" t="s">
        <v>2606</v>
      </c>
      <c r="D1879">
        <v>0</v>
      </c>
      <c r="E1879" t="str">
        <f>_xlfn.XLOOKUP(F1879, Keys!B:B, Keys!A:A, "找不到")</f>
        <v>OUT</v>
      </c>
      <c r="F1879" t="s">
        <v>403</v>
      </c>
      <c r="G1879">
        <v>2.8903779302879959</v>
      </c>
      <c r="H1879">
        <v>0</v>
      </c>
      <c r="I1879" t="s">
        <v>38</v>
      </c>
      <c r="J1879" t="s">
        <v>3680</v>
      </c>
      <c r="K1879">
        <v>0</v>
      </c>
      <c r="L1879">
        <v>444.01610333826278</v>
      </c>
    </row>
    <row r="1880" spans="1:12" hidden="1" x14ac:dyDescent="0.25">
      <c r="A1880">
        <v>698</v>
      </c>
      <c r="B1880" t="s">
        <v>2605</v>
      </c>
      <c r="C1880" t="s">
        <v>2606</v>
      </c>
      <c r="D1880">
        <v>0</v>
      </c>
      <c r="E1880" t="str">
        <f>_xlfn.XLOOKUP(F1880, Keys!B:B, Keys!A:A, "找不到")</f>
        <v>OUT</v>
      </c>
      <c r="F1880" t="s">
        <v>403</v>
      </c>
      <c r="G1880">
        <v>17.591728228892691</v>
      </c>
      <c r="H1880">
        <v>0</v>
      </c>
      <c r="I1880" t="s">
        <v>38</v>
      </c>
      <c r="J1880" t="s">
        <v>3680</v>
      </c>
      <c r="K1880">
        <v>0</v>
      </c>
      <c r="L1880">
        <v>1177.353383997701</v>
      </c>
    </row>
    <row r="1881" spans="1:12" hidden="1" x14ac:dyDescent="0.25">
      <c r="A1881">
        <v>699</v>
      </c>
      <c r="B1881" t="s">
        <v>2605</v>
      </c>
      <c r="C1881" t="s">
        <v>2606</v>
      </c>
      <c r="D1881">
        <v>0</v>
      </c>
      <c r="E1881" t="str">
        <f>_xlfn.XLOOKUP(F1881, Keys!B:B, Keys!A:A, "找不到")</f>
        <v>OUT</v>
      </c>
      <c r="F1881" t="s">
        <v>403</v>
      </c>
      <c r="G1881">
        <v>3.334823949777999</v>
      </c>
      <c r="H1881">
        <v>0</v>
      </c>
      <c r="I1881" t="s">
        <v>38</v>
      </c>
      <c r="J1881" t="s">
        <v>3680</v>
      </c>
      <c r="K1881">
        <v>0</v>
      </c>
      <c r="L1881">
        <v>901.58273472841199</v>
      </c>
    </row>
    <row r="1882" spans="1:12" hidden="1" x14ac:dyDescent="0.25">
      <c r="A1882">
        <v>700</v>
      </c>
      <c r="B1882" t="s">
        <v>2605</v>
      </c>
      <c r="C1882" t="s">
        <v>2606</v>
      </c>
      <c r="D1882">
        <v>0</v>
      </c>
      <c r="E1882" t="str">
        <f>_xlfn.XLOOKUP(F1882, Keys!B:B, Keys!A:A, "找不到")</f>
        <v>OUT</v>
      </c>
      <c r="F1882" t="s">
        <v>403</v>
      </c>
      <c r="G1882">
        <v>1.532446395556059</v>
      </c>
      <c r="H1882">
        <v>0</v>
      </c>
      <c r="I1882" t="s">
        <v>38</v>
      </c>
      <c r="J1882" t="s">
        <v>3680</v>
      </c>
      <c r="K1882">
        <v>0</v>
      </c>
      <c r="L1882">
        <v>734.35445111372201</v>
      </c>
    </row>
    <row r="1883" spans="1:12" hidden="1" x14ac:dyDescent="0.25">
      <c r="A1883">
        <v>701</v>
      </c>
      <c r="B1883" t="s">
        <v>2605</v>
      </c>
      <c r="C1883" t="s">
        <v>2606</v>
      </c>
      <c r="D1883">
        <v>0</v>
      </c>
      <c r="E1883" t="str">
        <f>_xlfn.XLOOKUP(F1883, Keys!B:B, Keys!A:A, "找不到")</f>
        <v>OUT</v>
      </c>
      <c r="F1883" t="s">
        <v>403</v>
      </c>
      <c r="G1883">
        <v>16.775707617791632</v>
      </c>
      <c r="H1883">
        <v>0</v>
      </c>
      <c r="I1883" t="s">
        <v>38</v>
      </c>
      <c r="J1883" t="s">
        <v>3693</v>
      </c>
      <c r="K1883">
        <v>0</v>
      </c>
      <c r="L1883">
        <v>2077.0400708813472</v>
      </c>
    </row>
    <row r="1884" spans="1:12" hidden="1" x14ac:dyDescent="0.25">
      <c r="A1884">
        <v>702</v>
      </c>
      <c r="B1884" t="s">
        <v>2605</v>
      </c>
      <c r="C1884" t="s">
        <v>2606</v>
      </c>
      <c r="D1884">
        <v>0</v>
      </c>
      <c r="E1884" t="str">
        <f>_xlfn.XLOOKUP(F1884, Keys!B:B, Keys!A:A, "找不到")</f>
        <v>OUT</v>
      </c>
      <c r="F1884" t="s">
        <v>403</v>
      </c>
      <c r="G1884">
        <v>12.108349591006821</v>
      </c>
      <c r="H1884">
        <v>0</v>
      </c>
      <c r="I1884" t="s">
        <v>38</v>
      </c>
      <c r="J1884" t="s">
        <v>3693</v>
      </c>
      <c r="K1884">
        <v>0</v>
      </c>
      <c r="L1884">
        <v>1182.405136391973</v>
      </c>
    </row>
    <row r="1885" spans="1:12" hidden="1" x14ac:dyDescent="0.25">
      <c r="A1885">
        <v>703</v>
      </c>
      <c r="B1885" t="s">
        <v>2605</v>
      </c>
      <c r="C1885" t="s">
        <v>2606</v>
      </c>
      <c r="D1885">
        <v>0</v>
      </c>
      <c r="E1885" t="str">
        <f>_xlfn.XLOOKUP(F1885, Keys!B:B, Keys!A:A, "找不到")</f>
        <v>OUT</v>
      </c>
      <c r="F1885" t="s">
        <v>403</v>
      </c>
      <c r="G1885">
        <v>2.2737725650293639</v>
      </c>
      <c r="H1885">
        <v>0</v>
      </c>
      <c r="I1885" t="s">
        <v>38</v>
      </c>
      <c r="J1885" t="s">
        <v>3693</v>
      </c>
      <c r="K1885">
        <v>0</v>
      </c>
      <c r="L1885">
        <v>594.87921774962695</v>
      </c>
    </row>
    <row r="1886" spans="1:12" hidden="1" x14ac:dyDescent="0.25">
      <c r="A1886">
        <v>704</v>
      </c>
      <c r="B1886" t="s">
        <v>2605</v>
      </c>
      <c r="C1886" t="s">
        <v>2606</v>
      </c>
      <c r="D1886">
        <v>0</v>
      </c>
      <c r="E1886" t="str">
        <f>_xlfn.XLOOKUP(F1886, Keys!B:B, Keys!A:A, "找不到")</f>
        <v>OUT</v>
      </c>
      <c r="F1886" t="s">
        <v>403</v>
      </c>
      <c r="G1886">
        <v>13.10586610285503</v>
      </c>
      <c r="H1886">
        <v>0</v>
      </c>
      <c r="I1886" t="s">
        <v>38</v>
      </c>
      <c r="J1886" t="s">
        <v>3693</v>
      </c>
      <c r="K1886">
        <v>0</v>
      </c>
      <c r="L1886">
        <v>1243.59149954449</v>
      </c>
    </row>
    <row r="1887" spans="1:12" hidden="1" x14ac:dyDescent="0.25">
      <c r="A1887">
        <v>705</v>
      </c>
      <c r="B1887" t="s">
        <v>2605</v>
      </c>
      <c r="C1887" t="s">
        <v>2606</v>
      </c>
      <c r="D1887">
        <v>0</v>
      </c>
      <c r="E1887" t="str">
        <f>_xlfn.XLOOKUP(F1887, Keys!B:B, Keys!A:A, "找不到")</f>
        <v>OUT</v>
      </c>
      <c r="F1887" t="s">
        <v>403</v>
      </c>
      <c r="G1887">
        <v>1.357712504403384</v>
      </c>
      <c r="H1887">
        <v>0</v>
      </c>
      <c r="I1887" t="s">
        <v>38</v>
      </c>
      <c r="J1887" t="s">
        <v>3693</v>
      </c>
      <c r="K1887">
        <v>0</v>
      </c>
      <c r="L1887">
        <v>297.74521463650319</v>
      </c>
    </row>
    <row r="1888" spans="1:12" hidden="1" x14ac:dyDescent="0.25">
      <c r="A1888">
        <v>706</v>
      </c>
      <c r="B1888" t="s">
        <v>2605</v>
      </c>
      <c r="C1888" t="s">
        <v>2606</v>
      </c>
      <c r="D1888">
        <v>0</v>
      </c>
      <c r="E1888" t="str">
        <f>_xlfn.XLOOKUP(F1888, Keys!B:B, Keys!A:A, "找不到")</f>
        <v>OUT</v>
      </c>
      <c r="F1888" t="s">
        <v>403</v>
      </c>
      <c r="G1888">
        <v>7.3184223145907898</v>
      </c>
      <c r="H1888">
        <v>0</v>
      </c>
      <c r="I1888" t="s">
        <v>38</v>
      </c>
      <c r="J1888" t="s">
        <v>3693</v>
      </c>
      <c r="K1888">
        <v>0</v>
      </c>
      <c r="L1888">
        <v>749.9270068693653</v>
      </c>
    </row>
    <row r="1889" spans="1:12" hidden="1" x14ac:dyDescent="0.25">
      <c r="A1889">
        <v>707</v>
      </c>
      <c r="B1889" t="s">
        <v>2605</v>
      </c>
      <c r="C1889" t="s">
        <v>2606</v>
      </c>
      <c r="D1889">
        <v>0</v>
      </c>
      <c r="E1889" t="str">
        <f>_xlfn.XLOOKUP(F1889, Keys!B:B, Keys!A:A, "找不到")</f>
        <v>OUT</v>
      </c>
      <c r="F1889" t="s">
        <v>403</v>
      </c>
      <c r="G1889">
        <v>24.499298987242099</v>
      </c>
      <c r="H1889">
        <v>0</v>
      </c>
      <c r="I1889" t="s">
        <v>38</v>
      </c>
      <c r="J1889" t="s">
        <v>3693</v>
      </c>
      <c r="K1889">
        <v>0</v>
      </c>
      <c r="L1889">
        <v>2718.8378456773112</v>
      </c>
    </row>
    <row r="1890" spans="1:12" hidden="1" x14ac:dyDescent="0.25">
      <c r="A1890">
        <v>708</v>
      </c>
      <c r="B1890" t="s">
        <v>2605</v>
      </c>
      <c r="C1890" t="s">
        <v>2606</v>
      </c>
      <c r="D1890">
        <v>0</v>
      </c>
      <c r="E1890" t="str">
        <f>_xlfn.XLOOKUP(F1890, Keys!B:B, Keys!A:A, "找不到")</f>
        <v>OUT</v>
      </c>
      <c r="F1890" t="s">
        <v>403</v>
      </c>
      <c r="G1890">
        <v>28.721150875824911</v>
      </c>
      <c r="H1890">
        <v>0</v>
      </c>
      <c r="I1890" t="s">
        <v>38</v>
      </c>
      <c r="J1890" t="s">
        <v>3693</v>
      </c>
      <c r="K1890">
        <v>0</v>
      </c>
      <c r="L1890">
        <v>2202.9608860570988</v>
      </c>
    </row>
    <row r="1891" spans="1:12" hidden="1" x14ac:dyDescent="0.25">
      <c r="A1891">
        <v>709</v>
      </c>
      <c r="B1891" t="s">
        <v>2605</v>
      </c>
      <c r="C1891" t="s">
        <v>2606</v>
      </c>
      <c r="D1891">
        <v>0</v>
      </c>
      <c r="E1891" t="str">
        <f>_xlfn.XLOOKUP(F1891, Keys!B:B, Keys!A:A, "找不到")</f>
        <v>OUT</v>
      </c>
      <c r="F1891" t="s">
        <v>403</v>
      </c>
      <c r="G1891">
        <v>15.503408181889389</v>
      </c>
      <c r="H1891">
        <v>0</v>
      </c>
      <c r="I1891" t="s">
        <v>38</v>
      </c>
      <c r="J1891" t="s">
        <v>3693</v>
      </c>
      <c r="K1891">
        <v>0</v>
      </c>
      <c r="L1891">
        <v>1783.0221838576849</v>
      </c>
    </row>
    <row r="1892" spans="1:12" hidden="1" x14ac:dyDescent="0.25">
      <c r="A1892">
        <v>710</v>
      </c>
      <c r="B1892" t="s">
        <v>2605</v>
      </c>
      <c r="C1892" t="s">
        <v>2606</v>
      </c>
      <c r="D1892">
        <v>0</v>
      </c>
      <c r="E1892" t="str">
        <f>_xlfn.XLOOKUP(F1892, Keys!B:B, Keys!A:A, "找不到")</f>
        <v>OUT</v>
      </c>
      <c r="F1892" t="s">
        <v>403</v>
      </c>
      <c r="G1892">
        <v>1.9707696409998701</v>
      </c>
      <c r="H1892">
        <v>0</v>
      </c>
      <c r="I1892" t="s">
        <v>38</v>
      </c>
      <c r="J1892" t="s">
        <v>3693</v>
      </c>
      <c r="K1892">
        <v>0</v>
      </c>
      <c r="L1892">
        <v>470.65903673631612</v>
      </c>
    </row>
    <row r="1893" spans="1:12" hidden="1" x14ac:dyDescent="0.25">
      <c r="A1893">
        <v>711</v>
      </c>
      <c r="B1893" t="s">
        <v>2605</v>
      </c>
      <c r="C1893" t="s">
        <v>2606</v>
      </c>
      <c r="D1893">
        <v>0</v>
      </c>
      <c r="E1893" t="str">
        <f>_xlfn.XLOOKUP(F1893, Keys!B:B, Keys!A:A, "找不到")</f>
        <v>OUT</v>
      </c>
      <c r="F1893" t="s">
        <v>403</v>
      </c>
      <c r="G1893">
        <v>1.0763401761766229</v>
      </c>
      <c r="H1893">
        <v>0</v>
      </c>
      <c r="I1893" t="s">
        <v>38</v>
      </c>
      <c r="J1893" t="s">
        <v>3693</v>
      </c>
      <c r="K1893">
        <v>0</v>
      </c>
      <c r="L1893">
        <v>278.48387409966222</v>
      </c>
    </row>
    <row r="1894" spans="1:12" hidden="1" x14ac:dyDescent="0.25">
      <c r="A1894">
        <v>712</v>
      </c>
      <c r="B1894" t="s">
        <v>2605</v>
      </c>
      <c r="C1894" t="s">
        <v>2606</v>
      </c>
      <c r="D1894">
        <v>0</v>
      </c>
      <c r="E1894" t="str">
        <f>_xlfn.XLOOKUP(F1894, Keys!B:B, Keys!A:A, "找不到")</f>
        <v>OUT</v>
      </c>
      <c r="F1894" t="s">
        <v>403</v>
      </c>
      <c r="G1894">
        <v>13.91706599032733</v>
      </c>
      <c r="H1894">
        <v>0</v>
      </c>
      <c r="I1894" t="s">
        <v>38</v>
      </c>
      <c r="J1894" t="s">
        <v>3693</v>
      </c>
      <c r="K1894">
        <v>0</v>
      </c>
      <c r="L1894">
        <v>1081.646512405576</v>
      </c>
    </row>
    <row r="1895" spans="1:12" hidden="1" x14ac:dyDescent="0.25">
      <c r="A1895">
        <v>713</v>
      </c>
      <c r="B1895" t="s">
        <v>2605</v>
      </c>
      <c r="C1895" t="s">
        <v>2606</v>
      </c>
      <c r="D1895">
        <v>0</v>
      </c>
      <c r="E1895" t="str">
        <f>_xlfn.XLOOKUP(F1895, Keys!B:B, Keys!A:A, "找不到")</f>
        <v>OUT</v>
      </c>
      <c r="F1895" t="s">
        <v>403</v>
      </c>
      <c r="G1895">
        <v>6.4082475096472198</v>
      </c>
      <c r="H1895">
        <v>0</v>
      </c>
      <c r="I1895" t="s">
        <v>38</v>
      </c>
      <c r="J1895" t="s">
        <v>3693</v>
      </c>
      <c r="K1895">
        <v>0</v>
      </c>
      <c r="L1895">
        <v>905.02669423433974</v>
      </c>
    </row>
    <row r="1896" spans="1:12" hidden="1" x14ac:dyDescent="0.25">
      <c r="A1896">
        <v>714</v>
      </c>
      <c r="B1896" t="s">
        <v>2605</v>
      </c>
      <c r="C1896" t="s">
        <v>2606</v>
      </c>
      <c r="D1896">
        <v>0</v>
      </c>
      <c r="E1896" t="str">
        <f>_xlfn.XLOOKUP(F1896, Keys!B:B, Keys!A:A, "找不到")</f>
        <v>OUT</v>
      </c>
      <c r="F1896" t="s">
        <v>403</v>
      </c>
      <c r="G1896">
        <v>7.0601792755795749</v>
      </c>
      <c r="H1896">
        <v>0</v>
      </c>
      <c r="I1896" t="s">
        <v>38</v>
      </c>
      <c r="J1896" t="s">
        <v>3693</v>
      </c>
      <c r="K1896">
        <v>0</v>
      </c>
      <c r="L1896">
        <v>895.73737220153828</v>
      </c>
    </row>
    <row r="1897" spans="1:12" hidden="1" x14ac:dyDescent="0.25">
      <c r="A1897">
        <v>715</v>
      </c>
      <c r="B1897" t="s">
        <v>2605</v>
      </c>
      <c r="C1897" t="s">
        <v>2606</v>
      </c>
      <c r="D1897">
        <v>0</v>
      </c>
      <c r="E1897" t="str">
        <f>_xlfn.XLOOKUP(F1897, Keys!B:B, Keys!A:A, "找不到")</f>
        <v>OUT</v>
      </c>
      <c r="F1897" t="s">
        <v>403</v>
      </c>
      <c r="G1897">
        <v>1.882505595091444</v>
      </c>
      <c r="H1897">
        <v>0</v>
      </c>
      <c r="I1897" t="s">
        <v>38</v>
      </c>
      <c r="J1897" t="s">
        <v>3693</v>
      </c>
      <c r="K1897">
        <v>0</v>
      </c>
      <c r="L1897">
        <v>431.96205308852001</v>
      </c>
    </row>
    <row r="1898" spans="1:12" hidden="1" x14ac:dyDescent="0.25">
      <c r="A1898">
        <v>716</v>
      </c>
      <c r="B1898" t="s">
        <v>2605</v>
      </c>
      <c r="C1898" t="s">
        <v>2606</v>
      </c>
      <c r="D1898">
        <v>0</v>
      </c>
      <c r="E1898" t="str">
        <f>_xlfn.XLOOKUP(F1898, Keys!B:B, Keys!A:A, "找不到")</f>
        <v>OUT</v>
      </c>
      <c r="F1898" t="s">
        <v>403</v>
      </c>
      <c r="G1898">
        <v>0.24828815811021979</v>
      </c>
      <c r="H1898">
        <v>0</v>
      </c>
      <c r="I1898" t="s">
        <v>38</v>
      </c>
      <c r="J1898" t="s">
        <v>3693</v>
      </c>
      <c r="K1898">
        <v>0</v>
      </c>
      <c r="L1898">
        <v>260.13154638977358</v>
      </c>
    </row>
    <row r="1899" spans="1:12" hidden="1" x14ac:dyDescent="0.25">
      <c r="A1899">
        <v>717</v>
      </c>
      <c r="B1899" t="s">
        <v>2605</v>
      </c>
      <c r="C1899" t="s">
        <v>2606</v>
      </c>
      <c r="D1899">
        <v>0</v>
      </c>
      <c r="E1899" t="str">
        <f>_xlfn.XLOOKUP(F1899, Keys!B:B, Keys!A:A, "找不到")</f>
        <v>OUT</v>
      </c>
      <c r="F1899" t="s">
        <v>403</v>
      </c>
      <c r="G1899">
        <v>8.6329633971116575</v>
      </c>
      <c r="H1899">
        <v>0</v>
      </c>
      <c r="I1899" t="s">
        <v>38</v>
      </c>
      <c r="J1899" t="s">
        <v>3693</v>
      </c>
      <c r="K1899">
        <v>0</v>
      </c>
      <c r="L1899">
        <v>737.35495086947378</v>
      </c>
    </row>
    <row r="1900" spans="1:12" hidden="1" x14ac:dyDescent="0.25">
      <c r="A1900">
        <v>718</v>
      </c>
      <c r="B1900" t="s">
        <v>2605</v>
      </c>
      <c r="C1900" t="s">
        <v>2606</v>
      </c>
      <c r="D1900">
        <v>0</v>
      </c>
      <c r="E1900" t="str">
        <f>_xlfn.XLOOKUP(F1900, Keys!B:B, Keys!A:A, "找不到")</f>
        <v>OUT</v>
      </c>
      <c r="F1900" t="s">
        <v>403</v>
      </c>
      <c r="G1900">
        <v>1.684931871857027</v>
      </c>
      <c r="H1900">
        <v>0</v>
      </c>
      <c r="I1900" t="s">
        <v>38</v>
      </c>
      <c r="J1900" t="s">
        <v>3693</v>
      </c>
      <c r="K1900">
        <v>0</v>
      </c>
      <c r="L1900">
        <v>430.27489445566789</v>
      </c>
    </row>
    <row r="1901" spans="1:12" hidden="1" x14ac:dyDescent="0.25">
      <c r="A1901">
        <v>719</v>
      </c>
      <c r="B1901" t="s">
        <v>2605</v>
      </c>
      <c r="C1901" t="s">
        <v>2606</v>
      </c>
      <c r="D1901">
        <v>0</v>
      </c>
      <c r="E1901" t="str">
        <f>_xlfn.XLOOKUP(F1901, Keys!B:B, Keys!A:A, "找不到")</f>
        <v>OUT</v>
      </c>
      <c r="F1901" t="s">
        <v>403</v>
      </c>
      <c r="G1901">
        <v>6.1574785757058477</v>
      </c>
      <c r="H1901">
        <v>0</v>
      </c>
      <c r="I1901" t="s">
        <v>38</v>
      </c>
      <c r="J1901" t="s">
        <v>3693</v>
      </c>
      <c r="K1901">
        <v>0</v>
      </c>
      <c r="L1901">
        <v>795.64243566701771</v>
      </c>
    </row>
    <row r="1902" spans="1:12" hidden="1" x14ac:dyDescent="0.25">
      <c r="A1902">
        <v>720</v>
      </c>
      <c r="B1902" t="s">
        <v>2605</v>
      </c>
      <c r="C1902" t="s">
        <v>2606</v>
      </c>
      <c r="D1902">
        <v>0</v>
      </c>
      <c r="E1902" t="str">
        <f>_xlfn.XLOOKUP(F1902, Keys!B:B, Keys!A:A, "找不到")</f>
        <v>OUT</v>
      </c>
      <c r="F1902" t="s">
        <v>403</v>
      </c>
      <c r="G1902">
        <v>23.66863961428151</v>
      </c>
      <c r="H1902">
        <v>0</v>
      </c>
      <c r="I1902" t="s">
        <v>38</v>
      </c>
      <c r="J1902" t="s">
        <v>3693</v>
      </c>
      <c r="K1902">
        <v>0</v>
      </c>
      <c r="L1902">
        <v>1663.3119201201721</v>
      </c>
    </row>
    <row r="1903" spans="1:12" hidden="1" x14ac:dyDescent="0.25">
      <c r="A1903">
        <v>731</v>
      </c>
      <c r="B1903" t="s">
        <v>2605</v>
      </c>
      <c r="C1903" t="s">
        <v>2606</v>
      </c>
      <c r="D1903">
        <v>0</v>
      </c>
      <c r="E1903" t="str">
        <f>_xlfn.XLOOKUP(F1903, Keys!B:B, Keys!A:A, "找不到")</f>
        <v>OUT</v>
      </c>
      <c r="F1903" t="s">
        <v>403</v>
      </c>
      <c r="G1903">
        <v>10.410950317627179</v>
      </c>
      <c r="H1903">
        <v>0</v>
      </c>
      <c r="I1903" t="s">
        <v>38</v>
      </c>
      <c r="J1903" t="s">
        <v>673</v>
      </c>
      <c r="K1903">
        <v>0</v>
      </c>
      <c r="L1903">
        <v>1030.323648731671</v>
      </c>
    </row>
    <row r="1904" spans="1:12" hidden="1" x14ac:dyDescent="0.25">
      <c r="A1904">
        <v>733</v>
      </c>
      <c r="B1904" t="s">
        <v>2605</v>
      </c>
      <c r="C1904" t="s">
        <v>2606</v>
      </c>
      <c r="D1904">
        <v>0</v>
      </c>
      <c r="E1904" t="str">
        <f>_xlfn.XLOOKUP(F1904, Keys!B:B, Keys!A:A, "找不到")</f>
        <v>OUT</v>
      </c>
      <c r="F1904" t="s">
        <v>403</v>
      </c>
      <c r="G1904">
        <v>3.3244748755812168</v>
      </c>
      <c r="H1904">
        <v>0</v>
      </c>
      <c r="I1904" t="s">
        <v>38</v>
      </c>
      <c r="J1904" t="s">
        <v>673</v>
      </c>
      <c r="K1904">
        <v>0</v>
      </c>
      <c r="L1904">
        <v>936.93054841536025</v>
      </c>
    </row>
    <row r="1905" spans="1:12" hidden="1" x14ac:dyDescent="0.25">
      <c r="A1905">
        <v>734</v>
      </c>
      <c r="B1905" t="s">
        <v>2605</v>
      </c>
      <c r="C1905" t="s">
        <v>2606</v>
      </c>
      <c r="D1905">
        <v>0</v>
      </c>
      <c r="E1905" t="str">
        <f>_xlfn.XLOOKUP(F1905, Keys!B:B, Keys!A:A, "找不到")</f>
        <v>OUT</v>
      </c>
      <c r="F1905" t="s">
        <v>403</v>
      </c>
      <c r="G1905">
        <v>9.634135587327183</v>
      </c>
      <c r="H1905">
        <v>0</v>
      </c>
      <c r="I1905" t="s">
        <v>38</v>
      </c>
      <c r="J1905" t="s">
        <v>673</v>
      </c>
      <c r="K1905">
        <v>0</v>
      </c>
      <c r="L1905">
        <v>929.07854148138847</v>
      </c>
    </row>
    <row r="1906" spans="1:12" hidden="1" x14ac:dyDescent="0.25">
      <c r="A1906">
        <v>735</v>
      </c>
      <c r="B1906" t="s">
        <v>2605</v>
      </c>
      <c r="C1906" t="s">
        <v>2606</v>
      </c>
      <c r="D1906">
        <v>0</v>
      </c>
      <c r="E1906" t="str">
        <f>_xlfn.XLOOKUP(F1906, Keys!B:B, Keys!A:A, "找不到")</f>
        <v>OUT</v>
      </c>
      <c r="F1906" t="s">
        <v>403</v>
      </c>
      <c r="G1906">
        <v>4.9519542704032666</v>
      </c>
      <c r="H1906">
        <v>0</v>
      </c>
      <c r="I1906" t="s">
        <v>38</v>
      </c>
      <c r="J1906" t="s">
        <v>673</v>
      </c>
      <c r="K1906">
        <v>0</v>
      </c>
      <c r="L1906">
        <v>767.50598001763524</v>
      </c>
    </row>
    <row r="1907" spans="1:12" hidden="1" x14ac:dyDescent="0.25">
      <c r="A1907">
        <v>736</v>
      </c>
      <c r="B1907" t="s">
        <v>2605</v>
      </c>
      <c r="C1907" t="s">
        <v>2606</v>
      </c>
      <c r="D1907">
        <v>0</v>
      </c>
      <c r="E1907" t="str">
        <f>_xlfn.XLOOKUP(F1907, Keys!B:B, Keys!A:A, "找不到")</f>
        <v>OUT</v>
      </c>
      <c r="F1907" t="s">
        <v>403</v>
      </c>
      <c r="G1907">
        <v>2.590348215798846</v>
      </c>
      <c r="H1907">
        <v>0</v>
      </c>
      <c r="I1907" t="s">
        <v>38</v>
      </c>
      <c r="J1907" t="s">
        <v>3680</v>
      </c>
      <c r="K1907">
        <v>0</v>
      </c>
      <c r="L1907">
        <v>427.22166398937532</v>
      </c>
    </row>
    <row r="1908" spans="1:12" hidden="1" x14ac:dyDescent="0.25">
      <c r="A1908">
        <v>737</v>
      </c>
      <c r="B1908" t="s">
        <v>2605</v>
      </c>
      <c r="C1908" t="s">
        <v>2606</v>
      </c>
      <c r="D1908">
        <v>0</v>
      </c>
      <c r="E1908" t="str">
        <f>_xlfn.XLOOKUP(F1908, Keys!B:B, Keys!A:A, "找不到")</f>
        <v>OUT</v>
      </c>
      <c r="F1908" t="s">
        <v>403</v>
      </c>
      <c r="G1908">
        <v>6.7998805964072906</v>
      </c>
      <c r="H1908">
        <v>0</v>
      </c>
      <c r="I1908" t="s">
        <v>38</v>
      </c>
      <c r="J1908" t="s">
        <v>673</v>
      </c>
      <c r="K1908">
        <v>0</v>
      </c>
      <c r="L1908">
        <v>876.36975154998902</v>
      </c>
    </row>
    <row r="1909" spans="1:12" hidden="1" x14ac:dyDescent="0.25">
      <c r="A1909">
        <v>738</v>
      </c>
      <c r="B1909" t="s">
        <v>2605</v>
      </c>
      <c r="C1909" t="s">
        <v>2606</v>
      </c>
      <c r="D1909">
        <v>0</v>
      </c>
      <c r="E1909" t="str">
        <f>_xlfn.XLOOKUP(F1909, Keys!B:B, Keys!A:A, "找不到")</f>
        <v>OUT</v>
      </c>
      <c r="F1909" t="s">
        <v>403</v>
      </c>
      <c r="G1909">
        <v>8.6291130751262717</v>
      </c>
      <c r="H1909">
        <v>0</v>
      </c>
      <c r="I1909" t="s">
        <v>38</v>
      </c>
      <c r="J1909" t="s">
        <v>3680</v>
      </c>
      <c r="K1909">
        <v>0</v>
      </c>
      <c r="L1909">
        <v>991.51813449964902</v>
      </c>
    </row>
    <row r="1910" spans="1:12" hidden="1" x14ac:dyDescent="0.25">
      <c r="A1910">
        <v>739</v>
      </c>
      <c r="B1910" t="s">
        <v>2605</v>
      </c>
      <c r="C1910" t="s">
        <v>2606</v>
      </c>
      <c r="D1910">
        <v>0</v>
      </c>
      <c r="E1910" t="str">
        <f>_xlfn.XLOOKUP(F1910, Keys!B:B, Keys!A:A, "找不到")</f>
        <v>OUT</v>
      </c>
      <c r="F1910" t="s">
        <v>403</v>
      </c>
      <c r="G1910">
        <v>22.246757340525221</v>
      </c>
      <c r="H1910">
        <v>0</v>
      </c>
      <c r="I1910" t="s">
        <v>38</v>
      </c>
      <c r="J1910" t="s">
        <v>3739</v>
      </c>
      <c r="K1910">
        <v>0</v>
      </c>
      <c r="L1910">
        <v>3011.578342452005</v>
      </c>
    </row>
    <row r="1911" spans="1:12" hidden="1" x14ac:dyDescent="0.25">
      <c r="A1911">
        <v>740</v>
      </c>
      <c r="B1911" t="s">
        <v>2605</v>
      </c>
      <c r="C1911" t="s">
        <v>2606</v>
      </c>
      <c r="D1911">
        <v>0</v>
      </c>
      <c r="E1911" t="str">
        <f>_xlfn.XLOOKUP(F1911, Keys!B:B, Keys!A:A, "找不到")</f>
        <v>OUT</v>
      </c>
      <c r="F1911" t="s">
        <v>403</v>
      </c>
      <c r="G1911">
        <v>3.9009165609502003E-2</v>
      </c>
      <c r="H1911">
        <v>0</v>
      </c>
      <c r="I1911" t="s">
        <v>38</v>
      </c>
      <c r="J1911" t="s">
        <v>3741</v>
      </c>
      <c r="K1911">
        <v>0</v>
      </c>
      <c r="L1911">
        <v>47.160947684478323</v>
      </c>
    </row>
    <row r="1912" spans="1:12" hidden="1" x14ac:dyDescent="0.25">
      <c r="A1912">
        <v>761</v>
      </c>
      <c r="B1912" t="s">
        <v>2605</v>
      </c>
      <c r="C1912" t="s">
        <v>2606</v>
      </c>
      <c r="D1912" t="s">
        <v>3027</v>
      </c>
      <c r="E1912" t="str">
        <f>_xlfn.XLOOKUP(F1912, Keys!B:B, Keys!A:A, "找不到")</f>
        <v>OUT</v>
      </c>
      <c r="F1912" t="s">
        <v>403</v>
      </c>
      <c r="G1912">
        <v>4.0806948316567997</v>
      </c>
      <c r="H1912">
        <v>0</v>
      </c>
      <c r="I1912" t="s">
        <v>38</v>
      </c>
      <c r="J1912" t="s">
        <v>3097</v>
      </c>
      <c r="K1912">
        <v>0</v>
      </c>
      <c r="L1912">
        <v>613.42331214514275</v>
      </c>
    </row>
    <row r="1913" spans="1:12" hidden="1" x14ac:dyDescent="0.25">
      <c r="A1913">
        <v>762</v>
      </c>
      <c r="B1913" t="s">
        <v>2605</v>
      </c>
      <c r="C1913" t="s">
        <v>2606</v>
      </c>
      <c r="D1913" t="s">
        <v>3027</v>
      </c>
      <c r="E1913" t="str">
        <f>_xlfn.XLOOKUP(F1913, Keys!B:B, Keys!A:A, "找不到")</f>
        <v>OUT</v>
      </c>
      <c r="F1913" t="s">
        <v>403</v>
      </c>
      <c r="G1913">
        <v>11.13668178849688</v>
      </c>
      <c r="H1913">
        <v>0</v>
      </c>
      <c r="I1913" t="s">
        <v>38</v>
      </c>
      <c r="J1913" t="s">
        <v>3097</v>
      </c>
      <c r="K1913">
        <v>0</v>
      </c>
      <c r="L1913">
        <v>871.65854768671568</v>
      </c>
    </row>
    <row r="1914" spans="1:12" hidden="1" x14ac:dyDescent="0.25">
      <c r="A1914">
        <v>763</v>
      </c>
      <c r="B1914" t="s">
        <v>2605</v>
      </c>
      <c r="C1914" t="s">
        <v>2606</v>
      </c>
      <c r="D1914" t="s">
        <v>2702</v>
      </c>
      <c r="E1914" t="str">
        <f>_xlfn.XLOOKUP(F1914, Keys!B:B, Keys!A:A, "找不到")</f>
        <v>OUT</v>
      </c>
      <c r="F1914" t="s">
        <v>403</v>
      </c>
      <c r="G1914">
        <v>29.427124407911911</v>
      </c>
      <c r="H1914">
        <v>0</v>
      </c>
      <c r="I1914" t="s">
        <v>38</v>
      </c>
      <c r="J1914" t="s">
        <v>2883</v>
      </c>
      <c r="K1914">
        <v>0</v>
      </c>
      <c r="L1914">
        <v>1380.6581580475611</v>
      </c>
    </row>
    <row r="1915" spans="1:12" hidden="1" x14ac:dyDescent="0.25">
      <c r="A1915">
        <v>773</v>
      </c>
      <c r="B1915" t="s">
        <v>2605</v>
      </c>
      <c r="C1915" t="s">
        <v>2606</v>
      </c>
      <c r="D1915">
        <v>0</v>
      </c>
      <c r="E1915" t="str">
        <f>_xlfn.XLOOKUP(F1915, Keys!B:B, Keys!A:A, "找不到")</f>
        <v>OUT</v>
      </c>
      <c r="F1915" t="s">
        <v>403</v>
      </c>
      <c r="G1915">
        <v>0.63722291753154048</v>
      </c>
      <c r="H1915">
        <v>0</v>
      </c>
      <c r="I1915" t="s">
        <v>38</v>
      </c>
      <c r="J1915" t="s">
        <v>3211</v>
      </c>
      <c r="K1915">
        <v>0</v>
      </c>
      <c r="L1915">
        <v>220.3065263200705</v>
      </c>
    </row>
    <row r="1916" spans="1:12" hidden="1" x14ac:dyDescent="0.25">
      <c r="A1916">
        <v>776</v>
      </c>
      <c r="B1916" t="s">
        <v>2605</v>
      </c>
      <c r="C1916" t="s">
        <v>2606</v>
      </c>
      <c r="D1916">
        <v>0</v>
      </c>
      <c r="E1916" t="str">
        <f>_xlfn.XLOOKUP(F1916, Keys!B:B, Keys!A:A, "找不到")</f>
        <v>OUT</v>
      </c>
      <c r="F1916" t="s">
        <v>403</v>
      </c>
      <c r="G1916">
        <v>1.139368048700846</v>
      </c>
      <c r="H1916">
        <v>0</v>
      </c>
      <c r="I1916" t="s">
        <v>38</v>
      </c>
      <c r="J1916" t="s">
        <v>3785</v>
      </c>
      <c r="K1916">
        <v>0</v>
      </c>
      <c r="L1916">
        <v>266.136588806296</v>
      </c>
    </row>
    <row r="1917" spans="1:12" hidden="1" x14ac:dyDescent="0.25">
      <c r="A1917">
        <v>777</v>
      </c>
      <c r="B1917" t="s">
        <v>2605</v>
      </c>
      <c r="C1917" t="s">
        <v>2606</v>
      </c>
      <c r="D1917">
        <v>0</v>
      </c>
      <c r="E1917" t="str">
        <f>_xlfn.XLOOKUP(F1917, Keys!B:B, Keys!A:A, "找不到")</f>
        <v>OUT</v>
      </c>
      <c r="F1917" t="s">
        <v>403</v>
      </c>
      <c r="G1917">
        <v>2.9515610406658812</v>
      </c>
      <c r="H1917">
        <v>0</v>
      </c>
      <c r="I1917" t="s">
        <v>38</v>
      </c>
      <c r="J1917" t="s">
        <v>3785</v>
      </c>
      <c r="K1917">
        <v>0</v>
      </c>
      <c r="L1917">
        <v>558.89960483509606</v>
      </c>
    </row>
    <row r="1918" spans="1:12" hidden="1" x14ac:dyDescent="0.25">
      <c r="A1918">
        <v>778</v>
      </c>
      <c r="B1918" t="s">
        <v>2605</v>
      </c>
      <c r="C1918" t="s">
        <v>2606</v>
      </c>
      <c r="D1918">
        <v>0</v>
      </c>
      <c r="E1918" t="str">
        <f>_xlfn.XLOOKUP(F1918, Keys!B:B, Keys!A:A, "找不到")</f>
        <v>OUT</v>
      </c>
      <c r="F1918" t="s">
        <v>403</v>
      </c>
      <c r="G1918">
        <v>1.3331167685311709</v>
      </c>
      <c r="H1918">
        <v>0</v>
      </c>
      <c r="I1918" t="s">
        <v>38</v>
      </c>
      <c r="J1918" t="s">
        <v>3785</v>
      </c>
      <c r="K1918">
        <v>0</v>
      </c>
      <c r="L1918">
        <v>286.19788943965341</v>
      </c>
    </row>
    <row r="1919" spans="1:12" hidden="1" x14ac:dyDescent="0.25">
      <c r="A1919">
        <v>784</v>
      </c>
      <c r="B1919" t="s">
        <v>2605</v>
      </c>
      <c r="C1919" t="s">
        <v>2606</v>
      </c>
      <c r="D1919">
        <v>0</v>
      </c>
      <c r="E1919" t="str">
        <f>_xlfn.XLOOKUP(F1919, Keys!B:B, Keys!A:A, "找不到")</f>
        <v>OUT</v>
      </c>
      <c r="F1919" t="s">
        <v>403</v>
      </c>
      <c r="G1919">
        <v>8.0223543640047019</v>
      </c>
      <c r="H1919">
        <v>0</v>
      </c>
      <c r="I1919" t="s">
        <v>38</v>
      </c>
      <c r="J1919" t="s">
        <v>3798</v>
      </c>
      <c r="K1919">
        <v>0</v>
      </c>
      <c r="L1919">
        <v>803.53656480814004</v>
      </c>
    </row>
    <row r="1920" spans="1:12" hidden="1" x14ac:dyDescent="0.25">
      <c r="A1920">
        <v>785</v>
      </c>
      <c r="B1920" t="s">
        <v>2605</v>
      </c>
      <c r="C1920" t="s">
        <v>2606</v>
      </c>
      <c r="D1920">
        <v>0</v>
      </c>
      <c r="E1920" t="str">
        <f>_xlfn.XLOOKUP(F1920, Keys!B:B, Keys!A:A, "找不到")</f>
        <v>OUT</v>
      </c>
      <c r="F1920" t="s">
        <v>403</v>
      </c>
      <c r="G1920">
        <v>0.7912812134907572</v>
      </c>
      <c r="H1920">
        <v>0</v>
      </c>
      <c r="I1920" t="s">
        <v>38</v>
      </c>
      <c r="J1920" t="s">
        <v>3798</v>
      </c>
      <c r="K1920">
        <v>0</v>
      </c>
      <c r="L1920">
        <v>267.34272358220579</v>
      </c>
    </row>
    <row r="1921" spans="1:12" hidden="1" x14ac:dyDescent="0.25">
      <c r="A1921">
        <v>786</v>
      </c>
      <c r="B1921" t="s">
        <v>2605</v>
      </c>
      <c r="C1921" t="s">
        <v>2606</v>
      </c>
      <c r="D1921">
        <v>0</v>
      </c>
      <c r="E1921" t="str">
        <f>_xlfn.XLOOKUP(F1921, Keys!B:B, Keys!A:A, "找不到")</f>
        <v>OUT</v>
      </c>
      <c r="F1921" t="s">
        <v>403</v>
      </c>
      <c r="G1921">
        <v>1.3573732532358349</v>
      </c>
      <c r="H1921">
        <v>0</v>
      </c>
      <c r="I1921" t="s">
        <v>38</v>
      </c>
      <c r="J1921" t="s">
        <v>3799</v>
      </c>
      <c r="K1921">
        <v>0</v>
      </c>
      <c r="L1921">
        <v>437.7351251096062</v>
      </c>
    </row>
    <row r="1922" spans="1:12" hidden="1" x14ac:dyDescent="0.25">
      <c r="A1922">
        <v>787</v>
      </c>
      <c r="B1922" t="s">
        <v>2605</v>
      </c>
      <c r="C1922" t="s">
        <v>2606</v>
      </c>
      <c r="D1922">
        <v>0</v>
      </c>
      <c r="E1922" t="str">
        <f>_xlfn.XLOOKUP(F1922, Keys!B:B, Keys!A:A, "找不到")</f>
        <v>OUT</v>
      </c>
      <c r="F1922" t="s">
        <v>403</v>
      </c>
      <c r="G1922">
        <v>8.9747958978151381</v>
      </c>
      <c r="H1922">
        <v>0</v>
      </c>
      <c r="I1922" t="s">
        <v>38</v>
      </c>
      <c r="J1922" t="s">
        <v>3800</v>
      </c>
      <c r="K1922">
        <v>0</v>
      </c>
      <c r="L1922">
        <v>893.81919376928101</v>
      </c>
    </row>
    <row r="1923" spans="1:12" hidden="1" x14ac:dyDescent="0.25">
      <c r="A1923">
        <v>894</v>
      </c>
      <c r="B1923" t="s">
        <v>2605</v>
      </c>
      <c r="C1923" t="s">
        <v>2606</v>
      </c>
      <c r="D1923">
        <v>0</v>
      </c>
      <c r="E1923" t="str">
        <f>_xlfn.XLOOKUP(F1923, Keys!B:B, Keys!A:A, "找不到")</f>
        <v>OUT</v>
      </c>
      <c r="F1923" t="s">
        <v>403</v>
      </c>
      <c r="G1923">
        <v>4.0471434703734248</v>
      </c>
      <c r="H1923">
        <v>0</v>
      </c>
      <c r="I1923" t="s">
        <v>38</v>
      </c>
      <c r="J1923" t="s">
        <v>3553</v>
      </c>
      <c r="K1923">
        <v>0</v>
      </c>
      <c r="L1923">
        <v>828.67374903944233</v>
      </c>
    </row>
    <row r="1924" spans="1:12" hidden="1" x14ac:dyDescent="0.25">
      <c r="A1924">
        <v>896</v>
      </c>
      <c r="B1924" t="s">
        <v>2605</v>
      </c>
      <c r="C1924" t="s">
        <v>2606</v>
      </c>
      <c r="D1924">
        <v>0</v>
      </c>
      <c r="E1924" t="str">
        <f>_xlfn.XLOOKUP(F1924, Keys!B:B, Keys!A:A, "找不到")</f>
        <v>OUT</v>
      </c>
      <c r="F1924" t="s">
        <v>403</v>
      </c>
      <c r="G1924">
        <v>2.0020042225307799</v>
      </c>
      <c r="H1924">
        <v>0</v>
      </c>
      <c r="I1924" t="s">
        <v>38</v>
      </c>
      <c r="J1924" t="s">
        <v>3882</v>
      </c>
      <c r="K1924">
        <v>0</v>
      </c>
      <c r="L1924">
        <v>476.83764094653782</v>
      </c>
    </row>
    <row r="1925" spans="1:12" hidden="1" x14ac:dyDescent="0.25">
      <c r="A1925">
        <v>991</v>
      </c>
      <c r="B1925" t="s">
        <v>2605</v>
      </c>
      <c r="C1925" t="s">
        <v>2606</v>
      </c>
      <c r="D1925">
        <v>0</v>
      </c>
      <c r="E1925" t="str">
        <f>_xlfn.XLOOKUP(F1925, Keys!B:B, Keys!A:A, "找不到")</f>
        <v>OUT</v>
      </c>
      <c r="F1925" t="s">
        <v>403</v>
      </c>
      <c r="G1925">
        <v>2.4686584164715271</v>
      </c>
      <c r="H1925">
        <v>0</v>
      </c>
      <c r="I1925" t="s">
        <v>38</v>
      </c>
      <c r="J1925" t="s">
        <v>3369</v>
      </c>
      <c r="K1925">
        <v>0</v>
      </c>
      <c r="L1925">
        <v>567.94058343471977</v>
      </c>
    </row>
    <row r="1926" spans="1:12" hidden="1" x14ac:dyDescent="0.25">
      <c r="A1926">
        <v>1026</v>
      </c>
      <c r="B1926" t="s">
        <v>2605</v>
      </c>
      <c r="C1926" t="s">
        <v>2606</v>
      </c>
      <c r="D1926">
        <v>0</v>
      </c>
      <c r="E1926" t="str">
        <f>_xlfn.XLOOKUP(F1926, Keys!B:B, Keys!A:A, "找不到")</f>
        <v>OUT</v>
      </c>
      <c r="F1926" t="s">
        <v>403</v>
      </c>
      <c r="G1926">
        <v>0.79613596528599828</v>
      </c>
      <c r="H1926">
        <v>0</v>
      </c>
      <c r="I1926" t="s">
        <v>38</v>
      </c>
      <c r="J1926" t="s">
        <v>3405</v>
      </c>
      <c r="K1926">
        <v>0</v>
      </c>
      <c r="L1926">
        <v>253.08357230438619</v>
      </c>
    </row>
    <row r="1927" spans="1:12" hidden="1" x14ac:dyDescent="0.25">
      <c r="A1927">
        <v>1027</v>
      </c>
      <c r="B1927" t="s">
        <v>2605</v>
      </c>
      <c r="C1927" t="s">
        <v>2606</v>
      </c>
      <c r="D1927">
        <v>0</v>
      </c>
      <c r="E1927" t="str">
        <f>_xlfn.XLOOKUP(F1927, Keys!B:B, Keys!A:A, "找不到")</f>
        <v>OUT</v>
      </c>
      <c r="F1927" t="s">
        <v>403</v>
      </c>
      <c r="G1927">
        <v>1.1458373749309321</v>
      </c>
      <c r="H1927">
        <v>0</v>
      </c>
      <c r="I1927" t="s">
        <v>38</v>
      </c>
      <c r="J1927" t="s">
        <v>3405</v>
      </c>
      <c r="K1927">
        <v>0</v>
      </c>
      <c r="L1927">
        <v>290.91160826466682</v>
      </c>
    </row>
    <row r="1928" spans="1:12" hidden="1" x14ac:dyDescent="0.25">
      <c r="A1928">
        <v>2</v>
      </c>
      <c r="B1928" t="s">
        <v>2042</v>
      </c>
      <c r="C1928" t="s">
        <v>972</v>
      </c>
      <c r="D1928">
        <v>0</v>
      </c>
      <c r="E1928" t="str">
        <f>_xlfn.XLOOKUP(F1928, Keys!B:B, Keys!A:A, "找不到")</f>
        <v>OUT</v>
      </c>
      <c r="F1928" t="s">
        <v>403</v>
      </c>
      <c r="G1928">
        <v>0.54497112262717795</v>
      </c>
      <c r="H1928">
        <v>0</v>
      </c>
      <c r="I1928" t="s">
        <v>38</v>
      </c>
      <c r="J1928" t="s">
        <v>2049</v>
      </c>
      <c r="K1928">
        <v>198.0092757987361</v>
      </c>
      <c r="L1928">
        <v>2205.4287093323492</v>
      </c>
    </row>
    <row r="1929" spans="1:12" hidden="1" x14ac:dyDescent="0.25">
      <c r="A1929">
        <v>3</v>
      </c>
      <c r="B1929" t="s">
        <v>2042</v>
      </c>
      <c r="C1929" t="s">
        <v>972</v>
      </c>
      <c r="D1929">
        <v>0</v>
      </c>
      <c r="E1929" t="str">
        <f>_xlfn.XLOOKUP(F1929, Keys!B:B, Keys!A:A, "找不到")</f>
        <v>OUT</v>
      </c>
      <c r="F1929" t="s">
        <v>403</v>
      </c>
      <c r="G1929">
        <v>1.508777031786535</v>
      </c>
      <c r="H1929">
        <v>0</v>
      </c>
      <c r="I1929" t="s">
        <v>38</v>
      </c>
      <c r="J1929" t="s">
        <v>2049</v>
      </c>
      <c r="K1929">
        <v>367.63850008555909</v>
      </c>
      <c r="L1929">
        <v>6105.8284443442999</v>
      </c>
    </row>
    <row r="1930" spans="1:12" hidden="1" x14ac:dyDescent="0.25">
      <c r="A1930">
        <v>4</v>
      </c>
      <c r="B1930" t="s">
        <v>2042</v>
      </c>
      <c r="C1930" t="s">
        <v>972</v>
      </c>
      <c r="D1930">
        <v>0</v>
      </c>
      <c r="E1930" t="str">
        <f>_xlfn.XLOOKUP(F1930, Keys!B:B, Keys!A:A, "找不到")</f>
        <v>OUT</v>
      </c>
      <c r="F1930" t="s">
        <v>403</v>
      </c>
      <c r="G1930">
        <v>4.085807295424364</v>
      </c>
      <c r="H1930">
        <v>0</v>
      </c>
      <c r="I1930" t="s">
        <v>38</v>
      </c>
      <c r="J1930" t="s">
        <v>2049</v>
      </c>
      <c r="K1930">
        <v>617.89746352798898</v>
      </c>
      <c r="L1930">
        <v>16534.74163307725</v>
      </c>
    </row>
    <row r="1931" spans="1:12" hidden="1" x14ac:dyDescent="0.25">
      <c r="A1931">
        <v>5</v>
      </c>
      <c r="B1931" t="s">
        <v>2042</v>
      </c>
      <c r="C1931" t="s">
        <v>972</v>
      </c>
      <c r="D1931">
        <v>0</v>
      </c>
      <c r="E1931" t="str">
        <f>_xlfn.XLOOKUP(F1931, Keys!B:B, Keys!A:A, "找不到")</f>
        <v>OUT</v>
      </c>
      <c r="F1931" t="s">
        <v>403</v>
      </c>
      <c r="G1931">
        <v>1.083518471417356</v>
      </c>
      <c r="H1931">
        <v>0</v>
      </c>
      <c r="I1931" t="s">
        <v>38</v>
      </c>
      <c r="J1931" t="s">
        <v>2049</v>
      </c>
      <c r="K1931">
        <v>296.76019132191612</v>
      </c>
      <c r="L1931">
        <v>4384.8612242717136</v>
      </c>
    </row>
    <row r="1932" spans="1:12" hidden="1" x14ac:dyDescent="0.25">
      <c r="A1932">
        <v>19</v>
      </c>
      <c r="B1932" t="s">
        <v>2042</v>
      </c>
      <c r="C1932" t="s">
        <v>972</v>
      </c>
      <c r="D1932" t="s">
        <v>2057</v>
      </c>
      <c r="E1932" t="str">
        <f>_xlfn.XLOOKUP(F1932, Keys!B:B, Keys!A:A, "找不到")</f>
        <v>OUT</v>
      </c>
      <c r="F1932" t="s">
        <v>403</v>
      </c>
      <c r="G1932">
        <v>2.7245382516847871</v>
      </c>
      <c r="H1932">
        <v>0</v>
      </c>
      <c r="I1932" t="s">
        <v>38</v>
      </c>
      <c r="J1932" t="s">
        <v>2074</v>
      </c>
      <c r="K1932">
        <v>475.78078949883832</v>
      </c>
      <c r="L1932">
        <v>11025.85922529784</v>
      </c>
    </row>
    <row r="1933" spans="1:12" hidden="1" x14ac:dyDescent="0.25">
      <c r="A1933">
        <v>50</v>
      </c>
      <c r="B1933" t="s">
        <v>2042</v>
      </c>
      <c r="C1933" t="s">
        <v>972</v>
      </c>
      <c r="D1933">
        <v>0</v>
      </c>
      <c r="E1933" t="str">
        <f>_xlfn.XLOOKUP(F1933, Keys!B:B, Keys!A:A, "找不到")</f>
        <v>OUT</v>
      </c>
      <c r="F1933" t="s">
        <v>403</v>
      </c>
      <c r="G1933">
        <v>0.27462300076944768</v>
      </c>
      <c r="H1933">
        <v>0</v>
      </c>
      <c r="I1933" t="s">
        <v>38</v>
      </c>
      <c r="J1933" t="s">
        <v>1526</v>
      </c>
      <c r="K1933">
        <v>122.1097154850127</v>
      </c>
      <c r="L1933">
        <v>1111.3642998553539</v>
      </c>
    </row>
    <row r="1934" spans="1:12" hidden="1" x14ac:dyDescent="0.25">
      <c r="A1934">
        <v>100</v>
      </c>
      <c r="B1934" t="s">
        <v>2042</v>
      </c>
      <c r="C1934" t="s">
        <v>972</v>
      </c>
      <c r="D1934">
        <v>0</v>
      </c>
      <c r="E1934" t="str">
        <f>_xlfn.XLOOKUP(F1934, Keys!B:B, Keys!A:A, "找不到")</f>
        <v>OUT</v>
      </c>
      <c r="F1934" t="s">
        <v>403</v>
      </c>
      <c r="G1934">
        <v>6.3258463077289937</v>
      </c>
      <c r="H1934">
        <v>0</v>
      </c>
      <c r="I1934">
        <v>0</v>
      </c>
      <c r="J1934" t="s">
        <v>673</v>
      </c>
      <c r="K1934">
        <v>786.12693620383789</v>
      </c>
      <c r="L1934">
        <v>25599.894157022631</v>
      </c>
    </row>
    <row r="1935" spans="1:12" hidden="1" x14ac:dyDescent="0.25">
      <c r="A1935">
        <v>206</v>
      </c>
      <c r="B1935" t="s">
        <v>2042</v>
      </c>
      <c r="C1935" t="s">
        <v>972</v>
      </c>
      <c r="D1935">
        <v>0</v>
      </c>
      <c r="E1935" t="str">
        <f>_xlfn.XLOOKUP(F1935, Keys!B:B, Keys!A:A, "找不到")</f>
        <v>OUT</v>
      </c>
      <c r="F1935" t="s">
        <v>403</v>
      </c>
      <c r="G1935">
        <v>1.807745481998253</v>
      </c>
      <c r="H1935">
        <v>0</v>
      </c>
      <c r="I1935" t="s">
        <v>38</v>
      </c>
      <c r="J1935" t="s">
        <v>495</v>
      </c>
      <c r="K1935">
        <v>410.89185173938102</v>
      </c>
      <c r="L1935">
        <v>7315.7156767226579</v>
      </c>
    </row>
    <row r="1936" spans="1:12" hidden="1" x14ac:dyDescent="0.25">
      <c r="A1936">
        <v>274</v>
      </c>
      <c r="B1936" t="s">
        <v>2042</v>
      </c>
      <c r="C1936" t="s">
        <v>972</v>
      </c>
      <c r="D1936">
        <v>0</v>
      </c>
      <c r="E1936" t="str">
        <f>_xlfn.XLOOKUP(F1936, Keys!B:B, Keys!A:A, "找不到")</f>
        <v>OUT</v>
      </c>
      <c r="F1936" t="s">
        <v>403</v>
      </c>
      <c r="G1936">
        <v>9.9785745870998124</v>
      </c>
      <c r="H1936">
        <v>0</v>
      </c>
      <c r="I1936">
        <v>0</v>
      </c>
      <c r="J1936" t="s">
        <v>2533</v>
      </c>
      <c r="K1936">
        <v>835.88233614700891</v>
      </c>
      <c r="L1936">
        <v>40382.020182121501</v>
      </c>
    </row>
    <row r="1937" spans="1:12" hidden="1" x14ac:dyDescent="0.25">
      <c r="A1937">
        <v>276</v>
      </c>
      <c r="B1937" t="s">
        <v>2042</v>
      </c>
      <c r="C1937" t="s">
        <v>972</v>
      </c>
      <c r="D1937">
        <v>0</v>
      </c>
      <c r="E1937" t="str">
        <f>_xlfn.XLOOKUP(F1937, Keys!B:B, Keys!A:A, "找不到")</f>
        <v>OUT</v>
      </c>
      <c r="F1937" t="s">
        <v>403</v>
      </c>
      <c r="G1937">
        <v>5.1197713986294362</v>
      </c>
      <c r="H1937">
        <v>0</v>
      </c>
      <c r="I1937" t="s">
        <v>38</v>
      </c>
      <c r="J1937" t="s">
        <v>2536</v>
      </c>
      <c r="K1937">
        <v>671.28072232102886</v>
      </c>
      <c r="L1937">
        <v>20719.06264193105</v>
      </c>
    </row>
    <row r="1938" spans="1:12" hidden="1" x14ac:dyDescent="0.25">
      <c r="A1938">
        <v>336</v>
      </c>
      <c r="B1938" t="s">
        <v>2042</v>
      </c>
      <c r="C1938" t="s">
        <v>972</v>
      </c>
      <c r="D1938">
        <v>0</v>
      </c>
      <c r="E1938" t="str">
        <f>_xlfn.XLOOKUP(F1938, Keys!B:B, Keys!A:A, "找不到")</f>
        <v>OUT</v>
      </c>
      <c r="F1938" t="s">
        <v>403</v>
      </c>
      <c r="G1938">
        <v>2.2835798368489701</v>
      </c>
      <c r="H1938">
        <v>0</v>
      </c>
      <c r="I1938" t="s">
        <v>38</v>
      </c>
      <c r="J1938" t="s">
        <v>673</v>
      </c>
      <c r="K1938">
        <v>410.98972231065483</v>
      </c>
      <c r="L1938">
        <v>9241.3566942052075</v>
      </c>
    </row>
    <row r="1939" spans="1:12" hidden="1" x14ac:dyDescent="0.25">
      <c r="A1939">
        <v>337</v>
      </c>
      <c r="B1939" t="s">
        <v>2042</v>
      </c>
      <c r="C1939" t="s">
        <v>972</v>
      </c>
      <c r="D1939">
        <v>0</v>
      </c>
      <c r="E1939" t="str">
        <f>_xlfn.XLOOKUP(F1939, Keys!B:B, Keys!A:A, "找不到")</f>
        <v>OUT</v>
      </c>
      <c r="F1939" t="s">
        <v>403</v>
      </c>
      <c r="G1939">
        <v>14.03209360258105</v>
      </c>
      <c r="H1939">
        <v>0</v>
      </c>
      <c r="I1939" t="s">
        <v>38</v>
      </c>
      <c r="J1939" t="s">
        <v>673</v>
      </c>
      <c r="K1939">
        <v>1000.914091649117</v>
      </c>
      <c r="L1939">
        <v>56786.095259476962</v>
      </c>
    </row>
    <row r="1940" spans="1:12" hidden="1" x14ac:dyDescent="0.25">
      <c r="A1940">
        <v>352</v>
      </c>
      <c r="B1940" t="s">
        <v>2042</v>
      </c>
      <c r="C1940" t="s">
        <v>972</v>
      </c>
      <c r="D1940" t="s">
        <v>2586</v>
      </c>
      <c r="E1940" t="str">
        <f>_xlfn.XLOOKUP(F1940, Keys!B:B, Keys!A:A, "找不到")</f>
        <v>OUT</v>
      </c>
      <c r="F1940" t="s">
        <v>403</v>
      </c>
      <c r="G1940">
        <v>6.635598869157028</v>
      </c>
      <c r="H1940">
        <v>0</v>
      </c>
      <c r="I1940" t="s">
        <v>38</v>
      </c>
      <c r="J1940" t="s">
        <v>2591</v>
      </c>
      <c r="K1940">
        <v>787.85620418139069</v>
      </c>
      <c r="L1940">
        <v>26853.423313704141</v>
      </c>
    </row>
    <row r="1941" spans="1:12" hidden="1" x14ac:dyDescent="0.25">
      <c r="A1941">
        <v>1</v>
      </c>
      <c r="B1941" t="s">
        <v>1482</v>
      </c>
      <c r="C1941" t="s">
        <v>1483</v>
      </c>
      <c r="D1941">
        <v>0</v>
      </c>
      <c r="E1941" t="str">
        <f>_xlfn.XLOOKUP(F1941, Keys!B:B, Keys!A:A, "找不到")</f>
        <v>OUT</v>
      </c>
      <c r="F1941" t="s">
        <v>403</v>
      </c>
      <c r="G1941">
        <v>23.61102878427802</v>
      </c>
      <c r="H1941" t="s">
        <v>159</v>
      </c>
      <c r="I1941" t="s">
        <v>38</v>
      </c>
      <c r="J1941" t="s">
        <v>1484</v>
      </c>
      <c r="K1941">
        <v>1385.230728220032</v>
      </c>
      <c r="L1941">
        <v>95550.825678047258</v>
      </c>
    </row>
    <row r="1942" spans="1:12" hidden="1" x14ac:dyDescent="0.25">
      <c r="A1942">
        <v>2</v>
      </c>
      <c r="B1942" t="s">
        <v>1482</v>
      </c>
      <c r="C1942" t="s">
        <v>1483</v>
      </c>
      <c r="D1942">
        <v>0</v>
      </c>
      <c r="E1942" t="str">
        <f>_xlfn.XLOOKUP(F1942, Keys!B:B, Keys!A:A, "找不到")</f>
        <v>OUT</v>
      </c>
      <c r="F1942" t="s">
        <v>403</v>
      </c>
      <c r="G1942">
        <v>2.2703547533236779</v>
      </c>
      <c r="H1942" t="s">
        <v>159</v>
      </c>
      <c r="I1942" t="s">
        <v>38</v>
      </c>
      <c r="J1942" t="s">
        <v>1484</v>
      </c>
      <c r="K1942">
        <v>427.84416162613422</v>
      </c>
      <c r="L1942">
        <v>9187.8364659234066</v>
      </c>
    </row>
    <row r="1943" spans="1:12" hidden="1" x14ac:dyDescent="0.25">
      <c r="A1943">
        <v>20</v>
      </c>
      <c r="B1943" t="s">
        <v>1482</v>
      </c>
      <c r="C1943" t="s">
        <v>1483</v>
      </c>
      <c r="D1943">
        <v>0</v>
      </c>
      <c r="E1943" t="str">
        <f>_xlfn.XLOOKUP(F1943, Keys!B:B, Keys!A:A, "找不到")</f>
        <v>OUT</v>
      </c>
      <c r="F1943" t="s">
        <v>403</v>
      </c>
      <c r="G1943">
        <v>36.404291645321869</v>
      </c>
      <c r="H1943" t="s">
        <v>159</v>
      </c>
      <c r="I1943" t="s">
        <v>38</v>
      </c>
      <c r="J1943" t="s">
        <v>1120</v>
      </c>
      <c r="K1943">
        <v>1738.717830257272</v>
      </c>
      <c r="L1943">
        <v>147323.53074132709</v>
      </c>
    </row>
    <row r="1944" spans="1:12" hidden="1" x14ac:dyDescent="0.25">
      <c r="A1944">
        <v>21</v>
      </c>
      <c r="B1944" t="s">
        <v>1482</v>
      </c>
      <c r="C1944" t="s">
        <v>1483</v>
      </c>
      <c r="D1944">
        <v>0</v>
      </c>
      <c r="E1944" t="str">
        <f>_xlfn.XLOOKUP(F1944, Keys!B:B, Keys!A:A, "找不到")</f>
        <v>OUT</v>
      </c>
      <c r="F1944" t="s">
        <v>403</v>
      </c>
      <c r="G1944">
        <v>0.6921892634793162</v>
      </c>
      <c r="H1944" t="s">
        <v>159</v>
      </c>
      <c r="I1944" t="s">
        <v>38</v>
      </c>
      <c r="J1944" t="s">
        <v>1526</v>
      </c>
      <c r="K1944">
        <v>201.39668338066349</v>
      </c>
      <c r="L1944">
        <v>2801.201771223476</v>
      </c>
    </row>
    <row r="1945" spans="1:12" hidden="1" x14ac:dyDescent="0.25">
      <c r="A1945">
        <v>22</v>
      </c>
      <c r="B1945" t="s">
        <v>1482</v>
      </c>
      <c r="C1945" t="s">
        <v>1483</v>
      </c>
      <c r="D1945">
        <v>0</v>
      </c>
      <c r="E1945" t="str">
        <f>_xlfn.XLOOKUP(F1945, Keys!B:B, Keys!A:A, "找不到")</f>
        <v>OUT</v>
      </c>
      <c r="F1945" t="s">
        <v>403</v>
      </c>
      <c r="G1945">
        <v>6.1873226069886336</v>
      </c>
      <c r="H1945" t="s">
        <v>159</v>
      </c>
      <c r="I1945" t="s">
        <v>38</v>
      </c>
      <c r="J1945" t="s">
        <v>1120</v>
      </c>
      <c r="K1945">
        <v>969.48397495349082</v>
      </c>
      <c r="L1945">
        <v>25039.30638667805</v>
      </c>
    </row>
    <row r="1946" spans="1:12" hidden="1" x14ac:dyDescent="0.25">
      <c r="A1946">
        <v>23</v>
      </c>
      <c r="B1946" t="s">
        <v>1482</v>
      </c>
      <c r="C1946" t="s">
        <v>1483</v>
      </c>
      <c r="D1946">
        <v>0</v>
      </c>
      <c r="E1946" t="str">
        <f>_xlfn.XLOOKUP(F1946, Keys!B:B, Keys!A:A, "找不到")</f>
        <v>OUT</v>
      </c>
      <c r="F1946" t="s">
        <v>403</v>
      </c>
      <c r="G1946">
        <v>18.568413438724871</v>
      </c>
      <c r="H1946" t="s">
        <v>159</v>
      </c>
      <c r="I1946" t="s">
        <v>38</v>
      </c>
      <c r="J1946" t="s">
        <v>1120</v>
      </c>
      <c r="K1946">
        <v>1069.5163954129921</v>
      </c>
      <c r="L1946">
        <v>75144.003753996658</v>
      </c>
    </row>
    <row r="1947" spans="1:12" hidden="1" x14ac:dyDescent="0.25">
      <c r="A1947">
        <v>24</v>
      </c>
      <c r="B1947" t="s">
        <v>1482</v>
      </c>
      <c r="C1947" t="s">
        <v>1483</v>
      </c>
      <c r="D1947">
        <v>0</v>
      </c>
      <c r="E1947" t="str">
        <f>_xlfn.XLOOKUP(F1947, Keys!B:B, Keys!A:A, "找不到")</f>
        <v>OUT</v>
      </c>
      <c r="F1947" t="s">
        <v>403</v>
      </c>
      <c r="G1947">
        <v>14.50081750966838</v>
      </c>
      <c r="H1947" t="s">
        <v>159</v>
      </c>
      <c r="I1947" t="s">
        <v>38</v>
      </c>
      <c r="J1947" t="s">
        <v>1120</v>
      </c>
      <c r="K1947">
        <v>995.4722056649764</v>
      </c>
      <c r="L1947">
        <v>58682.961200661943</v>
      </c>
    </row>
    <row r="1948" spans="1:12" hidden="1" x14ac:dyDescent="0.25">
      <c r="A1948">
        <v>26</v>
      </c>
      <c r="B1948" t="s">
        <v>1482</v>
      </c>
      <c r="C1948" t="s">
        <v>1483</v>
      </c>
      <c r="D1948">
        <v>0</v>
      </c>
      <c r="E1948" t="str">
        <f>_xlfn.XLOOKUP(F1948, Keys!B:B, Keys!A:A, "找不到")</f>
        <v>OUT</v>
      </c>
      <c r="F1948" t="s">
        <v>403</v>
      </c>
      <c r="G1948">
        <v>12.953952351077969</v>
      </c>
      <c r="H1948" t="s">
        <v>159</v>
      </c>
      <c r="I1948" t="s">
        <v>38</v>
      </c>
      <c r="J1948" t="s">
        <v>1120</v>
      </c>
      <c r="K1948">
        <v>952.21565864685067</v>
      </c>
      <c r="L1948">
        <v>52422.994959193617</v>
      </c>
    </row>
    <row r="1949" spans="1:12" hidden="1" x14ac:dyDescent="0.25">
      <c r="A1949">
        <v>27</v>
      </c>
      <c r="B1949" t="s">
        <v>1482</v>
      </c>
      <c r="C1949" t="s">
        <v>1483</v>
      </c>
      <c r="D1949">
        <v>0</v>
      </c>
      <c r="E1949" t="str">
        <f>_xlfn.XLOOKUP(F1949, Keys!B:B, Keys!A:A, "找不到")</f>
        <v>OUT</v>
      </c>
      <c r="F1949" t="s">
        <v>403</v>
      </c>
      <c r="G1949">
        <v>8.3654125402026391</v>
      </c>
      <c r="H1949" t="s">
        <v>159</v>
      </c>
      <c r="I1949" t="s">
        <v>38</v>
      </c>
      <c r="J1949" t="s">
        <v>1120</v>
      </c>
      <c r="K1949">
        <v>787.52575293122732</v>
      </c>
      <c r="L1949">
        <v>33853.758879244648</v>
      </c>
    </row>
    <row r="1950" spans="1:12" hidden="1" x14ac:dyDescent="0.25">
      <c r="A1950">
        <v>28</v>
      </c>
      <c r="B1950" t="s">
        <v>1482</v>
      </c>
      <c r="C1950" t="s">
        <v>1483</v>
      </c>
      <c r="D1950">
        <v>0</v>
      </c>
      <c r="E1950" t="str">
        <f>_xlfn.XLOOKUP(F1950, Keys!B:B, Keys!A:A, "找不到")</f>
        <v>OUT</v>
      </c>
      <c r="F1950" t="s">
        <v>403</v>
      </c>
      <c r="G1950">
        <v>22.683236255780969</v>
      </c>
      <c r="H1950" t="s">
        <v>159</v>
      </c>
      <c r="I1950" t="s">
        <v>38</v>
      </c>
      <c r="J1950" t="s">
        <v>1120</v>
      </c>
      <c r="K1950">
        <v>1351.577308949197</v>
      </c>
      <c r="L1950">
        <v>91796.167506826576</v>
      </c>
    </row>
    <row r="1951" spans="1:12" hidden="1" x14ac:dyDescent="0.25">
      <c r="A1951">
        <v>29</v>
      </c>
      <c r="B1951" t="s">
        <v>1482</v>
      </c>
      <c r="C1951" t="s">
        <v>1483</v>
      </c>
      <c r="D1951">
        <v>0</v>
      </c>
      <c r="E1951" t="str">
        <f>_xlfn.XLOOKUP(F1951, Keys!B:B, Keys!A:A, "找不到")</f>
        <v>OUT</v>
      </c>
      <c r="F1951" t="s">
        <v>403</v>
      </c>
      <c r="G1951">
        <v>1.6976453626685299</v>
      </c>
      <c r="H1951" t="s">
        <v>159</v>
      </c>
      <c r="I1951" t="s">
        <v>38</v>
      </c>
      <c r="J1951" t="s">
        <v>1120</v>
      </c>
      <c r="K1951">
        <v>373.31915592406529</v>
      </c>
      <c r="L1951">
        <v>6870.1545194633154</v>
      </c>
    </row>
    <row r="1952" spans="1:12" hidden="1" x14ac:dyDescent="0.25">
      <c r="A1952">
        <v>30</v>
      </c>
      <c r="B1952" t="s">
        <v>1482</v>
      </c>
      <c r="C1952" t="s">
        <v>1483</v>
      </c>
      <c r="D1952">
        <v>0</v>
      </c>
      <c r="E1952" t="str">
        <f>_xlfn.XLOOKUP(F1952, Keys!B:B, Keys!A:A, "找不到")</f>
        <v>OUT</v>
      </c>
      <c r="F1952" t="s">
        <v>403</v>
      </c>
      <c r="G1952">
        <v>1.0987850956476739</v>
      </c>
      <c r="H1952" t="s">
        <v>159</v>
      </c>
      <c r="I1952" t="s">
        <v>38</v>
      </c>
      <c r="J1952" t="s">
        <v>1120</v>
      </c>
      <c r="K1952">
        <v>298.68846973405448</v>
      </c>
      <c r="L1952">
        <v>4446.6433077146312</v>
      </c>
    </row>
    <row r="1953" spans="1:12" hidden="1" x14ac:dyDescent="0.25">
      <c r="A1953">
        <v>31</v>
      </c>
      <c r="B1953" t="s">
        <v>1482</v>
      </c>
      <c r="C1953" t="s">
        <v>1483</v>
      </c>
      <c r="D1953">
        <v>0</v>
      </c>
      <c r="E1953" t="str">
        <f>_xlfn.XLOOKUP(F1953, Keys!B:B, Keys!A:A, "找不到")</f>
        <v>OUT</v>
      </c>
      <c r="F1953" t="s">
        <v>403</v>
      </c>
      <c r="G1953">
        <v>5.297611369336658</v>
      </c>
      <c r="H1953" t="s">
        <v>159</v>
      </c>
      <c r="I1953" t="s">
        <v>38</v>
      </c>
      <c r="J1953" t="s">
        <v>673</v>
      </c>
      <c r="K1953">
        <v>587.87375092436548</v>
      </c>
      <c r="L1953">
        <v>21438.758348326952</v>
      </c>
    </row>
    <row r="1954" spans="1:12" hidden="1" x14ac:dyDescent="0.25">
      <c r="A1954">
        <v>34</v>
      </c>
      <c r="B1954" t="s">
        <v>1482</v>
      </c>
      <c r="C1954" t="s">
        <v>1483</v>
      </c>
      <c r="D1954">
        <v>0</v>
      </c>
      <c r="E1954" t="str">
        <f>_xlfn.XLOOKUP(F1954, Keys!B:B, Keys!A:A, "找不到")</f>
        <v>OUT</v>
      </c>
      <c r="F1954" t="s">
        <v>403</v>
      </c>
      <c r="G1954">
        <v>12.87417151379946</v>
      </c>
      <c r="H1954" t="s">
        <v>159</v>
      </c>
      <c r="I1954" t="s">
        <v>38</v>
      </c>
      <c r="J1954" t="s">
        <v>1120</v>
      </c>
      <c r="K1954">
        <v>920.77263125337254</v>
      </c>
      <c r="L1954">
        <v>52100.132074018373</v>
      </c>
    </row>
    <row r="1955" spans="1:12" hidden="1" x14ac:dyDescent="0.25">
      <c r="A1955">
        <v>35</v>
      </c>
      <c r="B1955" t="s">
        <v>1482</v>
      </c>
      <c r="C1955" t="s">
        <v>1483</v>
      </c>
      <c r="D1955">
        <v>0</v>
      </c>
      <c r="E1955" t="str">
        <f>_xlfn.XLOOKUP(F1955, Keys!B:B, Keys!A:A, "找不到")</f>
        <v>OUT</v>
      </c>
      <c r="F1955" t="s">
        <v>403</v>
      </c>
      <c r="G1955">
        <v>1.5390916412658771</v>
      </c>
      <c r="H1955" t="s">
        <v>159</v>
      </c>
      <c r="I1955" t="s">
        <v>38</v>
      </c>
      <c r="J1955" t="s">
        <v>673</v>
      </c>
      <c r="K1955">
        <v>448.10647723902127</v>
      </c>
      <c r="L1955">
        <v>6228.5078071252856</v>
      </c>
    </row>
    <row r="1956" spans="1:12" hidden="1" x14ac:dyDescent="0.25">
      <c r="A1956">
        <v>37</v>
      </c>
      <c r="B1956" t="s">
        <v>1482</v>
      </c>
      <c r="C1956" t="s">
        <v>1483</v>
      </c>
      <c r="D1956">
        <v>0</v>
      </c>
      <c r="E1956" t="str">
        <f>_xlfn.XLOOKUP(F1956, Keys!B:B, Keys!A:A, "找不到")</f>
        <v>OUT</v>
      </c>
      <c r="F1956" t="s">
        <v>403</v>
      </c>
      <c r="G1956">
        <v>99.093630072117989</v>
      </c>
      <c r="H1956" t="s">
        <v>159</v>
      </c>
      <c r="I1956" t="s">
        <v>38</v>
      </c>
      <c r="J1956">
        <v>0</v>
      </c>
      <c r="K1956">
        <v>3105.6982749460149</v>
      </c>
      <c r="L1956">
        <v>401019.2973518658</v>
      </c>
    </row>
    <row r="1957" spans="1:12" hidden="1" x14ac:dyDescent="0.25">
      <c r="A1957">
        <v>38</v>
      </c>
      <c r="B1957" t="s">
        <v>1482</v>
      </c>
      <c r="C1957" t="s">
        <v>1483</v>
      </c>
      <c r="D1957">
        <v>0</v>
      </c>
      <c r="E1957" t="str">
        <f>_xlfn.XLOOKUP(F1957, Keys!B:B, Keys!A:A, "找不到")</f>
        <v>OUT</v>
      </c>
      <c r="F1957" t="s">
        <v>403</v>
      </c>
      <c r="G1957">
        <v>3.4184929901282111</v>
      </c>
      <c r="H1957" t="s">
        <v>159</v>
      </c>
      <c r="I1957" t="s">
        <v>38</v>
      </c>
      <c r="J1957" t="s">
        <v>1120</v>
      </c>
      <c r="K1957">
        <v>478.51386318480832</v>
      </c>
      <c r="L1957">
        <v>13834.205648796989</v>
      </c>
    </row>
    <row r="1958" spans="1:12" hidden="1" x14ac:dyDescent="0.25">
      <c r="A1958">
        <v>39</v>
      </c>
      <c r="B1958" t="s">
        <v>1482</v>
      </c>
      <c r="C1958" t="s">
        <v>1483</v>
      </c>
      <c r="D1958">
        <v>0</v>
      </c>
      <c r="E1958" t="str">
        <f>_xlfn.XLOOKUP(F1958, Keys!B:B, Keys!A:A, "找不到")</f>
        <v>OUT</v>
      </c>
      <c r="F1958" t="s">
        <v>403</v>
      </c>
      <c r="G1958">
        <v>1.6727741743594009</v>
      </c>
      <c r="H1958" t="s">
        <v>159</v>
      </c>
      <c r="I1958" t="s">
        <v>38</v>
      </c>
      <c r="J1958" t="s">
        <v>673</v>
      </c>
      <c r="K1958">
        <v>402.23160485159161</v>
      </c>
      <c r="L1958">
        <v>6769.5039887200774</v>
      </c>
    </row>
    <row r="1959" spans="1:12" hidden="1" x14ac:dyDescent="0.25">
      <c r="A1959">
        <v>42</v>
      </c>
      <c r="B1959" t="s">
        <v>1482</v>
      </c>
      <c r="C1959" t="s">
        <v>1483</v>
      </c>
      <c r="D1959">
        <v>0</v>
      </c>
      <c r="E1959" t="str">
        <f>_xlfn.XLOOKUP(F1959, Keys!B:B, Keys!A:A, "找不到")</f>
        <v>OUT</v>
      </c>
      <c r="F1959" t="s">
        <v>403</v>
      </c>
      <c r="G1959">
        <v>4.4259179327923146</v>
      </c>
      <c r="H1959" t="s">
        <v>159</v>
      </c>
      <c r="I1959" t="s">
        <v>38</v>
      </c>
      <c r="J1959" t="s">
        <v>673</v>
      </c>
      <c r="K1959">
        <v>564.61126477135758</v>
      </c>
      <c r="L1959">
        <v>17911.126055768491</v>
      </c>
    </row>
    <row r="1960" spans="1:12" hidden="1" x14ac:dyDescent="0.25">
      <c r="A1960">
        <v>48</v>
      </c>
      <c r="B1960" t="s">
        <v>1482</v>
      </c>
      <c r="C1960" t="s">
        <v>1483</v>
      </c>
      <c r="D1960">
        <v>0</v>
      </c>
      <c r="E1960" t="str">
        <f>_xlfn.XLOOKUP(F1960, Keys!B:B, Keys!A:A, "找不到")</f>
        <v>OUT</v>
      </c>
      <c r="F1960" t="s">
        <v>403</v>
      </c>
      <c r="G1960">
        <v>41.017024115966983</v>
      </c>
      <c r="H1960" t="s">
        <v>159</v>
      </c>
      <c r="I1960" t="s">
        <v>38</v>
      </c>
      <c r="J1960" t="s">
        <v>673</v>
      </c>
      <c r="K1960">
        <v>1640.1966415675381</v>
      </c>
      <c r="L1960">
        <v>165990.6714334584</v>
      </c>
    </row>
    <row r="1961" spans="1:12" hidden="1" x14ac:dyDescent="0.25">
      <c r="A1961">
        <v>51</v>
      </c>
      <c r="B1961" t="s">
        <v>1482</v>
      </c>
      <c r="C1961" t="s">
        <v>1483</v>
      </c>
      <c r="D1961">
        <v>0</v>
      </c>
      <c r="E1961" t="str">
        <f>_xlfn.XLOOKUP(F1961, Keys!B:B, Keys!A:A, "找不到")</f>
        <v>OUT</v>
      </c>
      <c r="F1961" t="s">
        <v>403</v>
      </c>
      <c r="G1961">
        <v>12.96754392660819</v>
      </c>
      <c r="H1961">
        <v>0</v>
      </c>
      <c r="I1961" t="s">
        <v>38</v>
      </c>
      <c r="J1961" t="s">
        <v>673</v>
      </c>
      <c r="K1961">
        <v>2101.1408276464049</v>
      </c>
      <c r="L1961">
        <v>52477.998333931893</v>
      </c>
    </row>
    <row r="1962" spans="1:12" hidden="1" x14ac:dyDescent="0.25">
      <c r="A1962">
        <v>52</v>
      </c>
      <c r="B1962" t="s">
        <v>1482</v>
      </c>
      <c r="C1962" t="s">
        <v>1483</v>
      </c>
      <c r="D1962">
        <v>0</v>
      </c>
      <c r="E1962" t="str">
        <f>_xlfn.XLOOKUP(F1962, Keys!B:B, Keys!A:A, "找不到")</f>
        <v>OUT</v>
      </c>
      <c r="F1962" t="s">
        <v>403</v>
      </c>
      <c r="G1962">
        <v>21.162527107424189</v>
      </c>
      <c r="H1962">
        <v>0</v>
      </c>
      <c r="I1962" t="s">
        <v>38</v>
      </c>
      <c r="J1962" t="s">
        <v>1484</v>
      </c>
      <c r="K1962">
        <v>1669.3325418443781</v>
      </c>
      <c r="L1962">
        <v>85642.051306756344</v>
      </c>
    </row>
    <row r="1963" spans="1:12" hidden="1" x14ac:dyDescent="0.25">
      <c r="A1963">
        <v>54</v>
      </c>
      <c r="B1963" t="s">
        <v>1482</v>
      </c>
      <c r="C1963" t="s">
        <v>1483</v>
      </c>
      <c r="D1963">
        <v>0</v>
      </c>
      <c r="E1963" t="str">
        <f>_xlfn.XLOOKUP(F1963, Keys!B:B, Keys!A:A, "找不到")</f>
        <v>OUT</v>
      </c>
      <c r="F1963" t="s">
        <v>403</v>
      </c>
      <c r="G1963">
        <v>0.5116009016448797</v>
      </c>
      <c r="H1963">
        <v>0</v>
      </c>
      <c r="I1963">
        <v>0</v>
      </c>
      <c r="J1963" t="s">
        <v>1606</v>
      </c>
      <c r="K1963">
        <v>189.9938877891706</v>
      </c>
      <c r="L1963">
        <v>2070.3836760536351</v>
      </c>
    </row>
    <row r="1964" spans="1:12" hidden="1" x14ac:dyDescent="0.25">
      <c r="A1964">
        <v>56</v>
      </c>
      <c r="B1964" t="s">
        <v>1482</v>
      </c>
      <c r="C1964" t="s">
        <v>1483</v>
      </c>
      <c r="D1964">
        <v>0</v>
      </c>
      <c r="E1964" t="str">
        <f>_xlfn.XLOOKUP(F1964, Keys!B:B, Keys!A:A, "找不到")</f>
        <v>OUT</v>
      </c>
      <c r="F1964" t="s">
        <v>403</v>
      </c>
      <c r="G1964">
        <v>4.2562127067892579</v>
      </c>
      <c r="H1964">
        <v>0</v>
      </c>
      <c r="I1964" t="s">
        <v>38</v>
      </c>
      <c r="J1964" t="s">
        <v>1610</v>
      </c>
      <c r="K1964">
        <v>734.79613351530497</v>
      </c>
      <c r="L1964">
        <v>17224.3506249042</v>
      </c>
    </row>
    <row r="1965" spans="1:12" hidden="1" x14ac:dyDescent="0.25">
      <c r="A1965">
        <v>58</v>
      </c>
      <c r="B1965" t="s">
        <v>1482</v>
      </c>
      <c r="C1965" t="s">
        <v>1483</v>
      </c>
      <c r="D1965">
        <v>0</v>
      </c>
      <c r="E1965" t="str">
        <f>_xlfn.XLOOKUP(F1965, Keys!B:B, Keys!A:A, "找不到")</f>
        <v>OUT</v>
      </c>
      <c r="F1965" t="s">
        <v>403</v>
      </c>
      <c r="G1965">
        <v>15.63110665783233</v>
      </c>
      <c r="H1965">
        <v>0</v>
      </c>
      <c r="I1965" t="s">
        <v>38</v>
      </c>
      <c r="J1965" t="s">
        <v>1610</v>
      </c>
      <c r="K1965">
        <v>1122.504074444581</v>
      </c>
      <c r="L1965">
        <v>63257.097395604716</v>
      </c>
    </row>
    <row r="1966" spans="1:12" hidden="1" x14ac:dyDescent="0.25">
      <c r="A1966">
        <v>60</v>
      </c>
      <c r="B1966" t="s">
        <v>1482</v>
      </c>
      <c r="C1966" t="s">
        <v>1483</v>
      </c>
      <c r="D1966">
        <v>0</v>
      </c>
      <c r="E1966" t="str">
        <f>_xlfn.XLOOKUP(F1966, Keys!B:B, Keys!A:A, "找不到")</f>
        <v>OUT</v>
      </c>
      <c r="F1966" t="s">
        <v>403</v>
      </c>
      <c r="G1966">
        <v>13.859564264401881</v>
      </c>
      <c r="H1966">
        <v>0</v>
      </c>
      <c r="I1966" t="s">
        <v>38</v>
      </c>
      <c r="J1966" t="s">
        <v>673</v>
      </c>
      <c r="K1966">
        <v>1098.640664780605</v>
      </c>
      <c r="L1966">
        <v>56087.89100639995</v>
      </c>
    </row>
    <row r="1967" spans="1:12" hidden="1" x14ac:dyDescent="0.25">
      <c r="A1967">
        <v>61</v>
      </c>
      <c r="B1967" t="s">
        <v>1482</v>
      </c>
      <c r="C1967" t="s">
        <v>1483</v>
      </c>
      <c r="D1967">
        <v>0</v>
      </c>
      <c r="E1967" t="str">
        <f>_xlfn.XLOOKUP(F1967, Keys!B:B, Keys!A:A, "找不到")</f>
        <v>OUT</v>
      </c>
      <c r="F1967" t="s">
        <v>403</v>
      </c>
      <c r="G1967">
        <v>0.57618212529880808</v>
      </c>
      <c r="H1967">
        <v>0</v>
      </c>
      <c r="I1967" t="s">
        <v>38</v>
      </c>
      <c r="J1967" t="s">
        <v>673</v>
      </c>
      <c r="K1967">
        <v>227.6006711385364</v>
      </c>
      <c r="L1967">
        <v>2331.735661170881</v>
      </c>
    </row>
    <row r="1968" spans="1:12" hidden="1" x14ac:dyDescent="0.25">
      <c r="A1968">
        <v>72</v>
      </c>
      <c r="B1968" t="s">
        <v>1482</v>
      </c>
      <c r="C1968" t="s">
        <v>1483</v>
      </c>
      <c r="D1968">
        <v>0</v>
      </c>
      <c r="E1968" t="str">
        <f>_xlfn.XLOOKUP(F1968, Keys!B:B, Keys!A:A, "找不到")</f>
        <v>OUT</v>
      </c>
      <c r="F1968" t="s">
        <v>403</v>
      </c>
      <c r="G1968">
        <v>15.219980559849891</v>
      </c>
      <c r="H1968">
        <v>0</v>
      </c>
      <c r="I1968" t="s">
        <v>38</v>
      </c>
      <c r="J1968" t="s">
        <v>673</v>
      </c>
      <c r="K1968">
        <v>1185.736605089699</v>
      </c>
      <c r="L1968">
        <v>61593.322450475091</v>
      </c>
    </row>
    <row r="1969" spans="1:12" hidden="1" x14ac:dyDescent="0.25">
      <c r="A1969">
        <v>74</v>
      </c>
      <c r="B1969" t="s">
        <v>1482</v>
      </c>
      <c r="C1969" t="s">
        <v>1483</v>
      </c>
      <c r="D1969" t="s">
        <v>1612</v>
      </c>
      <c r="E1969" t="str">
        <f>_xlfn.XLOOKUP(F1969, Keys!B:B, Keys!A:A, "找不到")</f>
        <v>OUT</v>
      </c>
      <c r="F1969" t="s">
        <v>403</v>
      </c>
      <c r="G1969">
        <v>1.0209556155836079</v>
      </c>
      <c r="H1969">
        <v>0</v>
      </c>
      <c r="I1969" t="s">
        <v>38</v>
      </c>
      <c r="J1969" t="s">
        <v>673</v>
      </c>
      <c r="K1969">
        <v>271.87882482178281</v>
      </c>
      <c r="L1969">
        <v>4131.6773166026096</v>
      </c>
    </row>
    <row r="1970" spans="1:12" hidden="1" x14ac:dyDescent="0.25">
      <c r="A1970">
        <v>75</v>
      </c>
      <c r="B1970" t="s">
        <v>1482</v>
      </c>
      <c r="C1970" t="s">
        <v>1483</v>
      </c>
      <c r="D1970" t="s">
        <v>1612</v>
      </c>
      <c r="E1970" t="str">
        <f>_xlfn.XLOOKUP(F1970, Keys!B:B, Keys!A:A, "找不到")</f>
        <v>OUT</v>
      </c>
      <c r="F1970" t="s">
        <v>403</v>
      </c>
      <c r="G1970">
        <v>0.323504196577176</v>
      </c>
      <c r="H1970">
        <v>0</v>
      </c>
      <c r="I1970" t="s">
        <v>38</v>
      </c>
      <c r="J1970" t="s">
        <v>673</v>
      </c>
      <c r="K1970">
        <v>199.52568038968269</v>
      </c>
      <c r="L1970">
        <v>1309.1802723075491</v>
      </c>
    </row>
    <row r="1971" spans="1:12" hidden="1" x14ac:dyDescent="0.25">
      <c r="A1971">
        <v>78</v>
      </c>
      <c r="B1971" t="s">
        <v>1482</v>
      </c>
      <c r="C1971" t="s">
        <v>1483</v>
      </c>
      <c r="D1971">
        <v>0</v>
      </c>
      <c r="E1971" t="str">
        <f>_xlfn.XLOOKUP(F1971, Keys!B:B, Keys!A:A, "找不到")</f>
        <v>OUT</v>
      </c>
      <c r="F1971" t="s">
        <v>403</v>
      </c>
      <c r="G1971">
        <v>7.226741436772099</v>
      </c>
      <c r="H1971">
        <v>0</v>
      </c>
      <c r="I1971" t="s">
        <v>38</v>
      </c>
      <c r="J1971" t="s">
        <v>1484</v>
      </c>
      <c r="K1971">
        <v>730.42269469424468</v>
      </c>
      <c r="L1971">
        <v>29245.7019791163</v>
      </c>
    </row>
    <row r="1972" spans="1:12" hidden="1" x14ac:dyDescent="0.25">
      <c r="A1972">
        <v>80</v>
      </c>
      <c r="B1972" t="s">
        <v>1482</v>
      </c>
      <c r="C1972" t="s">
        <v>1483</v>
      </c>
      <c r="D1972">
        <v>0</v>
      </c>
      <c r="E1972" t="str">
        <f>_xlfn.XLOOKUP(F1972, Keys!B:B, Keys!A:A, "找不到")</f>
        <v>OUT</v>
      </c>
      <c r="F1972" t="s">
        <v>403</v>
      </c>
      <c r="G1972">
        <v>4.5766629146958246</v>
      </c>
      <c r="H1972">
        <v>0</v>
      </c>
      <c r="I1972" t="s">
        <v>38</v>
      </c>
      <c r="J1972" t="s">
        <v>673</v>
      </c>
      <c r="K1972">
        <v>685.24962545862763</v>
      </c>
      <c r="L1972">
        <v>18521.171794109789</v>
      </c>
    </row>
    <row r="1973" spans="1:12" hidden="1" x14ac:dyDescent="0.25">
      <c r="A1973">
        <v>81</v>
      </c>
      <c r="B1973" t="s">
        <v>1482</v>
      </c>
      <c r="C1973" t="s">
        <v>1483</v>
      </c>
      <c r="D1973">
        <v>0</v>
      </c>
      <c r="E1973" t="str">
        <f>_xlfn.XLOOKUP(F1973, Keys!B:B, Keys!A:A, "找不到")</f>
        <v>OUT</v>
      </c>
      <c r="F1973" t="s">
        <v>403</v>
      </c>
      <c r="G1973">
        <v>6.1121023874034863</v>
      </c>
      <c r="H1973">
        <v>0</v>
      </c>
      <c r="I1973" t="s">
        <v>38</v>
      </c>
      <c r="J1973" t="s">
        <v>673</v>
      </c>
      <c r="K1973">
        <v>738.09615064677541</v>
      </c>
      <c r="L1973">
        <v>24734.899740330191</v>
      </c>
    </row>
    <row r="1974" spans="1:12" hidden="1" x14ac:dyDescent="0.25">
      <c r="A1974">
        <v>86</v>
      </c>
      <c r="B1974" t="s">
        <v>1482</v>
      </c>
      <c r="C1974" t="s">
        <v>1483</v>
      </c>
      <c r="D1974">
        <v>0</v>
      </c>
      <c r="E1974" t="str">
        <f>_xlfn.XLOOKUP(F1974, Keys!B:B, Keys!A:A, "找不到")</f>
        <v>OUT</v>
      </c>
      <c r="F1974" t="s">
        <v>403</v>
      </c>
      <c r="G1974">
        <v>1.2977635113177159</v>
      </c>
      <c r="H1974">
        <v>0</v>
      </c>
      <c r="I1974">
        <v>0</v>
      </c>
      <c r="J1974" t="s">
        <v>1120</v>
      </c>
      <c r="K1974">
        <v>396.93799363500892</v>
      </c>
      <c r="L1974">
        <v>5251.8836080458968</v>
      </c>
    </row>
    <row r="1975" spans="1:12" hidden="1" x14ac:dyDescent="0.25">
      <c r="A1975">
        <v>89</v>
      </c>
      <c r="B1975" t="s">
        <v>1482</v>
      </c>
      <c r="C1975" t="s">
        <v>1483</v>
      </c>
      <c r="D1975">
        <v>0</v>
      </c>
      <c r="E1975" t="str">
        <f>_xlfn.XLOOKUP(F1975, Keys!B:B, Keys!A:A, "找不到")</f>
        <v>OUT</v>
      </c>
      <c r="F1975" t="s">
        <v>403</v>
      </c>
      <c r="G1975">
        <v>9.8479510576411045</v>
      </c>
      <c r="H1975">
        <v>0</v>
      </c>
      <c r="I1975" t="s">
        <v>38</v>
      </c>
      <c r="J1975" t="s">
        <v>673</v>
      </c>
      <c r="K1975">
        <v>789.9760580737335</v>
      </c>
      <c r="L1975">
        <v>39853.403398549963</v>
      </c>
    </row>
    <row r="1976" spans="1:12" hidden="1" x14ac:dyDescent="0.25">
      <c r="A1976">
        <v>90</v>
      </c>
      <c r="B1976" t="s">
        <v>1482</v>
      </c>
      <c r="C1976" t="s">
        <v>1483</v>
      </c>
      <c r="D1976">
        <v>0</v>
      </c>
      <c r="E1976" t="str">
        <f>_xlfn.XLOOKUP(F1976, Keys!B:B, Keys!A:A, "找不到")</f>
        <v>OUT</v>
      </c>
      <c r="F1976" t="s">
        <v>403</v>
      </c>
      <c r="G1976">
        <v>2.2443214895382582</v>
      </c>
      <c r="H1976">
        <v>0</v>
      </c>
      <c r="I1976" t="s">
        <v>38</v>
      </c>
      <c r="J1976" t="s">
        <v>673</v>
      </c>
      <c r="K1976">
        <v>505.29063523433621</v>
      </c>
      <c r="L1976">
        <v>9082.4831637645584</v>
      </c>
    </row>
    <row r="1977" spans="1:12" hidden="1" x14ac:dyDescent="0.25">
      <c r="A1977">
        <v>93</v>
      </c>
      <c r="B1977" t="s">
        <v>1482</v>
      </c>
      <c r="C1977" t="s">
        <v>1483</v>
      </c>
      <c r="D1977">
        <v>0</v>
      </c>
      <c r="E1977" t="str">
        <f>_xlfn.XLOOKUP(F1977, Keys!B:B, Keys!A:A, "找不到")</f>
        <v>OUT</v>
      </c>
      <c r="F1977" t="s">
        <v>403</v>
      </c>
      <c r="G1977">
        <v>0.31381347792929398</v>
      </c>
      <c r="H1977">
        <v>0</v>
      </c>
      <c r="I1977" t="s">
        <v>38</v>
      </c>
      <c r="J1977" t="s">
        <v>495</v>
      </c>
      <c r="K1977">
        <v>195.7515718752561</v>
      </c>
      <c r="L1977">
        <v>1269.963168441438</v>
      </c>
    </row>
    <row r="1978" spans="1:12" hidden="1" x14ac:dyDescent="0.25">
      <c r="A1978">
        <v>96</v>
      </c>
      <c r="B1978" t="s">
        <v>1482</v>
      </c>
      <c r="C1978" t="s">
        <v>1483</v>
      </c>
      <c r="D1978" t="s">
        <v>1612</v>
      </c>
      <c r="E1978" t="str">
        <f>_xlfn.XLOOKUP(F1978, Keys!B:B, Keys!A:A, "找不到")</f>
        <v>OUT</v>
      </c>
      <c r="F1978" t="s">
        <v>403</v>
      </c>
      <c r="G1978">
        <v>4.0645971670176699</v>
      </c>
      <c r="H1978">
        <v>0</v>
      </c>
      <c r="I1978" t="s">
        <v>38</v>
      </c>
      <c r="J1978" t="s">
        <v>673</v>
      </c>
      <c r="K1978">
        <v>564.65066274167282</v>
      </c>
      <c r="L1978">
        <v>16448.90694537629</v>
      </c>
    </row>
    <row r="1979" spans="1:12" hidden="1" x14ac:dyDescent="0.25">
      <c r="A1979">
        <v>100</v>
      </c>
      <c r="B1979" t="s">
        <v>1482</v>
      </c>
      <c r="C1979" t="s">
        <v>1483</v>
      </c>
      <c r="D1979">
        <v>0</v>
      </c>
      <c r="E1979" t="str">
        <f>_xlfn.XLOOKUP(F1979, Keys!B:B, Keys!A:A, "找不到")</f>
        <v>OUT</v>
      </c>
      <c r="F1979" t="s">
        <v>403</v>
      </c>
      <c r="G1979">
        <v>0.16184019117444101</v>
      </c>
      <c r="H1979">
        <v>0</v>
      </c>
      <c r="I1979" t="s">
        <v>38</v>
      </c>
      <c r="J1979" t="s">
        <v>1700</v>
      </c>
      <c r="K1979">
        <v>97.886246262034263</v>
      </c>
      <c r="L1979">
        <v>654.94663684065779</v>
      </c>
    </row>
    <row r="1980" spans="1:12" hidden="1" x14ac:dyDescent="0.25">
      <c r="A1980">
        <v>101</v>
      </c>
      <c r="B1980" t="s">
        <v>1482</v>
      </c>
      <c r="C1980" t="s">
        <v>1483</v>
      </c>
      <c r="D1980">
        <v>0</v>
      </c>
      <c r="E1980" t="str">
        <f>_xlfn.XLOOKUP(F1980, Keys!B:B, Keys!A:A, "找不到")</f>
        <v>OUT</v>
      </c>
      <c r="F1980" t="s">
        <v>403</v>
      </c>
      <c r="G1980">
        <v>0.47241248561948268</v>
      </c>
      <c r="H1980">
        <v>0</v>
      </c>
      <c r="I1980" t="s">
        <v>38</v>
      </c>
      <c r="J1980" t="s">
        <v>673</v>
      </c>
      <c r="K1980">
        <v>177.22735980761351</v>
      </c>
      <c r="L1980">
        <v>1911.793148616099</v>
      </c>
    </row>
    <row r="1981" spans="1:12" hidden="1" x14ac:dyDescent="0.25">
      <c r="A1981">
        <v>106</v>
      </c>
      <c r="B1981" t="s">
        <v>1482</v>
      </c>
      <c r="C1981" t="s">
        <v>1483</v>
      </c>
      <c r="D1981">
        <v>0</v>
      </c>
      <c r="E1981" t="str">
        <f>_xlfn.XLOOKUP(F1981, Keys!B:B, Keys!A:A, "找不到")</f>
        <v>OUT</v>
      </c>
      <c r="F1981" t="s">
        <v>403</v>
      </c>
      <c r="G1981">
        <v>0.86185747806523794</v>
      </c>
      <c r="H1981">
        <v>0</v>
      </c>
      <c r="I1981" t="s">
        <v>38</v>
      </c>
      <c r="J1981" t="s">
        <v>673</v>
      </c>
      <c r="K1981">
        <v>248.7151080693007</v>
      </c>
      <c r="L1981">
        <v>3487.8274215975098</v>
      </c>
    </row>
    <row r="1982" spans="1:12" hidden="1" x14ac:dyDescent="0.25">
      <c r="A1982">
        <v>107</v>
      </c>
      <c r="B1982" t="s">
        <v>1482</v>
      </c>
      <c r="C1982" t="s">
        <v>1483</v>
      </c>
      <c r="D1982">
        <v>0</v>
      </c>
      <c r="E1982" t="str">
        <f>_xlfn.XLOOKUP(F1982, Keys!B:B, Keys!A:A, "找不到")</f>
        <v>OUT</v>
      </c>
      <c r="F1982" t="s">
        <v>403</v>
      </c>
      <c r="G1982">
        <v>7.4118342457941647E-2</v>
      </c>
      <c r="H1982">
        <v>0</v>
      </c>
      <c r="I1982" t="s">
        <v>38</v>
      </c>
      <c r="J1982" t="s">
        <v>673</v>
      </c>
      <c r="K1982">
        <v>70.480008775462196</v>
      </c>
      <c r="L1982">
        <v>299.94748998232387</v>
      </c>
    </row>
    <row r="1983" spans="1:12" hidden="1" x14ac:dyDescent="0.25">
      <c r="A1983">
        <v>114</v>
      </c>
      <c r="B1983" t="s">
        <v>1482</v>
      </c>
      <c r="C1983" t="s">
        <v>1483</v>
      </c>
      <c r="D1983">
        <v>0</v>
      </c>
      <c r="E1983" t="str">
        <f>_xlfn.XLOOKUP(F1983, Keys!B:B, Keys!A:A, "找不到")</f>
        <v>OUT</v>
      </c>
      <c r="F1983" t="s">
        <v>403</v>
      </c>
      <c r="G1983">
        <v>1.186256855291721</v>
      </c>
      <c r="H1983">
        <v>0</v>
      </c>
      <c r="I1983" t="s">
        <v>38</v>
      </c>
      <c r="J1983" t="s">
        <v>1484</v>
      </c>
      <c r="K1983">
        <v>508.58050636741609</v>
      </c>
      <c r="L1983">
        <v>4800.6303759556313</v>
      </c>
    </row>
    <row r="1984" spans="1:12" hidden="1" x14ac:dyDescent="0.25">
      <c r="A1984">
        <v>116</v>
      </c>
      <c r="B1984" t="s">
        <v>1482</v>
      </c>
      <c r="C1984" t="s">
        <v>1483</v>
      </c>
      <c r="D1984">
        <v>0</v>
      </c>
      <c r="E1984" t="str">
        <f>_xlfn.XLOOKUP(F1984, Keys!B:B, Keys!A:A, "找不到")</f>
        <v>OUT</v>
      </c>
      <c r="F1984" t="s">
        <v>403</v>
      </c>
      <c r="G1984">
        <v>12.2865627244518</v>
      </c>
      <c r="H1984">
        <v>0</v>
      </c>
      <c r="I1984" t="s">
        <v>38</v>
      </c>
      <c r="J1984" t="s">
        <v>1484</v>
      </c>
      <c r="K1984">
        <v>1170.921232274799</v>
      </c>
      <c r="L1984">
        <v>49722.154159085971</v>
      </c>
    </row>
    <row r="1985" spans="1:12" hidden="1" x14ac:dyDescent="0.25">
      <c r="A1985">
        <v>118</v>
      </c>
      <c r="B1985" t="s">
        <v>1482</v>
      </c>
      <c r="C1985" t="s">
        <v>1483</v>
      </c>
      <c r="D1985">
        <v>0</v>
      </c>
      <c r="E1985" t="str">
        <f>_xlfn.XLOOKUP(F1985, Keys!B:B, Keys!A:A, "找不到")</f>
        <v>OUT</v>
      </c>
      <c r="F1985" t="s">
        <v>403</v>
      </c>
      <c r="G1985">
        <v>12.568750259184659</v>
      </c>
      <c r="H1985">
        <v>0</v>
      </c>
      <c r="I1985" t="s">
        <v>38</v>
      </c>
      <c r="J1985" t="s">
        <v>1484</v>
      </c>
      <c r="K1985">
        <v>1193.4244003960589</v>
      </c>
      <c r="L1985">
        <v>50864.131164244332</v>
      </c>
    </row>
    <row r="1986" spans="1:12" hidden="1" x14ac:dyDescent="0.25">
      <c r="A1986">
        <v>119</v>
      </c>
      <c r="B1986" t="s">
        <v>1482</v>
      </c>
      <c r="C1986" t="s">
        <v>1483</v>
      </c>
      <c r="D1986">
        <v>0</v>
      </c>
      <c r="E1986" t="str">
        <f>_xlfn.XLOOKUP(F1986, Keys!B:B, Keys!A:A, "找不到")</f>
        <v>OUT</v>
      </c>
      <c r="F1986" t="s">
        <v>403</v>
      </c>
      <c r="G1986">
        <v>8.5266255563299538</v>
      </c>
      <c r="H1986">
        <v>0</v>
      </c>
      <c r="I1986" t="s">
        <v>38</v>
      </c>
      <c r="J1986" t="s">
        <v>1484</v>
      </c>
      <c r="K1986">
        <v>1135.762513144309</v>
      </c>
      <c r="L1986">
        <v>34506.167418565492</v>
      </c>
    </row>
    <row r="1987" spans="1:12" hidden="1" x14ac:dyDescent="0.25">
      <c r="A1987">
        <v>120</v>
      </c>
      <c r="B1987" t="s">
        <v>1482</v>
      </c>
      <c r="C1987" t="s">
        <v>1483</v>
      </c>
      <c r="D1987">
        <v>0</v>
      </c>
      <c r="E1987" t="str">
        <f>_xlfn.XLOOKUP(F1987, Keys!B:B, Keys!A:A, "找不到")</f>
        <v>OUT</v>
      </c>
      <c r="F1987" t="s">
        <v>403</v>
      </c>
      <c r="G1987">
        <v>12.245937074580061</v>
      </c>
      <c r="H1987">
        <v>0</v>
      </c>
      <c r="I1987" t="s">
        <v>38</v>
      </c>
      <c r="J1987" t="s">
        <v>1484</v>
      </c>
      <c r="K1987">
        <v>1178.251663517329</v>
      </c>
      <c r="L1987">
        <v>49557.747329361657</v>
      </c>
    </row>
    <row r="1988" spans="1:12" hidden="1" x14ac:dyDescent="0.25">
      <c r="A1988">
        <v>122</v>
      </c>
      <c r="B1988" t="s">
        <v>1482</v>
      </c>
      <c r="C1988" t="s">
        <v>1483</v>
      </c>
      <c r="D1988">
        <v>0</v>
      </c>
      <c r="E1988" t="str">
        <f>_xlfn.XLOOKUP(F1988, Keys!B:B, Keys!A:A, "找不到")</f>
        <v>OUT</v>
      </c>
      <c r="F1988" t="s">
        <v>403</v>
      </c>
      <c r="G1988">
        <v>0.1308301840048508</v>
      </c>
      <c r="H1988">
        <v>0</v>
      </c>
      <c r="I1988" t="s">
        <v>38</v>
      </c>
      <c r="J1988" t="s">
        <v>673</v>
      </c>
      <c r="K1988">
        <v>94.223110395107113</v>
      </c>
      <c r="L1988">
        <v>529.45308819403931</v>
      </c>
    </row>
    <row r="1989" spans="1:12" hidden="1" x14ac:dyDescent="0.25">
      <c r="A1989">
        <v>123</v>
      </c>
      <c r="B1989" t="s">
        <v>1482</v>
      </c>
      <c r="C1989" t="s">
        <v>1483</v>
      </c>
      <c r="D1989">
        <v>0</v>
      </c>
      <c r="E1989" t="str">
        <f>_xlfn.XLOOKUP(F1989, Keys!B:B, Keys!A:A, "找不到")</f>
        <v>OUT</v>
      </c>
      <c r="F1989" t="s">
        <v>403</v>
      </c>
      <c r="G1989">
        <v>0.31140318121607008</v>
      </c>
      <c r="H1989">
        <v>0</v>
      </c>
      <c r="I1989" t="s">
        <v>38</v>
      </c>
      <c r="J1989" t="s">
        <v>673</v>
      </c>
      <c r="K1989">
        <v>159.278112813327</v>
      </c>
      <c r="L1989">
        <v>1260.2090046910221</v>
      </c>
    </row>
    <row r="1990" spans="1:12" hidden="1" x14ac:dyDescent="0.25">
      <c r="A1990">
        <v>124</v>
      </c>
      <c r="B1990" t="s">
        <v>1482</v>
      </c>
      <c r="C1990" t="s">
        <v>1483</v>
      </c>
      <c r="D1990">
        <v>0</v>
      </c>
      <c r="E1990" t="str">
        <f>_xlfn.XLOOKUP(F1990, Keys!B:B, Keys!A:A, "找不到")</f>
        <v>OUT</v>
      </c>
      <c r="F1990" t="s">
        <v>403</v>
      </c>
      <c r="G1990">
        <v>30.573210723606259</v>
      </c>
      <c r="H1990">
        <v>0</v>
      </c>
      <c r="I1990" t="s">
        <v>38</v>
      </c>
      <c r="J1990" t="s">
        <v>1484</v>
      </c>
      <c r="K1990">
        <v>1746.5964729450441</v>
      </c>
      <c r="L1990">
        <v>123725.8890732759</v>
      </c>
    </row>
    <row r="1991" spans="1:12" hidden="1" x14ac:dyDescent="0.25">
      <c r="A1991">
        <v>129</v>
      </c>
      <c r="B1991" t="s">
        <v>1482</v>
      </c>
      <c r="C1991" t="s">
        <v>1483</v>
      </c>
      <c r="D1991">
        <v>0</v>
      </c>
      <c r="E1991" t="str">
        <f>_xlfn.XLOOKUP(F1991, Keys!B:B, Keys!A:A, "找不到")</f>
        <v>OUT</v>
      </c>
      <c r="F1991" t="s">
        <v>403</v>
      </c>
      <c r="G1991">
        <v>0.1023351455846333</v>
      </c>
      <c r="H1991">
        <v>0</v>
      </c>
      <c r="I1991" t="s">
        <v>38</v>
      </c>
      <c r="J1991" t="s">
        <v>673</v>
      </c>
      <c r="K1991">
        <v>92.321175524674317</v>
      </c>
      <c r="L1991">
        <v>414.13729769394638</v>
      </c>
    </row>
    <row r="1992" spans="1:12" hidden="1" x14ac:dyDescent="0.25">
      <c r="A1992">
        <v>133</v>
      </c>
      <c r="B1992" t="s">
        <v>1482</v>
      </c>
      <c r="C1992" t="s">
        <v>1483</v>
      </c>
      <c r="D1992">
        <v>0</v>
      </c>
      <c r="E1992" t="str">
        <f>_xlfn.XLOOKUP(F1992, Keys!B:B, Keys!A:A, "找不到")</f>
        <v>OUT</v>
      </c>
      <c r="F1992" t="s">
        <v>403</v>
      </c>
      <c r="G1992">
        <v>0.14747127367454321</v>
      </c>
      <c r="H1992">
        <v>0</v>
      </c>
      <c r="I1992">
        <v>0</v>
      </c>
      <c r="J1992" t="s">
        <v>673</v>
      </c>
      <c r="K1992">
        <v>98.310655529218309</v>
      </c>
      <c r="L1992">
        <v>596.7974581767786</v>
      </c>
    </row>
    <row r="1993" spans="1:12" hidden="1" x14ac:dyDescent="0.25">
      <c r="A1993">
        <v>136</v>
      </c>
      <c r="B1993" t="s">
        <v>1482</v>
      </c>
      <c r="C1993" t="s">
        <v>1483</v>
      </c>
      <c r="D1993">
        <v>0</v>
      </c>
      <c r="E1993" t="str">
        <f>_xlfn.XLOOKUP(F1993, Keys!B:B, Keys!A:A, "找不到")</f>
        <v>OUT</v>
      </c>
      <c r="F1993" t="s">
        <v>403</v>
      </c>
      <c r="G1993">
        <v>5.3894652866514493E-2</v>
      </c>
      <c r="H1993">
        <v>0</v>
      </c>
      <c r="I1993" t="s">
        <v>38</v>
      </c>
      <c r="J1993" t="s">
        <v>673</v>
      </c>
      <c r="K1993">
        <v>59.145864675948701</v>
      </c>
      <c r="L1993">
        <v>218.1047945041783</v>
      </c>
    </row>
    <row r="1994" spans="1:12" hidden="1" x14ac:dyDescent="0.25">
      <c r="A1994">
        <v>141</v>
      </c>
      <c r="B1994" t="s">
        <v>1482</v>
      </c>
      <c r="C1994" t="s">
        <v>1483</v>
      </c>
      <c r="D1994">
        <v>0</v>
      </c>
      <c r="E1994" t="str">
        <f>_xlfn.XLOOKUP(F1994, Keys!B:B, Keys!A:A, "找不到")</f>
        <v>OUT</v>
      </c>
      <c r="F1994" t="s">
        <v>403</v>
      </c>
      <c r="G1994">
        <v>9.761930654116604</v>
      </c>
      <c r="H1994">
        <v>0</v>
      </c>
      <c r="I1994">
        <v>0</v>
      </c>
      <c r="J1994" t="s">
        <v>673</v>
      </c>
      <c r="K1994">
        <v>806.76252842057988</v>
      </c>
      <c r="L1994">
        <v>39505.289783636334</v>
      </c>
    </row>
    <row r="1995" spans="1:12" hidden="1" x14ac:dyDescent="0.25">
      <c r="A1995">
        <v>150</v>
      </c>
      <c r="B1995" t="s">
        <v>1482</v>
      </c>
      <c r="C1995" t="s">
        <v>1483</v>
      </c>
      <c r="D1995">
        <v>0</v>
      </c>
      <c r="E1995" t="str">
        <f>_xlfn.XLOOKUP(F1995, Keys!B:B, Keys!A:A, "找不到")</f>
        <v>OUT</v>
      </c>
      <c r="F1995" t="s">
        <v>403</v>
      </c>
      <c r="G1995">
        <v>18.612695295675</v>
      </c>
      <c r="H1995">
        <v>0</v>
      </c>
      <c r="I1995" t="s">
        <v>38</v>
      </c>
      <c r="J1995" t="s">
        <v>673</v>
      </c>
      <c r="K1995">
        <v>1426.5229465178179</v>
      </c>
      <c r="L1995">
        <v>75323.206788002499</v>
      </c>
    </row>
    <row r="1996" spans="1:12" hidden="1" x14ac:dyDescent="0.25">
      <c r="A1996">
        <v>166</v>
      </c>
      <c r="B1996" t="s">
        <v>1482</v>
      </c>
      <c r="C1996" t="s">
        <v>1483</v>
      </c>
      <c r="D1996">
        <v>0</v>
      </c>
      <c r="E1996" t="str">
        <f>_xlfn.XLOOKUP(F1996, Keys!B:B, Keys!A:A, "找不到")</f>
        <v>OUT</v>
      </c>
      <c r="F1996" t="s">
        <v>403</v>
      </c>
      <c r="G1996">
        <v>2.9372962326846941</v>
      </c>
      <c r="H1996">
        <v>0</v>
      </c>
      <c r="I1996" t="s">
        <v>38</v>
      </c>
      <c r="J1996" t="s">
        <v>1484</v>
      </c>
      <c r="K1996">
        <v>540.13364608242819</v>
      </c>
      <c r="L1996">
        <v>11886.86367113851</v>
      </c>
    </row>
    <row r="1997" spans="1:12" hidden="1" x14ac:dyDescent="0.25">
      <c r="A1997">
        <v>168</v>
      </c>
      <c r="B1997" t="s">
        <v>1482</v>
      </c>
      <c r="C1997" t="s">
        <v>1483</v>
      </c>
      <c r="D1997">
        <v>0</v>
      </c>
      <c r="E1997" t="str">
        <f>_xlfn.XLOOKUP(F1997, Keys!B:B, Keys!A:A, "找不到")</f>
        <v>OUT</v>
      </c>
      <c r="F1997" t="s">
        <v>403</v>
      </c>
      <c r="G1997">
        <v>6.2801329918649698</v>
      </c>
      <c r="H1997" t="s">
        <v>159</v>
      </c>
      <c r="I1997" t="s">
        <v>38</v>
      </c>
      <c r="J1997" t="s">
        <v>673</v>
      </c>
      <c r="K1997">
        <v>965.25566562992026</v>
      </c>
      <c r="L1997">
        <v>25414.898191145989</v>
      </c>
    </row>
    <row r="1998" spans="1:12" hidden="1" x14ac:dyDescent="0.25">
      <c r="A1998">
        <v>171</v>
      </c>
      <c r="B1998" t="s">
        <v>1482</v>
      </c>
      <c r="C1998" t="s">
        <v>1483</v>
      </c>
      <c r="D1998">
        <v>0</v>
      </c>
      <c r="E1998" t="str">
        <f>_xlfn.XLOOKUP(F1998, Keys!B:B, Keys!A:A, "找不到")</f>
        <v>OUT</v>
      </c>
      <c r="F1998" t="s">
        <v>403</v>
      </c>
      <c r="G1998">
        <v>13.53234855763743</v>
      </c>
      <c r="H1998">
        <v>0</v>
      </c>
      <c r="I1998" t="s">
        <v>38</v>
      </c>
      <c r="J1998" t="s">
        <v>1484</v>
      </c>
      <c r="K1998">
        <v>999.70440961771635</v>
      </c>
      <c r="L1998">
        <v>54763.690725174267</v>
      </c>
    </row>
    <row r="1999" spans="1:12" hidden="1" x14ac:dyDescent="0.25">
      <c r="A1999">
        <v>174</v>
      </c>
      <c r="B1999" t="s">
        <v>1482</v>
      </c>
      <c r="C1999" t="s">
        <v>1483</v>
      </c>
      <c r="D1999">
        <v>0</v>
      </c>
      <c r="E1999" t="str">
        <f>_xlfn.XLOOKUP(F1999, Keys!B:B, Keys!A:A, "找不到")</f>
        <v>OUT</v>
      </c>
      <c r="F1999" t="s">
        <v>403</v>
      </c>
      <c r="G1999">
        <v>35.950931922955341</v>
      </c>
      <c r="H1999">
        <v>0</v>
      </c>
      <c r="I1999" t="s">
        <v>38</v>
      </c>
      <c r="J1999" t="s">
        <v>1484</v>
      </c>
      <c r="K1999">
        <v>1761.439413538445</v>
      </c>
      <c r="L1999">
        <v>145488.84169846179</v>
      </c>
    </row>
    <row r="2000" spans="1:12" hidden="1" x14ac:dyDescent="0.25">
      <c r="A2000">
        <v>176</v>
      </c>
      <c r="B2000" t="s">
        <v>1482</v>
      </c>
      <c r="C2000" t="s">
        <v>1483</v>
      </c>
      <c r="D2000">
        <v>0</v>
      </c>
      <c r="E2000" t="str">
        <f>_xlfn.XLOOKUP(F2000, Keys!B:B, Keys!A:A, "找不到")</f>
        <v>OUT</v>
      </c>
      <c r="F2000" t="s">
        <v>403</v>
      </c>
      <c r="G2000">
        <v>6.2830153029708633</v>
      </c>
      <c r="H2000">
        <v>0</v>
      </c>
      <c r="I2000">
        <v>0</v>
      </c>
      <c r="J2000" t="s">
        <v>673</v>
      </c>
      <c r="K2000">
        <v>886.3698254299627</v>
      </c>
      <c r="L2000">
        <v>25426.56253701356</v>
      </c>
    </row>
    <row r="2001" spans="1:12" hidden="1" x14ac:dyDescent="0.25">
      <c r="A2001">
        <v>177</v>
      </c>
      <c r="B2001" t="s">
        <v>1482</v>
      </c>
      <c r="C2001" t="s">
        <v>1483</v>
      </c>
      <c r="D2001">
        <v>0</v>
      </c>
      <c r="E2001" t="str">
        <f>_xlfn.XLOOKUP(F2001, Keys!B:B, Keys!A:A, "找不到")</f>
        <v>OUT</v>
      </c>
      <c r="F2001" t="s">
        <v>403</v>
      </c>
      <c r="G2001">
        <v>8.346073241144893</v>
      </c>
      <c r="H2001">
        <v>0</v>
      </c>
      <c r="I2001" t="s">
        <v>38</v>
      </c>
      <c r="J2001" t="s">
        <v>1484</v>
      </c>
      <c r="K2001">
        <v>1026.0949695416771</v>
      </c>
      <c r="L2001">
        <v>33775.495199593694</v>
      </c>
    </row>
    <row r="2002" spans="1:12" hidden="1" x14ac:dyDescent="0.25">
      <c r="A2002">
        <v>178</v>
      </c>
      <c r="B2002" t="s">
        <v>1482</v>
      </c>
      <c r="C2002" t="s">
        <v>1483</v>
      </c>
      <c r="D2002">
        <v>0</v>
      </c>
      <c r="E2002" t="str">
        <f>_xlfn.XLOOKUP(F2002, Keys!B:B, Keys!A:A, "找不到")</f>
        <v>OUT</v>
      </c>
      <c r="F2002" t="s">
        <v>403</v>
      </c>
      <c r="G2002">
        <v>13.14607992431413</v>
      </c>
      <c r="H2002">
        <v>0</v>
      </c>
      <c r="I2002" t="s">
        <v>38</v>
      </c>
      <c r="J2002" t="s">
        <v>673</v>
      </c>
      <c r="K2002">
        <v>971.64746292889629</v>
      </c>
      <c r="L2002">
        <v>53200.510772924652</v>
      </c>
    </row>
    <row r="2003" spans="1:12" hidden="1" x14ac:dyDescent="0.25">
      <c r="A2003">
        <v>179</v>
      </c>
      <c r="B2003" t="s">
        <v>1482</v>
      </c>
      <c r="C2003" t="s">
        <v>1483</v>
      </c>
      <c r="D2003">
        <v>0</v>
      </c>
      <c r="E2003" t="str">
        <f>_xlfn.XLOOKUP(F2003, Keys!B:B, Keys!A:A, "找不到")</f>
        <v>OUT</v>
      </c>
      <c r="F2003" t="s">
        <v>403</v>
      </c>
      <c r="G2003">
        <v>0.15018270140084919</v>
      </c>
      <c r="H2003">
        <v>0</v>
      </c>
      <c r="I2003" t="s">
        <v>38</v>
      </c>
      <c r="J2003" t="s">
        <v>673</v>
      </c>
      <c r="K2003">
        <v>94.920935750644759</v>
      </c>
      <c r="L2003">
        <v>607.77026077602022</v>
      </c>
    </row>
    <row r="2004" spans="1:12" hidden="1" x14ac:dyDescent="0.25">
      <c r="A2004">
        <v>180</v>
      </c>
      <c r="B2004" t="s">
        <v>1482</v>
      </c>
      <c r="C2004" t="s">
        <v>1483</v>
      </c>
      <c r="D2004">
        <v>0</v>
      </c>
      <c r="E2004" t="str">
        <f>_xlfn.XLOOKUP(F2004, Keys!B:B, Keys!A:A, "找不到")</f>
        <v>OUT</v>
      </c>
      <c r="F2004" t="s">
        <v>403</v>
      </c>
      <c r="G2004">
        <v>8.9171710164159279</v>
      </c>
      <c r="H2004">
        <v>0</v>
      </c>
      <c r="I2004" t="s">
        <v>38</v>
      </c>
      <c r="J2004" t="s">
        <v>673</v>
      </c>
      <c r="K2004">
        <v>1038.1368576434279</v>
      </c>
      <c r="L2004">
        <v>36086.655143898162</v>
      </c>
    </row>
    <row r="2005" spans="1:12" hidden="1" x14ac:dyDescent="0.25">
      <c r="A2005">
        <v>185</v>
      </c>
      <c r="B2005" t="s">
        <v>1482</v>
      </c>
      <c r="C2005" t="s">
        <v>1483</v>
      </c>
      <c r="D2005">
        <v>0</v>
      </c>
      <c r="E2005" t="str">
        <f>_xlfn.XLOOKUP(F2005, Keys!B:B, Keys!A:A, "找不到")</f>
        <v>OUT</v>
      </c>
      <c r="F2005" t="s">
        <v>403</v>
      </c>
      <c r="G2005">
        <v>29.434077933653452</v>
      </c>
      <c r="H2005">
        <v>0</v>
      </c>
      <c r="I2005" t="s">
        <v>38</v>
      </c>
      <c r="J2005" t="s">
        <v>1484</v>
      </c>
      <c r="K2005">
        <v>1506.601607681645</v>
      </c>
      <c r="L2005">
        <v>119115.9637866063</v>
      </c>
    </row>
    <row r="2006" spans="1:12" hidden="1" x14ac:dyDescent="0.25">
      <c r="A2006">
        <v>186</v>
      </c>
      <c r="B2006" t="s">
        <v>1482</v>
      </c>
      <c r="C2006" t="s">
        <v>1483</v>
      </c>
      <c r="D2006" t="s">
        <v>1612</v>
      </c>
      <c r="E2006" t="str">
        <f>_xlfn.XLOOKUP(F2006, Keys!B:B, Keys!A:A, "找不到")</f>
        <v>OUT</v>
      </c>
      <c r="F2006" t="s">
        <v>403</v>
      </c>
      <c r="G2006">
        <v>2.401851771307093</v>
      </c>
      <c r="H2006">
        <v>0</v>
      </c>
      <c r="I2006" t="s">
        <v>38</v>
      </c>
      <c r="J2006" t="s">
        <v>673</v>
      </c>
      <c r="K2006">
        <v>604.47180624257874</v>
      </c>
      <c r="L2006">
        <v>9719.9881462806297</v>
      </c>
    </row>
    <row r="2007" spans="1:12" hidden="1" x14ac:dyDescent="0.25">
      <c r="A2007">
        <v>188</v>
      </c>
      <c r="B2007" t="s">
        <v>1482</v>
      </c>
      <c r="C2007" t="s">
        <v>1483</v>
      </c>
      <c r="D2007">
        <v>0</v>
      </c>
      <c r="E2007" t="str">
        <f>_xlfn.XLOOKUP(F2007, Keys!B:B, Keys!A:A, "找不到")</f>
        <v>OUT</v>
      </c>
      <c r="F2007" t="s">
        <v>403</v>
      </c>
      <c r="G2007">
        <v>9.8300811956488356</v>
      </c>
      <c r="H2007">
        <v>0</v>
      </c>
      <c r="I2007" t="s">
        <v>38</v>
      </c>
      <c r="J2007" t="s">
        <v>673</v>
      </c>
      <c r="K2007">
        <v>1131.16718557743</v>
      </c>
      <c r="L2007">
        <v>39781.086343511211</v>
      </c>
    </row>
    <row r="2008" spans="1:12" hidden="1" x14ac:dyDescent="0.25">
      <c r="A2008">
        <v>189</v>
      </c>
      <c r="B2008" t="s">
        <v>1482</v>
      </c>
      <c r="C2008" t="s">
        <v>1483</v>
      </c>
      <c r="D2008">
        <v>0</v>
      </c>
      <c r="E2008" t="str">
        <f>_xlfn.XLOOKUP(F2008, Keys!B:B, Keys!A:A, "找不到")</f>
        <v>OUT</v>
      </c>
      <c r="F2008" t="s">
        <v>403</v>
      </c>
      <c r="G2008">
        <v>0.5901007862999964</v>
      </c>
      <c r="H2008">
        <v>0</v>
      </c>
      <c r="I2008" t="s">
        <v>38</v>
      </c>
      <c r="J2008" t="s">
        <v>1865</v>
      </c>
      <c r="K2008">
        <v>199.19455173834729</v>
      </c>
      <c r="L2008">
        <v>2388.062709142715</v>
      </c>
    </row>
    <row r="2009" spans="1:12" hidden="1" x14ac:dyDescent="0.25">
      <c r="A2009">
        <v>190</v>
      </c>
      <c r="B2009" t="s">
        <v>1482</v>
      </c>
      <c r="C2009" t="s">
        <v>1483</v>
      </c>
      <c r="D2009">
        <v>0</v>
      </c>
      <c r="E2009" t="str">
        <f>_xlfn.XLOOKUP(F2009, Keys!B:B, Keys!A:A, "找不到")</f>
        <v>OUT</v>
      </c>
      <c r="F2009" t="s">
        <v>403</v>
      </c>
      <c r="G2009">
        <v>42.143763094391488</v>
      </c>
      <c r="H2009">
        <v>0</v>
      </c>
      <c r="I2009" t="s">
        <v>38</v>
      </c>
      <c r="J2009" t="s">
        <v>673</v>
      </c>
      <c r="K2009">
        <v>2191.8167705124538</v>
      </c>
      <c r="L2009">
        <v>170550.44054372219</v>
      </c>
    </row>
    <row r="2010" spans="1:12" hidden="1" x14ac:dyDescent="0.25">
      <c r="A2010">
        <v>192</v>
      </c>
      <c r="B2010" t="s">
        <v>1482</v>
      </c>
      <c r="C2010" t="s">
        <v>1483</v>
      </c>
      <c r="D2010">
        <v>0</v>
      </c>
      <c r="E2010" t="str">
        <f>_xlfn.XLOOKUP(F2010, Keys!B:B, Keys!A:A, "找不到")</f>
        <v>OUT</v>
      </c>
      <c r="F2010" t="s">
        <v>403</v>
      </c>
      <c r="G2010">
        <v>5.7485272984377778</v>
      </c>
      <c r="H2010">
        <v>0</v>
      </c>
      <c r="I2010" t="s">
        <v>38</v>
      </c>
      <c r="J2010" t="s">
        <v>673</v>
      </c>
      <c r="K2010">
        <v>698.7396225946643</v>
      </c>
      <c r="L2010">
        <v>23263.557671162271</v>
      </c>
    </row>
    <row r="2011" spans="1:12" hidden="1" x14ac:dyDescent="0.25">
      <c r="A2011">
        <v>193</v>
      </c>
      <c r="B2011" t="s">
        <v>1482</v>
      </c>
      <c r="C2011" t="s">
        <v>1483</v>
      </c>
      <c r="D2011">
        <v>0</v>
      </c>
      <c r="E2011" t="str">
        <f>_xlfn.XLOOKUP(F2011, Keys!B:B, Keys!A:A, "找不到")</f>
        <v>OUT</v>
      </c>
      <c r="F2011" t="s">
        <v>403</v>
      </c>
      <c r="G2011">
        <v>8.4135300161596778</v>
      </c>
      <c r="H2011">
        <v>0</v>
      </c>
      <c r="I2011" t="s">
        <v>38</v>
      </c>
      <c r="J2011" t="s">
        <v>1484</v>
      </c>
      <c r="K2011">
        <v>1058.0909614590851</v>
      </c>
      <c r="L2011">
        <v>34048.484174751473</v>
      </c>
    </row>
    <row r="2012" spans="1:12" hidden="1" x14ac:dyDescent="0.25">
      <c r="A2012">
        <v>194</v>
      </c>
      <c r="B2012" t="s">
        <v>1482</v>
      </c>
      <c r="C2012" t="s">
        <v>1483</v>
      </c>
      <c r="D2012">
        <v>0</v>
      </c>
      <c r="E2012" t="str">
        <f>_xlfn.XLOOKUP(F2012, Keys!B:B, Keys!A:A, "找不到")</f>
        <v>OUT</v>
      </c>
      <c r="F2012" t="s">
        <v>403</v>
      </c>
      <c r="G2012">
        <v>11.839989817641021</v>
      </c>
      <c r="H2012">
        <v>0</v>
      </c>
      <c r="I2012" t="s">
        <v>38</v>
      </c>
      <c r="J2012" t="s">
        <v>1484</v>
      </c>
      <c r="K2012">
        <v>1102.112469037047</v>
      </c>
      <c r="L2012">
        <v>47914.930494201493</v>
      </c>
    </row>
    <row r="2013" spans="1:12" hidden="1" x14ac:dyDescent="0.25">
      <c r="A2013">
        <v>195</v>
      </c>
      <c r="B2013" t="s">
        <v>1482</v>
      </c>
      <c r="C2013" t="s">
        <v>1483</v>
      </c>
      <c r="D2013">
        <v>0</v>
      </c>
      <c r="E2013" t="str">
        <f>_xlfn.XLOOKUP(F2013, Keys!B:B, Keys!A:A, "找不到")</f>
        <v>OUT</v>
      </c>
      <c r="F2013" t="s">
        <v>403</v>
      </c>
      <c r="G2013">
        <v>78.573636124693564</v>
      </c>
      <c r="H2013">
        <v>0</v>
      </c>
      <c r="I2013" t="s">
        <v>38</v>
      </c>
      <c r="J2013" t="s">
        <v>1484</v>
      </c>
      <c r="K2013">
        <v>3937.986770449786</v>
      </c>
      <c r="L2013">
        <v>317977.49589124852</v>
      </c>
    </row>
    <row r="2014" spans="1:12" hidden="1" x14ac:dyDescent="0.25">
      <c r="A2014">
        <v>197</v>
      </c>
      <c r="B2014" t="s">
        <v>1482</v>
      </c>
      <c r="C2014" t="s">
        <v>1483</v>
      </c>
      <c r="D2014">
        <v>0</v>
      </c>
      <c r="E2014" t="str">
        <f>_xlfn.XLOOKUP(F2014, Keys!B:B, Keys!A:A, "找不到")</f>
        <v>OUT</v>
      </c>
      <c r="F2014" t="s">
        <v>403</v>
      </c>
      <c r="G2014">
        <v>2.082146555048717</v>
      </c>
      <c r="H2014">
        <v>0</v>
      </c>
      <c r="I2014" t="s">
        <v>38</v>
      </c>
      <c r="J2014" t="s">
        <v>673</v>
      </c>
      <c r="K2014">
        <v>971.94862508810161</v>
      </c>
      <c r="L2014">
        <v>8426.1818633706844</v>
      </c>
    </row>
    <row r="2015" spans="1:12" hidden="1" x14ac:dyDescent="0.25">
      <c r="A2015">
        <v>198</v>
      </c>
      <c r="B2015" t="s">
        <v>1482</v>
      </c>
      <c r="C2015" t="s">
        <v>1483</v>
      </c>
      <c r="D2015">
        <v>0</v>
      </c>
      <c r="E2015" t="str">
        <f>_xlfn.XLOOKUP(F2015, Keys!B:B, Keys!A:A, "找不到")</f>
        <v>OUT</v>
      </c>
      <c r="F2015" t="s">
        <v>403</v>
      </c>
      <c r="G2015">
        <v>1.3684850001841451</v>
      </c>
      <c r="H2015">
        <v>0</v>
      </c>
      <c r="I2015" t="s">
        <v>38</v>
      </c>
      <c r="J2015" t="s">
        <v>673</v>
      </c>
      <c r="K2015">
        <v>360.01827680514941</v>
      </c>
      <c r="L2015">
        <v>5538.0844642689763</v>
      </c>
    </row>
    <row r="2016" spans="1:12" hidden="1" x14ac:dyDescent="0.25">
      <c r="A2016">
        <v>200</v>
      </c>
      <c r="B2016" t="s">
        <v>1482</v>
      </c>
      <c r="C2016" t="s">
        <v>1483</v>
      </c>
      <c r="D2016">
        <v>0</v>
      </c>
      <c r="E2016" t="str">
        <f>_xlfn.XLOOKUP(F2016, Keys!B:B, Keys!A:A, "找不到")</f>
        <v>OUT</v>
      </c>
      <c r="F2016" t="s">
        <v>403</v>
      </c>
      <c r="G2016">
        <v>5.1339439970747076</v>
      </c>
      <c r="H2016">
        <v>0</v>
      </c>
      <c r="I2016" t="s">
        <v>38</v>
      </c>
      <c r="J2016" t="s">
        <v>1884</v>
      </c>
      <c r="K2016">
        <v>1115.8557337708919</v>
      </c>
      <c r="L2016">
        <v>20776.41734238997</v>
      </c>
    </row>
    <row r="2017" spans="1:12" hidden="1" x14ac:dyDescent="0.25">
      <c r="A2017">
        <v>201</v>
      </c>
      <c r="B2017" t="s">
        <v>1482</v>
      </c>
      <c r="C2017" t="s">
        <v>1483</v>
      </c>
      <c r="D2017">
        <v>0</v>
      </c>
      <c r="E2017" t="str">
        <f>_xlfn.XLOOKUP(F2017, Keys!B:B, Keys!A:A, "找不到")</f>
        <v>OUT</v>
      </c>
      <c r="F2017" t="s">
        <v>403</v>
      </c>
      <c r="G2017">
        <v>7.1610341649618041</v>
      </c>
      <c r="H2017">
        <v>0</v>
      </c>
      <c r="I2017" t="s">
        <v>38</v>
      </c>
      <c r="J2017" t="s">
        <v>1887</v>
      </c>
      <c r="K2017">
        <v>642.0292022013715</v>
      </c>
      <c r="L2017">
        <v>28979.793020557659</v>
      </c>
    </row>
    <row r="2018" spans="1:12" hidden="1" x14ac:dyDescent="0.25">
      <c r="A2018">
        <v>202</v>
      </c>
      <c r="B2018" t="s">
        <v>1482</v>
      </c>
      <c r="C2018" t="s">
        <v>1483</v>
      </c>
      <c r="D2018">
        <v>0</v>
      </c>
      <c r="E2018" t="str">
        <f>_xlfn.XLOOKUP(F2018, Keys!B:B, Keys!A:A, "找不到")</f>
        <v>OUT</v>
      </c>
      <c r="F2018" t="s">
        <v>403</v>
      </c>
      <c r="G2018">
        <v>16.322739857317831</v>
      </c>
      <c r="H2018">
        <v>0</v>
      </c>
      <c r="I2018" t="s">
        <v>38</v>
      </c>
      <c r="J2018" t="s">
        <v>1887</v>
      </c>
      <c r="K2018">
        <v>1659.58571855575</v>
      </c>
      <c r="L2018">
        <v>66056.048846682286</v>
      </c>
    </row>
    <row r="2019" spans="1:12" hidden="1" x14ac:dyDescent="0.25">
      <c r="A2019">
        <v>203</v>
      </c>
      <c r="B2019" t="s">
        <v>1482</v>
      </c>
      <c r="C2019" t="s">
        <v>1483</v>
      </c>
      <c r="D2019">
        <v>0</v>
      </c>
      <c r="E2019" t="str">
        <f>_xlfn.XLOOKUP(F2019, Keys!B:B, Keys!A:A, "找不到")</f>
        <v>OUT</v>
      </c>
      <c r="F2019" t="s">
        <v>403</v>
      </c>
      <c r="G2019">
        <v>83.271639223744558</v>
      </c>
      <c r="H2019">
        <v>0</v>
      </c>
      <c r="I2019" t="s">
        <v>38</v>
      </c>
      <c r="J2019" t="s">
        <v>1484</v>
      </c>
      <c r="K2019">
        <v>2400.1944641071082</v>
      </c>
      <c r="L2019">
        <v>336989.71595390223</v>
      </c>
    </row>
    <row r="2020" spans="1:12" hidden="1" x14ac:dyDescent="0.25">
      <c r="A2020">
        <v>204</v>
      </c>
      <c r="B2020" t="s">
        <v>1482</v>
      </c>
      <c r="C2020" t="s">
        <v>1483</v>
      </c>
      <c r="D2020">
        <v>0</v>
      </c>
      <c r="E2020" t="str">
        <f>_xlfn.XLOOKUP(F2020, Keys!B:B, Keys!A:A, "找不到")</f>
        <v>OUT</v>
      </c>
      <c r="F2020" t="s">
        <v>403</v>
      </c>
      <c r="G2020">
        <v>5.9621090960594927</v>
      </c>
      <c r="H2020">
        <v>0</v>
      </c>
      <c r="I2020" t="s">
        <v>38</v>
      </c>
      <c r="J2020" t="s">
        <v>1887</v>
      </c>
      <c r="K2020">
        <v>638.66420338430908</v>
      </c>
      <c r="L2020">
        <v>24127.89599792529</v>
      </c>
    </row>
    <row r="2021" spans="1:12" hidden="1" x14ac:dyDescent="0.25">
      <c r="A2021">
        <v>206</v>
      </c>
      <c r="B2021" t="s">
        <v>1482</v>
      </c>
      <c r="C2021" t="s">
        <v>1483</v>
      </c>
      <c r="D2021">
        <v>0</v>
      </c>
      <c r="E2021" t="str">
        <f>_xlfn.XLOOKUP(F2021, Keys!B:B, Keys!A:A, "找不到")</f>
        <v>OUT</v>
      </c>
      <c r="F2021" t="s">
        <v>403</v>
      </c>
      <c r="G2021">
        <v>3.5215415076561918</v>
      </c>
      <c r="H2021">
        <v>0</v>
      </c>
      <c r="I2021" t="s">
        <v>38</v>
      </c>
      <c r="J2021" t="s">
        <v>673</v>
      </c>
      <c r="K2021">
        <v>488.78747130169398</v>
      </c>
      <c r="L2021">
        <v>14251.22987186912</v>
      </c>
    </row>
    <row r="2022" spans="1:12" hidden="1" x14ac:dyDescent="0.25">
      <c r="A2022">
        <v>207</v>
      </c>
      <c r="B2022" t="s">
        <v>1482</v>
      </c>
      <c r="C2022" t="s">
        <v>1483</v>
      </c>
      <c r="D2022">
        <v>0</v>
      </c>
      <c r="E2022" t="str">
        <f>_xlfn.XLOOKUP(F2022, Keys!B:B, Keys!A:A, "找不到")</f>
        <v>OUT</v>
      </c>
      <c r="F2022" t="s">
        <v>403</v>
      </c>
      <c r="G2022">
        <v>5.8524937608473222E-2</v>
      </c>
      <c r="H2022">
        <v>0</v>
      </c>
      <c r="I2022" t="s">
        <v>38</v>
      </c>
      <c r="J2022" t="s">
        <v>1899</v>
      </c>
      <c r="K2022">
        <v>59.991351237118131</v>
      </c>
      <c r="L2022">
        <v>236.8429670023298</v>
      </c>
    </row>
    <row r="2023" spans="1:12" hidden="1" x14ac:dyDescent="0.25">
      <c r="A2023">
        <v>209</v>
      </c>
      <c r="B2023" t="s">
        <v>1482</v>
      </c>
      <c r="C2023" t="s">
        <v>1483</v>
      </c>
      <c r="D2023">
        <v>0</v>
      </c>
      <c r="E2023" t="str">
        <f>_xlfn.XLOOKUP(F2023, Keys!B:B, Keys!A:A, "找不到")</f>
        <v>OUT</v>
      </c>
      <c r="F2023" t="s">
        <v>403</v>
      </c>
      <c r="G2023">
        <v>7.4402164602732688</v>
      </c>
      <c r="H2023">
        <v>0</v>
      </c>
      <c r="I2023" t="s">
        <v>38</v>
      </c>
      <c r="J2023" t="s">
        <v>1902</v>
      </c>
      <c r="K2023">
        <v>1550.7361952565959</v>
      </c>
      <c r="L2023">
        <v>30109.608204615452</v>
      </c>
    </row>
    <row r="2024" spans="1:12" hidden="1" x14ac:dyDescent="0.25">
      <c r="A2024">
        <v>257</v>
      </c>
      <c r="B2024" t="s">
        <v>1482</v>
      </c>
      <c r="C2024" t="s">
        <v>1483</v>
      </c>
      <c r="D2024" t="s">
        <v>57</v>
      </c>
      <c r="E2024" t="str">
        <f>_xlfn.XLOOKUP(F2024, Keys!B:B, Keys!A:A, "找不到")</f>
        <v>OUT</v>
      </c>
      <c r="F2024" t="s">
        <v>403</v>
      </c>
      <c r="G2024">
        <v>0.19435377851826879</v>
      </c>
      <c r="H2024">
        <v>0</v>
      </c>
      <c r="I2024" t="s">
        <v>38</v>
      </c>
      <c r="J2024" t="s">
        <v>673</v>
      </c>
      <c r="K2024">
        <v>151.3666452584697</v>
      </c>
      <c r="L2024">
        <v>786.52498291114864</v>
      </c>
    </row>
    <row r="2025" spans="1:12" hidden="1" x14ac:dyDescent="0.25">
      <c r="A2025">
        <v>258</v>
      </c>
      <c r="B2025" t="s">
        <v>1482</v>
      </c>
      <c r="C2025" t="s">
        <v>1483</v>
      </c>
      <c r="D2025" t="s">
        <v>57</v>
      </c>
      <c r="E2025" t="str">
        <f>_xlfn.XLOOKUP(F2025, Keys!B:B, Keys!A:A, "找不到")</f>
        <v>OUT</v>
      </c>
      <c r="F2025" t="s">
        <v>403</v>
      </c>
      <c r="G2025">
        <v>0.2474680889137813</v>
      </c>
      <c r="H2025">
        <v>0</v>
      </c>
      <c r="I2025" t="s">
        <v>38</v>
      </c>
      <c r="J2025" t="s">
        <v>673</v>
      </c>
      <c r="K2025">
        <v>169.93396908600809</v>
      </c>
      <c r="L2025">
        <v>1001.471830843108</v>
      </c>
    </row>
    <row r="2026" spans="1:12" hidden="1" x14ac:dyDescent="0.25">
      <c r="A2026">
        <v>265</v>
      </c>
      <c r="B2026" t="s">
        <v>1482</v>
      </c>
      <c r="C2026" t="s">
        <v>1483</v>
      </c>
      <c r="D2026">
        <v>0</v>
      </c>
      <c r="E2026" t="str">
        <f>_xlfn.XLOOKUP(F2026, Keys!B:B, Keys!A:A, "找不到")</f>
        <v>OUT</v>
      </c>
      <c r="F2026" t="s">
        <v>403</v>
      </c>
      <c r="G2026">
        <v>0.2411503270127924</v>
      </c>
      <c r="H2026">
        <v>0</v>
      </c>
      <c r="I2026" t="s">
        <v>38</v>
      </c>
      <c r="J2026" t="s">
        <v>1484</v>
      </c>
      <c r="K2026">
        <v>192.35296719421871</v>
      </c>
      <c r="L2026">
        <v>975.90465325028833</v>
      </c>
    </row>
    <row r="2027" spans="1:12" hidden="1" x14ac:dyDescent="0.25">
      <c r="A2027">
        <v>266</v>
      </c>
      <c r="B2027" t="s">
        <v>1482</v>
      </c>
      <c r="C2027" t="s">
        <v>1483</v>
      </c>
      <c r="D2027">
        <v>0</v>
      </c>
      <c r="E2027" t="str">
        <f>_xlfn.XLOOKUP(F2027, Keys!B:B, Keys!A:A, "找不到")</f>
        <v>OUT</v>
      </c>
      <c r="F2027" t="s">
        <v>403</v>
      </c>
      <c r="G2027">
        <v>7.503824998599927E-2</v>
      </c>
      <c r="H2027">
        <v>0</v>
      </c>
      <c r="I2027" t="s">
        <v>38</v>
      </c>
      <c r="J2027" t="s">
        <v>1484</v>
      </c>
      <c r="K2027">
        <v>84.694775275010983</v>
      </c>
      <c r="L2027">
        <v>303.6702385612374</v>
      </c>
    </row>
    <row r="2028" spans="1:12" hidden="1" x14ac:dyDescent="0.25">
      <c r="A2028">
        <v>221</v>
      </c>
      <c r="B2028" t="s">
        <v>714</v>
      </c>
      <c r="C2028" t="s">
        <v>715</v>
      </c>
      <c r="D2028" t="s">
        <v>57</v>
      </c>
      <c r="E2028" t="str">
        <f>_xlfn.XLOOKUP(F2028, Keys!B:B, Keys!A:A, "找不到")</f>
        <v>OUT</v>
      </c>
      <c r="F2028" t="s">
        <v>403</v>
      </c>
      <c r="G2028">
        <v>41.371537331846127</v>
      </c>
      <c r="H2028">
        <v>0</v>
      </c>
      <c r="I2028" t="s">
        <v>38</v>
      </c>
      <c r="J2028" t="s">
        <v>1016</v>
      </c>
      <c r="K2028">
        <v>0</v>
      </c>
      <c r="L2028">
        <v>0</v>
      </c>
    </row>
    <row r="2029" spans="1:12" hidden="1" x14ac:dyDescent="0.25">
      <c r="A2029">
        <v>222</v>
      </c>
      <c r="B2029" t="s">
        <v>714</v>
      </c>
      <c r="C2029" t="s">
        <v>715</v>
      </c>
      <c r="D2029" t="s">
        <v>57</v>
      </c>
      <c r="E2029" t="str">
        <f>_xlfn.XLOOKUP(F2029, Keys!B:B, Keys!A:A, "找不到")</f>
        <v>OUT</v>
      </c>
      <c r="F2029" t="s">
        <v>403</v>
      </c>
      <c r="G2029">
        <v>17.31234390976514</v>
      </c>
      <c r="H2029">
        <v>0</v>
      </c>
      <c r="I2029" t="s">
        <v>38</v>
      </c>
      <c r="J2029" t="s">
        <v>1016</v>
      </c>
      <c r="K2029">
        <v>0</v>
      </c>
      <c r="L2029">
        <v>0</v>
      </c>
    </row>
    <row r="2030" spans="1:12" hidden="1" x14ac:dyDescent="0.25">
      <c r="A2030">
        <v>223</v>
      </c>
      <c r="B2030" t="s">
        <v>714</v>
      </c>
      <c r="C2030" t="s">
        <v>715</v>
      </c>
      <c r="D2030" t="s">
        <v>57</v>
      </c>
      <c r="E2030" t="str">
        <f>_xlfn.XLOOKUP(F2030, Keys!B:B, Keys!A:A, "找不到")</f>
        <v>OUT</v>
      </c>
      <c r="F2030" t="s">
        <v>403</v>
      </c>
      <c r="G2030">
        <v>18.755219691862049</v>
      </c>
      <c r="H2030">
        <v>0</v>
      </c>
      <c r="I2030" t="s">
        <v>38</v>
      </c>
      <c r="J2030" t="s">
        <v>673</v>
      </c>
      <c r="K2030">
        <v>0</v>
      </c>
      <c r="L2030">
        <v>0</v>
      </c>
    </row>
    <row r="2031" spans="1:12" hidden="1" x14ac:dyDescent="0.25">
      <c r="A2031">
        <v>109</v>
      </c>
      <c r="B2031" t="s">
        <v>714</v>
      </c>
      <c r="C2031" t="s">
        <v>715</v>
      </c>
      <c r="D2031" t="s">
        <v>863</v>
      </c>
      <c r="E2031" t="str">
        <f>_xlfn.XLOOKUP(F2031, Keys!B:B, Keys!A:A, "找不到")</f>
        <v>PLG</v>
      </c>
      <c r="F2031" t="s">
        <v>881</v>
      </c>
      <c r="G2031">
        <v>18.08307157559241</v>
      </c>
      <c r="H2031">
        <v>0</v>
      </c>
      <c r="I2031" t="s">
        <v>38</v>
      </c>
      <c r="J2031" t="s">
        <v>57</v>
      </c>
      <c r="K2031">
        <v>0</v>
      </c>
      <c r="L2031">
        <v>0</v>
      </c>
    </row>
    <row r="2032" spans="1:12" hidden="1" x14ac:dyDescent="0.25">
      <c r="A2032">
        <v>46</v>
      </c>
      <c r="B2032" t="s">
        <v>714</v>
      </c>
      <c r="C2032" t="s">
        <v>715</v>
      </c>
      <c r="D2032" t="s">
        <v>791</v>
      </c>
      <c r="E2032" t="str">
        <f>_xlfn.XLOOKUP(F2032, Keys!B:B, Keys!A:A, "找不到")</f>
        <v>RD</v>
      </c>
      <c r="F2032" t="s">
        <v>142</v>
      </c>
      <c r="G2032">
        <v>8.1812152184914083E-2</v>
      </c>
      <c r="H2032">
        <v>0</v>
      </c>
      <c r="I2032" t="s">
        <v>38</v>
      </c>
      <c r="J2032" t="s">
        <v>772</v>
      </c>
      <c r="K2032">
        <v>0</v>
      </c>
      <c r="L2032">
        <v>0</v>
      </c>
    </row>
    <row r="2033" spans="1:12" hidden="1" x14ac:dyDescent="0.25">
      <c r="A2033">
        <v>69</v>
      </c>
      <c r="B2033" t="s">
        <v>714</v>
      </c>
      <c r="C2033" t="s">
        <v>715</v>
      </c>
      <c r="D2033" t="s">
        <v>57</v>
      </c>
      <c r="E2033" t="str">
        <f>_xlfn.XLOOKUP(F2033, Keys!B:B, Keys!A:A, "找不到")</f>
        <v>RD</v>
      </c>
      <c r="F2033" t="s">
        <v>142</v>
      </c>
      <c r="G2033">
        <v>0.47250928913161838</v>
      </c>
      <c r="H2033">
        <v>0</v>
      </c>
      <c r="I2033" t="s">
        <v>38</v>
      </c>
      <c r="J2033" t="s">
        <v>825</v>
      </c>
      <c r="K2033">
        <v>0</v>
      </c>
      <c r="L2033">
        <v>0</v>
      </c>
    </row>
    <row r="2034" spans="1:12" hidden="1" x14ac:dyDescent="0.25">
      <c r="A2034">
        <v>98</v>
      </c>
      <c r="B2034" t="s">
        <v>714</v>
      </c>
      <c r="C2034" t="s">
        <v>715</v>
      </c>
      <c r="D2034" t="s">
        <v>57</v>
      </c>
      <c r="E2034" t="str">
        <f>_xlfn.XLOOKUP(F2034, Keys!B:B, Keys!A:A, "找不到")</f>
        <v>RD</v>
      </c>
      <c r="F2034" t="s">
        <v>142</v>
      </c>
      <c r="G2034">
        <v>0.53217371201925401</v>
      </c>
      <c r="H2034">
        <v>0</v>
      </c>
      <c r="I2034" t="s">
        <v>38</v>
      </c>
      <c r="J2034" t="s">
        <v>772</v>
      </c>
      <c r="K2034">
        <v>0</v>
      </c>
      <c r="L2034">
        <v>0</v>
      </c>
    </row>
    <row r="2035" spans="1:12" hidden="1" x14ac:dyDescent="0.25">
      <c r="A2035">
        <v>100</v>
      </c>
      <c r="B2035" t="s">
        <v>714</v>
      </c>
      <c r="C2035" t="s">
        <v>715</v>
      </c>
      <c r="D2035" t="s">
        <v>57</v>
      </c>
      <c r="E2035" t="str">
        <f>_xlfn.XLOOKUP(F2035, Keys!B:B, Keys!A:A, "找不到")</f>
        <v>RD</v>
      </c>
      <c r="F2035" t="s">
        <v>142</v>
      </c>
      <c r="G2035">
        <v>0.63155501923367008</v>
      </c>
      <c r="H2035">
        <v>0</v>
      </c>
      <c r="I2035" t="s">
        <v>38</v>
      </c>
      <c r="J2035" t="s">
        <v>867</v>
      </c>
      <c r="K2035">
        <v>0</v>
      </c>
      <c r="L2035">
        <v>0</v>
      </c>
    </row>
    <row r="2036" spans="1:12" hidden="1" x14ac:dyDescent="0.25">
      <c r="A2036">
        <v>119</v>
      </c>
      <c r="B2036" t="s">
        <v>714</v>
      </c>
      <c r="C2036" t="s">
        <v>715</v>
      </c>
      <c r="D2036">
        <v>0</v>
      </c>
      <c r="E2036" t="str">
        <f>_xlfn.XLOOKUP(F2036, Keys!B:B, Keys!A:A, "找不到")</f>
        <v>RD</v>
      </c>
      <c r="F2036" t="s">
        <v>142</v>
      </c>
      <c r="G2036">
        <v>8.3273856663540521E-2</v>
      </c>
      <c r="H2036">
        <v>0</v>
      </c>
      <c r="I2036" t="s">
        <v>38</v>
      </c>
      <c r="J2036" t="s">
        <v>772</v>
      </c>
      <c r="K2036">
        <v>0</v>
      </c>
      <c r="L2036">
        <v>0</v>
      </c>
    </row>
    <row r="2037" spans="1:12" hidden="1" x14ac:dyDescent="0.25">
      <c r="A2037">
        <v>139</v>
      </c>
      <c r="B2037" t="s">
        <v>714</v>
      </c>
      <c r="C2037" t="s">
        <v>715</v>
      </c>
      <c r="D2037" t="s">
        <v>57</v>
      </c>
      <c r="E2037" t="str">
        <f>_xlfn.XLOOKUP(F2037, Keys!B:B, Keys!A:A, "找不到")</f>
        <v>RD</v>
      </c>
      <c r="F2037" t="s">
        <v>142</v>
      </c>
      <c r="G2037">
        <v>6.5855051709082485E-2</v>
      </c>
      <c r="H2037">
        <v>0</v>
      </c>
      <c r="I2037" t="s">
        <v>38</v>
      </c>
      <c r="J2037" t="s">
        <v>930</v>
      </c>
      <c r="K2037">
        <v>0</v>
      </c>
      <c r="L2037">
        <v>0</v>
      </c>
    </row>
    <row r="2038" spans="1:12" hidden="1" x14ac:dyDescent="0.25">
      <c r="A2038">
        <v>230</v>
      </c>
      <c r="B2038" t="s">
        <v>714</v>
      </c>
      <c r="C2038" t="s">
        <v>715</v>
      </c>
      <c r="D2038">
        <v>0</v>
      </c>
      <c r="E2038" t="str">
        <f>_xlfn.XLOOKUP(F2038, Keys!B:B, Keys!A:A, "找不到")</f>
        <v>RW</v>
      </c>
      <c r="F2038" t="s">
        <v>137</v>
      </c>
      <c r="G2038">
        <v>0.23654994809298319</v>
      </c>
      <c r="H2038">
        <v>0</v>
      </c>
      <c r="I2038" t="s">
        <v>38</v>
      </c>
      <c r="J2038" t="s">
        <v>1021</v>
      </c>
      <c r="K2038">
        <v>0</v>
      </c>
      <c r="L2038">
        <v>0</v>
      </c>
    </row>
    <row r="2039" spans="1:12" hidden="1" x14ac:dyDescent="0.25">
      <c r="A2039">
        <v>123</v>
      </c>
      <c r="B2039" t="s">
        <v>714</v>
      </c>
      <c r="C2039" t="s">
        <v>715</v>
      </c>
      <c r="D2039" t="s">
        <v>57</v>
      </c>
      <c r="E2039" t="str">
        <f>_xlfn.XLOOKUP(F2039, Keys!B:B, Keys!A:A, "找不到")</f>
        <v>STD</v>
      </c>
      <c r="F2039" t="s">
        <v>671</v>
      </c>
      <c r="G2039">
        <v>0.6313190000371196</v>
      </c>
      <c r="H2039">
        <v>0</v>
      </c>
      <c r="I2039" t="s">
        <v>38</v>
      </c>
      <c r="J2039" t="s">
        <v>825</v>
      </c>
      <c r="K2039">
        <v>0</v>
      </c>
      <c r="L2039">
        <v>0</v>
      </c>
    </row>
    <row r="2040" spans="1:12" hidden="1" x14ac:dyDescent="0.25">
      <c r="A2040">
        <v>1</v>
      </c>
      <c r="B2040" t="s">
        <v>714</v>
      </c>
      <c r="C2040" t="s">
        <v>715</v>
      </c>
      <c r="D2040" t="s">
        <v>716</v>
      </c>
      <c r="E2040" t="str">
        <f>_xlfn.XLOOKUP(F2040, Keys!B:B, Keys!A:A, "找不到")</f>
        <v>OUT</v>
      </c>
      <c r="F2040" t="s">
        <v>403</v>
      </c>
      <c r="G2040">
        <v>4.9826212858725212</v>
      </c>
      <c r="H2040">
        <v>0</v>
      </c>
      <c r="I2040" t="s">
        <v>38</v>
      </c>
      <c r="J2040" t="s">
        <v>717</v>
      </c>
      <c r="K2040">
        <v>0</v>
      </c>
      <c r="L2040">
        <v>0</v>
      </c>
    </row>
    <row r="2041" spans="1:12" hidden="1" x14ac:dyDescent="0.25">
      <c r="A2041">
        <v>2</v>
      </c>
      <c r="B2041" t="s">
        <v>714</v>
      </c>
      <c r="C2041" t="s">
        <v>715</v>
      </c>
      <c r="D2041" t="s">
        <v>716</v>
      </c>
      <c r="E2041" t="str">
        <f>_xlfn.XLOOKUP(F2041, Keys!B:B, Keys!A:A, "找不到")</f>
        <v>OUT</v>
      </c>
      <c r="F2041" t="s">
        <v>403</v>
      </c>
      <c r="G2041">
        <v>27.037701688410952</v>
      </c>
      <c r="H2041">
        <v>0</v>
      </c>
      <c r="I2041" t="s">
        <v>38</v>
      </c>
      <c r="J2041" t="s">
        <v>723</v>
      </c>
      <c r="K2041">
        <v>0</v>
      </c>
      <c r="L2041">
        <v>0</v>
      </c>
    </row>
    <row r="2042" spans="1:12" hidden="1" x14ac:dyDescent="0.25">
      <c r="A2042">
        <v>4</v>
      </c>
      <c r="B2042" t="s">
        <v>714</v>
      </c>
      <c r="C2042" t="s">
        <v>715</v>
      </c>
      <c r="D2042" t="s">
        <v>716</v>
      </c>
      <c r="E2042" t="str">
        <f>_xlfn.XLOOKUP(F2042, Keys!B:B, Keys!A:A, "找不到")</f>
        <v>OUT</v>
      </c>
      <c r="F2042" t="s">
        <v>403</v>
      </c>
      <c r="G2042">
        <v>32.522517841947632</v>
      </c>
      <c r="H2042">
        <v>0</v>
      </c>
      <c r="I2042" t="s">
        <v>38</v>
      </c>
      <c r="J2042" t="s">
        <v>717</v>
      </c>
      <c r="K2042">
        <v>0</v>
      </c>
      <c r="L2042">
        <v>0</v>
      </c>
    </row>
    <row r="2043" spans="1:12" hidden="1" x14ac:dyDescent="0.25">
      <c r="A2043">
        <v>5</v>
      </c>
      <c r="B2043" t="s">
        <v>714</v>
      </c>
      <c r="C2043" t="s">
        <v>715</v>
      </c>
      <c r="D2043" t="s">
        <v>716</v>
      </c>
      <c r="E2043" t="str">
        <f>_xlfn.XLOOKUP(F2043, Keys!B:B, Keys!A:A, "找不到")</f>
        <v>OUT</v>
      </c>
      <c r="F2043" t="s">
        <v>403</v>
      </c>
      <c r="G2043">
        <v>4.4475964337051366</v>
      </c>
      <c r="H2043">
        <v>0</v>
      </c>
      <c r="I2043" t="s">
        <v>38</v>
      </c>
      <c r="J2043" t="s">
        <v>717</v>
      </c>
      <c r="K2043">
        <v>0</v>
      </c>
      <c r="L2043">
        <v>0</v>
      </c>
    </row>
    <row r="2044" spans="1:12" hidden="1" x14ac:dyDescent="0.25">
      <c r="A2044">
        <v>6</v>
      </c>
      <c r="B2044" t="s">
        <v>714</v>
      </c>
      <c r="C2044" t="s">
        <v>715</v>
      </c>
      <c r="D2044" t="s">
        <v>716</v>
      </c>
      <c r="E2044" t="str">
        <f>_xlfn.XLOOKUP(F2044, Keys!B:B, Keys!A:A, "找不到")</f>
        <v>OUT</v>
      </c>
      <c r="F2044" t="s">
        <v>403</v>
      </c>
      <c r="G2044">
        <v>5.8345190497934123</v>
      </c>
      <c r="H2044">
        <v>0</v>
      </c>
      <c r="I2044" t="s">
        <v>38</v>
      </c>
      <c r="J2044" t="s">
        <v>717</v>
      </c>
      <c r="K2044">
        <v>0</v>
      </c>
      <c r="L2044">
        <v>0</v>
      </c>
    </row>
    <row r="2045" spans="1:12" hidden="1" x14ac:dyDescent="0.25">
      <c r="A2045">
        <v>7</v>
      </c>
      <c r="B2045" t="s">
        <v>714</v>
      </c>
      <c r="C2045" t="s">
        <v>715</v>
      </c>
      <c r="D2045" t="s">
        <v>731</v>
      </c>
      <c r="E2045" t="str">
        <f>_xlfn.XLOOKUP(F2045, Keys!B:B, Keys!A:A, "找不到")</f>
        <v>OUT</v>
      </c>
      <c r="F2045" t="s">
        <v>403</v>
      </c>
      <c r="G2045">
        <v>31.339456216046539</v>
      </c>
      <c r="H2045">
        <v>0</v>
      </c>
      <c r="I2045" t="s">
        <v>38</v>
      </c>
      <c r="J2045" t="s">
        <v>57</v>
      </c>
      <c r="K2045">
        <v>0</v>
      </c>
      <c r="L2045">
        <v>0</v>
      </c>
    </row>
    <row r="2046" spans="1:12" hidden="1" x14ac:dyDescent="0.25">
      <c r="A2046">
        <v>14</v>
      </c>
      <c r="B2046" t="s">
        <v>714</v>
      </c>
      <c r="C2046" t="s">
        <v>715</v>
      </c>
      <c r="D2046" t="s">
        <v>731</v>
      </c>
      <c r="E2046" t="str">
        <f>_xlfn.XLOOKUP(F2046, Keys!B:B, Keys!A:A, "找不到")</f>
        <v>PIW</v>
      </c>
      <c r="F2046" t="s">
        <v>114</v>
      </c>
      <c r="G2046">
        <v>4.4939893865790106</v>
      </c>
      <c r="H2046" t="s">
        <v>46</v>
      </c>
      <c r="I2046" t="s">
        <v>47</v>
      </c>
      <c r="J2046" t="s">
        <v>57</v>
      </c>
      <c r="K2046">
        <v>0</v>
      </c>
      <c r="L2046">
        <v>0</v>
      </c>
    </row>
    <row r="2047" spans="1:12" hidden="1" x14ac:dyDescent="0.25">
      <c r="A2047">
        <v>117</v>
      </c>
      <c r="B2047" t="s">
        <v>714</v>
      </c>
      <c r="C2047" t="s">
        <v>715</v>
      </c>
      <c r="D2047" t="s">
        <v>863</v>
      </c>
      <c r="E2047" t="str">
        <f>_xlfn.XLOOKUP(F2047, Keys!B:B, Keys!A:A, "找不到")</f>
        <v>PIW</v>
      </c>
      <c r="F2047" t="s">
        <v>114</v>
      </c>
      <c r="G2047">
        <v>14.53282542080955</v>
      </c>
      <c r="H2047" t="s">
        <v>46</v>
      </c>
      <c r="I2047" t="s">
        <v>47</v>
      </c>
      <c r="J2047" t="s">
        <v>57</v>
      </c>
      <c r="K2047">
        <v>0</v>
      </c>
      <c r="L2047">
        <v>0</v>
      </c>
    </row>
    <row r="2048" spans="1:12" hidden="1" x14ac:dyDescent="0.25">
      <c r="A2048">
        <v>185</v>
      </c>
      <c r="B2048" t="s">
        <v>714</v>
      </c>
      <c r="C2048" t="s">
        <v>715</v>
      </c>
      <c r="D2048" t="s">
        <v>863</v>
      </c>
      <c r="E2048" t="str">
        <f>_xlfn.XLOOKUP(F2048, Keys!B:B, Keys!A:A, "找不到")</f>
        <v>PIW</v>
      </c>
      <c r="F2048" t="s">
        <v>114</v>
      </c>
      <c r="G2048">
        <v>3.013407463078674</v>
      </c>
      <c r="H2048" t="s">
        <v>46</v>
      </c>
      <c r="I2048" t="s">
        <v>47</v>
      </c>
      <c r="J2048" t="s">
        <v>974</v>
      </c>
      <c r="K2048">
        <v>0</v>
      </c>
      <c r="L2048">
        <v>0</v>
      </c>
    </row>
    <row r="2049" spans="1:12" hidden="1" x14ac:dyDescent="0.25">
      <c r="A2049">
        <v>188</v>
      </c>
      <c r="B2049" t="s">
        <v>714</v>
      </c>
      <c r="C2049" t="s">
        <v>715</v>
      </c>
      <c r="D2049" t="s">
        <v>863</v>
      </c>
      <c r="E2049" t="str">
        <f>_xlfn.XLOOKUP(F2049, Keys!B:B, Keys!A:A, "找不到")</f>
        <v>PIW</v>
      </c>
      <c r="F2049" t="s">
        <v>114</v>
      </c>
      <c r="G2049">
        <v>6.5642685940264807</v>
      </c>
      <c r="H2049" t="s">
        <v>46</v>
      </c>
      <c r="I2049" t="s">
        <v>47</v>
      </c>
      <c r="J2049" t="s">
        <v>57</v>
      </c>
      <c r="K2049">
        <v>0</v>
      </c>
      <c r="L2049">
        <v>0</v>
      </c>
    </row>
    <row r="2050" spans="1:12" hidden="1" x14ac:dyDescent="0.25">
      <c r="A2050">
        <v>73</v>
      </c>
      <c r="B2050" t="s">
        <v>714</v>
      </c>
      <c r="C2050" t="s">
        <v>715</v>
      </c>
      <c r="D2050" t="s">
        <v>828</v>
      </c>
      <c r="E2050" t="str">
        <f>_xlfn.XLOOKUP(F2050, Keys!B:B, Keys!A:A, "找不到")</f>
        <v>PN</v>
      </c>
      <c r="F2050" t="s">
        <v>80</v>
      </c>
      <c r="G2050">
        <v>2.7381282931116928</v>
      </c>
      <c r="H2050" t="s">
        <v>46</v>
      </c>
      <c r="I2050" t="s">
        <v>47</v>
      </c>
      <c r="J2050" t="s">
        <v>57</v>
      </c>
      <c r="K2050">
        <v>0</v>
      </c>
      <c r="L2050">
        <v>0</v>
      </c>
    </row>
    <row r="2051" spans="1:12" hidden="1" x14ac:dyDescent="0.25">
      <c r="A2051">
        <v>90</v>
      </c>
      <c r="B2051" t="s">
        <v>714</v>
      </c>
      <c r="C2051" t="s">
        <v>715</v>
      </c>
      <c r="D2051" t="s">
        <v>828</v>
      </c>
      <c r="E2051" t="str">
        <f>_xlfn.XLOOKUP(F2051, Keys!B:B, Keys!A:A, "找不到")</f>
        <v>PN</v>
      </c>
      <c r="F2051" t="s">
        <v>80</v>
      </c>
      <c r="G2051">
        <v>11.6948707143411</v>
      </c>
      <c r="H2051" t="s">
        <v>46</v>
      </c>
      <c r="I2051" t="s">
        <v>47</v>
      </c>
      <c r="J2051" t="s">
        <v>57</v>
      </c>
      <c r="K2051">
        <v>0</v>
      </c>
      <c r="L2051">
        <v>0</v>
      </c>
    </row>
    <row r="2052" spans="1:12" hidden="1" x14ac:dyDescent="0.25">
      <c r="A2052">
        <v>169</v>
      </c>
      <c r="B2052" t="s">
        <v>714</v>
      </c>
      <c r="C2052" t="s">
        <v>715</v>
      </c>
      <c r="D2052" t="s">
        <v>863</v>
      </c>
      <c r="E2052" t="str">
        <f>_xlfn.XLOOKUP(F2052, Keys!B:B, Keys!A:A, "找不到")</f>
        <v>PN</v>
      </c>
      <c r="F2052" t="s">
        <v>80</v>
      </c>
      <c r="G2052">
        <v>27.898893529959501</v>
      </c>
      <c r="H2052" t="s">
        <v>46</v>
      </c>
      <c r="I2052" t="s">
        <v>47</v>
      </c>
      <c r="J2052" t="s">
        <v>961</v>
      </c>
      <c r="K2052">
        <v>0</v>
      </c>
      <c r="L2052">
        <v>0</v>
      </c>
    </row>
    <row r="2053" spans="1:12" hidden="1" x14ac:dyDescent="0.25">
      <c r="A2053">
        <v>170</v>
      </c>
      <c r="B2053" t="s">
        <v>714</v>
      </c>
      <c r="C2053" t="s">
        <v>715</v>
      </c>
      <c r="D2053" t="s">
        <v>863</v>
      </c>
      <c r="E2053" t="str">
        <f>_xlfn.XLOOKUP(F2053, Keys!B:B, Keys!A:A, "找不到")</f>
        <v>PN</v>
      </c>
      <c r="F2053" t="s">
        <v>80</v>
      </c>
      <c r="G2053">
        <v>20.5768594037505</v>
      </c>
      <c r="H2053" t="s">
        <v>46</v>
      </c>
      <c r="I2053" t="s">
        <v>47</v>
      </c>
      <c r="J2053" t="s">
        <v>964</v>
      </c>
      <c r="K2053">
        <v>0</v>
      </c>
      <c r="L2053">
        <v>0</v>
      </c>
    </row>
    <row r="2054" spans="1:12" hidden="1" x14ac:dyDescent="0.25">
      <c r="A2054">
        <v>171</v>
      </c>
      <c r="B2054" t="s">
        <v>714</v>
      </c>
      <c r="C2054" t="s">
        <v>715</v>
      </c>
      <c r="D2054" t="s">
        <v>863</v>
      </c>
      <c r="E2054" t="str">
        <f>_xlfn.XLOOKUP(F2054, Keys!B:B, Keys!A:A, "找不到")</f>
        <v>PN</v>
      </c>
      <c r="F2054" t="s">
        <v>80</v>
      </c>
      <c r="G2054">
        <v>0.89436069667314944</v>
      </c>
      <c r="H2054" t="s">
        <v>46</v>
      </c>
      <c r="I2054" t="s">
        <v>47</v>
      </c>
      <c r="J2054" t="s">
        <v>966</v>
      </c>
      <c r="K2054">
        <v>0</v>
      </c>
      <c r="L2054">
        <v>0</v>
      </c>
    </row>
    <row r="2055" spans="1:12" hidden="1" x14ac:dyDescent="0.25">
      <c r="A2055">
        <v>187</v>
      </c>
      <c r="B2055" t="s">
        <v>714</v>
      </c>
      <c r="C2055" t="s">
        <v>715</v>
      </c>
      <c r="D2055" t="s">
        <v>863</v>
      </c>
      <c r="E2055" t="str">
        <f>_xlfn.XLOOKUP(F2055, Keys!B:B, Keys!A:A, "找不到")</f>
        <v>PN</v>
      </c>
      <c r="F2055" t="s">
        <v>80</v>
      </c>
      <c r="G2055">
        <v>4.7461863798872379</v>
      </c>
      <c r="H2055" t="s">
        <v>46</v>
      </c>
      <c r="I2055" t="s">
        <v>47</v>
      </c>
      <c r="J2055" t="s">
        <v>964</v>
      </c>
      <c r="K2055">
        <v>0</v>
      </c>
      <c r="L2055">
        <v>0</v>
      </c>
    </row>
    <row r="2056" spans="1:12" hidden="1" x14ac:dyDescent="0.25">
      <c r="A2056">
        <v>120</v>
      </c>
      <c r="B2056" t="s">
        <v>714</v>
      </c>
      <c r="C2056" t="s">
        <v>715</v>
      </c>
      <c r="D2056">
        <v>0</v>
      </c>
      <c r="E2056" t="str">
        <f>_xlfn.XLOOKUP(F2056, Keys!B:B, Keys!A:A, "找不到")</f>
        <v>PEW</v>
      </c>
      <c r="F2056" t="s">
        <v>901</v>
      </c>
      <c r="G2056">
        <v>1.534955045055719</v>
      </c>
      <c r="H2056" t="s">
        <v>46</v>
      </c>
      <c r="I2056" t="s">
        <v>47</v>
      </c>
      <c r="J2056" t="s">
        <v>902</v>
      </c>
      <c r="K2056">
        <v>0</v>
      </c>
      <c r="L2056">
        <v>0</v>
      </c>
    </row>
    <row r="2057" spans="1:12" hidden="1" x14ac:dyDescent="0.25">
      <c r="A2057">
        <v>191</v>
      </c>
      <c r="B2057" t="s">
        <v>714</v>
      </c>
      <c r="C2057" t="s">
        <v>715</v>
      </c>
      <c r="D2057" t="s">
        <v>57</v>
      </c>
      <c r="E2057" t="str">
        <f>_xlfn.XLOOKUP(F2057, Keys!B:B, Keys!A:A, "找不到")</f>
        <v>MON</v>
      </c>
      <c r="F2057" t="s">
        <v>100</v>
      </c>
      <c r="G2057">
        <v>0.34154771112919668</v>
      </c>
      <c r="H2057" t="s">
        <v>60</v>
      </c>
      <c r="I2057" t="s">
        <v>66</v>
      </c>
      <c r="J2057" t="s">
        <v>57</v>
      </c>
      <c r="K2057">
        <v>0</v>
      </c>
      <c r="L2057">
        <v>0</v>
      </c>
    </row>
    <row r="2058" spans="1:12" hidden="1" x14ac:dyDescent="0.25">
      <c r="A2058">
        <v>229</v>
      </c>
      <c r="B2058" t="s">
        <v>714</v>
      </c>
      <c r="C2058" t="s">
        <v>715</v>
      </c>
      <c r="D2058">
        <v>0</v>
      </c>
      <c r="E2058" t="str">
        <f>_xlfn.XLOOKUP(F2058, Keys!B:B, Keys!A:A, "找不到")</f>
        <v>MV</v>
      </c>
      <c r="F2058" t="s">
        <v>705</v>
      </c>
      <c r="G2058">
        <v>2.851709096535748E-2</v>
      </c>
      <c r="H2058" t="s">
        <v>60</v>
      </c>
      <c r="I2058" t="s">
        <v>66</v>
      </c>
      <c r="J2058">
        <v>0</v>
      </c>
      <c r="K2058">
        <v>0</v>
      </c>
      <c r="L2058">
        <v>0</v>
      </c>
    </row>
    <row r="2059" spans="1:12" hidden="1" x14ac:dyDescent="0.25">
      <c r="A2059">
        <v>202</v>
      </c>
      <c r="B2059" t="s">
        <v>714</v>
      </c>
      <c r="C2059" t="s">
        <v>715</v>
      </c>
      <c r="D2059">
        <v>0</v>
      </c>
      <c r="E2059" t="str">
        <f>_xlfn.XLOOKUP(F2059, Keys!B:B, Keys!A:A, "找不到")</f>
        <v>PN</v>
      </c>
      <c r="F2059" t="s">
        <v>80</v>
      </c>
      <c r="G2059">
        <v>5.0887027189155107</v>
      </c>
      <c r="H2059" t="s">
        <v>60</v>
      </c>
      <c r="I2059" t="s">
        <v>66</v>
      </c>
      <c r="J2059">
        <v>0</v>
      </c>
      <c r="K2059">
        <v>0</v>
      </c>
      <c r="L2059">
        <v>0</v>
      </c>
    </row>
    <row r="2060" spans="1:12" hidden="1" x14ac:dyDescent="0.25">
      <c r="A2060">
        <v>226</v>
      </c>
      <c r="B2060" t="s">
        <v>714</v>
      </c>
      <c r="C2060" t="s">
        <v>715</v>
      </c>
      <c r="D2060">
        <v>0</v>
      </c>
      <c r="E2060" t="str">
        <f>_xlfn.XLOOKUP(F2060, Keys!B:B, Keys!A:A, "找不到")</f>
        <v>TW</v>
      </c>
      <c r="F2060" t="s">
        <v>97</v>
      </c>
      <c r="G2060">
        <v>0.15361888508587451</v>
      </c>
      <c r="H2060" t="s">
        <v>60</v>
      </c>
      <c r="I2060" t="s">
        <v>66</v>
      </c>
      <c r="J2060">
        <v>0</v>
      </c>
      <c r="K2060">
        <v>0</v>
      </c>
      <c r="L2060">
        <v>0</v>
      </c>
    </row>
    <row r="2061" spans="1:12" hidden="1" x14ac:dyDescent="0.25">
      <c r="A2061">
        <v>3</v>
      </c>
      <c r="B2061" t="s">
        <v>714</v>
      </c>
      <c r="C2061" t="s">
        <v>715</v>
      </c>
      <c r="D2061" t="s">
        <v>716</v>
      </c>
      <c r="E2061" t="str">
        <f>_xlfn.XLOOKUP(F2061, Keys!B:B, Keys!A:A, "找不到")</f>
        <v>FA</v>
      </c>
      <c r="F2061" t="s">
        <v>63</v>
      </c>
      <c r="G2061">
        <v>0.52528282128363468</v>
      </c>
      <c r="H2061" t="s">
        <v>64</v>
      </c>
      <c r="I2061" t="s">
        <v>65</v>
      </c>
      <c r="J2061" t="s">
        <v>723</v>
      </c>
      <c r="K2061">
        <v>0</v>
      </c>
      <c r="L2061">
        <v>0</v>
      </c>
    </row>
    <row r="2062" spans="1:12" hidden="1" x14ac:dyDescent="0.25">
      <c r="A2062">
        <v>8</v>
      </c>
      <c r="B2062" t="s">
        <v>714</v>
      </c>
      <c r="C2062" t="s">
        <v>715</v>
      </c>
      <c r="D2062" t="s">
        <v>731</v>
      </c>
      <c r="E2062" t="str">
        <f>_xlfn.XLOOKUP(F2062, Keys!B:B, Keys!A:A, "找不到")</f>
        <v>FA</v>
      </c>
      <c r="F2062" t="s">
        <v>63</v>
      </c>
      <c r="G2062">
        <v>2.7464306938379268</v>
      </c>
      <c r="H2062" t="s">
        <v>64</v>
      </c>
      <c r="I2062" t="s">
        <v>65</v>
      </c>
      <c r="J2062" t="s">
        <v>57</v>
      </c>
      <c r="K2062">
        <v>0</v>
      </c>
      <c r="L2062">
        <v>0</v>
      </c>
    </row>
    <row r="2063" spans="1:12" hidden="1" x14ac:dyDescent="0.25">
      <c r="A2063">
        <v>9</v>
      </c>
      <c r="B2063" t="s">
        <v>714</v>
      </c>
      <c r="C2063" t="s">
        <v>715</v>
      </c>
      <c r="D2063" t="s">
        <v>731</v>
      </c>
      <c r="E2063" t="str">
        <f>_xlfn.XLOOKUP(F2063, Keys!B:B, Keys!A:A, "找不到")</f>
        <v>FA</v>
      </c>
      <c r="F2063" t="s">
        <v>63</v>
      </c>
      <c r="G2063">
        <v>1.8576292418913649</v>
      </c>
      <c r="H2063" t="s">
        <v>64</v>
      </c>
      <c r="I2063" t="s">
        <v>65</v>
      </c>
      <c r="J2063" t="s">
        <v>57</v>
      </c>
      <c r="K2063">
        <v>0</v>
      </c>
      <c r="L2063">
        <v>0</v>
      </c>
    </row>
    <row r="2064" spans="1:12" hidden="1" x14ac:dyDescent="0.25">
      <c r="A2064">
        <v>10</v>
      </c>
      <c r="B2064" t="s">
        <v>714</v>
      </c>
      <c r="C2064" t="s">
        <v>715</v>
      </c>
      <c r="D2064" t="s">
        <v>731</v>
      </c>
      <c r="E2064" t="str">
        <f>_xlfn.XLOOKUP(F2064, Keys!B:B, Keys!A:A, "找不到")</f>
        <v>FA</v>
      </c>
      <c r="F2064" t="s">
        <v>63</v>
      </c>
      <c r="G2064">
        <v>2.596859754306037</v>
      </c>
      <c r="H2064" t="s">
        <v>64</v>
      </c>
      <c r="I2064" t="s">
        <v>65</v>
      </c>
      <c r="J2064" t="s">
        <v>57</v>
      </c>
      <c r="K2064">
        <v>0</v>
      </c>
      <c r="L2064">
        <v>0</v>
      </c>
    </row>
    <row r="2065" spans="1:12" hidden="1" x14ac:dyDescent="0.25">
      <c r="A2065">
        <v>19</v>
      </c>
      <c r="B2065" t="s">
        <v>714</v>
      </c>
      <c r="C2065" t="s">
        <v>715</v>
      </c>
      <c r="D2065">
        <v>0</v>
      </c>
      <c r="E2065" t="str">
        <f>_xlfn.XLOOKUP(F2065, Keys!B:B, Keys!A:A, "找不到")</f>
        <v>FA</v>
      </c>
      <c r="F2065" t="s">
        <v>63</v>
      </c>
      <c r="G2065">
        <v>2.165333412072473</v>
      </c>
      <c r="H2065" t="s">
        <v>64</v>
      </c>
      <c r="I2065" t="s">
        <v>65</v>
      </c>
      <c r="J2065" t="s">
        <v>750</v>
      </c>
      <c r="K2065">
        <v>0</v>
      </c>
      <c r="L2065">
        <v>0</v>
      </c>
    </row>
    <row r="2066" spans="1:12" hidden="1" x14ac:dyDescent="0.25">
      <c r="A2066">
        <v>32</v>
      </c>
      <c r="B2066" t="s">
        <v>714</v>
      </c>
      <c r="C2066" t="s">
        <v>715</v>
      </c>
      <c r="D2066">
        <v>0</v>
      </c>
      <c r="E2066" t="str">
        <f>_xlfn.XLOOKUP(F2066, Keys!B:B, Keys!A:A, "找不到")</f>
        <v>FA</v>
      </c>
      <c r="F2066" t="s">
        <v>63</v>
      </c>
      <c r="G2066">
        <v>19.536099541173851</v>
      </c>
      <c r="H2066" t="s">
        <v>64</v>
      </c>
      <c r="I2066" t="s">
        <v>65</v>
      </c>
      <c r="J2066" t="s">
        <v>750</v>
      </c>
      <c r="K2066">
        <v>0</v>
      </c>
      <c r="L2066">
        <v>0</v>
      </c>
    </row>
    <row r="2067" spans="1:12" hidden="1" x14ac:dyDescent="0.25">
      <c r="A2067">
        <v>54</v>
      </c>
      <c r="B2067" t="s">
        <v>714</v>
      </c>
      <c r="C2067" t="s">
        <v>715</v>
      </c>
      <c r="D2067" t="s">
        <v>57</v>
      </c>
      <c r="E2067" t="str">
        <f>_xlfn.XLOOKUP(F2067, Keys!B:B, Keys!A:A, "找不到")</f>
        <v>FA</v>
      </c>
      <c r="F2067" t="s">
        <v>63</v>
      </c>
      <c r="G2067">
        <v>1.0791789624429811</v>
      </c>
      <c r="H2067" t="s">
        <v>64</v>
      </c>
      <c r="I2067" t="s">
        <v>65</v>
      </c>
      <c r="J2067" t="s">
        <v>57</v>
      </c>
      <c r="K2067">
        <v>0</v>
      </c>
      <c r="L2067">
        <v>0</v>
      </c>
    </row>
    <row r="2068" spans="1:12" hidden="1" x14ac:dyDescent="0.25">
      <c r="A2068">
        <v>65</v>
      </c>
      <c r="B2068" t="s">
        <v>714</v>
      </c>
      <c r="C2068" t="s">
        <v>715</v>
      </c>
      <c r="D2068" t="s">
        <v>798</v>
      </c>
      <c r="E2068" t="str">
        <f>_xlfn.XLOOKUP(F2068, Keys!B:B, Keys!A:A, "找不到")</f>
        <v>FA</v>
      </c>
      <c r="F2068" t="s">
        <v>63</v>
      </c>
      <c r="G2068">
        <v>13.63001765599871</v>
      </c>
      <c r="H2068" t="s">
        <v>64</v>
      </c>
      <c r="I2068" t="s">
        <v>65</v>
      </c>
      <c r="J2068" t="s">
        <v>57</v>
      </c>
      <c r="K2068">
        <v>0</v>
      </c>
      <c r="L2068">
        <v>0</v>
      </c>
    </row>
    <row r="2069" spans="1:12" hidden="1" x14ac:dyDescent="0.25">
      <c r="A2069">
        <v>67</v>
      </c>
      <c r="B2069" t="s">
        <v>714</v>
      </c>
      <c r="C2069" t="s">
        <v>715</v>
      </c>
      <c r="D2069" t="s">
        <v>57</v>
      </c>
      <c r="E2069" t="str">
        <f>_xlfn.XLOOKUP(F2069, Keys!B:B, Keys!A:A, "找不到")</f>
        <v>FA</v>
      </c>
      <c r="F2069" t="s">
        <v>63</v>
      </c>
      <c r="G2069">
        <v>5.8317600560982026</v>
      </c>
      <c r="H2069" t="s">
        <v>64</v>
      </c>
      <c r="I2069" t="s">
        <v>65</v>
      </c>
      <c r="J2069" t="s">
        <v>57</v>
      </c>
      <c r="K2069">
        <v>0</v>
      </c>
      <c r="L2069">
        <v>0</v>
      </c>
    </row>
    <row r="2070" spans="1:12" hidden="1" x14ac:dyDescent="0.25">
      <c r="A2070">
        <v>68</v>
      </c>
      <c r="B2070" t="s">
        <v>714</v>
      </c>
      <c r="C2070" t="s">
        <v>715</v>
      </c>
      <c r="D2070" t="s">
        <v>807</v>
      </c>
      <c r="E2070" t="str">
        <f>_xlfn.XLOOKUP(F2070, Keys!B:B, Keys!A:A, "找不到")</f>
        <v>FA</v>
      </c>
      <c r="F2070" t="s">
        <v>63</v>
      </c>
      <c r="G2070">
        <v>0.23628496447224909</v>
      </c>
      <c r="H2070" t="s">
        <v>64</v>
      </c>
      <c r="I2070" t="s">
        <v>65</v>
      </c>
      <c r="J2070" t="s">
        <v>57</v>
      </c>
      <c r="K2070">
        <v>0</v>
      </c>
      <c r="L2070">
        <v>0</v>
      </c>
    </row>
    <row r="2071" spans="1:12" hidden="1" x14ac:dyDescent="0.25">
      <c r="A2071">
        <v>74</v>
      </c>
      <c r="B2071" t="s">
        <v>714</v>
      </c>
      <c r="C2071" t="s">
        <v>715</v>
      </c>
      <c r="D2071">
        <v>0</v>
      </c>
      <c r="E2071" t="str">
        <f>_xlfn.XLOOKUP(F2071, Keys!B:B, Keys!A:A, "找不到")</f>
        <v>FA</v>
      </c>
      <c r="F2071" t="s">
        <v>63</v>
      </c>
      <c r="G2071">
        <v>5.621163086670653</v>
      </c>
      <c r="H2071" t="s">
        <v>64</v>
      </c>
      <c r="I2071" t="s">
        <v>65</v>
      </c>
      <c r="J2071" t="s">
        <v>57</v>
      </c>
      <c r="K2071">
        <v>0</v>
      </c>
      <c r="L2071">
        <v>0</v>
      </c>
    </row>
    <row r="2072" spans="1:12" hidden="1" x14ac:dyDescent="0.25">
      <c r="A2072">
        <v>75</v>
      </c>
      <c r="B2072" t="s">
        <v>714</v>
      </c>
      <c r="C2072" t="s">
        <v>715</v>
      </c>
      <c r="D2072">
        <v>0</v>
      </c>
      <c r="E2072" t="str">
        <f>_xlfn.XLOOKUP(F2072, Keys!B:B, Keys!A:A, "找不到")</f>
        <v>FA</v>
      </c>
      <c r="F2072" t="s">
        <v>63</v>
      </c>
      <c r="G2072">
        <v>0.52483777966352629</v>
      </c>
      <c r="H2072" t="s">
        <v>64</v>
      </c>
      <c r="I2072" t="s">
        <v>65</v>
      </c>
      <c r="J2072" t="s">
        <v>57</v>
      </c>
      <c r="K2072">
        <v>0</v>
      </c>
      <c r="L2072">
        <v>0</v>
      </c>
    </row>
    <row r="2073" spans="1:12" hidden="1" x14ac:dyDescent="0.25">
      <c r="A2073">
        <v>76</v>
      </c>
      <c r="B2073" t="s">
        <v>714</v>
      </c>
      <c r="C2073" t="s">
        <v>715</v>
      </c>
      <c r="D2073">
        <v>0</v>
      </c>
      <c r="E2073" t="str">
        <f>_xlfn.XLOOKUP(F2073, Keys!B:B, Keys!A:A, "找不到")</f>
        <v>FA</v>
      </c>
      <c r="F2073" t="s">
        <v>63</v>
      </c>
      <c r="G2073">
        <v>0.38858726374206187</v>
      </c>
      <c r="H2073" t="s">
        <v>64</v>
      </c>
      <c r="I2073" t="s">
        <v>65</v>
      </c>
      <c r="J2073" t="s">
        <v>57</v>
      </c>
      <c r="K2073">
        <v>0</v>
      </c>
      <c r="L2073">
        <v>0</v>
      </c>
    </row>
    <row r="2074" spans="1:12" hidden="1" x14ac:dyDescent="0.25">
      <c r="A2074">
        <v>77</v>
      </c>
      <c r="B2074" t="s">
        <v>714</v>
      </c>
      <c r="C2074" t="s">
        <v>715</v>
      </c>
      <c r="D2074" t="s">
        <v>837</v>
      </c>
      <c r="E2074" t="str">
        <f>_xlfn.XLOOKUP(F2074, Keys!B:B, Keys!A:A, "找不到")</f>
        <v>FA</v>
      </c>
      <c r="F2074" t="s">
        <v>63</v>
      </c>
      <c r="G2074">
        <v>5.5005017130226568</v>
      </c>
      <c r="H2074" t="s">
        <v>64</v>
      </c>
      <c r="I2074" t="s">
        <v>65</v>
      </c>
      <c r="J2074" t="s">
        <v>57</v>
      </c>
      <c r="K2074">
        <v>0</v>
      </c>
      <c r="L2074">
        <v>0</v>
      </c>
    </row>
    <row r="2075" spans="1:12" hidden="1" x14ac:dyDescent="0.25">
      <c r="A2075">
        <v>78</v>
      </c>
      <c r="B2075" t="s">
        <v>714</v>
      </c>
      <c r="C2075" t="s">
        <v>715</v>
      </c>
      <c r="D2075" t="s">
        <v>837</v>
      </c>
      <c r="E2075" t="str">
        <f>_xlfn.XLOOKUP(F2075, Keys!B:B, Keys!A:A, "找不到")</f>
        <v>FA</v>
      </c>
      <c r="F2075" t="s">
        <v>63</v>
      </c>
      <c r="G2075">
        <v>1.589644636935855</v>
      </c>
      <c r="H2075" t="s">
        <v>64</v>
      </c>
      <c r="I2075" t="s">
        <v>65</v>
      </c>
      <c r="J2075" t="s">
        <v>57</v>
      </c>
      <c r="K2075">
        <v>0</v>
      </c>
      <c r="L2075">
        <v>0</v>
      </c>
    </row>
    <row r="2076" spans="1:12" hidden="1" x14ac:dyDescent="0.25">
      <c r="A2076">
        <v>79</v>
      </c>
      <c r="B2076" t="s">
        <v>714</v>
      </c>
      <c r="C2076" t="s">
        <v>715</v>
      </c>
      <c r="D2076" t="s">
        <v>837</v>
      </c>
      <c r="E2076" t="str">
        <f>_xlfn.XLOOKUP(F2076, Keys!B:B, Keys!A:A, "找不到")</f>
        <v>FA</v>
      </c>
      <c r="F2076" t="s">
        <v>63</v>
      </c>
      <c r="G2076">
        <v>11.225873508125179</v>
      </c>
      <c r="H2076" t="s">
        <v>64</v>
      </c>
      <c r="I2076" t="s">
        <v>65</v>
      </c>
      <c r="J2076" t="s">
        <v>57</v>
      </c>
      <c r="K2076">
        <v>0</v>
      </c>
      <c r="L2076">
        <v>0</v>
      </c>
    </row>
    <row r="2077" spans="1:12" hidden="1" x14ac:dyDescent="0.25">
      <c r="A2077">
        <v>80</v>
      </c>
      <c r="B2077" t="s">
        <v>714</v>
      </c>
      <c r="C2077" t="s">
        <v>715</v>
      </c>
      <c r="D2077" t="s">
        <v>837</v>
      </c>
      <c r="E2077" t="str">
        <f>_xlfn.XLOOKUP(F2077, Keys!B:B, Keys!A:A, "找不到")</f>
        <v>FA</v>
      </c>
      <c r="F2077" t="s">
        <v>63</v>
      </c>
      <c r="G2077">
        <v>0.45028385527155801</v>
      </c>
      <c r="H2077" t="s">
        <v>64</v>
      </c>
      <c r="I2077" t="s">
        <v>65</v>
      </c>
      <c r="J2077" t="s">
        <v>57</v>
      </c>
      <c r="K2077">
        <v>0</v>
      </c>
      <c r="L2077">
        <v>0</v>
      </c>
    </row>
    <row r="2078" spans="1:12" hidden="1" x14ac:dyDescent="0.25">
      <c r="A2078">
        <v>81</v>
      </c>
      <c r="B2078" t="s">
        <v>714</v>
      </c>
      <c r="C2078" t="s">
        <v>715</v>
      </c>
      <c r="D2078" t="s">
        <v>837</v>
      </c>
      <c r="E2078" t="str">
        <f>_xlfn.XLOOKUP(F2078, Keys!B:B, Keys!A:A, "找不到")</f>
        <v>FA</v>
      </c>
      <c r="F2078" t="s">
        <v>63</v>
      </c>
      <c r="G2078">
        <v>2.4984632893367551</v>
      </c>
      <c r="H2078" t="s">
        <v>64</v>
      </c>
      <c r="I2078" t="s">
        <v>65</v>
      </c>
      <c r="J2078" t="s">
        <v>57</v>
      </c>
      <c r="K2078">
        <v>0</v>
      </c>
      <c r="L2078">
        <v>0</v>
      </c>
    </row>
    <row r="2079" spans="1:12" hidden="1" x14ac:dyDescent="0.25">
      <c r="A2079">
        <v>82</v>
      </c>
      <c r="B2079" t="s">
        <v>714</v>
      </c>
      <c r="C2079" t="s">
        <v>715</v>
      </c>
      <c r="D2079" t="s">
        <v>837</v>
      </c>
      <c r="E2079" t="str">
        <f>_xlfn.XLOOKUP(F2079, Keys!B:B, Keys!A:A, "找不到")</f>
        <v>FA</v>
      </c>
      <c r="F2079" t="s">
        <v>63</v>
      </c>
      <c r="G2079">
        <v>0.38791295948184479</v>
      </c>
      <c r="H2079" t="s">
        <v>64</v>
      </c>
      <c r="I2079" t="s">
        <v>65</v>
      </c>
      <c r="J2079" t="s">
        <v>57</v>
      </c>
      <c r="K2079">
        <v>0</v>
      </c>
      <c r="L2079">
        <v>0</v>
      </c>
    </row>
    <row r="2080" spans="1:12" hidden="1" x14ac:dyDescent="0.25">
      <c r="A2080">
        <v>83</v>
      </c>
      <c r="B2080" t="s">
        <v>714</v>
      </c>
      <c r="C2080" t="s">
        <v>715</v>
      </c>
      <c r="D2080" t="s">
        <v>837</v>
      </c>
      <c r="E2080" t="str">
        <f>_xlfn.XLOOKUP(F2080, Keys!B:B, Keys!A:A, "找不到")</f>
        <v>FA</v>
      </c>
      <c r="F2080" t="s">
        <v>63</v>
      </c>
      <c r="G2080">
        <v>3.1887833853288909</v>
      </c>
      <c r="H2080" t="s">
        <v>64</v>
      </c>
      <c r="I2080" t="s">
        <v>65</v>
      </c>
      <c r="J2080" t="s">
        <v>57</v>
      </c>
      <c r="K2080">
        <v>0</v>
      </c>
      <c r="L2080">
        <v>0</v>
      </c>
    </row>
    <row r="2081" spans="1:12" hidden="1" x14ac:dyDescent="0.25">
      <c r="A2081">
        <v>84</v>
      </c>
      <c r="B2081" t="s">
        <v>714</v>
      </c>
      <c r="C2081" t="s">
        <v>715</v>
      </c>
      <c r="D2081" t="s">
        <v>837</v>
      </c>
      <c r="E2081" t="str">
        <f>_xlfn.XLOOKUP(F2081, Keys!B:B, Keys!A:A, "找不到")</f>
        <v>FA</v>
      </c>
      <c r="F2081" t="s">
        <v>63</v>
      </c>
      <c r="G2081">
        <v>4.4645053993332544</v>
      </c>
      <c r="H2081" t="s">
        <v>64</v>
      </c>
      <c r="I2081" t="s">
        <v>65</v>
      </c>
      <c r="J2081" t="s">
        <v>57</v>
      </c>
      <c r="K2081">
        <v>0</v>
      </c>
      <c r="L2081">
        <v>0</v>
      </c>
    </row>
    <row r="2082" spans="1:12" hidden="1" x14ac:dyDescent="0.25">
      <c r="A2082">
        <v>85</v>
      </c>
      <c r="B2082" t="s">
        <v>714</v>
      </c>
      <c r="C2082" t="s">
        <v>715</v>
      </c>
      <c r="D2082" t="s">
        <v>837</v>
      </c>
      <c r="E2082" t="str">
        <f>_xlfn.XLOOKUP(F2082, Keys!B:B, Keys!A:A, "找不到")</f>
        <v>FA</v>
      </c>
      <c r="F2082" t="s">
        <v>63</v>
      </c>
      <c r="G2082">
        <v>0.40041907668415372</v>
      </c>
      <c r="H2082" t="s">
        <v>64</v>
      </c>
      <c r="I2082" t="s">
        <v>65</v>
      </c>
      <c r="J2082" t="s">
        <v>57</v>
      </c>
      <c r="K2082">
        <v>0</v>
      </c>
      <c r="L2082">
        <v>0</v>
      </c>
    </row>
    <row r="2083" spans="1:12" hidden="1" x14ac:dyDescent="0.25">
      <c r="A2083">
        <v>86</v>
      </c>
      <c r="B2083" t="s">
        <v>714</v>
      </c>
      <c r="C2083" t="s">
        <v>715</v>
      </c>
      <c r="D2083">
        <v>0</v>
      </c>
      <c r="E2083" t="str">
        <f>_xlfn.XLOOKUP(F2083, Keys!B:B, Keys!A:A, "找不到")</f>
        <v>FA</v>
      </c>
      <c r="F2083" t="s">
        <v>63</v>
      </c>
      <c r="G2083">
        <v>1.330318619711476</v>
      </c>
      <c r="H2083" t="s">
        <v>64</v>
      </c>
      <c r="I2083" t="s">
        <v>65</v>
      </c>
      <c r="J2083" t="s">
        <v>57</v>
      </c>
      <c r="K2083">
        <v>0</v>
      </c>
      <c r="L2083">
        <v>0</v>
      </c>
    </row>
    <row r="2084" spans="1:12" hidden="1" x14ac:dyDescent="0.25">
      <c r="A2084">
        <v>87</v>
      </c>
      <c r="B2084" t="s">
        <v>714</v>
      </c>
      <c r="C2084" t="s">
        <v>715</v>
      </c>
      <c r="D2084" t="s">
        <v>837</v>
      </c>
      <c r="E2084" t="str">
        <f>_xlfn.XLOOKUP(F2084, Keys!B:B, Keys!A:A, "找不到")</f>
        <v>FA</v>
      </c>
      <c r="F2084" t="s">
        <v>63</v>
      </c>
      <c r="G2084">
        <v>3.582184142615104</v>
      </c>
      <c r="H2084" t="s">
        <v>64</v>
      </c>
      <c r="I2084" t="s">
        <v>65</v>
      </c>
      <c r="J2084" t="s">
        <v>57</v>
      </c>
      <c r="K2084">
        <v>0</v>
      </c>
      <c r="L2084">
        <v>0</v>
      </c>
    </row>
    <row r="2085" spans="1:12" hidden="1" x14ac:dyDescent="0.25">
      <c r="A2085">
        <v>88</v>
      </c>
      <c r="B2085" t="s">
        <v>714</v>
      </c>
      <c r="C2085" t="s">
        <v>715</v>
      </c>
      <c r="D2085" t="s">
        <v>837</v>
      </c>
      <c r="E2085" t="str">
        <f>_xlfn.XLOOKUP(F2085, Keys!B:B, Keys!A:A, "找不到")</f>
        <v>FA</v>
      </c>
      <c r="F2085" t="s">
        <v>63</v>
      </c>
      <c r="G2085">
        <v>1.5543159770114741</v>
      </c>
      <c r="H2085" t="s">
        <v>64</v>
      </c>
      <c r="I2085" t="s">
        <v>65</v>
      </c>
      <c r="J2085" t="s">
        <v>57</v>
      </c>
      <c r="K2085">
        <v>0</v>
      </c>
      <c r="L2085">
        <v>0</v>
      </c>
    </row>
    <row r="2086" spans="1:12" hidden="1" x14ac:dyDescent="0.25">
      <c r="A2086">
        <v>89</v>
      </c>
      <c r="B2086" t="s">
        <v>714</v>
      </c>
      <c r="C2086" t="s">
        <v>715</v>
      </c>
      <c r="D2086" t="s">
        <v>837</v>
      </c>
      <c r="E2086" t="str">
        <f>_xlfn.XLOOKUP(F2086, Keys!B:B, Keys!A:A, "找不到")</f>
        <v>FA</v>
      </c>
      <c r="F2086" t="s">
        <v>63</v>
      </c>
      <c r="G2086">
        <v>3.6957097451479268</v>
      </c>
      <c r="H2086" t="s">
        <v>64</v>
      </c>
      <c r="I2086" t="s">
        <v>65</v>
      </c>
      <c r="J2086" t="s">
        <v>57</v>
      </c>
      <c r="K2086">
        <v>0</v>
      </c>
      <c r="L2086">
        <v>0</v>
      </c>
    </row>
    <row r="2087" spans="1:12" hidden="1" x14ac:dyDescent="0.25">
      <c r="A2087">
        <v>91</v>
      </c>
      <c r="B2087" t="s">
        <v>714</v>
      </c>
      <c r="C2087" t="s">
        <v>715</v>
      </c>
      <c r="D2087">
        <v>0</v>
      </c>
      <c r="E2087" t="str">
        <f>_xlfn.XLOOKUP(F2087, Keys!B:B, Keys!A:A, "找不到")</f>
        <v>FA</v>
      </c>
      <c r="F2087" t="s">
        <v>63</v>
      </c>
      <c r="G2087">
        <v>3.7401336868581021</v>
      </c>
      <c r="H2087" t="s">
        <v>64</v>
      </c>
      <c r="I2087" t="s">
        <v>65</v>
      </c>
      <c r="J2087" t="s">
        <v>57</v>
      </c>
      <c r="K2087">
        <v>0</v>
      </c>
      <c r="L2087">
        <v>0</v>
      </c>
    </row>
    <row r="2088" spans="1:12" hidden="1" x14ac:dyDescent="0.25">
      <c r="A2088">
        <v>92</v>
      </c>
      <c r="B2088" t="s">
        <v>714</v>
      </c>
      <c r="C2088" t="s">
        <v>715</v>
      </c>
      <c r="D2088" t="s">
        <v>837</v>
      </c>
      <c r="E2088" t="str">
        <f>_xlfn.XLOOKUP(F2088, Keys!B:B, Keys!A:A, "找不到")</f>
        <v>FA</v>
      </c>
      <c r="F2088" t="s">
        <v>63</v>
      </c>
      <c r="G2088">
        <v>1.299721342975042</v>
      </c>
      <c r="H2088" t="s">
        <v>64</v>
      </c>
      <c r="I2088" t="s">
        <v>65</v>
      </c>
      <c r="J2088" t="s">
        <v>57</v>
      </c>
      <c r="K2088">
        <v>0</v>
      </c>
      <c r="L2088">
        <v>0</v>
      </c>
    </row>
    <row r="2089" spans="1:12" hidden="1" x14ac:dyDescent="0.25">
      <c r="A2089">
        <v>93</v>
      </c>
      <c r="B2089" t="s">
        <v>714</v>
      </c>
      <c r="C2089" t="s">
        <v>715</v>
      </c>
      <c r="D2089" t="s">
        <v>837</v>
      </c>
      <c r="E2089" t="str">
        <f>_xlfn.XLOOKUP(F2089, Keys!B:B, Keys!A:A, "找不到")</f>
        <v>FA</v>
      </c>
      <c r="F2089" t="s">
        <v>63</v>
      </c>
      <c r="G2089">
        <v>4.5197337438591338</v>
      </c>
      <c r="H2089" t="s">
        <v>64</v>
      </c>
      <c r="I2089" t="s">
        <v>65</v>
      </c>
      <c r="J2089" t="s">
        <v>57</v>
      </c>
      <c r="K2089">
        <v>0</v>
      </c>
      <c r="L2089">
        <v>0</v>
      </c>
    </row>
    <row r="2090" spans="1:12" hidden="1" x14ac:dyDescent="0.25">
      <c r="A2090">
        <v>94</v>
      </c>
      <c r="B2090" t="s">
        <v>714</v>
      </c>
      <c r="C2090" t="s">
        <v>715</v>
      </c>
      <c r="D2090">
        <v>0</v>
      </c>
      <c r="E2090" t="str">
        <f>_xlfn.XLOOKUP(F2090, Keys!B:B, Keys!A:A, "找不到")</f>
        <v>FA</v>
      </c>
      <c r="F2090" t="s">
        <v>63</v>
      </c>
      <c r="G2090">
        <v>0.23663092268206759</v>
      </c>
      <c r="H2090" t="s">
        <v>64</v>
      </c>
      <c r="I2090" t="s">
        <v>65</v>
      </c>
      <c r="J2090" t="s">
        <v>57</v>
      </c>
      <c r="K2090">
        <v>0</v>
      </c>
      <c r="L2090">
        <v>0</v>
      </c>
    </row>
    <row r="2091" spans="1:12" hidden="1" x14ac:dyDescent="0.25">
      <c r="A2091">
        <v>95</v>
      </c>
      <c r="B2091" t="s">
        <v>714</v>
      </c>
      <c r="C2091" t="s">
        <v>715</v>
      </c>
      <c r="D2091" t="s">
        <v>837</v>
      </c>
      <c r="E2091" t="str">
        <f>_xlfn.XLOOKUP(F2091, Keys!B:B, Keys!A:A, "找不到")</f>
        <v>FA</v>
      </c>
      <c r="F2091" t="s">
        <v>63</v>
      </c>
      <c r="G2091">
        <v>0.67928704340799995</v>
      </c>
      <c r="H2091" t="s">
        <v>64</v>
      </c>
      <c r="I2091" t="s">
        <v>65</v>
      </c>
      <c r="J2091" t="s">
        <v>57</v>
      </c>
      <c r="K2091">
        <v>0</v>
      </c>
      <c r="L2091">
        <v>0</v>
      </c>
    </row>
    <row r="2092" spans="1:12" hidden="1" x14ac:dyDescent="0.25">
      <c r="A2092">
        <v>96</v>
      </c>
      <c r="B2092" t="s">
        <v>714</v>
      </c>
      <c r="C2092" t="s">
        <v>715</v>
      </c>
      <c r="D2092" t="s">
        <v>798</v>
      </c>
      <c r="E2092" t="str">
        <f>_xlfn.XLOOKUP(F2092, Keys!B:B, Keys!A:A, "找不到")</f>
        <v>FA</v>
      </c>
      <c r="F2092" t="s">
        <v>63</v>
      </c>
      <c r="G2092">
        <v>8.8397734303022464</v>
      </c>
      <c r="H2092" t="s">
        <v>64</v>
      </c>
      <c r="I2092" t="s">
        <v>65</v>
      </c>
      <c r="J2092" t="s">
        <v>57</v>
      </c>
      <c r="K2092">
        <v>0</v>
      </c>
      <c r="L2092">
        <v>0</v>
      </c>
    </row>
    <row r="2093" spans="1:12" hidden="1" x14ac:dyDescent="0.25">
      <c r="A2093">
        <v>97</v>
      </c>
      <c r="B2093" t="s">
        <v>714</v>
      </c>
      <c r="C2093" t="s">
        <v>715</v>
      </c>
      <c r="D2093" t="s">
        <v>798</v>
      </c>
      <c r="E2093" t="str">
        <f>_xlfn.XLOOKUP(F2093, Keys!B:B, Keys!A:A, "找不到")</f>
        <v>FA</v>
      </c>
      <c r="F2093" t="s">
        <v>63</v>
      </c>
      <c r="G2093">
        <v>11.65959446043971</v>
      </c>
      <c r="H2093" t="s">
        <v>64</v>
      </c>
      <c r="I2093" t="s">
        <v>65</v>
      </c>
      <c r="J2093" t="s">
        <v>57</v>
      </c>
      <c r="K2093">
        <v>0</v>
      </c>
      <c r="L2093">
        <v>0</v>
      </c>
    </row>
    <row r="2094" spans="1:12" hidden="1" x14ac:dyDescent="0.25">
      <c r="A2094">
        <v>99</v>
      </c>
      <c r="B2094" t="s">
        <v>714</v>
      </c>
      <c r="C2094" t="s">
        <v>715</v>
      </c>
      <c r="D2094" t="s">
        <v>863</v>
      </c>
      <c r="E2094" t="str">
        <f>_xlfn.XLOOKUP(F2094, Keys!B:B, Keys!A:A, "找不到")</f>
        <v>FA</v>
      </c>
      <c r="F2094" t="s">
        <v>63</v>
      </c>
      <c r="G2094">
        <v>6.5848251252630767</v>
      </c>
      <c r="H2094" t="s">
        <v>64</v>
      </c>
      <c r="I2094" t="s">
        <v>65</v>
      </c>
      <c r="J2094" t="s">
        <v>864</v>
      </c>
      <c r="K2094">
        <v>0</v>
      </c>
      <c r="L2094">
        <v>0</v>
      </c>
    </row>
    <row r="2095" spans="1:12" hidden="1" x14ac:dyDescent="0.25">
      <c r="A2095">
        <v>101</v>
      </c>
      <c r="B2095" t="s">
        <v>714</v>
      </c>
      <c r="C2095" t="s">
        <v>715</v>
      </c>
      <c r="D2095" t="s">
        <v>863</v>
      </c>
      <c r="E2095" t="str">
        <f>_xlfn.XLOOKUP(F2095, Keys!B:B, Keys!A:A, "找不到")</f>
        <v>FA</v>
      </c>
      <c r="F2095" t="s">
        <v>63</v>
      </c>
      <c r="G2095">
        <v>5.7958243657283024</v>
      </c>
      <c r="H2095" t="s">
        <v>64</v>
      </c>
      <c r="I2095" t="s">
        <v>65</v>
      </c>
      <c r="J2095" t="s">
        <v>864</v>
      </c>
      <c r="K2095">
        <v>0</v>
      </c>
      <c r="L2095">
        <v>0</v>
      </c>
    </row>
    <row r="2096" spans="1:12" hidden="1" x14ac:dyDescent="0.25">
      <c r="A2096">
        <v>103</v>
      </c>
      <c r="B2096" t="s">
        <v>714</v>
      </c>
      <c r="C2096" t="s">
        <v>715</v>
      </c>
      <c r="D2096" t="s">
        <v>863</v>
      </c>
      <c r="E2096" t="str">
        <f>_xlfn.XLOOKUP(F2096, Keys!B:B, Keys!A:A, "找不到")</f>
        <v>FA</v>
      </c>
      <c r="F2096" t="s">
        <v>63</v>
      </c>
      <c r="G2096">
        <v>3.6625394640283799</v>
      </c>
      <c r="H2096" t="s">
        <v>64</v>
      </c>
      <c r="I2096" t="s">
        <v>65</v>
      </c>
      <c r="J2096" t="s">
        <v>864</v>
      </c>
      <c r="K2096">
        <v>0</v>
      </c>
      <c r="L2096">
        <v>0</v>
      </c>
    </row>
    <row r="2097" spans="1:12" hidden="1" x14ac:dyDescent="0.25">
      <c r="A2097">
        <v>104</v>
      </c>
      <c r="B2097" t="s">
        <v>714</v>
      </c>
      <c r="C2097" t="s">
        <v>715</v>
      </c>
      <c r="D2097" t="s">
        <v>863</v>
      </c>
      <c r="E2097" t="str">
        <f>_xlfn.XLOOKUP(F2097, Keys!B:B, Keys!A:A, "找不到")</f>
        <v>FA</v>
      </c>
      <c r="F2097" t="s">
        <v>63</v>
      </c>
      <c r="G2097">
        <v>6.4853087307581054</v>
      </c>
      <c r="H2097" t="s">
        <v>64</v>
      </c>
      <c r="I2097" t="s">
        <v>65</v>
      </c>
      <c r="J2097" t="s">
        <v>864</v>
      </c>
      <c r="K2097">
        <v>0</v>
      </c>
      <c r="L2097">
        <v>0</v>
      </c>
    </row>
    <row r="2098" spans="1:12" hidden="1" x14ac:dyDescent="0.25">
      <c r="A2098">
        <v>105</v>
      </c>
      <c r="B2098" t="s">
        <v>714</v>
      </c>
      <c r="C2098" t="s">
        <v>715</v>
      </c>
      <c r="D2098" t="s">
        <v>863</v>
      </c>
      <c r="E2098" t="str">
        <f>_xlfn.XLOOKUP(F2098, Keys!B:B, Keys!A:A, "找不到")</f>
        <v>FA</v>
      </c>
      <c r="F2098" t="s">
        <v>63</v>
      </c>
      <c r="G2098">
        <v>11.88818880593341</v>
      </c>
      <c r="H2098" t="s">
        <v>64</v>
      </c>
      <c r="I2098" t="s">
        <v>65</v>
      </c>
      <c r="J2098" t="s">
        <v>864</v>
      </c>
      <c r="K2098">
        <v>0</v>
      </c>
      <c r="L2098">
        <v>0</v>
      </c>
    </row>
    <row r="2099" spans="1:12" hidden="1" x14ac:dyDescent="0.25">
      <c r="A2099">
        <v>106</v>
      </c>
      <c r="B2099" t="s">
        <v>714</v>
      </c>
      <c r="C2099" t="s">
        <v>715</v>
      </c>
      <c r="D2099" t="s">
        <v>863</v>
      </c>
      <c r="E2099" t="str">
        <f>_xlfn.XLOOKUP(F2099, Keys!B:B, Keys!A:A, "找不到")</f>
        <v>FA</v>
      </c>
      <c r="F2099" t="s">
        <v>63</v>
      </c>
      <c r="G2099">
        <v>0.73288673749414113</v>
      </c>
      <c r="H2099" t="s">
        <v>64</v>
      </c>
      <c r="I2099" t="s">
        <v>65</v>
      </c>
      <c r="J2099" t="s">
        <v>864</v>
      </c>
      <c r="K2099">
        <v>0</v>
      </c>
      <c r="L2099">
        <v>0</v>
      </c>
    </row>
    <row r="2100" spans="1:12" hidden="1" x14ac:dyDescent="0.25">
      <c r="A2100">
        <v>113</v>
      </c>
      <c r="B2100" t="s">
        <v>714</v>
      </c>
      <c r="C2100" t="s">
        <v>715</v>
      </c>
      <c r="D2100">
        <v>0</v>
      </c>
      <c r="E2100" t="str">
        <f>_xlfn.XLOOKUP(F2100, Keys!B:B, Keys!A:A, "找不到")</f>
        <v>FA</v>
      </c>
      <c r="F2100" t="s">
        <v>63</v>
      </c>
      <c r="G2100">
        <v>4.19275752188996</v>
      </c>
      <c r="H2100" t="s">
        <v>64</v>
      </c>
      <c r="I2100" t="s">
        <v>65</v>
      </c>
      <c r="J2100" t="s">
        <v>57</v>
      </c>
      <c r="K2100">
        <v>0</v>
      </c>
      <c r="L2100">
        <v>0</v>
      </c>
    </row>
    <row r="2101" spans="1:12" hidden="1" x14ac:dyDescent="0.25">
      <c r="A2101">
        <v>114</v>
      </c>
      <c r="B2101" t="s">
        <v>714</v>
      </c>
      <c r="C2101" t="s">
        <v>715</v>
      </c>
      <c r="D2101">
        <v>0</v>
      </c>
      <c r="E2101" t="str">
        <f>_xlfn.XLOOKUP(F2101, Keys!B:B, Keys!A:A, "找不到")</f>
        <v>FA</v>
      </c>
      <c r="F2101" t="s">
        <v>63</v>
      </c>
      <c r="G2101">
        <v>0.87265193049539869</v>
      </c>
      <c r="H2101" t="s">
        <v>64</v>
      </c>
      <c r="I2101" t="s">
        <v>65</v>
      </c>
      <c r="J2101" t="s">
        <v>57</v>
      </c>
      <c r="K2101">
        <v>0</v>
      </c>
      <c r="L2101">
        <v>0</v>
      </c>
    </row>
    <row r="2102" spans="1:12" hidden="1" x14ac:dyDescent="0.25">
      <c r="A2102">
        <v>115</v>
      </c>
      <c r="B2102" t="s">
        <v>714</v>
      </c>
      <c r="C2102" t="s">
        <v>715</v>
      </c>
      <c r="D2102">
        <v>0</v>
      </c>
      <c r="E2102" t="str">
        <f>_xlfn.XLOOKUP(F2102, Keys!B:B, Keys!A:A, "找不到")</f>
        <v>FA</v>
      </c>
      <c r="F2102" t="s">
        <v>63</v>
      </c>
      <c r="G2102">
        <v>1.1884672925066291</v>
      </c>
      <c r="H2102" t="s">
        <v>64</v>
      </c>
      <c r="I2102" t="s">
        <v>65</v>
      </c>
      <c r="J2102" t="s">
        <v>57</v>
      </c>
      <c r="K2102">
        <v>0</v>
      </c>
      <c r="L2102">
        <v>0</v>
      </c>
    </row>
    <row r="2103" spans="1:12" hidden="1" x14ac:dyDescent="0.25">
      <c r="A2103">
        <v>126</v>
      </c>
      <c r="B2103" t="s">
        <v>714</v>
      </c>
      <c r="C2103" t="s">
        <v>715</v>
      </c>
      <c r="D2103" t="s">
        <v>914</v>
      </c>
      <c r="E2103" t="str">
        <f>_xlfn.XLOOKUP(F2103, Keys!B:B, Keys!A:A, "找不到")</f>
        <v>FA</v>
      </c>
      <c r="F2103" t="s">
        <v>63</v>
      </c>
      <c r="G2103">
        <v>21.89161301032528</v>
      </c>
      <c r="H2103" t="s">
        <v>64</v>
      </c>
      <c r="I2103" t="s">
        <v>65</v>
      </c>
      <c r="J2103" t="s">
        <v>57</v>
      </c>
      <c r="K2103">
        <v>0</v>
      </c>
      <c r="L2103">
        <v>0</v>
      </c>
    </row>
    <row r="2104" spans="1:12" hidden="1" x14ac:dyDescent="0.25">
      <c r="A2104">
        <v>132</v>
      </c>
      <c r="B2104" t="s">
        <v>714</v>
      </c>
      <c r="C2104" t="s">
        <v>715</v>
      </c>
      <c r="D2104" t="s">
        <v>837</v>
      </c>
      <c r="E2104" t="str">
        <f>_xlfn.XLOOKUP(F2104, Keys!B:B, Keys!A:A, "找不到")</f>
        <v>FA</v>
      </c>
      <c r="F2104" t="s">
        <v>63</v>
      </c>
      <c r="G2104">
        <v>0.14913675141212351</v>
      </c>
      <c r="H2104" t="s">
        <v>64</v>
      </c>
      <c r="I2104" t="s">
        <v>65</v>
      </c>
      <c r="J2104" t="s">
        <v>57</v>
      </c>
      <c r="K2104">
        <v>0</v>
      </c>
      <c r="L2104">
        <v>0</v>
      </c>
    </row>
    <row r="2105" spans="1:12" hidden="1" x14ac:dyDescent="0.25">
      <c r="A2105">
        <v>133</v>
      </c>
      <c r="B2105" t="s">
        <v>714</v>
      </c>
      <c r="C2105" t="s">
        <v>715</v>
      </c>
      <c r="D2105" t="s">
        <v>837</v>
      </c>
      <c r="E2105" t="str">
        <f>_xlfn.XLOOKUP(F2105, Keys!B:B, Keys!A:A, "找不到")</f>
        <v>FA</v>
      </c>
      <c r="F2105" t="s">
        <v>63</v>
      </c>
      <c r="G2105">
        <v>0.9296316946149713</v>
      </c>
      <c r="H2105" t="s">
        <v>64</v>
      </c>
      <c r="I2105" t="s">
        <v>65</v>
      </c>
      <c r="J2105" t="s">
        <v>57</v>
      </c>
      <c r="K2105">
        <v>0</v>
      </c>
      <c r="L2105">
        <v>0</v>
      </c>
    </row>
    <row r="2106" spans="1:12" hidden="1" x14ac:dyDescent="0.25">
      <c r="A2106">
        <v>134</v>
      </c>
      <c r="B2106" t="s">
        <v>714</v>
      </c>
      <c r="C2106" t="s">
        <v>715</v>
      </c>
      <c r="D2106" t="s">
        <v>798</v>
      </c>
      <c r="E2106" t="str">
        <f>_xlfn.XLOOKUP(F2106, Keys!B:B, Keys!A:A, "找不到")</f>
        <v>FA</v>
      </c>
      <c r="F2106" t="s">
        <v>63</v>
      </c>
      <c r="G2106">
        <v>8.3953811992052589</v>
      </c>
      <c r="H2106" t="s">
        <v>64</v>
      </c>
      <c r="I2106" t="s">
        <v>65</v>
      </c>
      <c r="J2106" t="s">
        <v>57</v>
      </c>
      <c r="K2106">
        <v>0</v>
      </c>
      <c r="L2106">
        <v>0</v>
      </c>
    </row>
    <row r="2107" spans="1:12" hidden="1" x14ac:dyDescent="0.25">
      <c r="A2107">
        <v>135</v>
      </c>
      <c r="B2107" t="s">
        <v>714</v>
      </c>
      <c r="C2107" t="s">
        <v>715</v>
      </c>
      <c r="D2107" t="s">
        <v>798</v>
      </c>
      <c r="E2107" t="str">
        <f>_xlfn.XLOOKUP(F2107, Keys!B:B, Keys!A:A, "找不到")</f>
        <v>FA</v>
      </c>
      <c r="F2107" t="s">
        <v>63</v>
      </c>
      <c r="G2107">
        <v>8.5241664681930089</v>
      </c>
      <c r="H2107" t="s">
        <v>64</v>
      </c>
      <c r="I2107" t="s">
        <v>65</v>
      </c>
      <c r="J2107" t="s">
        <v>57</v>
      </c>
      <c r="K2107">
        <v>0</v>
      </c>
      <c r="L2107">
        <v>0</v>
      </c>
    </row>
    <row r="2108" spans="1:12" hidden="1" x14ac:dyDescent="0.25">
      <c r="A2108">
        <v>136</v>
      </c>
      <c r="B2108" t="s">
        <v>714</v>
      </c>
      <c r="C2108" t="s">
        <v>715</v>
      </c>
      <c r="D2108" t="s">
        <v>798</v>
      </c>
      <c r="E2108" t="str">
        <f>_xlfn.XLOOKUP(F2108, Keys!B:B, Keys!A:A, "找不到")</f>
        <v>FA</v>
      </c>
      <c r="F2108" t="s">
        <v>63</v>
      </c>
      <c r="G2108">
        <v>0.58040240244743657</v>
      </c>
      <c r="H2108" t="s">
        <v>64</v>
      </c>
      <c r="I2108" t="s">
        <v>65</v>
      </c>
      <c r="J2108" t="s">
        <v>57</v>
      </c>
      <c r="K2108">
        <v>0</v>
      </c>
      <c r="L2108">
        <v>0</v>
      </c>
    </row>
    <row r="2109" spans="1:12" hidden="1" x14ac:dyDescent="0.25">
      <c r="A2109">
        <v>137</v>
      </c>
      <c r="B2109" t="s">
        <v>714</v>
      </c>
      <c r="C2109" t="s">
        <v>715</v>
      </c>
      <c r="D2109" t="s">
        <v>798</v>
      </c>
      <c r="E2109" t="str">
        <f>_xlfn.XLOOKUP(F2109, Keys!B:B, Keys!A:A, "找不到")</f>
        <v>FA</v>
      </c>
      <c r="F2109" t="s">
        <v>63</v>
      </c>
      <c r="G2109">
        <v>2.4647488563261049</v>
      </c>
      <c r="H2109" t="s">
        <v>64</v>
      </c>
      <c r="I2109" t="s">
        <v>65</v>
      </c>
      <c r="J2109" t="s">
        <v>57</v>
      </c>
      <c r="K2109">
        <v>0</v>
      </c>
      <c r="L2109">
        <v>0</v>
      </c>
    </row>
    <row r="2110" spans="1:12" hidden="1" x14ac:dyDescent="0.25">
      <c r="A2110">
        <v>138</v>
      </c>
      <c r="B2110" t="s">
        <v>714</v>
      </c>
      <c r="C2110" t="s">
        <v>715</v>
      </c>
      <c r="D2110" t="s">
        <v>798</v>
      </c>
      <c r="E2110" t="str">
        <f>_xlfn.XLOOKUP(F2110, Keys!B:B, Keys!A:A, "找不到")</f>
        <v>FA</v>
      </c>
      <c r="F2110" t="s">
        <v>63</v>
      </c>
      <c r="G2110">
        <v>0.47334868637635169</v>
      </c>
      <c r="H2110" t="s">
        <v>64</v>
      </c>
      <c r="I2110" t="s">
        <v>65</v>
      </c>
      <c r="J2110" t="s">
        <v>57</v>
      </c>
      <c r="K2110">
        <v>0</v>
      </c>
      <c r="L2110">
        <v>0</v>
      </c>
    </row>
    <row r="2111" spans="1:12" hidden="1" x14ac:dyDescent="0.25">
      <c r="A2111">
        <v>140</v>
      </c>
      <c r="B2111" t="s">
        <v>714</v>
      </c>
      <c r="C2111" t="s">
        <v>715</v>
      </c>
      <c r="D2111">
        <v>0</v>
      </c>
      <c r="E2111" t="str">
        <f>_xlfn.XLOOKUP(F2111, Keys!B:B, Keys!A:A, "找不到")</f>
        <v>FA</v>
      </c>
      <c r="F2111" t="s">
        <v>63</v>
      </c>
      <c r="G2111">
        <v>3.673173051346724</v>
      </c>
      <c r="H2111" t="s">
        <v>64</v>
      </c>
      <c r="I2111" t="s">
        <v>65</v>
      </c>
      <c r="J2111" t="s">
        <v>57</v>
      </c>
      <c r="K2111">
        <v>0</v>
      </c>
      <c r="L2111">
        <v>0</v>
      </c>
    </row>
    <row r="2112" spans="1:12" hidden="1" x14ac:dyDescent="0.25">
      <c r="A2112">
        <v>141</v>
      </c>
      <c r="B2112" t="s">
        <v>714</v>
      </c>
      <c r="C2112" t="s">
        <v>715</v>
      </c>
      <c r="D2112">
        <v>0</v>
      </c>
      <c r="E2112" t="str">
        <f>_xlfn.XLOOKUP(F2112, Keys!B:B, Keys!A:A, "找不到")</f>
        <v>FA</v>
      </c>
      <c r="F2112" t="s">
        <v>63</v>
      </c>
      <c r="G2112">
        <v>6.3146613307558024</v>
      </c>
      <c r="H2112" t="s">
        <v>64</v>
      </c>
      <c r="I2112" t="s">
        <v>65</v>
      </c>
      <c r="J2112" t="s">
        <v>57</v>
      </c>
      <c r="K2112">
        <v>0</v>
      </c>
      <c r="L2112">
        <v>0</v>
      </c>
    </row>
    <row r="2113" spans="1:12" hidden="1" x14ac:dyDescent="0.25">
      <c r="A2113">
        <v>142</v>
      </c>
      <c r="B2113" t="s">
        <v>714</v>
      </c>
      <c r="C2113" t="s">
        <v>715</v>
      </c>
      <c r="D2113">
        <v>0</v>
      </c>
      <c r="E2113" t="str">
        <f>_xlfn.XLOOKUP(F2113, Keys!B:B, Keys!A:A, "找不到")</f>
        <v>FA</v>
      </c>
      <c r="F2113" t="s">
        <v>63</v>
      </c>
      <c r="G2113">
        <v>3.2250697283501388</v>
      </c>
      <c r="H2113" t="s">
        <v>64</v>
      </c>
      <c r="I2113" t="s">
        <v>65</v>
      </c>
      <c r="J2113" t="s">
        <v>57</v>
      </c>
      <c r="K2113">
        <v>0</v>
      </c>
      <c r="L2113">
        <v>0</v>
      </c>
    </row>
    <row r="2114" spans="1:12" hidden="1" x14ac:dyDescent="0.25">
      <c r="A2114">
        <v>143</v>
      </c>
      <c r="B2114" t="s">
        <v>714</v>
      </c>
      <c r="C2114" t="s">
        <v>715</v>
      </c>
      <c r="D2114">
        <v>0</v>
      </c>
      <c r="E2114" t="str">
        <f>_xlfn.XLOOKUP(F2114, Keys!B:B, Keys!A:A, "找不到")</f>
        <v>FA</v>
      </c>
      <c r="F2114" t="s">
        <v>63</v>
      </c>
      <c r="G2114">
        <v>0.2881951759076985</v>
      </c>
      <c r="H2114" t="s">
        <v>64</v>
      </c>
      <c r="I2114" t="s">
        <v>65</v>
      </c>
      <c r="J2114" t="s">
        <v>57</v>
      </c>
      <c r="K2114">
        <v>0</v>
      </c>
      <c r="L2114">
        <v>0</v>
      </c>
    </row>
    <row r="2115" spans="1:12" hidden="1" x14ac:dyDescent="0.25">
      <c r="A2115">
        <v>150</v>
      </c>
      <c r="B2115" t="s">
        <v>714</v>
      </c>
      <c r="C2115" t="s">
        <v>715</v>
      </c>
      <c r="D2115" t="s">
        <v>914</v>
      </c>
      <c r="E2115" t="str">
        <f>_xlfn.XLOOKUP(F2115, Keys!B:B, Keys!A:A, "找不到")</f>
        <v>FA</v>
      </c>
      <c r="F2115" t="s">
        <v>63</v>
      </c>
      <c r="G2115">
        <v>4.5278768032814236</v>
      </c>
      <c r="H2115" t="s">
        <v>64</v>
      </c>
      <c r="I2115" t="s">
        <v>65</v>
      </c>
      <c r="J2115" t="s">
        <v>57</v>
      </c>
      <c r="K2115">
        <v>0</v>
      </c>
      <c r="L2115">
        <v>0</v>
      </c>
    </row>
    <row r="2116" spans="1:12" hidden="1" x14ac:dyDescent="0.25">
      <c r="A2116">
        <v>151</v>
      </c>
      <c r="B2116" t="s">
        <v>714</v>
      </c>
      <c r="C2116" t="s">
        <v>715</v>
      </c>
      <c r="D2116" t="s">
        <v>914</v>
      </c>
      <c r="E2116" t="str">
        <f>_xlfn.XLOOKUP(F2116, Keys!B:B, Keys!A:A, "找不到")</f>
        <v>FA</v>
      </c>
      <c r="F2116" t="s">
        <v>63</v>
      </c>
      <c r="G2116">
        <v>0.81655370228402102</v>
      </c>
      <c r="H2116" t="s">
        <v>64</v>
      </c>
      <c r="I2116" t="s">
        <v>65</v>
      </c>
      <c r="J2116" t="s">
        <v>57</v>
      </c>
      <c r="K2116">
        <v>0</v>
      </c>
      <c r="L2116">
        <v>0</v>
      </c>
    </row>
    <row r="2117" spans="1:12" hidden="1" x14ac:dyDescent="0.25">
      <c r="A2117">
        <v>152</v>
      </c>
      <c r="B2117" t="s">
        <v>714</v>
      </c>
      <c r="C2117" t="s">
        <v>715</v>
      </c>
      <c r="D2117" t="s">
        <v>914</v>
      </c>
      <c r="E2117" t="str">
        <f>_xlfn.XLOOKUP(F2117, Keys!B:B, Keys!A:A, "找不到")</f>
        <v>FA</v>
      </c>
      <c r="F2117" t="s">
        <v>63</v>
      </c>
      <c r="G2117">
        <v>1.277498399234404</v>
      </c>
      <c r="H2117" t="s">
        <v>64</v>
      </c>
      <c r="I2117" t="s">
        <v>65</v>
      </c>
      <c r="J2117" t="s">
        <v>57</v>
      </c>
      <c r="K2117">
        <v>0</v>
      </c>
      <c r="L2117">
        <v>0</v>
      </c>
    </row>
    <row r="2118" spans="1:12" hidden="1" x14ac:dyDescent="0.25">
      <c r="A2118">
        <v>153</v>
      </c>
      <c r="B2118" t="s">
        <v>714</v>
      </c>
      <c r="C2118" t="s">
        <v>715</v>
      </c>
      <c r="D2118" t="s">
        <v>914</v>
      </c>
      <c r="E2118" t="str">
        <f>_xlfn.XLOOKUP(F2118, Keys!B:B, Keys!A:A, "找不到")</f>
        <v>FA</v>
      </c>
      <c r="F2118" t="s">
        <v>63</v>
      </c>
      <c r="G2118">
        <v>14.73252525197684</v>
      </c>
      <c r="H2118" t="s">
        <v>64</v>
      </c>
      <c r="I2118" t="s">
        <v>65</v>
      </c>
      <c r="J2118" t="s">
        <v>57</v>
      </c>
      <c r="K2118">
        <v>0</v>
      </c>
      <c r="L2118">
        <v>0</v>
      </c>
    </row>
    <row r="2119" spans="1:12" hidden="1" x14ac:dyDescent="0.25">
      <c r="A2119">
        <v>154</v>
      </c>
      <c r="B2119" t="s">
        <v>714</v>
      </c>
      <c r="C2119" t="s">
        <v>715</v>
      </c>
      <c r="D2119" t="s">
        <v>914</v>
      </c>
      <c r="E2119" t="str">
        <f>_xlfn.XLOOKUP(F2119, Keys!B:B, Keys!A:A, "找不到")</f>
        <v>FA</v>
      </c>
      <c r="F2119" t="s">
        <v>63</v>
      </c>
      <c r="G2119">
        <v>0.8151271889728271</v>
      </c>
      <c r="H2119" t="s">
        <v>64</v>
      </c>
      <c r="I2119" t="s">
        <v>65</v>
      </c>
      <c r="J2119" t="s">
        <v>57</v>
      </c>
      <c r="K2119">
        <v>0</v>
      </c>
      <c r="L2119">
        <v>0</v>
      </c>
    </row>
    <row r="2120" spans="1:12" hidden="1" x14ac:dyDescent="0.25">
      <c r="A2120">
        <v>155</v>
      </c>
      <c r="B2120" t="s">
        <v>714</v>
      </c>
      <c r="C2120" t="s">
        <v>715</v>
      </c>
      <c r="D2120" t="s">
        <v>914</v>
      </c>
      <c r="E2120" t="str">
        <f>_xlfn.XLOOKUP(F2120, Keys!B:B, Keys!A:A, "找不到")</f>
        <v>FA</v>
      </c>
      <c r="F2120" t="s">
        <v>63</v>
      </c>
      <c r="G2120">
        <v>1.670202791868983</v>
      </c>
      <c r="H2120" t="s">
        <v>64</v>
      </c>
      <c r="I2120" t="s">
        <v>65</v>
      </c>
      <c r="J2120" t="s">
        <v>57</v>
      </c>
      <c r="K2120">
        <v>0</v>
      </c>
      <c r="L2120">
        <v>0</v>
      </c>
    </row>
    <row r="2121" spans="1:12" hidden="1" x14ac:dyDescent="0.25">
      <c r="A2121">
        <v>156</v>
      </c>
      <c r="B2121" t="s">
        <v>714</v>
      </c>
      <c r="C2121" t="s">
        <v>715</v>
      </c>
      <c r="D2121" t="s">
        <v>914</v>
      </c>
      <c r="E2121" t="str">
        <f>_xlfn.XLOOKUP(F2121, Keys!B:B, Keys!A:A, "找不到")</f>
        <v>FA</v>
      </c>
      <c r="F2121" t="s">
        <v>63</v>
      </c>
      <c r="G2121">
        <v>0.32453999518373128</v>
      </c>
      <c r="H2121" t="s">
        <v>64</v>
      </c>
      <c r="I2121" t="s">
        <v>65</v>
      </c>
      <c r="J2121" t="s">
        <v>57</v>
      </c>
      <c r="K2121">
        <v>0</v>
      </c>
      <c r="L2121">
        <v>0</v>
      </c>
    </row>
    <row r="2122" spans="1:12" hidden="1" x14ac:dyDescent="0.25">
      <c r="A2122">
        <v>157</v>
      </c>
      <c r="B2122" t="s">
        <v>714</v>
      </c>
      <c r="C2122" t="s">
        <v>715</v>
      </c>
      <c r="D2122" t="s">
        <v>914</v>
      </c>
      <c r="E2122" t="str">
        <f>_xlfn.XLOOKUP(F2122, Keys!B:B, Keys!A:A, "找不到")</f>
        <v>FA</v>
      </c>
      <c r="F2122" t="s">
        <v>63</v>
      </c>
      <c r="G2122">
        <v>9.4015625062812429</v>
      </c>
      <c r="H2122" t="s">
        <v>64</v>
      </c>
      <c r="I2122" t="s">
        <v>65</v>
      </c>
      <c r="J2122" t="s">
        <v>57</v>
      </c>
      <c r="K2122">
        <v>0</v>
      </c>
      <c r="L2122">
        <v>0</v>
      </c>
    </row>
    <row r="2123" spans="1:12" hidden="1" x14ac:dyDescent="0.25">
      <c r="A2123">
        <v>158</v>
      </c>
      <c r="B2123" t="s">
        <v>714</v>
      </c>
      <c r="C2123" t="s">
        <v>715</v>
      </c>
      <c r="D2123" t="s">
        <v>914</v>
      </c>
      <c r="E2123" t="str">
        <f>_xlfn.XLOOKUP(F2123, Keys!B:B, Keys!A:A, "找不到")</f>
        <v>FA</v>
      </c>
      <c r="F2123" t="s">
        <v>63</v>
      </c>
      <c r="G2123">
        <v>1.8359488948702689</v>
      </c>
      <c r="H2123" t="s">
        <v>64</v>
      </c>
      <c r="I2123" t="s">
        <v>65</v>
      </c>
      <c r="J2123" t="s">
        <v>57</v>
      </c>
      <c r="K2123">
        <v>0</v>
      </c>
      <c r="L2123">
        <v>0</v>
      </c>
    </row>
    <row r="2124" spans="1:12" hidden="1" x14ac:dyDescent="0.25">
      <c r="A2124">
        <v>159</v>
      </c>
      <c r="B2124" t="s">
        <v>714</v>
      </c>
      <c r="C2124" t="s">
        <v>715</v>
      </c>
      <c r="D2124" t="s">
        <v>914</v>
      </c>
      <c r="E2124" t="str">
        <f>_xlfn.XLOOKUP(F2124, Keys!B:B, Keys!A:A, "找不到")</f>
        <v>FA</v>
      </c>
      <c r="F2124" t="s">
        <v>63</v>
      </c>
      <c r="G2124">
        <v>4.8273250388428064</v>
      </c>
      <c r="H2124" t="s">
        <v>64</v>
      </c>
      <c r="I2124" t="s">
        <v>65</v>
      </c>
      <c r="J2124" t="s">
        <v>57</v>
      </c>
      <c r="K2124">
        <v>0</v>
      </c>
      <c r="L2124">
        <v>0</v>
      </c>
    </row>
    <row r="2125" spans="1:12" hidden="1" x14ac:dyDescent="0.25">
      <c r="A2125">
        <v>160</v>
      </c>
      <c r="B2125" t="s">
        <v>714</v>
      </c>
      <c r="C2125" t="s">
        <v>715</v>
      </c>
      <c r="D2125" t="s">
        <v>914</v>
      </c>
      <c r="E2125" t="str">
        <f>_xlfn.XLOOKUP(F2125, Keys!B:B, Keys!A:A, "找不到")</f>
        <v>FA</v>
      </c>
      <c r="F2125" t="s">
        <v>63</v>
      </c>
      <c r="G2125">
        <v>6.5278601832681158</v>
      </c>
      <c r="H2125" t="s">
        <v>64</v>
      </c>
      <c r="I2125" t="s">
        <v>65</v>
      </c>
      <c r="J2125" t="s">
        <v>57</v>
      </c>
      <c r="K2125">
        <v>0</v>
      </c>
      <c r="L2125">
        <v>0</v>
      </c>
    </row>
    <row r="2126" spans="1:12" hidden="1" x14ac:dyDescent="0.25">
      <c r="A2126">
        <v>161</v>
      </c>
      <c r="B2126" t="s">
        <v>714</v>
      </c>
      <c r="C2126" t="s">
        <v>715</v>
      </c>
      <c r="D2126" t="s">
        <v>914</v>
      </c>
      <c r="E2126" t="str">
        <f>_xlfn.XLOOKUP(F2126, Keys!B:B, Keys!A:A, "找不到")</f>
        <v>FA</v>
      </c>
      <c r="F2126" t="s">
        <v>63</v>
      </c>
      <c r="G2126">
        <v>0.6379546021922996</v>
      </c>
      <c r="H2126" t="s">
        <v>64</v>
      </c>
      <c r="I2126" t="s">
        <v>65</v>
      </c>
      <c r="J2126" t="s">
        <v>57</v>
      </c>
      <c r="K2126">
        <v>0</v>
      </c>
      <c r="L2126">
        <v>0</v>
      </c>
    </row>
    <row r="2127" spans="1:12" hidden="1" x14ac:dyDescent="0.25">
      <c r="A2127">
        <v>162</v>
      </c>
      <c r="B2127" t="s">
        <v>714</v>
      </c>
      <c r="C2127" t="s">
        <v>715</v>
      </c>
      <c r="D2127" t="s">
        <v>914</v>
      </c>
      <c r="E2127" t="str">
        <f>_xlfn.XLOOKUP(F2127, Keys!B:B, Keys!A:A, "找不到")</f>
        <v>FA</v>
      </c>
      <c r="F2127" t="s">
        <v>63</v>
      </c>
      <c r="G2127">
        <v>8.710341665859179</v>
      </c>
      <c r="H2127" t="s">
        <v>64</v>
      </c>
      <c r="I2127" t="s">
        <v>65</v>
      </c>
      <c r="J2127" t="s">
        <v>57</v>
      </c>
      <c r="K2127">
        <v>0</v>
      </c>
      <c r="L2127">
        <v>0</v>
      </c>
    </row>
    <row r="2128" spans="1:12" hidden="1" x14ac:dyDescent="0.25">
      <c r="A2128">
        <v>163</v>
      </c>
      <c r="B2128" t="s">
        <v>714</v>
      </c>
      <c r="C2128" t="s">
        <v>715</v>
      </c>
      <c r="D2128" t="s">
        <v>914</v>
      </c>
      <c r="E2128" t="str">
        <f>_xlfn.XLOOKUP(F2128, Keys!B:B, Keys!A:A, "找不到")</f>
        <v>FA</v>
      </c>
      <c r="F2128" t="s">
        <v>63</v>
      </c>
      <c r="G2128">
        <v>4.1541063516608148</v>
      </c>
      <c r="H2128" t="s">
        <v>64</v>
      </c>
      <c r="I2128" t="s">
        <v>65</v>
      </c>
      <c r="J2128" t="s">
        <v>57</v>
      </c>
      <c r="K2128">
        <v>0</v>
      </c>
      <c r="L2128">
        <v>0</v>
      </c>
    </row>
    <row r="2129" spans="1:12" hidden="1" x14ac:dyDescent="0.25">
      <c r="A2129">
        <v>164</v>
      </c>
      <c r="B2129" t="s">
        <v>714</v>
      </c>
      <c r="C2129" t="s">
        <v>715</v>
      </c>
      <c r="D2129" t="s">
        <v>914</v>
      </c>
      <c r="E2129" t="str">
        <f>_xlfn.XLOOKUP(F2129, Keys!B:B, Keys!A:A, "找不到")</f>
        <v>FA</v>
      </c>
      <c r="F2129" t="s">
        <v>63</v>
      </c>
      <c r="G2129">
        <v>1.5639354863180439</v>
      </c>
      <c r="H2129" t="s">
        <v>64</v>
      </c>
      <c r="I2129" t="s">
        <v>65</v>
      </c>
      <c r="J2129" t="s">
        <v>57</v>
      </c>
      <c r="K2129">
        <v>0</v>
      </c>
      <c r="L2129">
        <v>0</v>
      </c>
    </row>
    <row r="2130" spans="1:12" hidden="1" x14ac:dyDescent="0.25">
      <c r="A2130">
        <v>167</v>
      </c>
      <c r="B2130" t="s">
        <v>714</v>
      </c>
      <c r="C2130" t="s">
        <v>715</v>
      </c>
      <c r="D2130" t="s">
        <v>57</v>
      </c>
      <c r="E2130" t="str">
        <f>_xlfn.XLOOKUP(F2130, Keys!B:B, Keys!A:A, "找不到")</f>
        <v>FA</v>
      </c>
      <c r="F2130" t="s">
        <v>63</v>
      </c>
      <c r="G2130">
        <v>0.13535983671619239</v>
      </c>
      <c r="H2130" t="s">
        <v>64</v>
      </c>
      <c r="I2130" t="s">
        <v>65</v>
      </c>
      <c r="J2130" t="s">
        <v>57</v>
      </c>
      <c r="K2130">
        <v>0</v>
      </c>
      <c r="L2130">
        <v>0</v>
      </c>
    </row>
    <row r="2131" spans="1:12" hidden="1" x14ac:dyDescent="0.25">
      <c r="A2131">
        <v>172</v>
      </c>
      <c r="B2131" t="s">
        <v>714</v>
      </c>
      <c r="C2131" t="s">
        <v>715</v>
      </c>
      <c r="D2131" t="s">
        <v>57</v>
      </c>
      <c r="E2131" t="str">
        <f>_xlfn.XLOOKUP(F2131, Keys!B:B, Keys!A:A, "找不到")</f>
        <v>FA</v>
      </c>
      <c r="F2131" t="s">
        <v>63</v>
      </c>
      <c r="G2131">
        <v>8.6878035531948097</v>
      </c>
      <c r="H2131" t="s">
        <v>64</v>
      </c>
      <c r="I2131" t="s">
        <v>65</v>
      </c>
      <c r="J2131" t="s">
        <v>968</v>
      </c>
      <c r="K2131">
        <v>0</v>
      </c>
      <c r="L2131">
        <v>0</v>
      </c>
    </row>
    <row r="2132" spans="1:12" hidden="1" x14ac:dyDescent="0.25">
      <c r="A2132">
        <v>173</v>
      </c>
      <c r="B2132" t="s">
        <v>714</v>
      </c>
      <c r="C2132" t="s">
        <v>715</v>
      </c>
      <c r="D2132" t="s">
        <v>57</v>
      </c>
      <c r="E2132" t="str">
        <f>_xlfn.XLOOKUP(F2132, Keys!B:B, Keys!A:A, "找不到")</f>
        <v>FA</v>
      </c>
      <c r="F2132" t="s">
        <v>63</v>
      </c>
      <c r="G2132">
        <v>8.5662358772204801</v>
      </c>
      <c r="H2132" t="s">
        <v>64</v>
      </c>
      <c r="I2132" t="s">
        <v>65</v>
      </c>
      <c r="J2132" t="s">
        <v>57</v>
      </c>
      <c r="K2132">
        <v>0</v>
      </c>
      <c r="L2132">
        <v>0</v>
      </c>
    </row>
    <row r="2133" spans="1:12" hidden="1" x14ac:dyDescent="0.25">
      <c r="A2133">
        <v>24</v>
      </c>
      <c r="B2133" t="s">
        <v>1026</v>
      </c>
      <c r="C2133" t="s">
        <v>1027</v>
      </c>
      <c r="D2133">
        <v>0</v>
      </c>
      <c r="E2133" t="str">
        <f>_xlfn.XLOOKUP(F2133, Keys!B:B, Keys!A:A, "找不到")</f>
        <v>OUT</v>
      </c>
      <c r="F2133" t="s">
        <v>403</v>
      </c>
      <c r="G2133">
        <v>0.27193077705442797</v>
      </c>
      <c r="H2133">
        <v>0</v>
      </c>
      <c r="I2133" t="s">
        <v>38</v>
      </c>
      <c r="J2133" t="s">
        <v>1078</v>
      </c>
      <c r="K2133">
        <v>161.86844847302069</v>
      </c>
      <c r="L2133">
        <v>1100.469213443386</v>
      </c>
    </row>
    <row r="2134" spans="1:12" hidden="1" x14ac:dyDescent="0.25">
      <c r="A2134">
        <v>26</v>
      </c>
      <c r="B2134" t="s">
        <v>1026</v>
      </c>
      <c r="C2134" t="s">
        <v>1027</v>
      </c>
      <c r="D2134">
        <v>0</v>
      </c>
      <c r="E2134" t="str">
        <f>_xlfn.XLOOKUP(F2134, Keys!B:B, Keys!A:A, "找不到")</f>
        <v>OUT</v>
      </c>
      <c r="F2134" t="s">
        <v>403</v>
      </c>
      <c r="G2134">
        <v>10.048579294406469</v>
      </c>
      <c r="H2134">
        <v>0</v>
      </c>
      <c r="I2134" t="s">
        <v>38</v>
      </c>
      <c r="J2134" t="s">
        <v>1084</v>
      </c>
      <c r="K2134">
        <v>957.20848811224812</v>
      </c>
      <c r="L2134">
        <v>40665.3203146831</v>
      </c>
    </row>
    <row r="2135" spans="1:12" hidden="1" x14ac:dyDescent="0.25">
      <c r="A2135">
        <v>27</v>
      </c>
      <c r="B2135" t="s">
        <v>1026</v>
      </c>
      <c r="C2135" t="s">
        <v>1027</v>
      </c>
      <c r="D2135">
        <v>0</v>
      </c>
      <c r="E2135" t="str">
        <f>_xlfn.XLOOKUP(F2135, Keys!B:B, Keys!A:A, "找不到")</f>
        <v>OUT</v>
      </c>
      <c r="F2135" t="s">
        <v>403</v>
      </c>
      <c r="G2135">
        <v>14.65727852697812</v>
      </c>
      <c r="H2135">
        <v>0</v>
      </c>
      <c r="I2135" t="s">
        <v>38</v>
      </c>
      <c r="J2135" t="s">
        <v>673</v>
      </c>
      <c r="K2135">
        <v>1137.180492922929</v>
      </c>
      <c r="L2135">
        <v>59316.139006125763</v>
      </c>
    </row>
    <row r="2136" spans="1:12" hidden="1" x14ac:dyDescent="0.25">
      <c r="A2136">
        <v>28</v>
      </c>
      <c r="B2136" t="s">
        <v>1026</v>
      </c>
      <c r="C2136" t="s">
        <v>1027</v>
      </c>
      <c r="D2136">
        <v>0</v>
      </c>
      <c r="E2136" t="str">
        <f>_xlfn.XLOOKUP(F2136, Keys!B:B, Keys!A:A, "找不到")</f>
        <v>OUT</v>
      </c>
      <c r="F2136" t="s">
        <v>403</v>
      </c>
      <c r="G2136">
        <v>0.1566946348300593</v>
      </c>
      <c r="H2136">
        <v>0</v>
      </c>
      <c r="I2136" t="s">
        <v>38</v>
      </c>
      <c r="J2136" t="s">
        <v>1089</v>
      </c>
      <c r="K2136">
        <v>102.6736633483264</v>
      </c>
      <c r="L2136">
        <v>634.12322580801504</v>
      </c>
    </row>
    <row r="2137" spans="1:12" hidden="1" x14ac:dyDescent="0.25">
      <c r="A2137">
        <v>29</v>
      </c>
      <c r="B2137" t="s">
        <v>1026</v>
      </c>
      <c r="C2137" t="s">
        <v>1027</v>
      </c>
      <c r="D2137">
        <v>0</v>
      </c>
      <c r="E2137" t="str">
        <f>_xlfn.XLOOKUP(F2137, Keys!B:B, Keys!A:A, "找不到")</f>
        <v>OUT</v>
      </c>
      <c r="F2137" t="s">
        <v>403</v>
      </c>
      <c r="G2137">
        <v>0.76489159504798698</v>
      </c>
      <c r="H2137">
        <v>0</v>
      </c>
      <c r="I2137" t="s">
        <v>38</v>
      </c>
      <c r="J2137" t="s">
        <v>1091</v>
      </c>
      <c r="K2137">
        <v>230.35092099231679</v>
      </c>
      <c r="L2137">
        <v>3095.4188455227259</v>
      </c>
    </row>
    <row r="2138" spans="1:12" hidden="1" x14ac:dyDescent="0.25">
      <c r="A2138">
        <v>32</v>
      </c>
      <c r="B2138" t="s">
        <v>1026</v>
      </c>
      <c r="C2138" t="s">
        <v>1027</v>
      </c>
      <c r="D2138">
        <v>0</v>
      </c>
      <c r="E2138" t="str">
        <f>_xlfn.XLOOKUP(F2138, Keys!B:B, Keys!A:A, "找不到")</f>
        <v>OUT</v>
      </c>
      <c r="F2138" t="s">
        <v>403</v>
      </c>
      <c r="G2138">
        <v>3.737897400094802</v>
      </c>
      <c r="H2138">
        <v>0</v>
      </c>
      <c r="I2138" t="s">
        <v>38</v>
      </c>
      <c r="J2138" t="s">
        <v>673</v>
      </c>
      <c r="K2138">
        <v>637.94696797868266</v>
      </c>
      <c r="L2138">
        <v>15126.794606963829</v>
      </c>
    </row>
    <row r="2139" spans="1:12" hidden="1" x14ac:dyDescent="0.25">
      <c r="A2139">
        <v>44</v>
      </c>
      <c r="B2139" t="s">
        <v>1026</v>
      </c>
      <c r="C2139" t="s">
        <v>1027</v>
      </c>
      <c r="D2139">
        <v>0</v>
      </c>
      <c r="E2139" t="str">
        <f>_xlfn.XLOOKUP(F2139, Keys!B:B, Keys!A:A, "找不到")</f>
        <v>OUT</v>
      </c>
      <c r="F2139" t="s">
        <v>403</v>
      </c>
      <c r="G2139">
        <v>6.0961975028523936</v>
      </c>
      <c r="H2139">
        <v>0</v>
      </c>
      <c r="I2139" t="s">
        <v>38</v>
      </c>
      <c r="J2139" t="s">
        <v>1120</v>
      </c>
      <c r="K2139">
        <v>640.39847572678104</v>
      </c>
      <c r="L2139">
        <v>24670.534698677169</v>
      </c>
    </row>
    <row r="2140" spans="1:12" hidden="1" x14ac:dyDescent="0.25">
      <c r="A2140">
        <v>45</v>
      </c>
      <c r="B2140" t="s">
        <v>1026</v>
      </c>
      <c r="C2140" t="s">
        <v>1027</v>
      </c>
      <c r="D2140">
        <v>0</v>
      </c>
      <c r="E2140" t="str">
        <f>_xlfn.XLOOKUP(F2140, Keys!B:B, Keys!A:A, "找不到")</f>
        <v>OUT</v>
      </c>
      <c r="F2140" t="s">
        <v>403</v>
      </c>
      <c r="G2140">
        <v>0.95613661866478517</v>
      </c>
      <c r="H2140">
        <v>0</v>
      </c>
      <c r="I2140" t="s">
        <v>38</v>
      </c>
      <c r="J2140" t="s">
        <v>1120</v>
      </c>
      <c r="K2140">
        <v>249.67545498890729</v>
      </c>
      <c r="L2140">
        <v>3869.363093372302</v>
      </c>
    </row>
    <row r="2141" spans="1:12" hidden="1" x14ac:dyDescent="0.25">
      <c r="A2141">
        <v>46</v>
      </c>
      <c r="B2141" t="s">
        <v>1026</v>
      </c>
      <c r="C2141" t="s">
        <v>1027</v>
      </c>
      <c r="D2141">
        <v>0</v>
      </c>
      <c r="E2141" t="str">
        <f>_xlfn.XLOOKUP(F2141, Keys!B:B, Keys!A:A, "找不到")</f>
        <v>OUT</v>
      </c>
      <c r="F2141" t="s">
        <v>403</v>
      </c>
      <c r="G2141">
        <v>0.1525031352154699</v>
      </c>
      <c r="H2141">
        <v>0</v>
      </c>
      <c r="I2141" t="s">
        <v>38</v>
      </c>
      <c r="J2141" t="s">
        <v>57</v>
      </c>
      <c r="K2141">
        <v>122.5974728045172</v>
      </c>
      <c r="L2141">
        <v>617.16076082343477</v>
      </c>
    </row>
    <row r="2142" spans="1:12" hidden="1" x14ac:dyDescent="0.25">
      <c r="A2142">
        <v>47</v>
      </c>
      <c r="B2142" t="s">
        <v>1026</v>
      </c>
      <c r="C2142" t="s">
        <v>1027</v>
      </c>
      <c r="D2142">
        <v>0</v>
      </c>
      <c r="E2142" t="str">
        <f>_xlfn.XLOOKUP(F2142, Keys!B:B, Keys!A:A, "找不到")</f>
        <v>OUT</v>
      </c>
      <c r="F2142" t="s">
        <v>403</v>
      </c>
      <c r="G2142">
        <v>21.622099269851692</v>
      </c>
      <c r="H2142">
        <v>0</v>
      </c>
      <c r="I2142" t="s">
        <v>38</v>
      </c>
      <c r="J2142" t="s">
        <v>1120</v>
      </c>
      <c r="K2142">
        <v>1306.2673829022081</v>
      </c>
      <c r="L2142">
        <v>87501.881303144852</v>
      </c>
    </row>
    <row r="2143" spans="1:12" hidden="1" x14ac:dyDescent="0.25">
      <c r="A2143">
        <v>48</v>
      </c>
      <c r="B2143" t="s">
        <v>1026</v>
      </c>
      <c r="C2143" t="s">
        <v>1027</v>
      </c>
      <c r="D2143">
        <v>0</v>
      </c>
      <c r="E2143" t="str">
        <f>_xlfn.XLOOKUP(F2143, Keys!B:B, Keys!A:A, "找不到")</f>
        <v>OUT</v>
      </c>
      <c r="F2143" t="s">
        <v>403</v>
      </c>
      <c r="G2143">
        <v>0.3382538682752344</v>
      </c>
      <c r="H2143">
        <v>0</v>
      </c>
      <c r="I2143" t="s">
        <v>38</v>
      </c>
      <c r="J2143" t="s">
        <v>1120</v>
      </c>
      <c r="K2143">
        <v>153.22509207509901</v>
      </c>
      <c r="L2143">
        <v>1368.8703147070589</v>
      </c>
    </row>
    <row r="2144" spans="1:12" hidden="1" x14ac:dyDescent="0.25">
      <c r="A2144">
        <v>50</v>
      </c>
      <c r="B2144" t="s">
        <v>1026</v>
      </c>
      <c r="C2144" t="s">
        <v>1027</v>
      </c>
      <c r="D2144">
        <v>0</v>
      </c>
      <c r="E2144" t="str">
        <f>_xlfn.XLOOKUP(F2144, Keys!B:B, Keys!A:A, "找不到")</f>
        <v>OUT</v>
      </c>
      <c r="F2144" t="s">
        <v>403</v>
      </c>
      <c r="G2144">
        <v>4.6038584016916913E-2</v>
      </c>
      <c r="H2144">
        <v>0</v>
      </c>
      <c r="I2144" t="s">
        <v>38</v>
      </c>
      <c r="J2144" t="s">
        <v>1120</v>
      </c>
      <c r="K2144">
        <v>51.01299651506632</v>
      </c>
      <c r="L2144">
        <v>186.3122846554555</v>
      </c>
    </row>
    <row r="2145" spans="1:12" hidden="1" x14ac:dyDescent="0.25">
      <c r="A2145">
        <v>53</v>
      </c>
      <c r="B2145" t="s">
        <v>1026</v>
      </c>
      <c r="C2145" t="s">
        <v>1027</v>
      </c>
      <c r="D2145">
        <v>0</v>
      </c>
      <c r="E2145" t="str">
        <f>_xlfn.XLOOKUP(F2145, Keys!B:B, Keys!A:A, "找不到")</f>
        <v>OUT</v>
      </c>
      <c r="F2145" t="s">
        <v>403</v>
      </c>
      <c r="G2145">
        <v>9.944971373694525E-2</v>
      </c>
      <c r="H2145">
        <v>0</v>
      </c>
      <c r="I2145">
        <v>0</v>
      </c>
      <c r="J2145" t="s">
        <v>1120</v>
      </c>
      <c r="K2145">
        <v>86.569153628321018</v>
      </c>
      <c r="L2145">
        <v>402.46032258187893</v>
      </c>
    </row>
    <row r="2146" spans="1:12" hidden="1" x14ac:dyDescent="0.25">
      <c r="A2146">
        <v>54</v>
      </c>
      <c r="B2146" t="s">
        <v>1026</v>
      </c>
      <c r="C2146" t="s">
        <v>1027</v>
      </c>
      <c r="D2146">
        <v>0</v>
      </c>
      <c r="E2146" t="str">
        <f>_xlfn.XLOOKUP(F2146, Keys!B:B, Keys!A:A, "找不到")</f>
        <v>OUT</v>
      </c>
      <c r="F2146" t="s">
        <v>403</v>
      </c>
      <c r="G2146">
        <v>0.58094597011779103</v>
      </c>
      <c r="H2146">
        <v>0</v>
      </c>
      <c r="I2146" t="s">
        <v>38</v>
      </c>
      <c r="J2146" t="s">
        <v>1120</v>
      </c>
      <c r="K2146">
        <v>218.11596187314871</v>
      </c>
      <c r="L2146">
        <v>2351.014334286514</v>
      </c>
    </row>
    <row r="2147" spans="1:12" hidden="1" x14ac:dyDescent="0.25">
      <c r="A2147">
        <v>57</v>
      </c>
      <c r="B2147" t="s">
        <v>1026</v>
      </c>
      <c r="C2147" t="s">
        <v>1027</v>
      </c>
      <c r="D2147">
        <v>0</v>
      </c>
      <c r="E2147" t="str">
        <f>_xlfn.XLOOKUP(F2147, Keys!B:B, Keys!A:A, "找不到")</f>
        <v>OUT</v>
      </c>
      <c r="F2147" t="s">
        <v>403</v>
      </c>
      <c r="G2147">
        <v>2.0136172133184211</v>
      </c>
      <c r="H2147">
        <v>0</v>
      </c>
      <c r="I2147" t="s">
        <v>38</v>
      </c>
      <c r="J2147" t="s">
        <v>1154</v>
      </c>
      <c r="K2147">
        <v>380.75358080581469</v>
      </c>
      <c r="L2147">
        <v>8148.8523473496343</v>
      </c>
    </row>
    <row r="2148" spans="1:12" hidden="1" x14ac:dyDescent="0.25">
      <c r="A2148">
        <v>60</v>
      </c>
      <c r="B2148" t="s">
        <v>1026</v>
      </c>
      <c r="C2148" t="s">
        <v>1027</v>
      </c>
      <c r="D2148">
        <v>0</v>
      </c>
      <c r="E2148" t="str">
        <f>_xlfn.XLOOKUP(F2148, Keys!B:B, Keys!A:A, "找不到")</f>
        <v>OUT</v>
      </c>
      <c r="F2148" t="s">
        <v>403</v>
      </c>
      <c r="G2148">
        <v>13.202001799700479</v>
      </c>
      <c r="H2148">
        <v>0</v>
      </c>
      <c r="I2148" t="s">
        <v>38</v>
      </c>
      <c r="J2148" t="s">
        <v>1154</v>
      </c>
      <c r="K2148">
        <v>1875.474536791754</v>
      </c>
      <c r="L2148">
        <v>53426.819478718447</v>
      </c>
    </row>
    <row r="2149" spans="1:12" hidden="1" x14ac:dyDescent="0.25">
      <c r="A2149">
        <v>71</v>
      </c>
      <c r="B2149" t="s">
        <v>1026</v>
      </c>
      <c r="C2149" t="s">
        <v>1027</v>
      </c>
      <c r="D2149">
        <v>0</v>
      </c>
      <c r="E2149" t="str">
        <f>_xlfn.XLOOKUP(F2149, Keys!B:B, Keys!A:A, "找不到")</f>
        <v>OUT</v>
      </c>
      <c r="F2149" t="s">
        <v>403</v>
      </c>
      <c r="G2149">
        <v>1.0955427136346509</v>
      </c>
      <c r="H2149">
        <v>0</v>
      </c>
      <c r="I2149">
        <v>0</v>
      </c>
      <c r="J2149" t="s">
        <v>673</v>
      </c>
      <c r="K2149">
        <v>274.88929001647148</v>
      </c>
      <c r="L2149">
        <v>4433.5218007553794</v>
      </c>
    </row>
    <row r="2150" spans="1:12" hidden="1" x14ac:dyDescent="0.25">
      <c r="A2150">
        <v>72</v>
      </c>
      <c r="B2150" t="s">
        <v>1026</v>
      </c>
      <c r="C2150" t="s">
        <v>1027</v>
      </c>
      <c r="D2150">
        <v>0</v>
      </c>
      <c r="E2150" t="str">
        <f>_xlfn.XLOOKUP(F2150, Keys!B:B, Keys!A:A, "找不到")</f>
        <v>OUT</v>
      </c>
      <c r="F2150" t="s">
        <v>403</v>
      </c>
      <c r="G2150">
        <v>2.1832997568702188</v>
      </c>
      <c r="H2150">
        <v>0</v>
      </c>
      <c r="I2150" t="s">
        <v>38</v>
      </c>
      <c r="J2150" t="s">
        <v>673</v>
      </c>
      <c r="K2150">
        <v>430.07340528430092</v>
      </c>
      <c r="L2150">
        <v>8835.5359852232014</v>
      </c>
    </row>
    <row r="2151" spans="1:12" hidden="1" x14ac:dyDescent="0.25">
      <c r="A2151">
        <v>73</v>
      </c>
      <c r="B2151" t="s">
        <v>1026</v>
      </c>
      <c r="C2151" t="s">
        <v>1027</v>
      </c>
      <c r="D2151">
        <v>0</v>
      </c>
      <c r="E2151" t="str">
        <f>_xlfn.XLOOKUP(F2151, Keys!B:B, Keys!A:A, "找不到")</f>
        <v>OUT</v>
      </c>
      <c r="F2151" t="s">
        <v>403</v>
      </c>
      <c r="G2151">
        <v>5.4126685894757123E-2</v>
      </c>
      <c r="H2151">
        <v>0</v>
      </c>
      <c r="I2151" t="s">
        <v>38</v>
      </c>
      <c r="J2151" t="s">
        <v>673</v>
      </c>
      <c r="K2151">
        <v>63.186940113726862</v>
      </c>
      <c r="L2151">
        <v>219.0438026107596</v>
      </c>
    </row>
    <row r="2152" spans="1:12" hidden="1" x14ac:dyDescent="0.25">
      <c r="A2152">
        <v>74</v>
      </c>
      <c r="B2152" t="s">
        <v>1026</v>
      </c>
      <c r="C2152" t="s">
        <v>1027</v>
      </c>
      <c r="D2152">
        <v>0</v>
      </c>
      <c r="E2152" t="str">
        <f>_xlfn.XLOOKUP(F2152, Keys!B:B, Keys!A:A, "找不到")</f>
        <v>OUT</v>
      </c>
      <c r="F2152" t="s">
        <v>403</v>
      </c>
      <c r="G2152">
        <v>0.28533326712384011</v>
      </c>
      <c r="H2152">
        <v>0</v>
      </c>
      <c r="I2152">
        <v>0</v>
      </c>
      <c r="J2152" t="s">
        <v>673</v>
      </c>
      <c r="K2152">
        <v>134.76833304432861</v>
      </c>
      <c r="L2152">
        <v>1154.7073834094019</v>
      </c>
    </row>
    <row r="2153" spans="1:12" hidden="1" x14ac:dyDescent="0.25">
      <c r="A2153">
        <v>75</v>
      </c>
      <c r="B2153" t="s">
        <v>1026</v>
      </c>
      <c r="C2153" t="s">
        <v>1027</v>
      </c>
      <c r="D2153">
        <v>0</v>
      </c>
      <c r="E2153" t="str">
        <f>_xlfn.XLOOKUP(F2153, Keys!B:B, Keys!A:A, "找不到")</f>
        <v>OUT</v>
      </c>
      <c r="F2153" t="s">
        <v>403</v>
      </c>
      <c r="G2153">
        <v>0.81982517783561548</v>
      </c>
      <c r="H2153">
        <v>0</v>
      </c>
      <c r="I2153" t="s">
        <v>38</v>
      </c>
      <c r="J2153" t="s">
        <v>673</v>
      </c>
      <c r="K2153">
        <v>226.48227252205069</v>
      </c>
      <c r="L2153">
        <v>3317.7280570682401</v>
      </c>
    </row>
    <row r="2154" spans="1:12" hidden="1" x14ac:dyDescent="0.25">
      <c r="A2154">
        <v>76</v>
      </c>
      <c r="B2154" t="s">
        <v>1026</v>
      </c>
      <c r="C2154" t="s">
        <v>1027</v>
      </c>
      <c r="D2154">
        <v>0</v>
      </c>
      <c r="E2154" t="str">
        <f>_xlfn.XLOOKUP(F2154, Keys!B:B, Keys!A:A, "找不到")</f>
        <v>OUT</v>
      </c>
      <c r="F2154" t="s">
        <v>403</v>
      </c>
      <c r="G2154">
        <v>3.735496010028339</v>
      </c>
      <c r="H2154">
        <v>0</v>
      </c>
      <c r="I2154">
        <v>0</v>
      </c>
      <c r="J2154" t="s">
        <v>673</v>
      </c>
      <c r="K2154">
        <v>545.91211431162469</v>
      </c>
      <c r="L2154">
        <v>15117.07648727824</v>
      </c>
    </row>
    <row r="2155" spans="1:12" hidden="1" x14ac:dyDescent="0.25">
      <c r="A2155">
        <v>77</v>
      </c>
      <c r="B2155" t="s">
        <v>1026</v>
      </c>
      <c r="C2155" t="s">
        <v>1027</v>
      </c>
      <c r="D2155">
        <v>0</v>
      </c>
      <c r="E2155" t="str">
        <f>_xlfn.XLOOKUP(F2155, Keys!B:B, Keys!A:A, "找不到")</f>
        <v>OUT</v>
      </c>
      <c r="F2155" t="s">
        <v>403</v>
      </c>
      <c r="G2155">
        <v>7.6040171897485478E-2</v>
      </c>
      <c r="H2155">
        <v>0</v>
      </c>
      <c r="I2155">
        <v>0</v>
      </c>
      <c r="J2155" t="s">
        <v>673</v>
      </c>
      <c r="K2155">
        <v>87.728468422524628</v>
      </c>
      <c r="L2155">
        <v>307.72488890206381</v>
      </c>
    </row>
    <row r="2156" spans="1:12" hidden="1" x14ac:dyDescent="0.25">
      <c r="A2156">
        <v>78</v>
      </c>
      <c r="B2156" t="s">
        <v>1026</v>
      </c>
      <c r="C2156" t="s">
        <v>1027</v>
      </c>
      <c r="D2156">
        <v>0</v>
      </c>
      <c r="E2156" t="str">
        <f>_xlfn.XLOOKUP(F2156, Keys!B:B, Keys!A:A, "找不到")</f>
        <v>OUT</v>
      </c>
      <c r="F2156" t="s">
        <v>403</v>
      </c>
      <c r="G2156">
        <v>3.3240197493653558</v>
      </c>
      <c r="H2156">
        <v>0</v>
      </c>
      <c r="I2156">
        <v>0</v>
      </c>
      <c r="J2156" t="s">
        <v>673</v>
      </c>
      <c r="K2156">
        <v>556.21240824757945</v>
      </c>
      <c r="L2156">
        <v>13451.884478387739</v>
      </c>
    </row>
    <row r="2157" spans="1:12" hidden="1" x14ac:dyDescent="0.25">
      <c r="A2157">
        <v>101</v>
      </c>
      <c r="B2157" t="s">
        <v>1026</v>
      </c>
      <c r="C2157" t="s">
        <v>1027</v>
      </c>
      <c r="D2157" t="s">
        <v>1192</v>
      </c>
      <c r="E2157" t="str">
        <f>_xlfn.XLOOKUP(F2157, Keys!B:B, Keys!A:A, "找不到")</f>
        <v>OUT</v>
      </c>
      <c r="F2157" t="s">
        <v>403</v>
      </c>
      <c r="G2157">
        <v>2.825527208921045</v>
      </c>
      <c r="H2157">
        <v>0</v>
      </c>
      <c r="I2157" t="s">
        <v>38</v>
      </c>
      <c r="J2157" t="s">
        <v>1240</v>
      </c>
      <c r="K2157">
        <v>536.457324672048</v>
      </c>
      <c r="L2157">
        <v>11434.54867023702</v>
      </c>
    </row>
    <row r="2158" spans="1:12" hidden="1" x14ac:dyDescent="0.25">
      <c r="A2158">
        <v>122</v>
      </c>
      <c r="B2158" t="s">
        <v>1026</v>
      </c>
      <c r="C2158" t="s">
        <v>1027</v>
      </c>
      <c r="D2158">
        <v>0</v>
      </c>
      <c r="E2158" t="str">
        <f>_xlfn.XLOOKUP(F2158, Keys!B:B, Keys!A:A, "找不到")</f>
        <v>OUT</v>
      </c>
      <c r="F2158" t="s">
        <v>403</v>
      </c>
      <c r="G2158">
        <v>1.2903581527467389</v>
      </c>
      <c r="H2158">
        <v>0</v>
      </c>
      <c r="I2158">
        <v>0</v>
      </c>
      <c r="J2158" t="s">
        <v>1278</v>
      </c>
      <c r="K2158">
        <v>359.43983652973208</v>
      </c>
      <c r="L2158">
        <v>5221.9150652787139</v>
      </c>
    </row>
    <row r="2159" spans="1:12" hidden="1" x14ac:dyDescent="0.25">
      <c r="A2159">
        <v>196</v>
      </c>
      <c r="B2159" t="s">
        <v>1026</v>
      </c>
      <c r="C2159" t="s">
        <v>1027</v>
      </c>
      <c r="D2159">
        <v>0</v>
      </c>
      <c r="E2159" t="str">
        <f>_xlfn.XLOOKUP(F2159, Keys!B:B, Keys!A:A, "找不到")</f>
        <v>OUT</v>
      </c>
      <c r="F2159" t="s">
        <v>403</v>
      </c>
      <c r="G2159">
        <v>0.96411830430524259</v>
      </c>
      <c r="H2159">
        <v>0</v>
      </c>
      <c r="I2159" t="s">
        <v>38</v>
      </c>
      <c r="J2159" t="s">
        <v>1278</v>
      </c>
      <c r="K2159">
        <v>275.04497491397012</v>
      </c>
      <c r="L2159">
        <v>3901.6639583712949</v>
      </c>
    </row>
    <row r="2160" spans="1:12" hidden="1" x14ac:dyDescent="0.25">
      <c r="A2160">
        <v>197</v>
      </c>
      <c r="B2160" t="s">
        <v>1026</v>
      </c>
      <c r="C2160" t="s">
        <v>1027</v>
      </c>
      <c r="D2160">
        <v>0</v>
      </c>
      <c r="E2160" t="str">
        <f>_xlfn.XLOOKUP(F2160, Keys!B:B, Keys!A:A, "找不到")</f>
        <v>OUT</v>
      </c>
      <c r="F2160" t="s">
        <v>403</v>
      </c>
      <c r="G2160">
        <v>0.65892347911241023</v>
      </c>
      <c r="H2160">
        <v>0</v>
      </c>
      <c r="I2160" t="s">
        <v>38</v>
      </c>
      <c r="J2160" t="s">
        <v>1278</v>
      </c>
      <c r="K2160">
        <v>230.14974439424091</v>
      </c>
      <c r="L2160">
        <v>2666.579379623061</v>
      </c>
    </row>
    <row r="2161" spans="1:12" hidden="1" x14ac:dyDescent="0.25">
      <c r="A2161">
        <v>198</v>
      </c>
      <c r="B2161" t="s">
        <v>1026</v>
      </c>
      <c r="C2161" t="s">
        <v>1027</v>
      </c>
      <c r="D2161">
        <v>0</v>
      </c>
      <c r="E2161" t="str">
        <f>_xlfn.XLOOKUP(F2161, Keys!B:B, Keys!A:A, "找不到")</f>
        <v>OUT</v>
      </c>
      <c r="F2161" t="s">
        <v>403</v>
      </c>
      <c r="G2161">
        <v>0.1239257516204636</v>
      </c>
      <c r="H2161">
        <v>0</v>
      </c>
      <c r="I2161" t="s">
        <v>38</v>
      </c>
      <c r="J2161" t="s">
        <v>1278</v>
      </c>
      <c r="K2161">
        <v>88.026659334993525</v>
      </c>
      <c r="L2161">
        <v>501.51172989093362</v>
      </c>
    </row>
    <row r="2162" spans="1:12" hidden="1" x14ac:dyDescent="0.25">
      <c r="A2162">
        <v>261</v>
      </c>
      <c r="B2162" t="s">
        <v>1026</v>
      </c>
      <c r="C2162" t="s">
        <v>1027</v>
      </c>
      <c r="D2162">
        <v>0</v>
      </c>
      <c r="E2162" t="str">
        <f>_xlfn.XLOOKUP(F2162, Keys!B:B, Keys!A:A, "找不到")</f>
        <v>OUT</v>
      </c>
      <c r="F2162" t="s">
        <v>403</v>
      </c>
      <c r="G2162">
        <v>0.1181675593986357</v>
      </c>
      <c r="H2162">
        <v>0</v>
      </c>
      <c r="I2162">
        <v>0</v>
      </c>
      <c r="J2162" t="s">
        <v>1278</v>
      </c>
      <c r="K2162">
        <v>109.765933534925</v>
      </c>
      <c r="L2162">
        <v>478.20905950602742</v>
      </c>
    </row>
    <row r="2163" spans="1:12" hidden="1" x14ac:dyDescent="0.25">
      <c r="A2163">
        <v>262</v>
      </c>
      <c r="B2163" t="s">
        <v>1026</v>
      </c>
      <c r="C2163" t="s">
        <v>1027</v>
      </c>
      <c r="D2163">
        <v>0</v>
      </c>
      <c r="E2163" t="str">
        <f>_xlfn.XLOOKUP(F2163, Keys!B:B, Keys!A:A, "找不到")</f>
        <v>OUT</v>
      </c>
      <c r="F2163" t="s">
        <v>403</v>
      </c>
      <c r="G2163">
        <v>6.6562398315097721E-2</v>
      </c>
      <c r="H2163">
        <v>0</v>
      </c>
      <c r="I2163" t="s">
        <v>38</v>
      </c>
      <c r="J2163" t="s">
        <v>1278</v>
      </c>
      <c r="K2163">
        <v>142.0890490389632</v>
      </c>
      <c r="L2163">
        <v>269.36954658890897</v>
      </c>
    </row>
    <row r="2164" spans="1:12" hidden="1" x14ac:dyDescent="0.25">
      <c r="A2164">
        <v>7</v>
      </c>
      <c r="B2164" t="s">
        <v>378</v>
      </c>
      <c r="C2164" t="s">
        <v>379</v>
      </c>
      <c r="D2164">
        <v>0</v>
      </c>
      <c r="E2164" t="str">
        <f>_xlfn.XLOOKUP(F2164, Keys!B:B, Keys!A:A, "找不到")</f>
        <v>OUT</v>
      </c>
      <c r="F2164" t="s">
        <v>403</v>
      </c>
      <c r="G2164">
        <v>3.7353023422774201</v>
      </c>
      <c r="H2164">
        <v>0</v>
      </c>
      <c r="I2164" t="s">
        <v>38</v>
      </c>
      <c r="J2164" t="s">
        <v>404</v>
      </c>
      <c r="K2164">
        <v>546.70517655807407</v>
      </c>
      <c r="L2164">
        <v>15116.292738561629</v>
      </c>
    </row>
    <row r="2165" spans="1:12" hidden="1" x14ac:dyDescent="0.25">
      <c r="A2165">
        <v>8</v>
      </c>
      <c r="B2165" t="s">
        <v>378</v>
      </c>
      <c r="C2165" t="s">
        <v>379</v>
      </c>
      <c r="D2165">
        <v>0</v>
      </c>
      <c r="E2165" t="str">
        <f>_xlfn.XLOOKUP(F2165, Keys!B:B, Keys!A:A, "找不到")</f>
        <v>OUT</v>
      </c>
      <c r="F2165" t="s">
        <v>403</v>
      </c>
      <c r="G2165">
        <v>3.3268829703648479</v>
      </c>
      <c r="H2165">
        <v>0</v>
      </c>
      <c r="I2165" t="s">
        <v>38</v>
      </c>
      <c r="J2165" t="s">
        <v>404</v>
      </c>
      <c r="K2165">
        <v>508.1383699148563</v>
      </c>
      <c r="L2165">
        <v>13463.4715690266</v>
      </c>
    </row>
    <row r="2166" spans="1:12" hidden="1" x14ac:dyDescent="0.25">
      <c r="A2166">
        <v>9</v>
      </c>
      <c r="B2166" t="s">
        <v>378</v>
      </c>
      <c r="C2166" t="s">
        <v>379</v>
      </c>
      <c r="D2166">
        <v>0</v>
      </c>
      <c r="E2166" t="str">
        <f>_xlfn.XLOOKUP(F2166, Keys!B:B, Keys!A:A, "找不到")</f>
        <v>OUT</v>
      </c>
      <c r="F2166" t="s">
        <v>403</v>
      </c>
      <c r="G2166">
        <v>2.8593503622392471</v>
      </c>
      <c r="H2166">
        <v>0</v>
      </c>
      <c r="I2166" t="s">
        <v>38</v>
      </c>
      <c r="J2166" t="s">
        <v>404</v>
      </c>
      <c r="K2166">
        <v>653.18778209264053</v>
      </c>
      <c r="L2166">
        <v>11571.42666298003</v>
      </c>
    </row>
    <row r="2167" spans="1:12" hidden="1" x14ac:dyDescent="0.25">
      <c r="A2167">
        <v>11</v>
      </c>
      <c r="B2167" t="s">
        <v>378</v>
      </c>
      <c r="C2167" t="s">
        <v>379</v>
      </c>
      <c r="D2167">
        <v>0</v>
      </c>
      <c r="E2167" t="str">
        <f>_xlfn.XLOOKUP(F2167, Keys!B:B, Keys!A:A, "找不到")</f>
        <v>OUT</v>
      </c>
      <c r="F2167" t="s">
        <v>403</v>
      </c>
      <c r="G2167">
        <v>4.0707076548975252</v>
      </c>
      <c r="H2167">
        <v>0</v>
      </c>
      <c r="I2167" t="s">
        <v>38</v>
      </c>
      <c r="J2167" t="s">
        <v>416</v>
      </c>
      <c r="K2167">
        <v>550.29885701268574</v>
      </c>
      <c r="L2167">
        <v>16473.635311410239</v>
      </c>
    </row>
    <row r="2168" spans="1:12" hidden="1" x14ac:dyDescent="0.25">
      <c r="A2168">
        <v>12</v>
      </c>
      <c r="B2168" t="s">
        <v>378</v>
      </c>
      <c r="C2168" t="s">
        <v>379</v>
      </c>
      <c r="D2168">
        <v>0</v>
      </c>
      <c r="E2168" t="str">
        <f>_xlfn.XLOOKUP(F2168, Keys!B:B, Keys!A:A, "找不到")</f>
        <v>OUT</v>
      </c>
      <c r="F2168" t="s">
        <v>403</v>
      </c>
      <c r="G2168">
        <v>8.1970096318487844</v>
      </c>
      <c r="H2168">
        <v>0</v>
      </c>
      <c r="I2168" t="s">
        <v>38</v>
      </c>
      <c r="J2168" t="s">
        <v>418</v>
      </c>
      <c r="K2168">
        <v>841.02709576594418</v>
      </c>
      <c r="L2168">
        <v>33172.253762004271</v>
      </c>
    </row>
    <row r="2169" spans="1:12" hidden="1" x14ac:dyDescent="0.25">
      <c r="A2169">
        <v>13</v>
      </c>
      <c r="B2169" t="s">
        <v>378</v>
      </c>
      <c r="C2169" t="s">
        <v>379</v>
      </c>
      <c r="D2169">
        <v>0</v>
      </c>
      <c r="E2169" t="str">
        <f>_xlfn.XLOOKUP(F2169, Keys!B:B, Keys!A:A, "找不到")</f>
        <v>OUT</v>
      </c>
      <c r="F2169" t="s">
        <v>403</v>
      </c>
      <c r="G2169">
        <v>7.196260915210928</v>
      </c>
      <c r="H2169">
        <v>0</v>
      </c>
      <c r="I2169" t="s">
        <v>38</v>
      </c>
      <c r="J2169" t="s">
        <v>425</v>
      </c>
      <c r="K2169">
        <v>903.00666293087397</v>
      </c>
      <c r="L2169">
        <v>29122.35119127572</v>
      </c>
    </row>
    <row r="2170" spans="1:12" hidden="1" x14ac:dyDescent="0.25">
      <c r="A2170">
        <v>14</v>
      </c>
      <c r="B2170" t="s">
        <v>378</v>
      </c>
      <c r="C2170" t="s">
        <v>379</v>
      </c>
      <c r="D2170">
        <v>0</v>
      </c>
      <c r="E2170" t="str">
        <f>_xlfn.XLOOKUP(F2170, Keys!B:B, Keys!A:A, "找不到")</f>
        <v>OUT</v>
      </c>
      <c r="F2170" t="s">
        <v>403</v>
      </c>
      <c r="G2170">
        <v>6.1337463765382649</v>
      </c>
      <c r="H2170">
        <v>0</v>
      </c>
      <c r="I2170" t="s">
        <v>38</v>
      </c>
      <c r="J2170" t="s">
        <v>427</v>
      </c>
      <c r="K2170">
        <v>684.62370929720385</v>
      </c>
      <c r="L2170">
        <v>24822.490207128139</v>
      </c>
    </row>
    <row r="2171" spans="1:12" hidden="1" x14ac:dyDescent="0.25">
      <c r="A2171">
        <v>18</v>
      </c>
      <c r="B2171" t="s">
        <v>378</v>
      </c>
      <c r="C2171" t="s">
        <v>379</v>
      </c>
      <c r="D2171">
        <v>0</v>
      </c>
      <c r="E2171" t="str">
        <f>_xlfn.XLOOKUP(F2171, Keys!B:B, Keys!A:A, "找不到")</f>
        <v>OUT</v>
      </c>
      <c r="F2171" t="s">
        <v>403</v>
      </c>
      <c r="G2171">
        <v>6.2598283861645303</v>
      </c>
      <c r="H2171">
        <v>0</v>
      </c>
      <c r="I2171" t="s">
        <v>38</v>
      </c>
      <c r="J2171" t="s">
        <v>435</v>
      </c>
      <c r="K2171">
        <v>743.2928589487525</v>
      </c>
      <c r="L2171">
        <v>25332.728038482579</v>
      </c>
    </row>
    <row r="2172" spans="1:12" hidden="1" x14ac:dyDescent="0.25">
      <c r="A2172">
        <v>23</v>
      </c>
      <c r="B2172" t="s">
        <v>378</v>
      </c>
      <c r="C2172" t="s">
        <v>379</v>
      </c>
      <c r="D2172">
        <v>0</v>
      </c>
      <c r="E2172" t="str">
        <f>_xlfn.XLOOKUP(F2172, Keys!B:B, Keys!A:A, "找不到")</f>
        <v>OUT</v>
      </c>
      <c r="F2172" t="s">
        <v>403</v>
      </c>
      <c r="G2172">
        <v>4.3440260493708287</v>
      </c>
      <c r="H2172">
        <v>0</v>
      </c>
      <c r="I2172" t="s">
        <v>38</v>
      </c>
      <c r="J2172" t="s">
        <v>449</v>
      </c>
      <c r="K2172">
        <v>623.43790407116978</v>
      </c>
      <c r="L2172">
        <v>17579.720035779061</v>
      </c>
    </row>
    <row r="2173" spans="1:12" hidden="1" x14ac:dyDescent="0.25">
      <c r="A2173">
        <v>24</v>
      </c>
      <c r="B2173" t="s">
        <v>378</v>
      </c>
      <c r="C2173" t="s">
        <v>379</v>
      </c>
      <c r="D2173">
        <v>0</v>
      </c>
      <c r="E2173" t="str">
        <f>_xlfn.XLOOKUP(F2173, Keys!B:B, Keys!A:A, "找不到")</f>
        <v>OUT</v>
      </c>
      <c r="F2173" t="s">
        <v>403</v>
      </c>
      <c r="G2173">
        <v>4.0837014149741897</v>
      </c>
      <c r="H2173">
        <v>0</v>
      </c>
      <c r="I2173" t="s">
        <v>38</v>
      </c>
      <c r="J2173" t="s">
        <v>449</v>
      </c>
      <c r="K2173">
        <v>561.8200743156425</v>
      </c>
      <c r="L2173">
        <v>16526.21940316377</v>
      </c>
    </row>
    <row r="2174" spans="1:12" hidden="1" x14ac:dyDescent="0.25">
      <c r="A2174">
        <v>25</v>
      </c>
      <c r="B2174" t="s">
        <v>378</v>
      </c>
      <c r="C2174" t="s">
        <v>379</v>
      </c>
      <c r="D2174">
        <v>0</v>
      </c>
      <c r="E2174" t="str">
        <f>_xlfn.XLOOKUP(F2174, Keys!B:B, Keys!A:A, "找不到")</f>
        <v>OUT</v>
      </c>
      <c r="F2174" t="s">
        <v>403</v>
      </c>
      <c r="G2174">
        <v>4.3237806289083149</v>
      </c>
      <c r="H2174">
        <v>0</v>
      </c>
      <c r="I2174" t="s">
        <v>38</v>
      </c>
      <c r="J2174" t="s">
        <v>449</v>
      </c>
      <c r="K2174">
        <v>621.95646292042409</v>
      </c>
      <c r="L2174">
        <v>17497.78939823393</v>
      </c>
    </row>
    <row r="2175" spans="1:12" hidden="1" x14ac:dyDescent="0.25">
      <c r="A2175">
        <v>26</v>
      </c>
      <c r="B2175" t="s">
        <v>378</v>
      </c>
      <c r="C2175" t="s">
        <v>379</v>
      </c>
      <c r="D2175">
        <v>0</v>
      </c>
      <c r="E2175" t="str">
        <f>_xlfn.XLOOKUP(F2175, Keys!B:B, Keys!A:A, "找不到")</f>
        <v>OUT</v>
      </c>
      <c r="F2175" t="s">
        <v>403</v>
      </c>
      <c r="G2175">
        <v>9.1173413515732893</v>
      </c>
      <c r="H2175">
        <v>0</v>
      </c>
      <c r="I2175" t="s">
        <v>38</v>
      </c>
      <c r="J2175" t="s">
        <v>462</v>
      </c>
      <c r="K2175">
        <v>775.13257867787024</v>
      </c>
      <c r="L2175">
        <v>36896.718990555833</v>
      </c>
    </row>
    <row r="2176" spans="1:12" hidden="1" x14ac:dyDescent="0.25">
      <c r="A2176">
        <v>27</v>
      </c>
      <c r="B2176" t="s">
        <v>378</v>
      </c>
      <c r="C2176" t="s">
        <v>379</v>
      </c>
      <c r="D2176">
        <v>0</v>
      </c>
      <c r="E2176" t="str">
        <f>_xlfn.XLOOKUP(F2176, Keys!B:B, Keys!A:A, "找不到")</f>
        <v>OUT</v>
      </c>
      <c r="F2176" t="s">
        <v>403</v>
      </c>
      <c r="G2176">
        <v>8.2366840618834747</v>
      </c>
      <c r="H2176">
        <v>0</v>
      </c>
      <c r="I2176" t="s">
        <v>38</v>
      </c>
      <c r="J2176" t="s">
        <v>464</v>
      </c>
      <c r="K2176">
        <v>781.75869535392189</v>
      </c>
      <c r="L2176">
        <v>33332.811126224027</v>
      </c>
    </row>
    <row r="2177" spans="1:12" hidden="1" x14ac:dyDescent="0.25">
      <c r="A2177">
        <v>28</v>
      </c>
      <c r="B2177" t="s">
        <v>378</v>
      </c>
      <c r="C2177" t="s">
        <v>379</v>
      </c>
      <c r="D2177">
        <v>0</v>
      </c>
      <c r="E2177" t="str">
        <f>_xlfn.XLOOKUP(F2177, Keys!B:B, Keys!A:A, "找不到")</f>
        <v>OUT</v>
      </c>
      <c r="F2177" t="s">
        <v>403</v>
      </c>
      <c r="G2177">
        <v>7.9074068212870836</v>
      </c>
      <c r="H2177">
        <v>0</v>
      </c>
      <c r="I2177" t="s">
        <v>38</v>
      </c>
      <c r="J2177" t="s">
        <v>462</v>
      </c>
      <c r="K2177">
        <v>840.53427764133278</v>
      </c>
      <c r="L2177">
        <v>32000.268080199519</v>
      </c>
    </row>
    <row r="2178" spans="1:12" hidden="1" x14ac:dyDescent="0.25">
      <c r="A2178">
        <v>67</v>
      </c>
      <c r="B2178" t="s">
        <v>378</v>
      </c>
      <c r="C2178" t="s">
        <v>379</v>
      </c>
      <c r="D2178">
        <v>0</v>
      </c>
      <c r="E2178" t="str">
        <f>_xlfn.XLOOKUP(F2178, Keys!B:B, Keys!A:A, "找不到")</f>
        <v>OUT</v>
      </c>
      <c r="F2178" t="s">
        <v>403</v>
      </c>
      <c r="G2178">
        <v>8.6113602655926087</v>
      </c>
      <c r="H2178">
        <v>0</v>
      </c>
      <c r="I2178" t="s">
        <v>38</v>
      </c>
      <c r="J2178" t="s">
        <v>587</v>
      </c>
      <c r="K2178">
        <v>1271.5475487278541</v>
      </c>
      <c r="L2178">
        <v>34849.077992586193</v>
      </c>
    </row>
    <row r="2179" spans="1:12" hidden="1" x14ac:dyDescent="0.25">
      <c r="A2179">
        <v>68</v>
      </c>
      <c r="B2179" t="s">
        <v>378</v>
      </c>
      <c r="C2179" t="s">
        <v>379</v>
      </c>
      <c r="D2179">
        <v>0</v>
      </c>
      <c r="E2179" t="str">
        <f>_xlfn.XLOOKUP(F2179, Keys!B:B, Keys!A:A, "找不到")</f>
        <v>OUT</v>
      </c>
      <c r="F2179" t="s">
        <v>403</v>
      </c>
      <c r="G2179">
        <v>2.6483728281688181</v>
      </c>
      <c r="H2179">
        <v>0</v>
      </c>
      <c r="I2179" t="s">
        <v>38</v>
      </c>
      <c r="J2179" t="s">
        <v>587</v>
      </c>
      <c r="K2179">
        <v>754.64341120794677</v>
      </c>
      <c r="L2179">
        <v>10717.6274590516</v>
      </c>
    </row>
    <row r="2180" spans="1:12" hidden="1" x14ac:dyDescent="0.25">
      <c r="A2180">
        <v>69</v>
      </c>
      <c r="B2180" t="s">
        <v>378</v>
      </c>
      <c r="C2180" t="s">
        <v>379</v>
      </c>
      <c r="D2180">
        <v>0</v>
      </c>
      <c r="E2180" t="str">
        <f>_xlfn.XLOOKUP(F2180, Keys!B:B, Keys!A:A, "找不到")</f>
        <v>OUT</v>
      </c>
      <c r="F2180" t="s">
        <v>403</v>
      </c>
      <c r="G2180">
        <v>1.1178433366494831</v>
      </c>
      <c r="H2180">
        <v>0</v>
      </c>
      <c r="I2180" t="s">
        <v>38</v>
      </c>
      <c r="J2180" t="s">
        <v>587</v>
      </c>
      <c r="K2180">
        <v>336.00320980312767</v>
      </c>
      <c r="L2180">
        <v>4523.7695812172342</v>
      </c>
    </row>
    <row r="2181" spans="1:12" hidden="1" x14ac:dyDescent="0.25">
      <c r="A2181">
        <v>70</v>
      </c>
      <c r="B2181" t="s">
        <v>378</v>
      </c>
      <c r="C2181" t="s">
        <v>379</v>
      </c>
      <c r="D2181">
        <v>0</v>
      </c>
      <c r="E2181" t="str">
        <f>_xlfn.XLOOKUP(F2181, Keys!B:B, Keys!A:A, "找不到")</f>
        <v>OUT</v>
      </c>
      <c r="F2181" t="s">
        <v>403</v>
      </c>
      <c r="G2181">
        <v>1.618691187262038</v>
      </c>
      <c r="H2181">
        <v>0</v>
      </c>
      <c r="I2181" t="s">
        <v>38</v>
      </c>
      <c r="J2181" t="s">
        <v>587</v>
      </c>
      <c r="K2181">
        <v>394.94636809984269</v>
      </c>
      <c r="L2181">
        <v>6550.6370295755733</v>
      </c>
    </row>
    <row r="2182" spans="1:12" hidden="1" x14ac:dyDescent="0.25">
      <c r="A2182">
        <v>71</v>
      </c>
      <c r="B2182" t="s">
        <v>378</v>
      </c>
      <c r="C2182" t="s">
        <v>379</v>
      </c>
      <c r="D2182">
        <v>0</v>
      </c>
      <c r="E2182" t="str">
        <f>_xlfn.XLOOKUP(F2182, Keys!B:B, Keys!A:A, "找不到")</f>
        <v>OUT</v>
      </c>
      <c r="F2182" t="s">
        <v>403</v>
      </c>
      <c r="G2182">
        <v>0.87329813270174117</v>
      </c>
      <c r="H2182">
        <v>0</v>
      </c>
      <c r="I2182" t="s">
        <v>38</v>
      </c>
      <c r="J2182" t="s">
        <v>587</v>
      </c>
      <c r="K2182">
        <v>276.053783632273</v>
      </c>
      <c r="L2182">
        <v>3534.126293485006</v>
      </c>
    </row>
    <row r="2183" spans="1:12" hidden="1" x14ac:dyDescent="0.25">
      <c r="A2183">
        <v>72</v>
      </c>
      <c r="B2183" t="s">
        <v>378</v>
      </c>
      <c r="C2183" t="s">
        <v>379</v>
      </c>
      <c r="D2183">
        <v>0</v>
      </c>
      <c r="E2183" t="str">
        <f>_xlfn.XLOOKUP(F2183, Keys!B:B, Keys!A:A, "找不到")</f>
        <v>OUT</v>
      </c>
      <c r="F2183" t="s">
        <v>403</v>
      </c>
      <c r="G2183">
        <v>5.2497575655420823</v>
      </c>
      <c r="H2183">
        <v>0</v>
      </c>
      <c r="I2183" t="s">
        <v>38</v>
      </c>
      <c r="J2183" t="s">
        <v>587</v>
      </c>
      <c r="K2183">
        <v>898.01809599747946</v>
      </c>
      <c r="L2183">
        <v>21245.10010047238</v>
      </c>
    </row>
    <row r="2184" spans="1:12" hidden="1" x14ac:dyDescent="0.25">
      <c r="A2184">
        <v>73</v>
      </c>
      <c r="B2184" t="s">
        <v>378</v>
      </c>
      <c r="C2184" t="s">
        <v>379</v>
      </c>
      <c r="D2184">
        <v>0</v>
      </c>
      <c r="E2184" t="str">
        <f>_xlfn.XLOOKUP(F2184, Keys!B:B, Keys!A:A, "找不到")</f>
        <v>OUT</v>
      </c>
      <c r="F2184" t="s">
        <v>403</v>
      </c>
      <c r="G2184">
        <v>1.027937899181574</v>
      </c>
      <c r="H2184">
        <v>0</v>
      </c>
      <c r="I2184" t="s">
        <v>38</v>
      </c>
      <c r="J2184" t="s">
        <v>587</v>
      </c>
      <c r="K2184">
        <v>357.45762377496391</v>
      </c>
      <c r="L2184">
        <v>4159.9337288495899</v>
      </c>
    </row>
    <row r="2185" spans="1:12" hidden="1" x14ac:dyDescent="0.25">
      <c r="A2185">
        <v>74</v>
      </c>
      <c r="B2185" t="s">
        <v>378</v>
      </c>
      <c r="C2185" t="s">
        <v>379</v>
      </c>
      <c r="D2185">
        <v>0</v>
      </c>
      <c r="E2185" t="str">
        <f>_xlfn.XLOOKUP(F2185, Keys!B:B, Keys!A:A, "找不到")</f>
        <v>OUT</v>
      </c>
      <c r="F2185" t="s">
        <v>403</v>
      </c>
      <c r="G2185">
        <v>1.134458524341996</v>
      </c>
      <c r="H2185">
        <v>0</v>
      </c>
      <c r="I2185" t="s">
        <v>38</v>
      </c>
      <c r="J2185" t="s">
        <v>587</v>
      </c>
      <c r="K2185">
        <v>405.04761483851462</v>
      </c>
      <c r="L2185">
        <v>4591.0091291979852</v>
      </c>
    </row>
    <row r="2186" spans="1:12" hidden="1" x14ac:dyDescent="0.25">
      <c r="A2186">
        <v>75</v>
      </c>
      <c r="B2186" t="s">
        <v>378</v>
      </c>
      <c r="C2186" t="s">
        <v>379</v>
      </c>
      <c r="D2186">
        <v>0</v>
      </c>
      <c r="E2186" t="str">
        <f>_xlfn.XLOOKUP(F2186, Keys!B:B, Keys!A:A, "找不到")</f>
        <v>OUT</v>
      </c>
      <c r="F2186" t="s">
        <v>403</v>
      </c>
      <c r="G2186">
        <v>1.909790818430521</v>
      </c>
      <c r="H2186">
        <v>0</v>
      </c>
      <c r="I2186" t="s">
        <v>38</v>
      </c>
      <c r="J2186" t="s">
        <v>587</v>
      </c>
      <c r="K2186">
        <v>571.28092027846401</v>
      </c>
      <c r="L2186">
        <v>7728.6801536958064</v>
      </c>
    </row>
    <row r="2187" spans="1:12" hidden="1" x14ac:dyDescent="0.25">
      <c r="A2187">
        <v>76</v>
      </c>
      <c r="B2187" t="s">
        <v>378</v>
      </c>
      <c r="C2187" t="s">
        <v>379</v>
      </c>
      <c r="D2187">
        <v>0</v>
      </c>
      <c r="E2187" t="str">
        <f>_xlfn.XLOOKUP(F2187, Keys!B:B, Keys!A:A, "找不到")</f>
        <v>OUT</v>
      </c>
      <c r="F2187" t="s">
        <v>403</v>
      </c>
      <c r="G2187">
        <v>2.0994935057831738</v>
      </c>
      <c r="H2187">
        <v>0</v>
      </c>
      <c r="I2187" t="s">
        <v>38</v>
      </c>
      <c r="J2187" t="s">
        <v>587</v>
      </c>
      <c r="K2187">
        <v>518.612949237576</v>
      </c>
      <c r="L2187">
        <v>8496.3827631627973</v>
      </c>
    </row>
    <row r="2188" spans="1:12" hidden="1" x14ac:dyDescent="0.25">
      <c r="A2188">
        <v>77</v>
      </c>
      <c r="B2188" t="s">
        <v>378</v>
      </c>
      <c r="C2188" t="s">
        <v>379</v>
      </c>
      <c r="D2188">
        <v>0</v>
      </c>
      <c r="E2188" t="str">
        <f>_xlfn.XLOOKUP(F2188, Keys!B:B, Keys!A:A, "找不到")</f>
        <v>OUT</v>
      </c>
      <c r="F2188" t="s">
        <v>403</v>
      </c>
      <c r="G2188">
        <v>2.619726160304912</v>
      </c>
      <c r="H2188">
        <v>0</v>
      </c>
      <c r="I2188" t="s">
        <v>38</v>
      </c>
      <c r="J2188" t="s">
        <v>587</v>
      </c>
      <c r="K2188">
        <v>422.82221230418361</v>
      </c>
      <c r="L2188">
        <v>10601.69804350899</v>
      </c>
    </row>
    <row r="2189" spans="1:12" hidden="1" x14ac:dyDescent="0.25">
      <c r="A2189">
        <v>78</v>
      </c>
      <c r="B2189" t="s">
        <v>378</v>
      </c>
      <c r="C2189" t="s">
        <v>379</v>
      </c>
      <c r="D2189">
        <v>0</v>
      </c>
      <c r="E2189" t="str">
        <f>_xlfn.XLOOKUP(F2189, Keys!B:B, Keys!A:A, "找不到")</f>
        <v>OUT</v>
      </c>
      <c r="F2189" t="s">
        <v>403</v>
      </c>
      <c r="G2189">
        <v>5.0224420235408216</v>
      </c>
      <c r="H2189">
        <v>0</v>
      </c>
      <c r="I2189" t="s">
        <v>38</v>
      </c>
      <c r="J2189" t="s">
        <v>587</v>
      </c>
      <c r="K2189">
        <v>780.16606999578187</v>
      </c>
      <c r="L2189">
        <v>20325.183059748761</v>
      </c>
    </row>
    <row r="2190" spans="1:12" hidden="1" x14ac:dyDescent="0.25">
      <c r="A2190">
        <v>79</v>
      </c>
      <c r="B2190" t="s">
        <v>378</v>
      </c>
      <c r="C2190" t="s">
        <v>379</v>
      </c>
      <c r="D2190">
        <v>0</v>
      </c>
      <c r="E2190" t="str">
        <f>_xlfn.XLOOKUP(F2190, Keys!B:B, Keys!A:A, "找不到")</f>
        <v>OUT</v>
      </c>
      <c r="F2190" t="s">
        <v>403</v>
      </c>
      <c r="G2190">
        <v>1.70900641463767</v>
      </c>
      <c r="H2190">
        <v>0</v>
      </c>
      <c r="I2190" t="s">
        <v>38</v>
      </c>
      <c r="J2190" t="s">
        <v>587</v>
      </c>
      <c r="K2190">
        <v>494.7655507947851</v>
      </c>
      <c r="L2190">
        <v>6916.131249496586</v>
      </c>
    </row>
    <row r="2191" spans="1:12" hidden="1" x14ac:dyDescent="0.25">
      <c r="A2191">
        <v>80</v>
      </c>
      <c r="B2191" t="s">
        <v>378</v>
      </c>
      <c r="C2191" t="s">
        <v>379</v>
      </c>
      <c r="D2191">
        <v>0</v>
      </c>
      <c r="E2191" t="str">
        <f>_xlfn.XLOOKUP(F2191, Keys!B:B, Keys!A:A, "找不到")</f>
        <v>OUT</v>
      </c>
      <c r="F2191" t="s">
        <v>403</v>
      </c>
      <c r="G2191">
        <v>4.9218957983557618E-2</v>
      </c>
      <c r="H2191">
        <v>0</v>
      </c>
      <c r="I2191" t="s">
        <v>38</v>
      </c>
      <c r="J2191" t="s">
        <v>587</v>
      </c>
      <c r="K2191">
        <v>56.635824229676373</v>
      </c>
      <c r="L2191">
        <v>199.18285295021099</v>
      </c>
    </row>
    <row r="2192" spans="1:12" hidden="1" x14ac:dyDescent="0.25">
      <c r="A2192">
        <v>81</v>
      </c>
      <c r="B2192" t="s">
        <v>378</v>
      </c>
      <c r="C2192" t="s">
        <v>379</v>
      </c>
      <c r="D2192">
        <v>0</v>
      </c>
      <c r="E2192" t="str">
        <f>_xlfn.XLOOKUP(F2192, Keys!B:B, Keys!A:A, "找不到")</f>
        <v>OUT</v>
      </c>
      <c r="F2192" t="s">
        <v>403</v>
      </c>
      <c r="G2192">
        <v>1.455092872971965</v>
      </c>
      <c r="H2192">
        <v>0</v>
      </c>
      <c r="I2192" t="s">
        <v>38</v>
      </c>
      <c r="J2192" t="s">
        <v>587</v>
      </c>
      <c r="K2192">
        <v>464.1469430194702</v>
      </c>
      <c r="L2192">
        <v>5888.5754924534804</v>
      </c>
    </row>
    <row r="2193" spans="1:12" hidden="1" x14ac:dyDescent="0.25">
      <c r="A2193">
        <v>82</v>
      </c>
      <c r="B2193" t="s">
        <v>378</v>
      </c>
      <c r="C2193" t="s">
        <v>379</v>
      </c>
      <c r="D2193">
        <v>0</v>
      </c>
      <c r="E2193" t="str">
        <f>_xlfn.XLOOKUP(F2193, Keys!B:B, Keys!A:A, "找不到")</f>
        <v>OUT</v>
      </c>
      <c r="F2193" t="s">
        <v>403</v>
      </c>
      <c r="G2193">
        <v>1.00729319803662</v>
      </c>
      <c r="H2193">
        <v>0</v>
      </c>
      <c r="I2193" t="s">
        <v>38</v>
      </c>
      <c r="J2193" t="s">
        <v>609</v>
      </c>
      <c r="K2193">
        <v>257.99905462910363</v>
      </c>
      <c r="L2193">
        <v>4076.3872532470368</v>
      </c>
    </row>
    <row r="2194" spans="1:12" hidden="1" x14ac:dyDescent="0.25">
      <c r="A2194">
        <v>83</v>
      </c>
      <c r="B2194" t="s">
        <v>378</v>
      </c>
      <c r="C2194" t="s">
        <v>379</v>
      </c>
      <c r="D2194">
        <v>0</v>
      </c>
      <c r="E2194" t="str">
        <f>_xlfn.XLOOKUP(F2194, Keys!B:B, Keys!A:A, "找不到")</f>
        <v>OUT</v>
      </c>
      <c r="F2194" t="s">
        <v>403</v>
      </c>
      <c r="G2194">
        <v>7.5243309196793744</v>
      </c>
      <c r="H2194">
        <v>0</v>
      </c>
      <c r="I2194" t="s">
        <v>38</v>
      </c>
      <c r="J2194" t="s">
        <v>587</v>
      </c>
      <c r="K2194">
        <v>1274.4599281864701</v>
      </c>
      <c r="L2194">
        <v>30450.008706480399</v>
      </c>
    </row>
    <row r="2195" spans="1:12" hidden="1" x14ac:dyDescent="0.25">
      <c r="A2195">
        <v>84</v>
      </c>
      <c r="B2195" t="s">
        <v>378</v>
      </c>
      <c r="C2195" t="s">
        <v>379</v>
      </c>
      <c r="D2195">
        <v>0</v>
      </c>
      <c r="E2195" t="str">
        <f>_xlfn.XLOOKUP(F2195, Keys!B:B, Keys!A:A, "找不到")</f>
        <v>OUT</v>
      </c>
      <c r="F2195" t="s">
        <v>403</v>
      </c>
      <c r="G2195">
        <v>0.3412579721944245</v>
      </c>
      <c r="H2195">
        <v>0</v>
      </c>
      <c r="I2195" t="s">
        <v>38</v>
      </c>
      <c r="J2195" t="s">
        <v>587</v>
      </c>
      <c r="K2195">
        <v>162.26236424374059</v>
      </c>
      <c r="L2195">
        <v>1381.027540574845</v>
      </c>
    </row>
    <row r="2196" spans="1:12" hidden="1" x14ac:dyDescent="0.25">
      <c r="A2196">
        <v>85</v>
      </c>
      <c r="B2196" t="s">
        <v>378</v>
      </c>
      <c r="C2196" t="s">
        <v>379</v>
      </c>
      <c r="D2196">
        <v>0</v>
      </c>
      <c r="E2196" t="str">
        <f>_xlfn.XLOOKUP(F2196, Keys!B:B, Keys!A:A, "找不到")</f>
        <v>OUT</v>
      </c>
      <c r="F2196" t="s">
        <v>403</v>
      </c>
      <c r="G2196">
        <v>1.1657391613453409</v>
      </c>
      <c r="H2196">
        <v>0</v>
      </c>
      <c r="I2196" t="s">
        <v>38</v>
      </c>
      <c r="J2196" t="s">
        <v>587</v>
      </c>
      <c r="K2196">
        <v>416.41001810065279</v>
      </c>
      <c r="L2196">
        <v>4717.5978823062414</v>
      </c>
    </row>
    <row r="2197" spans="1:12" hidden="1" x14ac:dyDescent="0.25">
      <c r="A2197">
        <v>86</v>
      </c>
      <c r="B2197" t="s">
        <v>378</v>
      </c>
      <c r="C2197" t="s">
        <v>379</v>
      </c>
      <c r="D2197">
        <v>0</v>
      </c>
      <c r="E2197" t="str">
        <f>_xlfn.XLOOKUP(F2197, Keys!B:B, Keys!A:A, "找不到")</f>
        <v>OUT</v>
      </c>
      <c r="F2197" t="s">
        <v>403</v>
      </c>
      <c r="G2197">
        <v>3.3277165638912241</v>
      </c>
      <c r="H2197">
        <v>0</v>
      </c>
      <c r="I2197" t="s">
        <v>38</v>
      </c>
      <c r="J2197" t="s">
        <v>587</v>
      </c>
      <c r="K2197">
        <v>630.5695379842731</v>
      </c>
      <c r="L2197">
        <v>13466.84501583625</v>
      </c>
    </row>
    <row r="2198" spans="1:12" hidden="1" x14ac:dyDescent="0.25">
      <c r="A2198">
        <v>129</v>
      </c>
      <c r="B2198" t="s">
        <v>378</v>
      </c>
      <c r="C2198" t="s">
        <v>379</v>
      </c>
      <c r="D2198">
        <v>0</v>
      </c>
      <c r="E2198" t="str">
        <f>_xlfn.XLOOKUP(F2198, Keys!B:B, Keys!A:A, "找不到")</f>
        <v>OUT</v>
      </c>
      <c r="F2198" t="s">
        <v>403</v>
      </c>
      <c r="G2198">
        <v>0.22172059362789051</v>
      </c>
      <c r="H2198">
        <v>0</v>
      </c>
      <c r="I2198" t="s">
        <v>38</v>
      </c>
      <c r="J2198" t="s">
        <v>425</v>
      </c>
      <c r="K2198">
        <v>149.20909068464741</v>
      </c>
      <c r="L2198">
        <v>897.27499739776954</v>
      </c>
    </row>
    <row r="2199" spans="1:12" hidden="1" x14ac:dyDescent="0.25">
      <c r="A2199">
        <v>897</v>
      </c>
      <c r="B2199">
        <v>0</v>
      </c>
      <c r="C2199" t="s">
        <v>2606</v>
      </c>
      <c r="D2199">
        <v>0</v>
      </c>
      <c r="E2199" t="str">
        <f>_xlfn.XLOOKUP(F2199, Keys!B:B, Keys!A:A, "找不到")</f>
        <v>PIC</v>
      </c>
      <c r="F2199" t="s">
        <v>88</v>
      </c>
      <c r="G2199">
        <v>2.4648043191938509</v>
      </c>
      <c r="H2199" t="s">
        <v>60</v>
      </c>
      <c r="I2199" t="s">
        <v>66</v>
      </c>
      <c r="J2199" t="s">
        <v>3883</v>
      </c>
      <c r="K2199">
        <v>0</v>
      </c>
      <c r="L2199">
        <v>615.76233599609509</v>
      </c>
    </row>
    <row r="2200" spans="1:12" hidden="1" x14ac:dyDescent="0.25">
      <c r="A2200">
        <v>1076</v>
      </c>
      <c r="B2200">
        <v>0</v>
      </c>
      <c r="C2200" t="s">
        <v>2606</v>
      </c>
      <c r="D2200">
        <v>0</v>
      </c>
      <c r="E2200" t="str">
        <f>_xlfn.XLOOKUP(F2200, Keys!B:B, Keys!A:A, "找不到")</f>
        <v>PIC</v>
      </c>
      <c r="F2200" t="s">
        <v>88</v>
      </c>
      <c r="G2200">
        <v>3.9281215632334998</v>
      </c>
      <c r="H2200" t="s">
        <v>60</v>
      </c>
      <c r="I2200" t="s">
        <v>66</v>
      </c>
      <c r="J2200">
        <v>0</v>
      </c>
      <c r="K2200">
        <v>0</v>
      </c>
      <c r="L2200">
        <v>446.94816493803421</v>
      </c>
    </row>
    <row r="2201" spans="1:12" hidden="1" x14ac:dyDescent="0.25">
      <c r="A2201">
        <v>1086</v>
      </c>
      <c r="B2201">
        <v>0</v>
      </c>
      <c r="C2201" t="s">
        <v>2606</v>
      </c>
      <c r="D2201">
        <v>0</v>
      </c>
      <c r="E2201" t="str">
        <f>_xlfn.XLOOKUP(F2201, Keys!B:B, Keys!A:A, "找不到")</f>
        <v>PIC</v>
      </c>
      <c r="F2201" t="s">
        <v>88</v>
      </c>
      <c r="G2201">
        <v>5.8667159998107836</v>
      </c>
      <c r="H2201" t="s">
        <v>46</v>
      </c>
      <c r="I2201" t="s">
        <v>47</v>
      </c>
      <c r="J2201">
        <v>0</v>
      </c>
      <c r="K2201">
        <v>0</v>
      </c>
      <c r="L2201">
        <v>714.24572117733749</v>
      </c>
    </row>
    <row r="2202" spans="1:12" hidden="1" x14ac:dyDescent="0.25">
      <c r="A2202">
        <v>117</v>
      </c>
      <c r="C2202" t="s">
        <v>3970</v>
      </c>
      <c r="D2202" t="s">
        <v>57</v>
      </c>
      <c r="E2202" t="str">
        <f>_xlfn.XLOOKUP(F2202, Keys!B:B, Keys!A:A, "找不到")</f>
        <v>PIC</v>
      </c>
      <c r="F2202" t="s">
        <v>88</v>
      </c>
      <c r="G2202">
        <v>5.5213272588400741</v>
      </c>
      <c r="H2202" t="s">
        <v>60</v>
      </c>
      <c r="I2202" t="s">
        <v>66</v>
      </c>
      <c r="J2202" t="s">
        <v>4185</v>
      </c>
      <c r="K2202">
        <v>0</v>
      </c>
      <c r="L2202">
        <v>0</v>
      </c>
    </row>
    <row r="2203" spans="1:12" hidden="1" x14ac:dyDescent="0.25">
      <c r="A2203">
        <v>134</v>
      </c>
      <c r="C2203" t="s">
        <v>3970</v>
      </c>
      <c r="D2203" t="s">
        <v>57</v>
      </c>
      <c r="E2203" t="str">
        <f>_xlfn.XLOOKUP(F2203, Keys!B:B, Keys!A:A, "找不到")</f>
        <v>PIC</v>
      </c>
      <c r="F2203" t="s">
        <v>88</v>
      </c>
      <c r="G2203">
        <v>2.9433818429229182</v>
      </c>
      <c r="H2203" t="s">
        <v>60</v>
      </c>
      <c r="I2203" t="s">
        <v>66</v>
      </c>
      <c r="J2203" t="s">
        <v>4207</v>
      </c>
      <c r="K2203">
        <v>0</v>
      </c>
      <c r="L2203">
        <v>0</v>
      </c>
    </row>
    <row r="2204" spans="1:12" hidden="1" x14ac:dyDescent="0.25">
      <c r="A2204">
        <v>23</v>
      </c>
      <c r="B2204" t="s">
        <v>2605</v>
      </c>
      <c r="C2204" t="s">
        <v>2606</v>
      </c>
      <c r="D2204">
        <v>0</v>
      </c>
      <c r="E2204" t="str">
        <f>_xlfn.XLOOKUP(F2204, Keys!B:B, Keys!A:A, "找不到")</f>
        <v>PIC</v>
      </c>
      <c r="F2204" t="s">
        <v>88</v>
      </c>
      <c r="G2204">
        <v>5.1244466556077857</v>
      </c>
      <c r="H2204" t="s">
        <v>46</v>
      </c>
      <c r="I2204" t="s">
        <v>47</v>
      </c>
      <c r="J2204" t="s">
        <v>2654</v>
      </c>
      <c r="K2204">
        <v>0</v>
      </c>
      <c r="L2204">
        <v>575.01712542400469</v>
      </c>
    </row>
    <row r="2205" spans="1:12" hidden="1" x14ac:dyDescent="0.25">
      <c r="A2205">
        <v>148</v>
      </c>
      <c r="B2205" t="s">
        <v>2605</v>
      </c>
      <c r="C2205" t="s">
        <v>2606</v>
      </c>
      <c r="D2205" t="s">
        <v>2712</v>
      </c>
      <c r="E2205" t="str">
        <f>_xlfn.XLOOKUP(F2205, Keys!B:B, Keys!A:A, "找不到")</f>
        <v>PIC</v>
      </c>
      <c r="F2205" t="s">
        <v>88</v>
      </c>
      <c r="G2205">
        <v>17.634799572714819</v>
      </c>
      <c r="H2205" t="s">
        <v>46</v>
      </c>
      <c r="I2205" t="s">
        <v>47</v>
      </c>
      <c r="J2205" t="s">
        <v>2857</v>
      </c>
      <c r="K2205">
        <v>0</v>
      </c>
      <c r="L2205">
        <v>1142.908247192054</v>
      </c>
    </row>
    <row r="2206" spans="1:12" hidden="1" x14ac:dyDescent="0.25">
      <c r="A2206">
        <v>157</v>
      </c>
      <c r="B2206" t="s">
        <v>2605</v>
      </c>
      <c r="C2206" t="s">
        <v>2606</v>
      </c>
      <c r="D2206" t="s">
        <v>2712</v>
      </c>
      <c r="E2206" t="str">
        <f>_xlfn.XLOOKUP(F2206, Keys!B:B, Keys!A:A, "找不到")</f>
        <v>PIC</v>
      </c>
      <c r="F2206" t="s">
        <v>88</v>
      </c>
      <c r="G2206">
        <v>9.4428860942419135</v>
      </c>
      <c r="H2206" t="s">
        <v>46</v>
      </c>
      <c r="I2206" t="s">
        <v>47</v>
      </c>
      <c r="J2206" t="s">
        <v>2876</v>
      </c>
      <c r="K2206">
        <v>0</v>
      </c>
      <c r="L2206">
        <v>921.99553223749615</v>
      </c>
    </row>
    <row r="2207" spans="1:12" hidden="1" x14ac:dyDescent="0.25">
      <c r="A2207">
        <v>432</v>
      </c>
      <c r="B2207" t="s">
        <v>2605</v>
      </c>
      <c r="C2207" t="s">
        <v>2606</v>
      </c>
      <c r="D2207" t="s">
        <v>3027</v>
      </c>
      <c r="E2207" t="str">
        <f>_xlfn.XLOOKUP(F2207, Keys!B:B, Keys!A:A, "找不到")</f>
        <v>PIC</v>
      </c>
      <c r="F2207" t="s">
        <v>88</v>
      </c>
      <c r="G2207">
        <v>1.677575333416512</v>
      </c>
      <c r="H2207" t="s">
        <v>46</v>
      </c>
      <c r="I2207" t="s">
        <v>47</v>
      </c>
      <c r="J2207" t="s">
        <v>3097</v>
      </c>
      <c r="K2207">
        <v>0</v>
      </c>
      <c r="L2207">
        <v>471.99808453587838</v>
      </c>
    </row>
    <row r="2208" spans="1:12" hidden="1" x14ac:dyDescent="0.25">
      <c r="A2208">
        <v>447</v>
      </c>
      <c r="B2208" t="s">
        <v>2605</v>
      </c>
      <c r="C2208" t="s">
        <v>2606</v>
      </c>
      <c r="D2208" t="s">
        <v>3027</v>
      </c>
      <c r="E2208" t="str">
        <f>_xlfn.XLOOKUP(F2208, Keys!B:B, Keys!A:A, "找不到")</f>
        <v>PIC</v>
      </c>
      <c r="F2208" t="s">
        <v>88</v>
      </c>
      <c r="G2208">
        <v>17.060682143123071</v>
      </c>
      <c r="H2208" t="s">
        <v>46</v>
      </c>
      <c r="I2208" t="s">
        <v>47</v>
      </c>
      <c r="J2208" t="s">
        <v>3097</v>
      </c>
      <c r="K2208">
        <v>0</v>
      </c>
      <c r="L2208">
        <v>1098.8840733700431</v>
      </c>
    </row>
    <row r="2209" spans="1:12" hidden="1" x14ac:dyDescent="0.25">
      <c r="A2209">
        <v>448</v>
      </c>
      <c r="B2209" t="s">
        <v>2605</v>
      </c>
      <c r="C2209" t="s">
        <v>2606</v>
      </c>
      <c r="D2209" t="s">
        <v>2702</v>
      </c>
      <c r="E2209" t="str">
        <f>_xlfn.XLOOKUP(F2209, Keys!B:B, Keys!A:A, "找不到")</f>
        <v>PIC</v>
      </c>
      <c r="F2209" t="s">
        <v>88</v>
      </c>
      <c r="G2209">
        <v>6.8703461045977514</v>
      </c>
      <c r="H2209" t="s">
        <v>46</v>
      </c>
      <c r="I2209" t="s">
        <v>47</v>
      </c>
      <c r="J2209" t="s">
        <v>2883</v>
      </c>
      <c r="K2209">
        <v>0</v>
      </c>
      <c r="L2209">
        <v>683.33794147606704</v>
      </c>
    </row>
    <row r="2210" spans="1:12" hidden="1" x14ac:dyDescent="0.25">
      <c r="A2210">
        <v>450</v>
      </c>
      <c r="B2210" t="s">
        <v>2605</v>
      </c>
      <c r="C2210" t="s">
        <v>2606</v>
      </c>
      <c r="D2210" t="s">
        <v>3027</v>
      </c>
      <c r="E2210" t="str">
        <f>_xlfn.XLOOKUP(F2210, Keys!B:B, Keys!A:A, "找不到")</f>
        <v>PIC</v>
      </c>
      <c r="F2210" t="s">
        <v>88</v>
      </c>
      <c r="G2210">
        <v>5.0698874957388513</v>
      </c>
      <c r="H2210" t="s">
        <v>46</v>
      </c>
      <c r="I2210" t="s">
        <v>47</v>
      </c>
      <c r="J2210" t="s">
        <v>3097</v>
      </c>
      <c r="K2210">
        <v>0</v>
      </c>
      <c r="L2210">
        <v>626.11268569452523</v>
      </c>
    </row>
    <row r="2211" spans="1:12" hidden="1" x14ac:dyDescent="0.25">
      <c r="A2211">
        <v>457</v>
      </c>
      <c r="B2211" t="s">
        <v>2605</v>
      </c>
      <c r="C2211" t="s">
        <v>2606</v>
      </c>
      <c r="D2211" t="s">
        <v>3027</v>
      </c>
      <c r="E2211" t="str">
        <f>_xlfn.XLOOKUP(F2211, Keys!B:B, Keys!A:A, "找不到")</f>
        <v>PIC</v>
      </c>
      <c r="F2211" t="s">
        <v>88</v>
      </c>
      <c r="G2211">
        <v>9.7540221485705878</v>
      </c>
      <c r="H2211" t="s">
        <v>46</v>
      </c>
      <c r="I2211" t="s">
        <v>47</v>
      </c>
      <c r="J2211" t="s">
        <v>3097</v>
      </c>
      <c r="K2211">
        <v>0</v>
      </c>
      <c r="L2211">
        <v>887.27415936934835</v>
      </c>
    </row>
    <row r="2212" spans="1:12" hidden="1" x14ac:dyDescent="0.25">
      <c r="A2212">
        <v>461</v>
      </c>
      <c r="B2212" t="s">
        <v>2605</v>
      </c>
      <c r="C2212" t="s">
        <v>2606</v>
      </c>
      <c r="D2212" t="s">
        <v>3027</v>
      </c>
      <c r="E2212" t="str">
        <f>_xlfn.XLOOKUP(F2212, Keys!B:B, Keys!A:A, "找不到")</f>
        <v>PIC</v>
      </c>
      <c r="F2212" t="s">
        <v>88</v>
      </c>
      <c r="G2212">
        <v>11.99719093908994</v>
      </c>
      <c r="H2212" t="s">
        <v>46</v>
      </c>
      <c r="I2212" t="s">
        <v>47</v>
      </c>
      <c r="J2212" t="s">
        <v>3097</v>
      </c>
      <c r="K2212">
        <v>0</v>
      </c>
      <c r="L2212">
        <v>875.656647959559</v>
      </c>
    </row>
    <row r="2213" spans="1:12" hidden="1" x14ac:dyDescent="0.25">
      <c r="A2213">
        <v>462</v>
      </c>
      <c r="B2213" t="s">
        <v>2605</v>
      </c>
      <c r="C2213" t="s">
        <v>2606</v>
      </c>
      <c r="D2213" t="s">
        <v>3027</v>
      </c>
      <c r="E2213" t="str">
        <f>_xlfn.XLOOKUP(F2213, Keys!B:B, Keys!A:A, "找不到")</f>
        <v>PIC</v>
      </c>
      <c r="F2213" t="s">
        <v>88</v>
      </c>
      <c r="G2213">
        <v>12.46207740667414</v>
      </c>
      <c r="H2213" t="s">
        <v>46</v>
      </c>
      <c r="I2213" t="s">
        <v>47</v>
      </c>
      <c r="J2213" t="s">
        <v>3097</v>
      </c>
      <c r="K2213">
        <v>0</v>
      </c>
      <c r="L2213">
        <v>910.28079434243637</v>
      </c>
    </row>
    <row r="2214" spans="1:12" hidden="1" x14ac:dyDescent="0.25">
      <c r="A2214">
        <v>524</v>
      </c>
      <c r="B2214" t="s">
        <v>2605</v>
      </c>
      <c r="C2214" t="s">
        <v>2606</v>
      </c>
      <c r="D2214" t="s">
        <v>3027</v>
      </c>
      <c r="E2214" t="str">
        <f>_xlfn.XLOOKUP(F2214, Keys!B:B, Keys!A:A, "找不到")</f>
        <v>PIC</v>
      </c>
      <c r="F2214" t="s">
        <v>88</v>
      </c>
      <c r="G2214">
        <v>1.6433358384518191</v>
      </c>
      <c r="H2214" t="s">
        <v>46</v>
      </c>
      <c r="I2214" t="s">
        <v>47</v>
      </c>
      <c r="J2214" t="s">
        <v>3097</v>
      </c>
      <c r="K2214">
        <v>0</v>
      </c>
      <c r="L2214">
        <v>574.24700332208636</v>
      </c>
    </row>
    <row r="2215" spans="1:12" hidden="1" x14ac:dyDescent="0.25">
      <c r="A2215">
        <v>689</v>
      </c>
      <c r="B2215" t="s">
        <v>2605</v>
      </c>
      <c r="C2215" t="s">
        <v>2606</v>
      </c>
      <c r="D2215">
        <v>0</v>
      </c>
      <c r="E2215" t="str">
        <f>_xlfn.XLOOKUP(F2215, Keys!B:B, Keys!A:A, "找不到")</f>
        <v>PIC</v>
      </c>
      <c r="F2215" t="s">
        <v>88</v>
      </c>
      <c r="G2215">
        <v>2.1603643181798251</v>
      </c>
      <c r="H2215" t="s">
        <v>46</v>
      </c>
      <c r="I2215" t="s">
        <v>47</v>
      </c>
      <c r="J2215" t="s">
        <v>3658</v>
      </c>
      <c r="K2215">
        <v>0</v>
      </c>
      <c r="L2215">
        <v>616.75487171079669</v>
      </c>
    </row>
    <row r="2216" spans="1:12" hidden="1" x14ac:dyDescent="0.25">
      <c r="A2216">
        <v>691</v>
      </c>
      <c r="B2216" t="s">
        <v>2605</v>
      </c>
      <c r="C2216" t="s">
        <v>2606</v>
      </c>
      <c r="D2216">
        <v>0</v>
      </c>
      <c r="E2216" t="str">
        <f>_xlfn.XLOOKUP(F2216, Keys!B:B, Keys!A:A, "找不到")</f>
        <v>PIC</v>
      </c>
      <c r="F2216" t="s">
        <v>88</v>
      </c>
      <c r="G2216">
        <v>1.7518650870910371</v>
      </c>
      <c r="H2216" t="s">
        <v>46</v>
      </c>
      <c r="I2216" t="s">
        <v>47</v>
      </c>
      <c r="J2216" t="s">
        <v>3658</v>
      </c>
      <c r="K2216">
        <v>0</v>
      </c>
      <c r="L2216">
        <v>535.05031073026282</v>
      </c>
    </row>
    <row r="2217" spans="1:12" hidden="1" x14ac:dyDescent="0.25">
      <c r="A2217">
        <v>692</v>
      </c>
      <c r="B2217" t="s">
        <v>2605</v>
      </c>
      <c r="C2217" t="s">
        <v>2606</v>
      </c>
      <c r="D2217">
        <v>0</v>
      </c>
      <c r="E2217" t="str">
        <f>_xlfn.XLOOKUP(F2217, Keys!B:B, Keys!A:A, "找不到")</f>
        <v>PIC</v>
      </c>
      <c r="F2217" t="s">
        <v>88</v>
      </c>
      <c r="G2217">
        <v>1.520202296722621</v>
      </c>
      <c r="H2217" t="s">
        <v>46</v>
      </c>
      <c r="I2217" t="s">
        <v>47</v>
      </c>
      <c r="J2217" t="s">
        <v>3658</v>
      </c>
      <c r="K2217">
        <v>0</v>
      </c>
      <c r="L2217">
        <v>451.25688081418377</v>
      </c>
    </row>
    <row r="2218" spans="1:12" hidden="1" x14ac:dyDescent="0.25">
      <c r="A2218">
        <v>693</v>
      </c>
      <c r="B2218" t="s">
        <v>2605</v>
      </c>
      <c r="C2218" t="s">
        <v>2606</v>
      </c>
      <c r="D2218">
        <v>0</v>
      </c>
      <c r="E2218" t="str">
        <f>_xlfn.XLOOKUP(F2218, Keys!B:B, Keys!A:A, "找不到")</f>
        <v>PIC</v>
      </c>
      <c r="F2218" t="s">
        <v>88</v>
      </c>
      <c r="G2218">
        <v>1.289498095308264</v>
      </c>
      <c r="H2218" t="s">
        <v>46</v>
      </c>
      <c r="I2218" t="s">
        <v>47</v>
      </c>
      <c r="J2218" t="s">
        <v>57</v>
      </c>
      <c r="K2218">
        <v>0</v>
      </c>
      <c r="L2218">
        <v>434.71862824144682</v>
      </c>
    </row>
    <row r="2219" spans="1:12" hidden="1" x14ac:dyDescent="0.25">
      <c r="A2219">
        <v>792</v>
      </c>
      <c r="B2219" t="s">
        <v>2605</v>
      </c>
      <c r="C2219" t="s">
        <v>2606</v>
      </c>
      <c r="D2219" t="s">
        <v>3027</v>
      </c>
      <c r="E2219" t="str">
        <f>_xlfn.XLOOKUP(F2219, Keys!B:B, Keys!A:A, "找不到")</f>
        <v>PIC</v>
      </c>
      <c r="F2219" t="s">
        <v>88</v>
      </c>
      <c r="G2219">
        <v>8.6850837394499951</v>
      </c>
      <c r="H2219" t="s">
        <v>46</v>
      </c>
      <c r="I2219" t="s">
        <v>47</v>
      </c>
      <c r="J2219" t="s">
        <v>3097</v>
      </c>
      <c r="K2219">
        <v>0</v>
      </c>
      <c r="L2219">
        <v>781.19975893648939</v>
      </c>
    </row>
    <row r="2220" spans="1:12" hidden="1" x14ac:dyDescent="0.25">
      <c r="A2220">
        <v>805</v>
      </c>
      <c r="B2220" t="s">
        <v>2605</v>
      </c>
      <c r="C2220" t="s">
        <v>2606</v>
      </c>
      <c r="D2220">
        <v>0</v>
      </c>
      <c r="E2220" t="str">
        <f>_xlfn.XLOOKUP(F2220, Keys!B:B, Keys!A:A, "找不到")</f>
        <v>PIC</v>
      </c>
      <c r="F2220" t="s">
        <v>88</v>
      </c>
      <c r="G2220">
        <v>3.6188373147623971</v>
      </c>
      <c r="H2220" t="s">
        <v>46</v>
      </c>
      <c r="I2220" t="s">
        <v>47</v>
      </c>
      <c r="J2220" t="s">
        <v>3816</v>
      </c>
      <c r="K2220">
        <v>0</v>
      </c>
      <c r="L2220">
        <v>603.44073655079524</v>
      </c>
    </row>
    <row r="2221" spans="1:12" hidden="1" x14ac:dyDescent="0.25">
      <c r="A2221">
        <v>806</v>
      </c>
      <c r="B2221" t="s">
        <v>2605</v>
      </c>
      <c r="C2221" t="s">
        <v>2606</v>
      </c>
      <c r="D2221">
        <v>0</v>
      </c>
      <c r="E2221" t="str">
        <f>_xlfn.XLOOKUP(F2221, Keys!B:B, Keys!A:A, "找不到")</f>
        <v>PIC</v>
      </c>
      <c r="F2221" t="s">
        <v>88</v>
      </c>
      <c r="G2221">
        <v>8.0952884750160674</v>
      </c>
      <c r="H2221" t="s">
        <v>46</v>
      </c>
      <c r="I2221" t="s">
        <v>47</v>
      </c>
      <c r="J2221" t="s">
        <v>3816</v>
      </c>
      <c r="K2221">
        <v>0</v>
      </c>
      <c r="L2221">
        <v>781.18830008652515</v>
      </c>
    </row>
    <row r="2222" spans="1:12" hidden="1" x14ac:dyDescent="0.25">
      <c r="A2222">
        <v>988</v>
      </c>
      <c r="B2222" t="s">
        <v>2605</v>
      </c>
      <c r="C2222" t="s">
        <v>2606</v>
      </c>
      <c r="D2222" t="s">
        <v>3027</v>
      </c>
      <c r="E2222" t="str">
        <f>_xlfn.XLOOKUP(F2222, Keys!B:B, Keys!A:A, "找不到")</f>
        <v>PIC</v>
      </c>
      <c r="F2222" t="s">
        <v>88</v>
      </c>
      <c r="G2222">
        <v>1.073237539182534</v>
      </c>
      <c r="H2222" t="s">
        <v>46</v>
      </c>
      <c r="I2222" t="s">
        <v>47</v>
      </c>
      <c r="J2222" t="s">
        <v>3097</v>
      </c>
      <c r="K2222">
        <v>0</v>
      </c>
      <c r="L2222">
        <v>296.47528353102399</v>
      </c>
    </row>
    <row r="2223" spans="1:12" hidden="1" x14ac:dyDescent="0.25">
      <c r="A2223">
        <v>989</v>
      </c>
      <c r="B2223" t="s">
        <v>2605</v>
      </c>
      <c r="C2223" t="s">
        <v>2606</v>
      </c>
      <c r="D2223" t="s">
        <v>3027</v>
      </c>
      <c r="E2223" t="str">
        <f>_xlfn.XLOOKUP(F2223, Keys!B:B, Keys!A:A, "找不到")</f>
        <v>PIC</v>
      </c>
      <c r="F2223" t="s">
        <v>88</v>
      </c>
      <c r="G2223">
        <v>0.71531113571946714</v>
      </c>
      <c r="H2223" t="s">
        <v>46</v>
      </c>
      <c r="I2223" t="s">
        <v>47</v>
      </c>
      <c r="J2223" t="s">
        <v>3097</v>
      </c>
      <c r="K2223">
        <v>0</v>
      </c>
      <c r="L2223">
        <v>225.20696778658129</v>
      </c>
    </row>
    <row r="2224" spans="1:12" hidden="1" x14ac:dyDescent="0.25">
      <c r="A2224">
        <v>93</v>
      </c>
      <c r="B2224" t="s">
        <v>2042</v>
      </c>
      <c r="C2224" t="s">
        <v>972</v>
      </c>
      <c r="D2224">
        <v>0</v>
      </c>
      <c r="E2224" t="str">
        <f>_xlfn.XLOOKUP(F2224, Keys!B:B, Keys!A:A, "找不到")</f>
        <v>PIC</v>
      </c>
      <c r="F2224" t="s">
        <v>88</v>
      </c>
      <c r="G2224">
        <v>0.1845108293498576</v>
      </c>
      <c r="H2224" t="s">
        <v>46</v>
      </c>
      <c r="I2224" t="s">
        <v>47</v>
      </c>
      <c r="J2224" t="s">
        <v>2200</v>
      </c>
      <c r="K2224">
        <v>109.95347522613071</v>
      </c>
      <c r="L2224">
        <v>746.69182152112091</v>
      </c>
    </row>
    <row r="2225" spans="1:12" hidden="1" x14ac:dyDescent="0.25">
      <c r="A2225">
        <v>94</v>
      </c>
      <c r="B2225" t="s">
        <v>2042</v>
      </c>
      <c r="C2225" t="s">
        <v>972</v>
      </c>
      <c r="D2225">
        <v>0</v>
      </c>
      <c r="E2225" t="str">
        <f>_xlfn.XLOOKUP(F2225, Keys!B:B, Keys!A:A, "找不到")</f>
        <v>PIC</v>
      </c>
      <c r="F2225" t="s">
        <v>88</v>
      </c>
      <c r="G2225">
        <v>0.39304472177409061</v>
      </c>
      <c r="H2225" t="s">
        <v>46</v>
      </c>
      <c r="I2225" t="s">
        <v>47</v>
      </c>
      <c r="J2225" t="s">
        <v>2200</v>
      </c>
      <c r="K2225">
        <v>158.55513172484149</v>
      </c>
      <c r="L2225">
        <v>1590.601919003213</v>
      </c>
    </row>
    <row r="2226" spans="1:12" hidden="1" x14ac:dyDescent="0.25">
      <c r="A2226">
        <v>98</v>
      </c>
      <c r="B2226" t="s">
        <v>2042</v>
      </c>
      <c r="C2226" t="s">
        <v>972</v>
      </c>
      <c r="D2226">
        <v>0</v>
      </c>
      <c r="E2226" t="str">
        <f>_xlfn.XLOOKUP(F2226, Keys!B:B, Keys!A:A, "找不到")</f>
        <v>PIC</v>
      </c>
      <c r="F2226" t="s">
        <v>88</v>
      </c>
      <c r="G2226">
        <v>0.16766765787720769</v>
      </c>
      <c r="H2226" t="s">
        <v>46</v>
      </c>
      <c r="I2226" t="s">
        <v>47</v>
      </c>
      <c r="J2226" t="s">
        <v>2200</v>
      </c>
      <c r="K2226">
        <v>115.3478161979405</v>
      </c>
      <c r="L2226">
        <v>678.52965222503849</v>
      </c>
    </row>
    <row r="2227" spans="1:12" hidden="1" x14ac:dyDescent="0.25">
      <c r="A2227">
        <v>138</v>
      </c>
      <c r="B2227" t="s">
        <v>2042</v>
      </c>
      <c r="C2227" t="s">
        <v>972</v>
      </c>
      <c r="D2227" t="s">
        <v>2241</v>
      </c>
      <c r="E2227" t="str">
        <f>_xlfn.XLOOKUP(F2227, Keys!B:B, Keys!A:A, "找不到")</f>
        <v>PIC</v>
      </c>
      <c r="F2227" t="s">
        <v>88</v>
      </c>
      <c r="G2227">
        <v>0.46667928161543631</v>
      </c>
      <c r="H2227" t="s">
        <v>46</v>
      </c>
      <c r="I2227" t="s">
        <v>47</v>
      </c>
      <c r="J2227" t="s">
        <v>2293</v>
      </c>
      <c r="K2227">
        <v>175.90353106254221</v>
      </c>
      <c r="L2227">
        <v>1888.5916023653019</v>
      </c>
    </row>
    <row r="2228" spans="1:12" hidden="1" x14ac:dyDescent="0.25">
      <c r="A2228">
        <v>154</v>
      </c>
      <c r="B2228" t="s">
        <v>2042</v>
      </c>
      <c r="C2228" t="s">
        <v>972</v>
      </c>
      <c r="D2228" t="s">
        <v>2241</v>
      </c>
      <c r="E2228" t="str">
        <f>_xlfn.XLOOKUP(F2228, Keys!B:B, Keys!A:A, "找不到")</f>
        <v>PIC</v>
      </c>
      <c r="F2228" t="s">
        <v>88</v>
      </c>
      <c r="G2228">
        <v>1.200912733954407</v>
      </c>
      <c r="H2228" t="s">
        <v>46</v>
      </c>
      <c r="I2228" t="s">
        <v>47</v>
      </c>
      <c r="J2228" t="s">
        <v>2257</v>
      </c>
      <c r="K2228">
        <v>349.54831882785629</v>
      </c>
      <c r="L2228">
        <v>4859.9408498892963</v>
      </c>
    </row>
    <row r="2229" spans="1:12" hidden="1" x14ac:dyDescent="0.25">
      <c r="A2229">
        <v>167</v>
      </c>
      <c r="B2229" t="s">
        <v>2042</v>
      </c>
      <c r="C2229" t="s">
        <v>972</v>
      </c>
      <c r="D2229" t="s">
        <v>2241</v>
      </c>
      <c r="E2229" t="str">
        <f>_xlfn.XLOOKUP(F2229, Keys!B:B, Keys!A:A, "找不到")</f>
        <v>PIC</v>
      </c>
      <c r="F2229" t="s">
        <v>88</v>
      </c>
      <c r="G2229">
        <v>12.92285124175784</v>
      </c>
      <c r="H2229" t="s">
        <v>46</v>
      </c>
      <c r="I2229" t="s">
        <v>47</v>
      </c>
      <c r="J2229" t="s">
        <v>2338</v>
      </c>
      <c r="K2229">
        <v>995.60624310027572</v>
      </c>
      <c r="L2229">
        <v>52297.132731749269</v>
      </c>
    </row>
    <row r="2230" spans="1:12" hidden="1" x14ac:dyDescent="0.25">
      <c r="A2230">
        <v>168</v>
      </c>
      <c r="B2230" t="s">
        <v>2042</v>
      </c>
      <c r="C2230" t="s">
        <v>972</v>
      </c>
      <c r="D2230" t="s">
        <v>2241</v>
      </c>
      <c r="E2230" t="str">
        <f>_xlfn.XLOOKUP(F2230, Keys!B:B, Keys!A:A, "找不到")</f>
        <v>PIC</v>
      </c>
      <c r="F2230" t="s">
        <v>88</v>
      </c>
      <c r="G2230">
        <v>1.356901448226105</v>
      </c>
      <c r="H2230" t="s">
        <v>46</v>
      </c>
      <c r="I2230" t="s">
        <v>47</v>
      </c>
      <c r="J2230" t="s">
        <v>2338</v>
      </c>
      <c r="K2230">
        <v>307.989073365997</v>
      </c>
      <c r="L2230">
        <v>5491.2073051249281</v>
      </c>
    </row>
    <row r="2231" spans="1:12" hidden="1" x14ac:dyDescent="0.25">
      <c r="A2231">
        <v>169</v>
      </c>
      <c r="B2231" t="s">
        <v>2042</v>
      </c>
      <c r="C2231" t="s">
        <v>972</v>
      </c>
      <c r="D2231" t="s">
        <v>2241</v>
      </c>
      <c r="E2231" t="str">
        <f>_xlfn.XLOOKUP(F2231, Keys!B:B, Keys!A:A, "找不到")</f>
        <v>PIC</v>
      </c>
      <c r="F2231" t="s">
        <v>88</v>
      </c>
      <c r="G2231">
        <v>16.807897949551101</v>
      </c>
      <c r="H2231" t="s">
        <v>46</v>
      </c>
      <c r="I2231" t="s">
        <v>47</v>
      </c>
      <c r="J2231" t="s">
        <v>2338</v>
      </c>
      <c r="K2231">
        <v>1099.8704424983241</v>
      </c>
      <c r="L2231">
        <v>68019.421841599949</v>
      </c>
    </row>
    <row r="2232" spans="1:12" hidden="1" x14ac:dyDescent="0.25">
      <c r="A2232">
        <v>172</v>
      </c>
      <c r="B2232" t="s">
        <v>2042</v>
      </c>
      <c r="C2232" t="s">
        <v>972</v>
      </c>
      <c r="D2232" t="s">
        <v>2241</v>
      </c>
      <c r="E2232" t="str">
        <f>_xlfn.XLOOKUP(F2232, Keys!B:B, Keys!A:A, "找不到")</f>
        <v>PIC</v>
      </c>
      <c r="F2232" t="s">
        <v>88</v>
      </c>
      <c r="G2232">
        <v>9.8999697709796433</v>
      </c>
      <c r="H2232" t="s">
        <v>46</v>
      </c>
      <c r="I2232" t="s">
        <v>47</v>
      </c>
      <c r="J2232" t="s">
        <v>2338</v>
      </c>
      <c r="K2232">
        <v>777.77791793308938</v>
      </c>
      <c r="L2232">
        <v>40063.916504760593</v>
      </c>
    </row>
    <row r="2233" spans="1:12" hidden="1" x14ac:dyDescent="0.25">
      <c r="A2233">
        <v>220</v>
      </c>
      <c r="B2233" t="s">
        <v>2042</v>
      </c>
      <c r="C2233" t="s">
        <v>972</v>
      </c>
      <c r="D2233">
        <v>0</v>
      </c>
      <c r="E2233" t="str">
        <f>_xlfn.XLOOKUP(F2233, Keys!B:B, Keys!A:A, "找不到")</f>
        <v>PIC</v>
      </c>
      <c r="F2233" t="s">
        <v>88</v>
      </c>
      <c r="G2233">
        <v>13.722873982106041</v>
      </c>
      <c r="H2233" t="s">
        <v>46</v>
      </c>
      <c r="I2233" t="s">
        <v>47</v>
      </c>
      <c r="J2233" t="s">
        <v>2200</v>
      </c>
      <c r="K2233">
        <v>1097.8339753083389</v>
      </c>
      <c r="L2233">
        <v>55534.722846940916</v>
      </c>
    </row>
    <row r="2234" spans="1:12" hidden="1" x14ac:dyDescent="0.25">
      <c r="A2234">
        <v>286</v>
      </c>
      <c r="B2234" t="s">
        <v>2042</v>
      </c>
      <c r="C2234" t="s">
        <v>972</v>
      </c>
      <c r="D2234">
        <v>0</v>
      </c>
      <c r="E2234" t="str">
        <f>_xlfn.XLOOKUP(F2234, Keys!B:B, Keys!A:A, "找不到")</f>
        <v>PIC</v>
      </c>
      <c r="F2234" t="s">
        <v>88</v>
      </c>
      <c r="G2234">
        <v>1.7013863352735821</v>
      </c>
      <c r="H2234" t="s">
        <v>46</v>
      </c>
      <c r="I2234" t="s">
        <v>47</v>
      </c>
      <c r="J2234">
        <v>0</v>
      </c>
      <c r="K2234">
        <v>357.04049188493502</v>
      </c>
      <c r="L2234">
        <v>6885.2937590329884</v>
      </c>
    </row>
    <row r="2235" spans="1:12" hidden="1" x14ac:dyDescent="0.25">
      <c r="A2235">
        <v>287</v>
      </c>
      <c r="B2235" t="s">
        <v>2042</v>
      </c>
      <c r="C2235" t="s">
        <v>972</v>
      </c>
      <c r="D2235">
        <v>0</v>
      </c>
      <c r="E2235" t="str">
        <f>_xlfn.XLOOKUP(F2235, Keys!B:B, Keys!A:A, "找不到")</f>
        <v>PIC</v>
      </c>
      <c r="F2235" t="s">
        <v>88</v>
      </c>
      <c r="G2235">
        <v>0.46751127417258492</v>
      </c>
      <c r="H2235" t="s">
        <v>46</v>
      </c>
      <c r="I2235" t="s">
        <v>47</v>
      </c>
      <c r="J2235">
        <v>0</v>
      </c>
      <c r="K2235">
        <v>213.83296426712121</v>
      </c>
      <c r="L2235">
        <v>1891.9585702564459</v>
      </c>
    </row>
    <row r="2236" spans="1:12" hidden="1" x14ac:dyDescent="0.25">
      <c r="A2236">
        <v>288</v>
      </c>
      <c r="B2236" t="s">
        <v>2042</v>
      </c>
      <c r="C2236" t="s">
        <v>972</v>
      </c>
      <c r="D2236">
        <v>0</v>
      </c>
      <c r="E2236" t="str">
        <f>_xlfn.XLOOKUP(F2236, Keys!B:B, Keys!A:A, "找不到")</f>
        <v>PIC</v>
      </c>
      <c r="F2236" t="s">
        <v>88</v>
      </c>
      <c r="G2236">
        <v>0.49961684651010491</v>
      </c>
      <c r="H2236" t="s">
        <v>46</v>
      </c>
      <c r="I2236" t="s">
        <v>47</v>
      </c>
      <c r="J2236">
        <v>0</v>
      </c>
      <c r="K2236">
        <v>218.1965663001757</v>
      </c>
      <c r="L2236">
        <v>2021.885731573492</v>
      </c>
    </row>
    <row r="2237" spans="1:12" hidden="1" x14ac:dyDescent="0.25">
      <c r="A2237">
        <v>289</v>
      </c>
      <c r="B2237" t="s">
        <v>2042</v>
      </c>
      <c r="C2237" t="s">
        <v>972</v>
      </c>
      <c r="D2237">
        <v>0</v>
      </c>
      <c r="E2237" t="str">
        <f>_xlfn.XLOOKUP(F2237, Keys!B:B, Keys!A:A, "找不到")</f>
        <v>PIC</v>
      </c>
      <c r="F2237" t="s">
        <v>88</v>
      </c>
      <c r="G2237">
        <v>0.49549590364488372</v>
      </c>
      <c r="H2237" t="s">
        <v>46</v>
      </c>
      <c r="I2237" t="s">
        <v>47</v>
      </c>
      <c r="J2237">
        <v>0</v>
      </c>
      <c r="K2237">
        <v>218.1678672041707</v>
      </c>
      <c r="L2237">
        <v>2005.2088007653711</v>
      </c>
    </row>
    <row r="2238" spans="1:12" hidden="1" x14ac:dyDescent="0.25">
      <c r="A2238">
        <v>290</v>
      </c>
      <c r="B2238" t="s">
        <v>2042</v>
      </c>
      <c r="C2238" t="s">
        <v>972</v>
      </c>
      <c r="D2238">
        <v>0</v>
      </c>
      <c r="E2238" t="str">
        <f>_xlfn.XLOOKUP(F2238, Keys!B:B, Keys!A:A, "找不到")</f>
        <v>PIC</v>
      </c>
      <c r="F2238" t="s">
        <v>88</v>
      </c>
      <c r="G2238">
        <v>0.27070602698798207</v>
      </c>
      <c r="H2238" t="s">
        <v>46</v>
      </c>
      <c r="I2238" t="s">
        <v>47</v>
      </c>
      <c r="J2238">
        <v>0</v>
      </c>
      <c r="K2238">
        <v>215.03410841294399</v>
      </c>
      <c r="L2238">
        <v>1095.5128059455451</v>
      </c>
    </row>
    <row r="2239" spans="1:12" hidden="1" x14ac:dyDescent="0.25">
      <c r="A2239">
        <v>313</v>
      </c>
      <c r="B2239" t="s">
        <v>2042</v>
      </c>
      <c r="C2239" t="s">
        <v>972</v>
      </c>
      <c r="D2239">
        <v>0</v>
      </c>
      <c r="E2239" t="str">
        <f>_xlfn.XLOOKUP(F2239, Keys!B:B, Keys!A:A, "找不到")</f>
        <v>PIC</v>
      </c>
      <c r="F2239" t="s">
        <v>88</v>
      </c>
      <c r="G2239">
        <v>4.8812991419824021</v>
      </c>
      <c r="H2239" t="s">
        <v>60</v>
      </c>
      <c r="I2239" t="s">
        <v>66</v>
      </c>
      <c r="J2239">
        <v>0</v>
      </c>
      <c r="K2239">
        <v>625.3787002406774</v>
      </c>
      <c r="L2239">
        <v>19753.995798291271</v>
      </c>
    </row>
    <row r="2240" spans="1:12" hidden="1" x14ac:dyDescent="0.25">
      <c r="A2240">
        <v>314</v>
      </c>
      <c r="B2240" t="s">
        <v>2042</v>
      </c>
      <c r="C2240" t="s">
        <v>972</v>
      </c>
      <c r="D2240">
        <v>0</v>
      </c>
      <c r="E2240" t="str">
        <f>_xlfn.XLOOKUP(F2240, Keys!B:B, Keys!A:A, "找不到")</f>
        <v>PIC</v>
      </c>
      <c r="F2240" t="s">
        <v>88</v>
      </c>
      <c r="G2240">
        <v>2.7231993888776111</v>
      </c>
      <c r="H2240" t="s">
        <v>60</v>
      </c>
      <c r="I2240" t="s">
        <v>66</v>
      </c>
      <c r="J2240">
        <v>0</v>
      </c>
      <c r="K2240">
        <v>605.97358685916117</v>
      </c>
      <c r="L2240">
        <v>11020.4410180751</v>
      </c>
    </row>
    <row r="2241" spans="1:12" hidden="1" x14ac:dyDescent="0.25">
      <c r="A2241">
        <v>338</v>
      </c>
      <c r="B2241" t="s">
        <v>2042</v>
      </c>
      <c r="C2241" t="s">
        <v>972</v>
      </c>
      <c r="D2241">
        <v>0</v>
      </c>
      <c r="E2241" t="str">
        <f>_xlfn.XLOOKUP(F2241, Keys!B:B, Keys!A:A, "找不到")</f>
        <v>PIC</v>
      </c>
      <c r="F2241" t="s">
        <v>88</v>
      </c>
      <c r="G2241">
        <v>9.612235761975775</v>
      </c>
      <c r="H2241" t="s">
        <v>46</v>
      </c>
      <c r="I2241" t="s">
        <v>47</v>
      </c>
      <c r="J2241">
        <v>0</v>
      </c>
      <c r="K2241">
        <v>806.92112452067772</v>
      </c>
      <c r="L2241">
        <v>38899.493624793518</v>
      </c>
    </row>
    <row r="2242" spans="1:12" hidden="1" x14ac:dyDescent="0.25">
      <c r="A2242">
        <v>340</v>
      </c>
      <c r="B2242" t="s">
        <v>2042</v>
      </c>
      <c r="C2242" t="s">
        <v>972</v>
      </c>
      <c r="D2242">
        <v>0</v>
      </c>
      <c r="E2242" t="str">
        <f>_xlfn.XLOOKUP(F2242, Keys!B:B, Keys!A:A, "找不到")</f>
        <v>PIC</v>
      </c>
      <c r="F2242" t="s">
        <v>88</v>
      </c>
      <c r="G2242">
        <v>13.116214125298489</v>
      </c>
      <c r="H2242" t="s">
        <v>46</v>
      </c>
      <c r="I2242" t="s">
        <v>47</v>
      </c>
      <c r="J2242">
        <v>0</v>
      </c>
      <c r="K2242">
        <v>1034.988730560736</v>
      </c>
      <c r="L2242">
        <v>53079.647688916237</v>
      </c>
    </row>
    <row r="2243" spans="1:12" hidden="1" x14ac:dyDescent="0.25">
      <c r="A2243">
        <v>342</v>
      </c>
      <c r="B2243" t="s">
        <v>2042</v>
      </c>
      <c r="C2243" t="s">
        <v>972</v>
      </c>
      <c r="D2243" t="s">
        <v>2586</v>
      </c>
      <c r="E2243" t="str">
        <f>_xlfn.XLOOKUP(F2243, Keys!B:B, Keys!A:A, "找不到")</f>
        <v>PIC</v>
      </c>
      <c r="F2243" t="s">
        <v>88</v>
      </c>
      <c r="G2243">
        <v>7.4676452952661414</v>
      </c>
      <c r="H2243" t="s">
        <v>46</v>
      </c>
      <c r="I2243" t="s">
        <v>47</v>
      </c>
      <c r="J2243">
        <v>0</v>
      </c>
      <c r="K2243">
        <v>715.98393263948344</v>
      </c>
      <c r="L2243">
        <v>30220.609205668861</v>
      </c>
    </row>
    <row r="2244" spans="1:12" hidden="1" x14ac:dyDescent="0.25">
      <c r="A2244">
        <v>49</v>
      </c>
      <c r="B2244" t="s">
        <v>1026</v>
      </c>
      <c r="C2244" t="s">
        <v>1027</v>
      </c>
      <c r="D2244">
        <v>0</v>
      </c>
      <c r="E2244" t="str">
        <f>_xlfn.XLOOKUP(F2244, Keys!B:B, Keys!A:A, "找不到")</f>
        <v>PIC</v>
      </c>
      <c r="F2244" t="s">
        <v>88</v>
      </c>
      <c r="G2244">
        <v>8.7598207881077705</v>
      </c>
      <c r="H2244" t="s">
        <v>46</v>
      </c>
      <c r="I2244" t="s">
        <v>47</v>
      </c>
      <c r="J2244" t="s">
        <v>1134</v>
      </c>
      <c r="K2244">
        <v>982.04778615413034</v>
      </c>
      <c r="L2244">
        <v>35449.878814800417</v>
      </c>
    </row>
    <row r="2245" spans="1:12" hidden="1" x14ac:dyDescent="0.25">
      <c r="A2245">
        <v>52</v>
      </c>
      <c r="B2245" t="s">
        <v>1026</v>
      </c>
      <c r="C2245" t="s">
        <v>1027</v>
      </c>
      <c r="D2245">
        <v>0</v>
      </c>
      <c r="E2245" t="str">
        <f>_xlfn.XLOOKUP(F2245, Keys!B:B, Keys!A:A, "找不到")</f>
        <v>PIC</v>
      </c>
      <c r="F2245" t="s">
        <v>88</v>
      </c>
      <c r="G2245">
        <v>15.39467099764304</v>
      </c>
      <c r="H2245" t="s">
        <v>46</v>
      </c>
      <c r="I2245" t="s">
        <v>47</v>
      </c>
      <c r="J2245" t="s">
        <v>1141</v>
      </c>
      <c r="K2245">
        <v>1741.7606662833939</v>
      </c>
      <c r="L2245">
        <v>62300.272398387147</v>
      </c>
    </row>
    <row r="2246" spans="1:12" hidden="1" x14ac:dyDescent="0.25">
      <c r="A2246">
        <v>191</v>
      </c>
      <c r="B2246" t="s">
        <v>1026</v>
      </c>
      <c r="C2246" t="s">
        <v>1027</v>
      </c>
      <c r="D2246">
        <v>0</v>
      </c>
      <c r="E2246" t="str">
        <f>_xlfn.XLOOKUP(F2246, Keys!B:B, Keys!A:A, "找不到")</f>
        <v>PIC</v>
      </c>
      <c r="F2246" t="s">
        <v>88</v>
      </c>
      <c r="G2246">
        <v>11.69623549589924</v>
      </c>
      <c r="H2246" t="s">
        <v>46</v>
      </c>
      <c r="I2246" t="s">
        <v>47</v>
      </c>
      <c r="J2246" t="s">
        <v>1393</v>
      </c>
      <c r="K2246">
        <v>1308.95730058346</v>
      </c>
      <c r="L2246">
        <v>47333.17506699363</v>
      </c>
    </row>
    <row r="2247" spans="1:12" hidden="1" x14ac:dyDescent="0.25">
      <c r="A2247">
        <v>193</v>
      </c>
      <c r="B2247" t="s">
        <v>1026</v>
      </c>
      <c r="C2247" t="s">
        <v>1027</v>
      </c>
      <c r="D2247">
        <v>0</v>
      </c>
      <c r="E2247" t="str">
        <f>_xlfn.XLOOKUP(F2247, Keys!B:B, Keys!A:A, "找不到")</f>
        <v>PIC</v>
      </c>
      <c r="F2247" t="s">
        <v>88</v>
      </c>
      <c r="G2247">
        <v>0.6778335705395373</v>
      </c>
      <c r="H2247" t="s">
        <v>46</v>
      </c>
      <c r="I2247" t="s">
        <v>47</v>
      </c>
      <c r="J2247" t="s">
        <v>1404</v>
      </c>
      <c r="K2247">
        <v>218.8306525117128</v>
      </c>
      <c r="L2247">
        <v>2743.1061106697198</v>
      </c>
    </row>
    <row r="2248" spans="1:12" hidden="1" x14ac:dyDescent="0.25">
      <c r="A2248">
        <v>204</v>
      </c>
      <c r="B2248" t="s">
        <v>1026</v>
      </c>
      <c r="C2248" t="s">
        <v>1027</v>
      </c>
      <c r="D2248">
        <v>0</v>
      </c>
      <c r="E2248" t="str">
        <f>_xlfn.XLOOKUP(F2248, Keys!B:B, Keys!A:A, "找不到")</f>
        <v>PIC</v>
      </c>
      <c r="F2248" t="s">
        <v>88</v>
      </c>
      <c r="G2248">
        <v>1.0760742687971749</v>
      </c>
      <c r="H2248" t="s">
        <v>46</v>
      </c>
      <c r="I2248" t="s">
        <v>47</v>
      </c>
      <c r="J2248" t="s">
        <v>1404</v>
      </c>
      <c r="K2248">
        <v>331.18644685048059</v>
      </c>
      <c r="L2248">
        <v>4354.7354845857508</v>
      </c>
    </row>
    <row r="2249" spans="1:12" hidden="1" x14ac:dyDescent="0.25">
      <c r="A2249">
        <v>205</v>
      </c>
      <c r="B2249" t="s">
        <v>1026</v>
      </c>
      <c r="C2249" t="s">
        <v>1027</v>
      </c>
      <c r="D2249">
        <v>0</v>
      </c>
      <c r="E2249" t="str">
        <f>_xlfn.XLOOKUP(F2249, Keys!B:B, Keys!A:A, "找不到")</f>
        <v>PIC</v>
      </c>
      <c r="F2249" t="s">
        <v>88</v>
      </c>
      <c r="G2249">
        <v>0.42432366552033168</v>
      </c>
      <c r="H2249" t="s">
        <v>46</v>
      </c>
      <c r="I2249" t="s">
        <v>47</v>
      </c>
      <c r="J2249" t="s">
        <v>1438</v>
      </c>
      <c r="K2249">
        <v>175.48262731639451</v>
      </c>
      <c r="L2249">
        <v>1717.183819715674</v>
      </c>
    </row>
    <row r="2250" spans="1:12" hidden="1" x14ac:dyDescent="0.25">
      <c r="A2250">
        <v>216</v>
      </c>
      <c r="B2250" t="s">
        <v>1026</v>
      </c>
      <c r="C2250" t="s">
        <v>1027</v>
      </c>
      <c r="D2250">
        <v>0</v>
      </c>
      <c r="E2250" t="str">
        <f>_xlfn.XLOOKUP(F2250, Keys!B:B, Keys!A:A, "找不到")</f>
        <v>PIC</v>
      </c>
      <c r="F2250" t="s">
        <v>88</v>
      </c>
      <c r="G2250">
        <v>5.2903565164656179</v>
      </c>
      <c r="H2250" t="s">
        <v>46</v>
      </c>
      <c r="I2250" t="s">
        <v>47</v>
      </c>
      <c r="J2250" t="s">
        <v>1454</v>
      </c>
      <c r="K2250">
        <v>696.10135759394927</v>
      </c>
      <c r="L2250">
        <v>21409.398882954469</v>
      </c>
    </row>
    <row r="2251" spans="1:12" hidden="1" x14ac:dyDescent="0.25">
      <c r="A2251">
        <v>239</v>
      </c>
      <c r="B2251" t="s">
        <v>1026</v>
      </c>
      <c r="C2251" t="s">
        <v>1027</v>
      </c>
      <c r="D2251">
        <v>0</v>
      </c>
      <c r="E2251" t="str">
        <f>_xlfn.XLOOKUP(F2251, Keys!B:B, Keys!A:A, "找不到")</f>
        <v>PIC</v>
      </c>
      <c r="F2251" t="s">
        <v>88</v>
      </c>
      <c r="G2251">
        <v>1.177340305439222</v>
      </c>
      <c r="H2251" t="s">
        <v>46</v>
      </c>
      <c r="I2251" t="s">
        <v>47</v>
      </c>
      <c r="J2251" t="s">
        <v>1457</v>
      </c>
      <c r="K2251">
        <v>290.64585835947719</v>
      </c>
      <c r="L2251">
        <v>4764.5462345829746</v>
      </c>
    </row>
    <row r="2252" spans="1:12" hidden="1" x14ac:dyDescent="0.25">
      <c r="A2252">
        <v>254</v>
      </c>
      <c r="B2252" t="s">
        <v>1026</v>
      </c>
      <c r="C2252" t="s">
        <v>1027</v>
      </c>
      <c r="D2252">
        <v>0</v>
      </c>
      <c r="E2252" t="str">
        <f>_xlfn.XLOOKUP(F2252, Keys!B:B, Keys!A:A, "找不到")</f>
        <v>PIC</v>
      </c>
      <c r="F2252" t="s">
        <v>88</v>
      </c>
      <c r="G2252">
        <v>0.31903305978067692</v>
      </c>
      <c r="H2252" t="s">
        <v>46</v>
      </c>
      <c r="I2252" t="s">
        <v>47</v>
      </c>
      <c r="J2252" t="s">
        <v>1028</v>
      </c>
      <c r="K2252">
        <v>181.03426546907511</v>
      </c>
      <c r="L2252">
        <v>1291.0861512707961</v>
      </c>
    </row>
    <row r="2253" spans="1:12" hidden="1" x14ac:dyDescent="0.25">
      <c r="A2253">
        <v>273</v>
      </c>
      <c r="B2253" t="s">
        <v>1026</v>
      </c>
      <c r="C2253" t="s">
        <v>1027</v>
      </c>
      <c r="D2253" t="s">
        <v>1192</v>
      </c>
      <c r="E2253" t="str">
        <f>_xlfn.XLOOKUP(F2253, Keys!B:B, Keys!A:A, "找不到")</f>
        <v>PIC</v>
      </c>
      <c r="F2253" t="s">
        <v>88</v>
      </c>
      <c r="G2253">
        <v>11.484810058274171</v>
      </c>
      <c r="H2253" t="s">
        <v>46</v>
      </c>
      <c r="I2253" t="s">
        <v>47</v>
      </c>
      <c r="J2253" t="s">
        <v>1478</v>
      </c>
      <c r="K2253">
        <v>899.5408050026889</v>
      </c>
      <c r="L2253">
        <v>46477.563254438042</v>
      </c>
    </row>
    <row r="2254" spans="1:12" hidden="1" x14ac:dyDescent="0.25">
      <c r="A2254">
        <v>32</v>
      </c>
      <c r="B2254" t="s">
        <v>378</v>
      </c>
      <c r="C2254" t="s">
        <v>379</v>
      </c>
      <c r="D2254">
        <v>0</v>
      </c>
      <c r="E2254" t="str">
        <f>_xlfn.XLOOKUP(F2254, Keys!B:B, Keys!A:A, "找不到")</f>
        <v>PIC</v>
      </c>
      <c r="F2254" t="s">
        <v>88</v>
      </c>
      <c r="G2254">
        <v>1.3104931919613949</v>
      </c>
      <c r="H2254" t="s">
        <v>60</v>
      </c>
      <c r="I2254" t="s">
        <v>66</v>
      </c>
      <c r="J2254" t="s">
        <v>474</v>
      </c>
      <c r="K2254">
        <v>456.19449286913431</v>
      </c>
      <c r="L2254">
        <v>5303.399003975248</v>
      </c>
    </row>
    <row r="2255" spans="1:12" hidden="1" x14ac:dyDescent="0.25">
      <c r="A2255">
        <v>33</v>
      </c>
      <c r="B2255" t="s">
        <v>378</v>
      </c>
      <c r="C2255" t="s">
        <v>379</v>
      </c>
      <c r="D2255">
        <v>0</v>
      </c>
      <c r="E2255" t="str">
        <f>_xlfn.XLOOKUP(F2255, Keys!B:B, Keys!A:A, "找不到")</f>
        <v>PIC</v>
      </c>
      <c r="F2255" t="s">
        <v>88</v>
      </c>
      <c r="G2255">
        <v>1.7138556387856401</v>
      </c>
      <c r="H2255" t="s">
        <v>60</v>
      </c>
      <c r="I2255" t="s">
        <v>66</v>
      </c>
      <c r="J2255" t="s">
        <v>474</v>
      </c>
      <c r="K2255">
        <v>430.32976631429852</v>
      </c>
      <c r="L2255">
        <v>6935.7554418801474</v>
      </c>
    </row>
    <row r="2256" spans="1:12" hidden="1" x14ac:dyDescent="0.25">
      <c r="A2256">
        <v>96</v>
      </c>
      <c r="B2256" t="s">
        <v>378</v>
      </c>
      <c r="C2256" t="s">
        <v>379</v>
      </c>
      <c r="D2256" t="s">
        <v>649</v>
      </c>
      <c r="E2256" t="str">
        <f>_xlfn.XLOOKUP(F2256, Keys!B:B, Keys!A:A, "找不到")</f>
        <v>PIC</v>
      </c>
      <c r="F2256" t="s">
        <v>88</v>
      </c>
      <c r="G2256">
        <v>0.53765317911316735</v>
      </c>
      <c r="H2256" t="s">
        <v>60</v>
      </c>
      <c r="I2256" t="s">
        <v>66</v>
      </c>
      <c r="J2256" t="s">
        <v>650</v>
      </c>
      <c r="K2256">
        <v>199.1900384212727</v>
      </c>
      <c r="L2256">
        <v>2175.8139241648919</v>
      </c>
    </row>
    <row r="2257" spans="1:12" hidden="1" x14ac:dyDescent="0.25">
      <c r="A2257">
        <v>113</v>
      </c>
      <c r="B2257" t="s">
        <v>378</v>
      </c>
      <c r="C2257" t="s">
        <v>379</v>
      </c>
      <c r="D2257">
        <v>0</v>
      </c>
      <c r="E2257" t="str">
        <f>_xlfn.XLOOKUP(F2257, Keys!B:B, Keys!A:A, "找不到")</f>
        <v>PIC</v>
      </c>
      <c r="F2257" t="s">
        <v>88</v>
      </c>
      <c r="G2257">
        <v>1.611089422637296</v>
      </c>
      <c r="H2257" t="s">
        <v>60</v>
      </c>
      <c r="I2257" t="s">
        <v>66</v>
      </c>
      <c r="J2257" t="s">
        <v>686</v>
      </c>
      <c r="K2257">
        <v>393.31408725067843</v>
      </c>
      <c r="L2257">
        <v>6519.8736565289973</v>
      </c>
    </row>
    <row r="2258" spans="1:12" hidden="1" x14ac:dyDescent="0.25">
      <c r="A2258">
        <v>114</v>
      </c>
      <c r="B2258" t="s">
        <v>378</v>
      </c>
      <c r="C2258" t="s">
        <v>379</v>
      </c>
      <c r="D2258">
        <v>0</v>
      </c>
      <c r="E2258" t="str">
        <f>_xlfn.XLOOKUP(F2258, Keys!B:B, Keys!A:A, "找不到")</f>
        <v>PIC</v>
      </c>
      <c r="F2258" t="s">
        <v>88</v>
      </c>
      <c r="G2258">
        <v>2.4841476657810788</v>
      </c>
      <c r="H2258" t="s">
        <v>60</v>
      </c>
      <c r="I2258" t="s">
        <v>66</v>
      </c>
      <c r="J2258" t="s">
        <v>690</v>
      </c>
      <c r="K2258">
        <v>550.63285799876564</v>
      </c>
      <c r="L2258">
        <v>10053.02914753251</v>
      </c>
    </row>
    <row r="2259" spans="1:12" hidden="1" x14ac:dyDescent="0.25">
      <c r="A2259">
        <v>115</v>
      </c>
      <c r="B2259" t="s">
        <v>378</v>
      </c>
      <c r="C2259" t="s">
        <v>379</v>
      </c>
      <c r="D2259">
        <v>0</v>
      </c>
      <c r="E2259" t="str">
        <f>_xlfn.XLOOKUP(F2259, Keys!B:B, Keys!A:A, "找不到")</f>
        <v>PIC</v>
      </c>
      <c r="F2259" t="s">
        <v>88</v>
      </c>
      <c r="G2259">
        <v>0.95407150227292414</v>
      </c>
      <c r="H2259" t="s">
        <v>60</v>
      </c>
      <c r="I2259" t="s">
        <v>66</v>
      </c>
      <c r="J2259" t="s">
        <v>691</v>
      </c>
      <c r="K2259">
        <v>260.25674164823482</v>
      </c>
      <c r="L2259">
        <v>3861.005830409877</v>
      </c>
    </row>
    <row r="2260" spans="1:12" hidden="1" x14ac:dyDescent="0.25">
      <c r="A2260">
        <v>121</v>
      </c>
      <c r="B2260" t="s">
        <v>378</v>
      </c>
      <c r="C2260" t="s">
        <v>379</v>
      </c>
      <c r="D2260">
        <v>0</v>
      </c>
      <c r="E2260" t="str">
        <f>_xlfn.XLOOKUP(F2260, Keys!B:B, Keys!A:A, "找不到")</f>
        <v>PIC</v>
      </c>
      <c r="F2260" t="s">
        <v>88</v>
      </c>
      <c r="G2260">
        <v>0.36112182895580419</v>
      </c>
      <c r="H2260" t="s">
        <v>60</v>
      </c>
      <c r="I2260" t="s">
        <v>66</v>
      </c>
      <c r="J2260">
        <v>0</v>
      </c>
      <c r="K2260">
        <v>172.16423393495259</v>
      </c>
      <c r="L2260">
        <v>1461.414038428939</v>
      </c>
    </row>
    <row r="2261" spans="1:12" x14ac:dyDescent="0.25">
      <c r="A2261">
        <v>105</v>
      </c>
      <c r="B2261" t="s">
        <v>42</v>
      </c>
      <c r="C2261" t="s">
        <v>36</v>
      </c>
      <c r="D2261" t="s">
        <v>43</v>
      </c>
      <c r="E2261" t="str">
        <f>_xlfn.XLOOKUP(F2261, Keys!B:B, Keys!A:A, "找不到")</f>
        <v>FA</v>
      </c>
      <c r="F2261" t="s">
        <v>63</v>
      </c>
      <c r="G2261">
        <v>3.16891903104634</v>
      </c>
      <c r="H2261" t="s">
        <v>64</v>
      </c>
      <c r="I2261" t="s">
        <v>65</v>
      </c>
      <c r="J2261">
        <v>0</v>
      </c>
      <c r="K2261">
        <v>628.12120360959079</v>
      </c>
      <c r="L2261">
        <v>12824.21162965069</v>
      </c>
    </row>
    <row r="2262" spans="1:12" x14ac:dyDescent="0.25">
      <c r="A2262">
        <v>108</v>
      </c>
      <c r="B2262" t="s">
        <v>42</v>
      </c>
      <c r="C2262" t="s">
        <v>36</v>
      </c>
      <c r="D2262">
        <v>0</v>
      </c>
      <c r="E2262" t="str">
        <f>_xlfn.XLOOKUP(F2262, Keys!B:B, Keys!A:A, "找不到")</f>
        <v>FA</v>
      </c>
      <c r="F2262" t="s">
        <v>63</v>
      </c>
      <c r="G2262">
        <v>4.9633665321863614</v>
      </c>
      <c r="H2262" t="s">
        <v>64</v>
      </c>
      <c r="I2262" t="s">
        <v>65</v>
      </c>
      <c r="J2262">
        <v>0</v>
      </c>
      <c r="K2262">
        <v>702.96046278661629</v>
      </c>
      <c r="L2262">
        <v>20086.112071871539</v>
      </c>
    </row>
    <row r="2263" spans="1:12" x14ac:dyDescent="0.25">
      <c r="A2263">
        <v>113</v>
      </c>
      <c r="B2263" t="s">
        <v>42</v>
      </c>
      <c r="C2263" t="s">
        <v>36</v>
      </c>
      <c r="D2263" t="s">
        <v>43</v>
      </c>
      <c r="E2263" t="str">
        <f>_xlfn.XLOOKUP(F2263, Keys!B:B, Keys!A:A, "找不到")</f>
        <v>FA</v>
      </c>
      <c r="F2263" t="s">
        <v>63</v>
      </c>
      <c r="G2263">
        <v>2.561511278045514</v>
      </c>
      <c r="H2263" t="s">
        <v>64</v>
      </c>
      <c r="I2263" t="s">
        <v>65</v>
      </c>
      <c r="J2263">
        <v>0</v>
      </c>
      <c r="K2263">
        <v>1823.283428393795</v>
      </c>
      <c r="L2263">
        <v>10366.109831006381</v>
      </c>
    </row>
    <row r="2264" spans="1:12" hidden="1" x14ac:dyDescent="0.25">
      <c r="A2264">
        <v>55</v>
      </c>
      <c r="B2264">
        <v>0</v>
      </c>
      <c r="C2264" t="s">
        <v>2606</v>
      </c>
      <c r="D2264">
        <v>0</v>
      </c>
      <c r="E2264" t="str">
        <f>_xlfn.XLOOKUP(F2264, Keys!B:B, Keys!A:A, "找不到")</f>
        <v>PIW</v>
      </c>
      <c r="F2264" t="s">
        <v>114</v>
      </c>
      <c r="G2264">
        <v>4.8578756162110466</v>
      </c>
      <c r="H2264" t="s">
        <v>46</v>
      </c>
      <c r="I2264" t="s">
        <v>47</v>
      </c>
      <c r="J2264" t="s">
        <v>2722</v>
      </c>
      <c r="K2264">
        <v>0</v>
      </c>
      <c r="L2264">
        <v>555.14920399598168</v>
      </c>
    </row>
    <row r="2265" spans="1:12" hidden="1" x14ac:dyDescent="0.25">
      <c r="A2265">
        <v>290</v>
      </c>
      <c r="B2265">
        <v>0</v>
      </c>
      <c r="C2265" t="s">
        <v>2606</v>
      </c>
      <c r="D2265">
        <v>0</v>
      </c>
      <c r="E2265" t="str">
        <f>_xlfn.XLOOKUP(F2265, Keys!B:B, Keys!A:A, "找不到")</f>
        <v>PIW</v>
      </c>
      <c r="F2265" t="s">
        <v>114</v>
      </c>
      <c r="G2265">
        <v>3.6768544652157358</v>
      </c>
      <c r="H2265" t="s">
        <v>46</v>
      </c>
      <c r="I2265" t="s">
        <v>47</v>
      </c>
      <c r="J2265" t="s">
        <v>2883</v>
      </c>
      <c r="K2265">
        <v>0</v>
      </c>
      <c r="L2265">
        <v>677.05148712196649</v>
      </c>
    </row>
    <row r="2266" spans="1:12" hidden="1" x14ac:dyDescent="0.25">
      <c r="A2266">
        <v>322</v>
      </c>
      <c r="B2266">
        <v>0</v>
      </c>
      <c r="C2266" t="s">
        <v>2606</v>
      </c>
      <c r="D2266">
        <v>0</v>
      </c>
      <c r="E2266" t="str">
        <f>_xlfn.XLOOKUP(F2266, Keys!B:B, Keys!A:A, "找不到")</f>
        <v>PIW</v>
      </c>
      <c r="F2266" t="s">
        <v>114</v>
      </c>
      <c r="G2266">
        <v>3.451220003247303</v>
      </c>
      <c r="H2266" t="s">
        <v>46</v>
      </c>
      <c r="I2266" t="s">
        <v>47</v>
      </c>
      <c r="J2266" t="s">
        <v>2883</v>
      </c>
      <c r="K2266">
        <v>0</v>
      </c>
      <c r="L2266">
        <v>520.69617980036867</v>
      </c>
    </row>
    <row r="2267" spans="1:12" hidden="1" x14ac:dyDescent="0.25">
      <c r="A2267">
        <v>534</v>
      </c>
      <c r="B2267">
        <v>0</v>
      </c>
      <c r="C2267" t="s">
        <v>2606</v>
      </c>
      <c r="D2267">
        <v>0</v>
      </c>
      <c r="E2267" t="str">
        <f>_xlfn.XLOOKUP(F2267, Keys!B:B, Keys!A:A, "找不到")</f>
        <v>PIW</v>
      </c>
      <c r="F2267" t="s">
        <v>114</v>
      </c>
      <c r="G2267">
        <v>1.437187225261485</v>
      </c>
      <c r="H2267" t="s">
        <v>46</v>
      </c>
      <c r="I2267" t="s">
        <v>47</v>
      </c>
      <c r="J2267" t="s">
        <v>2883</v>
      </c>
      <c r="K2267">
        <v>0</v>
      </c>
      <c r="L2267">
        <v>317.73555491274487</v>
      </c>
    </row>
    <row r="2268" spans="1:12" hidden="1" x14ac:dyDescent="0.25">
      <c r="A2268">
        <v>1092</v>
      </c>
      <c r="B2268">
        <v>0</v>
      </c>
      <c r="C2268" t="s">
        <v>2606</v>
      </c>
      <c r="D2268">
        <v>0</v>
      </c>
      <c r="E2268" t="str">
        <f>_xlfn.XLOOKUP(F2268, Keys!B:B, Keys!A:A, "找不到")</f>
        <v>PIW</v>
      </c>
      <c r="F2268" t="s">
        <v>114</v>
      </c>
      <c r="G2268">
        <v>4.5845857393751226</v>
      </c>
      <c r="H2268" t="s">
        <v>46</v>
      </c>
      <c r="I2268" t="s">
        <v>47</v>
      </c>
      <c r="J2268" t="s">
        <v>2883</v>
      </c>
      <c r="K2268">
        <v>0</v>
      </c>
      <c r="L2268">
        <v>642.17618835832218</v>
      </c>
    </row>
    <row r="2269" spans="1:12" hidden="1" x14ac:dyDescent="0.25">
      <c r="A2269">
        <v>52</v>
      </c>
      <c r="B2269" t="s">
        <v>2605</v>
      </c>
      <c r="C2269" t="s">
        <v>2606</v>
      </c>
      <c r="D2269" t="s">
        <v>2712</v>
      </c>
      <c r="E2269" t="str">
        <f>_xlfn.XLOOKUP(F2269, Keys!B:B, Keys!A:A, "找不到")</f>
        <v>PIW</v>
      </c>
      <c r="F2269" t="s">
        <v>114</v>
      </c>
      <c r="G2269">
        <v>0.47663475620485668</v>
      </c>
      <c r="H2269" t="s">
        <v>46</v>
      </c>
      <c r="I2269" t="s">
        <v>47</v>
      </c>
      <c r="J2269" t="s">
        <v>2713</v>
      </c>
      <c r="K2269">
        <v>0</v>
      </c>
      <c r="L2269">
        <v>205.9767270384759</v>
      </c>
    </row>
    <row r="2270" spans="1:12" hidden="1" x14ac:dyDescent="0.25">
      <c r="A2270">
        <v>57</v>
      </c>
      <c r="B2270" t="s">
        <v>2605</v>
      </c>
      <c r="C2270" t="s">
        <v>2606</v>
      </c>
      <c r="D2270" t="s">
        <v>2712</v>
      </c>
      <c r="E2270" t="str">
        <f>_xlfn.XLOOKUP(F2270, Keys!B:B, Keys!A:A, "找不到")</f>
        <v>PIW</v>
      </c>
      <c r="F2270" t="s">
        <v>114</v>
      </c>
      <c r="G2270">
        <v>1.9356768437052569</v>
      </c>
      <c r="H2270" t="s">
        <v>46</v>
      </c>
      <c r="I2270" t="s">
        <v>47</v>
      </c>
      <c r="J2270" t="s">
        <v>2722</v>
      </c>
      <c r="K2270">
        <v>0</v>
      </c>
      <c r="L2270">
        <v>364.19211786273809</v>
      </c>
    </row>
    <row r="2271" spans="1:12" hidden="1" x14ac:dyDescent="0.25">
      <c r="A2271">
        <v>58</v>
      </c>
      <c r="B2271" t="s">
        <v>2605</v>
      </c>
      <c r="C2271" t="s">
        <v>2606</v>
      </c>
      <c r="D2271" t="s">
        <v>2712</v>
      </c>
      <c r="E2271" t="str">
        <f>_xlfn.XLOOKUP(F2271, Keys!B:B, Keys!A:A, "找不到")</f>
        <v>PIW</v>
      </c>
      <c r="F2271" t="s">
        <v>114</v>
      </c>
      <c r="G2271">
        <v>0.94938652243854249</v>
      </c>
      <c r="H2271" t="s">
        <v>46</v>
      </c>
      <c r="I2271" t="s">
        <v>47</v>
      </c>
      <c r="J2271" t="s">
        <v>2722</v>
      </c>
      <c r="K2271">
        <v>0</v>
      </c>
      <c r="L2271">
        <v>268.55218706780062</v>
      </c>
    </row>
    <row r="2272" spans="1:12" hidden="1" x14ac:dyDescent="0.25">
      <c r="A2272">
        <v>64</v>
      </c>
      <c r="B2272" t="s">
        <v>2605</v>
      </c>
      <c r="C2272" t="s">
        <v>2606</v>
      </c>
      <c r="D2272" t="s">
        <v>2712</v>
      </c>
      <c r="E2272" t="str">
        <f>_xlfn.XLOOKUP(F2272, Keys!B:B, Keys!A:A, "找不到")</f>
        <v>PIW</v>
      </c>
      <c r="F2272" t="s">
        <v>114</v>
      </c>
      <c r="G2272">
        <v>4.1020952724121944</v>
      </c>
      <c r="H2272" t="s">
        <v>46</v>
      </c>
      <c r="I2272" t="s">
        <v>47</v>
      </c>
      <c r="J2272" t="s">
        <v>2722</v>
      </c>
      <c r="K2272">
        <v>0</v>
      </c>
      <c r="L2272">
        <v>558.46082755504369</v>
      </c>
    </row>
    <row r="2273" spans="1:12" hidden="1" x14ac:dyDescent="0.25">
      <c r="A2273">
        <v>105</v>
      </c>
      <c r="B2273" t="s">
        <v>2605</v>
      </c>
      <c r="C2273" t="s">
        <v>2606</v>
      </c>
      <c r="D2273">
        <v>0</v>
      </c>
      <c r="E2273" t="str">
        <f>_xlfn.XLOOKUP(F2273, Keys!B:B, Keys!A:A, "找不到")</f>
        <v>PIW</v>
      </c>
      <c r="F2273" t="s">
        <v>114</v>
      </c>
      <c r="G2273">
        <v>19.08963177721445</v>
      </c>
      <c r="H2273" t="s">
        <v>46</v>
      </c>
      <c r="I2273" t="s">
        <v>47</v>
      </c>
      <c r="J2273" t="s">
        <v>2801</v>
      </c>
      <c r="K2273">
        <v>0</v>
      </c>
      <c r="L2273">
        <v>1182.208982901943</v>
      </c>
    </row>
    <row r="2274" spans="1:12" hidden="1" x14ac:dyDescent="0.25">
      <c r="A2274">
        <v>107</v>
      </c>
      <c r="B2274" t="s">
        <v>2605</v>
      </c>
      <c r="C2274" t="s">
        <v>2606</v>
      </c>
      <c r="D2274">
        <v>0</v>
      </c>
      <c r="E2274" t="str">
        <f>_xlfn.XLOOKUP(F2274, Keys!B:B, Keys!A:A, "找不到")</f>
        <v>PIW</v>
      </c>
      <c r="F2274" t="s">
        <v>114</v>
      </c>
      <c r="G2274">
        <v>0.43255751032250778</v>
      </c>
      <c r="H2274" t="s">
        <v>46</v>
      </c>
      <c r="I2274" t="s">
        <v>47</v>
      </c>
      <c r="J2274" t="s">
        <v>2801</v>
      </c>
      <c r="K2274">
        <v>0</v>
      </c>
      <c r="L2274">
        <v>200.78971930706629</v>
      </c>
    </row>
    <row r="2275" spans="1:12" hidden="1" x14ac:dyDescent="0.25">
      <c r="A2275">
        <v>110</v>
      </c>
      <c r="B2275" t="s">
        <v>2605</v>
      </c>
      <c r="C2275" t="s">
        <v>2606</v>
      </c>
      <c r="D2275">
        <v>0</v>
      </c>
      <c r="E2275" t="str">
        <f>_xlfn.XLOOKUP(F2275, Keys!B:B, Keys!A:A, "找不到")</f>
        <v>PIW</v>
      </c>
      <c r="F2275" t="s">
        <v>114</v>
      </c>
      <c r="G2275">
        <v>19.992265784619711</v>
      </c>
      <c r="H2275" t="s">
        <v>46</v>
      </c>
      <c r="I2275" t="s">
        <v>47</v>
      </c>
      <c r="J2275" t="s">
        <v>2801</v>
      </c>
      <c r="K2275">
        <v>0</v>
      </c>
      <c r="L2275">
        <v>1258.5535652863371</v>
      </c>
    </row>
    <row r="2276" spans="1:12" hidden="1" x14ac:dyDescent="0.25">
      <c r="A2276">
        <v>111</v>
      </c>
      <c r="B2276" t="s">
        <v>2605</v>
      </c>
      <c r="C2276" t="s">
        <v>2606</v>
      </c>
      <c r="D2276">
        <v>0</v>
      </c>
      <c r="E2276" t="str">
        <f>_xlfn.XLOOKUP(F2276, Keys!B:B, Keys!A:A, "找不到")</f>
        <v>PIW</v>
      </c>
      <c r="F2276" t="s">
        <v>114</v>
      </c>
      <c r="G2276">
        <v>0.93687867419321791</v>
      </c>
      <c r="H2276" t="s">
        <v>46</v>
      </c>
      <c r="I2276" t="s">
        <v>47</v>
      </c>
      <c r="J2276" t="s">
        <v>2801</v>
      </c>
      <c r="K2276">
        <v>0</v>
      </c>
      <c r="L2276">
        <v>347.31575682925018</v>
      </c>
    </row>
    <row r="2277" spans="1:12" hidden="1" x14ac:dyDescent="0.25">
      <c r="A2277">
        <v>112</v>
      </c>
      <c r="B2277" t="s">
        <v>2605</v>
      </c>
      <c r="C2277" t="s">
        <v>2606</v>
      </c>
      <c r="D2277">
        <v>0</v>
      </c>
      <c r="E2277" t="str">
        <f>_xlfn.XLOOKUP(F2277, Keys!B:B, Keys!A:A, "找不到")</f>
        <v>PIW</v>
      </c>
      <c r="F2277" t="s">
        <v>114</v>
      </c>
      <c r="G2277">
        <v>0.88835159689438548</v>
      </c>
      <c r="H2277" t="s">
        <v>46</v>
      </c>
      <c r="I2277" t="s">
        <v>47</v>
      </c>
      <c r="J2277" t="s">
        <v>2801</v>
      </c>
      <c r="K2277">
        <v>0</v>
      </c>
      <c r="L2277">
        <v>351.16880426749952</v>
      </c>
    </row>
    <row r="2278" spans="1:12" hidden="1" x14ac:dyDescent="0.25">
      <c r="A2278">
        <v>116</v>
      </c>
      <c r="B2278" t="s">
        <v>2605</v>
      </c>
      <c r="C2278" t="s">
        <v>2606</v>
      </c>
      <c r="D2278" t="s">
        <v>2712</v>
      </c>
      <c r="E2278" t="str">
        <f>_xlfn.XLOOKUP(F2278, Keys!B:B, Keys!A:A, "找不到")</f>
        <v>PIW</v>
      </c>
      <c r="F2278" t="s">
        <v>114</v>
      </c>
      <c r="G2278">
        <v>0.96791150017951799</v>
      </c>
      <c r="H2278" t="s">
        <v>46</v>
      </c>
      <c r="I2278" t="s">
        <v>47</v>
      </c>
      <c r="J2278" t="s">
        <v>2722</v>
      </c>
      <c r="K2278">
        <v>0</v>
      </c>
      <c r="L2278">
        <v>369.26921331975188</v>
      </c>
    </row>
    <row r="2279" spans="1:12" hidden="1" x14ac:dyDescent="0.25">
      <c r="A2279">
        <v>117</v>
      </c>
      <c r="B2279" t="s">
        <v>2605</v>
      </c>
      <c r="C2279" t="s">
        <v>2606</v>
      </c>
      <c r="D2279">
        <v>0</v>
      </c>
      <c r="E2279" t="str">
        <f>_xlfn.XLOOKUP(F2279, Keys!B:B, Keys!A:A, "找不到")</f>
        <v>PIW</v>
      </c>
      <c r="F2279" t="s">
        <v>114</v>
      </c>
      <c r="G2279">
        <v>1.745864821658788</v>
      </c>
      <c r="H2279" t="s">
        <v>46</v>
      </c>
      <c r="I2279" t="s">
        <v>47</v>
      </c>
      <c r="J2279" t="s">
        <v>2801</v>
      </c>
      <c r="K2279">
        <v>0</v>
      </c>
      <c r="L2279">
        <v>437.98878239540647</v>
      </c>
    </row>
    <row r="2280" spans="1:12" hidden="1" x14ac:dyDescent="0.25">
      <c r="A2280">
        <v>118</v>
      </c>
      <c r="B2280" t="s">
        <v>2605</v>
      </c>
      <c r="C2280" t="s">
        <v>2606</v>
      </c>
      <c r="D2280" t="s">
        <v>2712</v>
      </c>
      <c r="E2280" t="str">
        <f>_xlfn.XLOOKUP(F2280, Keys!B:B, Keys!A:A, "找不到")</f>
        <v>PIW</v>
      </c>
      <c r="F2280" t="s">
        <v>114</v>
      </c>
      <c r="G2280">
        <v>3.0832590847787751</v>
      </c>
      <c r="H2280" t="s">
        <v>46</v>
      </c>
      <c r="I2280" t="s">
        <v>47</v>
      </c>
      <c r="J2280" t="s">
        <v>2722</v>
      </c>
      <c r="K2280">
        <v>0</v>
      </c>
      <c r="L2280">
        <v>1026.1411798278821</v>
      </c>
    </row>
    <row r="2281" spans="1:12" hidden="1" x14ac:dyDescent="0.25">
      <c r="A2281">
        <v>122</v>
      </c>
      <c r="B2281" t="s">
        <v>2605</v>
      </c>
      <c r="C2281" t="s">
        <v>2606</v>
      </c>
      <c r="D2281" t="s">
        <v>2712</v>
      </c>
      <c r="E2281" t="str">
        <f>_xlfn.XLOOKUP(F2281, Keys!B:B, Keys!A:A, "找不到")</f>
        <v>PIW</v>
      </c>
      <c r="F2281" t="s">
        <v>114</v>
      </c>
      <c r="G2281">
        <v>14.64307730394629</v>
      </c>
      <c r="H2281" t="s">
        <v>46</v>
      </c>
      <c r="I2281" t="s">
        <v>47</v>
      </c>
      <c r="J2281" t="s">
        <v>2722</v>
      </c>
      <c r="K2281">
        <v>0</v>
      </c>
      <c r="L2281">
        <v>1116.310839976069</v>
      </c>
    </row>
    <row r="2282" spans="1:12" hidden="1" x14ac:dyDescent="0.25">
      <c r="A2282">
        <v>162</v>
      </c>
      <c r="B2282" t="s">
        <v>2605</v>
      </c>
      <c r="C2282" t="s">
        <v>2606</v>
      </c>
      <c r="D2282" t="s">
        <v>2712</v>
      </c>
      <c r="E2282" t="str">
        <f>_xlfn.XLOOKUP(F2282, Keys!B:B, Keys!A:A, "找不到")</f>
        <v>PIW</v>
      </c>
      <c r="F2282" t="s">
        <v>114</v>
      </c>
      <c r="G2282">
        <v>3.8491097081800989</v>
      </c>
      <c r="H2282" t="s">
        <v>46</v>
      </c>
      <c r="I2282" t="s">
        <v>47</v>
      </c>
      <c r="J2282" t="s">
        <v>2722</v>
      </c>
      <c r="K2282">
        <v>0</v>
      </c>
      <c r="L2282">
        <v>538.96910065103316</v>
      </c>
    </row>
    <row r="2283" spans="1:12" hidden="1" x14ac:dyDescent="0.25">
      <c r="A2283">
        <v>168</v>
      </c>
      <c r="B2283" t="s">
        <v>2605</v>
      </c>
      <c r="C2283" t="s">
        <v>2606</v>
      </c>
      <c r="D2283">
        <v>0</v>
      </c>
      <c r="E2283" t="str">
        <f>_xlfn.XLOOKUP(F2283, Keys!B:B, Keys!A:A, "找不到")</f>
        <v>PIW</v>
      </c>
      <c r="F2283" t="s">
        <v>114</v>
      </c>
      <c r="G2283">
        <v>19.91783856772491</v>
      </c>
      <c r="H2283" t="s">
        <v>46</v>
      </c>
      <c r="I2283" t="s">
        <v>47</v>
      </c>
      <c r="J2283" t="s">
        <v>2895</v>
      </c>
      <c r="K2283">
        <v>0</v>
      </c>
      <c r="L2283">
        <v>1294.570119350313</v>
      </c>
    </row>
    <row r="2284" spans="1:12" hidden="1" x14ac:dyDescent="0.25">
      <c r="A2284">
        <v>171</v>
      </c>
      <c r="B2284" t="s">
        <v>2605</v>
      </c>
      <c r="C2284" t="s">
        <v>2606</v>
      </c>
      <c r="D2284" t="s">
        <v>2712</v>
      </c>
      <c r="E2284" t="str">
        <f>_xlfn.XLOOKUP(F2284, Keys!B:B, Keys!A:A, "找不到")</f>
        <v>PIW</v>
      </c>
      <c r="F2284" t="s">
        <v>114</v>
      </c>
      <c r="G2284">
        <v>13.91819350741058</v>
      </c>
      <c r="H2284" t="s">
        <v>46</v>
      </c>
      <c r="I2284" t="s">
        <v>47</v>
      </c>
      <c r="J2284" t="s">
        <v>2722</v>
      </c>
      <c r="K2284">
        <v>0</v>
      </c>
      <c r="L2284">
        <v>1046.3921187396249</v>
      </c>
    </row>
    <row r="2285" spans="1:12" hidden="1" x14ac:dyDescent="0.25">
      <c r="A2285">
        <v>172</v>
      </c>
      <c r="B2285" t="s">
        <v>2605</v>
      </c>
      <c r="C2285" t="s">
        <v>2606</v>
      </c>
      <c r="D2285" t="s">
        <v>2712</v>
      </c>
      <c r="E2285" t="str">
        <f>_xlfn.XLOOKUP(F2285, Keys!B:B, Keys!A:A, "找不到")</f>
        <v>PIW</v>
      </c>
      <c r="F2285" t="s">
        <v>114</v>
      </c>
      <c r="G2285">
        <v>21.561103258858299</v>
      </c>
      <c r="H2285" t="s">
        <v>46</v>
      </c>
      <c r="I2285" t="s">
        <v>47</v>
      </c>
      <c r="J2285" t="s">
        <v>2722</v>
      </c>
      <c r="K2285">
        <v>0</v>
      </c>
      <c r="L2285">
        <v>1397.6928373881001</v>
      </c>
    </row>
    <row r="2286" spans="1:12" hidden="1" x14ac:dyDescent="0.25">
      <c r="A2286">
        <v>173</v>
      </c>
      <c r="B2286" t="s">
        <v>2605</v>
      </c>
      <c r="C2286" t="s">
        <v>2606</v>
      </c>
      <c r="D2286" t="s">
        <v>2712</v>
      </c>
      <c r="E2286" t="str">
        <f>_xlfn.XLOOKUP(F2286, Keys!B:B, Keys!A:A, "找不到")</f>
        <v>PIW</v>
      </c>
      <c r="F2286" t="s">
        <v>114</v>
      </c>
      <c r="G2286">
        <v>24.184307978310411</v>
      </c>
      <c r="H2286" t="s">
        <v>46</v>
      </c>
      <c r="I2286" t="s">
        <v>47</v>
      </c>
      <c r="J2286" t="s">
        <v>2722</v>
      </c>
      <c r="K2286">
        <v>0</v>
      </c>
      <c r="L2286">
        <v>1448.2499894305361</v>
      </c>
    </row>
    <row r="2287" spans="1:12" hidden="1" x14ac:dyDescent="0.25">
      <c r="A2287">
        <v>176</v>
      </c>
      <c r="B2287" t="s">
        <v>2605</v>
      </c>
      <c r="C2287" t="s">
        <v>2606</v>
      </c>
      <c r="D2287" t="s">
        <v>2712</v>
      </c>
      <c r="E2287" t="str">
        <f>_xlfn.XLOOKUP(F2287, Keys!B:B, Keys!A:A, "找不到")</f>
        <v>PIW</v>
      </c>
      <c r="F2287" t="s">
        <v>114</v>
      </c>
      <c r="G2287">
        <v>0.16912546701170009</v>
      </c>
      <c r="H2287" t="s">
        <v>46</v>
      </c>
      <c r="I2287" t="s">
        <v>47</v>
      </c>
      <c r="J2287" t="s">
        <v>2722</v>
      </c>
      <c r="K2287">
        <v>0</v>
      </c>
      <c r="L2287">
        <v>109.9135912275727</v>
      </c>
    </row>
    <row r="2288" spans="1:12" hidden="1" x14ac:dyDescent="0.25">
      <c r="A2288">
        <v>177</v>
      </c>
      <c r="B2288" t="s">
        <v>2605</v>
      </c>
      <c r="C2288" t="s">
        <v>2606</v>
      </c>
      <c r="D2288" t="s">
        <v>2712</v>
      </c>
      <c r="E2288" t="str">
        <f>_xlfn.XLOOKUP(F2288, Keys!B:B, Keys!A:A, "找不到")</f>
        <v>PIW</v>
      </c>
      <c r="F2288" t="s">
        <v>114</v>
      </c>
      <c r="G2288">
        <v>0.70127752670319865</v>
      </c>
      <c r="H2288" t="s">
        <v>46</v>
      </c>
      <c r="I2288" t="s">
        <v>47</v>
      </c>
      <c r="J2288" t="s">
        <v>2722</v>
      </c>
      <c r="K2288">
        <v>0</v>
      </c>
      <c r="L2288">
        <v>238.95468339170981</v>
      </c>
    </row>
    <row r="2289" spans="1:12" hidden="1" x14ac:dyDescent="0.25">
      <c r="A2289">
        <v>180</v>
      </c>
      <c r="B2289" t="s">
        <v>2605</v>
      </c>
      <c r="C2289" t="s">
        <v>2606</v>
      </c>
      <c r="D2289" t="s">
        <v>2712</v>
      </c>
      <c r="E2289" t="str">
        <f>_xlfn.XLOOKUP(F2289, Keys!B:B, Keys!A:A, "找不到")</f>
        <v>PIW</v>
      </c>
      <c r="F2289" t="s">
        <v>114</v>
      </c>
      <c r="G2289">
        <v>8.0725882642332305</v>
      </c>
      <c r="H2289" t="s">
        <v>46</v>
      </c>
      <c r="I2289" t="s">
        <v>47</v>
      </c>
      <c r="J2289" t="s">
        <v>2722</v>
      </c>
      <c r="K2289">
        <v>0</v>
      </c>
      <c r="L2289">
        <v>776.07926292452817</v>
      </c>
    </row>
    <row r="2290" spans="1:12" hidden="1" x14ac:dyDescent="0.25">
      <c r="A2290">
        <v>181</v>
      </c>
      <c r="B2290" t="s">
        <v>2605</v>
      </c>
      <c r="C2290" t="s">
        <v>2606</v>
      </c>
      <c r="D2290" t="s">
        <v>2712</v>
      </c>
      <c r="E2290" t="str">
        <f>_xlfn.XLOOKUP(F2290, Keys!B:B, Keys!A:A, "找不到")</f>
        <v>PIW</v>
      </c>
      <c r="F2290" t="s">
        <v>114</v>
      </c>
      <c r="G2290">
        <v>3.8206511808037429</v>
      </c>
      <c r="H2290" t="s">
        <v>46</v>
      </c>
      <c r="I2290" t="s">
        <v>47</v>
      </c>
      <c r="J2290" t="s">
        <v>2722</v>
      </c>
      <c r="K2290">
        <v>0</v>
      </c>
      <c r="L2290">
        <v>517.59211052379976</v>
      </c>
    </row>
    <row r="2291" spans="1:12" hidden="1" x14ac:dyDescent="0.25">
      <c r="A2291">
        <v>187</v>
      </c>
      <c r="B2291" t="s">
        <v>2605</v>
      </c>
      <c r="C2291" t="s">
        <v>2606</v>
      </c>
      <c r="D2291" t="s">
        <v>2712</v>
      </c>
      <c r="E2291" t="str">
        <f>_xlfn.XLOOKUP(F2291, Keys!B:B, Keys!A:A, "找不到")</f>
        <v>PIW</v>
      </c>
      <c r="F2291" t="s">
        <v>114</v>
      </c>
      <c r="G2291">
        <v>11.995172592437051</v>
      </c>
      <c r="H2291" t="s">
        <v>46</v>
      </c>
      <c r="I2291" t="s">
        <v>47</v>
      </c>
      <c r="J2291" t="s">
        <v>2722</v>
      </c>
      <c r="K2291">
        <v>0</v>
      </c>
      <c r="L2291">
        <v>1355.1368361745081</v>
      </c>
    </row>
    <row r="2292" spans="1:12" hidden="1" x14ac:dyDescent="0.25">
      <c r="A2292">
        <v>193</v>
      </c>
      <c r="B2292" t="s">
        <v>2605</v>
      </c>
      <c r="C2292" t="s">
        <v>2606</v>
      </c>
      <c r="D2292" t="s">
        <v>2712</v>
      </c>
      <c r="E2292" t="str">
        <f>_xlfn.XLOOKUP(F2292, Keys!B:B, Keys!A:A, "找不到")</f>
        <v>PIW</v>
      </c>
      <c r="F2292" t="s">
        <v>114</v>
      </c>
      <c r="G2292">
        <v>4.6513462611528267</v>
      </c>
      <c r="H2292" t="s">
        <v>46</v>
      </c>
      <c r="I2292" t="s">
        <v>47</v>
      </c>
      <c r="J2292" t="s">
        <v>2722</v>
      </c>
      <c r="K2292">
        <v>0</v>
      </c>
      <c r="L2292">
        <v>728.2973519873043</v>
      </c>
    </row>
    <row r="2293" spans="1:12" hidden="1" x14ac:dyDescent="0.25">
      <c r="A2293">
        <v>194</v>
      </c>
      <c r="B2293" t="s">
        <v>2605</v>
      </c>
      <c r="C2293" t="s">
        <v>2606</v>
      </c>
      <c r="D2293" t="s">
        <v>2712</v>
      </c>
      <c r="E2293" t="str">
        <f>_xlfn.XLOOKUP(F2293, Keys!B:B, Keys!A:A, "找不到")</f>
        <v>PIW</v>
      </c>
      <c r="F2293" t="s">
        <v>114</v>
      </c>
      <c r="G2293">
        <v>5.5369656359385164</v>
      </c>
      <c r="H2293" t="s">
        <v>46</v>
      </c>
      <c r="I2293" t="s">
        <v>47</v>
      </c>
      <c r="J2293" t="s">
        <v>2722</v>
      </c>
      <c r="K2293">
        <v>0</v>
      </c>
      <c r="L2293">
        <v>587.99562214399691</v>
      </c>
    </row>
    <row r="2294" spans="1:12" hidden="1" x14ac:dyDescent="0.25">
      <c r="A2294">
        <v>195</v>
      </c>
      <c r="B2294" t="s">
        <v>2605</v>
      </c>
      <c r="C2294" t="s">
        <v>2606</v>
      </c>
      <c r="D2294" t="s">
        <v>2712</v>
      </c>
      <c r="E2294" t="str">
        <f>_xlfn.XLOOKUP(F2294, Keys!B:B, Keys!A:A, "找不到")</f>
        <v>PIW</v>
      </c>
      <c r="F2294" t="s">
        <v>114</v>
      </c>
      <c r="G2294">
        <v>9.9708606905617359</v>
      </c>
      <c r="H2294" t="s">
        <v>46</v>
      </c>
      <c r="I2294" t="s">
        <v>47</v>
      </c>
      <c r="J2294" t="s">
        <v>2722</v>
      </c>
      <c r="K2294">
        <v>0</v>
      </c>
      <c r="L2294">
        <v>824.04655741070769</v>
      </c>
    </row>
    <row r="2295" spans="1:12" hidden="1" x14ac:dyDescent="0.25">
      <c r="A2295">
        <v>197</v>
      </c>
      <c r="B2295" t="s">
        <v>2605</v>
      </c>
      <c r="C2295" t="s">
        <v>2606</v>
      </c>
      <c r="D2295" t="s">
        <v>2712</v>
      </c>
      <c r="E2295" t="str">
        <f>_xlfn.XLOOKUP(F2295, Keys!B:B, Keys!A:A, "找不到")</f>
        <v>PIW</v>
      </c>
      <c r="F2295" t="s">
        <v>114</v>
      </c>
      <c r="G2295">
        <v>11.05147931940563</v>
      </c>
      <c r="H2295" t="s">
        <v>46</v>
      </c>
      <c r="I2295" t="s">
        <v>47</v>
      </c>
      <c r="J2295" t="s">
        <v>2846</v>
      </c>
      <c r="K2295">
        <v>0</v>
      </c>
      <c r="L2295">
        <v>974.76526996147038</v>
      </c>
    </row>
    <row r="2296" spans="1:12" hidden="1" x14ac:dyDescent="0.25">
      <c r="A2296">
        <v>232</v>
      </c>
      <c r="B2296" t="s">
        <v>2605</v>
      </c>
      <c r="C2296" t="s">
        <v>2606</v>
      </c>
      <c r="D2296" t="s">
        <v>2702</v>
      </c>
      <c r="E2296" t="str">
        <f>_xlfn.XLOOKUP(F2296, Keys!B:B, Keys!A:A, "找不到")</f>
        <v>PIW</v>
      </c>
      <c r="F2296" t="s">
        <v>114</v>
      </c>
      <c r="G2296">
        <v>0.62776848660528639</v>
      </c>
      <c r="H2296" t="s">
        <v>46</v>
      </c>
      <c r="I2296" t="s">
        <v>47</v>
      </c>
      <c r="J2296" t="s">
        <v>2986</v>
      </c>
      <c r="K2296">
        <v>0</v>
      </c>
      <c r="L2296">
        <v>223.44255109611339</v>
      </c>
    </row>
    <row r="2297" spans="1:12" hidden="1" x14ac:dyDescent="0.25">
      <c r="A2297">
        <v>233</v>
      </c>
      <c r="B2297" t="s">
        <v>2605</v>
      </c>
      <c r="C2297" t="s">
        <v>2606</v>
      </c>
      <c r="D2297" t="s">
        <v>2702</v>
      </c>
      <c r="E2297" t="str">
        <f>_xlfn.XLOOKUP(F2297, Keys!B:B, Keys!A:A, "找不到")</f>
        <v>PIW</v>
      </c>
      <c r="F2297" t="s">
        <v>114</v>
      </c>
      <c r="G2297">
        <v>1.56931205402947</v>
      </c>
      <c r="H2297" t="s">
        <v>46</v>
      </c>
      <c r="I2297" t="s">
        <v>47</v>
      </c>
      <c r="J2297" t="s">
        <v>2986</v>
      </c>
      <c r="K2297">
        <v>0</v>
      </c>
      <c r="L2297">
        <v>317.3341080410072</v>
      </c>
    </row>
    <row r="2298" spans="1:12" hidden="1" x14ac:dyDescent="0.25">
      <c r="A2298">
        <v>234</v>
      </c>
      <c r="B2298" t="s">
        <v>2605</v>
      </c>
      <c r="C2298" t="s">
        <v>2606</v>
      </c>
      <c r="D2298" t="s">
        <v>2702</v>
      </c>
      <c r="E2298" t="str">
        <f>_xlfn.XLOOKUP(F2298, Keys!B:B, Keys!A:A, "找不到")</f>
        <v>PIW</v>
      </c>
      <c r="F2298" t="s">
        <v>114</v>
      </c>
      <c r="G2298">
        <v>3.6519515700764869</v>
      </c>
      <c r="H2298" t="s">
        <v>46</v>
      </c>
      <c r="I2298" t="s">
        <v>47</v>
      </c>
      <c r="J2298" t="s">
        <v>2986</v>
      </c>
      <c r="K2298">
        <v>0</v>
      </c>
      <c r="L2298">
        <v>579.41238729552947</v>
      </c>
    </row>
    <row r="2299" spans="1:12" hidden="1" x14ac:dyDescent="0.25">
      <c r="A2299">
        <v>235</v>
      </c>
      <c r="B2299" t="s">
        <v>2605</v>
      </c>
      <c r="C2299" t="s">
        <v>2606</v>
      </c>
      <c r="D2299" t="s">
        <v>2702</v>
      </c>
      <c r="E2299" t="str">
        <f>_xlfn.XLOOKUP(F2299, Keys!B:B, Keys!A:A, "找不到")</f>
        <v>PIW</v>
      </c>
      <c r="F2299" t="s">
        <v>114</v>
      </c>
      <c r="G2299">
        <v>3.4954550777679461</v>
      </c>
      <c r="H2299" t="s">
        <v>46</v>
      </c>
      <c r="I2299" t="s">
        <v>47</v>
      </c>
      <c r="J2299" t="s">
        <v>2986</v>
      </c>
      <c r="K2299">
        <v>0</v>
      </c>
      <c r="L2299">
        <v>744.66481765135393</v>
      </c>
    </row>
    <row r="2300" spans="1:12" hidden="1" x14ac:dyDescent="0.25">
      <c r="A2300">
        <v>236</v>
      </c>
      <c r="B2300" t="s">
        <v>2605</v>
      </c>
      <c r="C2300" t="s">
        <v>2606</v>
      </c>
      <c r="D2300" t="s">
        <v>2702</v>
      </c>
      <c r="E2300" t="str">
        <f>_xlfn.XLOOKUP(F2300, Keys!B:B, Keys!A:A, "找不到")</f>
        <v>PIW</v>
      </c>
      <c r="F2300" t="s">
        <v>114</v>
      </c>
      <c r="G2300">
        <v>10.993045905728531</v>
      </c>
      <c r="H2300" t="s">
        <v>46</v>
      </c>
      <c r="I2300" t="s">
        <v>47</v>
      </c>
      <c r="J2300" t="s">
        <v>2986</v>
      </c>
      <c r="K2300">
        <v>0</v>
      </c>
      <c r="L2300">
        <v>836.44077571438447</v>
      </c>
    </row>
    <row r="2301" spans="1:12" hidden="1" x14ac:dyDescent="0.25">
      <c r="A2301">
        <v>241</v>
      </c>
      <c r="B2301" t="s">
        <v>2605</v>
      </c>
      <c r="C2301" t="s">
        <v>2606</v>
      </c>
      <c r="D2301" t="s">
        <v>2702</v>
      </c>
      <c r="E2301" t="str">
        <f>_xlfn.XLOOKUP(F2301, Keys!B:B, Keys!A:A, "找不到")</f>
        <v>PIW</v>
      </c>
      <c r="F2301" t="s">
        <v>114</v>
      </c>
      <c r="G2301">
        <v>8.1978612698758209</v>
      </c>
      <c r="H2301" t="s">
        <v>46</v>
      </c>
      <c r="I2301" t="s">
        <v>47</v>
      </c>
      <c r="J2301" t="s">
        <v>2993</v>
      </c>
      <c r="K2301">
        <v>0</v>
      </c>
      <c r="L2301">
        <v>963.84267684167014</v>
      </c>
    </row>
    <row r="2302" spans="1:12" hidden="1" x14ac:dyDescent="0.25">
      <c r="A2302">
        <v>242</v>
      </c>
      <c r="B2302" t="s">
        <v>2605</v>
      </c>
      <c r="C2302" t="s">
        <v>2606</v>
      </c>
      <c r="D2302" t="s">
        <v>2702</v>
      </c>
      <c r="E2302" t="str">
        <f>_xlfn.XLOOKUP(F2302, Keys!B:B, Keys!A:A, "找不到")</f>
        <v>PIW</v>
      </c>
      <c r="F2302" t="s">
        <v>114</v>
      </c>
      <c r="G2302">
        <v>2.4975781618787138</v>
      </c>
      <c r="H2302" t="s">
        <v>46</v>
      </c>
      <c r="I2302" t="s">
        <v>47</v>
      </c>
      <c r="J2302" t="s">
        <v>2993</v>
      </c>
      <c r="K2302">
        <v>0</v>
      </c>
      <c r="L2302">
        <v>519.8111903223097</v>
      </c>
    </row>
    <row r="2303" spans="1:12" hidden="1" x14ac:dyDescent="0.25">
      <c r="A2303">
        <v>247</v>
      </c>
      <c r="B2303" t="s">
        <v>2605</v>
      </c>
      <c r="C2303" t="s">
        <v>2606</v>
      </c>
      <c r="D2303" t="s">
        <v>2702</v>
      </c>
      <c r="E2303" t="str">
        <f>_xlfn.XLOOKUP(F2303, Keys!B:B, Keys!A:A, "找不到")</f>
        <v>PIW</v>
      </c>
      <c r="F2303" t="s">
        <v>114</v>
      </c>
      <c r="G2303">
        <v>7.8781643134070256</v>
      </c>
      <c r="H2303" t="s">
        <v>46</v>
      </c>
      <c r="I2303" t="s">
        <v>47</v>
      </c>
      <c r="J2303" t="s">
        <v>3014</v>
      </c>
      <c r="K2303">
        <v>0</v>
      </c>
      <c r="L2303">
        <v>718.33349904555291</v>
      </c>
    </row>
    <row r="2304" spans="1:12" hidden="1" x14ac:dyDescent="0.25">
      <c r="A2304">
        <v>258</v>
      </c>
      <c r="B2304" t="s">
        <v>2605</v>
      </c>
      <c r="C2304" t="s">
        <v>2606</v>
      </c>
      <c r="D2304">
        <v>0</v>
      </c>
      <c r="E2304" t="str">
        <f>_xlfn.XLOOKUP(F2304, Keys!B:B, Keys!A:A, "找不到")</f>
        <v>PIW</v>
      </c>
      <c r="F2304" t="s">
        <v>114</v>
      </c>
      <c r="G2304">
        <v>3.7771265844292059</v>
      </c>
      <c r="H2304" t="s">
        <v>46</v>
      </c>
      <c r="I2304" t="s">
        <v>47</v>
      </c>
      <c r="J2304" t="s">
        <v>57</v>
      </c>
      <c r="K2304">
        <v>0</v>
      </c>
      <c r="L2304">
        <v>574.60841983533442</v>
      </c>
    </row>
    <row r="2305" spans="1:12" hidden="1" x14ac:dyDescent="0.25">
      <c r="A2305">
        <v>267</v>
      </c>
      <c r="B2305" t="s">
        <v>2605</v>
      </c>
      <c r="C2305" t="s">
        <v>2606</v>
      </c>
      <c r="D2305" t="s">
        <v>2702</v>
      </c>
      <c r="E2305" t="str">
        <f>_xlfn.XLOOKUP(F2305, Keys!B:B, Keys!A:A, "找不到")</f>
        <v>PIW</v>
      </c>
      <c r="F2305" t="s">
        <v>114</v>
      </c>
      <c r="G2305">
        <v>7.9307651087834969</v>
      </c>
      <c r="H2305" t="s">
        <v>46</v>
      </c>
      <c r="I2305" t="s">
        <v>47</v>
      </c>
      <c r="J2305" t="s">
        <v>2883</v>
      </c>
      <c r="K2305">
        <v>0</v>
      </c>
      <c r="L2305">
        <v>871.05288367740673</v>
      </c>
    </row>
    <row r="2306" spans="1:12" hidden="1" x14ac:dyDescent="0.25">
      <c r="A2306">
        <v>271</v>
      </c>
      <c r="B2306" t="s">
        <v>2605</v>
      </c>
      <c r="C2306" t="s">
        <v>2606</v>
      </c>
      <c r="D2306" t="s">
        <v>2702</v>
      </c>
      <c r="E2306" t="str">
        <f>_xlfn.XLOOKUP(F2306, Keys!B:B, Keys!A:A, "找不到")</f>
        <v>PIW</v>
      </c>
      <c r="F2306" t="s">
        <v>114</v>
      </c>
      <c r="G2306">
        <v>1.6339049587946559</v>
      </c>
      <c r="H2306" t="s">
        <v>46</v>
      </c>
      <c r="I2306" t="s">
        <v>47</v>
      </c>
      <c r="J2306" t="s">
        <v>2883</v>
      </c>
      <c r="K2306">
        <v>0</v>
      </c>
      <c r="L2306">
        <v>369.58232621492789</v>
      </c>
    </row>
    <row r="2307" spans="1:12" hidden="1" x14ac:dyDescent="0.25">
      <c r="A2307">
        <v>285</v>
      </c>
      <c r="B2307" t="s">
        <v>2605</v>
      </c>
      <c r="C2307" t="s">
        <v>2606</v>
      </c>
      <c r="D2307" t="s">
        <v>3027</v>
      </c>
      <c r="E2307" t="str">
        <f>_xlfn.XLOOKUP(F2307, Keys!B:B, Keys!A:A, "找不到")</f>
        <v>PIW</v>
      </c>
      <c r="F2307" t="s">
        <v>114</v>
      </c>
      <c r="G2307">
        <v>19.535100587759558</v>
      </c>
      <c r="H2307" t="s">
        <v>46</v>
      </c>
      <c r="I2307" t="s">
        <v>47</v>
      </c>
      <c r="J2307" t="s">
        <v>3068</v>
      </c>
      <c r="K2307">
        <v>0</v>
      </c>
      <c r="L2307">
        <v>1221.9921190804459</v>
      </c>
    </row>
    <row r="2308" spans="1:12" hidden="1" x14ac:dyDescent="0.25">
      <c r="A2308">
        <v>286</v>
      </c>
      <c r="B2308" t="s">
        <v>2605</v>
      </c>
      <c r="C2308" t="s">
        <v>2606</v>
      </c>
      <c r="D2308" t="s">
        <v>3027</v>
      </c>
      <c r="E2308" t="str">
        <f>_xlfn.XLOOKUP(F2308, Keys!B:B, Keys!A:A, "找不到")</f>
        <v>PIW</v>
      </c>
      <c r="F2308" t="s">
        <v>114</v>
      </c>
      <c r="G2308">
        <v>7.9259790128508838</v>
      </c>
      <c r="H2308" t="s">
        <v>46</v>
      </c>
      <c r="I2308" t="s">
        <v>47</v>
      </c>
      <c r="J2308" t="s">
        <v>3068</v>
      </c>
      <c r="K2308">
        <v>0</v>
      </c>
      <c r="L2308">
        <v>717.94325395211342</v>
      </c>
    </row>
    <row r="2309" spans="1:12" hidden="1" x14ac:dyDescent="0.25">
      <c r="A2309">
        <v>292</v>
      </c>
      <c r="B2309" t="s">
        <v>2605</v>
      </c>
      <c r="C2309" t="s">
        <v>2606</v>
      </c>
      <c r="D2309" t="s">
        <v>2702</v>
      </c>
      <c r="E2309" t="str">
        <f>_xlfn.XLOOKUP(F2309, Keys!B:B, Keys!A:A, "找不到")</f>
        <v>PIW</v>
      </c>
      <c r="F2309" t="s">
        <v>114</v>
      </c>
      <c r="G2309">
        <v>6.2685551187203643</v>
      </c>
      <c r="H2309" t="s">
        <v>46</v>
      </c>
      <c r="I2309" t="s">
        <v>47</v>
      </c>
      <c r="J2309" t="s">
        <v>2883</v>
      </c>
      <c r="K2309">
        <v>0</v>
      </c>
      <c r="L2309">
        <v>753.99361599616213</v>
      </c>
    </row>
    <row r="2310" spans="1:12" hidden="1" x14ac:dyDescent="0.25">
      <c r="A2310">
        <v>304</v>
      </c>
      <c r="B2310" t="s">
        <v>2605</v>
      </c>
      <c r="C2310" t="s">
        <v>2606</v>
      </c>
      <c r="D2310" t="s">
        <v>3027</v>
      </c>
      <c r="E2310" t="str">
        <f>_xlfn.XLOOKUP(F2310, Keys!B:B, Keys!A:A, "找不到")</f>
        <v>PIW</v>
      </c>
      <c r="F2310" t="s">
        <v>114</v>
      </c>
      <c r="G2310">
        <v>6.7157972182133516</v>
      </c>
      <c r="H2310" t="s">
        <v>46</v>
      </c>
      <c r="I2310" t="s">
        <v>47</v>
      </c>
      <c r="J2310" t="s">
        <v>3068</v>
      </c>
      <c r="K2310">
        <v>0</v>
      </c>
      <c r="L2310">
        <v>688.77884726221907</v>
      </c>
    </row>
    <row r="2311" spans="1:12" hidden="1" x14ac:dyDescent="0.25">
      <c r="A2311">
        <v>320</v>
      </c>
      <c r="B2311" t="s">
        <v>2605</v>
      </c>
      <c r="C2311" t="s">
        <v>2606</v>
      </c>
      <c r="D2311" t="s">
        <v>2702</v>
      </c>
      <c r="E2311" t="str">
        <f>_xlfn.XLOOKUP(F2311, Keys!B:B, Keys!A:A, "找不到")</f>
        <v>PIW</v>
      </c>
      <c r="F2311" t="s">
        <v>114</v>
      </c>
      <c r="G2311">
        <v>3.0575015631357001</v>
      </c>
      <c r="H2311" t="s">
        <v>46</v>
      </c>
      <c r="I2311" t="s">
        <v>47</v>
      </c>
      <c r="J2311" t="s">
        <v>2883</v>
      </c>
      <c r="K2311">
        <v>0</v>
      </c>
      <c r="L2311">
        <v>468.04993898593023</v>
      </c>
    </row>
    <row r="2312" spans="1:12" hidden="1" x14ac:dyDescent="0.25">
      <c r="A2312">
        <v>390</v>
      </c>
      <c r="B2312" t="s">
        <v>2605</v>
      </c>
      <c r="C2312" t="s">
        <v>2606</v>
      </c>
      <c r="D2312" t="s">
        <v>2702</v>
      </c>
      <c r="E2312" t="str">
        <f>_xlfn.XLOOKUP(F2312, Keys!B:B, Keys!A:A, "找不到")</f>
        <v>PIW</v>
      </c>
      <c r="F2312" t="s">
        <v>114</v>
      </c>
      <c r="G2312">
        <v>0.6448133138354647</v>
      </c>
      <c r="H2312" t="s">
        <v>46</v>
      </c>
      <c r="I2312" t="s">
        <v>47</v>
      </c>
      <c r="J2312" t="s">
        <v>2883</v>
      </c>
      <c r="K2312">
        <v>0</v>
      </c>
      <c r="L2312">
        <v>227.47504544028831</v>
      </c>
    </row>
    <row r="2313" spans="1:12" hidden="1" x14ac:dyDescent="0.25">
      <c r="A2313">
        <v>742</v>
      </c>
      <c r="B2313" t="s">
        <v>2605</v>
      </c>
      <c r="C2313" t="s">
        <v>2606</v>
      </c>
      <c r="D2313" t="s">
        <v>2712</v>
      </c>
      <c r="E2313" t="str">
        <f>_xlfn.XLOOKUP(F2313, Keys!B:B, Keys!A:A, "找不到")</f>
        <v>PIW</v>
      </c>
      <c r="F2313" t="s">
        <v>114</v>
      </c>
      <c r="G2313">
        <v>1.7175025255584671</v>
      </c>
      <c r="H2313" t="s">
        <v>46</v>
      </c>
      <c r="I2313" t="s">
        <v>47</v>
      </c>
      <c r="J2313" t="s">
        <v>2846</v>
      </c>
      <c r="K2313">
        <v>0</v>
      </c>
      <c r="L2313">
        <v>376.36895318049068</v>
      </c>
    </row>
    <row r="2314" spans="1:12" hidden="1" x14ac:dyDescent="0.25">
      <c r="A2314">
        <v>743</v>
      </c>
      <c r="B2314" t="s">
        <v>2605</v>
      </c>
      <c r="C2314" t="s">
        <v>2606</v>
      </c>
      <c r="D2314" t="s">
        <v>2712</v>
      </c>
      <c r="E2314" t="str">
        <f>_xlfn.XLOOKUP(F2314, Keys!B:B, Keys!A:A, "找不到")</f>
        <v>PIW</v>
      </c>
      <c r="F2314" t="s">
        <v>114</v>
      </c>
      <c r="G2314">
        <v>4.9652998937442447</v>
      </c>
      <c r="H2314" t="s">
        <v>46</v>
      </c>
      <c r="I2314" t="s">
        <v>47</v>
      </c>
      <c r="J2314" t="s">
        <v>2846</v>
      </c>
      <c r="K2314">
        <v>0</v>
      </c>
      <c r="L2314">
        <v>611.19854685292489</v>
      </c>
    </row>
    <row r="2315" spans="1:12" hidden="1" x14ac:dyDescent="0.25">
      <c r="A2315">
        <v>744</v>
      </c>
      <c r="B2315" t="s">
        <v>2605</v>
      </c>
      <c r="C2315" t="s">
        <v>2606</v>
      </c>
      <c r="D2315" t="s">
        <v>2712</v>
      </c>
      <c r="E2315" t="str">
        <f>_xlfn.XLOOKUP(F2315, Keys!B:B, Keys!A:A, "找不到")</f>
        <v>PIW</v>
      </c>
      <c r="F2315" t="s">
        <v>114</v>
      </c>
      <c r="G2315">
        <v>2.5045649902339751</v>
      </c>
      <c r="H2315" t="s">
        <v>46</v>
      </c>
      <c r="I2315" t="s">
        <v>47</v>
      </c>
      <c r="J2315" t="s">
        <v>2846</v>
      </c>
      <c r="K2315">
        <v>0</v>
      </c>
      <c r="L2315">
        <v>494.32427008504902</v>
      </c>
    </row>
    <row r="2316" spans="1:12" hidden="1" x14ac:dyDescent="0.25">
      <c r="A2316">
        <v>745</v>
      </c>
      <c r="B2316" t="s">
        <v>2605</v>
      </c>
      <c r="C2316" t="s">
        <v>2606</v>
      </c>
      <c r="D2316" t="s">
        <v>2712</v>
      </c>
      <c r="E2316" t="str">
        <f>_xlfn.XLOOKUP(F2316, Keys!B:B, Keys!A:A, "找不到")</f>
        <v>PIW</v>
      </c>
      <c r="F2316" t="s">
        <v>114</v>
      </c>
      <c r="G2316">
        <v>8.5296291349838995</v>
      </c>
      <c r="H2316" t="s">
        <v>46</v>
      </c>
      <c r="I2316" t="s">
        <v>47</v>
      </c>
      <c r="J2316" t="s">
        <v>2846</v>
      </c>
      <c r="K2316">
        <v>0</v>
      </c>
      <c r="L2316">
        <v>876.27753361009468</v>
      </c>
    </row>
    <row r="2317" spans="1:12" hidden="1" x14ac:dyDescent="0.25">
      <c r="A2317">
        <v>746</v>
      </c>
      <c r="B2317" t="s">
        <v>2605</v>
      </c>
      <c r="C2317" t="s">
        <v>2606</v>
      </c>
      <c r="D2317" t="s">
        <v>2712</v>
      </c>
      <c r="E2317" t="str">
        <f>_xlfn.XLOOKUP(F2317, Keys!B:B, Keys!A:A, "找不到")</f>
        <v>PIW</v>
      </c>
      <c r="F2317" t="s">
        <v>114</v>
      </c>
      <c r="G2317">
        <v>19.41135260819372</v>
      </c>
      <c r="H2317" t="s">
        <v>46</v>
      </c>
      <c r="I2317" t="s">
        <v>47</v>
      </c>
      <c r="J2317" t="s">
        <v>2846</v>
      </c>
      <c r="K2317">
        <v>0</v>
      </c>
      <c r="L2317">
        <v>1188.0767878127781</v>
      </c>
    </row>
    <row r="2318" spans="1:12" hidden="1" x14ac:dyDescent="0.25">
      <c r="A2318">
        <v>747</v>
      </c>
      <c r="B2318" t="s">
        <v>2605</v>
      </c>
      <c r="C2318" t="s">
        <v>2606</v>
      </c>
      <c r="D2318" t="s">
        <v>2712</v>
      </c>
      <c r="E2318" t="str">
        <f>_xlfn.XLOOKUP(F2318, Keys!B:B, Keys!A:A, "找不到")</f>
        <v>PIW</v>
      </c>
      <c r="F2318" t="s">
        <v>114</v>
      </c>
      <c r="G2318">
        <v>24.299875570420411</v>
      </c>
      <c r="H2318" t="s">
        <v>46</v>
      </c>
      <c r="I2318" t="s">
        <v>47</v>
      </c>
      <c r="J2318" t="s">
        <v>2846</v>
      </c>
      <c r="K2318">
        <v>0</v>
      </c>
      <c r="L2318">
        <v>1411.1810980168721</v>
      </c>
    </row>
    <row r="2319" spans="1:12" hidden="1" x14ac:dyDescent="0.25">
      <c r="A2319">
        <v>749</v>
      </c>
      <c r="B2319" t="s">
        <v>2605</v>
      </c>
      <c r="C2319" t="s">
        <v>2606</v>
      </c>
      <c r="D2319" t="s">
        <v>2712</v>
      </c>
      <c r="E2319" t="str">
        <f>_xlfn.XLOOKUP(F2319, Keys!B:B, Keys!A:A, "找不到")</f>
        <v>PIW</v>
      </c>
      <c r="F2319" t="s">
        <v>114</v>
      </c>
      <c r="G2319">
        <v>2.7704261240455699</v>
      </c>
      <c r="H2319" t="s">
        <v>46</v>
      </c>
      <c r="I2319" t="s">
        <v>47</v>
      </c>
      <c r="J2319" t="s">
        <v>2846</v>
      </c>
      <c r="K2319">
        <v>0</v>
      </c>
      <c r="L2319">
        <v>536.30839713794546</v>
      </c>
    </row>
    <row r="2320" spans="1:12" hidden="1" x14ac:dyDescent="0.25">
      <c r="A2320">
        <v>750</v>
      </c>
      <c r="B2320" t="s">
        <v>2605</v>
      </c>
      <c r="C2320" t="s">
        <v>2606</v>
      </c>
      <c r="D2320" t="s">
        <v>2712</v>
      </c>
      <c r="E2320" t="str">
        <f>_xlfn.XLOOKUP(F2320, Keys!B:B, Keys!A:A, "找不到")</f>
        <v>PIW</v>
      </c>
      <c r="F2320" t="s">
        <v>114</v>
      </c>
      <c r="G2320">
        <v>2.684606627102831</v>
      </c>
      <c r="H2320" t="s">
        <v>46</v>
      </c>
      <c r="I2320" t="s">
        <v>47</v>
      </c>
      <c r="J2320" t="s">
        <v>2846</v>
      </c>
      <c r="K2320">
        <v>0</v>
      </c>
      <c r="L2320">
        <v>526.189002069048</v>
      </c>
    </row>
    <row r="2321" spans="1:12" hidden="1" x14ac:dyDescent="0.25">
      <c r="A2321">
        <v>751</v>
      </c>
      <c r="B2321" t="s">
        <v>2605</v>
      </c>
      <c r="C2321" t="s">
        <v>2606</v>
      </c>
      <c r="D2321" t="s">
        <v>2712</v>
      </c>
      <c r="E2321" t="str">
        <f>_xlfn.XLOOKUP(F2321, Keys!B:B, Keys!A:A, "找不到")</f>
        <v>PIW</v>
      </c>
      <c r="F2321" t="s">
        <v>114</v>
      </c>
      <c r="G2321">
        <v>3.2790001653624121</v>
      </c>
      <c r="H2321" t="s">
        <v>46</v>
      </c>
      <c r="I2321" t="s">
        <v>47</v>
      </c>
      <c r="J2321" t="s">
        <v>2846</v>
      </c>
      <c r="K2321">
        <v>0</v>
      </c>
      <c r="L2321">
        <v>513.44133257900637</v>
      </c>
    </row>
    <row r="2322" spans="1:12" hidden="1" x14ac:dyDescent="0.25">
      <c r="A2322">
        <v>752</v>
      </c>
      <c r="B2322" t="s">
        <v>2605</v>
      </c>
      <c r="C2322" t="s">
        <v>2606</v>
      </c>
      <c r="D2322">
        <v>0</v>
      </c>
      <c r="E2322" t="str">
        <f>_xlfn.XLOOKUP(F2322, Keys!B:B, Keys!A:A, "找不到")</f>
        <v>PIW</v>
      </c>
      <c r="F2322" t="s">
        <v>114</v>
      </c>
      <c r="G2322">
        <v>1.9912264130615189</v>
      </c>
      <c r="H2322" t="s">
        <v>46</v>
      </c>
      <c r="I2322" t="s">
        <v>47</v>
      </c>
      <c r="J2322" t="s">
        <v>3755</v>
      </c>
      <c r="K2322">
        <v>0</v>
      </c>
      <c r="L2322">
        <v>449.01015249986938</v>
      </c>
    </row>
    <row r="2323" spans="1:12" hidden="1" x14ac:dyDescent="0.25">
      <c r="A2323">
        <v>754</v>
      </c>
      <c r="B2323" t="s">
        <v>2605</v>
      </c>
      <c r="C2323" t="s">
        <v>2606</v>
      </c>
      <c r="D2323" t="s">
        <v>2712</v>
      </c>
      <c r="E2323" t="str">
        <f>_xlfn.XLOOKUP(F2323, Keys!B:B, Keys!A:A, "找不到")</f>
        <v>PIW</v>
      </c>
      <c r="F2323" t="s">
        <v>114</v>
      </c>
      <c r="G2323">
        <v>20.3594623959928</v>
      </c>
      <c r="H2323" t="s">
        <v>46</v>
      </c>
      <c r="I2323" t="s">
        <v>47</v>
      </c>
      <c r="J2323" t="s">
        <v>3759</v>
      </c>
      <c r="K2323">
        <v>0</v>
      </c>
      <c r="L2323">
        <v>1230.159325169471</v>
      </c>
    </row>
    <row r="2324" spans="1:12" hidden="1" x14ac:dyDescent="0.25">
      <c r="A2324">
        <v>755</v>
      </c>
      <c r="B2324" t="s">
        <v>2605</v>
      </c>
      <c r="C2324" t="s">
        <v>2606</v>
      </c>
      <c r="D2324" t="s">
        <v>2712</v>
      </c>
      <c r="E2324" t="str">
        <f>_xlfn.XLOOKUP(F2324, Keys!B:B, Keys!A:A, "找不到")</f>
        <v>PIW</v>
      </c>
      <c r="F2324" t="s">
        <v>114</v>
      </c>
      <c r="G2324">
        <v>3.0004703507512911</v>
      </c>
      <c r="H2324" t="s">
        <v>46</v>
      </c>
      <c r="I2324" t="s">
        <v>47</v>
      </c>
      <c r="J2324" t="s">
        <v>3759</v>
      </c>
      <c r="K2324">
        <v>0</v>
      </c>
      <c r="L2324">
        <v>559.24356345816545</v>
      </c>
    </row>
    <row r="2325" spans="1:12" hidden="1" x14ac:dyDescent="0.25">
      <c r="A2325">
        <v>758</v>
      </c>
      <c r="B2325" t="s">
        <v>2605</v>
      </c>
      <c r="C2325" t="s">
        <v>2606</v>
      </c>
      <c r="D2325" t="s">
        <v>2712</v>
      </c>
      <c r="E2325" t="str">
        <f>_xlfn.XLOOKUP(F2325, Keys!B:B, Keys!A:A, "找不到")</f>
        <v>PIW</v>
      </c>
      <c r="F2325" t="s">
        <v>114</v>
      </c>
      <c r="G2325">
        <v>5.1771502361451311</v>
      </c>
      <c r="H2325" t="s">
        <v>46</v>
      </c>
      <c r="I2325" t="s">
        <v>47</v>
      </c>
      <c r="J2325" t="s">
        <v>3759</v>
      </c>
      <c r="K2325">
        <v>0</v>
      </c>
      <c r="L2325">
        <v>623.86937805958246</v>
      </c>
    </row>
    <row r="2326" spans="1:12" hidden="1" x14ac:dyDescent="0.25">
      <c r="A2326">
        <v>764</v>
      </c>
      <c r="B2326" t="s">
        <v>2605</v>
      </c>
      <c r="C2326" t="s">
        <v>2606</v>
      </c>
      <c r="D2326" t="s">
        <v>2712</v>
      </c>
      <c r="E2326" t="str">
        <f>_xlfn.XLOOKUP(F2326, Keys!B:B, Keys!A:A, "找不到")</f>
        <v>PIW</v>
      </c>
      <c r="F2326" t="s">
        <v>114</v>
      </c>
      <c r="G2326">
        <v>17.70913497999878</v>
      </c>
      <c r="H2326" t="s">
        <v>46</v>
      </c>
      <c r="I2326" t="s">
        <v>47</v>
      </c>
      <c r="J2326" t="s">
        <v>3770</v>
      </c>
      <c r="K2326">
        <v>0</v>
      </c>
      <c r="L2326">
        <v>1166.2422166290239</v>
      </c>
    </row>
    <row r="2327" spans="1:12" hidden="1" x14ac:dyDescent="0.25">
      <c r="A2327">
        <v>765</v>
      </c>
      <c r="B2327" t="s">
        <v>2605</v>
      </c>
      <c r="C2327" t="s">
        <v>2606</v>
      </c>
      <c r="D2327" t="s">
        <v>2712</v>
      </c>
      <c r="E2327" t="str">
        <f>_xlfn.XLOOKUP(F2327, Keys!B:B, Keys!A:A, "找不到")</f>
        <v>PIW</v>
      </c>
      <c r="F2327" t="s">
        <v>114</v>
      </c>
      <c r="G2327">
        <v>10.84885527365577</v>
      </c>
      <c r="H2327" t="s">
        <v>46</v>
      </c>
      <c r="I2327" t="s">
        <v>47</v>
      </c>
      <c r="J2327" t="s">
        <v>2846</v>
      </c>
      <c r="K2327">
        <v>0</v>
      </c>
      <c r="L2327">
        <v>969.8356654368356</v>
      </c>
    </row>
    <row r="2328" spans="1:12" hidden="1" x14ac:dyDescent="0.25">
      <c r="A2328">
        <v>766</v>
      </c>
      <c r="B2328" t="s">
        <v>2605</v>
      </c>
      <c r="C2328" t="s">
        <v>2606</v>
      </c>
      <c r="D2328" t="s">
        <v>2712</v>
      </c>
      <c r="E2328" t="str">
        <f>_xlfn.XLOOKUP(F2328, Keys!B:B, Keys!A:A, "找不到")</f>
        <v>PIW</v>
      </c>
      <c r="F2328" t="s">
        <v>114</v>
      </c>
      <c r="G2328">
        <v>19.754197352293641</v>
      </c>
      <c r="H2328" t="s">
        <v>46</v>
      </c>
      <c r="I2328" t="s">
        <v>47</v>
      </c>
      <c r="J2328" t="s">
        <v>3770</v>
      </c>
      <c r="K2328">
        <v>0</v>
      </c>
      <c r="L2328">
        <v>1159.960100994409</v>
      </c>
    </row>
    <row r="2329" spans="1:12" hidden="1" x14ac:dyDescent="0.25">
      <c r="A2329">
        <v>767</v>
      </c>
      <c r="B2329" t="s">
        <v>2605</v>
      </c>
      <c r="C2329" t="s">
        <v>2606</v>
      </c>
      <c r="D2329" t="s">
        <v>2712</v>
      </c>
      <c r="E2329" t="str">
        <f>_xlfn.XLOOKUP(F2329, Keys!B:B, Keys!A:A, "找不到")</f>
        <v>PIW</v>
      </c>
      <c r="F2329" t="s">
        <v>114</v>
      </c>
      <c r="G2329">
        <v>6.3182538816502891</v>
      </c>
      <c r="H2329" t="s">
        <v>46</v>
      </c>
      <c r="I2329" t="s">
        <v>47</v>
      </c>
      <c r="J2329" t="s">
        <v>2846</v>
      </c>
      <c r="K2329">
        <v>0</v>
      </c>
      <c r="L2329">
        <v>692.02374375433442</v>
      </c>
    </row>
    <row r="2330" spans="1:12" hidden="1" x14ac:dyDescent="0.25">
      <c r="A2330">
        <v>768</v>
      </c>
      <c r="B2330" t="s">
        <v>2605</v>
      </c>
      <c r="C2330" t="s">
        <v>2606</v>
      </c>
      <c r="D2330" t="s">
        <v>2712</v>
      </c>
      <c r="E2330" t="str">
        <f>_xlfn.XLOOKUP(F2330, Keys!B:B, Keys!A:A, "找不到")</f>
        <v>PIW</v>
      </c>
      <c r="F2330" t="s">
        <v>114</v>
      </c>
      <c r="G2330">
        <v>5.6952253614848543</v>
      </c>
      <c r="H2330" t="s">
        <v>46</v>
      </c>
      <c r="I2330" t="s">
        <v>47</v>
      </c>
      <c r="J2330" t="s">
        <v>2846</v>
      </c>
      <c r="K2330">
        <v>0</v>
      </c>
      <c r="L2330">
        <v>742.07760704038549</v>
      </c>
    </row>
    <row r="2331" spans="1:12" hidden="1" x14ac:dyDescent="0.25">
      <c r="A2331">
        <v>821</v>
      </c>
      <c r="B2331" t="s">
        <v>2605</v>
      </c>
      <c r="C2331" t="s">
        <v>2606</v>
      </c>
      <c r="D2331" t="s">
        <v>2702</v>
      </c>
      <c r="E2331" t="str">
        <f>_xlfn.XLOOKUP(F2331, Keys!B:B, Keys!A:A, "找不到")</f>
        <v>PIW</v>
      </c>
      <c r="F2331" t="s">
        <v>114</v>
      </c>
      <c r="G2331">
        <v>5.6344073988525931</v>
      </c>
      <c r="H2331" t="s">
        <v>46</v>
      </c>
      <c r="I2331" t="s">
        <v>47</v>
      </c>
      <c r="J2331" t="s">
        <v>2986</v>
      </c>
      <c r="K2331">
        <v>0</v>
      </c>
      <c r="L2331">
        <v>710.46427631326719</v>
      </c>
    </row>
    <row r="2332" spans="1:12" hidden="1" x14ac:dyDescent="0.25">
      <c r="A2332">
        <v>834</v>
      </c>
      <c r="B2332" t="s">
        <v>2605</v>
      </c>
      <c r="C2332" t="s">
        <v>2606</v>
      </c>
      <c r="D2332" t="s">
        <v>2712</v>
      </c>
      <c r="E2332" t="str">
        <f>_xlfn.XLOOKUP(F2332, Keys!B:B, Keys!A:A, "找不到")</f>
        <v>PIW</v>
      </c>
      <c r="F2332" t="s">
        <v>114</v>
      </c>
      <c r="G2332">
        <v>0.27404403332282751</v>
      </c>
      <c r="H2332" t="s">
        <v>46</v>
      </c>
      <c r="I2332" t="s">
        <v>47</v>
      </c>
      <c r="J2332" t="s">
        <v>2846</v>
      </c>
      <c r="K2332">
        <v>0</v>
      </c>
      <c r="L2332">
        <v>197.81319045908731</v>
      </c>
    </row>
    <row r="2333" spans="1:12" hidden="1" x14ac:dyDescent="0.25">
      <c r="A2333">
        <v>845</v>
      </c>
      <c r="B2333" t="s">
        <v>2605</v>
      </c>
      <c r="C2333" t="s">
        <v>2606</v>
      </c>
      <c r="D2333" t="s">
        <v>2702</v>
      </c>
      <c r="E2333" t="str">
        <f>_xlfn.XLOOKUP(F2333, Keys!B:B, Keys!A:A, "找不到")</f>
        <v>PIW</v>
      </c>
      <c r="F2333" t="s">
        <v>114</v>
      </c>
      <c r="G2333">
        <v>2.1272017162750951</v>
      </c>
      <c r="H2333" t="s">
        <v>46</v>
      </c>
      <c r="I2333" t="s">
        <v>47</v>
      </c>
      <c r="J2333" t="s">
        <v>2883</v>
      </c>
      <c r="K2333">
        <v>0</v>
      </c>
      <c r="L2333">
        <v>384.724384706568</v>
      </c>
    </row>
    <row r="2334" spans="1:12" hidden="1" x14ac:dyDescent="0.25">
      <c r="A2334">
        <v>1016</v>
      </c>
      <c r="B2334" t="s">
        <v>2605</v>
      </c>
      <c r="C2334" t="s">
        <v>2606</v>
      </c>
      <c r="D2334">
        <v>0</v>
      </c>
      <c r="E2334" t="str">
        <f>_xlfn.XLOOKUP(F2334, Keys!B:B, Keys!A:A, "找不到")</f>
        <v>PIW</v>
      </c>
      <c r="F2334" t="s">
        <v>114</v>
      </c>
      <c r="G2334">
        <v>3.6658285315923251</v>
      </c>
      <c r="H2334" t="s">
        <v>46</v>
      </c>
      <c r="I2334" t="s">
        <v>47</v>
      </c>
      <c r="J2334" t="s">
        <v>2895</v>
      </c>
      <c r="K2334">
        <v>0</v>
      </c>
      <c r="L2334">
        <v>505.59866247466641</v>
      </c>
    </row>
    <row r="2335" spans="1:12" hidden="1" x14ac:dyDescent="0.25">
      <c r="A2335">
        <v>1023</v>
      </c>
      <c r="B2335" t="s">
        <v>2605</v>
      </c>
      <c r="C2335" t="s">
        <v>2606</v>
      </c>
      <c r="D2335" t="s">
        <v>2702</v>
      </c>
      <c r="E2335" t="str">
        <f>_xlfn.XLOOKUP(F2335, Keys!B:B, Keys!A:A, "找不到")</f>
        <v>PIW</v>
      </c>
      <c r="F2335" t="s">
        <v>114</v>
      </c>
      <c r="G2335">
        <v>2.0174962872135929</v>
      </c>
      <c r="H2335" t="s">
        <v>46</v>
      </c>
      <c r="I2335" t="s">
        <v>47</v>
      </c>
      <c r="J2335" t="s">
        <v>2993</v>
      </c>
      <c r="K2335">
        <v>0</v>
      </c>
      <c r="L2335">
        <v>419.96858032516383</v>
      </c>
    </row>
    <row r="2336" spans="1:12" hidden="1" x14ac:dyDescent="0.25">
      <c r="A2336">
        <v>1054</v>
      </c>
      <c r="B2336" t="s">
        <v>2605</v>
      </c>
      <c r="C2336" t="s">
        <v>2606</v>
      </c>
      <c r="D2336" t="s">
        <v>2702</v>
      </c>
      <c r="E2336" t="str">
        <f>_xlfn.XLOOKUP(F2336, Keys!B:B, Keys!A:A, "找不到")</f>
        <v>PIW</v>
      </c>
      <c r="F2336" t="s">
        <v>114</v>
      </c>
      <c r="G2336">
        <v>8.1343820825460647</v>
      </c>
      <c r="H2336" t="s">
        <v>46</v>
      </c>
      <c r="I2336" t="s">
        <v>47</v>
      </c>
      <c r="J2336" t="s">
        <v>2883</v>
      </c>
      <c r="K2336">
        <v>0</v>
      </c>
      <c r="L2336">
        <v>777.21042429145064</v>
      </c>
    </row>
    <row r="2337" spans="1:12" hidden="1" x14ac:dyDescent="0.25">
      <c r="A2337">
        <v>10</v>
      </c>
      <c r="B2337" t="s">
        <v>2042</v>
      </c>
      <c r="C2337" t="s">
        <v>972</v>
      </c>
      <c r="D2337" t="s">
        <v>2057</v>
      </c>
      <c r="E2337" t="str">
        <f>_xlfn.XLOOKUP(F2337, Keys!B:B, Keys!A:A, "找不到")</f>
        <v>PIW</v>
      </c>
      <c r="F2337" t="s">
        <v>114</v>
      </c>
      <c r="G2337">
        <v>0.2419317689723926</v>
      </c>
      <c r="H2337" t="s">
        <v>46</v>
      </c>
      <c r="I2337" t="s">
        <v>47</v>
      </c>
      <c r="J2337" t="s">
        <v>2067</v>
      </c>
      <c r="K2337">
        <v>149.55342278013109</v>
      </c>
      <c r="L2337">
        <v>979.06704931280103</v>
      </c>
    </row>
    <row r="2338" spans="1:12" hidden="1" x14ac:dyDescent="0.25">
      <c r="A2338">
        <v>11</v>
      </c>
      <c r="B2338" t="s">
        <v>2042</v>
      </c>
      <c r="C2338" t="s">
        <v>972</v>
      </c>
      <c r="D2338" t="s">
        <v>2057</v>
      </c>
      <c r="E2338" t="str">
        <f>_xlfn.XLOOKUP(F2338, Keys!B:B, Keys!A:A, "找不到")</f>
        <v>PIW</v>
      </c>
      <c r="F2338" t="s">
        <v>114</v>
      </c>
      <c r="G2338">
        <v>0.25141703395288417</v>
      </c>
      <c r="H2338" t="s">
        <v>46</v>
      </c>
      <c r="I2338" t="s">
        <v>47</v>
      </c>
      <c r="J2338" t="s">
        <v>2067</v>
      </c>
      <c r="K2338">
        <v>150.8329573256201</v>
      </c>
      <c r="L2338">
        <v>1017.452708359752</v>
      </c>
    </row>
    <row r="2339" spans="1:12" hidden="1" x14ac:dyDescent="0.25">
      <c r="A2339">
        <v>12</v>
      </c>
      <c r="B2339" t="s">
        <v>2042</v>
      </c>
      <c r="C2339" t="s">
        <v>972</v>
      </c>
      <c r="D2339" t="s">
        <v>2057</v>
      </c>
      <c r="E2339" t="str">
        <f>_xlfn.XLOOKUP(F2339, Keys!B:B, Keys!A:A, "找不到")</f>
        <v>PIW</v>
      </c>
      <c r="F2339" t="s">
        <v>114</v>
      </c>
      <c r="G2339">
        <v>0.4952610212502464</v>
      </c>
      <c r="H2339" t="s">
        <v>46</v>
      </c>
      <c r="I2339" t="s">
        <v>47</v>
      </c>
      <c r="J2339" t="s">
        <v>2067</v>
      </c>
      <c r="K2339">
        <v>176.19969615269571</v>
      </c>
      <c r="L2339">
        <v>2004.2582616359721</v>
      </c>
    </row>
    <row r="2340" spans="1:12" hidden="1" x14ac:dyDescent="0.25">
      <c r="A2340">
        <v>151</v>
      </c>
      <c r="B2340" t="s">
        <v>2042</v>
      </c>
      <c r="C2340" t="s">
        <v>972</v>
      </c>
      <c r="D2340" t="s">
        <v>2241</v>
      </c>
      <c r="E2340" t="str">
        <f>_xlfn.XLOOKUP(F2340, Keys!B:B, Keys!A:A, "找不到")</f>
        <v>PIW</v>
      </c>
      <c r="F2340" t="s">
        <v>114</v>
      </c>
      <c r="G2340">
        <v>11.28056629271957</v>
      </c>
      <c r="H2340" t="s">
        <v>46</v>
      </c>
      <c r="I2340" t="s">
        <v>47</v>
      </c>
      <c r="J2340" t="s">
        <v>2257</v>
      </c>
      <c r="K2340">
        <v>973.65783264277025</v>
      </c>
      <c r="L2340">
        <v>45651.014753877571</v>
      </c>
    </row>
    <row r="2341" spans="1:12" hidden="1" x14ac:dyDescent="0.25">
      <c r="A2341">
        <v>156</v>
      </c>
      <c r="B2341" t="s">
        <v>2042</v>
      </c>
      <c r="C2341" t="s">
        <v>972</v>
      </c>
      <c r="D2341" t="s">
        <v>2241</v>
      </c>
      <c r="E2341" t="str">
        <f>_xlfn.XLOOKUP(F2341, Keys!B:B, Keys!A:A, "找不到")</f>
        <v>PIW</v>
      </c>
      <c r="F2341" t="s">
        <v>114</v>
      </c>
      <c r="G2341">
        <v>0.2706000102836012</v>
      </c>
      <c r="H2341" t="s">
        <v>46</v>
      </c>
      <c r="I2341" t="s">
        <v>47</v>
      </c>
      <c r="J2341">
        <v>0</v>
      </c>
      <c r="K2341">
        <v>178.98563125872619</v>
      </c>
      <c r="L2341">
        <v>1095.083769848397</v>
      </c>
    </row>
    <row r="2342" spans="1:12" hidden="1" x14ac:dyDescent="0.25">
      <c r="A2342">
        <v>158</v>
      </c>
      <c r="B2342" t="s">
        <v>2042</v>
      </c>
      <c r="C2342" t="s">
        <v>972</v>
      </c>
      <c r="D2342" t="s">
        <v>2241</v>
      </c>
      <c r="E2342" t="str">
        <f>_xlfn.XLOOKUP(F2342, Keys!B:B, Keys!A:A, "找不到")</f>
        <v>PIW</v>
      </c>
      <c r="F2342" t="s">
        <v>114</v>
      </c>
      <c r="G2342">
        <v>13.00824284955188</v>
      </c>
      <c r="H2342" t="s">
        <v>46</v>
      </c>
      <c r="I2342" t="s">
        <v>47</v>
      </c>
      <c r="J2342" t="s">
        <v>2324</v>
      </c>
      <c r="K2342">
        <v>934.60707116350147</v>
      </c>
      <c r="L2342">
        <v>52642.701690444068</v>
      </c>
    </row>
    <row r="2343" spans="1:12" hidden="1" x14ac:dyDescent="0.25">
      <c r="A2343">
        <v>159</v>
      </c>
      <c r="B2343" t="s">
        <v>2042</v>
      </c>
      <c r="C2343" t="s">
        <v>972</v>
      </c>
      <c r="D2343" t="s">
        <v>2241</v>
      </c>
      <c r="E2343" t="str">
        <f>_xlfn.XLOOKUP(F2343, Keys!B:B, Keys!A:A, "找不到")</f>
        <v>PIW</v>
      </c>
      <c r="F2343" t="s">
        <v>114</v>
      </c>
      <c r="G2343">
        <v>3.0472409389840061</v>
      </c>
      <c r="H2343" t="s">
        <v>46</v>
      </c>
      <c r="I2343" t="s">
        <v>47</v>
      </c>
      <c r="J2343" t="s">
        <v>2324</v>
      </c>
      <c r="K2343">
        <v>489.27919583676578</v>
      </c>
      <c r="L2343">
        <v>12331.79589166187</v>
      </c>
    </row>
    <row r="2344" spans="1:12" hidden="1" x14ac:dyDescent="0.25">
      <c r="A2344">
        <v>161</v>
      </c>
      <c r="B2344" t="s">
        <v>2042</v>
      </c>
      <c r="C2344" t="s">
        <v>972</v>
      </c>
      <c r="D2344" t="s">
        <v>2241</v>
      </c>
      <c r="E2344" t="str">
        <f>_xlfn.XLOOKUP(F2344, Keys!B:B, Keys!A:A, "找不到")</f>
        <v>PIW</v>
      </c>
      <c r="F2344" t="s">
        <v>114</v>
      </c>
      <c r="G2344">
        <v>0.43606587312148021</v>
      </c>
      <c r="H2344" t="s">
        <v>46</v>
      </c>
      <c r="I2344" t="s">
        <v>47</v>
      </c>
      <c r="J2344" t="s">
        <v>2328</v>
      </c>
      <c r="K2344">
        <v>173.03825950981209</v>
      </c>
      <c r="L2344">
        <v>1764.7030380362189</v>
      </c>
    </row>
    <row r="2345" spans="1:12" hidden="1" x14ac:dyDescent="0.25">
      <c r="A2345">
        <v>162</v>
      </c>
      <c r="B2345" t="s">
        <v>2042</v>
      </c>
      <c r="C2345" t="s">
        <v>972</v>
      </c>
      <c r="D2345" t="s">
        <v>2241</v>
      </c>
      <c r="E2345" t="str">
        <f>_xlfn.XLOOKUP(F2345, Keys!B:B, Keys!A:A, "找不到")</f>
        <v>PIW</v>
      </c>
      <c r="F2345" t="s">
        <v>114</v>
      </c>
      <c r="G2345">
        <v>30.632060209762461</v>
      </c>
      <c r="H2345" t="s">
        <v>46</v>
      </c>
      <c r="I2345" t="s">
        <v>47</v>
      </c>
      <c r="J2345" t="s">
        <v>2293</v>
      </c>
      <c r="K2345">
        <v>1402.053707690965</v>
      </c>
      <c r="L2345">
        <v>123964.0454469066</v>
      </c>
    </row>
    <row r="2346" spans="1:12" hidden="1" x14ac:dyDescent="0.25">
      <c r="A2346">
        <v>164</v>
      </c>
      <c r="B2346" t="s">
        <v>2042</v>
      </c>
      <c r="C2346" t="s">
        <v>972</v>
      </c>
      <c r="D2346" t="s">
        <v>2241</v>
      </c>
      <c r="E2346" t="str">
        <f>_xlfn.XLOOKUP(F2346, Keys!B:B, Keys!A:A, "找不到")</f>
        <v>PIW</v>
      </c>
      <c r="F2346" t="s">
        <v>114</v>
      </c>
      <c r="G2346">
        <v>1.585946580130857</v>
      </c>
      <c r="H2346" t="s">
        <v>46</v>
      </c>
      <c r="I2346" t="s">
        <v>47</v>
      </c>
      <c r="J2346" t="s">
        <v>2293</v>
      </c>
      <c r="K2346">
        <v>363.25973509783569</v>
      </c>
      <c r="L2346">
        <v>6418.1237758553052</v>
      </c>
    </row>
    <row r="2347" spans="1:12" hidden="1" x14ac:dyDescent="0.25">
      <c r="A2347">
        <v>166</v>
      </c>
      <c r="B2347" t="s">
        <v>2042</v>
      </c>
      <c r="C2347" t="s">
        <v>972</v>
      </c>
      <c r="D2347" t="s">
        <v>2241</v>
      </c>
      <c r="E2347" t="str">
        <f>_xlfn.XLOOKUP(F2347, Keys!B:B, Keys!A:A, "找不到")</f>
        <v>PIW</v>
      </c>
      <c r="F2347" t="s">
        <v>114</v>
      </c>
      <c r="G2347">
        <v>9.4554218112503268</v>
      </c>
      <c r="H2347" t="s">
        <v>46</v>
      </c>
      <c r="I2347" t="s">
        <v>47</v>
      </c>
      <c r="J2347" t="s">
        <v>2293</v>
      </c>
      <c r="K2347">
        <v>807.04365373001031</v>
      </c>
      <c r="L2347">
        <v>38264.887542756544</v>
      </c>
    </row>
    <row r="2348" spans="1:12" hidden="1" x14ac:dyDescent="0.25">
      <c r="A2348">
        <v>196</v>
      </c>
      <c r="B2348" t="s">
        <v>2042</v>
      </c>
      <c r="C2348" t="s">
        <v>972</v>
      </c>
      <c r="D2348" t="s">
        <v>2241</v>
      </c>
      <c r="E2348" t="str">
        <f>_xlfn.XLOOKUP(F2348, Keys!B:B, Keys!A:A, "找不到")</f>
        <v>PIW</v>
      </c>
      <c r="F2348" t="s">
        <v>114</v>
      </c>
      <c r="G2348">
        <v>42.66493947321738</v>
      </c>
      <c r="H2348" t="s">
        <v>46</v>
      </c>
      <c r="I2348" t="s">
        <v>47</v>
      </c>
      <c r="J2348" t="s">
        <v>2293</v>
      </c>
      <c r="K2348">
        <v>2142.4323075919169</v>
      </c>
      <c r="L2348">
        <v>172659.5749561062</v>
      </c>
    </row>
    <row r="2349" spans="1:12" hidden="1" x14ac:dyDescent="0.25">
      <c r="A2349">
        <v>197</v>
      </c>
      <c r="B2349" t="s">
        <v>2042</v>
      </c>
      <c r="C2349" t="s">
        <v>972</v>
      </c>
      <c r="D2349" t="s">
        <v>2241</v>
      </c>
      <c r="E2349" t="str">
        <f>_xlfn.XLOOKUP(F2349, Keys!B:B, Keys!A:A, "找不到")</f>
        <v>PIW</v>
      </c>
      <c r="F2349" t="s">
        <v>114</v>
      </c>
      <c r="G2349">
        <v>1.533769444942688</v>
      </c>
      <c r="H2349" t="s">
        <v>46</v>
      </c>
      <c r="I2349" t="s">
        <v>47</v>
      </c>
      <c r="J2349" t="s">
        <v>2293</v>
      </c>
      <c r="K2349">
        <v>311.70815901057449</v>
      </c>
      <c r="L2349">
        <v>6206.9695566005967</v>
      </c>
    </row>
    <row r="2350" spans="1:12" hidden="1" x14ac:dyDescent="0.25">
      <c r="A2350">
        <v>198</v>
      </c>
      <c r="B2350" t="s">
        <v>2042</v>
      </c>
      <c r="C2350" t="s">
        <v>972</v>
      </c>
      <c r="D2350" t="s">
        <v>2241</v>
      </c>
      <c r="E2350" t="str">
        <f>_xlfn.XLOOKUP(F2350, Keys!B:B, Keys!A:A, "找不到")</f>
        <v>PIW</v>
      </c>
      <c r="F2350" t="s">
        <v>114</v>
      </c>
      <c r="G2350">
        <v>1.1512087877035839</v>
      </c>
      <c r="H2350" t="s">
        <v>46</v>
      </c>
      <c r="I2350" t="s">
        <v>47</v>
      </c>
      <c r="J2350" t="s">
        <v>2293</v>
      </c>
      <c r="K2350">
        <v>327.0635173465883</v>
      </c>
      <c r="L2350">
        <v>4658.795311204176</v>
      </c>
    </row>
    <row r="2351" spans="1:12" hidden="1" x14ac:dyDescent="0.25">
      <c r="A2351">
        <v>200</v>
      </c>
      <c r="B2351" t="s">
        <v>2042</v>
      </c>
      <c r="C2351" t="s">
        <v>972</v>
      </c>
      <c r="D2351" t="s">
        <v>2241</v>
      </c>
      <c r="E2351" t="str">
        <f>_xlfn.XLOOKUP(F2351, Keys!B:B, Keys!A:A, "找不到")</f>
        <v>PIW</v>
      </c>
      <c r="F2351" t="s">
        <v>114</v>
      </c>
      <c r="G2351">
        <v>16.47528457440384</v>
      </c>
      <c r="H2351" t="s">
        <v>46</v>
      </c>
      <c r="I2351" t="s">
        <v>47</v>
      </c>
      <c r="J2351" t="s">
        <v>2293</v>
      </c>
      <c r="K2351">
        <v>1088.260945976544</v>
      </c>
      <c r="L2351">
        <v>66673.37788403868</v>
      </c>
    </row>
    <row r="2352" spans="1:12" hidden="1" x14ac:dyDescent="0.25">
      <c r="A2352">
        <v>222</v>
      </c>
      <c r="B2352" t="s">
        <v>2042</v>
      </c>
      <c r="C2352" t="s">
        <v>972</v>
      </c>
      <c r="D2352">
        <v>0</v>
      </c>
      <c r="E2352" t="str">
        <f>_xlfn.XLOOKUP(F2352, Keys!B:B, Keys!A:A, "找不到")</f>
        <v>PIW</v>
      </c>
      <c r="F2352" t="s">
        <v>114</v>
      </c>
      <c r="G2352">
        <v>6.1931503304269766</v>
      </c>
      <c r="H2352" t="s">
        <v>60</v>
      </c>
      <c r="I2352" t="s">
        <v>66</v>
      </c>
      <c r="J2352" t="s">
        <v>2436</v>
      </c>
      <c r="K2352">
        <v>642.97678760087149</v>
      </c>
      <c r="L2352">
        <v>25062.890441038599</v>
      </c>
    </row>
    <row r="2353" spans="1:12" hidden="1" x14ac:dyDescent="0.25">
      <c r="A2353">
        <v>263</v>
      </c>
      <c r="B2353" t="s">
        <v>2042</v>
      </c>
      <c r="C2353" t="s">
        <v>972</v>
      </c>
      <c r="D2353" t="s">
        <v>2241</v>
      </c>
      <c r="E2353" t="str">
        <f>_xlfn.XLOOKUP(F2353, Keys!B:B, Keys!A:A, "找不到")</f>
        <v>PIW</v>
      </c>
      <c r="F2353" t="s">
        <v>114</v>
      </c>
      <c r="G2353">
        <v>1.762912550949318</v>
      </c>
      <c r="H2353" t="s">
        <v>46</v>
      </c>
      <c r="I2353" t="s">
        <v>47</v>
      </c>
      <c r="J2353" t="s">
        <v>2524</v>
      </c>
      <c r="K2353">
        <v>328.51161170383762</v>
      </c>
      <c r="L2353">
        <v>7134.2825160403409</v>
      </c>
    </row>
    <row r="2354" spans="1:12" hidden="1" x14ac:dyDescent="0.25">
      <c r="A2354">
        <v>264</v>
      </c>
      <c r="B2354" t="s">
        <v>2042</v>
      </c>
      <c r="C2354" t="s">
        <v>972</v>
      </c>
      <c r="D2354" t="s">
        <v>2241</v>
      </c>
      <c r="E2354" t="str">
        <f>_xlfn.XLOOKUP(F2354, Keys!B:B, Keys!A:A, "找不到")</f>
        <v>PIW</v>
      </c>
      <c r="F2354" t="s">
        <v>114</v>
      </c>
      <c r="G2354">
        <v>0.34640586129457263</v>
      </c>
      <c r="H2354" t="s">
        <v>46</v>
      </c>
      <c r="I2354" t="s">
        <v>47</v>
      </c>
      <c r="J2354" t="s">
        <v>2328</v>
      </c>
      <c r="K2354">
        <v>153.96003617413831</v>
      </c>
      <c r="L2354">
        <v>1401.8603919729051</v>
      </c>
    </row>
    <row r="2355" spans="1:12" hidden="1" x14ac:dyDescent="0.25">
      <c r="A2355">
        <v>344</v>
      </c>
      <c r="B2355" t="s">
        <v>2042</v>
      </c>
      <c r="C2355" t="s">
        <v>972</v>
      </c>
      <c r="D2355" t="s">
        <v>2586</v>
      </c>
      <c r="E2355" t="str">
        <f>_xlfn.XLOOKUP(F2355, Keys!B:B, Keys!A:A, "找不到")</f>
        <v>PIW</v>
      </c>
      <c r="F2355" t="s">
        <v>114</v>
      </c>
      <c r="G2355">
        <v>3.994752449536878</v>
      </c>
      <c r="H2355" t="s">
        <v>46</v>
      </c>
      <c r="I2355" t="s">
        <v>47</v>
      </c>
      <c r="J2355" t="s">
        <v>2591</v>
      </c>
      <c r="K2355">
        <v>720.92970217251059</v>
      </c>
      <c r="L2355">
        <v>16166.25427125886</v>
      </c>
    </row>
    <row r="2356" spans="1:12" hidden="1" x14ac:dyDescent="0.25">
      <c r="A2356">
        <v>345</v>
      </c>
      <c r="B2356" t="s">
        <v>2042</v>
      </c>
      <c r="C2356" t="s">
        <v>972</v>
      </c>
      <c r="D2356" t="s">
        <v>2586</v>
      </c>
      <c r="E2356" t="str">
        <f>_xlfn.XLOOKUP(F2356, Keys!B:B, Keys!A:A, "找不到")</f>
        <v>PIW</v>
      </c>
      <c r="F2356" t="s">
        <v>114</v>
      </c>
      <c r="G2356">
        <v>1.129988570980607</v>
      </c>
      <c r="H2356" t="s">
        <v>46</v>
      </c>
      <c r="I2356" t="s">
        <v>47</v>
      </c>
      <c r="J2356" t="s">
        <v>2591</v>
      </c>
      <c r="K2356">
        <v>340.89290388713272</v>
      </c>
      <c r="L2356">
        <v>4572.9197973723649</v>
      </c>
    </row>
    <row r="2357" spans="1:12" hidden="1" x14ac:dyDescent="0.25">
      <c r="A2357">
        <v>346</v>
      </c>
      <c r="B2357" t="s">
        <v>2042</v>
      </c>
      <c r="C2357" t="s">
        <v>972</v>
      </c>
      <c r="D2357" t="s">
        <v>2586</v>
      </c>
      <c r="E2357" t="str">
        <f>_xlfn.XLOOKUP(F2357, Keys!B:B, Keys!A:A, "找不到")</f>
        <v>PIW</v>
      </c>
      <c r="F2357" t="s">
        <v>114</v>
      </c>
      <c r="G2357">
        <v>11.979197149353389</v>
      </c>
      <c r="H2357" t="s">
        <v>46</v>
      </c>
      <c r="I2357" t="s">
        <v>47</v>
      </c>
      <c r="J2357" t="s">
        <v>2591</v>
      </c>
      <c r="K2357">
        <v>987.46810712456374</v>
      </c>
      <c r="L2357">
        <v>48478.284832001969</v>
      </c>
    </row>
    <row r="2358" spans="1:12" hidden="1" x14ac:dyDescent="0.25">
      <c r="A2358">
        <v>348</v>
      </c>
      <c r="B2358" t="s">
        <v>2042</v>
      </c>
      <c r="C2358" t="s">
        <v>972</v>
      </c>
      <c r="D2358" t="s">
        <v>2586</v>
      </c>
      <c r="E2358" t="str">
        <f>_xlfn.XLOOKUP(F2358, Keys!B:B, Keys!A:A, "找不到")</f>
        <v>PIW</v>
      </c>
      <c r="F2358" t="s">
        <v>114</v>
      </c>
      <c r="G2358">
        <v>1.767967228607757</v>
      </c>
      <c r="H2358" t="s">
        <v>46</v>
      </c>
      <c r="I2358" t="s">
        <v>47</v>
      </c>
      <c r="J2358" t="s">
        <v>2591</v>
      </c>
      <c r="K2358">
        <v>354.88996789435521</v>
      </c>
      <c r="L2358">
        <v>7154.7381526080198</v>
      </c>
    </row>
    <row r="2359" spans="1:12" hidden="1" x14ac:dyDescent="0.25">
      <c r="A2359">
        <v>349</v>
      </c>
      <c r="B2359" t="s">
        <v>2042</v>
      </c>
      <c r="C2359" t="s">
        <v>972</v>
      </c>
      <c r="D2359" t="s">
        <v>2586</v>
      </c>
      <c r="E2359" t="str">
        <f>_xlfn.XLOOKUP(F2359, Keys!B:B, Keys!A:A, "找不到")</f>
        <v>PIW</v>
      </c>
      <c r="F2359" t="s">
        <v>114</v>
      </c>
      <c r="G2359">
        <v>23.29927945778778</v>
      </c>
      <c r="H2359" t="s">
        <v>46</v>
      </c>
      <c r="I2359" t="s">
        <v>47</v>
      </c>
      <c r="J2359" t="s">
        <v>2591</v>
      </c>
      <c r="K2359">
        <v>1303.7307930686959</v>
      </c>
      <c r="L2359">
        <v>94289.215867527164</v>
      </c>
    </row>
    <row r="2360" spans="1:12" hidden="1" x14ac:dyDescent="0.25">
      <c r="A2360">
        <v>350</v>
      </c>
      <c r="B2360" t="s">
        <v>2042</v>
      </c>
      <c r="C2360" t="s">
        <v>972</v>
      </c>
      <c r="D2360" t="s">
        <v>2586</v>
      </c>
      <c r="E2360" t="str">
        <f>_xlfn.XLOOKUP(F2360, Keys!B:B, Keys!A:A, "找不到")</f>
        <v>PIW</v>
      </c>
      <c r="F2360" t="s">
        <v>114</v>
      </c>
      <c r="G2360">
        <v>12.128439073493571</v>
      </c>
      <c r="H2360" t="s">
        <v>46</v>
      </c>
      <c r="I2360" t="s">
        <v>47</v>
      </c>
      <c r="J2360" t="s">
        <v>2591</v>
      </c>
      <c r="K2360">
        <v>914.54918612602387</v>
      </c>
      <c r="L2360">
        <v>49082.247887049787</v>
      </c>
    </row>
    <row r="2361" spans="1:12" hidden="1" x14ac:dyDescent="0.25">
      <c r="A2361">
        <v>351</v>
      </c>
      <c r="B2361" t="s">
        <v>2042</v>
      </c>
      <c r="C2361" t="s">
        <v>972</v>
      </c>
      <c r="D2361" t="s">
        <v>2586</v>
      </c>
      <c r="E2361" t="str">
        <f>_xlfn.XLOOKUP(F2361, Keys!B:B, Keys!A:A, "找不到")</f>
        <v>PIW</v>
      </c>
      <c r="F2361" t="s">
        <v>114</v>
      </c>
      <c r="G2361">
        <v>6.3051794957301643</v>
      </c>
      <c r="H2361" t="s">
        <v>46</v>
      </c>
      <c r="I2361" t="s">
        <v>47</v>
      </c>
      <c r="J2361" t="s">
        <v>2591</v>
      </c>
      <c r="K2361">
        <v>907.37291739284831</v>
      </c>
      <c r="L2361">
        <v>25516.258201611148</v>
      </c>
    </row>
    <row r="2362" spans="1:12" hidden="1" x14ac:dyDescent="0.25">
      <c r="A2362">
        <v>353</v>
      </c>
      <c r="B2362" t="s">
        <v>2042</v>
      </c>
      <c r="C2362" t="s">
        <v>972</v>
      </c>
      <c r="D2362" t="s">
        <v>2586</v>
      </c>
      <c r="E2362" t="str">
        <f>_xlfn.XLOOKUP(F2362, Keys!B:B, Keys!A:A, "找不到")</f>
        <v>PIW</v>
      </c>
      <c r="F2362" t="s">
        <v>114</v>
      </c>
      <c r="G2362">
        <v>5.480352862809486</v>
      </c>
      <c r="H2362" t="s">
        <v>46</v>
      </c>
      <c r="I2362" t="s">
        <v>47</v>
      </c>
      <c r="J2362" t="s">
        <v>2591</v>
      </c>
      <c r="K2362">
        <v>924.13182687383733</v>
      </c>
      <c r="L2362">
        <v>22178.289892949651</v>
      </c>
    </row>
    <row r="2363" spans="1:12" hidden="1" x14ac:dyDescent="0.25">
      <c r="A2363">
        <v>354</v>
      </c>
      <c r="B2363" t="s">
        <v>2042</v>
      </c>
      <c r="C2363" t="s">
        <v>972</v>
      </c>
      <c r="D2363" t="s">
        <v>2586</v>
      </c>
      <c r="E2363" t="str">
        <f>_xlfn.XLOOKUP(F2363, Keys!B:B, Keys!A:A, "找不到")</f>
        <v>PIW</v>
      </c>
      <c r="F2363" t="s">
        <v>114</v>
      </c>
      <c r="G2363">
        <v>0.88384661930083153</v>
      </c>
      <c r="H2363" t="s">
        <v>46</v>
      </c>
      <c r="I2363" t="s">
        <v>47</v>
      </c>
      <c r="J2363" t="s">
        <v>2591</v>
      </c>
      <c r="K2363">
        <v>440.39916690402339</v>
      </c>
      <c r="L2363">
        <v>3576.814674978491</v>
      </c>
    </row>
    <row r="2364" spans="1:12" hidden="1" x14ac:dyDescent="0.25">
      <c r="A2364">
        <v>384</v>
      </c>
      <c r="B2364" t="s">
        <v>2042</v>
      </c>
      <c r="C2364" t="s">
        <v>972</v>
      </c>
      <c r="D2364">
        <v>0</v>
      </c>
      <c r="E2364" t="str">
        <f>_xlfn.XLOOKUP(F2364, Keys!B:B, Keys!A:A, "找不到")</f>
        <v>PIW</v>
      </c>
      <c r="F2364" t="s">
        <v>114</v>
      </c>
      <c r="G2364">
        <v>0.57331709568449529</v>
      </c>
      <c r="H2364" t="s">
        <v>46</v>
      </c>
      <c r="I2364" t="s">
        <v>47</v>
      </c>
      <c r="J2364" t="s">
        <v>2067</v>
      </c>
      <c r="K2364">
        <v>244.96488560046831</v>
      </c>
      <c r="L2364">
        <v>2320.1412512982401</v>
      </c>
    </row>
    <row r="2365" spans="1:12" hidden="1" x14ac:dyDescent="0.25">
      <c r="A2365">
        <v>174</v>
      </c>
      <c r="B2365" t="s">
        <v>714</v>
      </c>
      <c r="C2365" t="s">
        <v>715</v>
      </c>
      <c r="D2365" t="s">
        <v>57</v>
      </c>
      <c r="E2365" t="str">
        <f>_xlfn.XLOOKUP(F2365, Keys!B:B, Keys!A:A, "找不到")</f>
        <v>FA</v>
      </c>
      <c r="F2365" t="s">
        <v>63</v>
      </c>
      <c r="G2365">
        <v>4.9110495921142601</v>
      </c>
      <c r="H2365" t="s">
        <v>64</v>
      </c>
      <c r="I2365" t="s">
        <v>65</v>
      </c>
      <c r="J2365" t="s">
        <v>57</v>
      </c>
      <c r="K2365">
        <v>0</v>
      </c>
      <c r="L2365">
        <v>0</v>
      </c>
    </row>
    <row r="2366" spans="1:12" hidden="1" x14ac:dyDescent="0.25">
      <c r="A2366">
        <v>175</v>
      </c>
      <c r="B2366" t="s">
        <v>714</v>
      </c>
      <c r="C2366" t="s">
        <v>715</v>
      </c>
      <c r="D2366" t="s">
        <v>57</v>
      </c>
      <c r="E2366" t="str">
        <f>_xlfn.XLOOKUP(F2366, Keys!B:B, Keys!A:A, "找不到")</f>
        <v>FA</v>
      </c>
      <c r="F2366" t="s">
        <v>63</v>
      </c>
      <c r="G2366">
        <v>18.45657740410315</v>
      </c>
      <c r="H2366" t="s">
        <v>64</v>
      </c>
      <c r="I2366" t="s">
        <v>65</v>
      </c>
      <c r="J2366" t="s">
        <v>57</v>
      </c>
      <c r="K2366">
        <v>0</v>
      </c>
      <c r="L2366">
        <v>0</v>
      </c>
    </row>
    <row r="2367" spans="1:12" hidden="1" x14ac:dyDescent="0.25">
      <c r="A2367">
        <v>176</v>
      </c>
      <c r="B2367" t="s">
        <v>714</v>
      </c>
      <c r="C2367" t="s">
        <v>715</v>
      </c>
      <c r="D2367" t="s">
        <v>57</v>
      </c>
      <c r="E2367" t="str">
        <f>_xlfn.XLOOKUP(F2367, Keys!B:B, Keys!A:A, "找不到")</f>
        <v>FA</v>
      </c>
      <c r="F2367" t="s">
        <v>63</v>
      </c>
      <c r="G2367">
        <v>1.66717337948153</v>
      </c>
      <c r="H2367" t="s">
        <v>64</v>
      </c>
      <c r="I2367" t="s">
        <v>65</v>
      </c>
      <c r="J2367" t="s">
        <v>57</v>
      </c>
      <c r="K2367">
        <v>0</v>
      </c>
      <c r="L2367">
        <v>0</v>
      </c>
    </row>
    <row r="2368" spans="1:12" hidden="1" x14ac:dyDescent="0.25">
      <c r="A2368">
        <v>177</v>
      </c>
      <c r="B2368" t="s">
        <v>714</v>
      </c>
      <c r="C2368" t="s">
        <v>715</v>
      </c>
      <c r="D2368" t="s">
        <v>57</v>
      </c>
      <c r="E2368" t="str">
        <f>_xlfn.XLOOKUP(F2368, Keys!B:B, Keys!A:A, "找不到")</f>
        <v>FA</v>
      </c>
      <c r="F2368" t="s">
        <v>63</v>
      </c>
      <c r="G2368">
        <v>24.42037521540372</v>
      </c>
      <c r="H2368" t="s">
        <v>64</v>
      </c>
      <c r="I2368" t="s">
        <v>65</v>
      </c>
      <c r="J2368" t="s">
        <v>57</v>
      </c>
      <c r="K2368">
        <v>0</v>
      </c>
      <c r="L2368">
        <v>0</v>
      </c>
    </row>
    <row r="2369" spans="1:12" hidden="1" x14ac:dyDescent="0.25">
      <c r="A2369">
        <v>142</v>
      </c>
      <c r="B2369" t="s">
        <v>152</v>
      </c>
      <c r="C2369" t="s">
        <v>149</v>
      </c>
      <c r="D2369">
        <v>0</v>
      </c>
      <c r="E2369" t="str">
        <f>_xlfn.XLOOKUP(F2369, Keys!B:B, Keys!A:A, "找不到")</f>
        <v>PIW</v>
      </c>
      <c r="F2369" t="s">
        <v>114</v>
      </c>
      <c r="G2369">
        <v>30.42733844404551</v>
      </c>
      <c r="H2369" t="s">
        <v>60</v>
      </c>
      <c r="I2369" t="s">
        <v>66</v>
      </c>
      <c r="J2369">
        <v>0</v>
      </c>
      <c r="K2369">
        <v>1243.9321182012111</v>
      </c>
      <c r="L2369">
        <v>123135.5625405816</v>
      </c>
    </row>
    <row r="2370" spans="1:12" hidden="1" x14ac:dyDescent="0.25">
      <c r="A2370">
        <v>146</v>
      </c>
      <c r="B2370" t="s">
        <v>152</v>
      </c>
      <c r="C2370" t="s">
        <v>149</v>
      </c>
      <c r="D2370">
        <v>0</v>
      </c>
      <c r="E2370" t="str">
        <f>_xlfn.XLOOKUP(F2370, Keys!B:B, Keys!A:A, "找不到")</f>
        <v>PIW</v>
      </c>
      <c r="F2370" t="s">
        <v>114</v>
      </c>
      <c r="G2370">
        <v>120.31647525462181</v>
      </c>
      <c r="H2370" t="s">
        <v>60</v>
      </c>
      <c r="I2370" t="s">
        <v>66</v>
      </c>
      <c r="J2370">
        <v>0</v>
      </c>
      <c r="K2370">
        <v>2473.587337560627</v>
      </c>
      <c r="L2370">
        <v>486905.44822454231</v>
      </c>
    </row>
    <row r="2371" spans="1:12" hidden="1" x14ac:dyDescent="0.25">
      <c r="A2371">
        <v>149</v>
      </c>
      <c r="B2371" t="s">
        <v>152</v>
      </c>
      <c r="C2371" t="s">
        <v>149</v>
      </c>
      <c r="D2371">
        <v>0</v>
      </c>
      <c r="E2371" t="str">
        <f>_xlfn.XLOOKUP(F2371, Keys!B:B, Keys!A:A, "找不到")</f>
        <v>PIW</v>
      </c>
      <c r="F2371" t="s">
        <v>114</v>
      </c>
      <c r="G2371">
        <v>43.343795642506777</v>
      </c>
      <c r="H2371" t="s">
        <v>60</v>
      </c>
      <c r="I2371" t="s">
        <v>66</v>
      </c>
      <c r="J2371">
        <v>0</v>
      </c>
      <c r="K2371">
        <v>1484.663968979695</v>
      </c>
      <c r="L2371">
        <v>175406.8193936476</v>
      </c>
    </row>
    <row r="2372" spans="1:12" x14ac:dyDescent="0.25">
      <c r="A2372">
        <v>114</v>
      </c>
      <c r="B2372" t="s">
        <v>42</v>
      </c>
      <c r="C2372" t="s">
        <v>36</v>
      </c>
      <c r="D2372" t="s">
        <v>43</v>
      </c>
      <c r="E2372" t="str">
        <f>_xlfn.XLOOKUP(F2372, Keys!B:B, Keys!A:A, "找不到")</f>
        <v>FA</v>
      </c>
      <c r="F2372" t="s">
        <v>63</v>
      </c>
      <c r="G2372">
        <v>13.22775158905867</v>
      </c>
      <c r="H2372" t="s">
        <v>64</v>
      </c>
      <c r="I2372" t="s">
        <v>65</v>
      </c>
      <c r="J2372">
        <v>0</v>
      </c>
      <c r="K2372">
        <v>944.69539654244716</v>
      </c>
      <c r="L2372">
        <v>53531.025595982152</v>
      </c>
    </row>
    <row r="2373" spans="1:12" x14ac:dyDescent="0.25">
      <c r="A2373">
        <v>122</v>
      </c>
      <c r="B2373" t="s">
        <v>42</v>
      </c>
      <c r="C2373" t="s">
        <v>36</v>
      </c>
      <c r="D2373" t="s">
        <v>43</v>
      </c>
      <c r="E2373" t="str">
        <f>_xlfn.XLOOKUP(F2373, Keys!B:B, Keys!A:A, "找不到")</f>
        <v>FA</v>
      </c>
      <c r="F2373" t="s">
        <v>63</v>
      </c>
      <c r="G2373">
        <v>3.2608051186937321</v>
      </c>
      <c r="H2373" t="s">
        <v>64</v>
      </c>
      <c r="I2373" t="s">
        <v>65</v>
      </c>
      <c r="J2373">
        <v>0</v>
      </c>
      <c r="K2373">
        <v>450.89950138715648</v>
      </c>
      <c r="L2373">
        <v>13196.062920979421</v>
      </c>
    </row>
    <row r="2374" spans="1:12" x14ac:dyDescent="0.25">
      <c r="A2374">
        <v>128</v>
      </c>
      <c r="B2374" t="s">
        <v>42</v>
      </c>
      <c r="C2374" t="s">
        <v>36</v>
      </c>
      <c r="D2374" t="s">
        <v>43</v>
      </c>
      <c r="E2374" t="str">
        <f>_xlfn.XLOOKUP(F2374, Keys!B:B, Keys!A:A, "找不到")</f>
        <v>FA</v>
      </c>
      <c r="F2374" t="s">
        <v>63</v>
      </c>
      <c r="G2374">
        <v>0.77149369811632662</v>
      </c>
      <c r="H2374" t="s">
        <v>64</v>
      </c>
      <c r="I2374" t="s">
        <v>65</v>
      </c>
      <c r="J2374">
        <v>0</v>
      </c>
      <c r="K2374">
        <v>240.18492600013391</v>
      </c>
      <c r="L2374">
        <v>3122.1367155975572</v>
      </c>
    </row>
    <row r="2375" spans="1:12" x14ac:dyDescent="0.25">
      <c r="A2375">
        <v>132</v>
      </c>
      <c r="B2375" t="s">
        <v>42</v>
      </c>
      <c r="C2375" t="s">
        <v>36</v>
      </c>
      <c r="D2375" t="s">
        <v>43</v>
      </c>
      <c r="E2375" t="str">
        <f>_xlfn.XLOOKUP(F2375, Keys!B:B, Keys!A:A, "找不到")</f>
        <v>FA</v>
      </c>
      <c r="F2375" t="s">
        <v>63</v>
      </c>
      <c r="G2375">
        <v>11.59811232416936</v>
      </c>
      <c r="H2375" t="s">
        <v>64</v>
      </c>
      <c r="I2375" t="s">
        <v>65</v>
      </c>
      <c r="J2375">
        <v>0</v>
      </c>
      <c r="K2375">
        <v>939.22696638300704</v>
      </c>
      <c r="L2375">
        <v>46936.083090925968</v>
      </c>
    </row>
    <row r="2376" spans="1:12" x14ac:dyDescent="0.25">
      <c r="A2376">
        <v>139</v>
      </c>
      <c r="B2376" t="s">
        <v>42</v>
      </c>
      <c r="C2376" t="s">
        <v>36</v>
      </c>
      <c r="D2376" t="s">
        <v>43</v>
      </c>
      <c r="E2376" t="str">
        <f>_xlfn.XLOOKUP(F2376, Keys!B:B, Keys!A:A, "找不到")</f>
        <v>FA</v>
      </c>
      <c r="F2376" t="s">
        <v>63</v>
      </c>
      <c r="G2376">
        <v>18.557467020706522</v>
      </c>
      <c r="H2376" t="s">
        <v>64</v>
      </c>
      <c r="I2376" t="s">
        <v>65</v>
      </c>
      <c r="J2376">
        <v>0</v>
      </c>
      <c r="K2376">
        <v>1203.715526866752</v>
      </c>
      <c r="L2376">
        <v>75099.704994741958</v>
      </c>
    </row>
    <row r="2377" spans="1:12" x14ac:dyDescent="0.25">
      <c r="A2377">
        <v>141</v>
      </c>
      <c r="B2377" t="s">
        <v>42</v>
      </c>
      <c r="C2377" t="s">
        <v>36</v>
      </c>
      <c r="D2377" t="s">
        <v>43</v>
      </c>
      <c r="E2377" t="str">
        <f>_xlfn.XLOOKUP(F2377, Keys!B:B, Keys!A:A, "找不到")</f>
        <v>FA</v>
      </c>
      <c r="F2377" t="s">
        <v>63</v>
      </c>
      <c r="G2377">
        <v>1.432757369021872</v>
      </c>
      <c r="H2377" t="s">
        <v>64</v>
      </c>
      <c r="I2377" t="s">
        <v>65</v>
      </c>
      <c r="J2377">
        <v>0</v>
      </c>
      <c r="K2377">
        <v>303.65910126924189</v>
      </c>
      <c r="L2377">
        <v>5798.1865532901074</v>
      </c>
    </row>
    <row r="2378" spans="1:12" x14ac:dyDescent="0.25">
      <c r="A2378">
        <v>143</v>
      </c>
      <c r="B2378" t="s">
        <v>42</v>
      </c>
      <c r="C2378" t="s">
        <v>36</v>
      </c>
      <c r="D2378" t="s">
        <v>43</v>
      </c>
      <c r="E2378" t="str">
        <f>_xlfn.XLOOKUP(F2378, Keys!B:B, Keys!A:A, "找不到")</f>
        <v>FA</v>
      </c>
      <c r="F2378" t="s">
        <v>63</v>
      </c>
      <c r="G2378">
        <v>10.468654558377141</v>
      </c>
      <c r="H2378" t="s">
        <v>64</v>
      </c>
      <c r="I2378" t="s">
        <v>65</v>
      </c>
      <c r="J2378">
        <v>0</v>
      </c>
      <c r="K2378">
        <v>1194.0458915579991</v>
      </c>
      <c r="L2378">
        <v>42365.311394531687</v>
      </c>
    </row>
    <row r="2379" spans="1:12" x14ac:dyDescent="0.25">
      <c r="A2379">
        <v>144</v>
      </c>
      <c r="B2379" t="s">
        <v>42</v>
      </c>
      <c r="C2379" t="s">
        <v>36</v>
      </c>
      <c r="D2379">
        <v>0</v>
      </c>
      <c r="E2379" t="str">
        <f>_xlfn.XLOOKUP(F2379, Keys!B:B, Keys!A:A, "找不到")</f>
        <v>FA</v>
      </c>
      <c r="F2379" t="s">
        <v>63</v>
      </c>
      <c r="G2379">
        <v>0.81668533028783785</v>
      </c>
      <c r="H2379" t="s">
        <v>64</v>
      </c>
      <c r="I2379" t="s">
        <v>65</v>
      </c>
      <c r="J2379">
        <v>0</v>
      </c>
      <c r="K2379">
        <v>290.51263040455098</v>
      </c>
      <c r="L2379">
        <v>3305.021494027957</v>
      </c>
    </row>
    <row r="2380" spans="1:12" x14ac:dyDescent="0.25">
      <c r="A2380">
        <v>146</v>
      </c>
      <c r="B2380" t="s">
        <v>42</v>
      </c>
      <c r="C2380" t="s">
        <v>36</v>
      </c>
      <c r="D2380">
        <v>0</v>
      </c>
      <c r="E2380" t="str">
        <f>_xlfn.XLOOKUP(F2380, Keys!B:B, Keys!A:A, "找不到")</f>
        <v>FA</v>
      </c>
      <c r="F2380" t="s">
        <v>63</v>
      </c>
      <c r="G2380">
        <v>21.923024597723241</v>
      </c>
      <c r="H2380" t="s">
        <v>64</v>
      </c>
      <c r="I2380" t="s">
        <v>65</v>
      </c>
      <c r="J2380">
        <v>0</v>
      </c>
      <c r="K2380">
        <v>2939.261852183</v>
      </c>
      <c r="L2380">
        <v>88719.68777012566</v>
      </c>
    </row>
    <row r="2381" spans="1:12" x14ac:dyDescent="0.25">
      <c r="A2381">
        <v>147</v>
      </c>
      <c r="B2381" t="s">
        <v>42</v>
      </c>
      <c r="C2381" t="s">
        <v>36</v>
      </c>
      <c r="D2381" t="s">
        <v>126</v>
      </c>
      <c r="E2381" t="str">
        <f>_xlfn.XLOOKUP(F2381, Keys!B:B, Keys!A:A, "找不到")</f>
        <v>FA</v>
      </c>
      <c r="F2381" t="s">
        <v>63</v>
      </c>
      <c r="G2381">
        <v>15.869417880075041</v>
      </c>
      <c r="H2381" t="s">
        <v>64</v>
      </c>
      <c r="I2381" t="s">
        <v>65</v>
      </c>
      <c r="J2381">
        <v>0</v>
      </c>
      <c r="K2381">
        <v>1006.163117262518</v>
      </c>
      <c r="L2381">
        <v>64221.512553524401</v>
      </c>
    </row>
    <row r="2382" spans="1:12" x14ac:dyDescent="0.25">
      <c r="A2382">
        <v>148</v>
      </c>
      <c r="B2382" t="s">
        <v>42</v>
      </c>
      <c r="C2382" t="s">
        <v>36</v>
      </c>
      <c r="D2382" t="s">
        <v>126</v>
      </c>
      <c r="E2382" t="str">
        <f>_xlfn.XLOOKUP(F2382, Keys!B:B, Keys!A:A, "找不到")</f>
        <v>FA</v>
      </c>
      <c r="F2382" t="s">
        <v>63</v>
      </c>
      <c r="G2382">
        <v>9.6414840286440384</v>
      </c>
      <c r="H2382" t="s">
        <v>64</v>
      </c>
      <c r="I2382" t="s">
        <v>65</v>
      </c>
      <c r="J2382">
        <v>0</v>
      </c>
      <c r="K2382">
        <v>921.82001447338564</v>
      </c>
      <c r="L2382">
        <v>39017.857634059612</v>
      </c>
    </row>
    <row r="2383" spans="1:12" x14ac:dyDescent="0.25">
      <c r="A2383">
        <v>149</v>
      </c>
      <c r="B2383" t="s">
        <v>42</v>
      </c>
      <c r="C2383" t="s">
        <v>36</v>
      </c>
      <c r="D2383" t="s">
        <v>126</v>
      </c>
      <c r="E2383" t="str">
        <f>_xlfn.XLOOKUP(F2383, Keys!B:B, Keys!A:A, "找不到")</f>
        <v>FA</v>
      </c>
      <c r="F2383" t="s">
        <v>63</v>
      </c>
      <c r="G2383">
        <v>4.6415400511258484</v>
      </c>
      <c r="H2383" t="s">
        <v>64</v>
      </c>
      <c r="I2383" t="s">
        <v>65</v>
      </c>
      <c r="J2383">
        <v>0</v>
      </c>
      <c r="K2383">
        <v>844.12941801894556</v>
      </c>
      <c r="L2383">
        <v>18783.72130053553</v>
      </c>
    </row>
    <row r="2384" spans="1:12" x14ac:dyDescent="0.25">
      <c r="A2384">
        <v>150</v>
      </c>
      <c r="B2384" t="s">
        <v>42</v>
      </c>
      <c r="C2384" t="s">
        <v>36</v>
      </c>
      <c r="D2384" t="s">
        <v>126</v>
      </c>
      <c r="E2384" t="str">
        <f>_xlfn.XLOOKUP(F2384, Keys!B:B, Keys!A:A, "找不到")</f>
        <v>FA</v>
      </c>
      <c r="F2384" t="s">
        <v>63</v>
      </c>
      <c r="G2384">
        <v>5.6900827918440449</v>
      </c>
      <c r="H2384" t="s">
        <v>64</v>
      </c>
      <c r="I2384" t="s">
        <v>65</v>
      </c>
      <c r="J2384">
        <v>0</v>
      </c>
      <c r="K2384">
        <v>642.21082752795382</v>
      </c>
      <c r="L2384">
        <v>23027.040198230479</v>
      </c>
    </row>
    <row r="2385" spans="1:12" x14ac:dyDescent="0.25">
      <c r="A2385">
        <v>151</v>
      </c>
      <c r="B2385" t="s">
        <v>42</v>
      </c>
      <c r="C2385" t="s">
        <v>36</v>
      </c>
      <c r="D2385" t="s">
        <v>126</v>
      </c>
      <c r="E2385" t="str">
        <f>_xlfn.XLOOKUP(F2385, Keys!B:B, Keys!A:A, "找不到")</f>
        <v>FA</v>
      </c>
      <c r="F2385" t="s">
        <v>63</v>
      </c>
      <c r="G2385">
        <v>3.88708067559064</v>
      </c>
      <c r="H2385" t="s">
        <v>64</v>
      </c>
      <c r="I2385" t="s">
        <v>65</v>
      </c>
      <c r="J2385">
        <v>0</v>
      </c>
      <c r="K2385">
        <v>510.42660779578421</v>
      </c>
      <c r="L2385">
        <v>15730.52031841926</v>
      </c>
    </row>
    <row r="2386" spans="1:12" x14ac:dyDescent="0.25">
      <c r="A2386">
        <v>152</v>
      </c>
      <c r="B2386" t="s">
        <v>42</v>
      </c>
      <c r="C2386" t="s">
        <v>36</v>
      </c>
      <c r="D2386" t="s">
        <v>126</v>
      </c>
      <c r="E2386" t="str">
        <f>_xlfn.XLOOKUP(F2386, Keys!B:B, Keys!A:A, "找不到")</f>
        <v>FA</v>
      </c>
      <c r="F2386" t="s">
        <v>63</v>
      </c>
      <c r="G2386">
        <v>4.9569195295539643</v>
      </c>
      <c r="H2386" t="s">
        <v>64</v>
      </c>
      <c r="I2386" t="s">
        <v>65</v>
      </c>
      <c r="J2386">
        <v>0</v>
      </c>
      <c r="K2386">
        <v>606.37377080032843</v>
      </c>
      <c r="L2386">
        <v>20060.021873502701</v>
      </c>
    </row>
    <row r="2387" spans="1:12" x14ac:dyDescent="0.25">
      <c r="A2387">
        <v>153</v>
      </c>
      <c r="B2387" t="s">
        <v>42</v>
      </c>
      <c r="C2387" t="s">
        <v>36</v>
      </c>
      <c r="D2387" t="s">
        <v>126</v>
      </c>
      <c r="E2387" t="str">
        <f>_xlfn.XLOOKUP(F2387, Keys!B:B, Keys!A:A, "找不到")</f>
        <v>FA</v>
      </c>
      <c r="F2387" t="s">
        <v>63</v>
      </c>
      <c r="G2387">
        <v>2.9079813349853301</v>
      </c>
      <c r="H2387" t="s">
        <v>64</v>
      </c>
      <c r="I2387" t="s">
        <v>65</v>
      </c>
      <c r="J2387">
        <v>0</v>
      </c>
      <c r="K2387">
        <v>511.22427288935052</v>
      </c>
      <c r="L2387">
        <v>11768.23001457769</v>
      </c>
    </row>
    <row r="2388" spans="1:12" x14ac:dyDescent="0.25">
      <c r="A2388">
        <v>154</v>
      </c>
      <c r="B2388" t="s">
        <v>42</v>
      </c>
      <c r="C2388" t="s">
        <v>36</v>
      </c>
      <c r="D2388">
        <v>0</v>
      </c>
      <c r="E2388" t="str">
        <f>_xlfn.XLOOKUP(F2388, Keys!B:B, Keys!A:A, "找不到")</f>
        <v>FA</v>
      </c>
      <c r="F2388" t="s">
        <v>63</v>
      </c>
      <c r="G2388">
        <v>1.6368426087093639</v>
      </c>
      <c r="H2388" t="s">
        <v>64</v>
      </c>
      <c r="I2388" t="s">
        <v>65</v>
      </c>
      <c r="J2388" t="s">
        <v>57</v>
      </c>
      <c r="K2388">
        <v>348.73425341741648</v>
      </c>
      <c r="L2388">
        <v>6624.0935198610432</v>
      </c>
    </row>
    <row r="2389" spans="1:12" x14ac:dyDescent="0.25">
      <c r="A2389">
        <v>157</v>
      </c>
      <c r="B2389" t="s">
        <v>42</v>
      </c>
      <c r="C2389" t="s">
        <v>36</v>
      </c>
      <c r="D2389">
        <v>0</v>
      </c>
      <c r="E2389" t="str">
        <f>_xlfn.XLOOKUP(F2389, Keys!B:B, Keys!A:A, "找不到")</f>
        <v>FA</v>
      </c>
      <c r="F2389" t="s">
        <v>63</v>
      </c>
      <c r="G2389">
        <v>0.80798263427221051</v>
      </c>
      <c r="H2389" t="s">
        <v>64</v>
      </c>
      <c r="I2389" t="s">
        <v>65</v>
      </c>
      <c r="J2389" t="s">
        <v>57</v>
      </c>
      <c r="K2389">
        <v>277.32968060611148</v>
      </c>
      <c r="L2389">
        <v>3269.802791890254</v>
      </c>
    </row>
    <row r="2390" spans="1:12" x14ac:dyDescent="0.25">
      <c r="A2390">
        <v>160</v>
      </c>
      <c r="B2390" t="s">
        <v>42</v>
      </c>
      <c r="C2390" t="s">
        <v>36</v>
      </c>
      <c r="D2390" t="s">
        <v>43</v>
      </c>
      <c r="E2390" t="str">
        <f>_xlfn.XLOOKUP(F2390, Keys!B:B, Keys!A:A, "找不到")</f>
        <v>FA</v>
      </c>
      <c r="F2390" t="s">
        <v>63</v>
      </c>
      <c r="G2390">
        <v>26.090071672073261</v>
      </c>
      <c r="H2390" t="s">
        <v>64</v>
      </c>
      <c r="I2390" t="s">
        <v>65</v>
      </c>
      <c r="J2390">
        <v>0</v>
      </c>
      <c r="K2390">
        <v>1843.0032658205671</v>
      </c>
      <c r="L2390">
        <v>105583.19643936941</v>
      </c>
    </row>
    <row r="2391" spans="1:12" x14ac:dyDescent="0.25">
      <c r="A2391">
        <v>162</v>
      </c>
      <c r="B2391" t="s">
        <v>42</v>
      </c>
      <c r="C2391" t="s">
        <v>36</v>
      </c>
      <c r="D2391" t="s">
        <v>126</v>
      </c>
      <c r="E2391" t="str">
        <f>_xlfn.XLOOKUP(F2391, Keys!B:B, Keys!A:A, "找不到")</f>
        <v>FA</v>
      </c>
      <c r="F2391" t="s">
        <v>63</v>
      </c>
      <c r="G2391">
        <v>0.68517043640964692</v>
      </c>
      <c r="H2391" t="s">
        <v>64</v>
      </c>
      <c r="I2391" t="s">
        <v>65</v>
      </c>
      <c r="J2391">
        <v>0</v>
      </c>
      <c r="K2391">
        <v>208.53246335151309</v>
      </c>
      <c r="L2391">
        <v>2772.797472201788</v>
      </c>
    </row>
    <row r="2392" spans="1:12" x14ac:dyDescent="0.25">
      <c r="A2392">
        <v>163</v>
      </c>
      <c r="B2392" t="s">
        <v>42</v>
      </c>
      <c r="C2392" t="s">
        <v>36</v>
      </c>
      <c r="D2392" t="s">
        <v>126</v>
      </c>
      <c r="E2392" t="str">
        <f>_xlfn.XLOOKUP(F2392, Keys!B:B, Keys!A:A, "找不到")</f>
        <v>FA</v>
      </c>
      <c r="F2392" t="s">
        <v>63</v>
      </c>
      <c r="G2392">
        <v>1.2944952474029261</v>
      </c>
      <c r="H2392" t="s">
        <v>64</v>
      </c>
      <c r="I2392" t="s">
        <v>65</v>
      </c>
      <c r="J2392">
        <v>0</v>
      </c>
      <c r="K2392">
        <v>343.62332259670552</v>
      </c>
      <c r="L2392">
        <v>5238.6573603272927</v>
      </c>
    </row>
    <row r="2393" spans="1:12" x14ac:dyDescent="0.25">
      <c r="A2393">
        <v>164</v>
      </c>
      <c r="B2393" t="s">
        <v>42</v>
      </c>
      <c r="C2393" t="s">
        <v>36</v>
      </c>
      <c r="D2393" t="s">
        <v>126</v>
      </c>
      <c r="E2393" t="str">
        <f>_xlfn.XLOOKUP(F2393, Keys!B:B, Keys!A:A, "找不到")</f>
        <v>FA</v>
      </c>
      <c r="F2393" t="s">
        <v>63</v>
      </c>
      <c r="G2393">
        <v>4.9898643374169422</v>
      </c>
      <c r="H2393" t="s">
        <v>64</v>
      </c>
      <c r="I2393" t="s">
        <v>65</v>
      </c>
      <c r="J2393">
        <v>0</v>
      </c>
      <c r="K2393">
        <v>562.38199054002985</v>
      </c>
      <c r="L2393">
        <v>20193.345314080951</v>
      </c>
    </row>
    <row r="2394" spans="1:12" x14ac:dyDescent="0.25">
      <c r="A2394">
        <v>165</v>
      </c>
      <c r="B2394" t="s">
        <v>42</v>
      </c>
      <c r="C2394" t="s">
        <v>36</v>
      </c>
      <c r="D2394" t="s">
        <v>126</v>
      </c>
      <c r="E2394" t="str">
        <f>_xlfn.XLOOKUP(F2394, Keys!B:B, Keys!A:A, "找不到")</f>
        <v>FA</v>
      </c>
      <c r="F2394" t="s">
        <v>63</v>
      </c>
      <c r="G2394">
        <v>5.2816923748463509</v>
      </c>
      <c r="H2394" t="s">
        <v>64</v>
      </c>
      <c r="I2394" t="s">
        <v>65</v>
      </c>
      <c r="J2394">
        <v>0</v>
      </c>
      <c r="K2394">
        <v>618.15588696545421</v>
      </c>
      <c r="L2394">
        <v>21374.336205547392</v>
      </c>
    </row>
    <row r="2395" spans="1:12" x14ac:dyDescent="0.25">
      <c r="A2395">
        <v>166</v>
      </c>
      <c r="B2395" t="s">
        <v>42</v>
      </c>
      <c r="C2395" t="s">
        <v>36</v>
      </c>
      <c r="D2395" t="s">
        <v>43</v>
      </c>
      <c r="E2395" t="str">
        <f>_xlfn.XLOOKUP(F2395, Keys!B:B, Keys!A:A, "找不到")</f>
        <v>FA</v>
      </c>
      <c r="F2395" t="s">
        <v>63</v>
      </c>
      <c r="G2395">
        <v>9.1382423639211208</v>
      </c>
      <c r="H2395" t="s">
        <v>64</v>
      </c>
      <c r="I2395" t="s">
        <v>65</v>
      </c>
      <c r="J2395" t="s">
        <v>57</v>
      </c>
      <c r="K2395">
        <v>837.24559775963667</v>
      </c>
      <c r="L2395">
        <v>36981.302724944922</v>
      </c>
    </row>
    <row r="2396" spans="1:12" x14ac:dyDescent="0.25">
      <c r="A2396">
        <v>167</v>
      </c>
      <c r="B2396" t="s">
        <v>42</v>
      </c>
      <c r="C2396" t="s">
        <v>36</v>
      </c>
      <c r="D2396" t="s">
        <v>43</v>
      </c>
      <c r="E2396" t="str">
        <f>_xlfn.XLOOKUP(F2396, Keys!B:B, Keys!A:A, "找不到")</f>
        <v>FA</v>
      </c>
      <c r="F2396" t="s">
        <v>63</v>
      </c>
      <c r="G2396">
        <v>2.6275166103006109</v>
      </c>
      <c r="H2396" t="s">
        <v>64</v>
      </c>
      <c r="I2396" t="s">
        <v>65</v>
      </c>
      <c r="J2396" t="s">
        <v>57</v>
      </c>
      <c r="K2396">
        <v>479.32136803106812</v>
      </c>
      <c r="L2396">
        <v>10633.22500221518</v>
      </c>
    </row>
    <row r="2397" spans="1:12" x14ac:dyDescent="0.25">
      <c r="A2397">
        <v>168</v>
      </c>
      <c r="B2397" t="s">
        <v>42</v>
      </c>
      <c r="C2397" t="s">
        <v>36</v>
      </c>
      <c r="D2397" t="s">
        <v>43</v>
      </c>
      <c r="E2397" t="str">
        <f>_xlfn.XLOOKUP(F2397, Keys!B:B, Keys!A:A, "找不到")</f>
        <v>FA</v>
      </c>
      <c r="F2397" t="s">
        <v>63</v>
      </c>
      <c r="G2397">
        <v>1.9865303047378751</v>
      </c>
      <c r="H2397" t="s">
        <v>64</v>
      </c>
      <c r="I2397" t="s">
        <v>65</v>
      </c>
      <c r="J2397" t="s">
        <v>57</v>
      </c>
      <c r="K2397">
        <v>369.22283422829901</v>
      </c>
      <c r="L2397">
        <v>8039.2350789288566</v>
      </c>
    </row>
    <row r="2398" spans="1:12" x14ac:dyDescent="0.25">
      <c r="A2398">
        <v>169</v>
      </c>
      <c r="B2398" t="s">
        <v>42</v>
      </c>
      <c r="C2398" t="s">
        <v>36</v>
      </c>
      <c r="D2398" t="s">
        <v>43</v>
      </c>
      <c r="E2398" t="str">
        <f>_xlfn.XLOOKUP(F2398, Keys!B:B, Keys!A:A, "找不到")</f>
        <v>FA</v>
      </c>
      <c r="F2398" t="s">
        <v>63</v>
      </c>
      <c r="G2398">
        <v>8.2934163844350905</v>
      </c>
      <c r="H2398" t="s">
        <v>64</v>
      </c>
      <c r="I2398" t="s">
        <v>65</v>
      </c>
      <c r="J2398">
        <v>0</v>
      </c>
      <c r="K2398">
        <v>1050.470016852026</v>
      </c>
      <c r="L2398">
        <v>33562.399608452717</v>
      </c>
    </row>
    <row r="2399" spans="1:12" hidden="1" x14ac:dyDescent="0.25">
      <c r="A2399">
        <v>63</v>
      </c>
      <c r="B2399">
        <v>0</v>
      </c>
      <c r="C2399" t="s">
        <v>2606</v>
      </c>
      <c r="D2399">
        <v>0</v>
      </c>
      <c r="E2399" t="str">
        <f>_xlfn.XLOOKUP(F2399, Keys!B:B, Keys!A:A, "找不到")</f>
        <v>PN</v>
      </c>
      <c r="F2399" t="s">
        <v>80</v>
      </c>
      <c r="G2399">
        <v>3.2492793286089539</v>
      </c>
      <c r="H2399" t="s">
        <v>46</v>
      </c>
      <c r="I2399" t="s">
        <v>47</v>
      </c>
      <c r="J2399" t="s">
        <v>2722</v>
      </c>
      <c r="K2399">
        <v>0</v>
      </c>
      <c r="L2399">
        <v>533.62045698086126</v>
      </c>
    </row>
    <row r="2400" spans="1:12" hidden="1" x14ac:dyDescent="0.25">
      <c r="A2400">
        <v>91</v>
      </c>
      <c r="B2400">
        <v>0</v>
      </c>
      <c r="C2400" t="s">
        <v>2606</v>
      </c>
      <c r="D2400">
        <v>0</v>
      </c>
      <c r="E2400" t="str">
        <f>_xlfn.XLOOKUP(F2400, Keys!B:B, Keys!A:A, "找不到")</f>
        <v>PN</v>
      </c>
      <c r="F2400" t="s">
        <v>80</v>
      </c>
      <c r="G2400">
        <v>2.4577232385408418</v>
      </c>
      <c r="H2400" t="s">
        <v>46</v>
      </c>
      <c r="I2400" t="s">
        <v>47</v>
      </c>
      <c r="J2400" t="s">
        <v>2756</v>
      </c>
      <c r="K2400">
        <v>0</v>
      </c>
      <c r="L2400">
        <v>582.02194886650398</v>
      </c>
    </row>
    <row r="2401" spans="1:12" hidden="1" x14ac:dyDescent="0.25">
      <c r="A2401">
        <v>102</v>
      </c>
      <c r="B2401">
        <v>0</v>
      </c>
      <c r="C2401" t="s">
        <v>2606</v>
      </c>
      <c r="D2401">
        <v>0</v>
      </c>
      <c r="E2401" t="str">
        <f>_xlfn.XLOOKUP(F2401, Keys!B:B, Keys!A:A, "找不到")</f>
        <v>PN</v>
      </c>
      <c r="F2401" t="s">
        <v>80</v>
      </c>
      <c r="G2401">
        <v>1.6666132912413441</v>
      </c>
      <c r="H2401" t="s">
        <v>46</v>
      </c>
      <c r="I2401" t="s">
        <v>47</v>
      </c>
      <c r="J2401" t="s">
        <v>57</v>
      </c>
      <c r="K2401">
        <v>0</v>
      </c>
      <c r="L2401">
        <v>391.47461648874258</v>
      </c>
    </row>
    <row r="2402" spans="1:12" hidden="1" x14ac:dyDescent="0.25">
      <c r="A2402">
        <v>387</v>
      </c>
      <c r="B2402">
        <v>0</v>
      </c>
      <c r="C2402" t="s">
        <v>2606</v>
      </c>
      <c r="D2402">
        <v>0</v>
      </c>
      <c r="E2402" t="str">
        <f>_xlfn.XLOOKUP(F2402, Keys!B:B, Keys!A:A, "找不到")</f>
        <v>PN</v>
      </c>
      <c r="F2402" t="s">
        <v>80</v>
      </c>
      <c r="G2402">
        <v>0.711730183066277</v>
      </c>
      <c r="H2402" t="s">
        <v>46</v>
      </c>
      <c r="I2402" t="s">
        <v>47</v>
      </c>
      <c r="J2402" t="s">
        <v>2883</v>
      </c>
      <c r="K2402">
        <v>0</v>
      </c>
      <c r="L2402">
        <v>278.56410711686527</v>
      </c>
    </row>
    <row r="2403" spans="1:12" hidden="1" x14ac:dyDescent="0.25">
      <c r="A2403">
        <v>537</v>
      </c>
      <c r="B2403">
        <v>0</v>
      </c>
      <c r="C2403" t="s">
        <v>2606</v>
      </c>
      <c r="D2403">
        <v>0</v>
      </c>
      <c r="E2403" t="str">
        <f>_xlfn.XLOOKUP(F2403, Keys!B:B, Keys!A:A, "找不到")</f>
        <v>PN</v>
      </c>
      <c r="F2403" t="s">
        <v>80</v>
      </c>
      <c r="G2403">
        <v>0.357953293118286</v>
      </c>
      <c r="H2403" t="s">
        <v>46</v>
      </c>
      <c r="I2403" t="s">
        <v>47</v>
      </c>
      <c r="J2403" t="s">
        <v>57</v>
      </c>
      <c r="K2403">
        <v>0</v>
      </c>
      <c r="L2403">
        <v>176.0403003565273</v>
      </c>
    </row>
    <row r="2404" spans="1:12" hidden="1" x14ac:dyDescent="0.25">
      <c r="A2404">
        <v>1088</v>
      </c>
      <c r="B2404">
        <v>0</v>
      </c>
      <c r="C2404" t="s">
        <v>2606</v>
      </c>
      <c r="D2404">
        <v>0</v>
      </c>
      <c r="E2404" t="str">
        <f>_xlfn.XLOOKUP(F2404, Keys!B:B, Keys!A:A, "找不到")</f>
        <v>PN</v>
      </c>
      <c r="F2404" t="s">
        <v>80</v>
      </c>
      <c r="G2404">
        <v>0.30469305672216163</v>
      </c>
      <c r="H2404" t="s">
        <v>46</v>
      </c>
      <c r="I2404" t="s">
        <v>47</v>
      </c>
      <c r="J2404" t="s">
        <v>2883</v>
      </c>
      <c r="K2404">
        <v>0</v>
      </c>
      <c r="L2404">
        <v>175.30755071722001</v>
      </c>
    </row>
    <row r="2405" spans="1:12" hidden="1" x14ac:dyDescent="0.25">
      <c r="A2405">
        <v>1112</v>
      </c>
      <c r="B2405">
        <v>0</v>
      </c>
      <c r="C2405" t="s">
        <v>2606</v>
      </c>
      <c r="D2405">
        <v>0</v>
      </c>
      <c r="E2405" t="str">
        <f>_xlfn.XLOOKUP(F2405, Keys!B:B, Keys!A:A, "找不到")</f>
        <v>PN</v>
      </c>
      <c r="F2405" t="s">
        <v>80</v>
      </c>
      <c r="G2405">
        <v>0.79614029632030481</v>
      </c>
      <c r="H2405" t="s">
        <v>60</v>
      </c>
      <c r="I2405" t="s">
        <v>66</v>
      </c>
      <c r="J2405" t="s">
        <v>3143</v>
      </c>
      <c r="K2405">
        <v>0</v>
      </c>
      <c r="L2405">
        <v>227.73747888391179</v>
      </c>
    </row>
    <row r="2406" spans="1:12" hidden="1" x14ac:dyDescent="0.25">
      <c r="A2406">
        <v>21</v>
      </c>
      <c r="C2406" t="s">
        <v>3970</v>
      </c>
      <c r="D2406" t="s">
        <v>57</v>
      </c>
      <c r="E2406" t="str">
        <f>_xlfn.XLOOKUP(F2406, Keys!B:B, Keys!A:A, "找不到")</f>
        <v>PN</v>
      </c>
      <c r="F2406" t="s">
        <v>80</v>
      </c>
      <c r="G2406">
        <v>0.5139565842157735</v>
      </c>
      <c r="H2406" t="s">
        <v>46</v>
      </c>
      <c r="I2406" t="s">
        <v>47</v>
      </c>
      <c r="J2406" t="s">
        <v>57</v>
      </c>
      <c r="K2406">
        <v>0</v>
      </c>
      <c r="L2406">
        <v>0</v>
      </c>
    </row>
    <row r="2407" spans="1:12" hidden="1" x14ac:dyDescent="0.25">
      <c r="A2407">
        <v>23</v>
      </c>
      <c r="C2407" t="s">
        <v>3970</v>
      </c>
      <c r="D2407" t="s">
        <v>57</v>
      </c>
      <c r="E2407" t="str">
        <f>_xlfn.XLOOKUP(F2407, Keys!B:B, Keys!A:A, "找不到")</f>
        <v>PN</v>
      </c>
      <c r="F2407" t="s">
        <v>80</v>
      </c>
      <c r="G2407">
        <v>0.45289778875871362</v>
      </c>
      <c r="H2407" t="s">
        <v>46</v>
      </c>
      <c r="I2407" t="s">
        <v>47</v>
      </c>
      <c r="J2407" t="s">
        <v>57</v>
      </c>
      <c r="K2407">
        <v>0</v>
      </c>
      <c r="L2407">
        <v>0</v>
      </c>
    </row>
    <row r="2408" spans="1:12" hidden="1" x14ac:dyDescent="0.25">
      <c r="A2408">
        <v>25</v>
      </c>
      <c r="C2408" t="s">
        <v>3970</v>
      </c>
      <c r="D2408" t="s">
        <v>57</v>
      </c>
      <c r="E2408" t="str">
        <f>_xlfn.XLOOKUP(F2408, Keys!B:B, Keys!A:A, "找不到")</f>
        <v>PN</v>
      </c>
      <c r="F2408" t="s">
        <v>80</v>
      </c>
      <c r="G2408">
        <v>1.302078290422948</v>
      </c>
      <c r="H2408" t="s">
        <v>46</v>
      </c>
      <c r="I2408" t="s">
        <v>47</v>
      </c>
      <c r="J2408" t="s">
        <v>57</v>
      </c>
      <c r="K2408">
        <v>0</v>
      </c>
      <c r="L2408">
        <v>0</v>
      </c>
    </row>
    <row r="2409" spans="1:12" hidden="1" x14ac:dyDescent="0.25">
      <c r="A2409">
        <v>26</v>
      </c>
      <c r="C2409" t="s">
        <v>3970</v>
      </c>
      <c r="D2409" t="s">
        <v>57</v>
      </c>
      <c r="E2409" t="str">
        <f>_xlfn.XLOOKUP(F2409, Keys!B:B, Keys!A:A, "找不到")</f>
        <v>PN</v>
      </c>
      <c r="F2409" t="s">
        <v>80</v>
      </c>
      <c r="G2409">
        <v>0.31838101301533422</v>
      </c>
      <c r="H2409" t="s">
        <v>46</v>
      </c>
      <c r="I2409" t="s">
        <v>47</v>
      </c>
      <c r="J2409" t="s">
        <v>57</v>
      </c>
      <c r="K2409">
        <v>0</v>
      </c>
      <c r="L2409">
        <v>0</v>
      </c>
    </row>
    <row r="2410" spans="1:12" hidden="1" x14ac:dyDescent="0.25">
      <c r="A2410">
        <v>27</v>
      </c>
      <c r="C2410" t="s">
        <v>3970</v>
      </c>
      <c r="D2410" t="s">
        <v>57</v>
      </c>
      <c r="E2410" t="str">
        <f>_xlfn.XLOOKUP(F2410, Keys!B:B, Keys!A:A, "找不到")</f>
        <v>PN</v>
      </c>
      <c r="F2410" t="s">
        <v>80</v>
      </c>
      <c r="G2410">
        <v>1.5686710720582819</v>
      </c>
      <c r="H2410" t="s">
        <v>46</v>
      </c>
      <c r="I2410" t="s">
        <v>47</v>
      </c>
      <c r="J2410" t="s">
        <v>57</v>
      </c>
      <c r="K2410">
        <v>0</v>
      </c>
      <c r="L2410">
        <v>0</v>
      </c>
    </row>
    <row r="2411" spans="1:12" hidden="1" x14ac:dyDescent="0.25">
      <c r="A2411">
        <v>28</v>
      </c>
      <c r="C2411" t="s">
        <v>3970</v>
      </c>
      <c r="D2411" t="s">
        <v>57</v>
      </c>
      <c r="E2411" t="str">
        <f>_xlfn.XLOOKUP(F2411, Keys!B:B, Keys!A:A, "找不到")</f>
        <v>PN</v>
      </c>
      <c r="F2411" t="s">
        <v>80</v>
      </c>
      <c r="G2411">
        <v>3.3557467920067161</v>
      </c>
      <c r="H2411" t="s">
        <v>46</v>
      </c>
      <c r="I2411" t="s">
        <v>47</v>
      </c>
      <c r="J2411" t="s">
        <v>57</v>
      </c>
      <c r="K2411">
        <v>0</v>
      </c>
      <c r="L2411">
        <v>0</v>
      </c>
    </row>
    <row r="2412" spans="1:12" hidden="1" x14ac:dyDescent="0.25">
      <c r="A2412">
        <v>29</v>
      </c>
      <c r="C2412" t="s">
        <v>3970</v>
      </c>
      <c r="D2412" t="s">
        <v>57</v>
      </c>
      <c r="E2412" t="str">
        <f>_xlfn.XLOOKUP(F2412, Keys!B:B, Keys!A:A, "找不到")</f>
        <v>PN</v>
      </c>
      <c r="F2412" t="s">
        <v>80</v>
      </c>
      <c r="G2412">
        <v>1.858294164741074</v>
      </c>
      <c r="H2412" t="s">
        <v>46</v>
      </c>
      <c r="I2412" t="s">
        <v>47</v>
      </c>
      <c r="J2412" t="s">
        <v>57</v>
      </c>
      <c r="K2412">
        <v>0</v>
      </c>
      <c r="L2412">
        <v>0</v>
      </c>
    </row>
    <row r="2413" spans="1:12" hidden="1" x14ac:dyDescent="0.25">
      <c r="A2413">
        <v>30</v>
      </c>
      <c r="C2413" t="s">
        <v>3970</v>
      </c>
      <c r="D2413" t="s">
        <v>57</v>
      </c>
      <c r="E2413" t="str">
        <f>_xlfn.XLOOKUP(F2413, Keys!B:B, Keys!A:A, "找不到")</f>
        <v>PN</v>
      </c>
      <c r="F2413" t="s">
        <v>80</v>
      </c>
      <c r="G2413">
        <v>11.43200846210544</v>
      </c>
      <c r="H2413" t="s">
        <v>46</v>
      </c>
      <c r="I2413" t="s">
        <v>47</v>
      </c>
      <c r="J2413" t="s">
        <v>57</v>
      </c>
      <c r="K2413">
        <v>0</v>
      </c>
      <c r="L2413">
        <v>0</v>
      </c>
    </row>
    <row r="2414" spans="1:12" hidden="1" x14ac:dyDescent="0.25">
      <c r="A2414">
        <v>32</v>
      </c>
      <c r="C2414" t="s">
        <v>3970</v>
      </c>
      <c r="D2414" t="s">
        <v>57</v>
      </c>
      <c r="E2414" t="str">
        <f>_xlfn.XLOOKUP(F2414, Keys!B:B, Keys!A:A, "找不到")</f>
        <v>PN</v>
      </c>
      <c r="F2414" t="s">
        <v>80</v>
      </c>
      <c r="G2414">
        <v>5.6182381975351117</v>
      </c>
      <c r="H2414" t="s">
        <v>46</v>
      </c>
      <c r="I2414" t="s">
        <v>47</v>
      </c>
      <c r="J2414" t="s">
        <v>57</v>
      </c>
      <c r="K2414">
        <v>0</v>
      </c>
      <c r="L2414">
        <v>0</v>
      </c>
    </row>
    <row r="2415" spans="1:12" hidden="1" x14ac:dyDescent="0.25">
      <c r="A2415">
        <v>33</v>
      </c>
      <c r="C2415" t="s">
        <v>3970</v>
      </c>
      <c r="D2415" t="s">
        <v>57</v>
      </c>
      <c r="E2415" t="str">
        <f>_xlfn.XLOOKUP(F2415, Keys!B:B, Keys!A:A, "找不到")</f>
        <v>PN</v>
      </c>
      <c r="F2415" t="s">
        <v>80</v>
      </c>
      <c r="G2415">
        <v>1.918746054947559</v>
      </c>
      <c r="H2415" t="s">
        <v>46</v>
      </c>
      <c r="I2415" t="s">
        <v>47</v>
      </c>
      <c r="J2415" t="s">
        <v>57</v>
      </c>
      <c r="K2415">
        <v>0</v>
      </c>
      <c r="L2415">
        <v>0</v>
      </c>
    </row>
    <row r="2416" spans="1:12" hidden="1" x14ac:dyDescent="0.25">
      <c r="A2416">
        <v>34</v>
      </c>
      <c r="C2416" t="s">
        <v>3970</v>
      </c>
      <c r="D2416" t="s">
        <v>57</v>
      </c>
      <c r="E2416" t="str">
        <f>_xlfn.XLOOKUP(F2416, Keys!B:B, Keys!A:A, "找不到")</f>
        <v>PN</v>
      </c>
      <c r="F2416" t="s">
        <v>80</v>
      </c>
      <c r="G2416">
        <v>1.227596503161039</v>
      </c>
      <c r="H2416" t="s">
        <v>46</v>
      </c>
      <c r="I2416" t="s">
        <v>47</v>
      </c>
      <c r="J2416" t="s">
        <v>57</v>
      </c>
      <c r="K2416">
        <v>0</v>
      </c>
      <c r="L2416">
        <v>0</v>
      </c>
    </row>
    <row r="2417" spans="1:12" hidden="1" x14ac:dyDescent="0.25">
      <c r="A2417">
        <v>35</v>
      </c>
      <c r="C2417" t="s">
        <v>3970</v>
      </c>
      <c r="D2417" t="s">
        <v>57</v>
      </c>
      <c r="E2417" t="str">
        <f>_xlfn.XLOOKUP(F2417, Keys!B:B, Keys!A:A, "找不到")</f>
        <v>PN</v>
      </c>
      <c r="F2417" t="s">
        <v>80</v>
      </c>
      <c r="G2417">
        <v>3.7036558286413701</v>
      </c>
      <c r="H2417" t="s">
        <v>46</v>
      </c>
      <c r="I2417" t="s">
        <v>47</v>
      </c>
      <c r="J2417" t="s">
        <v>57</v>
      </c>
      <c r="K2417">
        <v>0</v>
      </c>
      <c r="L2417">
        <v>0</v>
      </c>
    </row>
    <row r="2418" spans="1:12" hidden="1" x14ac:dyDescent="0.25">
      <c r="A2418">
        <v>37</v>
      </c>
      <c r="C2418" t="s">
        <v>3970</v>
      </c>
      <c r="D2418">
        <v>0</v>
      </c>
      <c r="E2418" t="str">
        <f>_xlfn.XLOOKUP(F2418, Keys!B:B, Keys!A:A, "找不到")</f>
        <v>PN</v>
      </c>
      <c r="F2418" t="s">
        <v>80</v>
      </c>
      <c r="G2418">
        <v>5.3074515020949216</v>
      </c>
      <c r="H2418" t="s">
        <v>46</v>
      </c>
      <c r="I2418" t="s">
        <v>47</v>
      </c>
      <c r="J2418" t="s">
        <v>57</v>
      </c>
      <c r="K2418">
        <v>0</v>
      </c>
      <c r="L2418">
        <v>0</v>
      </c>
    </row>
    <row r="2419" spans="1:12" hidden="1" x14ac:dyDescent="0.25">
      <c r="A2419">
        <v>38</v>
      </c>
      <c r="C2419" t="s">
        <v>3970</v>
      </c>
      <c r="D2419" t="s">
        <v>57</v>
      </c>
      <c r="E2419" t="str">
        <f>_xlfn.XLOOKUP(F2419, Keys!B:B, Keys!A:A, "找不到")</f>
        <v>PN</v>
      </c>
      <c r="F2419" t="s">
        <v>80</v>
      </c>
      <c r="G2419">
        <v>1.006053797203065</v>
      </c>
      <c r="H2419" t="s">
        <v>46</v>
      </c>
      <c r="I2419" t="s">
        <v>47</v>
      </c>
      <c r="J2419" t="s">
        <v>57</v>
      </c>
      <c r="K2419">
        <v>0</v>
      </c>
      <c r="L2419">
        <v>0</v>
      </c>
    </row>
    <row r="2420" spans="1:12" hidden="1" x14ac:dyDescent="0.25">
      <c r="A2420">
        <v>46</v>
      </c>
      <c r="C2420" t="s">
        <v>3970</v>
      </c>
      <c r="D2420" t="s">
        <v>57</v>
      </c>
      <c r="E2420" t="str">
        <f>_xlfn.XLOOKUP(F2420, Keys!B:B, Keys!A:A, "找不到")</f>
        <v>PN</v>
      </c>
      <c r="F2420" t="s">
        <v>80</v>
      </c>
      <c r="G2420">
        <v>1.854229586964586</v>
      </c>
      <c r="H2420" t="s">
        <v>46</v>
      </c>
      <c r="I2420" t="s">
        <v>47</v>
      </c>
      <c r="J2420" t="s">
        <v>57</v>
      </c>
      <c r="K2420">
        <v>0</v>
      </c>
      <c r="L2420">
        <v>0</v>
      </c>
    </row>
    <row r="2421" spans="1:12" hidden="1" x14ac:dyDescent="0.25">
      <c r="A2421">
        <v>47</v>
      </c>
      <c r="C2421" t="s">
        <v>3970</v>
      </c>
      <c r="D2421" t="s">
        <v>57</v>
      </c>
      <c r="E2421" t="str">
        <f>_xlfn.XLOOKUP(F2421, Keys!B:B, Keys!A:A, "找不到")</f>
        <v>PN</v>
      </c>
      <c r="F2421" t="s">
        <v>80</v>
      </c>
      <c r="G2421">
        <v>2.496674111230103</v>
      </c>
      <c r="H2421" t="s">
        <v>46</v>
      </c>
      <c r="I2421" t="s">
        <v>47</v>
      </c>
      <c r="J2421" t="s">
        <v>57</v>
      </c>
      <c r="K2421">
        <v>0</v>
      </c>
      <c r="L2421">
        <v>0</v>
      </c>
    </row>
    <row r="2422" spans="1:12" hidden="1" x14ac:dyDescent="0.25">
      <c r="A2422">
        <v>50</v>
      </c>
      <c r="C2422" t="s">
        <v>3970</v>
      </c>
      <c r="D2422" t="s">
        <v>57</v>
      </c>
      <c r="E2422" t="str">
        <f>_xlfn.XLOOKUP(F2422, Keys!B:B, Keys!A:A, "找不到")</f>
        <v>PN</v>
      </c>
      <c r="F2422" t="s">
        <v>80</v>
      </c>
      <c r="G2422">
        <v>2.588341140926206</v>
      </c>
      <c r="H2422" t="s">
        <v>46</v>
      </c>
      <c r="I2422" t="s">
        <v>47</v>
      </c>
      <c r="J2422" t="s">
        <v>57</v>
      </c>
      <c r="K2422">
        <v>0</v>
      </c>
      <c r="L2422">
        <v>0</v>
      </c>
    </row>
    <row r="2423" spans="1:12" hidden="1" x14ac:dyDescent="0.25">
      <c r="A2423">
        <v>52</v>
      </c>
      <c r="C2423" t="s">
        <v>3970</v>
      </c>
      <c r="D2423" t="s">
        <v>57</v>
      </c>
      <c r="E2423" t="str">
        <f>_xlfn.XLOOKUP(F2423, Keys!B:B, Keys!A:A, "找不到")</f>
        <v>PN</v>
      </c>
      <c r="F2423" t="s">
        <v>80</v>
      </c>
      <c r="G2423">
        <v>2.7445469074535258</v>
      </c>
      <c r="H2423" t="s">
        <v>46</v>
      </c>
      <c r="I2423" t="s">
        <v>47</v>
      </c>
      <c r="J2423" t="s">
        <v>57</v>
      </c>
      <c r="K2423">
        <v>0</v>
      </c>
      <c r="L2423">
        <v>0</v>
      </c>
    </row>
    <row r="2424" spans="1:12" hidden="1" x14ac:dyDescent="0.25">
      <c r="A2424">
        <v>53</v>
      </c>
      <c r="C2424" t="s">
        <v>3970</v>
      </c>
      <c r="D2424" t="s">
        <v>57</v>
      </c>
      <c r="E2424" t="str">
        <f>_xlfn.XLOOKUP(F2424, Keys!B:B, Keys!A:A, "找不到")</f>
        <v>PN</v>
      </c>
      <c r="F2424" t="s">
        <v>80</v>
      </c>
      <c r="G2424">
        <v>5.3217212281249644</v>
      </c>
      <c r="H2424" t="s">
        <v>46</v>
      </c>
      <c r="I2424" t="s">
        <v>47</v>
      </c>
      <c r="J2424" t="s">
        <v>57</v>
      </c>
      <c r="K2424">
        <v>0</v>
      </c>
      <c r="L2424">
        <v>0</v>
      </c>
    </row>
    <row r="2425" spans="1:12" hidden="1" x14ac:dyDescent="0.25">
      <c r="A2425">
        <v>54</v>
      </c>
      <c r="C2425" t="s">
        <v>3970</v>
      </c>
      <c r="D2425" t="s">
        <v>57</v>
      </c>
      <c r="E2425" t="str">
        <f>_xlfn.XLOOKUP(F2425, Keys!B:B, Keys!A:A, "找不到")</f>
        <v>PN</v>
      </c>
      <c r="F2425" t="s">
        <v>80</v>
      </c>
      <c r="G2425">
        <v>0.66721938731641339</v>
      </c>
      <c r="H2425" t="s">
        <v>46</v>
      </c>
      <c r="I2425" t="s">
        <v>47</v>
      </c>
      <c r="J2425" t="s">
        <v>57</v>
      </c>
      <c r="K2425">
        <v>0</v>
      </c>
      <c r="L2425">
        <v>0</v>
      </c>
    </row>
    <row r="2426" spans="1:12" hidden="1" x14ac:dyDescent="0.25">
      <c r="A2426">
        <v>55</v>
      </c>
      <c r="C2426" t="s">
        <v>3970</v>
      </c>
      <c r="D2426" t="s">
        <v>57</v>
      </c>
      <c r="E2426" t="str">
        <f>_xlfn.XLOOKUP(F2426, Keys!B:B, Keys!A:A, "找不到")</f>
        <v>PN</v>
      </c>
      <c r="F2426" t="s">
        <v>80</v>
      </c>
      <c r="G2426">
        <v>2.7715478769942838</v>
      </c>
      <c r="H2426" t="s">
        <v>46</v>
      </c>
      <c r="I2426" t="s">
        <v>47</v>
      </c>
      <c r="J2426" t="s">
        <v>57</v>
      </c>
      <c r="K2426">
        <v>0</v>
      </c>
      <c r="L2426">
        <v>0</v>
      </c>
    </row>
    <row r="2427" spans="1:12" hidden="1" x14ac:dyDescent="0.25">
      <c r="A2427">
        <v>56</v>
      </c>
      <c r="C2427" t="s">
        <v>3970</v>
      </c>
      <c r="D2427" t="s">
        <v>57</v>
      </c>
      <c r="E2427" t="str">
        <f>_xlfn.XLOOKUP(F2427, Keys!B:B, Keys!A:A, "找不到")</f>
        <v>PN</v>
      </c>
      <c r="F2427" t="s">
        <v>80</v>
      </c>
      <c r="G2427">
        <v>1.361596778685717</v>
      </c>
      <c r="H2427" t="s">
        <v>46</v>
      </c>
      <c r="I2427" t="s">
        <v>47</v>
      </c>
      <c r="J2427" t="s">
        <v>57</v>
      </c>
      <c r="K2427">
        <v>0</v>
      </c>
      <c r="L2427">
        <v>0</v>
      </c>
    </row>
    <row r="2428" spans="1:12" hidden="1" x14ac:dyDescent="0.25">
      <c r="A2428">
        <v>57</v>
      </c>
      <c r="C2428" t="s">
        <v>3970</v>
      </c>
      <c r="D2428" t="s">
        <v>57</v>
      </c>
      <c r="E2428" t="str">
        <f>_xlfn.XLOOKUP(F2428, Keys!B:B, Keys!A:A, "找不到")</f>
        <v>PN</v>
      </c>
      <c r="F2428" t="s">
        <v>80</v>
      </c>
      <c r="G2428">
        <v>0.92489704030091702</v>
      </c>
      <c r="H2428" t="s">
        <v>46</v>
      </c>
      <c r="I2428" t="s">
        <v>47</v>
      </c>
      <c r="J2428" t="s">
        <v>57</v>
      </c>
      <c r="K2428">
        <v>0</v>
      </c>
      <c r="L2428">
        <v>0</v>
      </c>
    </row>
    <row r="2429" spans="1:12" hidden="1" x14ac:dyDescent="0.25">
      <c r="A2429">
        <v>58</v>
      </c>
      <c r="C2429" t="s">
        <v>3970</v>
      </c>
      <c r="D2429" t="s">
        <v>57</v>
      </c>
      <c r="E2429" t="str">
        <f>_xlfn.XLOOKUP(F2429, Keys!B:B, Keys!A:A, "找不到")</f>
        <v>PN</v>
      </c>
      <c r="F2429" t="s">
        <v>80</v>
      </c>
      <c r="G2429">
        <v>0.92436111660617448</v>
      </c>
      <c r="H2429" t="s">
        <v>46</v>
      </c>
      <c r="I2429" t="s">
        <v>47</v>
      </c>
      <c r="J2429" t="s">
        <v>57</v>
      </c>
      <c r="K2429">
        <v>0</v>
      </c>
      <c r="L2429">
        <v>0</v>
      </c>
    </row>
    <row r="2430" spans="1:12" hidden="1" x14ac:dyDescent="0.25">
      <c r="A2430">
        <v>59</v>
      </c>
      <c r="C2430" t="s">
        <v>3970</v>
      </c>
      <c r="D2430" t="s">
        <v>57</v>
      </c>
      <c r="E2430" t="str">
        <f>_xlfn.XLOOKUP(F2430, Keys!B:B, Keys!A:A, "找不到")</f>
        <v>PN</v>
      </c>
      <c r="F2430" t="s">
        <v>80</v>
      </c>
      <c r="G2430">
        <v>3.2144585294596322</v>
      </c>
      <c r="H2430" t="s">
        <v>46</v>
      </c>
      <c r="I2430" t="s">
        <v>47</v>
      </c>
      <c r="J2430" t="s">
        <v>57</v>
      </c>
      <c r="K2430">
        <v>0</v>
      </c>
      <c r="L2430">
        <v>0</v>
      </c>
    </row>
    <row r="2431" spans="1:12" hidden="1" x14ac:dyDescent="0.25">
      <c r="A2431">
        <v>60</v>
      </c>
      <c r="C2431" t="s">
        <v>3970</v>
      </c>
      <c r="D2431">
        <v>0</v>
      </c>
      <c r="E2431" t="str">
        <f>_xlfn.XLOOKUP(F2431, Keys!B:B, Keys!A:A, "找不到")</f>
        <v>PN</v>
      </c>
      <c r="F2431" t="s">
        <v>80</v>
      </c>
      <c r="G2431">
        <v>5.7927811909854858</v>
      </c>
      <c r="H2431" t="s">
        <v>46</v>
      </c>
      <c r="I2431" t="s">
        <v>47</v>
      </c>
      <c r="J2431" t="s">
        <v>57</v>
      </c>
      <c r="K2431">
        <v>0</v>
      </c>
      <c r="L2431">
        <v>0</v>
      </c>
    </row>
    <row r="2432" spans="1:12" hidden="1" x14ac:dyDescent="0.25">
      <c r="A2432">
        <v>62</v>
      </c>
      <c r="C2432" t="s">
        <v>3970</v>
      </c>
      <c r="D2432" t="s">
        <v>57</v>
      </c>
      <c r="E2432" t="str">
        <f>_xlfn.XLOOKUP(F2432, Keys!B:B, Keys!A:A, "找不到")</f>
        <v>PN</v>
      </c>
      <c r="F2432" t="s">
        <v>80</v>
      </c>
      <c r="G2432">
        <v>0.1848440571516817</v>
      </c>
      <c r="H2432" t="s">
        <v>46</v>
      </c>
      <c r="I2432" t="s">
        <v>47</v>
      </c>
      <c r="J2432" t="s">
        <v>4086</v>
      </c>
      <c r="K2432">
        <v>0</v>
      </c>
      <c r="L2432">
        <v>0</v>
      </c>
    </row>
    <row r="2433" spans="1:12" hidden="1" x14ac:dyDescent="0.25">
      <c r="A2433">
        <v>63</v>
      </c>
      <c r="C2433" t="s">
        <v>3970</v>
      </c>
      <c r="D2433" t="s">
        <v>57</v>
      </c>
      <c r="E2433" t="str">
        <f>_xlfn.XLOOKUP(F2433, Keys!B:B, Keys!A:A, "找不到")</f>
        <v>PN</v>
      </c>
      <c r="F2433" t="s">
        <v>80</v>
      </c>
      <c r="G2433">
        <v>16.07364748849734</v>
      </c>
      <c r="H2433" t="s">
        <v>46</v>
      </c>
      <c r="I2433" t="s">
        <v>47</v>
      </c>
      <c r="J2433" t="s">
        <v>57</v>
      </c>
      <c r="K2433">
        <v>0</v>
      </c>
      <c r="L2433">
        <v>0</v>
      </c>
    </row>
    <row r="2434" spans="1:12" hidden="1" x14ac:dyDescent="0.25">
      <c r="A2434">
        <v>65</v>
      </c>
      <c r="C2434" t="s">
        <v>3970</v>
      </c>
      <c r="D2434" t="s">
        <v>57</v>
      </c>
      <c r="E2434" t="str">
        <f>_xlfn.XLOOKUP(F2434, Keys!B:B, Keys!A:A, "找不到")</f>
        <v>PN</v>
      </c>
      <c r="F2434" t="s">
        <v>80</v>
      </c>
      <c r="G2434">
        <v>3.7972199193656202</v>
      </c>
      <c r="H2434" t="s">
        <v>46</v>
      </c>
      <c r="I2434" t="s">
        <v>47</v>
      </c>
      <c r="J2434" t="s">
        <v>57</v>
      </c>
      <c r="K2434">
        <v>0</v>
      </c>
      <c r="L2434">
        <v>0</v>
      </c>
    </row>
    <row r="2435" spans="1:12" hidden="1" x14ac:dyDescent="0.25">
      <c r="A2435">
        <v>68</v>
      </c>
      <c r="C2435" t="s">
        <v>3970</v>
      </c>
      <c r="D2435" t="s">
        <v>57</v>
      </c>
      <c r="E2435" t="str">
        <f>_xlfn.XLOOKUP(F2435, Keys!B:B, Keys!A:A, "找不到")</f>
        <v>PN</v>
      </c>
      <c r="F2435" t="s">
        <v>80</v>
      </c>
      <c r="G2435">
        <v>1.1139056214355809</v>
      </c>
      <c r="H2435" t="s">
        <v>46</v>
      </c>
      <c r="I2435" t="s">
        <v>47</v>
      </c>
      <c r="J2435" t="s">
        <v>57</v>
      </c>
      <c r="K2435">
        <v>0</v>
      </c>
      <c r="L2435">
        <v>0</v>
      </c>
    </row>
    <row r="2436" spans="1:12" hidden="1" x14ac:dyDescent="0.25">
      <c r="A2436">
        <v>69</v>
      </c>
      <c r="C2436" t="s">
        <v>3970</v>
      </c>
      <c r="D2436" t="s">
        <v>57</v>
      </c>
      <c r="E2436" t="str">
        <f>_xlfn.XLOOKUP(F2436, Keys!B:B, Keys!A:A, "找不到")</f>
        <v>PN</v>
      </c>
      <c r="F2436" t="s">
        <v>80</v>
      </c>
      <c r="G2436">
        <v>6.472892821424586</v>
      </c>
      <c r="H2436" t="s">
        <v>46</v>
      </c>
      <c r="I2436" t="s">
        <v>47</v>
      </c>
      <c r="J2436" t="s">
        <v>57</v>
      </c>
      <c r="K2436">
        <v>0</v>
      </c>
      <c r="L2436">
        <v>0</v>
      </c>
    </row>
    <row r="2437" spans="1:12" hidden="1" x14ac:dyDescent="0.25">
      <c r="A2437">
        <v>70</v>
      </c>
      <c r="C2437" t="s">
        <v>3970</v>
      </c>
      <c r="D2437" t="s">
        <v>57</v>
      </c>
      <c r="E2437" t="str">
        <f>_xlfn.XLOOKUP(F2437, Keys!B:B, Keys!A:A, "找不到")</f>
        <v>PN</v>
      </c>
      <c r="F2437" t="s">
        <v>80</v>
      </c>
      <c r="G2437">
        <v>6.6873867689080706</v>
      </c>
      <c r="H2437" t="s">
        <v>46</v>
      </c>
      <c r="I2437" t="s">
        <v>47</v>
      </c>
      <c r="J2437" t="s">
        <v>57</v>
      </c>
      <c r="K2437">
        <v>0</v>
      </c>
      <c r="L2437">
        <v>0</v>
      </c>
    </row>
    <row r="2438" spans="1:12" hidden="1" x14ac:dyDescent="0.25">
      <c r="A2438">
        <v>71</v>
      </c>
      <c r="C2438" t="s">
        <v>3970</v>
      </c>
      <c r="D2438" t="s">
        <v>57</v>
      </c>
      <c r="E2438" t="str">
        <f>_xlfn.XLOOKUP(F2438, Keys!B:B, Keys!A:A, "找不到")</f>
        <v>PN</v>
      </c>
      <c r="F2438" t="s">
        <v>80</v>
      </c>
      <c r="G2438">
        <v>12.84232891439774</v>
      </c>
      <c r="H2438" t="s">
        <v>46</v>
      </c>
      <c r="I2438" t="s">
        <v>47</v>
      </c>
      <c r="J2438" t="s">
        <v>57</v>
      </c>
      <c r="K2438">
        <v>0</v>
      </c>
      <c r="L2438">
        <v>0</v>
      </c>
    </row>
    <row r="2439" spans="1:12" hidden="1" x14ac:dyDescent="0.25">
      <c r="A2439">
        <v>142</v>
      </c>
      <c r="C2439" t="s">
        <v>3970</v>
      </c>
      <c r="D2439">
        <v>0</v>
      </c>
      <c r="E2439" t="str">
        <f>_xlfn.XLOOKUP(F2439, Keys!B:B, Keys!A:A, "找不到")</f>
        <v>PN</v>
      </c>
      <c r="F2439" t="s">
        <v>80</v>
      </c>
      <c r="G2439">
        <v>10.906796422881721</v>
      </c>
      <c r="H2439" t="s">
        <v>46</v>
      </c>
      <c r="I2439" t="s">
        <v>47</v>
      </c>
      <c r="J2439" t="s">
        <v>2621</v>
      </c>
      <c r="K2439">
        <v>0</v>
      </c>
      <c r="L2439">
        <v>0</v>
      </c>
    </row>
    <row r="2440" spans="1:12" hidden="1" x14ac:dyDescent="0.25">
      <c r="A2440">
        <v>145</v>
      </c>
      <c r="C2440" t="s">
        <v>3970</v>
      </c>
      <c r="D2440">
        <v>0</v>
      </c>
      <c r="E2440" t="str">
        <f>_xlfn.XLOOKUP(F2440, Keys!B:B, Keys!A:A, "找不到")</f>
        <v>PN</v>
      </c>
      <c r="F2440" t="s">
        <v>80</v>
      </c>
      <c r="G2440">
        <v>0.60855661617292145</v>
      </c>
      <c r="H2440" t="s">
        <v>46</v>
      </c>
      <c r="I2440" t="s">
        <v>47</v>
      </c>
      <c r="J2440">
        <v>0</v>
      </c>
      <c r="K2440">
        <v>0</v>
      </c>
      <c r="L2440">
        <v>0</v>
      </c>
    </row>
    <row r="2441" spans="1:12" hidden="1" x14ac:dyDescent="0.25">
      <c r="A2441">
        <v>167</v>
      </c>
      <c r="C2441" t="s">
        <v>3970</v>
      </c>
      <c r="D2441">
        <v>0</v>
      </c>
      <c r="E2441" t="str">
        <f>_xlfn.XLOOKUP(F2441, Keys!B:B, Keys!A:A, "找不到")</f>
        <v>PN</v>
      </c>
      <c r="F2441" t="s">
        <v>80</v>
      </c>
      <c r="G2441">
        <v>0.25826663543792833</v>
      </c>
      <c r="H2441" t="s">
        <v>46</v>
      </c>
      <c r="I2441" t="s">
        <v>47</v>
      </c>
      <c r="J2441" t="s">
        <v>2621</v>
      </c>
      <c r="K2441">
        <v>0</v>
      </c>
      <c r="L2441">
        <v>0</v>
      </c>
    </row>
    <row r="2442" spans="1:12" hidden="1" x14ac:dyDescent="0.25">
      <c r="A2442">
        <v>177</v>
      </c>
      <c r="C2442" t="s">
        <v>3970</v>
      </c>
      <c r="D2442">
        <v>0</v>
      </c>
      <c r="E2442" t="str">
        <f>_xlfn.XLOOKUP(F2442, Keys!B:B, Keys!A:A, "找不到")</f>
        <v>PN</v>
      </c>
      <c r="F2442" t="s">
        <v>80</v>
      </c>
      <c r="G2442">
        <v>5.7927811909854858</v>
      </c>
      <c r="H2442" t="s">
        <v>46</v>
      </c>
      <c r="I2442" t="s">
        <v>47</v>
      </c>
      <c r="J2442" t="s">
        <v>57</v>
      </c>
      <c r="K2442">
        <v>0</v>
      </c>
      <c r="L2442">
        <v>0</v>
      </c>
    </row>
    <row r="2443" spans="1:12" hidden="1" x14ac:dyDescent="0.25">
      <c r="A2443">
        <v>181</v>
      </c>
      <c r="C2443" t="s">
        <v>3970</v>
      </c>
      <c r="D2443">
        <v>0</v>
      </c>
      <c r="E2443" t="str">
        <f>_xlfn.XLOOKUP(F2443, Keys!B:B, Keys!A:A, "找不到")</f>
        <v>PN</v>
      </c>
      <c r="F2443" t="s">
        <v>80</v>
      </c>
      <c r="G2443">
        <v>0.45122519542249362</v>
      </c>
      <c r="H2443" t="s">
        <v>46</v>
      </c>
      <c r="I2443" t="s">
        <v>47</v>
      </c>
      <c r="J2443">
        <v>0</v>
      </c>
      <c r="K2443">
        <v>0</v>
      </c>
      <c r="L2443">
        <v>0</v>
      </c>
    </row>
    <row r="2444" spans="1:12" hidden="1" x14ac:dyDescent="0.25">
      <c r="A2444">
        <v>72</v>
      </c>
      <c r="C2444" t="s">
        <v>3970</v>
      </c>
      <c r="D2444" t="s">
        <v>57</v>
      </c>
      <c r="E2444" t="str">
        <f>_xlfn.XLOOKUP(F2444, Keys!B:B, Keys!A:A, "找不到")</f>
        <v>PN</v>
      </c>
      <c r="F2444" t="s">
        <v>80</v>
      </c>
      <c r="G2444">
        <v>2.202242551548987</v>
      </c>
      <c r="H2444" t="s">
        <v>75</v>
      </c>
      <c r="I2444" t="s">
        <v>83</v>
      </c>
      <c r="J2444" t="s">
        <v>57</v>
      </c>
      <c r="K2444">
        <v>0</v>
      </c>
      <c r="L2444">
        <v>0</v>
      </c>
    </row>
    <row r="2445" spans="1:12" hidden="1" x14ac:dyDescent="0.25">
      <c r="A2445">
        <v>73</v>
      </c>
      <c r="C2445" t="s">
        <v>3970</v>
      </c>
      <c r="D2445" t="s">
        <v>57</v>
      </c>
      <c r="E2445" t="str">
        <f>_xlfn.XLOOKUP(F2445, Keys!B:B, Keys!A:A, "找不到")</f>
        <v>PN</v>
      </c>
      <c r="F2445" t="s">
        <v>80</v>
      </c>
      <c r="G2445">
        <v>3.4234663019531961</v>
      </c>
      <c r="H2445" t="s">
        <v>75</v>
      </c>
      <c r="I2445" t="s">
        <v>83</v>
      </c>
      <c r="J2445" t="s">
        <v>57</v>
      </c>
      <c r="K2445">
        <v>0</v>
      </c>
      <c r="L2445">
        <v>0</v>
      </c>
    </row>
    <row r="2446" spans="1:12" hidden="1" x14ac:dyDescent="0.25">
      <c r="A2446">
        <v>76</v>
      </c>
      <c r="C2446" t="s">
        <v>3970</v>
      </c>
      <c r="D2446" t="s">
        <v>57</v>
      </c>
      <c r="E2446" t="str">
        <f>_xlfn.XLOOKUP(F2446, Keys!B:B, Keys!A:A, "找不到")</f>
        <v>PN</v>
      </c>
      <c r="F2446" t="s">
        <v>80</v>
      </c>
      <c r="G2446">
        <v>10.162920966551219</v>
      </c>
      <c r="H2446" t="s">
        <v>75</v>
      </c>
      <c r="I2446" t="s">
        <v>83</v>
      </c>
      <c r="J2446" t="s">
        <v>57</v>
      </c>
      <c r="K2446">
        <v>0</v>
      </c>
      <c r="L2446">
        <v>0</v>
      </c>
    </row>
    <row r="2447" spans="1:12" hidden="1" x14ac:dyDescent="0.25">
      <c r="A2447">
        <v>78</v>
      </c>
      <c r="C2447" t="s">
        <v>3970</v>
      </c>
      <c r="D2447" t="s">
        <v>57</v>
      </c>
      <c r="E2447" t="str">
        <f>_xlfn.XLOOKUP(F2447, Keys!B:B, Keys!A:A, "找不到")</f>
        <v>PN</v>
      </c>
      <c r="F2447" t="s">
        <v>80</v>
      </c>
      <c r="G2447">
        <v>4.2777569162498557</v>
      </c>
      <c r="H2447" t="s">
        <v>75</v>
      </c>
      <c r="I2447" t="s">
        <v>83</v>
      </c>
      <c r="J2447" t="s">
        <v>57</v>
      </c>
      <c r="K2447">
        <v>0</v>
      </c>
      <c r="L2447">
        <v>0</v>
      </c>
    </row>
    <row r="2448" spans="1:12" hidden="1" x14ac:dyDescent="0.25">
      <c r="A2448">
        <v>80</v>
      </c>
      <c r="C2448" t="s">
        <v>3970</v>
      </c>
      <c r="D2448" t="s">
        <v>57</v>
      </c>
      <c r="E2448" t="str">
        <f>_xlfn.XLOOKUP(F2448, Keys!B:B, Keys!A:A, "找不到")</f>
        <v>PN</v>
      </c>
      <c r="F2448" t="s">
        <v>80</v>
      </c>
      <c r="G2448">
        <v>23.297760730121709</v>
      </c>
      <c r="H2448" t="s">
        <v>75</v>
      </c>
      <c r="I2448" t="s">
        <v>83</v>
      </c>
      <c r="J2448" t="s">
        <v>57</v>
      </c>
      <c r="K2448">
        <v>0</v>
      </c>
      <c r="L2448">
        <v>0</v>
      </c>
    </row>
    <row r="2449" spans="1:12" hidden="1" x14ac:dyDescent="0.25">
      <c r="A2449">
        <v>54</v>
      </c>
      <c r="B2449" t="s">
        <v>2605</v>
      </c>
      <c r="C2449" t="s">
        <v>2606</v>
      </c>
      <c r="D2449">
        <v>0</v>
      </c>
      <c r="E2449" t="str">
        <f>_xlfn.XLOOKUP(F2449, Keys!B:B, Keys!A:A, "找不到")</f>
        <v>PN</v>
      </c>
      <c r="F2449" t="s">
        <v>80</v>
      </c>
      <c r="G2449">
        <v>2.2921652954494611</v>
      </c>
      <c r="H2449" t="s">
        <v>60</v>
      </c>
      <c r="I2449" t="s">
        <v>66</v>
      </c>
      <c r="J2449" t="s">
        <v>2724</v>
      </c>
      <c r="K2449">
        <v>0</v>
      </c>
      <c r="L2449">
        <v>501.90168246066389</v>
      </c>
    </row>
    <row r="2450" spans="1:12" hidden="1" x14ac:dyDescent="0.25">
      <c r="A2450">
        <v>86</v>
      </c>
      <c r="B2450" t="s">
        <v>2605</v>
      </c>
      <c r="C2450" t="s">
        <v>2606</v>
      </c>
      <c r="D2450">
        <v>0</v>
      </c>
      <c r="E2450" t="str">
        <f>_xlfn.XLOOKUP(F2450, Keys!B:B, Keys!A:A, "找不到")</f>
        <v>PN</v>
      </c>
      <c r="F2450" t="s">
        <v>80</v>
      </c>
      <c r="G2450">
        <v>2.2103604918800999</v>
      </c>
      <c r="H2450" t="s">
        <v>46</v>
      </c>
      <c r="I2450" t="s">
        <v>47</v>
      </c>
      <c r="J2450" t="s">
        <v>2756</v>
      </c>
      <c r="K2450">
        <v>0</v>
      </c>
      <c r="L2450">
        <v>424.37017612802521</v>
      </c>
    </row>
    <row r="2451" spans="1:12" hidden="1" x14ac:dyDescent="0.25">
      <c r="A2451">
        <v>92</v>
      </c>
      <c r="B2451" t="s">
        <v>2605</v>
      </c>
      <c r="C2451" t="s">
        <v>2606</v>
      </c>
      <c r="D2451">
        <v>0</v>
      </c>
      <c r="E2451" t="str">
        <f>_xlfn.XLOOKUP(F2451, Keys!B:B, Keys!A:A, "找不到")</f>
        <v>PN</v>
      </c>
      <c r="F2451" t="s">
        <v>80</v>
      </c>
      <c r="G2451">
        <v>7.5875061876337266</v>
      </c>
      <c r="H2451" t="s">
        <v>60</v>
      </c>
      <c r="I2451" t="s">
        <v>66</v>
      </c>
      <c r="J2451" t="s">
        <v>2781</v>
      </c>
      <c r="K2451">
        <v>0</v>
      </c>
      <c r="L2451">
        <v>697.20290701460101</v>
      </c>
    </row>
    <row r="2452" spans="1:12" hidden="1" x14ac:dyDescent="0.25">
      <c r="A2452">
        <v>150</v>
      </c>
      <c r="B2452" t="s">
        <v>2605</v>
      </c>
      <c r="C2452" t="s">
        <v>2606</v>
      </c>
      <c r="D2452">
        <v>0</v>
      </c>
      <c r="E2452" t="str">
        <f>_xlfn.XLOOKUP(F2452, Keys!B:B, Keys!A:A, "找不到")</f>
        <v>PN</v>
      </c>
      <c r="F2452" t="s">
        <v>80</v>
      </c>
      <c r="G2452">
        <v>0.65685158529771182</v>
      </c>
      <c r="H2452" t="s">
        <v>46</v>
      </c>
      <c r="I2452" t="s">
        <v>47</v>
      </c>
      <c r="J2452" t="s">
        <v>2756</v>
      </c>
      <c r="K2452">
        <v>0</v>
      </c>
      <c r="L2452">
        <v>212.76032150322621</v>
      </c>
    </row>
    <row r="2453" spans="1:12" hidden="1" x14ac:dyDescent="0.25">
      <c r="A2453">
        <v>154</v>
      </c>
      <c r="B2453" t="s">
        <v>2605</v>
      </c>
      <c r="C2453" t="s">
        <v>2606</v>
      </c>
      <c r="D2453">
        <v>0</v>
      </c>
      <c r="E2453" t="str">
        <f>_xlfn.XLOOKUP(F2453, Keys!B:B, Keys!A:A, "找不到")</f>
        <v>PN</v>
      </c>
      <c r="F2453" t="s">
        <v>80</v>
      </c>
      <c r="G2453">
        <v>4.8061948465138311</v>
      </c>
      <c r="H2453" t="s">
        <v>46</v>
      </c>
      <c r="I2453" t="s">
        <v>47</v>
      </c>
      <c r="J2453" t="s">
        <v>2756</v>
      </c>
      <c r="K2453">
        <v>0</v>
      </c>
      <c r="L2453">
        <v>613.75584544364187</v>
      </c>
    </row>
    <row r="2454" spans="1:12" hidden="1" x14ac:dyDescent="0.25">
      <c r="A2454">
        <v>159</v>
      </c>
      <c r="B2454" t="s">
        <v>2605</v>
      </c>
      <c r="C2454" t="s">
        <v>2606</v>
      </c>
      <c r="D2454" t="s">
        <v>2702</v>
      </c>
      <c r="E2454" t="str">
        <f>_xlfn.XLOOKUP(F2454, Keys!B:B, Keys!A:A, "找不到")</f>
        <v>PN</v>
      </c>
      <c r="F2454" t="s">
        <v>80</v>
      </c>
      <c r="G2454">
        <v>4.3707818861280554</v>
      </c>
      <c r="H2454" t="s">
        <v>46</v>
      </c>
      <c r="I2454" t="s">
        <v>47</v>
      </c>
      <c r="J2454" t="s">
        <v>2883</v>
      </c>
      <c r="K2454">
        <v>0</v>
      </c>
      <c r="L2454">
        <v>576.18395639810069</v>
      </c>
    </row>
    <row r="2455" spans="1:12" hidden="1" x14ac:dyDescent="0.25">
      <c r="A2455">
        <v>178</v>
      </c>
      <c r="B2455" t="s">
        <v>2605</v>
      </c>
      <c r="C2455" t="s">
        <v>2606</v>
      </c>
      <c r="D2455" t="s">
        <v>2702</v>
      </c>
      <c r="E2455" t="str">
        <f>_xlfn.XLOOKUP(F2455, Keys!B:B, Keys!A:A, "找不到")</f>
        <v>PN</v>
      </c>
      <c r="F2455" t="s">
        <v>80</v>
      </c>
      <c r="G2455">
        <v>9.5203558962702282</v>
      </c>
      <c r="H2455" t="s">
        <v>46</v>
      </c>
      <c r="I2455" t="s">
        <v>47</v>
      </c>
      <c r="J2455" t="s">
        <v>2915</v>
      </c>
      <c r="K2455">
        <v>0</v>
      </c>
      <c r="L2455">
        <v>978.49281625049298</v>
      </c>
    </row>
    <row r="2456" spans="1:12" hidden="1" x14ac:dyDescent="0.25">
      <c r="A2456">
        <v>184</v>
      </c>
      <c r="B2456" t="s">
        <v>2605</v>
      </c>
      <c r="C2456" t="s">
        <v>2606</v>
      </c>
      <c r="D2456" t="s">
        <v>2702</v>
      </c>
      <c r="E2456" t="str">
        <f>_xlfn.XLOOKUP(F2456, Keys!B:B, Keys!A:A, "找不到")</f>
        <v>PN</v>
      </c>
      <c r="F2456" t="s">
        <v>80</v>
      </c>
      <c r="G2456">
        <v>7.3362550412666732</v>
      </c>
      <c r="H2456" t="s">
        <v>46</v>
      </c>
      <c r="I2456" t="s">
        <v>47</v>
      </c>
      <c r="J2456" t="s">
        <v>2923</v>
      </c>
      <c r="K2456">
        <v>0</v>
      </c>
      <c r="L2456">
        <v>689.02634045076218</v>
      </c>
    </row>
    <row r="2457" spans="1:12" hidden="1" x14ac:dyDescent="0.25">
      <c r="A2457">
        <v>185</v>
      </c>
      <c r="B2457" t="s">
        <v>2605</v>
      </c>
      <c r="C2457" t="s">
        <v>2606</v>
      </c>
      <c r="D2457" t="s">
        <v>2702</v>
      </c>
      <c r="E2457" t="str">
        <f>_xlfn.XLOOKUP(F2457, Keys!B:B, Keys!A:A, "找不到")</f>
        <v>PN</v>
      </c>
      <c r="F2457" t="s">
        <v>80</v>
      </c>
      <c r="G2457">
        <v>8.0573709991285067</v>
      </c>
      <c r="H2457" t="s">
        <v>46</v>
      </c>
      <c r="I2457" t="s">
        <v>47</v>
      </c>
      <c r="J2457" t="s">
        <v>2923</v>
      </c>
      <c r="K2457">
        <v>0</v>
      </c>
      <c r="L2457">
        <v>776.40796638959841</v>
      </c>
    </row>
    <row r="2458" spans="1:12" hidden="1" x14ac:dyDescent="0.25">
      <c r="A2458">
        <v>188</v>
      </c>
      <c r="B2458" t="s">
        <v>2605</v>
      </c>
      <c r="C2458" t="s">
        <v>2606</v>
      </c>
      <c r="D2458" t="s">
        <v>2712</v>
      </c>
      <c r="E2458" t="str">
        <f>_xlfn.XLOOKUP(F2458, Keys!B:B, Keys!A:A, "找不到")</f>
        <v>PN</v>
      </c>
      <c r="F2458" t="s">
        <v>80</v>
      </c>
      <c r="G2458">
        <v>20.16120587910596</v>
      </c>
      <c r="H2458" t="s">
        <v>46</v>
      </c>
      <c r="I2458" t="s">
        <v>47</v>
      </c>
      <c r="J2458" t="s">
        <v>2722</v>
      </c>
      <c r="K2458">
        <v>0</v>
      </c>
      <c r="L2458">
        <v>1210.014783497804</v>
      </c>
    </row>
    <row r="2459" spans="1:12" hidden="1" x14ac:dyDescent="0.25">
      <c r="A2459">
        <v>189</v>
      </c>
      <c r="B2459" t="s">
        <v>2605</v>
      </c>
      <c r="C2459" t="s">
        <v>2606</v>
      </c>
      <c r="D2459" t="s">
        <v>2712</v>
      </c>
      <c r="E2459" t="str">
        <f>_xlfn.XLOOKUP(F2459, Keys!B:B, Keys!A:A, "找不到")</f>
        <v>PN</v>
      </c>
      <c r="F2459" t="s">
        <v>80</v>
      </c>
      <c r="G2459">
        <v>7.6993180763463203</v>
      </c>
      <c r="H2459" t="s">
        <v>46</v>
      </c>
      <c r="I2459" t="s">
        <v>47</v>
      </c>
      <c r="J2459" t="s">
        <v>2722</v>
      </c>
      <c r="K2459">
        <v>0</v>
      </c>
      <c r="L2459">
        <v>776.11993711811999</v>
      </c>
    </row>
    <row r="2460" spans="1:12" hidden="1" x14ac:dyDescent="0.25">
      <c r="A2460">
        <v>190</v>
      </c>
      <c r="B2460" t="s">
        <v>2605</v>
      </c>
      <c r="C2460" t="s">
        <v>2606</v>
      </c>
      <c r="D2460" t="s">
        <v>2702</v>
      </c>
      <c r="E2460" t="str">
        <f>_xlfn.XLOOKUP(F2460, Keys!B:B, Keys!A:A, "找不到")</f>
        <v>PN</v>
      </c>
      <c r="F2460" t="s">
        <v>80</v>
      </c>
      <c r="G2460">
        <v>18.39349621180375</v>
      </c>
      <c r="H2460" t="s">
        <v>46</v>
      </c>
      <c r="I2460" t="s">
        <v>47</v>
      </c>
      <c r="J2460" t="s">
        <v>2883</v>
      </c>
      <c r="K2460">
        <v>0</v>
      </c>
      <c r="L2460">
        <v>1124.1273750646239</v>
      </c>
    </row>
    <row r="2461" spans="1:12" hidden="1" x14ac:dyDescent="0.25">
      <c r="A2461">
        <v>198</v>
      </c>
      <c r="B2461" t="s">
        <v>2605</v>
      </c>
      <c r="C2461" t="s">
        <v>2606</v>
      </c>
      <c r="D2461" t="s">
        <v>2702</v>
      </c>
      <c r="E2461" t="str">
        <f>_xlfn.XLOOKUP(F2461, Keys!B:B, Keys!A:A, "找不到")</f>
        <v>PN</v>
      </c>
      <c r="F2461" t="s">
        <v>80</v>
      </c>
      <c r="G2461">
        <v>5.8247738081655136</v>
      </c>
      <c r="H2461" t="s">
        <v>46</v>
      </c>
      <c r="I2461" t="s">
        <v>47</v>
      </c>
      <c r="J2461" t="s">
        <v>2883</v>
      </c>
      <c r="K2461">
        <v>0</v>
      </c>
      <c r="L2461">
        <v>777.28084150182065</v>
      </c>
    </row>
    <row r="2462" spans="1:12" hidden="1" x14ac:dyDescent="0.25">
      <c r="A2462">
        <v>199</v>
      </c>
      <c r="B2462" t="s">
        <v>2605</v>
      </c>
      <c r="C2462" t="s">
        <v>2606</v>
      </c>
      <c r="D2462" t="s">
        <v>2702</v>
      </c>
      <c r="E2462" t="str">
        <f>_xlfn.XLOOKUP(F2462, Keys!B:B, Keys!A:A, "找不到")</f>
        <v>PN</v>
      </c>
      <c r="F2462" t="s">
        <v>80</v>
      </c>
      <c r="G2462">
        <v>11.843262780625571</v>
      </c>
      <c r="H2462" t="s">
        <v>46</v>
      </c>
      <c r="I2462" t="s">
        <v>47</v>
      </c>
      <c r="J2462" t="s">
        <v>2942</v>
      </c>
      <c r="K2462">
        <v>0</v>
      </c>
      <c r="L2462">
        <v>874.13832533159496</v>
      </c>
    </row>
    <row r="2463" spans="1:12" hidden="1" x14ac:dyDescent="0.25">
      <c r="A2463">
        <v>200</v>
      </c>
      <c r="B2463" t="s">
        <v>2605</v>
      </c>
      <c r="C2463" t="s">
        <v>2606</v>
      </c>
      <c r="D2463" t="s">
        <v>2702</v>
      </c>
      <c r="E2463" t="str">
        <f>_xlfn.XLOOKUP(F2463, Keys!B:B, Keys!A:A, "找不到")</f>
        <v>PN</v>
      </c>
      <c r="F2463" t="s">
        <v>80</v>
      </c>
      <c r="G2463">
        <v>8.1860269154575143</v>
      </c>
      <c r="H2463" t="s">
        <v>46</v>
      </c>
      <c r="I2463" t="s">
        <v>47</v>
      </c>
      <c r="J2463" t="s">
        <v>2942</v>
      </c>
      <c r="K2463">
        <v>0</v>
      </c>
      <c r="L2463">
        <v>728.99376146346299</v>
      </c>
    </row>
    <row r="2464" spans="1:12" hidden="1" x14ac:dyDescent="0.25">
      <c r="A2464">
        <v>201</v>
      </c>
      <c r="B2464" t="s">
        <v>2605</v>
      </c>
      <c r="C2464" t="s">
        <v>2606</v>
      </c>
      <c r="D2464" t="s">
        <v>2702</v>
      </c>
      <c r="E2464" t="str">
        <f>_xlfn.XLOOKUP(F2464, Keys!B:B, Keys!A:A, "找不到")</f>
        <v>PN</v>
      </c>
      <c r="F2464" t="s">
        <v>80</v>
      </c>
      <c r="G2464">
        <v>10.723113237688301</v>
      </c>
      <c r="H2464" t="s">
        <v>46</v>
      </c>
      <c r="I2464" t="s">
        <v>47</v>
      </c>
      <c r="J2464" t="s">
        <v>2942</v>
      </c>
      <c r="K2464">
        <v>0</v>
      </c>
      <c r="L2464">
        <v>839.50312107282411</v>
      </c>
    </row>
    <row r="2465" spans="1:12" hidden="1" x14ac:dyDescent="0.25">
      <c r="A2465">
        <v>203</v>
      </c>
      <c r="B2465" t="s">
        <v>2605</v>
      </c>
      <c r="C2465" t="s">
        <v>2606</v>
      </c>
      <c r="D2465" t="s">
        <v>2712</v>
      </c>
      <c r="E2465" t="str">
        <f>_xlfn.XLOOKUP(F2465, Keys!B:B, Keys!A:A, "找不到")</f>
        <v>PN</v>
      </c>
      <c r="F2465" t="s">
        <v>80</v>
      </c>
      <c r="G2465">
        <v>17.85329550529233</v>
      </c>
      <c r="H2465" t="s">
        <v>46</v>
      </c>
      <c r="I2465" t="s">
        <v>47</v>
      </c>
      <c r="J2465" t="s">
        <v>2846</v>
      </c>
      <c r="K2465">
        <v>0</v>
      </c>
      <c r="L2465">
        <v>1812.278208487546</v>
      </c>
    </row>
    <row r="2466" spans="1:12" hidden="1" x14ac:dyDescent="0.25">
      <c r="A2466">
        <v>204</v>
      </c>
      <c r="B2466" t="s">
        <v>2605</v>
      </c>
      <c r="C2466" t="s">
        <v>2606</v>
      </c>
      <c r="D2466" t="s">
        <v>2712</v>
      </c>
      <c r="E2466" t="str">
        <f>_xlfn.XLOOKUP(F2466, Keys!B:B, Keys!A:A, "找不到")</f>
        <v>PN</v>
      </c>
      <c r="F2466" t="s">
        <v>80</v>
      </c>
      <c r="G2466">
        <v>0.95123823973294208</v>
      </c>
      <c r="H2466" t="s">
        <v>46</v>
      </c>
      <c r="I2466" t="s">
        <v>47</v>
      </c>
      <c r="J2466" t="s">
        <v>2846</v>
      </c>
      <c r="K2466">
        <v>0</v>
      </c>
      <c r="L2466">
        <v>316.04028434645232</v>
      </c>
    </row>
    <row r="2467" spans="1:12" hidden="1" x14ac:dyDescent="0.25">
      <c r="A2467">
        <v>210</v>
      </c>
      <c r="B2467" t="s">
        <v>2605</v>
      </c>
      <c r="C2467" t="s">
        <v>2606</v>
      </c>
      <c r="D2467" t="s">
        <v>2712</v>
      </c>
      <c r="E2467" t="str">
        <f>_xlfn.XLOOKUP(F2467, Keys!B:B, Keys!A:A, "找不到")</f>
        <v>PN</v>
      </c>
      <c r="F2467" t="s">
        <v>80</v>
      </c>
      <c r="G2467">
        <v>7.8192370166627079</v>
      </c>
      <c r="H2467" t="s">
        <v>46</v>
      </c>
      <c r="I2467" t="s">
        <v>47</v>
      </c>
      <c r="J2467" t="s">
        <v>2722</v>
      </c>
      <c r="K2467">
        <v>0</v>
      </c>
      <c r="L2467">
        <v>1359.438198540116</v>
      </c>
    </row>
    <row r="2468" spans="1:12" hidden="1" x14ac:dyDescent="0.25">
      <c r="A2468">
        <v>212</v>
      </c>
      <c r="B2468" t="s">
        <v>2605</v>
      </c>
      <c r="C2468" t="s">
        <v>2606</v>
      </c>
      <c r="D2468" t="s">
        <v>2712</v>
      </c>
      <c r="E2468" t="str">
        <f>_xlfn.XLOOKUP(F2468, Keys!B:B, Keys!A:A, "找不到")</f>
        <v>PN</v>
      </c>
      <c r="F2468" t="s">
        <v>80</v>
      </c>
      <c r="G2468">
        <v>13.605315642867399</v>
      </c>
      <c r="H2468" t="s">
        <v>46</v>
      </c>
      <c r="I2468" t="s">
        <v>47</v>
      </c>
      <c r="J2468" t="s">
        <v>2722</v>
      </c>
      <c r="K2468">
        <v>0</v>
      </c>
      <c r="L2468">
        <v>1044.299836708592</v>
      </c>
    </row>
    <row r="2469" spans="1:12" hidden="1" x14ac:dyDescent="0.25">
      <c r="A2469">
        <v>214</v>
      </c>
      <c r="B2469" t="s">
        <v>2605</v>
      </c>
      <c r="C2469" t="s">
        <v>2606</v>
      </c>
      <c r="D2469" t="s">
        <v>2712</v>
      </c>
      <c r="E2469" t="str">
        <f>_xlfn.XLOOKUP(F2469, Keys!B:B, Keys!A:A, "找不到")</f>
        <v>PN</v>
      </c>
      <c r="F2469" t="s">
        <v>80</v>
      </c>
      <c r="G2469">
        <v>15.060058609979739</v>
      </c>
      <c r="H2469" t="s">
        <v>46</v>
      </c>
      <c r="I2469" t="s">
        <v>47</v>
      </c>
      <c r="J2469" t="s">
        <v>2722</v>
      </c>
      <c r="K2469">
        <v>0</v>
      </c>
      <c r="L2469">
        <v>1006.123120192545</v>
      </c>
    </row>
    <row r="2470" spans="1:12" hidden="1" x14ac:dyDescent="0.25">
      <c r="A2470">
        <v>215</v>
      </c>
      <c r="B2470" t="s">
        <v>2605</v>
      </c>
      <c r="C2470" t="s">
        <v>2606</v>
      </c>
      <c r="D2470" t="s">
        <v>2712</v>
      </c>
      <c r="E2470" t="str">
        <f>_xlfn.XLOOKUP(F2470, Keys!B:B, Keys!A:A, "找不到")</f>
        <v>PN</v>
      </c>
      <c r="F2470" t="s">
        <v>80</v>
      </c>
      <c r="G2470">
        <v>12.99490533213992</v>
      </c>
      <c r="H2470" t="s">
        <v>46</v>
      </c>
      <c r="I2470" t="s">
        <v>47</v>
      </c>
      <c r="J2470" t="s">
        <v>2722</v>
      </c>
      <c r="K2470">
        <v>0</v>
      </c>
      <c r="L2470">
        <v>984.09475515679617</v>
      </c>
    </row>
    <row r="2471" spans="1:12" hidden="1" x14ac:dyDescent="0.25">
      <c r="A2471">
        <v>219</v>
      </c>
      <c r="B2471" t="s">
        <v>2605</v>
      </c>
      <c r="C2471" t="s">
        <v>2606</v>
      </c>
      <c r="D2471" t="s">
        <v>2702</v>
      </c>
      <c r="E2471" t="str">
        <f>_xlfn.XLOOKUP(F2471, Keys!B:B, Keys!A:A, "找不到")</f>
        <v>PN</v>
      </c>
      <c r="F2471" t="s">
        <v>80</v>
      </c>
      <c r="G2471">
        <v>8.0859795840754671</v>
      </c>
      <c r="H2471" t="s">
        <v>46</v>
      </c>
      <c r="I2471" t="s">
        <v>47</v>
      </c>
      <c r="J2471" t="s">
        <v>2942</v>
      </c>
      <c r="K2471">
        <v>0</v>
      </c>
      <c r="L2471">
        <v>736.70501390305969</v>
      </c>
    </row>
    <row r="2472" spans="1:12" hidden="1" x14ac:dyDescent="0.25">
      <c r="A2472">
        <v>220</v>
      </c>
      <c r="B2472" t="s">
        <v>2605</v>
      </c>
      <c r="C2472" t="s">
        <v>2606</v>
      </c>
      <c r="D2472" t="s">
        <v>2702</v>
      </c>
      <c r="E2472" t="str">
        <f>_xlfn.XLOOKUP(F2472, Keys!B:B, Keys!A:A, "找不到")</f>
        <v>PN</v>
      </c>
      <c r="F2472" t="s">
        <v>80</v>
      </c>
      <c r="G2472">
        <v>10.132539692793779</v>
      </c>
      <c r="H2472" t="s">
        <v>46</v>
      </c>
      <c r="I2472" t="s">
        <v>47</v>
      </c>
      <c r="J2472" t="s">
        <v>2942</v>
      </c>
      <c r="K2472">
        <v>0</v>
      </c>
      <c r="L2472">
        <v>808.18139394635079</v>
      </c>
    </row>
    <row r="2473" spans="1:12" hidden="1" x14ac:dyDescent="0.25">
      <c r="A2473">
        <v>221</v>
      </c>
      <c r="B2473" t="s">
        <v>2605</v>
      </c>
      <c r="C2473" t="s">
        <v>2606</v>
      </c>
      <c r="D2473" t="s">
        <v>2702</v>
      </c>
      <c r="E2473" t="str">
        <f>_xlfn.XLOOKUP(F2473, Keys!B:B, Keys!A:A, "找不到")</f>
        <v>PN</v>
      </c>
      <c r="F2473" t="s">
        <v>80</v>
      </c>
      <c r="G2473">
        <v>12.640217782909771</v>
      </c>
      <c r="H2473" t="s">
        <v>46</v>
      </c>
      <c r="I2473" t="s">
        <v>47</v>
      </c>
      <c r="J2473" t="s">
        <v>2942</v>
      </c>
      <c r="K2473">
        <v>0</v>
      </c>
      <c r="L2473">
        <v>913.5813367939021</v>
      </c>
    </row>
    <row r="2474" spans="1:12" hidden="1" x14ac:dyDescent="0.25">
      <c r="A2474">
        <v>231</v>
      </c>
      <c r="B2474" t="s">
        <v>2605</v>
      </c>
      <c r="C2474" t="s">
        <v>2606</v>
      </c>
      <c r="D2474" t="s">
        <v>2712</v>
      </c>
      <c r="E2474" t="str">
        <f>_xlfn.XLOOKUP(F2474, Keys!B:B, Keys!A:A, "找不到")</f>
        <v>PN</v>
      </c>
      <c r="F2474" t="s">
        <v>80</v>
      </c>
      <c r="G2474">
        <v>19.410427194077489</v>
      </c>
      <c r="H2474" t="s">
        <v>46</v>
      </c>
      <c r="I2474" t="s">
        <v>47</v>
      </c>
      <c r="J2474" t="s">
        <v>2722</v>
      </c>
      <c r="K2474">
        <v>0</v>
      </c>
      <c r="L2474">
        <v>1398.628583228736</v>
      </c>
    </row>
    <row r="2475" spans="1:12" hidden="1" x14ac:dyDescent="0.25">
      <c r="A2475">
        <v>238</v>
      </c>
      <c r="B2475" t="s">
        <v>2605</v>
      </c>
      <c r="C2475" t="s">
        <v>2606</v>
      </c>
      <c r="D2475" t="s">
        <v>2712</v>
      </c>
      <c r="E2475" t="str">
        <f>_xlfn.XLOOKUP(F2475, Keys!B:B, Keys!A:A, "找不到")</f>
        <v>PN</v>
      </c>
      <c r="F2475" t="s">
        <v>80</v>
      </c>
      <c r="G2475">
        <v>12.9102227404735</v>
      </c>
      <c r="H2475" t="s">
        <v>46</v>
      </c>
      <c r="I2475" t="s">
        <v>47</v>
      </c>
      <c r="J2475" t="s">
        <v>2996</v>
      </c>
      <c r="K2475">
        <v>0</v>
      </c>
      <c r="L2475">
        <v>958.21295084713222</v>
      </c>
    </row>
    <row r="2476" spans="1:12" hidden="1" x14ac:dyDescent="0.25">
      <c r="A2476">
        <v>239</v>
      </c>
      <c r="B2476" t="s">
        <v>2605</v>
      </c>
      <c r="C2476" t="s">
        <v>2606</v>
      </c>
      <c r="D2476" t="s">
        <v>2712</v>
      </c>
      <c r="E2476" t="str">
        <f>_xlfn.XLOOKUP(F2476, Keys!B:B, Keys!A:A, "找不到")</f>
        <v>PN</v>
      </c>
      <c r="F2476" t="s">
        <v>80</v>
      </c>
      <c r="G2476">
        <v>18.790390428794758</v>
      </c>
      <c r="H2476" t="s">
        <v>46</v>
      </c>
      <c r="I2476" t="s">
        <v>47</v>
      </c>
      <c r="J2476" t="s">
        <v>2996</v>
      </c>
      <c r="K2476">
        <v>0</v>
      </c>
      <c r="L2476">
        <v>1285.101012082328</v>
      </c>
    </row>
    <row r="2477" spans="1:12" hidden="1" x14ac:dyDescent="0.25">
      <c r="A2477">
        <v>264</v>
      </c>
      <c r="B2477" t="s">
        <v>2605</v>
      </c>
      <c r="C2477" t="s">
        <v>2606</v>
      </c>
      <c r="D2477" t="s">
        <v>2702</v>
      </c>
      <c r="E2477" t="str">
        <f>_xlfn.XLOOKUP(F2477, Keys!B:B, Keys!A:A, "找不到")</f>
        <v>PN</v>
      </c>
      <c r="F2477" t="s">
        <v>80</v>
      </c>
      <c r="G2477">
        <v>14.692708199799259</v>
      </c>
      <c r="H2477" t="s">
        <v>46</v>
      </c>
      <c r="I2477" t="s">
        <v>47</v>
      </c>
      <c r="J2477" t="s">
        <v>2883</v>
      </c>
      <c r="K2477">
        <v>0</v>
      </c>
      <c r="L2477">
        <v>997.48594270905573</v>
      </c>
    </row>
    <row r="2478" spans="1:12" hidden="1" x14ac:dyDescent="0.25">
      <c r="A2478">
        <v>265</v>
      </c>
      <c r="B2478" t="s">
        <v>2605</v>
      </c>
      <c r="C2478" t="s">
        <v>2606</v>
      </c>
      <c r="D2478" t="s">
        <v>2702</v>
      </c>
      <c r="E2478" t="str">
        <f>_xlfn.XLOOKUP(F2478, Keys!B:B, Keys!A:A, "找不到")</f>
        <v>PN</v>
      </c>
      <c r="F2478" t="s">
        <v>80</v>
      </c>
      <c r="G2478">
        <v>4.9293836060713891</v>
      </c>
      <c r="H2478" t="s">
        <v>46</v>
      </c>
      <c r="I2478" t="s">
        <v>47</v>
      </c>
      <c r="J2478" t="s">
        <v>2883</v>
      </c>
      <c r="K2478">
        <v>0</v>
      </c>
      <c r="L2478">
        <v>715.93706017669592</v>
      </c>
    </row>
    <row r="2479" spans="1:12" hidden="1" x14ac:dyDescent="0.25">
      <c r="A2479">
        <v>266</v>
      </c>
      <c r="B2479" t="s">
        <v>2605</v>
      </c>
      <c r="C2479" t="s">
        <v>2606</v>
      </c>
      <c r="D2479" t="s">
        <v>2702</v>
      </c>
      <c r="E2479" t="str">
        <f>_xlfn.XLOOKUP(F2479, Keys!B:B, Keys!A:A, "找不到")</f>
        <v>PN</v>
      </c>
      <c r="F2479" t="s">
        <v>80</v>
      </c>
      <c r="G2479">
        <v>10.38470350220806</v>
      </c>
      <c r="H2479" t="s">
        <v>46</v>
      </c>
      <c r="I2479" t="s">
        <v>47</v>
      </c>
      <c r="J2479" t="s">
        <v>2883</v>
      </c>
      <c r="K2479">
        <v>0</v>
      </c>
      <c r="L2479">
        <v>902.61276400227598</v>
      </c>
    </row>
    <row r="2480" spans="1:12" hidden="1" x14ac:dyDescent="0.25">
      <c r="A2480">
        <v>270</v>
      </c>
      <c r="B2480" t="s">
        <v>2605</v>
      </c>
      <c r="C2480" t="s">
        <v>2606</v>
      </c>
      <c r="D2480" t="s">
        <v>2712</v>
      </c>
      <c r="E2480" t="str">
        <f>_xlfn.XLOOKUP(F2480, Keys!B:B, Keys!A:A, "找不到")</f>
        <v>PN</v>
      </c>
      <c r="F2480" t="s">
        <v>80</v>
      </c>
      <c r="G2480">
        <v>0.48308101809709841</v>
      </c>
      <c r="H2480" t="s">
        <v>46</v>
      </c>
      <c r="I2480" t="s">
        <v>47</v>
      </c>
      <c r="J2480" t="s">
        <v>2846</v>
      </c>
      <c r="K2480">
        <v>0</v>
      </c>
      <c r="L2480">
        <v>235.64142652110269</v>
      </c>
    </row>
    <row r="2481" spans="1:12" hidden="1" x14ac:dyDescent="0.25">
      <c r="A2481">
        <v>281</v>
      </c>
      <c r="B2481" t="s">
        <v>2605</v>
      </c>
      <c r="C2481" t="s">
        <v>2606</v>
      </c>
      <c r="D2481" t="s">
        <v>2702</v>
      </c>
      <c r="E2481" t="str">
        <f>_xlfn.XLOOKUP(F2481, Keys!B:B, Keys!A:A, "找不到")</f>
        <v>PN</v>
      </c>
      <c r="F2481" t="s">
        <v>80</v>
      </c>
      <c r="G2481">
        <v>1.4444498746711301</v>
      </c>
      <c r="H2481" t="s">
        <v>46</v>
      </c>
      <c r="I2481" t="s">
        <v>47</v>
      </c>
      <c r="J2481" t="s">
        <v>2883</v>
      </c>
      <c r="K2481">
        <v>0</v>
      </c>
      <c r="L2481">
        <v>343.5460845152665</v>
      </c>
    </row>
    <row r="2482" spans="1:12" hidden="1" x14ac:dyDescent="0.25">
      <c r="A2482">
        <v>284</v>
      </c>
      <c r="B2482" t="s">
        <v>2605</v>
      </c>
      <c r="C2482" t="s">
        <v>2606</v>
      </c>
      <c r="D2482" t="s">
        <v>2702</v>
      </c>
      <c r="E2482" t="str">
        <f>_xlfn.XLOOKUP(F2482, Keys!B:B, Keys!A:A, "找不到")</f>
        <v>PN</v>
      </c>
      <c r="F2482" t="s">
        <v>80</v>
      </c>
      <c r="G2482">
        <v>1.2028978329794739</v>
      </c>
      <c r="H2482" t="s">
        <v>46</v>
      </c>
      <c r="I2482" t="s">
        <v>47</v>
      </c>
      <c r="J2482" t="s">
        <v>2883</v>
      </c>
      <c r="K2482">
        <v>0</v>
      </c>
      <c r="L2482">
        <v>320.74115341839553</v>
      </c>
    </row>
    <row r="2483" spans="1:12" hidden="1" x14ac:dyDescent="0.25">
      <c r="A2483">
        <v>296</v>
      </c>
      <c r="B2483" t="s">
        <v>2605</v>
      </c>
      <c r="C2483" t="s">
        <v>2606</v>
      </c>
      <c r="D2483" t="s">
        <v>2712</v>
      </c>
      <c r="E2483" t="str">
        <f>_xlfn.XLOOKUP(F2483, Keys!B:B, Keys!A:A, "找不到")</f>
        <v>PN</v>
      </c>
      <c r="F2483" t="s">
        <v>80</v>
      </c>
      <c r="G2483">
        <v>7.5358921914198982</v>
      </c>
      <c r="H2483" t="s">
        <v>46</v>
      </c>
      <c r="I2483" t="s">
        <v>47</v>
      </c>
      <c r="J2483" t="s">
        <v>2846</v>
      </c>
      <c r="K2483">
        <v>0</v>
      </c>
      <c r="L2483">
        <v>740.52755619652294</v>
      </c>
    </row>
    <row r="2484" spans="1:12" hidden="1" x14ac:dyDescent="0.25">
      <c r="A2484">
        <v>299</v>
      </c>
      <c r="B2484" t="s">
        <v>2605</v>
      </c>
      <c r="C2484" t="s">
        <v>2606</v>
      </c>
      <c r="D2484">
        <v>0</v>
      </c>
      <c r="E2484" t="str">
        <f>_xlfn.XLOOKUP(F2484, Keys!B:B, Keys!A:A, "找不到")</f>
        <v>PN</v>
      </c>
      <c r="F2484" t="s">
        <v>80</v>
      </c>
      <c r="G2484">
        <v>11.451945790960551</v>
      </c>
      <c r="H2484" t="s">
        <v>60</v>
      </c>
      <c r="I2484" t="s">
        <v>66</v>
      </c>
      <c r="J2484" t="s">
        <v>3089</v>
      </c>
      <c r="K2484">
        <v>0</v>
      </c>
      <c r="L2484">
        <v>887.84330159097749</v>
      </c>
    </row>
    <row r="2485" spans="1:12" hidden="1" x14ac:dyDescent="0.25">
      <c r="A2485">
        <v>306</v>
      </c>
      <c r="B2485" t="s">
        <v>2605</v>
      </c>
      <c r="C2485" t="s">
        <v>2606</v>
      </c>
      <c r="D2485" t="s">
        <v>2712</v>
      </c>
      <c r="E2485" t="str">
        <f>_xlfn.XLOOKUP(F2485, Keys!B:B, Keys!A:A, "找不到")</f>
        <v>PN</v>
      </c>
      <c r="F2485" t="s">
        <v>80</v>
      </c>
      <c r="G2485">
        <v>1.8479700883622909</v>
      </c>
      <c r="H2485" t="s">
        <v>46</v>
      </c>
      <c r="I2485" t="s">
        <v>47</v>
      </c>
      <c r="J2485" t="s">
        <v>3102</v>
      </c>
      <c r="K2485">
        <v>0</v>
      </c>
      <c r="L2485">
        <v>367.16014586397341</v>
      </c>
    </row>
    <row r="2486" spans="1:12" hidden="1" x14ac:dyDescent="0.25">
      <c r="A2486">
        <v>315</v>
      </c>
      <c r="B2486" t="s">
        <v>2605</v>
      </c>
      <c r="C2486" t="s">
        <v>2606</v>
      </c>
      <c r="D2486" t="s">
        <v>2712</v>
      </c>
      <c r="E2486" t="str">
        <f>_xlfn.XLOOKUP(F2486, Keys!B:B, Keys!A:A, "找不到")</f>
        <v>PN</v>
      </c>
      <c r="F2486" t="s">
        <v>80</v>
      </c>
      <c r="G2486">
        <v>5.212867914074601</v>
      </c>
      <c r="H2486" t="s">
        <v>46</v>
      </c>
      <c r="I2486" t="s">
        <v>47</v>
      </c>
      <c r="J2486" t="s">
        <v>2722</v>
      </c>
      <c r="K2486">
        <v>0</v>
      </c>
      <c r="L2486">
        <v>687.53700416138031</v>
      </c>
    </row>
    <row r="2487" spans="1:12" hidden="1" x14ac:dyDescent="0.25">
      <c r="A2487">
        <v>317</v>
      </c>
      <c r="B2487" t="s">
        <v>2605</v>
      </c>
      <c r="C2487" t="s">
        <v>2606</v>
      </c>
      <c r="D2487" t="s">
        <v>2712</v>
      </c>
      <c r="E2487" t="str">
        <f>_xlfn.XLOOKUP(F2487, Keys!B:B, Keys!A:A, "找不到")</f>
        <v>PN</v>
      </c>
      <c r="F2487" t="s">
        <v>80</v>
      </c>
      <c r="G2487">
        <v>10.142711321076341</v>
      </c>
      <c r="H2487" t="s">
        <v>46</v>
      </c>
      <c r="I2487" t="s">
        <v>47</v>
      </c>
      <c r="J2487" t="s">
        <v>2722</v>
      </c>
      <c r="K2487">
        <v>0</v>
      </c>
      <c r="L2487">
        <v>1170.2445761383131</v>
      </c>
    </row>
    <row r="2488" spans="1:12" hidden="1" x14ac:dyDescent="0.25">
      <c r="A2488">
        <v>319</v>
      </c>
      <c r="B2488" t="s">
        <v>2605</v>
      </c>
      <c r="C2488" t="s">
        <v>2606</v>
      </c>
      <c r="D2488" t="s">
        <v>2702</v>
      </c>
      <c r="E2488" t="str">
        <f>_xlfn.XLOOKUP(F2488, Keys!B:B, Keys!A:A, "找不到")</f>
        <v>PN</v>
      </c>
      <c r="F2488" t="s">
        <v>80</v>
      </c>
      <c r="G2488">
        <v>4.5149435542777177</v>
      </c>
      <c r="H2488" t="s">
        <v>46</v>
      </c>
      <c r="I2488" t="s">
        <v>47</v>
      </c>
      <c r="J2488" t="s">
        <v>2883</v>
      </c>
      <c r="K2488">
        <v>0</v>
      </c>
      <c r="L2488">
        <v>548.00374280319807</v>
      </c>
    </row>
    <row r="2489" spans="1:12" hidden="1" x14ac:dyDescent="0.25">
      <c r="A2489">
        <v>325</v>
      </c>
      <c r="B2489" t="s">
        <v>2605</v>
      </c>
      <c r="C2489" t="s">
        <v>2606</v>
      </c>
      <c r="D2489" t="s">
        <v>2712</v>
      </c>
      <c r="E2489" t="str">
        <f>_xlfn.XLOOKUP(F2489, Keys!B:B, Keys!A:A, "找不到")</f>
        <v>PN</v>
      </c>
      <c r="F2489" t="s">
        <v>80</v>
      </c>
      <c r="G2489">
        <v>7.3734020148357446</v>
      </c>
      <c r="H2489" t="s">
        <v>46</v>
      </c>
      <c r="I2489" t="s">
        <v>47</v>
      </c>
      <c r="J2489" t="s">
        <v>2722</v>
      </c>
      <c r="K2489">
        <v>0</v>
      </c>
      <c r="L2489">
        <v>729.59720844581693</v>
      </c>
    </row>
    <row r="2490" spans="1:12" hidden="1" x14ac:dyDescent="0.25">
      <c r="A2490">
        <v>327</v>
      </c>
      <c r="B2490" t="s">
        <v>2605</v>
      </c>
      <c r="C2490" t="s">
        <v>2606</v>
      </c>
      <c r="D2490" t="s">
        <v>2712</v>
      </c>
      <c r="E2490" t="str">
        <f>_xlfn.XLOOKUP(F2490, Keys!B:B, Keys!A:A, "找不到")</f>
        <v>PN</v>
      </c>
      <c r="F2490" t="s">
        <v>80</v>
      </c>
      <c r="G2490">
        <v>0.43293479363099407</v>
      </c>
      <c r="H2490" t="s">
        <v>46</v>
      </c>
      <c r="I2490" t="s">
        <v>47</v>
      </c>
      <c r="J2490" t="s">
        <v>2722</v>
      </c>
      <c r="K2490">
        <v>0</v>
      </c>
      <c r="L2490">
        <v>172.94711065756431</v>
      </c>
    </row>
    <row r="2491" spans="1:12" hidden="1" x14ac:dyDescent="0.25">
      <c r="A2491">
        <v>328</v>
      </c>
      <c r="B2491" t="s">
        <v>2605</v>
      </c>
      <c r="C2491" t="s">
        <v>2606</v>
      </c>
      <c r="D2491" t="s">
        <v>2712</v>
      </c>
      <c r="E2491" t="str">
        <f>_xlfn.XLOOKUP(F2491, Keys!B:B, Keys!A:A, "找不到")</f>
        <v>PN</v>
      </c>
      <c r="F2491" t="s">
        <v>80</v>
      </c>
      <c r="G2491">
        <v>15.34825621276412</v>
      </c>
      <c r="H2491" t="s">
        <v>46</v>
      </c>
      <c r="I2491" t="s">
        <v>47</v>
      </c>
      <c r="J2491" t="s">
        <v>2722</v>
      </c>
      <c r="K2491">
        <v>0</v>
      </c>
      <c r="L2491">
        <v>1130.2991296654391</v>
      </c>
    </row>
    <row r="2492" spans="1:12" hidden="1" x14ac:dyDescent="0.25">
      <c r="A2492">
        <v>329</v>
      </c>
      <c r="B2492" t="s">
        <v>2605</v>
      </c>
      <c r="C2492" t="s">
        <v>2606</v>
      </c>
      <c r="D2492">
        <v>0</v>
      </c>
      <c r="E2492" t="str">
        <f>_xlfn.XLOOKUP(F2492, Keys!B:B, Keys!A:A, "找不到")</f>
        <v>PN</v>
      </c>
      <c r="F2492" t="s">
        <v>80</v>
      </c>
      <c r="G2492">
        <v>1.177990513283012</v>
      </c>
      <c r="H2492" t="s">
        <v>60</v>
      </c>
      <c r="I2492" t="s">
        <v>66</v>
      </c>
      <c r="J2492" t="s">
        <v>3130</v>
      </c>
      <c r="K2492">
        <v>0</v>
      </c>
      <c r="L2492">
        <v>310.49471559522078</v>
      </c>
    </row>
    <row r="2493" spans="1:12" hidden="1" x14ac:dyDescent="0.25">
      <c r="A2493">
        <v>335</v>
      </c>
      <c r="B2493" t="s">
        <v>2605</v>
      </c>
      <c r="C2493" t="s">
        <v>2606</v>
      </c>
      <c r="D2493" t="s">
        <v>2712</v>
      </c>
      <c r="E2493" t="str">
        <f>_xlfn.XLOOKUP(F2493, Keys!B:B, Keys!A:A, "找不到")</f>
        <v>PN</v>
      </c>
      <c r="F2493" t="s">
        <v>80</v>
      </c>
      <c r="G2493">
        <v>7.7985845048113092</v>
      </c>
      <c r="H2493" t="s">
        <v>46</v>
      </c>
      <c r="I2493" t="s">
        <v>47</v>
      </c>
      <c r="J2493" t="s">
        <v>2722</v>
      </c>
      <c r="K2493">
        <v>0</v>
      </c>
      <c r="L2493">
        <v>825.04600472976563</v>
      </c>
    </row>
    <row r="2494" spans="1:12" hidden="1" x14ac:dyDescent="0.25">
      <c r="A2494">
        <v>345</v>
      </c>
      <c r="B2494" t="s">
        <v>2605</v>
      </c>
      <c r="C2494" t="s">
        <v>2606</v>
      </c>
      <c r="D2494" t="s">
        <v>3027</v>
      </c>
      <c r="E2494" t="str">
        <f>_xlfn.XLOOKUP(F2494, Keys!B:B, Keys!A:A, "找不到")</f>
        <v>PN</v>
      </c>
      <c r="F2494" t="s">
        <v>80</v>
      </c>
      <c r="G2494">
        <v>17.438259384982501</v>
      </c>
      <c r="H2494" t="s">
        <v>46</v>
      </c>
      <c r="I2494" t="s">
        <v>47</v>
      </c>
      <c r="J2494" t="s">
        <v>3157</v>
      </c>
      <c r="K2494">
        <v>0</v>
      </c>
      <c r="L2494">
        <v>1060.3192487202621</v>
      </c>
    </row>
    <row r="2495" spans="1:12" hidden="1" x14ac:dyDescent="0.25">
      <c r="A2495">
        <v>348</v>
      </c>
      <c r="B2495" t="s">
        <v>2605</v>
      </c>
      <c r="C2495" t="s">
        <v>2606</v>
      </c>
      <c r="D2495" t="s">
        <v>2712</v>
      </c>
      <c r="E2495" t="str">
        <f>_xlfn.XLOOKUP(F2495, Keys!B:B, Keys!A:A, "找不到")</f>
        <v>PN</v>
      </c>
      <c r="F2495" t="s">
        <v>80</v>
      </c>
      <c r="G2495">
        <v>2.1521524396400382</v>
      </c>
      <c r="H2495" t="s">
        <v>46</v>
      </c>
      <c r="I2495" t="s">
        <v>47</v>
      </c>
      <c r="J2495" t="s">
        <v>2722</v>
      </c>
      <c r="K2495">
        <v>0</v>
      </c>
      <c r="L2495">
        <v>408.64652262022258</v>
      </c>
    </row>
    <row r="2496" spans="1:12" hidden="1" x14ac:dyDescent="0.25">
      <c r="A2496">
        <v>357</v>
      </c>
      <c r="B2496" t="s">
        <v>2605</v>
      </c>
      <c r="C2496" t="s">
        <v>2606</v>
      </c>
      <c r="D2496" t="s">
        <v>3027</v>
      </c>
      <c r="E2496" t="str">
        <f>_xlfn.XLOOKUP(F2496, Keys!B:B, Keys!A:A, "找不到")</f>
        <v>PN</v>
      </c>
      <c r="F2496" t="s">
        <v>80</v>
      </c>
      <c r="G2496">
        <v>7.7863894140215306</v>
      </c>
      <c r="H2496" t="s">
        <v>46</v>
      </c>
      <c r="I2496" t="s">
        <v>47</v>
      </c>
      <c r="J2496" t="s">
        <v>3157</v>
      </c>
      <c r="K2496">
        <v>0</v>
      </c>
      <c r="L2496">
        <v>795.93250863017761</v>
      </c>
    </row>
    <row r="2497" spans="1:12" hidden="1" x14ac:dyDescent="0.25">
      <c r="A2497">
        <v>376</v>
      </c>
      <c r="B2497" t="s">
        <v>2605</v>
      </c>
      <c r="C2497" t="s">
        <v>2606</v>
      </c>
      <c r="D2497" t="s">
        <v>2702</v>
      </c>
      <c r="E2497" t="str">
        <f>_xlfn.XLOOKUP(F2497, Keys!B:B, Keys!A:A, "找不到")</f>
        <v>PN</v>
      </c>
      <c r="F2497" t="s">
        <v>80</v>
      </c>
      <c r="G2497">
        <v>0.11491928392338251</v>
      </c>
      <c r="H2497" t="s">
        <v>60</v>
      </c>
      <c r="I2497" t="s">
        <v>66</v>
      </c>
      <c r="J2497" t="s">
        <v>2883</v>
      </c>
      <c r="K2497">
        <v>0</v>
      </c>
      <c r="L2497">
        <v>94.778387943228239</v>
      </c>
    </row>
    <row r="2498" spans="1:12" hidden="1" x14ac:dyDescent="0.25">
      <c r="A2498">
        <v>384</v>
      </c>
      <c r="B2498" t="s">
        <v>2605</v>
      </c>
      <c r="C2498" t="s">
        <v>2606</v>
      </c>
      <c r="D2498" t="s">
        <v>2702</v>
      </c>
      <c r="E2498" t="str">
        <f>_xlfn.XLOOKUP(F2498, Keys!B:B, Keys!A:A, "找不到")</f>
        <v>PN</v>
      </c>
      <c r="F2498" t="s">
        <v>80</v>
      </c>
      <c r="G2498">
        <v>5.3003148711658143</v>
      </c>
      <c r="H2498" t="s">
        <v>46</v>
      </c>
      <c r="I2498" t="s">
        <v>47</v>
      </c>
      <c r="J2498" t="s">
        <v>2883</v>
      </c>
      <c r="K2498">
        <v>0</v>
      </c>
      <c r="L2498">
        <v>588.49264232554663</v>
      </c>
    </row>
    <row r="2499" spans="1:12" hidden="1" x14ac:dyDescent="0.25">
      <c r="A2499">
        <v>417</v>
      </c>
      <c r="B2499" t="s">
        <v>2605</v>
      </c>
      <c r="C2499" t="s">
        <v>2606</v>
      </c>
      <c r="D2499" t="s">
        <v>3027</v>
      </c>
      <c r="E2499" t="str">
        <f>_xlfn.XLOOKUP(F2499, Keys!B:B, Keys!A:A, "找不到")</f>
        <v>PN</v>
      </c>
      <c r="F2499" t="s">
        <v>80</v>
      </c>
      <c r="G2499">
        <v>0.31700894388381018</v>
      </c>
      <c r="H2499" t="s">
        <v>46</v>
      </c>
      <c r="I2499" t="s">
        <v>47</v>
      </c>
      <c r="J2499" t="s">
        <v>3097</v>
      </c>
      <c r="K2499">
        <v>0</v>
      </c>
      <c r="L2499">
        <v>208.06972737578681</v>
      </c>
    </row>
    <row r="2500" spans="1:12" hidden="1" x14ac:dyDescent="0.25">
      <c r="A2500">
        <v>418</v>
      </c>
      <c r="B2500" t="s">
        <v>2605</v>
      </c>
      <c r="C2500" t="s">
        <v>2606</v>
      </c>
      <c r="D2500" t="s">
        <v>3027</v>
      </c>
      <c r="E2500" t="str">
        <f>_xlfn.XLOOKUP(F2500, Keys!B:B, Keys!A:A, "找不到")</f>
        <v>PN</v>
      </c>
      <c r="F2500" t="s">
        <v>80</v>
      </c>
      <c r="G2500">
        <v>8.9813413641293596E-2</v>
      </c>
      <c r="H2500" t="s">
        <v>46</v>
      </c>
      <c r="I2500" t="s">
        <v>47</v>
      </c>
      <c r="J2500" t="s">
        <v>3097</v>
      </c>
      <c r="K2500">
        <v>0</v>
      </c>
      <c r="L2500">
        <v>117.0080457681327</v>
      </c>
    </row>
    <row r="2501" spans="1:12" hidden="1" x14ac:dyDescent="0.25">
      <c r="A2501">
        <v>419</v>
      </c>
      <c r="B2501" t="s">
        <v>2605</v>
      </c>
      <c r="C2501" t="s">
        <v>2606</v>
      </c>
      <c r="D2501" t="s">
        <v>3027</v>
      </c>
      <c r="E2501" t="str">
        <f>_xlfn.XLOOKUP(F2501, Keys!B:B, Keys!A:A, "找不到")</f>
        <v>PN</v>
      </c>
      <c r="F2501" t="s">
        <v>80</v>
      </c>
      <c r="G2501">
        <v>0.33834727183830898</v>
      </c>
      <c r="H2501" t="s">
        <v>46</v>
      </c>
      <c r="I2501" t="s">
        <v>47</v>
      </c>
      <c r="J2501" t="s">
        <v>3097</v>
      </c>
      <c r="K2501">
        <v>0</v>
      </c>
      <c r="L2501">
        <v>182.57812250352529</v>
      </c>
    </row>
    <row r="2502" spans="1:12" hidden="1" x14ac:dyDescent="0.25">
      <c r="A2502">
        <v>420</v>
      </c>
      <c r="B2502" t="s">
        <v>2605</v>
      </c>
      <c r="C2502" t="s">
        <v>2606</v>
      </c>
      <c r="D2502" t="s">
        <v>3027</v>
      </c>
      <c r="E2502" t="str">
        <f>_xlfn.XLOOKUP(F2502, Keys!B:B, Keys!A:A, "找不到")</f>
        <v>PN</v>
      </c>
      <c r="F2502" t="s">
        <v>80</v>
      </c>
      <c r="G2502">
        <v>0.49045698347503802</v>
      </c>
      <c r="H2502" t="s">
        <v>46</v>
      </c>
      <c r="I2502" t="s">
        <v>47</v>
      </c>
      <c r="J2502" t="s">
        <v>3097</v>
      </c>
      <c r="K2502">
        <v>0</v>
      </c>
      <c r="L2502">
        <v>217.3183742044815</v>
      </c>
    </row>
    <row r="2503" spans="1:12" hidden="1" x14ac:dyDescent="0.25">
      <c r="A2503">
        <v>437</v>
      </c>
      <c r="B2503" t="s">
        <v>2605</v>
      </c>
      <c r="C2503" t="s">
        <v>2606</v>
      </c>
      <c r="D2503" t="s">
        <v>3027</v>
      </c>
      <c r="E2503" t="str">
        <f>_xlfn.XLOOKUP(F2503, Keys!B:B, Keys!A:A, "找不到")</f>
        <v>PN</v>
      </c>
      <c r="F2503" t="s">
        <v>80</v>
      </c>
      <c r="G2503">
        <v>0.68219261362576822</v>
      </c>
      <c r="H2503" t="s">
        <v>46</v>
      </c>
      <c r="I2503" t="s">
        <v>47</v>
      </c>
      <c r="J2503" t="s">
        <v>3097</v>
      </c>
      <c r="K2503">
        <v>0</v>
      </c>
      <c r="L2503">
        <v>364.00462326705627</v>
      </c>
    </row>
    <row r="2504" spans="1:12" hidden="1" x14ac:dyDescent="0.25">
      <c r="A2504">
        <v>439</v>
      </c>
      <c r="B2504" t="s">
        <v>2605</v>
      </c>
      <c r="C2504" t="s">
        <v>2606</v>
      </c>
      <c r="D2504" t="s">
        <v>3027</v>
      </c>
      <c r="E2504" t="str">
        <f>_xlfn.XLOOKUP(F2504, Keys!B:B, Keys!A:A, "找不到")</f>
        <v>PN</v>
      </c>
      <c r="F2504" t="s">
        <v>80</v>
      </c>
      <c r="G2504">
        <v>0.21786909418506531</v>
      </c>
      <c r="H2504" t="s">
        <v>46</v>
      </c>
      <c r="I2504" t="s">
        <v>47</v>
      </c>
      <c r="J2504" t="s">
        <v>3097</v>
      </c>
      <c r="K2504">
        <v>0</v>
      </c>
      <c r="L2504">
        <v>144.20427219258531</v>
      </c>
    </row>
    <row r="2505" spans="1:12" hidden="1" x14ac:dyDescent="0.25">
      <c r="A2505">
        <v>454</v>
      </c>
      <c r="B2505" t="s">
        <v>2605</v>
      </c>
      <c r="C2505" t="s">
        <v>2606</v>
      </c>
      <c r="D2505">
        <v>0</v>
      </c>
      <c r="E2505" t="str">
        <f>_xlfn.XLOOKUP(F2505, Keys!B:B, Keys!A:A, "找不到")</f>
        <v>PN</v>
      </c>
      <c r="F2505" t="s">
        <v>80</v>
      </c>
      <c r="G2505">
        <v>3.646961994264021</v>
      </c>
      <c r="H2505" t="s">
        <v>46</v>
      </c>
      <c r="I2505" t="s">
        <v>47</v>
      </c>
      <c r="J2505" t="s">
        <v>3319</v>
      </c>
      <c r="K2505">
        <v>0</v>
      </c>
      <c r="L2505">
        <v>525.68995978045746</v>
      </c>
    </row>
    <row r="2506" spans="1:12" hidden="1" x14ac:dyDescent="0.25">
      <c r="A2506">
        <v>495</v>
      </c>
      <c r="B2506" t="s">
        <v>2605</v>
      </c>
      <c r="C2506" t="s">
        <v>2606</v>
      </c>
      <c r="D2506" t="s">
        <v>2702</v>
      </c>
      <c r="E2506" t="str">
        <f>_xlfn.XLOOKUP(F2506, Keys!B:B, Keys!A:A, "找不到")</f>
        <v>PN</v>
      </c>
      <c r="F2506" t="s">
        <v>80</v>
      </c>
      <c r="G2506">
        <v>7.2852924326856652</v>
      </c>
      <c r="H2506" t="s">
        <v>46</v>
      </c>
      <c r="I2506" t="s">
        <v>47</v>
      </c>
      <c r="J2506" t="s">
        <v>2883</v>
      </c>
      <c r="K2506">
        <v>0</v>
      </c>
      <c r="L2506">
        <v>752.00752967374319</v>
      </c>
    </row>
    <row r="2507" spans="1:12" hidden="1" x14ac:dyDescent="0.25">
      <c r="A2507">
        <v>499</v>
      </c>
      <c r="B2507" t="s">
        <v>2605</v>
      </c>
      <c r="C2507" t="s">
        <v>2606</v>
      </c>
      <c r="D2507" t="s">
        <v>3027</v>
      </c>
      <c r="E2507" t="str">
        <f>_xlfn.XLOOKUP(F2507, Keys!B:B, Keys!A:A, "找不到")</f>
        <v>PN</v>
      </c>
      <c r="F2507" t="s">
        <v>80</v>
      </c>
      <c r="G2507">
        <v>6.8094509613177836</v>
      </c>
      <c r="H2507" t="s">
        <v>46</v>
      </c>
      <c r="I2507" t="s">
        <v>47</v>
      </c>
      <c r="J2507" t="s">
        <v>3097</v>
      </c>
      <c r="K2507">
        <v>0</v>
      </c>
      <c r="L2507">
        <v>771.51911992903126</v>
      </c>
    </row>
    <row r="2508" spans="1:12" hidden="1" x14ac:dyDescent="0.25">
      <c r="A2508">
        <v>502</v>
      </c>
      <c r="B2508" t="s">
        <v>2605</v>
      </c>
      <c r="C2508" t="s">
        <v>2606</v>
      </c>
      <c r="D2508" t="s">
        <v>3027</v>
      </c>
      <c r="E2508" t="str">
        <f>_xlfn.XLOOKUP(F2508, Keys!B:B, Keys!A:A, "找不到")</f>
        <v>PN</v>
      </c>
      <c r="F2508" t="s">
        <v>80</v>
      </c>
      <c r="G2508">
        <v>45.976702252668218</v>
      </c>
      <c r="H2508" t="s">
        <v>46</v>
      </c>
      <c r="I2508" t="s">
        <v>47</v>
      </c>
      <c r="J2508" t="s">
        <v>3097</v>
      </c>
      <c r="K2508">
        <v>0</v>
      </c>
      <c r="L2508">
        <v>1788.553798792824</v>
      </c>
    </row>
    <row r="2509" spans="1:12" hidden="1" x14ac:dyDescent="0.25">
      <c r="A2509">
        <v>520</v>
      </c>
      <c r="B2509" t="s">
        <v>2605</v>
      </c>
      <c r="C2509" t="s">
        <v>2606</v>
      </c>
      <c r="D2509" t="s">
        <v>3027</v>
      </c>
      <c r="E2509" t="str">
        <f>_xlfn.XLOOKUP(F2509, Keys!B:B, Keys!A:A, "找不到")</f>
        <v>PN</v>
      </c>
      <c r="F2509" t="s">
        <v>80</v>
      </c>
      <c r="G2509">
        <v>1.765099441092804</v>
      </c>
      <c r="H2509" t="s">
        <v>46</v>
      </c>
      <c r="I2509" t="s">
        <v>47</v>
      </c>
      <c r="J2509" t="s">
        <v>3097</v>
      </c>
      <c r="K2509">
        <v>0</v>
      </c>
      <c r="L2509">
        <v>370.67860397459191</v>
      </c>
    </row>
    <row r="2510" spans="1:12" hidden="1" x14ac:dyDescent="0.25">
      <c r="A2510">
        <v>536</v>
      </c>
      <c r="B2510" t="s">
        <v>2605</v>
      </c>
      <c r="C2510" t="s">
        <v>2606</v>
      </c>
      <c r="D2510" t="s">
        <v>2702</v>
      </c>
      <c r="E2510" t="str">
        <f>_xlfn.XLOOKUP(F2510, Keys!B:B, Keys!A:A, "找不到")</f>
        <v>PN</v>
      </c>
      <c r="F2510" t="s">
        <v>80</v>
      </c>
      <c r="G2510">
        <v>0.55452951138817386</v>
      </c>
      <c r="H2510" t="s">
        <v>46</v>
      </c>
      <c r="I2510" t="s">
        <v>47</v>
      </c>
      <c r="J2510" t="s">
        <v>2883</v>
      </c>
      <c r="K2510">
        <v>0</v>
      </c>
      <c r="L2510">
        <v>214.40747084938269</v>
      </c>
    </row>
    <row r="2511" spans="1:12" hidden="1" x14ac:dyDescent="0.25">
      <c r="A2511">
        <v>594</v>
      </c>
      <c r="B2511" t="s">
        <v>2605</v>
      </c>
      <c r="C2511" t="s">
        <v>2606</v>
      </c>
      <c r="D2511">
        <v>0</v>
      </c>
      <c r="E2511" t="str">
        <f>_xlfn.XLOOKUP(F2511, Keys!B:B, Keys!A:A, "找不到")</f>
        <v>PN</v>
      </c>
      <c r="F2511" t="s">
        <v>80</v>
      </c>
      <c r="G2511">
        <v>17.951143464973029</v>
      </c>
      <c r="H2511" t="s">
        <v>46</v>
      </c>
      <c r="I2511" t="s">
        <v>47</v>
      </c>
      <c r="J2511" t="s">
        <v>3524</v>
      </c>
      <c r="K2511">
        <v>0</v>
      </c>
      <c r="L2511">
        <v>1338.3090559316911</v>
      </c>
    </row>
    <row r="2512" spans="1:12" hidden="1" x14ac:dyDescent="0.25">
      <c r="A2512">
        <v>600</v>
      </c>
      <c r="B2512" t="s">
        <v>2605</v>
      </c>
      <c r="C2512" t="s">
        <v>2606</v>
      </c>
      <c r="D2512">
        <v>0</v>
      </c>
      <c r="E2512" t="str">
        <f>_xlfn.XLOOKUP(F2512, Keys!B:B, Keys!A:A, "找不到")</f>
        <v>PN</v>
      </c>
      <c r="F2512" t="s">
        <v>80</v>
      </c>
      <c r="G2512">
        <v>19.958048426777051</v>
      </c>
      <c r="H2512" t="s">
        <v>46</v>
      </c>
      <c r="I2512" t="s">
        <v>47</v>
      </c>
      <c r="J2512" t="s">
        <v>3524</v>
      </c>
      <c r="K2512">
        <v>0</v>
      </c>
      <c r="L2512">
        <v>1209.9834033152661</v>
      </c>
    </row>
    <row r="2513" spans="1:12" hidden="1" x14ac:dyDescent="0.25">
      <c r="A2513">
        <v>613</v>
      </c>
      <c r="B2513" t="s">
        <v>2605</v>
      </c>
      <c r="C2513" t="s">
        <v>2606</v>
      </c>
      <c r="D2513">
        <v>0</v>
      </c>
      <c r="E2513" t="str">
        <f>_xlfn.XLOOKUP(F2513, Keys!B:B, Keys!A:A, "找不到")</f>
        <v>PN</v>
      </c>
      <c r="F2513" t="s">
        <v>80</v>
      </c>
      <c r="G2513">
        <v>20.32139120762497</v>
      </c>
      <c r="H2513" t="s">
        <v>46</v>
      </c>
      <c r="I2513" t="s">
        <v>47</v>
      </c>
      <c r="J2513" t="s">
        <v>3553</v>
      </c>
      <c r="K2513">
        <v>0</v>
      </c>
      <c r="L2513">
        <v>1395.882900784407</v>
      </c>
    </row>
    <row r="2514" spans="1:12" hidden="1" x14ac:dyDescent="0.25">
      <c r="A2514">
        <v>620</v>
      </c>
      <c r="B2514" t="s">
        <v>2605</v>
      </c>
      <c r="C2514" t="s">
        <v>2606</v>
      </c>
      <c r="D2514">
        <v>0</v>
      </c>
      <c r="E2514" t="str">
        <f>_xlfn.XLOOKUP(F2514, Keys!B:B, Keys!A:A, "找不到")</f>
        <v>PN</v>
      </c>
      <c r="F2514" t="s">
        <v>80</v>
      </c>
      <c r="G2514">
        <v>59.021948607521793</v>
      </c>
      <c r="H2514" t="s">
        <v>46</v>
      </c>
      <c r="I2514" t="s">
        <v>47</v>
      </c>
      <c r="J2514" t="s">
        <v>3571</v>
      </c>
      <c r="K2514">
        <v>0</v>
      </c>
      <c r="L2514">
        <v>2040.8770846271871</v>
      </c>
    </row>
    <row r="2515" spans="1:12" hidden="1" x14ac:dyDescent="0.25">
      <c r="A2515">
        <v>753</v>
      </c>
      <c r="B2515" t="s">
        <v>2605</v>
      </c>
      <c r="C2515" t="s">
        <v>2606</v>
      </c>
      <c r="D2515" t="s">
        <v>2702</v>
      </c>
      <c r="E2515" t="str">
        <f>_xlfn.XLOOKUP(F2515, Keys!B:B, Keys!A:A, "找不到")</f>
        <v>PN</v>
      </c>
      <c r="F2515" t="s">
        <v>80</v>
      </c>
      <c r="G2515">
        <v>4.4027825809282692</v>
      </c>
      <c r="H2515" t="s">
        <v>46</v>
      </c>
      <c r="I2515" t="s">
        <v>47</v>
      </c>
      <c r="J2515" t="s">
        <v>2904</v>
      </c>
      <c r="K2515">
        <v>0</v>
      </c>
      <c r="L2515">
        <v>619.45708873223759</v>
      </c>
    </row>
    <row r="2516" spans="1:12" hidden="1" x14ac:dyDescent="0.25">
      <c r="A2516">
        <v>756</v>
      </c>
      <c r="B2516" t="s">
        <v>2605</v>
      </c>
      <c r="C2516" t="s">
        <v>2606</v>
      </c>
      <c r="D2516" t="s">
        <v>2702</v>
      </c>
      <c r="E2516" t="str">
        <f>_xlfn.XLOOKUP(F2516, Keys!B:B, Keys!A:A, "找不到")</f>
        <v>PN</v>
      </c>
      <c r="F2516" t="s">
        <v>80</v>
      </c>
      <c r="G2516">
        <v>7.619936954825258</v>
      </c>
      <c r="H2516" t="s">
        <v>46</v>
      </c>
      <c r="I2516" t="s">
        <v>47</v>
      </c>
      <c r="J2516" t="s">
        <v>2904</v>
      </c>
      <c r="K2516">
        <v>0</v>
      </c>
      <c r="L2516">
        <v>744.20273921904584</v>
      </c>
    </row>
    <row r="2517" spans="1:12" hidden="1" x14ac:dyDescent="0.25">
      <c r="A2517">
        <v>757</v>
      </c>
      <c r="B2517" t="s">
        <v>2605</v>
      </c>
      <c r="C2517" t="s">
        <v>2606</v>
      </c>
      <c r="D2517" t="s">
        <v>2702</v>
      </c>
      <c r="E2517" t="str">
        <f>_xlfn.XLOOKUP(F2517, Keys!B:B, Keys!A:A, "找不到")</f>
        <v>PN</v>
      </c>
      <c r="F2517" t="s">
        <v>80</v>
      </c>
      <c r="G2517">
        <v>8.4643386567065644</v>
      </c>
      <c r="H2517" t="s">
        <v>46</v>
      </c>
      <c r="I2517" t="s">
        <v>47</v>
      </c>
      <c r="J2517" t="s">
        <v>2904</v>
      </c>
      <c r="K2517">
        <v>0</v>
      </c>
      <c r="L2517">
        <v>741.30722940669898</v>
      </c>
    </row>
    <row r="2518" spans="1:12" hidden="1" x14ac:dyDescent="0.25">
      <c r="A2518">
        <v>759</v>
      </c>
      <c r="B2518" t="s">
        <v>2605</v>
      </c>
      <c r="C2518" t="s">
        <v>2606</v>
      </c>
      <c r="D2518" t="s">
        <v>2702</v>
      </c>
      <c r="E2518" t="str">
        <f>_xlfn.XLOOKUP(F2518, Keys!B:B, Keys!A:A, "找不到")</f>
        <v>PN</v>
      </c>
      <c r="F2518" t="s">
        <v>80</v>
      </c>
      <c r="G2518">
        <v>20.46741815293036</v>
      </c>
      <c r="H2518" t="s">
        <v>46</v>
      </c>
      <c r="I2518" t="s">
        <v>47</v>
      </c>
      <c r="J2518" t="s">
        <v>2904</v>
      </c>
      <c r="K2518">
        <v>0</v>
      </c>
      <c r="L2518">
        <v>1130.8138529654491</v>
      </c>
    </row>
    <row r="2519" spans="1:12" hidden="1" x14ac:dyDescent="0.25">
      <c r="A2519">
        <v>760</v>
      </c>
      <c r="B2519" t="s">
        <v>2605</v>
      </c>
      <c r="C2519" t="s">
        <v>2606</v>
      </c>
      <c r="D2519" t="s">
        <v>3027</v>
      </c>
      <c r="E2519" t="str">
        <f>_xlfn.XLOOKUP(F2519, Keys!B:B, Keys!A:A, "找不到")</f>
        <v>PN</v>
      </c>
      <c r="F2519" t="s">
        <v>80</v>
      </c>
      <c r="G2519">
        <v>8.7007703634145788</v>
      </c>
      <c r="H2519" t="s">
        <v>46</v>
      </c>
      <c r="I2519" t="s">
        <v>47</v>
      </c>
      <c r="J2519" t="s">
        <v>3097</v>
      </c>
      <c r="K2519">
        <v>0</v>
      </c>
      <c r="L2519">
        <v>763.74443835122293</v>
      </c>
    </row>
    <row r="2520" spans="1:12" hidden="1" x14ac:dyDescent="0.25">
      <c r="A2520">
        <v>769</v>
      </c>
      <c r="B2520" t="s">
        <v>2605</v>
      </c>
      <c r="C2520" t="s">
        <v>2606</v>
      </c>
      <c r="D2520" t="s">
        <v>2702</v>
      </c>
      <c r="E2520" t="str">
        <f>_xlfn.XLOOKUP(F2520, Keys!B:B, Keys!A:A, "找不到")</f>
        <v>PN</v>
      </c>
      <c r="F2520" t="s">
        <v>80</v>
      </c>
      <c r="G2520">
        <v>8.1661017204430131</v>
      </c>
      <c r="H2520" t="s">
        <v>46</v>
      </c>
      <c r="I2520" t="s">
        <v>47</v>
      </c>
      <c r="J2520" t="s">
        <v>2883</v>
      </c>
      <c r="K2520">
        <v>0</v>
      </c>
      <c r="L2520">
        <v>829.95685251854968</v>
      </c>
    </row>
    <row r="2521" spans="1:12" hidden="1" x14ac:dyDescent="0.25">
      <c r="A2521">
        <v>770</v>
      </c>
      <c r="B2521" t="s">
        <v>2605</v>
      </c>
      <c r="C2521" t="s">
        <v>2606</v>
      </c>
      <c r="D2521" t="s">
        <v>3027</v>
      </c>
      <c r="E2521" t="str">
        <f>_xlfn.XLOOKUP(F2521, Keys!B:B, Keys!A:A, "找不到")</f>
        <v>PN</v>
      </c>
      <c r="F2521" t="s">
        <v>80</v>
      </c>
      <c r="G2521">
        <v>19.318946984299011</v>
      </c>
      <c r="H2521" t="s">
        <v>46</v>
      </c>
      <c r="I2521" t="s">
        <v>47</v>
      </c>
      <c r="J2521" t="s">
        <v>3097</v>
      </c>
      <c r="K2521">
        <v>0</v>
      </c>
      <c r="L2521">
        <v>1124.309367780761</v>
      </c>
    </row>
    <row r="2522" spans="1:12" hidden="1" x14ac:dyDescent="0.25">
      <c r="A2522">
        <v>771</v>
      </c>
      <c r="B2522" t="s">
        <v>2605</v>
      </c>
      <c r="C2522" t="s">
        <v>2606</v>
      </c>
      <c r="D2522" t="s">
        <v>2702</v>
      </c>
      <c r="E2522" t="str">
        <f>_xlfn.XLOOKUP(F2522, Keys!B:B, Keys!A:A, "找不到")</f>
        <v>PN</v>
      </c>
      <c r="F2522" t="s">
        <v>80</v>
      </c>
      <c r="G2522">
        <v>9.7134409665366039</v>
      </c>
      <c r="H2522" t="s">
        <v>46</v>
      </c>
      <c r="I2522" t="s">
        <v>47</v>
      </c>
      <c r="J2522" t="s">
        <v>2883</v>
      </c>
      <c r="K2522">
        <v>0</v>
      </c>
      <c r="L2522">
        <v>804.128865203229</v>
      </c>
    </row>
    <row r="2523" spans="1:12" hidden="1" x14ac:dyDescent="0.25">
      <c r="A2523">
        <v>772</v>
      </c>
      <c r="B2523" t="s">
        <v>2605</v>
      </c>
      <c r="C2523" t="s">
        <v>2606</v>
      </c>
      <c r="D2523" t="s">
        <v>2702</v>
      </c>
      <c r="E2523" t="str">
        <f>_xlfn.XLOOKUP(F2523, Keys!B:B, Keys!A:A, "找不到")</f>
        <v>PN</v>
      </c>
      <c r="F2523" t="s">
        <v>80</v>
      </c>
      <c r="G2523">
        <v>28.837504624872011</v>
      </c>
      <c r="H2523" t="s">
        <v>46</v>
      </c>
      <c r="I2523" t="s">
        <v>47</v>
      </c>
      <c r="J2523" t="s">
        <v>2883</v>
      </c>
      <c r="K2523">
        <v>0</v>
      </c>
      <c r="L2523">
        <v>1721.36965541526</v>
      </c>
    </row>
    <row r="2524" spans="1:12" hidden="1" x14ac:dyDescent="0.25">
      <c r="A2524">
        <v>788</v>
      </c>
      <c r="B2524" t="s">
        <v>2605</v>
      </c>
      <c r="C2524" t="s">
        <v>2606</v>
      </c>
      <c r="D2524" t="s">
        <v>2702</v>
      </c>
      <c r="E2524" t="str">
        <f>_xlfn.XLOOKUP(F2524, Keys!B:B, Keys!A:A, "找不到")</f>
        <v>PN</v>
      </c>
      <c r="F2524" t="s">
        <v>80</v>
      </c>
      <c r="G2524">
        <v>1.3286843632388159</v>
      </c>
      <c r="H2524" t="s">
        <v>46</v>
      </c>
      <c r="I2524" t="s">
        <v>47</v>
      </c>
      <c r="J2524" t="s">
        <v>2883</v>
      </c>
      <c r="K2524">
        <v>0</v>
      </c>
      <c r="L2524">
        <v>335.16127814544251</v>
      </c>
    </row>
    <row r="2525" spans="1:12" hidden="1" x14ac:dyDescent="0.25">
      <c r="A2525">
        <v>791</v>
      </c>
      <c r="B2525" t="s">
        <v>2605</v>
      </c>
      <c r="C2525" t="s">
        <v>2606</v>
      </c>
      <c r="D2525" t="s">
        <v>2702</v>
      </c>
      <c r="E2525" t="str">
        <f>_xlfn.XLOOKUP(F2525, Keys!B:B, Keys!A:A, "找不到")</f>
        <v>PN</v>
      </c>
      <c r="F2525" t="s">
        <v>80</v>
      </c>
      <c r="G2525">
        <v>10.204905590017111</v>
      </c>
      <c r="H2525" t="s">
        <v>46</v>
      </c>
      <c r="I2525" t="s">
        <v>47</v>
      </c>
      <c r="J2525" t="s">
        <v>2883</v>
      </c>
      <c r="K2525">
        <v>0</v>
      </c>
      <c r="L2525">
        <v>1029.425256332403</v>
      </c>
    </row>
    <row r="2526" spans="1:12" hidden="1" x14ac:dyDescent="0.25">
      <c r="A2526">
        <v>814</v>
      </c>
      <c r="B2526" t="s">
        <v>2605</v>
      </c>
      <c r="C2526" t="s">
        <v>2606</v>
      </c>
      <c r="D2526">
        <v>0</v>
      </c>
      <c r="E2526" t="str">
        <f>_xlfn.XLOOKUP(F2526, Keys!B:B, Keys!A:A, "找不到")</f>
        <v>PN</v>
      </c>
      <c r="F2526" t="s">
        <v>80</v>
      </c>
      <c r="G2526">
        <v>5.4082631272445392</v>
      </c>
      <c r="H2526" t="s">
        <v>60</v>
      </c>
      <c r="I2526" t="s">
        <v>66</v>
      </c>
      <c r="J2526" t="s">
        <v>3819</v>
      </c>
      <c r="K2526">
        <v>0</v>
      </c>
      <c r="L2526">
        <v>690.65888378777925</v>
      </c>
    </row>
    <row r="2527" spans="1:12" hidden="1" x14ac:dyDescent="0.25">
      <c r="A2527">
        <v>815</v>
      </c>
      <c r="B2527" t="s">
        <v>2605</v>
      </c>
      <c r="C2527" t="s">
        <v>2606</v>
      </c>
      <c r="D2527" t="s">
        <v>2712</v>
      </c>
      <c r="E2527" t="str">
        <f>_xlfn.XLOOKUP(F2527, Keys!B:B, Keys!A:A, "找不到")</f>
        <v>PN</v>
      </c>
      <c r="F2527" t="s">
        <v>80</v>
      </c>
      <c r="G2527">
        <v>8.556888205669356</v>
      </c>
      <c r="H2527" t="s">
        <v>46</v>
      </c>
      <c r="I2527" t="s">
        <v>47</v>
      </c>
      <c r="J2527" t="s">
        <v>3823</v>
      </c>
      <c r="K2527">
        <v>0</v>
      </c>
      <c r="L2527">
        <v>794.31236232831236</v>
      </c>
    </row>
    <row r="2528" spans="1:12" hidden="1" x14ac:dyDescent="0.25">
      <c r="A2528">
        <v>817</v>
      </c>
      <c r="B2528" t="s">
        <v>2605</v>
      </c>
      <c r="C2528" t="s">
        <v>2606</v>
      </c>
      <c r="D2528" t="s">
        <v>2712</v>
      </c>
      <c r="E2528" t="str">
        <f>_xlfn.XLOOKUP(F2528, Keys!B:B, Keys!A:A, "找不到")</f>
        <v>PN</v>
      </c>
      <c r="F2528" t="s">
        <v>80</v>
      </c>
      <c r="G2528">
        <v>4.4341178487418098</v>
      </c>
      <c r="H2528" t="s">
        <v>46</v>
      </c>
      <c r="I2528" t="s">
        <v>47</v>
      </c>
      <c r="J2528" t="s">
        <v>2846</v>
      </c>
      <c r="K2528">
        <v>0</v>
      </c>
      <c r="L2528">
        <v>563.88915225305254</v>
      </c>
    </row>
    <row r="2529" spans="1:12" hidden="1" x14ac:dyDescent="0.25">
      <c r="A2529">
        <v>818</v>
      </c>
      <c r="B2529" t="s">
        <v>2605</v>
      </c>
      <c r="C2529" t="s">
        <v>2606</v>
      </c>
      <c r="D2529" t="s">
        <v>2712</v>
      </c>
      <c r="E2529" t="str">
        <f>_xlfn.XLOOKUP(F2529, Keys!B:B, Keys!A:A, "找不到")</f>
        <v>PN</v>
      </c>
      <c r="F2529" t="s">
        <v>80</v>
      </c>
      <c r="G2529">
        <v>1.113149392381241</v>
      </c>
      <c r="H2529" t="s">
        <v>46</v>
      </c>
      <c r="I2529" t="s">
        <v>47</v>
      </c>
      <c r="J2529" t="s">
        <v>2846</v>
      </c>
      <c r="K2529">
        <v>0</v>
      </c>
      <c r="L2529">
        <v>342.90237999456508</v>
      </c>
    </row>
    <row r="2530" spans="1:12" hidden="1" x14ac:dyDescent="0.25">
      <c r="A2530">
        <v>819</v>
      </c>
      <c r="B2530" t="s">
        <v>2605</v>
      </c>
      <c r="C2530" t="s">
        <v>2606</v>
      </c>
      <c r="D2530" t="s">
        <v>2712</v>
      </c>
      <c r="E2530" t="str">
        <f>_xlfn.XLOOKUP(F2530, Keys!B:B, Keys!A:A, "找不到")</f>
        <v>PN</v>
      </c>
      <c r="F2530" t="s">
        <v>80</v>
      </c>
      <c r="G2530">
        <v>9.9316711795557051</v>
      </c>
      <c r="H2530" t="s">
        <v>46</v>
      </c>
      <c r="I2530" t="s">
        <v>47</v>
      </c>
      <c r="J2530" t="s">
        <v>2846</v>
      </c>
      <c r="K2530">
        <v>0</v>
      </c>
      <c r="L2530">
        <v>846.37770191169989</v>
      </c>
    </row>
    <row r="2531" spans="1:12" hidden="1" x14ac:dyDescent="0.25">
      <c r="A2531">
        <v>820</v>
      </c>
      <c r="B2531" t="s">
        <v>2605</v>
      </c>
      <c r="C2531" t="s">
        <v>2606</v>
      </c>
      <c r="D2531" t="s">
        <v>2712</v>
      </c>
      <c r="E2531" t="str">
        <f>_xlfn.XLOOKUP(F2531, Keys!B:B, Keys!A:A, "找不到")</f>
        <v>PN</v>
      </c>
      <c r="F2531" t="s">
        <v>80</v>
      </c>
      <c r="G2531">
        <v>0.69261012785781606</v>
      </c>
      <c r="H2531" t="s">
        <v>46</v>
      </c>
      <c r="I2531" t="s">
        <v>47</v>
      </c>
      <c r="J2531" t="s">
        <v>2846</v>
      </c>
      <c r="K2531">
        <v>0</v>
      </c>
      <c r="L2531">
        <v>213.76855074270611</v>
      </c>
    </row>
    <row r="2532" spans="1:12" hidden="1" x14ac:dyDescent="0.25">
      <c r="A2532">
        <v>823</v>
      </c>
      <c r="B2532" t="s">
        <v>2605</v>
      </c>
      <c r="C2532" t="s">
        <v>2606</v>
      </c>
      <c r="D2532" t="s">
        <v>2702</v>
      </c>
      <c r="E2532" t="str">
        <f>_xlfn.XLOOKUP(F2532, Keys!B:B, Keys!A:A, "找不到")</f>
        <v>PN</v>
      </c>
      <c r="F2532" t="s">
        <v>80</v>
      </c>
      <c r="G2532">
        <v>9.2929933560232776</v>
      </c>
      <c r="H2532" t="s">
        <v>46</v>
      </c>
      <c r="I2532" t="s">
        <v>47</v>
      </c>
      <c r="J2532" t="s">
        <v>2923</v>
      </c>
      <c r="K2532">
        <v>0</v>
      </c>
      <c r="L2532">
        <v>768.56482178627755</v>
      </c>
    </row>
    <row r="2533" spans="1:12" hidden="1" x14ac:dyDescent="0.25">
      <c r="A2533">
        <v>824</v>
      </c>
      <c r="B2533" t="s">
        <v>2605</v>
      </c>
      <c r="C2533" t="s">
        <v>2606</v>
      </c>
      <c r="D2533" t="s">
        <v>2702</v>
      </c>
      <c r="E2533" t="str">
        <f>_xlfn.XLOOKUP(F2533, Keys!B:B, Keys!A:A, "找不到")</f>
        <v>PN</v>
      </c>
      <c r="F2533" t="s">
        <v>80</v>
      </c>
      <c r="G2533">
        <v>1.6903297289693751</v>
      </c>
      <c r="H2533" t="s">
        <v>46</v>
      </c>
      <c r="I2533" t="s">
        <v>47</v>
      </c>
      <c r="J2533" t="s">
        <v>2923</v>
      </c>
      <c r="K2533">
        <v>0</v>
      </c>
      <c r="L2533">
        <v>402.21073579973148</v>
      </c>
    </row>
    <row r="2534" spans="1:12" hidden="1" x14ac:dyDescent="0.25">
      <c r="A2534">
        <v>829</v>
      </c>
      <c r="B2534" t="s">
        <v>2605</v>
      </c>
      <c r="C2534" t="s">
        <v>2606</v>
      </c>
      <c r="D2534" t="s">
        <v>2702</v>
      </c>
      <c r="E2534" t="str">
        <f>_xlfn.XLOOKUP(F2534, Keys!B:B, Keys!A:A, "找不到")</f>
        <v>PN</v>
      </c>
      <c r="F2534" t="s">
        <v>80</v>
      </c>
      <c r="G2534">
        <v>0.68802061255777625</v>
      </c>
      <c r="H2534" t="s">
        <v>46</v>
      </c>
      <c r="I2534" t="s">
        <v>47</v>
      </c>
      <c r="J2534" t="s">
        <v>2915</v>
      </c>
      <c r="K2534">
        <v>0</v>
      </c>
      <c r="L2534">
        <v>244.1396818846882</v>
      </c>
    </row>
    <row r="2535" spans="1:12" hidden="1" x14ac:dyDescent="0.25">
      <c r="A2535">
        <v>830</v>
      </c>
      <c r="B2535" t="s">
        <v>2605</v>
      </c>
      <c r="C2535" t="s">
        <v>2606</v>
      </c>
      <c r="D2535" t="s">
        <v>2702</v>
      </c>
      <c r="E2535" t="str">
        <f>_xlfn.XLOOKUP(F2535, Keys!B:B, Keys!A:A, "找不到")</f>
        <v>PN</v>
      </c>
      <c r="F2535" t="s">
        <v>80</v>
      </c>
      <c r="G2535">
        <v>3.0303986894349801</v>
      </c>
      <c r="H2535" t="s">
        <v>46</v>
      </c>
      <c r="I2535" t="s">
        <v>47</v>
      </c>
      <c r="J2535" t="s">
        <v>2915</v>
      </c>
      <c r="K2535">
        <v>0</v>
      </c>
      <c r="L2535">
        <v>622.5111495438307</v>
      </c>
    </row>
    <row r="2536" spans="1:12" hidden="1" x14ac:dyDescent="0.25">
      <c r="A2536">
        <v>852</v>
      </c>
      <c r="B2536" t="s">
        <v>2605</v>
      </c>
      <c r="C2536" t="s">
        <v>2606</v>
      </c>
      <c r="D2536">
        <v>0</v>
      </c>
      <c r="E2536" t="str">
        <f>_xlfn.XLOOKUP(F2536, Keys!B:B, Keys!A:A, "找不到")</f>
        <v>PN</v>
      </c>
      <c r="F2536" t="s">
        <v>80</v>
      </c>
      <c r="G2536">
        <v>1.1821226936829381</v>
      </c>
      <c r="H2536" t="s">
        <v>46</v>
      </c>
      <c r="I2536" t="s">
        <v>47</v>
      </c>
      <c r="J2536" t="s">
        <v>2756</v>
      </c>
      <c r="K2536">
        <v>0</v>
      </c>
      <c r="L2536">
        <v>356.85512735163269</v>
      </c>
    </row>
    <row r="2537" spans="1:12" hidden="1" x14ac:dyDescent="0.25">
      <c r="A2537">
        <v>901</v>
      </c>
      <c r="B2537" t="s">
        <v>2605</v>
      </c>
      <c r="C2537" t="s">
        <v>2606</v>
      </c>
      <c r="D2537" t="s">
        <v>3027</v>
      </c>
      <c r="E2537" t="str">
        <f>_xlfn.XLOOKUP(F2537, Keys!B:B, Keys!A:A, "找不到")</f>
        <v>PN</v>
      </c>
      <c r="F2537" t="s">
        <v>80</v>
      </c>
      <c r="G2537">
        <v>0.52764324882795122</v>
      </c>
      <c r="H2537" t="s">
        <v>46</v>
      </c>
      <c r="I2537" t="s">
        <v>47</v>
      </c>
      <c r="J2537" t="s">
        <v>3884</v>
      </c>
      <c r="K2537">
        <v>0</v>
      </c>
      <c r="L2537">
        <v>236.3090194614897</v>
      </c>
    </row>
    <row r="2538" spans="1:12" hidden="1" x14ac:dyDescent="0.25">
      <c r="A2538">
        <v>932</v>
      </c>
      <c r="B2538" t="s">
        <v>2605</v>
      </c>
      <c r="C2538" t="s">
        <v>2606</v>
      </c>
      <c r="D2538" t="s">
        <v>3027</v>
      </c>
      <c r="E2538" t="str">
        <f>_xlfn.XLOOKUP(F2538, Keys!B:B, Keys!A:A, "找不到")</f>
        <v>PN</v>
      </c>
      <c r="F2538" t="s">
        <v>80</v>
      </c>
      <c r="G2538">
        <v>3.46060519051658</v>
      </c>
      <c r="H2538" t="s">
        <v>46</v>
      </c>
      <c r="I2538" t="s">
        <v>47</v>
      </c>
      <c r="J2538" t="s">
        <v>3912</v>
      </c>
      <c r="K2538">
        <v>0</v>
      </c>
      <c r="L2538">
        <v>491.29310084167332</v>
      </c>
    </row>
    <row r="2539" spans="1:12" hidden="1" x14ac:dyDescent="0.25">
      <c r="A2539">
        <v>978</v>
      </c>
      <c r="B2539" t="s">
        <v>2605</v>
      </c>
      <c r="C2539" t="s">
        <v>2606</v>
      </c>
      <c r="D2539" t="s">
        <v>2702</v>
      </c>
      <c r="E2539" t="str">
        <f>_xlfn.XLOOKUP(F2539, Keys!B:B, Keys!A:A, "找不到")</f>
        <v>PN</v>
      </c>
      <c r="F2539" t="s">
        <v>80</v>
      </c>
      <c r="G2539">
        <v>10.82138143456258</v>
      </c>
      <c r="H2539" t="s">
        <v>46</v>
      </c>
      <c r="I2539" t="s">
        <v>47</v>
      </c>
      <c r="J2539" t="s">
        <v>2883</v>
      </c>
      <c r="K2539">
        <v>0</v>
      </c>
      <c r="L2539">
        <v>861.41453429800185</v>
      </c>
    </row>
    <row r="2540" spans="1:12" hidden="1" x14ac:dyDescent="0.25">
      <c r="A2540">
        <v>997</v>
      </c>
      <c r="B2540" t="s">
        <v>2605</v>
      </c>
      <c r="C2540" t="s">
        <v>2606</v>
      </c>
      <c r="D2540" t="s">
        <v>3027</v>
      </c>
      <c r="E2540" t="str">
        <f>_xlfn.XLOOKUP(F2540, Keys!B:B, Keys!A:A, "找不到")</f>
        <v>PN</v>
      </c>
      <c r="F2540" t="s">
        <v>80</v>
      </c>
      <c r="G2540">
        <v>2.1595792210978368</v>
      </c>
      <c r="H2540" t="s">
        <v>46</v>
      </c>
      <c r="I2540" t="s">
        <v>47</v>
      </c>
      <c r="J2540" t="s">
        <v>3097</v>
      </c>
      <c r="K2540">
        <v>0</v>
      </c>
      <c r="L2540">
        <v>396.39138682174769</v>
      </c>
    </row>
    <row r="2541" spans="1:12" hidden="1" x14ac:dyDescent="0.25">
      <c r="A2541">
        <v>999</v>
      </c>
      <c r="B2541" t="s">
        <v>2605</v>
      </c>
      <c r="C2541" t="s">
        <v>2606</v>
      </c>
      <c r="D2541" t="s">
        <v>3027</v>
      </c>
      <c r="E2541" t="str">
        <f>_xlfn.XLOOKUP(F2541, Keys!B:B, Keys!A:A, "找不到")</f>
        <v>PN</v>
      </c>
      <c r="F2541" t="s">
        <v>80</v>
      </c>
      <c r="G2541">
        <v>1.5849656956986571</v>
      </c>
      <c r="H2541" t="s">
        <v>46</v>
      </c>
      <c r="I2541" t="s">
        <v>47</v>
      </c>
      <c r="J2541" t="s">
        <v>3097</v>
      </c>
      <c r="K2541">
        <v>0</v>
      </c>
      <c r="L2541">
        <v>361.25286442561719</v>
      </c>
    </row>
    <row r="2542" spans="1:12" hidden="1" x14ac:dyDescent="0.25">
      <c r="A2542">
        <v>1025</v>
      </c>
      <c r="B2542" t="s">
        <v>2605</v>
      </c>
      <c r="C2542" t="s">
        <v>2606</v>
      </c>
      <c r="D2542">
        <v>0</v>
      </c>
      <c r="E2542" t="str">
        <f>_xlfn.XLOOKUP(F2542, Keys!B:B, Keys!A:A, "找不到")</f>
        <v>PN</v>
      </c>
      <c r="F2542" t="s">
        <v>80</v>
      </c>
      <c r="G2542">
        <v>2.7321701822420188</v>
      </c>
      <c r="H2542" t="s">
        <v>46</v>
      </c>
      <c r="I2542" t="s">
        <v>47</v>
      </c>
      <c r="J2542" t="s">
        <v>3319</v>
      </c>
      <c r="K2542">
        <v>0</v>
      </c>
      <c r="L2542">
        <v>418.09789150361161</v>
      </c>
    </row>
    <row r="2543" spans="1:12" hidden="1" x14ac:dyDescent="0.25">
      <c r="A2543">
        <v>1031</v>
      </c>
      <c r="B2543" t="s">
        <v>2605</v>
      </c>
      <c r="C2543" t="s">
        <v>2606</v>
      </c>
      <c r="D2543">
        <v>0</v>
      </c>
      <c r="E2543" t="str">
        <f>_xlfn.XLOOKUP(F2543, Keys!B:B, Keys!A:A, "找不到")</f>
        <v>PN</v>
      </c>
      <c r="F2543" t="s">
        <v>80</v>
      </c>
      <c r="G2543">
        <v>2.192051827168874</v>
      </c>
      <c r="H2543" t="s">
        <v>60</v>
      </c>
      <c r="I2543" t="s">
        <v>66</v>
      </c>
      <c r="J2543" t="s">
        <v>2804</v>
      </c>
      <c r="K2543">
        <v>0</v>
      </c>
      <c r="L2543">
        <v>387.11976945786552</v>
      </c>
    </row>
    <row r="2544" spans="1:12" hidden="1" x14ac:dyDescent="0.25">
      <c r="A2544">
        <v>1053</v>
      </c>
      <c r="B2544" t="s">
        <v>2605</v>
      </c>
      <c r="C2544" t="s">
        <v>2606</v>
      </c>
      <c r="D2544">
        <v>0</v>
      </c>
      <c r="E2544" t="str">
        <f>_xlfn.XLOOKUP(F2544, Keys!B:B, Keys!A:A, "找不到")</f>
        <v>PN</v>
      </c>
      <c r="F2544" t="s">
        <v>80</v>
      </c>
      <c r="G2544">
        <v>4.421469538957961</v>
      </c>
      <c r="H2544" t="s">
        <v>60</v>
      </c>
      <c r="I2544" t="s">
        <v>66</v>
      </c>
      <c r="J2544" t="s">
        <v>3089</v>
      </c>
      <c r="K2544">
        <v>0</v>
      </c>
      <c r="L2544">
        <v>593.6849003442394</v>
      </c>
    </row>
    <row r="2545" spans="1:12" hidden="1" x14ac:dyDescent="0.25">
      <c r="A2545">
        <v>1055</v>
      </c>
      <c r="B2545" t="s">
        <v>2605</v>
      </c>
      <c r="C2545" t="s">
        <v>2606</v>
      </c>
      <c r="D2545" t="s">
        <v>2702</v>
      </c>
      <c r="E2545" t="str">
        <f>_xlfn.XLOOKUP(F2545, Keys!B:B, Keys!A:A, "找不到")</f>
        <v>PN</v>
      </c>
      <c r="F2545" t="s">
        <v>80</v>
      </c>
      <c r="G2545">
        <v>1.452757634938894</v>
      </c>
      <c r="H2545" t="s">
        <v>46</v>
      </c>
      <c r="I2545" t="s">
        <v>47</v>
      </c>
      <c r="J2545" t="s">
        <v>2883</v>
      </c>
      <c r="K2545">
        <v>0</v>
      </c>
      <c r="L2545">
        <v>365.09683097952143</v>
      </c>
    </row>
    <row r="2546" spans="1:12" hidden="1" x14ac:dyDescent="0.25">
      <c r="A2546">
        <v>1064</v>
      </c>
      <c r="B2546" t="s">
        <v>2605</v>
      </c>
      <c r="C2546" t="s">
        <v>2606</v>
      </c>
      <c r="D2546" t="s">
        <v>2712</v>
      </c>
      <c r="E2546" t="str">
        <f>_xlfn.XLOOKUP(F2546, Keys!B:B, Keys!A:A, "找不到")</f>
        <v>PN</v>
      </c>
      <c r="F2546" t="s">
        <v>80</v>
      </c>
      <c r="G2546">
        <v>1.7811924112722159</v>
      </c>
      <c r="H2546" t="s">
        <v>46</v>
      </c>
      <c r="I2546" t="s">
        <v>47</v>
      </c>
      <c r="J2546" t="s">
        <v>2722</v>
      </c>
      <c r="K2546">
        <v>0</v>
      </c>
      <c r="L2546">
        <v>483.19565467952282</v>
      </c>
    </row>
    <row r="2547" spans="1:12" hidden="1" x14ac:dyDescent="0.25">
      <c r="A2547">
        <v>13</v>
      </c>
      <c r="B2547" t="s">
        <v>2042</v>
      </c>
      <c r="C2547" t="s">
        <v>972</v>
      </c>
      <c r="D2547" t="s">
        <v>2057</v>
      </c>
      <c r="E2547" t="str">
        <f>_xlfn.XLOOKUP(F2547, Keys!B:B, Keys!A:A, "找不到")</f>
        <v>PN</v>
      </c>
      <c r="F2547" t="s">
        <v>80</v>
      </c>
      <c r="G2547">
        <v>22.08776339618132</v>
      </c>
      <c r="H2547" t="s">
        <v>46</v>
      </c>
      <c r="I2547" t="s">
        <v>47</v>
      </c>
      <c r="J2547" t="s">
        <v>2067</v>
      </c>
      <c r="K2547">
        <v>1260.2077413084221</v>
      </c>
      <c r="L2547">
        <v>89386.364701389248</v>
      </c>
    </row>
    <row r="2548" spans="1:12" hidden="1" x14ac:dyDescent="0.25">
      <c r="A2548">
        <v>14</v>
      </c>
      <c r="B2548" t="s">
        <v>2042</v>
      </c>
      <c r="C2548" t="s">
        <v>972</v>
      </c>
      <c r="D2548" t="s">
        <v>2057</v>
      </c>
      <c r="E2548" t="str">
        <f>_xlfn.XLOOKUP(F2548, Keys!B:B, Keys!A:A, "找不到")</f>
        <v>PN</v>
      </c>
      <c r="F2548" t="s">
        <v>80</v>
      </c>
      <c r="G2548">
        <v>2.8965114944568122</v>
      </c>
      <c r="H2548" t="s">
        <v>46</v>
      </c>
      <c r="I2548" t="s">
        <v>47</v>
      </c>
      <c r="J2548" t="s">
        <v>2067</v>
      </c>
      <c r="K2548">
        <v>458.87305243785511</v>
      </c>
      <c r="L2548">
        <v>11721.813031103209</v>
      </c>
    </row>
    <row r="2549" spans="1:12" hidden="1" x14ac:dyDescent="0.25">
      <c r="A2549">
        <v>15</v>
      </c>
      <c r="B2549" t="s">
        <v>2042</v>
      </c>
      <c r="C2549" t="s">
        <v>972</v>
      </c>
      <c r="D2549" t="s">
        <v>2057</v>
      </c>
      <c r="E2549" t="str">
        <f>_xlfn.XLOOKUP(F2549, Keys!B:B, Keys!A:A, "找不到")</f>
        <v>PN</v>
      </c>
      <c r="F2549" t="s">
        <v>80</v>
      </c>
      <c r="G2549">
        <v>0.25943572096096928</v>
      </c>
      <c r="H2549" t="s">
        <v>46</v>
      </c>
      <c r="I2549" t="s">
        <v>47</v>
      </c>
      <c r="J2549" t="s">
        <v>2074</v>
      </c>
      <c r="K2549">
        <v>159.81613428550631</v>
      </c>
      <c r="L2549">
        <v>1049.903313179926</v>
      </c>
    </row>
    <row r="2550" spans="1:12" hidden="1" x14ac:dyDescent="0.25">
      <c r="A2550">
        <v>16</v>
      </c>
      <c r="B2550" t="s">
        <v>2042</v>
      </c>
      <c r="C2550" t="s">
        <v>972</v>
      </c>
      <c r="D2550" t="s">
        <v>2057</v>
      </c>
      <c r="E2550" t="str">
        <f>_xlfn.XLOOKUP(F2550, Keys!B:B, Keys!A:A, "找不到")</f>
        <v>PN</v>
      </c>
      <c r="F2550" t="s">
        <v>80</v>
      </c>
      <c r="G2550">
        <v>0.16993581212001929</v>
      </c>
      <c r="H2550" t="s">
        <v>46</v>
      </c>
      <c r="I2550" t="s">
        <v>47</v>
      </c>
      <c r="J2550" t="s">
        <v>2074</v>
      </c>
      <c r="K2550">
        <v>111.2659402391988</v>
      </c>
      <c r="L2550">
        <v>687.70858350524293</v>
      </c>
    </row>
    <row r="2551" spans="1:12" hidden="1" x14ac:dyDescent="0.25">
      <c r="A2551">
        <v>17</v>
      </c>
      <c r="B2551" t="s">
        <v>2042</v>
      </c>
      <c r="C2551" t="s">
        <v>972</v>
      </c>
      <c r="D2551" t="s">
        <v>2057</v>
      </c>
      <c r="E2551" t="str">
        <f>_xlfn.XLOOKUP(F2551, Keys!B:B, Keys!A:A, "找不到")</f>
        <v>PN</v>
      </c>
      <c r="F2551" t="s">
        <v>80</v>
      </c>
      <c r="G2551">
        <v>1.430390760032811</v>
      </c>
      <c r="H2551" t="s">
        <v>46</v>
      </c>
      <c r="I2551" t="s">
        <v>47</v>
      </c>
      <c r="J2551" t="s">
        <v>2074</v>
      </c>
      <c r="K2551">
        <v>458.7729559801644</v>
      </c>
      <c r="L2551">
        <v>5788.6091881939947</v>
      </c>
    </row>
    <row r="2552" spans="1:12" hidden="1" x14ac:dyDescent="0.25">
      <c r="A2552">
        <v>18</v>
      </c>
      <c r="B2552" t="s">
        <v>2042</v>
      </c>
      <c r="C2552" t="s">
        <v>972</v>
      </c>
      <c r="D2552" t="s">
        <v>2057</v>
      </c>
      <c r="E2552" t="str">
        <f>_xlfn.XLOOKUP(F2552, Keys!B:B, Keys!A:A, "找不到")</f>
        <v>PN</v>
      </c>
      <c r="F2552" t="s">
        <v>80</v>
      </c>
      <c r="G2552">
        <v>1.430523483026062</v>
      </c>
      <c r="H2552" t="s">
        <v>46</v>
      </c>
      <c r="I2552" t="s">
        <v>47</v>
      </c>
      <c r="J2552" t="s">
        <v>2074</v>
      </c>
      <c r="K2552">
        <v>419.37493105474459</v>
      </c>
      <c r="L2552">
        <v>5789.1463012400864</v>
      </c>
    </row>
    <row r="2553" spans="1:12" hidden="1" x14ac:dyDescent="0.25">
      <c r="A2553">
        <v>20</v>
      </c>
      <c r="B2553" t="s">
        <v>2042</v>
      </c>
      <c r="C2553" t="s">
        <v>972</v>
      </c>
      <c r="D2553" t="s">
        <v>2080</v>
      </c>
      <c r="E2553" t="str">
        <f>_xlfn.XLOOKUP(F2553, Keys!B:B, Keys!A:A, "找不到")</f>
        <v>PN</v>
      </c>
      <c r="F2553" t="s">
        <v>80</v>
      </c>
      <c r="G2553">
        <v>2.1813363529433252</v>
      </c>
      <c r="H2553" t="s">
        <v>46</v>
      </c>
      <c r="I2553" t="s">
        <v>47</v>
      </c>
      <c r="J2553" t="s">
        <v>2081</v>
      </c>
      <c r="K2553">
        <v>386.70968433105742</v>
      </c>
      <c r="L2553">
        <v>8827.5903396493359</v>
      </c>
    </row>
    <row r="2554" spans="1:12" hidden="1" x14ac:dyDescent="0.25">
      <c r="A2554">
        <v>21</v>
      </c>
      <c r="B2554" t="s">
        <v>2042</v>
      </c>
      <c r="C2554" t="s">
        <v>972</v>
      </c>
      <c r="D2554" t="s">
        <v>2080</v>
      </c>
      <c r="E2554" t="str">
        <f>_xlfn.XLOOKUP(F2554, Keys!B:B, Keys!A:A, "找不到")</f>
        <v>PN</v>
      </c>
      <c r="F2554" t="s">
        <v>80</v>
      </c>
      <c r="G2554">
        <v>0.33745601349812221</v>
      </c>
      <c r="H2554" t="s">
        <v>46</v>
      </c>
      <c r="I2554" t="s">
        <v>47</v>
      </c>
      <c r="J2554" t="s">
        <v>2083</v>
      </c>
      <c r="K2554">
        <v>217.4387904366603</v>
      </c>
      <c r="L2554">
        <v>1365.6414980629061</v>
      </c>
    </row>
    <row r="2555" spans="1:12" hidden="1" x14ac:dyDescent="0.25">
      <c r="A2555">
        <v>22</v>
      </c>
      <c r="B2555" t="s">
        <v>2042</v>
      </c>
      <c r="C2555" t="s">
        <v>972</v>
      </c>
      <c r="D2555" t="s">
        <v>2080</v>
      </c>
      <c r="E2555" t="str">
        <f>_xlfn.XLOOKUP(F2555, Keys!B:B, Keys!A:A, "找不到")</f>
        <v>PN</v>
      </c>
      <c r="F2555" t="s">
        <v>80</v>
      </c>
      <c r="G2555">
        <v>1.050242996683493</v>
      </c>
      <c r="H2555" t="s">
        <v>46</v>
      </c>
      <c r="I2555" t="s">
        <v>47</v>
      </c>
      <c r="J2555" t="s">
        <v>2083</v>
      </c>
      <c r="K2555">
        <v>287.48954842263601</v>
      </c>
      <c r="L2555">
        <v>4250.1996169906834</v>
      </c>
    </row>
    <row r="2556" spans="1:12" hidden="1" x14ac:dyDescent="0.25">
      <c r="A2556">
        <v>23</v>
      </c>
      <c r="B2556" t="s">
        <v>2042</v>
      </c>
      <c r="C2556" t="s">
        <v>972</v>
      </c>
      <c r="D2556" t="s">
        <v>2080</v>
      </c>
      <c r="E2556" t="str">
        <f>_xlfn.XLOOKUP(F2556, Keys!B:B, Keys!A:A, "找不到")</f>
        <v>PN</v>
      </c>
      <c r="F2556" t="s">
        <v>80</v>
      </c>
      <c r="G2556">
        <v>18.0936545206748</v>
      </c>
      <c r="H2556" t="s">
        <v>46</v>
      </c>
      <c r="I2556" t="s">
        <v>47</v>
      </c>
      <c r="J2556" t="s">
        <v>2083</v>
      </c>
      <c r="K2556">
        <v>1400.098122696666</v>
      </c>
      <c r="L2556">
        <v>73222.714892246266</v>
      </c>
    </row>
    <row r="2557" spans="1:12" hidden="1" x14ac:dyDescent="0.25">
      <c r="A2557">
        <v>24</v>
      </c>
      <c r="B2557" t="s">
        <v>2042</v>
      </c>
      <c r="C2557" t="s">
        <v>972</v>
      </c>
      <c r="D2557" t="s">
        <v>2080</v>
      </c>
      <c r="E2557" t="str">
        <f>_xlfn.XLOOKUP(F2557, Keys!B:B, Keys!A:A, "找不到")</f>
        <v>PN</v>
      </c>
      <c r="F2557" t="s">
        <v>80</v>
      </c>
      <c r="G2557">
        <v>0.1226661211322319</v>
      </c>
      <c r="H2557" t="s">
        <v>46</v>
      </c>
      <c r="I2557" t="s">
        <v>47</v>
      </c>
      <c r="J2557" t="s">
        <v>2081</v>
      </c>
      <c r="K2557">
        <v>114.9340714705839</v>
      </c>
      <c r="L2557">
        <v>496.41416576954629</v>
      </c>
    </row>
    <row r="2558" spans="1:12" hidden="1" x14ac:dyDescent="0.25">
      <c r="A2558">
        <v>25</v>
      </c>
      <c r="B2558" t="s">
        <v>2042</v>
      </c>
      <c r="C2558" t="s">
        <v>972</v>
      </c>
      <c r="D2558" t="s">
        <v>2080</v>
      </c>
      <c r="E2558" t="str">
        <f>_xlfn.XLOOKUP(F2558, Keys!B:B, Keys!A:A, "找不到")</f>
        <v>PN</v>
      </c>
      <c r="F2558" t="s">
        <v>80</v>
      </c>
      <c r="G2558">
        <v>0.86514301331366261</v>
      </c>
      <c r="H2558" t="s">
        <v>46</v>
      </c>
      <c r="I2558" t="s">
        <v>47</v>
      </c>
      <c r="J2558" t="s">
        <v>2083</v>
      </c>
      <c r="K2558">
        <v>243.05507041992101</v>
      </c>
      <c r="L2558">
        <v>3501.123564203137</v>
      </c>
    </row>
    <row r="2559" spans="1:12" hidden="1" x14ac:dyDescent="0.25">
      <c r="A2559">
        <v>26</v>
      </c>
      <c r="B2559" t="s">
        <v>2042</v>
      </c>
      <c r="C2559" t="s">
        <v>972</v>
      </c>
      <c r="D2559" t="s">
        <v>2080</v>
      </c>
      <c r="E2559" t="str">
        <f>_xlfn.XLOOKUP(F2559, Keys!B:B, Keys!A:A, "找不到")</f>
        <v>PN</v>
      </c>
      <c r="F2559" t="s">
        <v>80</v>
      </c>
      <c r="G2559">
        <v>5.3357688098527447</v>
      </c>
      <c r="H2559" t="s">
        <v>46</v>
      </c>
      <c r="I2559" t="s">
        <v>47</v>
      </c>
      <c r="J2559" t="s">
        <v>2083</v>
      </c>
      <c r="K2559">
        <v>765.81521164182857</v>
      </c>
      <c r="L2559">
        <v>21593.176649214409</v>
      </c>
    </row>
    <row r="2560" spans="1:12" hidden="1" x14ac:dyDescent="0.25">
      <c r="A2560">
        <v>27</v>
      </c>
      <c r="B2560" t="s">
        <v>2042</v>
      </c>
      <c r="C2560" t="s">
        <v>972</v>
      </c>
      <c r="D2560" t="s">
        <v>2080</v>
      </c>
      <c r="E2560" t="str">
        <f>_xlfn.XLOOKUP(F2560, Keys!B:B, Keys!A:A, "找不到")</f>
        <v>PN</v>
      </c>
      <c r="F2560" t="s">
        <v>80</v>
      </c>
      <c r="G2560">
        <v>9.0050345152040077</v>
      </c>
      <c r="H2560" t="s">
        <v>46</v>
      </c>
      <c r="I2560" t="s">
        <v>47</v>
      </c>
      <c r="J2560" t="s">
        <v>2083</v>
      </c>
      <c r="K2560">
        <v>869.01861526748633</v>
      </c>
      <c r="L2560">
        <v>36442.227530551361</v>
      </c>
    </row>
    <row r="2561" spans="1:12" hidden="1" x14ac:dyDescent="0.25">
      <c r="A2561">
        <v>28</v>
      </c>
      <c r="B2561" t="s">
        <v>2042</v>
      </c>
      <c r="C2561" t="s">
        <v>972</v>
      </c>
      <c r="D2561" t="s">
        <v>2080</v>
      </c>
      <c r="E2561" t="str">
        <f>_xlfn.XLOOKUP(F2561, Keys!B:B, Keys!A:A, "找不到")</f>
        <v>PN</v>
      </c>
      <c r="F2561" t="s">
        <v>80</v>
      </c>
      <c r="G2561">
        <v>0.95408873007304307</v>
      </c>
      <c r="H2561" t="s">
        <v>46</v>
      </c>
      <c r="I2561" t="s">
        <v>47</v>
      </c>
      <c r="J2561" t="s">
        <v>2083</v>
      </c>
      <c r="K2561">
        <v>269.32390870956709</v>
      </c>
      <c r="L2561">
        <v>3861.0755491223058</v>
      </c>
    </row>
    <row r="2562" spans="1:12" hidden="1" x14ac:dyDescent="0.25">
      <c r="A2562">
        <v>29</v>
      </c>
      <c r="B2562" t="s">
        <v>2042</v>
      </c>
      <c r="C2562" t="s">
        <v>972</v>
      </c>
      <c r="D2562" t="s">
        <v>2080</v>
      </c>
      <c r="E2562" t="str">
        <f>_xlfn.XLOOKUP(F2562, Keys!B:B, Keys!A:A, "找不到")</f>
        <v>PN</v>
      </c>
      <c r="F2562" t="s">
        <v>80</v>
      </c>
      <c r="G2562">
        <v>2.33812888035362</v>
      </c>
      <c r="H2562" t="s">
        <v>46</v>
      </c>
      <c r="I2562" t="s">
        <v>47</v>
      </c>
      <c r="J2562" t="s">
        <v>2083</v>
      </c>
      <c r="K2562">
        <v>412.2627808614435</v>
      </c>
      <c r="L2562">
        <v>9462.1097242590149</v>
      </c>
    </row>
    <row r="2563" spans="1:12" hidden="1" x14ac:dyDescent="0.25">
      <c r="A2563">
        <v>30</v>
      </c>
      <c r="B2563" t="s">
        <v>2042</v>
      </c>
      <c r="C2563" t="s">
        <v>972</v>
      </c>
      <c r="D2563" t="s">
        <v>2080</v>
      </c>
      <c r="E2563" t="str">
        <f>_xlfn.XLOOKUP(F2563, Keys!B:B, Keys!A:A, "找不到")</f>
        <v>PN</v>
      </c>
      <c r="F2563" t="s">
        <v>80</v>
      </c>
      <c r="G2563">
        <v>1.6185630594103719</v>
      </c>
      <c r="H2563" t="s">
        <v>46</v>
      </c>
      <c r="I2563" t="s">
        <v>47</v>
      </c>
      <c r="J2563" t="s">
        <v>2083</v>
      </c>
      <c r="K2563">
        <v>337.09380518091513</v>
      </c>
      <c r="L2563">
        <v>6550.1185124821059</v>
      </c>
    </row>
    <row r="2564" spans="1:12" hidden="1" x14ac:dyDescent="0.25">
      <c r="A2564">
        <v>31</v>
      </c>
      <c r="B2564" t="s">
        <v>2042</v>
      </c>
      <c r="C2564" t="s">
        <v>972</v>
      </c>
      <c r="D2564" t="s">
        <v>2080</v>
      </c>
      <c r="E2564" t="str">
        <f>_xlfn.XLOOKUP(F2564, Keys!B:B, Keys!A:A, "找不到")</f>
        <v>PN</v>
      </c>
      <c r="F2564" t="s">
        <v>80</v>
      </c>
      <c r="G2564">
        <v>0.46842338349744977</v>
      </c>
      <c r="H2564" t="s">
        <v>46</v>
      </c>
      <c r="I2564" t="s">
        <v>47</v>
      </c>
      <c r="J2564" t="s">
        <v>2083</v>
      </c>
      <c r="K2564">
        <v>285.81966507034571</v>
      </c>
      <c r="L2564">
        <v>1895.649760500452</v>
      </c>
    </row>
    <row r="2565" spans="1:12" hidden="1" x14ac:dyDescent="0.25">
      <c r="A2565">
        <v>32</v>
      </c>
      <c r="B2565" t="s">
        <v>2042</v>
      </c>
      <c r="C2565" t="s">
        <v>972</v>
      </c>
      <c r="D2565" t="s">
        <v>2080</v>
      </c>
      <c r="E2565" t="str">
        <f>_xlfn.XLOOKUP(F2565, Keys!B:B, Keys!A:A, "找不到")</f>
        <v>PN</v>
      </c>
      <c r="F2565" t="s">
        <v>80</v>
      </c>
      <c r="G2565">
        <v>3.735281753135689</v>
      </c>
      <c r="H2565" t="s">
        <v>46</v>
      </c>
      <c r="I2565" t="s">
        <v>47</v>
      </c>
      <c r="J2565" t="s">
        <v>2083</v>
      </c>
      <c r="K2565">
        <v>484.94921791825902</v>
      </c>
      <c r="L2565">
        <v>15116.209416927901</v>
      </c>
    </row>
    <row r="2566" spans="1:12" hidden="1" x14ac:dyDescent="0.25">
      <c r="A2566">
        <v>66</v>
      </c>
      <c r="B2566" t="s">
        <v>2042</v>
      </c>
      <c r="C2566" t="s">
        <v>972</v>
      </c>
      <c r="D2566">
        <v>0</v>
      </c>
      <c r="E2566" t="str">
        <f>_xlfn.XLOOKUP(F2566, Keys!B:B, Keys!A:A, "找不到")</f>
        <v>PN</v>
      </c>
      <c r="F2566" t="s">
        <v>80</v>
      </c>
      <c r="G2566">
        <v>1.653558002747183</v>
      </c>
      <c r="H2566" t="s">
        <v>60</v>
      </c>
      <c r="I2566" t="s">
        <v>66</v>
      </c>
      <c r="J2566" t="s">
        <v>2151</v>
      </c>
      <c r="K2566">
        <v>333.4108630127663</v>
      </c>
      <c r="L2566">
        <v>6691.7385901559464</v>
      </c>
    </row>
    <row r="2567" spans="1:12" hidden="1" x14ac:dyDescent="0.25">
      <c r="A2567">
        <v>83</v>
      </c>
      <c r="B2567" t="s">
        <v>2042</v>
      </c>
      <c r="C2567" t="s">
        <v>972</v>
      </c>
      <c r="D2567" t="s">
        <v>2185</v>
      </c>
      <c r="E2567" t="str">
        <f>_xlfn.XLOOKUP(F2567, Keys!B:B, Keys!A:A, "找不到")</f>
        <v>PN</v>
      </c>
      <c r="F2567" t="s">
        <v>80</v>
      </c>
      <c r="G2567">
        <v>0.25950740348535578</v>
      </c>
      <c r="H2567" t="s">
        <v>60</v>
      </c>
      <c r="I2567" t="s">
        <v>66</v>
      </c>
      <c r="J2567" t="s">
        <v>2186</v>
      </c>
      <c r="K2567">
        <v>137.562816769943</v>
      </c>
      <c r="L2567">
        <v>1050.1934032244719</v>
      </c>
    </row>
    <row r="2568" spans="1:12" hidden="1" x14ac:dyDescent="0.25">
      <c r="A2568">
        <v>108</v>
      </c>
      <c r="B2568" t="s">
        <v>2042</v>
      </c>
      <c r="C2568" t="s">
        <v>972</v>
      </c>
      <c r="D2568" t="s">
        <v>2241</v>
      </c>
      <c r="E2568" t="str">
        <f>_xlfn.XLOOKUP(F2568, Keys!B:B, Keys!A:A, "找不到")</f>
        <v>PN</v>
      </c>
      <c r="F2568" t="s">
        <v>80</v>
      </c>
      <c r="G2568">
        <v>10.52568979288087</v>
      </c>
      <c r="H2568" t="s">
        <v>46</v>
      </c>
      <c r="I2568" t="s">
        <v>47</v>
      </c>
      <c r="J2568" t="s">
        <v>2242</v>
      </c>
      <c r="K2568">
        <v>994.1506498510937</v>
      </c>
      <c r="L2568">
        <v>42596.125722842582</v>
      </c>
    </row>
    <row r="2569" spans="1:12" hidden="1" x14ac:dyDescent="0.25">
      <c r="A2569">
        <v>120</v>
      </c>
      <c r="B2569" t="s">
        <v>2042</v>
      </c>
      <c r="C2569" t="s">
        <v>972</v>
      </c>
      <c r="D2569" t="s">
        <v>2241</v>
      </c>
      <c r="E2569" t="str">
        <f>_xlfn.XLOOKUP(F2569, Keys!B:B, Keys!A:A, "找不到")</f>
        <v>PN</v>
      </c>
      <c r="F2569" t="s">
        <v>80</v>
      </c>
      <c r="G2569">
        <v>2.4106005346253641</v>
      </c>
      <c r="H2569" t="s">
        <v>46</v>
      </c>
      <c r="I2569" t="s">
        <v>47</v>
      </c>
      <c r="J2569" t="s">
        <v>2257</v>
      </c>
      <c r="K2569">
        <v>489.41545848820368</v>
      </c>
      <c r="L2569">
        <v>9755.3932769236126</v>
      </c>
    </row>
    <row r="2570" spans="1:12" hidden="1" x14ac:dyDescent="0.25">
      <c r="A2570">
        <v>126</v>
      </c>
      <c r="B2570" t="s">
        <v>2042</v>
      </c>
      <c r="C2570" t="s">
        <v>972</v>
      </c>
      <c r="D2570" t="s">
        <v>2241</v>
      </c>
      <c r="E2570" t="str">
        <f>_xlfn.XLOOKUP(F2570, Keys!B:B, Keys!A:A, "找不到")</f>
        <v>PN</v>
      </c>
      <c r="F2570" t="s">
        <v>80</v>
      </c>
      <c r="G2570">
        <v>0.84590710085404386</v>
      </c>
      <c r="H2570" t="s">
        <v>46</v>
      </c>
      <c r="I2570" t="s">
        <v>47</v>
      </c>
      <c r="J2570" t="s">
        <v>2257</v>
      </c>
      <c r="K2570">
        <v>257.70432246722447</v>
      </c>
      <c r="L2570">
        <v>3423.278276944367</v>
      </c>
    </row>
    <row r="2571" spans="1:12" hidden="1" x14ac:dyDescent="0.25">
      <c r="A2571">
        <v>139</v>
      </c>
      <c r="B2571" t="s">
        <v>2042</v>
      </c>
      <c r="C2571" t="s">
        <v>972</v>
      </c>
      <c r="D2571" t="s">
        <v>2241</v>
      </c>
      <c r="E2571" t="str">
        <f>_xlfn.XLOOKUP(F2571, Keys!B:B, Keys!A:A, "找不到")</f>
        <v>PN</v>
      </c>
      <c r="F2571" t="s">
        <v>80</v>
      </c>
      <c r="G2571">
        <v>1.3699322915338961</v>
      </c>
      <c r="H2571" t="s">
        <v>46</v>
      </c>
      <c r="I2571" t="s">
        <v>47</v>
      </c>
      <c r="J2571" t="s">
        <v>2257</v>
      </c>
      <c r="K2571">
        <v>299.05196624695429</v>
      </c>
      <c r="L2571">
        <v>5543.9414679907932</v>
      </c>
    </row>
    <row r="2572" spans="1:12" hidden="1" x14ac:dyDescent="0.25">
      <c r="A2572">
        <v>142</v>
      </c>
      <c r="B2572" t="s">
        <v>2042</v>
      </c>
      <c r="C2572" t="s">
        <v>972</v>
      </c>
      <c r="D2572" t="s">
        <v>2241</v>
      </c>
      <c r="E2572" t="str">
        <f>_xlfn.XLOOKUP(F2572, Keys!B:B, Keys!A:A, "找不到")</f>
        <v>PN</v>
      </c>
      <c r="F2572" t="s">
        <v>80</v>
      </c>
      <c r="G2572">
        <v>1.1897753719336179</v>
      </c>
      <c r="H2572" t="s">
        <v>46</v>
      </c>
      <c r="I2572" t="s">
        <v>47</v>
      </c>
      <c r="J2572" t="s">
        <v>2293</v>
      </c>
      <c r="K2572">
        <v>326.54673101093817</v>
      </c>
      <c r="L2572">
        <v>4814.8693645811081</v>
      </c>
    </row>
    <row r="2573" spans="1:12" hidden="1" x14ac:dyDescent="0.25">
      <c r="A2573">
        <v>144</v>
      </c>
      <c r="B2573" t="s">
        <v>2042</v>
      </c>
      <c r="C2573" t="s">
        <v>972</v>
      </c>
      <c r="D2573" t="s">
        <v>2241</v>
      </c>
      <c r="E2573" t="str">
        <f>_xlfn.XLOOKUP(F2573, Keys!B:B, Keys!A:A, "找不到")</f>
        <v>PN</v>
      </c>
      <c r="F2573" t="s">
        <v>80</v>
      </c>
      <c r="G2573">
        <v>2.4162983119358108</v>
      </c>
      <c r="H2573" t="s">
        <v>46</v>
      </c>
      <c r="I2573" t="s">
        <v>47</v>
      </c>
      <c r="J2573" t="s">
        <v>2257</v>
      </c>
      <c r="K2573">
        <v>407.97951473780739</v>
      </c>
      <c r="L2573">
        <v>9778.4514558584233</v>
      </c>
    </row>
    <row r="2574" spans="1:12" hidden="1" x14ac:dyDescent="0.25">
      <c r="A2574">
        <v>146</v>
      </c>
      <c r="B2574" t="s">
        <v>2042</v>
      </c>
      <c r="C2574" t="s">
        <v>972</v>
      </c>
      <c r="D2574" t="s">
        <v>2241</v>
      </c>
      <c r="E2574" t="str">
        <f>_xlfn.XLOOKUP(F2574, Keys!B:B, Keys!A:A, "找不到")</f>
        <v>PN</v>
      </c>
      <c r="F2574" t="s">
        <v>80</v>
      </c>
      <c r="G2574">
        <v>0.8533746878609838</v>
      </c>
      <c r="H2574" t="s">
        <v>46</v>
      </c>
      <c r="I2574" t="s">
        <v>47</v>
      </c>
      <c r="J2574" t="s">
        <v>2257</v>
      </c>
      <c r="K2574">
        <v>238.17970851137181</v>
      </c>
      <c r="L2574">
        <v>3453.4986502646038</v>
      </c>
    </row>
    <row r="2575" spans="1:12" hidden="1" x14ac:dyDescent="0.25">
      <c r="A2575">
        <v>147</v>
      </c>
      <c r="B2575" t="s">
        <v>2042</v>
      </c>
      <c r="C2575" t="s">
        <v>972</v>
      </c>
      <c r="D2575" t="s">
        <v>2241</v>
      </c>
      <c r="E2575" t="str">
        <f>_xlfn.XLOOKUP(F2575, Keys!B:B, Keys!A:A, "找不到")</f>
        <v>PN</v>
      </c>
      <c r="F2575" t="s">
        <v>80</v>
      </c>
      <c r="G2575">
        <v>2.1525359180108801</v>
      </c>
      <c r="H2575" t="s">
        <v>46</v>
      </c>
      <c r="I2575" t="s">
        <v>47</v>
      </c>
      <c r="J2575" t="s">
        <v>2257</v>
      </c>
      <c r="K2575">
        <v>380.58087628638862</v>
      </c>
      <c r="L2575">
        <v>8711.0386483687562</v>
      </c>
    </row>
    <row r="2576" spans="1:12" hidden="1" x14ac:dyDescent="0.25">
      <c r="A2576">
        <v>148</v>
      </c>
      <c r="B2576" t="s">
        <v>2042</v>
      </c>
      <c r="C2576" t="s">
        <v>972</v>
      </c>
      <c r="D2576" t="s">
        <v>2241</v>
      </c>
      <c r="E2576" t="str">
        <f>_xlfn.XLOOKUP(F2576, Keys!B:B, Keys!A:A, "找不到")</f>
        <v>PN</v>
      </c>
      <c r="F2576" t="s">
        <v>80</v>
      </c>
      <c r="G2576">
        <v>0.162999288064682</v>
      </c>
      <c r="H2576" t="s">
        <v>46</v>
      </c>
      <c r="I2576" t="s">
        <v>47</v>
      </c>
      <c r="J2576" t="s">
        <v>2257</v>
      </c>
      <c r="K2576">
        <v>140.73699366017809</v>
      </c>
      <c r="L2576">
        <v>659.63735429796452</v>
      </c>
    </row>
    <row r="2577" spans="1:12" hidden="1" x14ac:dyDescent="0.25">
      <c r="A2577">
        <v>149</v>
      </c>
      <c r="B2577" t="s">
        <v>2042</v>
      </c>
      <c r="C2577" t="s">
        <v>972</v>
      </c>
      <c r="D2577" t="s">
        <v>2241</v>
      </c>
      <c r="E2577" t="str">
        <f>_xlfn.XLOOKUP(F2577, Keys!B:B, Keys!A:A, "找不到")</f>
        <v>PN</v>
      </c>
      <c r="F2577" t="s">
        <v>80</v>
      </c>
      <c r="G2577">
        <v>1.177829994079834</v>
      </c>
      <c r="H2577" t="s">
        <v>46</v>
      </c>
      <c r="I2577" t="s">
        <v>47</v>
      </c>
      <c r="J2577" t="s">
        <v>2257</v>
      </c>
      <c r="K2577">
        <v>288.41149854480642</v>
      </c>
      <c r="L2577">
        <v>4766.5279421300311</v>
      </c>
    </row>
    <row r="2578" spans="1:12" hidden="1" x14ac:dyDescent="0.25">
      <c r="A2578">
        <v>152</v>
      </c>
      <c r="B2578" t="s">
        <v>2042</v>
      </c>
      <c r="C2578" t="s">
        <v>972</v>
      </c>
      <c r="D2578" t="s">
        <v>2241</v>
      </c>
      <c r="E2578" t="str">
        <f>_xlfn.XLOOKUP(F2578, Keys!B:B, Keys!A:A, "找不到")</f>
        <v>PN</v>
      </c>
      <c r="F2578" t="s">
        <v>80</v>
      </c>
      <c r="G2578">
        <v>3.4654157835098438</v>
      </c>
      <c r="H2578" t="s">
        <v>46</v>
      </c>
      <c r="I2578" t="s">
        <v>47</v>
      </c>
      <c r="J2578" t="s">
        <v>2257</v>
      </c>
      <c r="K2578">
        <v>692.83281008555514</v>
      </c>
      <c r="L2578">
        <v>14024.09621611191</v>
      </c>
    </row>
    <row r="2579" spans="1:12" hidden="1" x14ac:dyDescent="0.25">
      <c r="A2579">
        <v>208</v>
      </c>
      <c r="B2579" t="s">
        <v>2042</v>
      </c>
      <c r="C2579" t="s">
        <v>972</v>
      </c>
      <c r="D2579">
        <v>0</v>
      </c>
      <c r="E2579" t="str">
        <f>_xlfn.XLOOKUP(F2579, Keys!B:B, Keys!A:A, "找不到")</f>
        <v>PN</v>
      </c>
      <c r="F2579" t="s">
        <v>80</v>
      </c>
      <c r="G2579">
        <v>0.48317601420857692</v>
      </c>
      <c r="H2579" t="s">
        <v>46</v>
      </c>
      <c r="I2579" t="s">
        <v>47</v>
      </c>
      <c r="J2579" t="s">
        <v>2293</v>
      </c>
      <c r="K2579">
        <v>204.5659018684799</v>
      </c>
      <c r="L2579">
        <v>1955.351777648902</v>
      </c>
    </row>
    <row r="2580" spans="1:12" hidden="1" x14ac:dyDescent="0.25">
      <c r="A2580">
        <v>209</v>
      </c>
      <c r="B2580" t="s">
        <v>2042</v>
      </c>
      <c r="C2580" t="s">
        <v>972</v>
      </c>
      <c r="D2580">
        <v>0</v>
      </c>
      <c r="E2580" t="str">
        <f>_xlfn.XLOOKUP(F2580, Keys!B:B, Keys!A:A, "找不到")</f>
        <v>PN</v>
      </c>
      <c r="F2580" t="s">
        <v>80</v>
      </c>
      <c r="G2580">
        <v>2.1395550508936809</v>
      </c>
      <c r="H2580" t="s">
        <v>60</v>
      </c>
      <c r="I2580" t="s">
        <v>66</v>
      </c>
      <c r="J2580" t="s">
        <v>2411</v>
      </c>
      <c r="K2580">
        <v>484.30228218180991</v>
      </c>
      <c r="L2580">
        <v>8658.5067327797478</v>
      </c>
    </row>
    <row r="2581" spans="1:12" hidden="1" x14ac:dyDescent="0.25">
      <c r="A2581">
        <v>243</v>
      </c>
      <c r="B2581" t="s">
        <v>2042</v>
      </c>
      <c r="C2581" t="s">
        <v>972</v>
      </c>
      <c r="D2581">
        <v>0</v>
      </c>
      <c r="E2581" t="str">
        <f>_xlfn.XLOOKUP(F2581, Keys!B:B, Keys!A:A, "找不到")</f>
        <v>PN</v>
      </c>
      <c r="F2581" t="s">
        <v>80</v>
      </c>
      <c r="G2581">
        <v>4.996465430216217</v>
      </c>
      <c r="H2581" t="s">
        <v>60</v>
      </c>
      <c r="I2581" t="s">
        <v>66</v>
      </c>
      <c r="J2581" t="s">
        <v>2484</v>
      </c>
      <c r="K2581">
        <v>619.19160414043063</v>
      </c>
      <c r="L2581">
        <v>20220.059095725581</v>
      </c>
    </row>
    <row r="2582" spans="1:12" hidden="1" x14ac:dyDescent="0.25">
      <c r="A2582">
        <v>273</v>
      </c>
      <c r="B2582" t="s">
        <v>2042</v>
      </c>
      <c r="C2582" t="s">
        <v>972</v>
      </c>
      <c r="D2582">
        <v>0</v>
      </c>
      <c r="E2582" t="str">
        <f>_xlfn.XLOOKUP(F2582, Keys!B:B, Keys!A:A, "找不到")</f>
        <v>PN</v>
      </c>
      <c r="F2582" t="s">
        <v>80</v>
      </c>
      <c r="G2582">
        <v>8.4945204485158872</v>
      </c>
      <c r="H2582" t="s">
        <v>60</v>
      </c>
      <c r="I2582" t="s">
        <v>66</v>
      </c>
      <c r="J2582" t="s">
        <v>2531</v>
      </c>
      <c r="K2582">
        <v>844.24594018874939</v>
      </c>
      <c r="L2582">
        <v>34376.242137115689</v>
      </c>
    </row>
    <row r="2583" spans="1:12" hidden="1" x14ac:dyDescent="0.25">
      <c r="A2583">
        <v>307</v>
      </c>
      <c r="B2583" t="s">
        <v>2042</v>
      </c>
      <c r="C2583" t="s">
        <v>972</v>
      </c>
      <c r="D2583">
        <v>0</v>
      </c>
      <c r="E2583" t="str">
        <f>_xlfn.XLOOKUP(F2583, Keys!B:B, Keys!A:A, "找不到")</f>
        <v>PN</v>
      </c>
      <c r="F2583" t="s">
        <v>80</v>
      </c>
      <c r="G2583">
        <v>2.5868319848651549</v>
      </c>
      <c r="H2583" t="s">
        <v>60</v>
      </c>
      <c r="I2583" t="s">
        <v>66</v>
      </c>
      <c r="J2583">
        <v>0</v>
      </c>
      <c r="K2583">
        <v>392.47939402559388</v>
      </c>
      <c r="L2583">
        <v>10468.57950589744</v>
      </c>
    </row>
    <row r="2584" spans="1:12" hidden="1" x14ac:dyDescent="0.25">
      <c r="A2584">
        <v>316</v>
      </c>
      <c r="B2584" t="s">
        <v>2042</v>
      </c>
      <c r="C2584" t="s">
        <v>972</v>
      </c>
      <c r="D2584">
        <v>0</v>
      </c>
      <c r="E2584" t="str">
        <f>_xlfn.XLOOKUP(F2584, Keys!B:B, Keys!A:A, "找不到")</f>
        <v>PN</v>
      </c>
      <c r="F2584" t="s">
        <v>80</v>
      </c>
      <c r="G2584">
        <v>1.9496962121412591</v>
      </c>
      <c r="H2584" t="s">
        <v>46</v>
      </c>
      <c r="I2584" t="s">
        <v>47</v>
      </c>
      <c r="J2584">
        <v>0</v>
      </c>
      <c r="K2584">
        <v>360.01214201262661</v>
      </c>
      <c r="L2584">
        <v>7890.1721984900396</v>
      </c>
    </row>
    <row r="2585" spans="1:12" hidden="1" x14ac:dyDescent="0.25">
      <c r="A2585">
        <v>317</v>
      </c>
      <c r="B2585" t="s">
        <v>2042</v>
      </c>
      <c r="C2585" t="s">
        <v>972</v>
      </c>
      <c r="D2585" t="s">
        <v>2241</v>
      </c>
      <c r="E2585" t="str">
        <f>_xlfn.XLOOKUP(F2585, Keys!B:B, Keys!A:A, "找不到")</f>
        <v>PN</v>
      </c>
      <c r="F2585" t="s">
        <v>80</v>
      </c>
      <c r="G2585">
        <v>4.0188975041131823</v>
      </c>
      <c r="H2585" t="s">
        <v>46</v>
      </c>
      <c r="I2585" t="s">
        <v>47</v>
      </c>
      <c r="J2585" t="s">
        <v>2257</v>
      </c>
      <c r="K2585">
        <v>559.60285215726356</v>
      </c>
      <c r="L2585">
        <v>16263.96623128763</v>
      </c>
    </row>
    <row r="2586" spans="1:12" hidden="1" x14ac:dyDescent="0.25">
      <c r="A2586">
        <v>323</v>
      </c>
      <c r="B2586" t="s">
        <v>2042</v>
      </c>
      <c r="C2586" t="s">
        <v>972</v>
      </c>
      <c r="D2586" t="s">
        <v>2241</v>
      </c>
      <c r="E2586" t="str">
        <f>_xlfn.XLOOKUP(F2586, Keys!B:B, Keys!A:A, "找不到")</f>
        <v>PN</v>
      </c>
      <c r="F2586" t="s">
        <v>80</v>
      </c>
      <c r="G2586">
        <v>5.884213109474449</v>
      </c>
      <c r="H2586" t="s">
        <v>46</v>
      </c>
      <c r="I2586" t="s">
        <v>47</v>
      </c>
      <c r="J2586" t="s">
        <v>2257</v>
      </c>
      <c r="K2586">
        <v>866.60687852082765</v>
      </c>
      <c r="L2586">
        <v>23812.660863395151</v>
      </c>
    </row>
    <row r="2587" spans="1:12" hidden="1" x14ac:dyDescent="0.25">
      <c r="A2587">
        <v>333</v>
      </c>
      <c r="B2587" t="s">
        <v>2042</v>
      </c>
      <c r="C2587" t="s">
        <v>972</v>
      </c>
      <c r="D2587" t="s">
        <v>2241</v>
      </c>
      <c r="E2587" t="str">
        <f>_xlfn.XLOOKUP(F2587, Keys!B:B, Keys!A:A, "找不到")</f>
        <v>PN</v>
      </c>
      <c r="F2587" t="s">
        <v>80</v>
      </c>
      <c r="G2587">
        <v>0.89463246901244087</v>
      </c>
      <c r="H2587" t="s">
        <v>46</v>
      </c>
      <c r="I2587" t="s">
        <v>47</v>
      </c>
      <c r="J2587" t="s">
        <v>2257</v>
      </c>
      <c r="K2587">
        <v>247.4385673391867</v>
      </c>
      <c r="L2587">
        <v>3620.4636347506221</v>
      </c>
    </row>
    <row r="2588" spans="1:12" hidden="1" x14ac:dyDescent="0.25">
      <c r="A2588">
        <v>366</v>
      </c>
      <c r="B2588" t="s">
        <v>2042</v>
      </c>
      <c r="C2588" t="s">
        <v>972</v>
      </c>
      <c r="D2588">
        <v>0</v>
      </c>
      <c r="E2588" t="str">
        <f>_xlfn.XLOOKUP(F2588, Keys!B:B, Keys!A:A, "找不到")</f>
        <v>PN</v>
      </c>
      <c r="F2588" t="s">
        <v>80</v>
      </c>
      <c r="G2588">
        <v>6.1439803955519361</v>
      </c>
      <c r="H2588" t="s">
        <v>60</v>
      </c>
      <c r="I2588" t="s">
        <v>66</v>
      </c>
      <c r="J2588" t="s">
        <v>2597</v>
      </c>
      <c r="K2588">
        <v>919.54766656386391</v>
      </c>
      <c r="L2588">
        <v>24863.905978363498</v>
      </c>
    </row>
    <row r="2589" spans="1:12" hidden="1" x14ac:dyDescent="0.25">
      <c r="A2589">
        <v>373</v>
      </c>
      <c r="B2589" t="s">
        <v>2042</v>
      </c>
      <c r="C2589" t="s">
        <v>972</v>
      </c>
      <c r="D2589">
        <v>0</v>
      </c>
      <c r="E2589" t="str">
        <f>_xlfn.XLOOKUP(F2589, Keys!B:B, Keys!A:A, "找不到")</f>
        <v>PN</v>
      </c>
      <c r="F2589" t="s">
        <v>80</v>
      </c>
      <c r="G2589">
        <v>3.0583374191349009</v>
      </c>
      <c r="H2589" t="s">
        <v>46</v>
      </c>
      <c r="I2589" t="s">
        <v>47</v>
      </c>
      <c r="J2589" t="s">
        <v>2257</v>
      </c>
      <c r="K2589">
        <v>449.96500075184991</v>
      </c>
      <c r="L2589">
        <v>12376.701933250541</v>
      </c>
    </row>
    <row r="2590" spans="1:12" hidden="1" x14ac:dyDescent="0.25">
      <c r="A2590">
        <v>374</v>
      </c>
      <c r="B2590" t="s">
        <v>2042</v>
      </c>
      <c r="C2590" t="s">
        <v>972</v>
      </c>
      <c r="D2590">
        <v>0</v>
      </c>
      <c r="E2590" t="str">
        <f>_xlfn.XLOOKUP(F2590, Keys!B:B, Keys!A:A, "找不到")</f>
        <v>PN</v>
      </c>
      <c r="F2590" t="s">
        <v>80</v>
      </c>
      <c r="G2590">
        <v>4.8396089029203662</v>
      </c>
      <c r="H2590" t="s">
        <v>60</v>
      </c>
      <c r="I2590" t="s">
        <v>66</v>
      </c>
      <c r="J2590" t="s">
        <v>2601</v>
      </c>
      <c r="K2590">
        <v>674.15291931503089</v>
      </c>
      <c r="L2590">
        <v>19585.280711732012</v>
      </c>
    </row>
    <row r="2591" spans="1:12" hidden="1" x14ac:dyDescent="0.25">
      <c r="A2591">
        <v>377</v>
      </c>
      <c r="B2591" t="s">
        <v>2042</v>
      </c>
      <c r="C2591" t="s">
        <v>972</v>
      </c>
      <c r="D2591" t="s">
        <v>2241</v>
      </c>
      <c r="E2591" t="str">
        <f>_xlfn.XLOOKUP(F2591, Keys!B:B, Keys!A:A, "找不到")</f>
        <v>PN</v>
      </c>
      <c r="F2591" t="s">
        <v>80</v>
      </c>
      <c r="G2591">
        <v>1.503702523050813</v>
      </c>
      <c r="H2591" t="s">
        <v>60</v>
      </c>
      <c r="I2591" t="s">
        <v>66</v>
      </c>
      <c r="J2591" t="s">
        <v>2601</v>
      </c>
      <c r="K2591">
        <v>322.32748532948477</v>
      </c>
      <c r="L2591">
        <v>6085.2925539331427</v>
      </c>
    </row>
    <row r="2592" spans="1:12" hidden="1" x14ac:dyDescent="0.25">
      <c r="A2592">
        <v>398</v>
      </c>
      <c r="B2592" t="s">
        <v>2042</v>
      </c>
      <c r="C2592" t="s">
        <v>972</v>
      </c>
      <c r="D2592">
        <v>0</v>
      </c>
      <c r="E2592" t="str">
        <f>_xlfn.XLOOKUP(F2592, Keys!B:B, Keys!A:A, "找不到")</f>
        <v>PN</v>
      </c>
      <c r="F2592" t="s">
        <v>80</v>
      </c>
      <c r="G2592">
        <v>0.29189630401412531</v>
      </c>
      <c r="H2592" t="s">
        <v>46</v>
      </c>
      <c r="I2592" t="s">
        <v>47</v>
      </c>
      <c r="J2592" t="s">
        <v>2257</v>
      </c>
      <c r="K2592">
        <v>152.7164908288743</v>
      </c>
      <c r="L2592">
        <v>1181.2671576382911</v>
      </c>
    </row>
    <row r="2593" spans="1:12" hidden="1" x14ac:dyDescent="0.25">
      <c r="A2593">
        <v>3</v>
      </c>
      <c r="B2593" t="s">
        <v>1482</v>
      </c>
      <c r="C2593" t="s">
        <v>1483</v>
      </c>
      <c r="D2593">
        <v>0</v>
      </c>
      <c r="E2593" t="str">
        <f>_xlfn.XLOOKUP(F2593, Keys!B:B, Keys!A:A, "找不到")</f>
        <v>PN</v>
      </c>
      <c r="F2593" t="s">
        <v>80</v>
      </c>
      <c r="G2593">
        <v>5.373773555604024</v>
      </c>
      <c r="H2593" t="s">
        <v>46</v>
      </c>
      <c r="I2593" t="s">
        <v>47</v>
      </c>
      <c r="J2593" t="s">
        <v>1490</v>
      </c>
      <c r="K2593">
        <v>926.59136532168816</v>
      </c>
      <c r="L2593">
        <v>21746.977013840489</v>
      </c>
    </row>
    <row r="2594" spans="1:12" hidden="1" x14ac:dyDescent="0.25">
      <c r="A2594">
        <v>4</v>
      </c>
      <c r="B2594" t="s">
        <v>1482</v>
      </c>
      <c r="C2594" t="s">
        <v>1483</v>
      </c>
      <c r="D2594">
        <v>0</v>
      </c>
      <c r="E2594" t="str">
        <f>_xlfn.XLOOKUP(F2594, Keys!B:B, Keys!A:A, "找不到")</f>
        <v>PN</v>
      </c>
      <c r="F2594" t="s">
        <v>80</v>
      </c>
      <c r="G2594">
        <v>3.7481711437291758</v>
      </c>
      <c r="H2594" t="s">
        <v>46</v>
      </c>
      <c r="I2594" t="s">
        <v>47</v>
      </c>
      <c r="J2594" t="s">
        <v>1490</v>
      </c>
      <c r="K2594">
        <v>578.57502401701947</v>
      </c>
      <c r="L2594">
        <v>15168.371138678651</v>
      </c>
    </row>
    <row r="2595" spans="1:12" hidden="1" x14ac:dyDescent="0.25">
      <c r="A2595">
        <v>5</v>
      </c>
      <c r="B2595" t="s">
        <v>1482</v>
      </c>
      <c r="C2595" t="s">
        <v>1483</v>
      </c>
      <c r="D2595">
        <v>0</v>
      </c>
      <c r="E2595" t="str">
        <f>_xlfn.XLOOKUP(F2595, Keys!B:B, Keys!A:A, "找不到")</f>
        <v>PN</v>
      </c>
      <c r="F2595" t="s">
        <v>80</v>
      </c>
      <c r="G2595">
        <v>1.1742684681625231</v>
      </c>
      <c r="H2595" t="s">
        <v>46</v>
      </c>
      <c r="I2595" t="s">
        <v>47</v>
      </c>
      <c r="J2595" t="s">
        <v>1490</v>
      </c>
      <c r="K2595">
        <v>314.58689601811977</v>
      </c>
      <c r="L2595">
        <v>4752.1149004459076</v>
      </c>
    </row>
    <row r="2596" spans="1:12" hidden="1" x14ac:dyDescent="0.25">
      <c r="A2596">
        <v>6</v>
      </c>
      <c r="B2596" t="s">
        <v>1482</v>
      </c>
      <c r="C2596" t="s">
        <v>1483</v>
      </c>
      <c r="D2596">
        <v>0</v>
      </c>
      <c r="E2596" t="str">
        <f>_xlfn.XLOOKUP(F2596, Keys!B:B, Keys!A:A, "找不到")</f>
        <v>PN</v>
      </c>
      <c r="F2596" t="s">
        <v>80</v>
      </c>
      <c r="G2596">
        <v>3.604735097724233</v>
      </c>
      <c r="H2596" t="s">
        <v>46</v>
      </c>
      <c r="I2596" t="s">
        <v>47</v>
      </c>
      <c r="J2596" t="s">
        <v>1490</v>
      </c>
      <c r="K2596">
        <v>535.1662423041646</v>
      </c>
      <c r="L2596">
        <v>14587.903732832579</v>
      </c>
    </row>
    <row r="2597" spans="1:12" hidden="1" x14ac:dyDescent="0.25">
      <c r="A2597">
        <v>7</v>
      </c>
      <c r="B2597" t="s">
        <v>1482</v>
      </c>
      <c r="C2597" t="s">
        <v>1483</v>
      </c>
      <c r="D2597">
        <v>0</v>
      </c>
      <c r="E2597" t="str">
        <f>_xlfn.XLOOKUP(F2597, Keys!B:B, Keys!A:A, "找不到")</f>
        <v>PN</v>
      </c>
      <c r="F2597" t="s">
        <v>80</v>
      </c>
      <c r="G2597">
        <v>1.409283469790815</v>
      </c>
      <c r="H2597" t="s">
        <v>46</v>
      </c>
      <c r="I2597" t="s">
        <v>47</v>
      </c>
      <c r="J2597" t="s">
        <v>1490</v>
      </c>
      <c r="K2597">
        <v>324.65930228192212</v>
      </c>
      <c r="L2597">
        <v>5703.1906734449994</v>
      </c>
    </row>
    <row r="2598" spans="1:12" hidden="1" x14ac:dyDescent="0.25">
      <c r="A2598">
        <v>10</v>
      </c>
      <c r="B2598" t="s">
        <v>1482</v>
      </c>
      <c r="C2598" t="s">
        <v>1483</v>
      </c>
      <c r="D2598">
        <v>0</v>
      </c>
      <c r="E2598" t="str">
        <f>_xlfn.XLOOKUP(F2598, Keys!B:B, Keys!A:A, "找不到")</f>
        <v>PN</v>
      </c>
      <c r="F2598" t="s">
        <v>80</v>
      </c>
      <c r="G2598">
        <v>4.4841213027293563</v>
      </c>
      <c r="H2598" t="s">
        <v>46</v>
      </c>
      <c r="I2598" t="s">
        <v>47</v>
      </c>
      <c r="J2598" t="s">
        <v>1490</v>
      </c>
      <c r="K2598">
        <v>563.50372378919587</v>
      </c>
      <c r="L2598">
        <v>18146.667679369079</v>
      </c>
    </row>
    <row r="2599" spans="1:12" hidden="1" x14ac:dyDescent="0.25">
      <c r="A2599">
        <v>11</v>
      </c>
      <c r="B2599" t="s">
        <v>1482</v>
      </c>
      <c r="C2599" t="s">
        <v>1483</v>
      </c>
      <c r="D2599">
        <v>0</v>
      </c>
      <c r="E2599" t="str">
        <f>_xlfn.XLOOKUP(F2599, Keys!B:B, Keys!A:A, "找不到")</f>
        <v>PN</v>
      </c>
      <c r="F2599" t="s">
        <v>80</v>
      </c>
      <c r="G2599">
        <v>2.2756253099318529</v>
      </c>
      <c r="H2599" t="s">
        <v>46</v>
      </c>
      <c r="I2599" t="s">
        <v>47</v>
      </c>
      <c r="J2599" t="s">
        <v>1490</v>
      </c>
      <c r="K2599">
        <v>419.92362424766191</v>
      </c>
      <c r="L2599">
        <v>9209.1657370998219</v>
      </c>
    </row>
    <row r="2600" spans="1:12" hidden="1" x14ac:dyDescent="0.25">
      <c r="A2600">
        <v>12</v>
      </c>
      <c r="B2600" t="s">
        <v>1482</v>
      </c>
      <c r="C2600" t="s">
        <v>1483</v>
      </c>
      <c r="D2600">
        <v>0</v>
      </c>
      <c r="E2600" t="str">
        <f>_xlfn.XLOOKUP(F2600, Keys!B:B, Keys!A:A, "找不到")</f>
        <v>PN</v>
      </c>
      <c r="F2600" t="s">
        <v>80</v>
      </c>
      <c r="G2600">
        <v>3.4686161034215131</v>
      </c>
      <c r="H2600" t="s">
        <v>46</v>
      </c>
      <c r="I2600" t="s">
        <v>47</v>
      </c>
      <c r="J2600" t="s">
        <v>1490</v>
      </c>
      <c r="K2600">
        <v>485.62566196884148</v>
      </c>
      <c r="L2600">
        <v>14037.047503105279</v>
      </c>
    </row>
    <row r="2601" spans="1:12" hidden="1" x14ac:dyDescent="0.25">
      <c r="A2601">
        <v>13</v>
      </c>
      <c r="B2601" t="s">
        <v>1482</v>
      </c>
      <c r="C2601" t="s">
        <v>1483</v>
      </c>
      <c r="D2601">
        <v>0</v>
      </c>
      <c r="E2601" t="str">
        <f>_xlfn.XLOOKUP(F2601, Keys!B:B, Keys!A:A, "找不到")</f>
        <v>PN</v>
      </c>
      <c r="F2601" t="s">
        <v>80</v>
      </c>
      <c r="G2601">
        <v>1.8545624660844831</v>
      </c>
      <c r="H2601" t="s">
        <v>46</v>
      </c>
      <c r="I2601" t="s">
        <v>47</v>
      </c>
      <c r="J2601" t="s">
        <v>1490</v>
      </c>
      <c r="K2601">
        <v>403.31654123976301</v>
      </c>
      <c r="L2601">
        <v>7505.1780472981391</v>
      </c>
    </row>
    <row r="2602" spans="1:12" hidden="1" x14ac:dyDescent="0.25">
      <c r="A2602">
        <v>14</v>
      </c>
      <c r="B2602" t="s">
        <v>1482</v>
      </c>
      <c r="C2602" t="s">
        <v>1483</v>
      </c>
      <c r="D2602">
        <v>0</v>
      </c>
      <c r="E2602" t="str">
        <f>_xlfn.XLOOKUP(F2602, Keys!B:B, Keys!A:A, "找不到")</f>
        <v>PN</v>
      </c>
      <c r="F2602" t="s">
        <v>80</v>
      </c>
      <c r="G2602">
        <v>6.9791336981283241</v>
      </c>
      <c r="H2602" t="s">
        <v>46</v>
      </c>
      <c r="I2602" t="s">
        <v>47</v>
      </c>
      <c r="J2602" t="s">
        <v>1490</v>
      </c>
      <c r="K2602">
        <v>899.65428868571723</v>
      </c>
      <c r="L2602">
        <v>28243.665003605911</v>
      </c>
    </row>
    <row r="2603" spans="1:12" hidden="1" x14ac:dyDescent="0.25">
      <c r="A2603">
        <v>15</v>
      </c>
      <c r="B2603" t="s">
        <v>1482</v>
      </c>
      <c r="C2603" t="s">
        <v>1483</v>
      </c>
      <c r="D2603">
        <v>0</v>
      </c>
      <c r="E2603" t="str">
        <f>_xlfn.XLOOKUP(F2603, Keys!B:B, Keys!A:A, "找不到")</f>
        <v>PN</v>
      </c>
      <c r="F2603" t="s">
        <v>80</v>
      </c>
      <c r="G2603">
        <v>13.53543487234187</v>
      </c>
      <c r="H2603" t="s">
        <v>46</v>
      </c>
      <c r="I2603" t="s">
        <v>47</v>
      </c>
      <c r="J2603" t="s">
        <v>1514</v>
      </c>
      <c r="K2603">
        <v>1004.346292977164</v>
      </c>
      <c r="L2603">
        <v>54776.180647617119</v>
      </c>
    </row>
    <row r="2604" spans="1:12" hidden="1" x14ac:dyDescent="0.25">
      <c r="A2604">
        <v>32</v>
      </c>
      <c r="B2604" t="s">
        <v>1482</v>
      </c>
      <c r="C2604" t="s">
        <v>1483</v>
      </c>
      <c r="D2604" t="s">
        <v>1550</v>
      </c>
      <c r="E2604" t="str">
        <f>_xlfn.XLOOKUP(F2604, Keys!B:B, Keys!A:A, "找不到")</f>
        <v>PN</v>
      </c>
      <c r="F2604" t="s">
        <v>80</v>
      </c>
      <c r="G2604">
        <v>4.8859946847838449</v>
      </c>
      <c r="H2604" t="s">
        <v>46</v>
      </c>
      <c r="I2604" t="s">
        <v>47</v>
      </c>
      <c r="J2604" t="s">
        <v>1551</v>
      </c>
      <c r="K2604">
        <v>701.42960965186171</v>
      </c>
      <c r="L2604">
        <v>19772.998061842922</v>
      </c>
    </row>
    <row r="2605" spans="1:12" hidden="1" x14ac:dyDescent="0.25">
      <c r="A2605">
        <v>33</v>
      </c>
      <c r="B2605" t="s">
        <v>1482</v>
      </c>
      <c r="C2605" t="s">
        <v>1483</v>
      </c>
      <c r="D2605" t="s">
        <v>1550</v>
      </c>
      <c r="E2605" t="str">
        <f>_xlfn.XLOOKUP(F2605, Keys!B:B, Keys!A:A, "找不到")</f>
        <v>PN</v>
      </c>
      <c r="F2605" t="s">
        <v>80</v>
      </c>
      <c r="G2605">
        <v>8.3864003431877201</v>
      </c>
      <c r="H2605" t="s">
        <v>46</v>
      </c>
      <c r="I2605" t="s">
        <v>47</v>
      </c>
      <c r="J2605" t="s">
        <v>1555</v>
      </c>
      <c r="K2605">
        <v>731.79330332862992</v>
      </c>
      <c r="L2605">
        <v>33938.693844286412</v>
      </c>
    </row>
    <row r="2606" spans="1:12" hidden="1" x14ac:dyDescent="0.25">
      <c r="A2606">
        <v>36</v>
      </c>
      <c r="B2606" t="s">
        <v>1482</v>
      </c>
      <c r="C2606" t="s">
        <v>1483</v>
      </c>
      <c r="D2606" t="s">
        <v>1550</v>
      </c>
      <c r="E2606" t="str">
        <f>_xlfn.XLOOKUP(F2606, Keys!B:B, Keys!A:A, "找不到")</f>
        <v>PN</v>
      </c>
      <c r="F2606" t="s">
        <v>80</v>
      </c>
      <c r="G2606">
        <v>6.0593554101050398</v>
      </c>
      <c r="H2606" t="s">
        <v>46</v>
      </c>
      <c r="I2606" t="s">
        <v>47</v>
      </c>
      <c r="J2606" t="s">
        <v>1555</v>
      </c>
      <c r="K2606">
        <v>715.95594271297648</v>
      </c>
      <c r="L2606">
        <v>24521.43944264745</v>
      </c>
    </row>
    <row r="2607" spans="1:12" hidden="1" x14ac:dyDescent="0.25">
      <c r="A2607">
        <v>40</v>
      </c>
      <c r="B2607" t="s">
        <v>1482</v>
      </c>
      <c r="C2607" t="s">
        <v>1483</v>
      </c>
      <c r="D2607">
        <v>0</v>
      </c>
      <c r="E2607" t="str">
        <f>_xlfn.XLOOKUP(F2607, Keys!B:B, Keys!A:A, "找不到")</f>
        <v>PN</v>
      </c>
      <c r="F2607" t="s">
        <v>80</v>
      </c>
      <c r="G2607">
        <v>1.8392729687605229</v>
      </c>
      <c r="H2607" t="s">
        <v>46</v>
      </c>
      <c r="I2607" t="s">
        <v>47</v>
      </c>
      <c r="J2607" t="s">
        <v>1567</v>
      </c>
      <c r="K2607">
        <v>420.21104807385359</v>
      </c>
      <c r="L2607">
        <v>7443.3033993590598</v>
      </c>
    </row>
    <row r="2608" spans="1:12" hidden="1" x14ac:dyDescent="0.25">
      <c r="A2608">
        <v>41</v>
      </c>
      <c r="B2608" t="s">
        <v>1482</v>
      </c>
      <c r="C2608" t="s">
        <v>1483</v>
      </c>
      <c r="D2608">
        <v>0</v>
      </c>
      <c r="E2608" t="str">
        <f>_xlfn.XLOOKUP(F2608, Keys!B:B, Keys!A:A, "找不到")</f>
        <v>PN</v>
      </c>
      <c r="F2608" t="s">
        <v>80</v>
      </c>
      <c r="G2608">
        <v>0.41418326373264069</v>
      </c>
      <c r="H2608" t="s">
        <v>46</v>
      </c>
      <c r="I2608" t="s">
        <v>47</v>
      </c>
      <c r="J2608" t="s">
        <v>1567</v>
      </c>
      <c r="K2608">
        <v>252.53444795919009</v>
      </c>
      <c r="L2608">
        <v>1676.1469054679469</v>
      </c>
    </row>
    <row r="2609" spans="1:12" hidden="1" x14ac:dyDescent="0.25">
      <c r="A2609">
        <v>137</v>
      </c>
      <c r="B2609" t="s">
        <v>1482</v>
      </c>
      <c r="C2609" t="s">
        <v>1483</v>
      </c>
      <c r="D2609">
        <v>0</v>
      </c>
      <c r="E2609" t="str">
        <f>_xlfn.XLOOKUP(F2609, Keys!B:B, Keys!A:A, "找不到")</f>
        <v>PN</v>
      </c>
      <c r="F2609" t="s">
        <v>80</v>
      </c>
      <c r="G2609">
        <v>0.49259909050893841</v>
      </c>
      <c r="H2609" t="s">
        <v>46</v>
      </c>
      <c r="I2609" t="s">
        <v>47</v>
      </c>
      <c r="J2609" t="s">
        <v>1772</v>
      </c>
      <c r="K2609">
        <v>185.36693516167981</v>
      </c>
      <c r="L2609">
        <v>1993.4857670295901</v>
      </c>
    </row>
    <row r="2610" spans="1:12" hidden="1" x14ac:dyDescent="0.25">
      <c r="A2610">
        <v>139</v>
      </c>
      <c r="B2610" t="s">
        <v>1482</v>
      </c>
      <c r="C2610" t="s">
        <v>1483</v>
      </c>
      <c r="D2610">
        <v>0</v>
      </c>
      <c r="E2610" t="str">
        <f>_xlfn.XLOOKUP(F2610, Keys!B:B, Keys!A:A, "找不到")</f>
        <v>PN</v>
      </c>
      <c r="F2610" t="s">
        <v>80</v>
      </c>
      <c r="G2610">
        <v>1.2935958326232611</v>
      </c>
      <c r="H2610" t="s">
        <v>46</v>
      </c>
      <c r="I2610" t="s">
        <v>47</v>
      </c>
      <c r="J2610" t="s">
        <v>1772</v>
      </c>
      <c r="K2610">
        <v>303.893125723016</v>
      </c>
      <c r="L2610">
        <v>5235.0175432905544</v>
      </c>
    </row>
    <row r="2611" spans="1:12" hidden="1" x14ac:dyDescent="0.25">
      <c r="A2611">
        <v>268</v>
      </c>
      <c r="B2611" t="s">
        <v>1482</v>
      </c>
      <c r="C2611" t="s">
        <v>1483</v>
      </c>
      <c r="D2611">
        <v>0</v>
      </c>
      <c r="E2611" t="str">
        <f>_xlfn.XLOOKUP(F2611, Keys!B:B, Keys!A:A, "找不到")</f>
        <v>PN</v>
      </c>
      <c r="F2611" t="s">
        <v>80</v>
      </c>
      <c r="G2611">
        <v>4.4841213027222384</v>
      </c>
      <c r="H2611" t="s">
        <v>46</v>
      </c>
      <c r="I2611" t="s">
        <v>47</v>
      </c>
      <c r="J2611" t="s">
        <v>1490</v>
      </c>
      <c r="K2611">
        <v>563.50372379052783</v>
      </c>
      <c r="L2611">
        <v>18146.667679340269</v>
      </c>
    </row>
    <row r="2612" spans="1:12" hidden="1" x14ac:dyDescent="0.25">
      <c r="A2612">
        <v>269</v>
      </c>
      <c r="B2612" t="s">
        <v>1482</v>
      </c>
      <c r="C2612" t="s">
        <v>1483</v>
      </c>
      <c r="D2612">
        <v>0</v>
      </c>
      <c r="E2612" t="str">
        <f>_xlfn.XLOOKUP(F2612, Keys!B:B, Keys!A:A, "找不到")</f>
        <v>PN</v>
      </c>
      <c r="F2612" t="s">
        <v>80</v>
      </c>
      <c r="G2612">
        <v>2.8298177630676289</v>
      </c>
      <c r="H2612" t="s">
        <v>46</v>
      </c>
      <c r="I2612" t="s">
        <v>47</v>
      </c>
      <c r="J2612" t="s">
        <v>2039</v>
      </c>
      <c r="K2612">
        <v>451.04856238656362</v>
      </c>
      <c r="L2612">
        <v>11451.911996294009</v>
      </c>
    </row>
    <row r="2613" spans="1:12" hidden="1" x14ac:dyDescent="0.25">
      <c r="A2613">
        <v>270</v>
      </c>
      <c r="B2613" t="s">
        <v>1482</v>
      </c>
      <c r="C2613" t="s">
        <v>1483</v>
      </c>
      <c r="D2613">
        <v>0</v>
      </c>
      <c r="E2613" t="str">
        <f>_xlfn.XLOOKUP(F2613, Keys!B:B, Keys!A:A, "找不到")</f>
        <v>PN</v>
      </c>
      <c r="F2613" t="s">
        <v>80</v>
      </c>
      <c r="G2613">
        <v>3.8034940567532329</v>
      </c>
      <c r="H2613" t="s">
        <v>46</v>
      </c>
      <c r="I2613" t="s">
        <v>47</v>
      </c>
      <c r="J2613" t="s">
        <v>2039</v>
      </c>
      <c r="K2613">
        <v>507.02301129245029</v>
      </c>
      <c r="L2613">
        <v>15392.25592009416</v>
      </c>
    </row>
    <row r="2614" spans="1:12" hidden="1" x14ac:dyDescent="0.25">
      <c r="A2614">
        <v>178</v>
      </c>
      <c r="B2614" t="s">
        <v>714</v>
      </c>
      <c r="C2614" t="s">
        <v>715</v>
      </c>
      <c r="D2614" t="s">
        <v>57</v>
      </c>
      <c r="E2614" t="str">
        <f>_xlfn.XLOOKUP(F2614, Keys!B:B, Keys!A:A, "找不到")</f>
        <v>FA</v>
      </c>
      <c r="F2614" t="s">
        <v>63</v>
      </c>
      <c r="G2614">
        <v>17.601737000971781</v>
      </c>
      <c r="H2614" t="s">
        <v>64</v>
      </c>
      <c r="I2614" t="s">
        <v>65</v>
      </c>
      <c r="J2614" t="s">
        <v>968</v>
      </c>
      <c r="K2614">
        <v>0</v>
      </c>
      <c r="L2614">
        <v>0</v>
      </c>
    </row>
    <row r="2615" spans="1:12" hidden="1" x14ac:dyDescent="0.25">
      <c r="A2615">
        <v>179</v>
      </c>
      <c r="B2615" t="s">
        <v>714</v>
      </c>
      <c r="C2615" t="s">
        <v>715</v>
      </c>
      <c r="D2615" t="s">
        <v>57</v>
      </c>
      <c r="E2615" t="str">
        <f>_xlfn.XLOOKUP(F2615, Keys!B:B, Keys!A:A, "找不到")</f>
        <v>FA</v>
      </c>
      <c r="F2615" t="s">
        <v>63</v>
      </c>
      <c r="G2615">
        <v>44.03356820260715</v>
      </c>
      <c r="H2615" t="s">
        <v>64</v>
      </c>
      <c r="I2615" t="s">
        <v>65</v>
      </c>
      <c r="J2615" t="s">
        <v>968</v>
      </c>
      <c r="K2615">
        <v>0</v>
      </c>
      <c r="L2615">
        <v>0</v>
      </c>
    </row>
    <row r="2616" spans="1:12" hidden="1" x14ac:dyDescent="0.25">
      <c r="A2616">
        <v>180</v>
      </c>
      <c r="B2616" t="s">
        <v>714</v>
      </c>
      <c r="C2616" t="s">
        <v>715</v>
      </c>
      <c r="D2616" t="s">
        <v>57</v>
      </c>
      <c r="E2616" t="str">
        <f>_xlfn.XLOOKUP(F2616, Keys!B:B, Keys!A:A, "找不到")</f>
        <v>FA</v>
      </c>
      <c r="F2616" t="s">
        <v>63</v>
      </c>
      <c r="G2616">
        <v>0.47879461567033937</v>
      </c>
      <c r="H2616" t="s">
        <v>64</v>
      </c>
      <c r="I2616" t="s">
        <v>65</v>
      </c>
      <c r="J2616" t="s">
        <v>968</v>
      </c>
      <c r="K2616">
        <v>0</v>
      </c>
      <c r="L2616">
        <v>0</v>
      </c>
    </row>
    <row r="2617" spans="1:12" hidden="1" x14ac:dyDescent="0.25">
      <c r="A2617">
        <v>181</v>
      </c>
      <c r="B2617" t="s">
        <v>714</v>
      </c>
      <c r="C2617" t="s">
        <v>715</v>
      </c>
      <c r="D2617" t="s">
        <v>57</v>
      </c>
      <c r="E2617" t="str">
        <f>_xlfn.XLOOKUP(F2617, Keys!B:B, Keys!A:A, "找不到")</f>
        <v>FA</v>
      </c>
      <c r="F2617" t="s">
        <v>63</v>
      </c>
      <c r="G2617">
        <v>0.54150871685511359</v>
      </c>
      <c r="H2617" t="s">
        <v>64</v>
      </c>
      <c r="I2617" t="s">
        <v>65</v>
      </c>
      <c r="J2617" t="s">
        <v>968</v>
      </c>
      <c r="K2617">
        <v>0</v>
      </c>
      <c r="L2617">
        <v>0</v>
      </c>
    </row>
    <row r="2618" spans="1:12" hidden="1" x14ac:dyDescent="0.25">
      <c r="A2618">
        <v>182</v>
      </c>
      <c r="B2618" t="s">
        <v>714</v>
      </c>
      <c r="C2618" t="s">
        <v>715</v>
      </c>
      <c r="D2618" t="s">
        <v>57</v>
      </c>
      <c r="E2618" t="str">
        <f>_xlfn.XLOOKUP(F2618, Keys!B:B, Keys!A:A, "找不到")</f>
        <v>FA</v>
      </c>
      <c r="F2618" t="s">
        <v>63</v>
      </c>
      <c r="G2618">
        <v>0.88314546572049524</v>
      </c>
      <c r="H2618" t="s">
        <v>64</v>
      </c>
      <c r="I2618" t="s">
        <v>65</v>
      </c>
      <c r="J2618" t="s">
        <v>968</v>
      </c>
      <c r="K2618">
        <v>0</v>
      </c>
      <c r="L2618">
        <v>0</v>
      </c>
    </row>
    <row r="2619" spans="1:12" hidden="1" x14ac:dyDescent="0.25">
      <c r="A2619">
        <v>184</v>
      </c>
      <c r="B2619" t="s">
        <v>714</v>
      </c>
      <c r="C2619" t="s">
        <v>715</v>
      </c>
      <c r="D2619" t="s">
        <v>57</v>
      </c>
      <c r="E2619" t="str">
        <f>_xlfn.XLOOKUP(F2619, Keys!B:B, Keys!A:A, "找不到")</f>
        <v>FA</v>
      </c>
      <c r="F2619" t="s">
        <v>63</v>
      </c>
      <c r="G2619">
        <v>16.670892085522901</v>
      </c>
      <c r="H2619" t="s">
        <v>64</v>
      </c>
      <c r="I2619" t="s">
        <v>65</v>
      </c>
      <c r="J2619" t="s">
        <v>973</v>
      </c>
      <c r="K2619">
        <v>0</v>
      </c>
      <c r="L2619">
        <v>0</v>
      </c>
    </row>
    <row r="2620" spans="1:12" hidden="1" x14ac:dyDescent="0.25">
      <c r="A2620">
        <v>186</v>
      </c>
      <c r="B2620" t="s">
        <v>714</v>
      </c>
      <c r="C2620" t="s">
        <v>715</v>
      </c>
      <c r="D2620">
        <v>0</v>
      </c>
      <c r="E2620" t="str">
        <f>_xlfn.XLOOKUP(F2620, Keys!B:B, Keys!A:A, "找不到")</f>
        <v>FA</v>
      </c>
      <c r="F2620" t="s">
        <v>63</v>
      </c>
      <c r="G2620">
        <v>4.2136858121514464</v>
      </c>
      <c r="H2620" t="s">
        <v>64</v>
      </c>
      <c r="I2620" t="s">
        <v>65</v>
      </c>
      <c r="J2620" t="s">
        <v>975</v>
      </c>
      <c r="K2620">
        <v>0</v>
      </c>
      <c r="L2620">
        <v>0</v>
      </c>
    </row>
    <row r="2621" spans="1:12" hidden="1" x14ac:dyDescent="0.25">
      <c r="A2621">
        <v>20</v>
      </c>
      <c r="B2621" t="s">
        <v>1026</v>
      </c>
      <c r="C2621" t="s">
        <v>1027</v>
      </c>
      <c r="D2621">
        <v>0</v>
      </c>
      <c r="E2621" t="str">
        <f>_xlfn.XLOOKUP(F2621, Keys!B:B, Keys!A:A, "找不到")</f>
        <v>PN</v>
      </c>
      <c r="F2621" t="s">
        <v>80</v>
      </c>
      <c r="G2621">
        <v>3.5913158680435648</v>
      </c>
      <c r="H2621" t="s">
        <v>46</v>
      </c>
      <c r="I2621" t="s">
        <v>47</v>
      </c>
      <c r="J2621" t="s">
        <v>1065</v>
      </c>
      <c r="K2621">
        <v>504.49145286143852</v>
      </c>
      <c r="L2621">
        <v>14533.59781979228</v>
      </c>
    </row>
    <row r="2622" spans="1:12" hidden="1" x14ac:dyDescent="0.25">
      <c r="A2622">
        <v>21</v>
      </c>
      <c r="B2622" t="s">
        <v>1026</v>
      </c>
      <c r="C2622" t="s">
        <v>1027</v>
      </c>
      <c r="D2622">
        <v>0</v>
      </c>
      <c r="E2622" t="str">
        <f>_xlfn.XLOOKUP(F2622, Keys!B:B, Keys!A:A, "找不到")</f>
        <v>PN</v>
      </c>
      <c r="F2622" t="s">
        <v>80</v>
      </c>
      <c r="G2622">
        <v>8.7468177009191326</v>
      </c>
      <c r="H2622" t="s">
        <v>46</v>
      </c>
      <c r="I2622" t="s">
        <v>47</v>
      </c>
      <c r="J2622" t="s">
        <v>1065</v>
      </c>
      <c r="K2622">
        <v>808.4050682697515</v>
      </c>
      <c r="L2622">
        <v>35397.256977412922</v>
      </c>
    </row>
    <row r="2623" spans="1:12" hidden="1" x14ac:dyDescent="0.25">
      <c r="A2623">
        <v>22</v>
      </c>
      <c r="B2623" t="s">
        <v>1026</v>
      </c>
      <c r="C2623" t="s">
        <v>1027</v>
      </c>
      <c r="D2623">
        <v>0</v>
      </c>
      <c r="E2623" t="str">
        <f>_xlfn.XLOOKUP(F2623, Keys!B:B, Keys!A:A, "找不到")</f>
        <v>PN</v>
      </c>
      <c r="F2623" t="s">
        <v>80</v>
      </c>
      <c r="G2623">
        <v>4.1035764066289646</v>
      </c>
      <c r="H2623" t="s">
        <v>46</v>
      </c>
      <c r="I2623" t="s">
        <v>47</v>
      </c>
      <c r="J2623" t="s">
        <v>1071</v>
      </c>
      <c r="K2623">
        <v>735.87106311334549</v>
      </c>
      <c r="L2623">
        <v>16606.650962512958</v>
      </c>
    </row>
    <row r="2624" spans="1:12" hidden="1" x14ac:dyDescent="0.25">
      <c r="A2624">
        <v>23</v>
      </c>
      <c r="B2624" t="s">
        <v>1026</v>
      </c>
      <c r="C2624" t="s">
        <v>1027</v>
      </c>
      <c r="D2624">
        <v>0</v>
      </c>
      <c r="E2624" t="str">
        <f>_xlfn.XLOOKUP(F2624, Keys!B:B, Keys!A:A, "找不到")</f>
        <v>PN</v>
      </c>
      <c r="F2624" t="s">
        <v>80</v>
      </c>
      <c r="G2624">
        <v>6.7401520884076467</v>
      </c>
      <c r="H2624" t="s">
        <v>46</v>
      </c>
      <c r="I2624" t="s">
        <v>47</v>
      </c>
      <c r="J2624" t="s">
        <v>1071</v>
      </c>
      <c r="K2624">
        <v>832.53110377303187</v>
      </c>
      <c r="L2624">
        <v>27276.536872963639</v>
      </c>
    </row>
    <row r="2625" spans="1:12" hidden="1" x14ac:dyDescent="0.25">
      <c r="A2625">
        <v>31</v>
      </c>
      <c r="B2625" t="s">
        <v>1026</v>
      </c>
      <c r="C2625" t="s">
        <v>1027</v>
      </c>
      <c r="D2625">
        <v>0</v>
      </c>
      <c r="E2625" t="str">
        <f>_xlfn.XLOOKUP(F2625, Keys!B:B, Keys!A:A, "找不到")</f>
        <v>PN</v>
      </c>
      <c r="F2625" t="s">
        <v>80</v>
      </c>
      <c r="G2625">
        <v>0.91536199765043924</v>
      </c>
      <c r="H2625" t="s">
        <v>46</v>
      </c>
      <c r="I2625" t="s">
        <v>47</v>
      </c>
      <c r="J2625" t="s">
        <v>1093</v>
      </c>
      <c r="K2625">
        <v>291.47400082255939</v>
      </c>
      <c r="L2625">
        <v>3704.3533964113421</v>
      </c>
    </row>
    <row r="2626" spans="1:12" hidden="1" x14ac:dyDescent="0.25">
      <c r="A2626">
        <v>35</v>
      </c>
      <c r="B2626" t="s">
        <v>1026</v>
      </c>
      <c r="C2626" t="s">
        <v>1027</v>
      </c>
      <c r="D2626">
        <v>0</v>
      </c>
      <c r="E2626" t="str">
        <f>_xlfn.XLOOKUP(F2626, Keys!B:B, Keys!A:A, "找不到")</f>
        <v>PN</v>
      </c>
      <c r="F2626" t="s">
        <v>80</v>
      </c>
      <c r="G2626">
        <v>6.8293057952443184E-2</v>
      </c>
      <c r="H2626" t="s">
        <v>46</v>
      </c>
      <c r="I2626" t="s">
        <v>47</v>
      </c>
      <c r="J2626" t="s">
        <v>1093</v>
      </c>
      <c r="K2626">
        <v>81.777348664761078</v>
      </c>
      <c r="L2626">
        <v>276.37330567229719</v>
      </c>
    </row>
    <row r="2627" spans="1:12" hidden="1" x14ac:dyDescent="0.25">
      <c r="A2627">
        <v>38</v>
      </c>
      <c r="B2627" t="s">
        <v>1026</v>
      </c>
      <c r="C2627" t="s">
        <v>1027</v>
      </c>
      <c r="D2627">
        <v>0</v>
      </c>
      <c r="E2627" t="str">
        <f>_xlfn.XLOOKUP(F2627, Keys!B:B, Keys!A:A, "找不到")</f>
        <v>PN</v>
      </c>
      <c r="F2627" t="s">
        <v>80</v>
      </c>
      <c r="G2627">
        <v>0.11824431811476151</v>
      </c>
      <c r="H2627" t="s">
        <v>46</v>
      </c>
      <c r="I2627" t="s">
        <v>47</v>
      </c>
      <c r="J2627" t="s">
        <v>1093</v>
      </c>
      <c r="K2627">
        <v>130.5830981455031</v>
      </c>
      <c r="L2627">
        <v>478.51969225188623</v>
      </c>
    </row>
    <row r="2628" spans="1:12" hidden="1" x14ac:dyDescent="0.25">
      <c r="A2628">
        <v>41</v>
      </c>
      <c r="B2628" t="s">
        <v>1026</v>
      </c>
      <c r="C2628" t="s">
        <v>1027</v>
      </c>
      <c r="D2628">
        <v>0</v>
      </c>
      <c r="E2628" t="str">
        <f>_xlfn.XLOOKUP(F2628, Keys!B:B, Keys!A:A, "找不到")</f>
        <v>PN</v>
      </c>
      <c r="F2628" t="s">
        <v>80</v>
      </c>
      <c r="G2628">
        <v>0.82719373281885067</v>
      </c>
      <c r="H2628" t="s">
        <v>46</v>
      </c>
      <c r="I2628" t="s">
        <v>47</v>
      </c>
      <c r="J2628" t="s">
        <v>1115</v>
      </c>
      <c r="K2628">
        <v>221.73250057228361</v>
      </c>
      <c r="L2628">
        <v>3347.5476604042469</v>
      </c>
    </row>
    <row r="2629" spans="1:12" hidden="1" x14ac:dyDescent="0.25">
      <c r="A2629">
        <v>42</v>
      </c>
      <c r="B2629" t="s">
        <v>1026</v>
      </c>
      <c r="C2629" t="s">
        <v>1027</v>
      </c>
      <c r="D2629">
        <v>0</v>
      </c>
      <c r="E2629" t="str">
        <f>_xlfn.XLOOKUP(F2629, Keys!B:B, Keys!A:A, "找不到")</f>
        <v>PN</v>
      </c>
      <c r="F2629" t="s">
        <v>80</v>
      </c>
      <c r="G2629">
        <v>0.52221527925343958</v>
      </c>
      <c r="H2629" t="s">
        <v>46</v>
      </c>
      <c r="I2629" t="s">
        <v>47</v>
      </c>
      <c r="J2629" t="s">
        <v>1093</v>
      </c>
      <c r="K2629">
        <v>207.6405718369561</v>
      </c>
      <c r="L2629">
        <v>2113.3387100685782</v>
      </c>
    </row>
    <row r="2630" spans="1:12" hidden="1" x14ac:dyDescent="0.25">
      <c r="A2630">
        <v>58</v>
      </c>
      <c r="B2630" t="s">
        <v>1026</v>
      </c>
      <c r="C2630" t="s">
        <v>1027</v>
      </c>
      <c r="D2630" t="s">
        <v>1148</v>
      </c>
      <c r="E2630" t="str">
        <f>_xlfn.XLOOKUP(F2630, Keys!B:B, Keys!A:A, "找不到")</f>
        <v>PN</v>
      </c>
      <c r="F2630" t="s">
        <v>80</v>
      </c>
      <c r="G2630">
        <v>16.95780152958995</v>
      </c>
      <c r="H2630" t="s">
        <v>46</v>
      </c>
      <c r="I2630" t="s">
        <v>47</v>
      </c>
      <c r="J2630" t="s">
        <v>1157</v>
      </c>
      <c r="K2630">
        <v>1212.7723434949139</v>
      </c>
      <c r="L2630">
        <v>68626.062533781253</v>
      </c>
    </row>
    <row r="2631" spans="1:12" hidden="1" x14ac:dyDescent="0.25">
      <c r="A2631">
        <v>61</v>
      </c>
      <c r="B2631" t="s">
        <v>1026</v>
      </c>
      <c r="C2631" t="s">
        <v>1027</v>
      </c>
      <c r="D2631" t="s">
        <v>1148</v>
      </c>
      <c r="E2631" t="str">
        <f>_xlfn.XLOOKUP(F2631, Keys!B:B, Keys!A:A, "找不到")</f>
        <v>PN</v>
      </c>
      <c r="F2631" t="s">
        <v>80</v>
      </c>
      <c r="G2631">
        <v>10.59411764387929</v>
      </c>
      <c r="H2631" t="s">
        <v>46</v>
      </c>
      <c r="I2631" t="s">
        <v>47</v>
      </c>
      <c r="J2631" t="s">
        <v>1157</v>
      </c>
      <c r="K2631">
        <v>933.0896814818035</v>
      </c>
      <c r="L2631">
        <v>42873.044518800627</v>
      </c>
    </row>
    <row r="2632" spans="1:12" hidden="1" x14ac:dyDescent="0.25">
      <c r="A2632">
        <v>62</v>
      </c>
      <c r="B2632" t="s">
        <v>1026</v>
      </c>
      <c r="C2632" t="s">
        <v>1027</v>
      </c>
      <c r="D2632" t="s">
        <v>1148</v>
      </c>
      <c r="E2632" t="str">
        <f>_xlfn.XLOOKUP(F2632, Keys!B:B, Keys!A:A, "找不到")</f>
        <v>PN</v>
      </c>
      <c r="F2632" t="s">
        <v>80</v>
      </c>
      <c r="G2632">
        <v>0.55254418533219152</v>
      </c>
      <c r="H2632" t="s">
        <v>46</v>
      </c>
      <c r="I2632" t="s">
        <v>47</v>
      </c>
      <c r="J2632" t="s">
        <v>1157</v>
      </c>
      <c r="K2632">
        <v>226.94162056235271</v>
      </c>
      <c r="L2632">
        <v>2236.0759293661281</v>
      </c>
    </row>
    <row r="2633" spans="1:12" hidden="1" x14ac:dyDescent="0.25">
      <c r="A2633">
        <v>63</v>
      </c>
      <c r="B2633" t="s">
        <v>1026</v>
      </c>
      <c r="C2633" t="s">
        <v>1027</v>
      </c>
      <c r="D2633" t="s">
        <v>1148</v>
      </c>
      <c r="E2633" t="str">
        <f>_xlfn.XLOOKUP(F2633, Keys!B:B, Keys!A:A, "找不到")</f>
        <v>PN</v>
      </c>
      <c r="F2633" t="s">
        <v>80</v>
      </c>
      <c r="G2633">
        <v>10.6011100752042</v>
      </c>
      <c r="H2633" t="s">
        <v>46</v>
      </c>
      <c r="I2633" t="s">
        <v>47</v>
      </c>
      <c r="J2633" t="s">
        <v>1157</v>
      </c>
      <c r="K2633">
        <v>861.05786501717444</v>
      </c>
      <c r="L2633">
        <v>42901.341997605843</v>
      </c>
    </row>
    <row r="2634" spans="1:12" hidden="1" x14ac:dyDescent="0.25">
      <c r="A2634">
        <v>64</v>
      </c>
      <c r="B2634" t="s">
        <v>1026</v>
      </c>
      <c r="C2634" t="s">
        <v>1027</v>
      </c>
      <c r="D2634" t="s">
        <v>1148</v>
      </c>
      <c r="E2634" t="str">
        <f>_xlfn.XLOOKUP(F2634, Keys!B:B, Keys!A:A, "找不到")</f>
        <v>PN</v>
      </c>
      <c r="F2634" t="s">
        <v>80</v>
      </c>
      <c r="G2634">
        <v>10.888281232789771</v>
      </c>
      <c r="H2634" t="s">
        <v>46</v>
      </c>
      <c r="I2634" t="s">
        <v>47</v>
      </c>
      <c r="J2634" t="s">
        <v>1157</v>
      </c>
      <c r="K2634">
        <v>939.00496920557964</v>
      </c>
      <c r="L2634">
        <v>44063.487089584763</v>
      </c>
    </row>
    <row r="2635" spans="1:12" hidden="1" x14ac:dyDescent="0.25">
      <c r="A2635">
        <v>81</v>
      </c>
      <c r="B2635" t="s">
        <v>1026</v>
      </c>
      <c r="C2635" t="s">
        <v>1027</v>
      </c>
      <c r="D2635" t="s">
        <v>1196</v>
      </c>
      <c r="E2635" t="str">
        <f>_xlfn.XLOOKUP(F2635, Keys!B:B, Keys!A:A, "找不到")</f>
        <v>PN</v>
      </c>
      <c r="F2635" t="s">
        <v>80</v>
      </c>
      <c r="G2635">
        <v>1.220526022153321</v>
      </c>
      <c r="H2635" t="s">
        <v>46</v>
      </c>
      <c r="I2635" t="s">
        <v>47</v>
      </c>
      <c r="J2635" t="s">
        <v>1200</v>
      </c>
      <c r="K2635">
        <v>307.55698385199122</v>
      </c>
      <c r="L2635">
        <v>4939.3133286910488</v>
      </c>
    </row>
    <row r="2636" spans="1:12" hidden="1" x14ac:dyDescent="0.25">
      <c r="A2636">
        <v>82</v>
      </c>
      <c r="B2636" t="s">
        <v>1026</v>
      </c>
      <c r="C2636" t="s">
        <v>1027</v>
      </c>
      <c r="D2636" t="s">
        <v>1192</v>
      </c>
      <c r="E2636" t="str">
        <f>_xlfn.XLOOKUP(F2636, Keys!B:B, Keys!A:A, "找不到")</f>
        <v>PN</v>
      </c>
      <c r="F2636" t="s">
        <v>80</v>
      </c>
      <c r="G2636">
        <v>4.4927810889825261</v>
      </c>
      <c r="H2636" t="s">
        <v>46</v>
      </c>
      <c r="I2636" t="s">
        <v>47</v>
      </c>
      <c r="J2636" t="s">
        <v>1203</v>
      </c>
      <c r="K2636">
        <v>647.70509267989041</v>
      </c>
      <c r="L2636">
        <v>18181.7127311644</v>
      </c>
    </row>
    <row r="2637" spans="1:12" hidden="1" x14ac:dyDescent="0.25">
      <c r="A2637">
        <v>83</v>
      </c>
      <c r="B2637" t="s">
        <v>1026</v>
      </c>
      <c r="C2637" t="s">
        <v>1027</v>
      </c>
      <c r="D2637" t="s">
        <v>1196</v>
      </c>
      <c r="E2637" t="str">
        <f>_xlfn.XLOOKUP(F2637, Keys!B:B, Keys!A:A, "找不到")</f>
        <v>PN</v>
      </c>
      <c r="F2637" t="s">
        <v>80</v>
      </c>
      <c r="G2637">
        <v>5.7415515615457009</v>
      </c>
      <c r="H2637" t="s">
        <v>46</v>
      </c>
      <c r="I2637" t="s">
        <v>47</v>
      </c>
      <c r="J2637" t="s">
        <v>1207</v>
      </c>
      <c r="K2637">
        <v>667.12684144672824</v>
      </c>
      <c r="L2637">
        <v>23235.327752600031</v>
      </c>
    </row>
    <row r="2638" spans="1:12" hidden="1" x14ac:dyDescent="0.25">
      <c r="A2638">
        <v>85</v>
      </c>
      <c r="B2638" t="s">
        <v>1026</v>
      </c>
      <c r="C2638" t="s">
        <v>1027</v>
      </c>
      <c r="D2638" t="s">
        <v>1192</v>
      </c>
      <c r="E2638" t="str">
        <f>_xlfn.XLOOKUP(F2638, Keys!B:B, Keys!A:A, "找不到")</f>
        <v>PN</v>
      </c>
      <c r="F2638" t="s">
        <v>80</v>
      </c>
      <c r="G2638">
        <v>2.9253518543468169</v>
      </c>
      <c r="H2638" t="s">
        <v>46</v>
      </c>
      <c r="I2638" t="s">
        <v>47</v>
      </c>
      <c r="J2638" t="s">
        <v>1193</v>
      </c>
      <c r="K2638">
        <v>442.35139915550099</v>
      </c>
      <c r="L2638">
        <v>11838.526293600989</v>
      </c>
    </row>
    <row r="2639" spans="1:12" hidden="1" x14ac:dyDescent="0.25">
      <c r="A2639">
        <v>86</v>
      </c>
      <c r="B2639" t="s">
        <v>1026</v>
      </c>
      <c r="C2639" t="s">
        <v>1027</v>
      </c>
      <c r="D2639" t="s">
        <v>1192</v>
      </c>
      <c r="E2639" t="str">
        <f>_xlfn.XLOOKUP(F2639, Keys!B:B, Keys!A:A, "找不到")</f>
        <v>PN</v>
      </c>
      <c r="F2639" t="s">
        <v>80</v>
      </c>
      <c r="G2639">
        <v>4.0243498177525474</v>
      </c>
      <c r="H2639" t="s">
        <v>46</v>
      </c>
      <c r="I2639" t="s">
        <v>47</v>
      </c>
      <c r="J2639" t="s">
        <v>1193</v>
      </c>
      <c r="K2639">
        <v>511.14646260534101</v>
      </c>
      <c r="L2639">
        <v>16286.031050015221</v>
      </c>
    </row>
    <row r="2640" spans="1:12" hidden="1" x14ac:dyDescent="0.25">
      <c r="A2640">
        <v>87</v>
      </c>
      <c r="B2640" t="s">
        <v>1026</v>
      </c>
      <c r="C2640" t="s">
        <v>1027</v>
      </c>
      <c r="D2640" t="s">
        <v>1192</v>
      </c>
      <c r="E2640" t="str">
        <f>_xlfn.XLOOKUP(F2640, Keys!B:B, Keys!A:A, "找不到")</f>
        <v>PN</v>
      </c>
      <c r="F2640" t="s">
        <v>80</v>
      </c>
      <c r="G2640">
        <v>9.4741080698899118</v>
      </c>
      <c r="H2640" t="s">
        <v>46</v>
      </c>
      <c r="I2640" t="s">
        <v>47</v>
      </c>
      <c r="J2640" t="s">
        <v>1213</v>
      </c>
      <c r="K2640">
        <v>959.07108206717476</v>
      </c>
      <c r="L2640">
        <v>38340.5084510261</v>
      </c>
    </row>
    <row r="2641" spans="1:12" hidden="1" x14ac:dyDescent="0.25">
      <c r="A2641">
        <v>88</v>
      </c>
      <c r="B2641" t="s">
        <v>1026</v>
      </c>
      <c r="C2641" t="s">
        <v>1027</v>
      </c>
      <c r="D2641" t="s">
        <v>1192</v>
      </c>
      <c r="E2641" t="str">
        <f>_xlfn.XLOOKUP(F2641, Keys!B:B, Keys!A:A, "找不到")</f>
        <v>PN</v>
      </c>
      <c r="F2641" t="s">
        <v>80</v>
      </c>
      <c r="G2641">
        <v>1.188443082534534</v>
      </c>
      <c r="H2641" t="s">
        <v>46</v>
      </c>
      <c r="I2641" t="s">
        <v>47</v>
      </c>
      <c r="J2641" t="s">
        <v>1213</v>
      </c>
      <c r="K2641">
        <v>303.64216341420882</v>
      </c>
      <c r="L2641">
        <v>4809.4777591035299</v>
      </c>
    </row>
    <row r="2642" spans="1:12" hidden="1" x14ac:dyDescent="0.25">
      <c r="A2642">
        <v>89</v>
      </c>
      <c r="B2642" t="s">
        <v>1026</v>
      </c>
      <c r="C2642" t="s">
        <v>1027</v>
      </c>
      <c r="D2642" t="s">
        <v>1192</v>
      </c>
      <c r="E2642" t="str">
        <f>_xlfn.XLOOKUP(F2642, Keys!B:B, Keys!A:A, "找不到")</f>
        <v>PN</v>
      </c>
      <c r="F2642" t="s">
        <v>80</v>
      </c>
      <c r="G2642">
        <v>16.394614772460528</v>
      </c>
      <c r="H2642" t="s">
        <v>46</v>
      </c>
      <c r="I2642" t="s">
        <v>47</v>
      </c>
      <c r="J2642" t="s">
        <v>1213</v>
      </c>
      <c r="K2642">
        <v>1174.0239980695089</v>
      </c>
      <c r="L2642">
        <v>66346.917472110305</v>
      </c>
    </row>
    <row r="2643" spans="1:12" hidden="1" x14ac:dyDescent="0.25">
      <c r="A2643">
        <v>90</v>
      </c>
      <c r="B2643" t="s">
        <v>1026</v>
      </c>
      <c r="C2643" t="s">
        <v>1027</v>
      </c>
      <c r="D2643" t="s">
        <v>1192</v>
      </c>
      <c r="E2643" t="str">
        <f>_xlfn.XLOOKUP(F2643, Keys!B:B, Keys!A:A, "找不到")</f>
        <v>PN</v>
      </c>
      <c r="F2643" t="s">
        <v>80</v>
      </c>
      <c r="G2643">
        <v>1.468152518056574</v>
      </c>
      <c r="H2643" t="s">
        <v>46</v>
      </c>
      <c r="I2643" t="s">
        <v>47</v>
      </c>
      <c r="J2643" t="s">
        <v>1213</v>
      </c>
      <c r="K2643">
        <v>421.36051211168001</v>
      </c>
      <c r="L2643">
        <v>5941.4262124410616</v>
      </c>
    </row>
    <row r="2644" spans="1:12" hidden="1" x14ac:dyDescent="0.25">
      <c r="A2644">
        <v>91</v>
      </c>
      <c r="B2644" t="s">
        <v>1026</v>
      </c>
      <c r="C2644" t="s">
        <v>1027</v>
      </c>
      <c r="D2644" t="s">
        <v>1192</v>
      </c>
      <c r="E2644" t="str">
        <f>_xlfn.XLOOKUP(F2644, Keys!B:B, Keys!A:A, "找不到")</f>
        <v>PN</v>
      </c>
      <c r="F2644" t="s">
        <v>80</v>
      </c>
      <c r="G2644">
        <v>1.941378943998685</v>
      </c>
      <c r="H2644" t="s">
        <v>46</v>
      </c>
      <c r="I2644" t="s">
        <v>47</v>
      </c>
      <c r="J2644" t="s">
        <v>1221</v>
      </c>
      <c r="K2644">
        <v>353.8148655850369</v>
      </c>
      <c r="L2644">
        <v>7856.5132738548746</v>
      </c>
    </row>
    <row r="2645" spans="1:12" hidden="1" x14ac:dyDescent="0.25">
      <c r="A2645">
        <v>92</v>
      </c>
      <c r="B2645" t="s">
        <v>1026</v>
      </c>
      <c r="C2645" t="s">
        <v>1027</v>
      </c>
      <c r="D2645" t="s">
        <v>1192</v>
      </c>
      <c r="E2645" t="str">
        <f>_xlfn.XLOOKUP(F2645, Keys!B:B, Keys!A:A, "找不到")</f>
        <v>PN</v>
      </c>
      <c r="F2645" t="s">
        <v>80</v>
      </c>
      <c r="G2645">
        <v>11.915545761344349</v>
      </c>
      <c r="H2645" t="s">
        <v>46</v>
      </c>
      <c r="I2645" t="s">
        <v>47</v>
      </c>
      <c r="J2645" t="s">
        <v>1221</v>
      </c>
      <c r="K2645">
        <v>1159.1162860897221</v>
      </c>
      <c r="L2645">
        <v>48220.695773287691</v>
      </c>
    </row>
    <row r="2646" spans="1:12" hidden="1" x14ac:dyDescent="0.25">
      <c r="A2646">
        <v>93</v>
      </c>
      <c r="B2646" t="s">
        <v>1026</v>
      </c>
      <c r="C2646" t="s">
        <v>1027</v>
      </c>
      <c r="D2646" t="s">
        <v>1192</v>
      </c>
      <c r="E2646" t="str">
        <f>_xlfn.XLOOKUP(F2646, Keys!B:B, Keys!A:A, "找不到")</f>
        <v>PN</v>
      </c>
      <c r="F2646" t="s">
        <v>80</v>
      </c>
      <c r="G2646">
        <v>6.2930488553616888</v>
      </c>
      <c r="H2646" t="s">
        <v>46</v>
      </c>
      <c r="I2646" t="s">
        <v>47</v>
      </c>
      <c r="J2646" t="s">
        <v>1221</v>
      </c>
      <c r="K2646">
        <v>746.40954821328876</v>
      </c>
      <c r="L2646">
        <v>25467.167045363731</v>
      </c>
    </row>
    <row r="2647" spans="1:12" hidden="1" x14ac:dyDescent="0.25">
      <c r="A2647">
        <v>94</v>
      </c>
      <c r="B2647" t="s">
        <v>1026</v>
      </c>
      <c r="C2647" t="s">
        <v>1027</v>
      </c>
      <c r="D2647" t="s">
        <v>1192</v>
      </c>
      <c r="E2647" t="str">
        <f>_xlfn.XLOOKUP(F2647, Keys!B:B, Keys!A:A, "找不到")</f>
        <v>PN</v>
      </c>
      <c r="F2647" t="s">
        <v>80</v>
      </c>
      <c r="G2647">
        <v>2.0455366190233448</v>
      </c>
      <c r="H2647" t="s">
        <v>46</v>
      </c>
      <c r="I2647" t="s">
        <v>47</v>
      </c>
      <c r="J2647" t="s">
        <v>1228</v>
      </c>
      <c r="K2647">
        <v>382.4293727860927</v>
      </c>
      <c r="L2647">
        <v>8278.026116020359</v>
      </c>
    </row>
    <row r="2648" spans="1:12" hidden="1" x14ac:dyDescent="0.25">
      <c r="A2648">
        <v>95</v>
      </c>
      <c r="B2648" t="s">
        <v>1026</v>
      </c>
      <c r="C2648" t="s">
        <v>1027</v>
      </c>
      <c r="D2648" t="s">
        <v>1192</v>
      </c>
      <c r="E2648" t="str">
        <f>_xlfn.XLOOKUP(F2648, Keys!B:B, Keys!A:A, "找不到")</f>
        <v>PN</v>
      </c>
      <c r="F2648" t="s">
        <v>80</v>
      </c>
      <c r="G2648">
        <v>0.43606023327078131</v>
      </c>
      <c r="H2648" t="s">
        <v>46</v>
      </c>
      <c r="I2648" t="s">
        <v>47</v>
      </c>
      <c r="J2648" t="s">
        <v>1228</v>
      </c>
      <c r="K2648">
        <v>204.23690973025609</v>
      </c>
      <c r="L2648">
        <v>1764.680214278902</v>
      </c>
    </row>
    <row r="2649" spans="1:12" hidden="1" x14ac:dyDescent="0.25">
      <c r="A2649">
        <v>96</v>
      </c>
      <c r="B2649" t="s">
        <v>1026</v>
      </c>
      <c r="C2649" t="s">
        <v>1027</v>
      </c>
      <c r="D2649" t="s">
        <v>1192</v>
      </c>
      <c r="E2649" t="str">
        <f>_xlfn.XLOOKUP(F2649, Keys!B:B, Keys!A:A, "找不到")</f>
        <v>PN</v>
      </c>
      <c r="F2649" t="s">
        <v>80</v>
      </c>
      <c r="G2649">
        <v>3.50293541928554</v>
      </c>
      <c r="H2649" t="s">
        <v>46</v>
      </c>
      <c r="I2649" t="s">
        <v>47</v>
      </c>
      <c r="J2649" t="s">
        <v>1228</v>
      </c>
      <c r="K2649">
        <v>624.40942820646262</v>
      </c>
      <c r="L2649">
        <v>14175.933402465031</v>
      </c>
    </row>
    <row r="2650" spans="1:12" hidden="1" x14ac:dyDescent="0.25">
      <c r="A2650">
        <v>97</v>
      </c>
      <c r="B2650" t="s">
        <v>1026</v>
      </c>
      <c r="C2650" t="s">
        <v>1027</v>
      </c>
      <c r="D2650" t="s">
        <v>1192</v>
      </c>
      <c r="E2650" t="str">
        <f>_xlfn.XLOOKUP(F2650, Keys!B:B, Keys!A:A, "找不到")</f>
        <v>PN</v>
      </c>
      <c r="F2650" t="s">
        <v>80</v>
      </c>
      <c r="G2650">
        <v>0.2390137832750551</v>
      </c>
      <c r="H2650" t="s">
        <v>46</v>
      </c>
      <c r="I2650" t="s">
        <v>47</v>
      </c>
      <c r="J2650" t="s">
        <v>1228</v>
      </c>
      <c r="K2650">
        <v>144.66347074682119</v>
      </c>
      <c r="L2650">
        <v>967.25833291824085</v>
      </c>
    </row>
    <row r="2651" spans="1:12" hidden="1" x14ac:dyDescent="0.25">
      <c r="A2651">
        <v>98</v>
      </c>
      <c r="B2651" t="s">
        <v>1026</v>
      </c>
      <c r="C2651" t="s">
        <v>1027</v>
      </c>
      <c r="D2651" t="s">
        <v>1192</v>
      </c>
      <c r="E2651" t="str">
        <f>_xlfn.XLOOKUP(F2651, Keys!B:B, Keys!A:A, "找不到")</f>
        <v>PN</v>
      </c>
      <c r="F2651" t="s">
        <v>80</v>
      </c>
      <c r="G2651">
        <v>4.5732143663809319</v>
      </c>
      <c r="H2651" t="s">
        <v>46</v>
      </c>
      <c r="I2651" t="s">
        <v>47</v>
      </c>
      <c r="J2651" t="s">
        <v>1228</v>
      </c>
      <c r="K2651">
        <v>800.68295878843526</v>
      </c>
      <c r="L2651">
        <v>18507.215958390421</v>
      </c>
    </row>
    <row r="2652" spans="1:12" hidden="1" x14ac:dyDescent="0.25">
      <c r="A2652">
        <v>99</v>
      </c>
      <c r="B2652" t="s">
        <v>1026</v>
      </c>
      <c r="C2652" t="s">
        <v>1027</v>
      </c>
      <c r="D2652" t="s">
        <v>1192</v>
      </c>
      <c r="E2652" t="str">
        <f>_xlfn.XLOOKUP(F2652, Keys!B:B, Keys!A:A, "找不到")</f>
        <v>PN</v>
      </c>
      <c r="F2652" t="s">
        <v>80</v>
      </c>
      <c r="G2652">
        <v>1.1401222004648119</v>
      </c>
      <c r="H2652" t="s">
        <v>46</v>
      </c>
      <c r="I2652" t="s">
        <v>47</v>
      </c>
      <c r="J2652" t="s">
        <v>1237</v>
      </c>
      <c r="K2652">
        <v>302.54793677816718</v>
      </c>
      <c r="L2652">
        <v>4613.9293049706084</v>
      </c>
    </row>
    <row r="2653" spans="1:12" hidden="1" x14ac:dyDescent="0.25">
      <c r="A2653">
        <v>100</v>
      </c>
      <c r="B2653" t="s">
        <v>1026</v>
      </c>
      <c r="C2653" t="s">
        <v>1027</v>
      </c>
      <c r="D2653" t="s">
        <v>1192</v>
      </c>
      <c r="E2653" t="str">
        <f>_xlfn.XLOOKUP(F2653, Keys!B:B, Keys!A:A, "找不到")</f>
        <v>PN</v>
      </c>
      <c r="F2653" t="s">
        <v>80</v>
      </c>
      <c r="G2653">
        <v>1.5164472466225529</v>
      </c>
      <c r="H2653" t="s">
        <v>46</v>
      </c>
      <c r="I2653" t="s">
        <v>47</v>
      </c>
      <c r="J2653" t="s">
        <v>1228</v>
      </c>
      <c r="K2653">
        <v>353.90309703538372</v>
      </c>
      <c r="L2653">
        <v>6136.8688266760328</v>
      </c>
    </row>
    <row r="2654" spans="1:12" hidden="1" x14ac:dyDescent="0.25">
      <c r="A2654">
        <v>103</v>
      </c>
      <c r="B2654" t="s">
        <v>1026</v>
      </c>
      <c r="C2654" t="s">
        <v>1027</v>
      </c>
      <c r="D2654" t="s">
        <v>1248</v>
      </c>
      <c r="E2654" t="str">
        <f>_xlfn.XLOOKUP(F2654, Keys!B:B, Keys!A:A, "找不到")</f>
        <v>PN</v>
      </c>
      <c r="F2654" t="s">
        <v>80</v>
      </c>
      <c r="G2654">
        <v>1.3356583052353159</v>
      </c>
      <c r="H2654" t="s">
        <v>46</v>
      </c>
      <c r="I2654" t="s">
        <v>47</v>
      </c>
      <c r="J2654" t="s">
        <v>1249</v>
      </c>
      <c r="K2654">
        <v>466.27580164209832</v>
      </c>
      <c r="L2654">
        <v>5405.239011607865</v>
      </c>
    </row>
    <row r="2655" spans="1:12" hidden="1" x14ac:dyDescent="0.25">
      <c r="A2655">
        <v>107</v>
      </c>
      <c r="B2655" t="s">
        <v>1026</v>
      </c>
      <c r="C2655" t="s">
        <v>1027</v>
      </c>
      <c r="D2655" t="s">
        <v>1248</v>
      </c>
      <c r="E2655" t="str">
        <f>_xlfn.XLOOKUP(F2655, Keys!B:B, Keys!A:A, "找不到")</f>
        <v>PN</v>
      </c>
      <c r="F2655" t="s">
        <v>80</v>
      </c>
      <c r="G2655">
        <v>0.44854531035464412</v>
      </c>
      <c r="H2655" t="s">
        <v>46</v>
      </c>
      <c r="I2655" t="s">
        <v>47</v>
      </c>
      <c r="J2655" t="s">
        <v>1255</v>
      </c>
      <c r="K2655">
        <v>237.84008117408791</v>
      </c>
      <c r="L2655">
        <v>1815.2057307617549</v>
      </c>
    </row>
    <row r="2656" spans="1:12" hidden="1" x14ac:dyDescent="0.25">
      <c r="A2656">
        <v>108</v>
      </c>
      <c r="B2656" t="s">
        <v>1026</v>
      </c>
      <c r="C2656" t="s">
        <v>1027</v>
      </c>
      <c r="D2656" t="s">
        <v>1248</v>
      </c>
      <c r="E2656" t="str">
        <f>_xlfn.XLOOKUP(F2656, Keys!B:B, Keys!A:A, "找不到")</f>
        <v>PN</v>
      </c>
      <c r="F2656" t="s">
        <v>80</v>
      </c>
      <c r="G2656">
        <v>4.2856805938600013</v>
      </c>
      <c r="H2656" t="s">
        <v>46</v>
      </c>
      <c r="I2656" t="s">
        <v>47</v>
      </c>
      <c r="J2656" t="s">
        <v>1255</v>
      </c>
      <c r="K2656">
        <v>584.26834296851985</v>
      </c>
      <c r="L2656">
        <v>17343.603409961659</v>
      </c>
    </row>
    <row r="2657" spans="1:12" hidden="1" x14ac:dyDescent="0.25">
      <c r="A2657">
        <v>116</v>
      </c>
      <c r="B2657" t="s">
        <v>1026</v>
      </c>
      <c r="C2657" t="s">
        <v>1027</v>
      </c>
      <c r="D2657" t="s">
        <v>1248</v>
      </c>
      <c r="E2657" t="str">
        <f>_xlfn.XLOOKUP(F2657, Keys!B:B, Keys!A:A, "找不到")</f>
        <v>PN</v>
      </c>
      <c r="F2657" t="s">
        <v>80</v>
      </c>
      <c r="G2657">
        <v>0.16426666984845961</v>
      </c>
      <c r="H2657" t="s">
        <v>46</v>
      </c>
      <c r="I2657" t="s">
        <v>47</v>
      </c>
      <c r="J2657" t="s">
        <v>1255</v>
      </c>
      <c r="K2657">
        <v>162.77063709683449</v>
      </c>
      <c r="L2657">
        <v>664.76628692498764</v>
      </c>
    </row>
    <row r="2658" spans="1:12" hidden="1" x14ac:dyDescent="0.25">
      <c r="A2658">
        <v>144</v>
      </c>
      <c r="B2658" t="s">
        <v>1026</v>
      </c>
      <c r="C2658" t="s">
        <v>1027</v>
      </c>
      <c r="D2658">
        <v>0</v>
      </c>
      <c r="E2658" t="str">
        <f>_xlfn.XLOOKUP(F2658, Keys!B:B, Keys!A:A, "找不到")</f>
        <v>PN</v>
      </c>
      <c r="F2658" t="s">
        <v>80</v>
      </c>
      <c r="G2658">
        <v>0.78045728582789675</v>
      </c>
      <c r="H2658" t="s">
        <v>60</v>
      </c>
      <c r="I2658" t="s">
        <v>66</v>
      </c>
      <c r="J2658" t="s">
        <v>1313</v>
      </c>
      <c r="K2658">
        <v>282.37317577986443</v>
      </c>
      <c r="L2658">
        <v>3158.411213193715</v>
      </c>
    </row>
    <row r="2659" spans="1:12" hidden="1" x14ac:dyDescent="0.25">
      <c r="A2659">
        <v>145</v>
      </c>
      <c r="B2659" t="s">
        <v>1026</v>
      </c>
      <c r="C2659" t="s">
        <v>1027</v>
      </c>
      <c r="D2659">
        <v>0</v>
      </c>
      <c r="E2659" t="str">
        <f>_xlfn.XLOOKUP(F2659, Keys!B:B, Keys!A:A, "找不到")</f>
        <v>PN</v>
      </c>
      <c r="F2659" t="s">
        <v>80</v>
      </c>
      <c r="G2659">
        <v>0.55632445081773452</v>
      </c>
      <c r="H2659" t="s">
        <v>60</v>
      </c>
      <c r="I2659" t="s">
        <v>66</v>
      </c>
      <c r="J2659" t="s">
        <v>1313</v>
      </c>
      <c r="K2659">
        <v>279.38056645432448</v>
      </c>
      <c r="L2659">
        <v>2251.3741822176248</v>
      </c>
    </row>
    <row r="2660" spans="1:12" hidden="1" x14ac:dyDescent="0.25">
      <c r="A2660">
        <v>147</v>
      </c>
      <c r="B2660" t="s">
        <v>1026</v>
      </c>
      <c r="C2660" t="s">
        <v>1027</v>
      </c>
      <c r="D2660">
        <v>0</v>
      </c>
      <c r="E2660" t="str">
        <f>_xlfn.XLOOKUP(F2660, Keys!B:B, Keys!A:A, "找不到")</f>
        <v>PN</v>
      </c>
      <c r="F2660" t="s">
        <v>80</v>
      </c>
      <c r="G2660">
        <v>4.058819673333887</v>
      </c>
      <c r="H2660" t="s">
        <v>60</v>
      </c>
      <c r="I2660" t="s">
        <v>66</v>
      </c>
      <c r="J2660" t="s">
        <v>1313</v>
      </c>
      <c r="K2660">
        <v>503.55216254969542</v>
      </c>
      <c r="L2660">
        <v>16425.526164433661</v>
      </c>
    </row>
    <row r="2661" spans="1:12" hidden="1" x14ac:dyDescent="0.25">
      <c r="A2661">
        <v>228</v>
      </c>
      <c r="B2661" t="s">
        <v>1026</v>
      </c>
      <c r="C2661" t="s">
        <v>1027</v>
      </c>
      <c r="D2661" t="s">
        <v>1257</v>
      </c>
      <c r="E2661" t="str">
        <f>_xlfn.XLOOKUP(F2661, Keys!B:B, Keys!A:A, "找不到")</f>
        <v>PN</v>
      </c>
      <c r="F2661" t="s">
        <v>80</v>
      </c>
      <c r="G2661">
        <v>2.6997216996709832</v>
      </c>
      <c r="H2661" t="s">
        <v>46</v>
      </c>
      <c r="I2661" t="s">
        <v>47</v>
      </c>
      <c r="J2661" t="s">
        <v>1249</v>
      </c>
      <c r="K2661">
        <v>485.33873320511998</v>
      </c>
      <c r="L2661">
        <v>10925.429800681661</v>
      </c>
    </row>
    <row r="2662" spans="1:12" hidden="1" x14ac:dyDescent="0.25">
      <c r="A2662">
        <v>230</v>
      </c>
      <c r="B2662" t="s">
        <v>1026</v>
      </c>
      <c r="C2662" t="s">
        <v>1027</v>
      </c>
      <c r="D2662" t="s">
        <v>1192</v>
      </c>
      <c r="E2662" t="str">
        <f>_xlfn.XLOOKUP(F2662, Keys!B:B, Keys!A:A, "找不到")</f>
        <v>PN</v>
      </c>
      <c r="F2662" t="s">
        <v>80</v>
      </c>
      <c r="G2662">
        <v>1.188167942101594</v>
      </c>
      <c r="H2662" t="s">
        <v>46</v>
      </c>
      <c r="I2662" t="s">
        <v>47</v>
      </c>
      <c r="J2662" t="s">
        <v>673</v>
      </c>
      <c r="K2662">
        <v>302.80141248869472</v>
      </c>
      <c r="L2662">
        <v>4808.3643008215977</v>
      </c>
    </row>
    <row r="2663" spans="1:12" hidden="1" x14ac:dyDescent="0.25">
      <c r="A2663">
        <v>231</v>
      </c>
      <c r="B2663" t="s">
        <v>1026</v>
      </c>
      <c r="C2663" t="s">
        <v>1027</v>
      </c>
      <c r="D2663" t="s">
        <v>1192</v>
      </c>
      <c r="E2663" t="str">
        <f>_xlfn.XLOOKUP(F2663, Keys!B:B, Keys!A:A, "找不到")</f>
        <v>PN</v>
      </c>
      <c r="F2663" t="s">
        <v>80</v>
      </c>
      <c r="G2663">
        <v>0.83057739762216232</v>
      </c>
      <c r="H2663" t="s">
        <v>46</v>
      </c>
      <c r="I2663" t="s">
        <v>47</v>
      </c>
      <c r="J2663" t="s">
        <v>1228</v>
      </c>
      <c r="K2663">
        <v>279.37041649020819</v>
      </c>
      <c r="L2663">
        <v>3361.2409208177642</v>
      </c>
    </row>
    <row r="2664" spans="1:12" hidden="1" x14ac:dyDescent="0.25">
      <c r="A2664">
        <v>232</v>
      </c>
      <c r="B2664" t="s">
        <v>1026</v>
      </c>
      <c r="C2664" t="s">
        <v>1027</v>
      </c>
      <c r="D2664" t="s">
        <v>1192</v>
      </c>
      <c r="E2664" t="str">
        <f>_xlfn.XLOOKUP(F2664, Keys!B:B, Keys!A:A, "找不到")</f>
        <v>PN</v>
      </c>
      <c r="F2664" t="s">
        <v>80</v>
      </c>
      <c r="G2664">
        <v>2.600805556168194</v>
      </c>
      <c r="H2664" t="s">
        <v>46</v>
      </c>
      <c r="I2664" t="s">
        <v>47</v>
      </c>
      <c r="J2664" t="s">
        <v>673</v>
      </c>
      <c r="K2664">
        <v>660.36209891119006</v>
      </c>
      <c r="L2664">
        <v>10525.12876886583</v>
      </c>
    </row>
    <row r="2665" spans="1:12" hidden="1" x14ac:dyDescent="0.25">
      <c r="A2665">
        <v>235</v>
      </c>
      <c r="B2665" t="s">
        <v>1026</v>
      </c>
      <c r="C2665" t="s">
        <v>1027</v>
      </c>
      <c r="D2665" t="s">
        <v>1148</v>
      </c>
      <c r="E2665" t="str">
        <f>_xlfn.XLOOKUP(F2665, Keys!B:B, Keys!A:A, "找不到")</f>
        <v>PN</v>
      </c>
      <c r="F2665" t="s">
        <v>80</v>
      </c>
      <c r="G2665">
        <v>9.5522250933513231</v>
      </c>
      <c r="H2665" t="s">
        <v>46</v>
      </c>
      <c r="I2665" t="s">
        <v>47</v>
      </c>
      <c r="J2665" t="s">
        <v>1157</v>
      </c>
      <c r="K2665">
        <v>764.14415924672358</v>
      </c>
      <c r="L2665">
        <v>38656.63809363699</v>
      </c>
    </row>
    <row r="2666" spans="1:12" hidden="1" x14ac:dyDescent="0.25">
      <c r="A2666">
        <v>237</v>
      </c>
      <c r="B2666" t="s">
        <v>1026</v>
      </c>
      <c r="C2666" t="s">
        <v>1027</v>
      </c>
      <c r="D2666" t="s">
        <v>1248</v>
      </c>
      <c r="E2666" t="str">
        <f>_xlfn.XLOOKUP(F2666, Keys!B:B, Keys!A:A, "找不到")</f>
        <v>PN</v>
      </c>
      <c r="F2666" t="s">
        <v>80</v>
      </c>
      <c r="G2666">
        <v>1.2485193333918561</v>
      </c>
      <c r="H2666" t="s">
        <v>46</v>
      </c>
      <c r="I2666" t="s">
        <v>47</v>
      </c>
      <c r="J2666" t="s">
        <v>1249</v>
      </c>
      <c r="K2666">
        <v>340.6398685031993</v>
      </c>
      <c r="L2666">
        <v>5052.5986932019623</v>
      </c>
    </row>
    <row r="2667" spans="1:12" hidden="1" x14ac:dyDescent="0.25">
      <c r="A2667">
        <v>238</v>
      </c>
      <c r="B2667" t="s">
        <v>1026</v>
      </c>
      <c r="C2667" t="s">
        <v>1027</v>
      </c>
      <c r="D2667" t="s">
        <v>1196</v>
      </c>
      <c r="E2667" t="str">
        <f>_xlfn.XLOOKUP(F2667, Keys!B:B, Keys!A:A, "找不到")</f>
        <v>PN</v>
      </c>
      <c r="F2667" t="s">
        <v>80</v>
      </c>
      <c r="G2667">
        <v>2.7086201037820201</v>
      </c>
      <c r="H2667" t="s">
        <v>46</v>
      </c>
      <c r="I2667" t="s">
        <v>47</v>
      </c>
      <c r="J2667" t="s">
        <v>1207</v>
      </c>
      <c r="K2667">
        <v>430.63865482910859</v>
      </c>
      <c r="L2667">
        <v>10961.440508550209</v>
      </c>
    </row>
    <row r="2668" spans="1:12" hidden="1" x14ac:dyDescent="0.25">
      <c r="A2668">
        <v>249</v>
      </c>
      <c r="B2668" t="s">
        <v>1026</v>
      </c>
      <c r="C2668" t="s">
        <v>1027</v>
      </c>
      <c r="D2668">
        <v>0</v>
      </c>
      <c r="E2668" t="str">
        <f>_xlfn.XLOOKUP(F2668, Keys!B:B, Keys!A:A, "找不到")</f>
        <v>PN</v>
      </c>
      <c r="F2668" t="s">
        <v>80</v>
      </c>
      <c r="G2668">
        <v>3.25516272250823</v>
      </c>
      <c r="H2668" t="s">
        <v>60</v>
      </c>
      <c r="I2668" t="s">
        <v>66</v>
      </c>
      <c r="J2668">
        <v>0</v>
      </c>
      <c r="K2668">
        <v>611.80686161835433</v>
      </c>
      <c r="L2668">
        <v>13173.228862402249</v>
      </c>
    </row>
    <row r="2669" spans="1:12" hidden="1" x14ac:dyDescent="0.25">
      <c r="A2669">
        <v>251</v>
      </c>
      <c r="B2669" t="s">
        <v>1026</v>
      </c>
      <c r="C2669" t="s">
        <v>1027</v>
      </c>
      <c r="D2669">
        <v>0</v>
      </c>
      <c r="E2669" t="str">
        <f>_xlfn.XLOOKUP(F2669, Keys!B:B, Keys!A:A, "找不到")</f>
        <v>PN</v>
      </c>
      <c r="F2669" t="s">
        <v>80</v>
      </c>
      <c r="G2669">
        <v>1.5986035011299291</v>
      </c>
      <c r="H2669" t="s">
        <v>60</v>
      </c>
      <c r="I2669" t="s">
        <v>66</v>
      </c>
      <c r="J2669">
        <v>0</v>
      </c>
      <c r="K2669">
        <v>337.32643239769288</v>
      </c>
      <c r="L2669">
        <v>6469.3447227717907</v>
      </c>
    </row>
    <row r="2670" spans="1:12" hidden="1" x14ac:dyDescent="0.25">
      <c r="A2670">
        <v>271</v>
      </c>
      <c r="B2670" t="s">
        <v>1026</v>
      </c>
      <c r="C2670" t="s">
        <v>1027</v>
      </c>
      <c r="D2670">
        <v>0</v>
      </c>
      <c r="E2670" t="str">
        <f>_xlfn.XLOOKUP(F2670, Keys!B:B, Keys!A:A, "找不到")</f>
        <v>PN</v>
      </c>
      <c r="F2670" t="s">
        <v>80</v>
      </c>
      <c r="G2670">
        <v>0.38091511959626467</v>
      </c>
      <c r="H2670" t="s">
        <v>73</v>
      </c>
      <c r="I2670" t="s">
        <v>74</v>
      </c>
      <c r="J2670" t="s">
        <v>1028</v>
      </c>
      <c r="K2670">
        <v>168.13778825728971</v>
      </c>
      <c r="L2670">
        <v>1541.5149641810981</v>
      </c>
    </row>
    <row r="2671" spans="1:12" hidden="1" x14ac:dyDescent="0.25">
      <c r="A2671">
        <v>278</v>
      </c>
      <c r="B2671" t="s">
        <v>1026</v>
      </c>
      <c r="C2671" t="s">
        <v>1027</v>
      </c>
      <c r="D2671">
        <v>0</v>
      </c>
      <c r="E2671" t="str">
        <f>_xlfn.XLOOKUP(F2671, Keys!B:B, Keys!A:A, "找不到")</f>
        <v>PN</v>
      </c>
      <c r="F2671" t="s">
        <v>80</v>
      </c>
      <c r="G2671">
        <v>1.042553410928128</v>
      </c>
      <c r="H2671" t="s">
        <v>46</v>
      </c>
      <c r="I2671" t="s">
        <v>47</v>
      </c>
      <c r="J2671" t="s">
        <v>1093</v>
      </c>
      <c r="K2671">
        <v>392.69132905240349</v>
      </c>
      <c r="L2671">
        <v>4219.080843016015</v>
      </c>
    </row>
    <row r="2672" spans="1:12" hidden="1" x14ac:dyDescent="0.25">
      <c r="A2672">
        <v>4</v>
      </c>
      <c r="B2672" t="s">
        <v>378</v>
      </c>
      <c r="C2672" t="s">
        <v>379</v>
      </c>
      <c r="D2672">
        <v>0</v>
      </c>
      <c r="E2672" t="str">
        <f>_xlfn.XLOOKUP(F2672, Keys!B:B, Keys!A:A, "找不到")</f>
        <v>PN</v>
      </c>
      <c r="F2672" t="s">
        <v>80</v>
      </c>
      <c r="G2672">
        <v>6.1166995593429987E-2</v>
      </c>
      <c r="H2672" t="s">
        <v>46</v>
      </c>
      <c r="I2672" t="s">
        <v>47</v>
      </c>
      <c r="J2672" t="s">
        <v>390</v>
      </c>
      <c r="K2672">
        <v>65.128741429596943</v>
      </c>
      <c r="L2672">
        <v>247.5350390953509</v>
      </c>
    </row>
    <row r="2673" spans="1:12" hidden="1" x14ac:dyDescent="0.25">
      <c r="A2673">
        <v>19</v>
      </c>
      <c r="B2673" t="s">
        <v>378</v>
      </c>
      <c r="C2673" t="s">
        <v>379</v>
      </c>
      <c r="D2673">
        <v>0</v>
      </c>
      <c r="E2673" t="str">
        <f>_xlfn.XLOOKUP(F2673, Keys!B:B, Keys!A:A, "找不到")</f>
        <v>PN</v>
      </c>
      <c r="F2673" t="s">
        <v>80</v>
      </c>
      <c r="G2673">
        <v>3.796452718310249</v>
      </c>
      <c r="H2673" t="s">
        <v>46</v>
      </c>
      <c r="I2673" t="s">
        <v>47</v>
      </c>
      <c r="J2673" t="s">
        <v>438</v>
      </c>
      <c r="K2673">
        <v>525.1250667033645</v>
      </c>
      <c r="L2673">
        <v>15363.760520412399</v>
      </c>
    </row>
    <row r="2674" spans="1:12" hidden="1" x14ac:dyDescent="0.25">
      <c r="A2674">
        <v>20</v>
      </c>
      <c r="B2674" t="s">
        <v>378</v>
      </c>
      <c r="C2674" t="s">
        <v>379</v>
      </c>
      <c r="D2674">
        <v>0</v>
      </c>
      <c r="E2674" t="str">
        <f>_xlfn.XLOOKUP(F2674, Keys!B:B, Keys!A:A, "找不到")</f>
        <v>PN</v>
      </c>
      <c r="F2674" t="s">
        <v>80</v>
      </c>
      <c r="G2674">
        <v>8.8993804251330175</v>
      </c>
      <c r="H2674" t="s">
        <v>46</v>
      </c>
      <c r="I2674" t="s">
        <v>47</v>
      </c>
      <c r="J2674" t="s">
        <v>438</v>
      </c>
      <c r="K2674">
        <v>1027.9621334282799</v>
      </c>
      <c r="L2674">
        <v>36014.658887321893</v>
      </c>
    </row>
    <row r="2675" spans="1:12" hidden="1" x14ac:dyDescent="0.25">
      <c r="A2675">
        <v>21</v>
      </c>
      <c r="B2675" t="s">
        <v>378</v>
      </c>
      <c r="C2675" t="s">
        <v>379</v>
      </c>
      <c r="D2675">
        <v>0</v>
      </c>
      <c r="E2675" t="str">
        <f>_xlfn.XLOOKUP(F2675, Keys!B:B, Keys!A:A, "找不到")</f>
        <v>PN</v>
      </c>
      <c r="F2675" t="s">
        <v>80</v>
      </c>
      <c r="G2675">
        <v>0.33376946670233948</v>
      </c>
      <c r="H2675" t="s">
        <v>46</v>
      </c>
      <c r="I2675" t="s">
        <v>47</v>
      </c>
      <c r="J2675" t="s">
        <v>438</v>
      </c>
      <c r="K2675">
        <v>166.67516873815421</v>
      </c>
      <c r="L2675">
        <v>1350.722512810034</v>
      </c>
    </row>
    <row r="2676" spans="1:12" hidden="1" x14ac:dyDescent="0.25">
      <c r="A2676">
        <v>22</v>
      </c>
      <c r="B2676" t="s">
        <v>378</v>
      </c>
      <c r="C2676" t="s">
        <v>379</v>
      </c>
      <c r="D2676">
        <v>0</v>
      </c>
      <c r="E2676" t="str">
        <f>_xlfn.XLOOKUP(F2676, Keys!B:B, Keys!A:A, "找不到")</f>
        <v>PN</v>
      </c>
      <c r="F2676" t="s">
        <v>80</v>
      </c>
      <c r="G2676">
        <v>6.8265250318597257</v>
      </c>
      <c r="H2676" t="s">
        <v>46</v>
      </c>
      <c r="I2676" t="s">
        <v>47</v>
      </c>
      <c r="J2676" t="s">
        <v>438</v>
      </c>
      <c r="K2676">
        <v>743.50981296343059</v>
      </c>
      <c r="L2676">
        <v>27626.07717205408</v>
      </c>
    </row>
    <row r="2677" spans="1:12" hidden="1" x14ac:dyDescent="0.25">
      <c r="A2677">
        <v>35</v>
      </c>
      <c r="B2677" t="s">
        <v>378</v>
      </c>
      <c r="C2677" t="s">
        <v>379</v>
      </c>
      <c r="D2677" t="s">
        <v>479</v>
      </c>
      <c r="E2677" t="str">
        <f>_xlfn.XLOOKUP(F2677, Keys!B:B, Keys!A:A, "找不到")</f>
        <v>PN</v>
      </c>
      <c r="F2677" t="s">
        <v>80</v>
      </c>
      <c r="G2677">
        <v>0.48974293196441832</v>
      </c>
      <c r="H2677" t="s">
        <v>46</v>
      </c>
      <c r="I2677" t="s">
        <v>47</v>
      </c>
      <c r="J2677" t="s">
        <v>480</v>
      </c>
      <c r="K2677">
        <v>181.19170822866769</v>
      </c>
      <c r="L2677">
        <v>1981.927257246314</v>
      </c>
    </row>
    <row r="2678" spans="1:12" hidden="1" x14ac:dyDescent="0.25">
      <c r="A2678">
        <v>40</v>
      </c>
      <c r="B2678" t="s">
        <v>378</v>
      </c>
      <c r="C2678" t="s">
        <v>379</v>
      </c>
      <c r="D2678" t="s">
        <v>479</v>
      </c>
      <c r="E2678" t="str">
        <f>_xlfn.XLOOKUP(F2678, Keys!B:B, Keys!A:A, "找不到")</f>
        <v>PN</v>
      </c>
      <c r="F2678" t="s">
        <v>80</v>
      </c>
      <c r="G2678">
        <v>0.55463998687645644</v>
      </c>
      <c r="H2678" t="s">
        <v>46</v>
      </c>
      <c r="I2678" t="s">
        <v>47</v>
      </c>
      <c r="J2678" t="s">
        <v>480</v>
      </c>
      <c r="K2678">
        <v>195.52904237956511</v>
      </c>
      <c r="L2678">
        <v>2244.5573712313462</v>
      </c>
    </row>
    <row r="2679" spans="1:12" hidden="1" x14ac:dyDescent="0.25">
      <c r="A2679">
        <v>41</v>
      </c>
      <c r="B2679" t="s">
        <v>378</v>
      </c>
      <c r="C2679" t="s">
        <v>379</v>
      </c>
      <c r="D2679" t="s">
        <v>479</v>
      </c>
      <c r="E2679" t="str">
        <f>_xlfn.XLOOKUP(F2679, Keys!B:B, Keys!A:A, "找不到")</f>
        <v>PN</v>
      </c>
      <c r="F2679" t="s">
        <v>80</v>
      </c>
      <c r="G2679">
        <v>0.50536985090024367</v>
      </c>
      <c r="H2679" t="s">
        <v>46</v>
      </c>
      <c r="I2679" t="s">
        <v>47</v>
      </c>
      <c r="J2679" t="s">
        <v>480</v>
      </c>
      <c r="K2679">
        <v>182.42736640470119</v>
      </c>
      <c r="L2679">
        <v>2045.1674074644311</v>
      </c>
    </row>
    <row r="2680" spans="1:12" hidden="1" x14ac:dyDescent="0.25">
      <c r="A2680">
        <v>42</v>
      </c>
      <c r="B2680" t="s">
        <v>378</v>
      </c>
      <c r="C2680" t="s">
        <v>379</v>
      </c>
      <c r="D2680" t="s">
        <v>479</v>
      </c>
      <c r="E2680" t="str">
        <f>_xlfn.XLOOKUP(F2680, Keys!B:B, Keys!A:A, "找不到")</f>
        <v>PN</v>
      </c>
      <c r="F2680" t="s">
        <v>80</v>
      </c>
      <c r="G2680">
        <v>0.69693775976815964</v>
      </c>
      <c r="H2680" t="s">
        <v>46</v>
      </c>
      <c r="I2680" t="s">
        <v>47</v>
      </c>
      <c r="J2680" t="s">
        <v>480</v>
      </c>
      <c r="K2680">
        <v>278.5986356451582</v>
      </c>
      <c r="L2680">
        <v>2820.418330792887</v>
      </c>
    </row>
    <row r="2681" spans="1:12" hidden="1" x14ac:dyDescent="0.25">
      <c r="A2681">
        <v>44</v>
      </c>
      <c r="B2681" t="s">
        <v>378</v>
      </c>
      <c r="C2681" t="s">
        <v>379</v>
      </c>
      <c r="D2681" t="s">
        <v>479</v>
      </c>
      <c r="E2681" t="str">
        <f>_xlfn.XLOOKUP(F2681, Keys!B:B, Keys!A:A, "找不到")</f>
        <v>PN</v>
      </c>
      <c r="F2681" t="s">
        <v>80</v>
      </c>
      <c r="G2681">
        <v>4.0495924643767012</v>
      </c>
      <c r="H2681" t="s">
        <v>46</v>
      </c>
      <c r="I2681" t="s">
        <v>47</v>
      </c>
      <c r="J2681" t="s">
        <v>480</v>
      </c>
      <c r="K2681">
        <v>634.52433080287688</v>
      </c>
      <c r="L2681">
        <v>16388.184825239241</v>
      </c>
    </row>
    <row r="2682" spans="1:12" hidden="1" x14ac:dyDescent="0.25">
      <c r="A2682">
        <v>45</v>
      </c>
      <c r="B2682" t="s">
        <v>378</v>
      </c>
      <c r="C2682" t="s">
        <v>379</v>
      </c>
      <c r="D2682" t="s">
        <v>479</v>
      </c>
      <c r="E2682" t="str">
        <f>_xlfn.XLOOKUP(F2682, Keys!B:B, Keys!A:A, "找不到")</f>
        <v>PN</v>
      </c>
      <c r="F2682" t="s">
        <v>80</v>
      </c>
      <c r="G2682">
        <v>0.77542886765819929</v>
      </c>
      <c r="H2682" t="s">
        <v>46</v>
      </c>
      <c r="I2682" t="s">
        <v>47</v>
      </c>
      <c r="J2682" t="s">
        <v>480</v>
      </c>
      <c r="K2682">
        <v>241.20482997932629</v>
      </c>
      <c r="L2682">
        <v>3138.0618454317728</v>
      </c>
    </row>
    <row r="2683" spans="1:12" hidden="1" x14ac:dyDescent="0.25">
      <c r="A2683">
        <v>46</v>
      </c>
      <c r="B2683" t="s">
        <v>378</v>
      </c>
      <c r="C2683" t="s">
        <v>379</v>
      </c>
      <c r="D2683" t="s">
        <v>479</v>
      </c>
      <c r="E2683" t="str">
        <f>_xlfn.XLOOKUP(F2683, Keys!B:B, Keys!A:A, "找不到")</f>
        <v>PN</v>
      </c>
      <c r="F2683" t="s">
        <v>80</v>
      </c>
      <c r="G2683">
        <v>0.63604919203464705</v>
      </c>
      <c r="H2683" t="s">
        <v>60</v>
      </c>
      <c r="I2683" t="s">
        <v>66</v>
      </c>
      <c r="J2683" t="s">
        <v>480</v>
      </c>
      <c r="K2683">
        <v>226.5992404295817</v>
      </c>
      <c r="L2683">
        <v>2574.0100537776611</v>
      </c>
    </row>
    <row r="2684" spans="1:12" hidden="1" x14ac:dyDescent="0.25">
      <c r="A2684">
        <v>47</v>
      </c>
      <c r="B2684" t="s">
        <v>378</v>
      </c>
      <c r="C2684" t="s">
        <v>379</v>
      </c>
      <c r="D2684" t="s">
        <v>479</v>
      </c>
      <c r="E2684" t="str">
        <f>_xlfn.XLOOKUP(F2684, Keys!B:B, Keys!A:A, "找不到")</f>
        <v>PN</v>
      </c>
      <c r="F2684" t="s">
        <v>80</v>
      </c>
      <c r="G2684">
        <v>1.3371720508708931</v>
      </c>
      <c r="H2684" t="s">
        <v>46</v>
      </c>
      <c r="I2684" t="s">
        <v>47</v>
      </c>
      <c r="J2684" t="s">
        <v>480</v>
      </c>
      <c r="K2684">
        <v>295.14539150206349</v>
      </c>
      <c r="L2684">
        <v>5411.3649473587966</v>
      </c>
    </row>
    <row r="2685" spans="1:12" hidden="1" x14ac:dyDescent="0.25">
      <c r="A2685">
        <v>50</v>
      </c>
      <c r="B2685" t="s">
        <v>378</v>
      </c>
      <c r="C2685" t="s">
        <v>379</v>
      </c>
      <c r="D2685" t="s">
        <v>479</v>
      </c>
      <c r="E2685" t="str">
        <f>_xlfn.XLOOKUP(F2685, Keys!B:B, Keys!A:A, "找不到")</f>
        <v>PN</v>
      </c>
      <c r="F2685" t="s">
        <v>80</v>
      </c>
      <c r="G2685">
        <v>0.95170355376686977</v>
      </c>
      <c r="H2685" t="s">
        <v>46</v>
      </c>
      <c r="I2685" t="s">
        <v>47</v>
      </c>
      <c r="J2685" t="s">
        <v>480</v>
      </c>
      <c r="K2685">
        <v>277.03391282496762</v>
      </c>
      <c r="L2685">
        <v>3851.4230444591331</v>
      </c>
    </row>
    <row r="2686" spans="1:12" hidden="1" x14ac:dyDescent="0.25">
      <c r="A2686">
        <v>51</v>
      </c>
      <c r="B2686" t="s">
        <v>378</v>
      </c>
      <c r="C2686" t="s">
        <v>379</v>
      </c>
      <c r="D2686" t="s">
        <v>479</v>
      </c>
      <c r="E2686" t="str">
        <f>_xlfn.XLOOKUP(F2686, Keys!B:B, Keys!A:A, "找不到")</f>
        <v>PN</v>
      </c>
      <c r="F2686" t="s">
        <v>80</v>
      </c>
      <c r="G2686">
        <v>2.4492591683655478</v>
      </c>
      <c r="H2686" t="s">
        <v>46</v>
      </c>
      <c r="I2686" t="s">
        <v>47</v>
      </c>
      <c r="J2686" t="s">
        <v>532</v>
      </c>
      <c r="K2686">
        <v>508.60639839764332</v>
      </c>
      <c r="L2686">
        <v>9911.8398429419231</v>
      </c>
    </row>
    <row r="2687" spans="1:12" hidden="1" x14ac:dyDescent="0.25">
      <c r="A2687">
        <v>65</v>
      </c>
      <c r="B2687" t="s">
        <v>378</v>
      </c>
      <c r="C2687" t="s">
        <v>379</v>
      </c>
      <c r="D2687">
        <v>0</v>
      </c>
      <c r="E2687" t="str">
        <f>_xlfn.XLOOKUP(F2687, Keys!B:B, Keys!A:A, "找不到")</f>
        <v>PN</v>
      </c>
      <c r="F2687" t="s">
        <v>80</v>
      </c>
      <c r="G2687">
        <v>0.47706983033122391</v>
      </c>
      <c r="H2687" t="s">
        <v>46</v>
      </c>
      <c r="I2687" t="s">
        <v>47</v>
      </c>
      <c r="J2687" t="s">
        <v>582</v>
      </c>
      <c r="K2687">
        <v>187.61743293394341</v>
      </c>
      <c r="L2687">
        <v>1930.640829364786</v>
      </c>
    </row>
    <row r="2688" spans="1:12" hidden="1" x14ac:dyDescent="0.25">
      <c r="A2688">
        <v>66</v>
      </c>
      <c r="B2688" t="s">
        <v>378</v>
      </c>
      <c r="C2688" t="s">
        <v>379</v>
      </c>
      <c r="D2688">
        <v>0</v>
      </c>
      <c r="E2688" t="str">
        <f>_xlfn.XLOOKUP(F2688, Keys!B:B, Keys!A:A, "找不到")</f>
        <v>PN</v>
      </c>
      <c r="F2688" t="s">
        <v>80</v>
      </c>
      <c r="G2688">
        <v>0.53653481454518515</v>
      </c>
      <c r="H2688" t="s">
        <v>46</v>
      </c>
      <c r="I2688" t="s">
        <v>47</v>
      </c>
      <c r="J2688" t="s">
        <v>582</v>
      </c>
      <c r="K2688">
        <v>199.40489379698431</v>
      </c>
      <c r="L2688">
        <v>2171.288045226871</v>
      </c>
    </row>
    <row r="2689" spans="1:12" hidden="1" x14ac:dyDescent="0.25">
      <c r="A2689">
        <v>120</v>
      </c>
      <c r="B2689" t="s">
        <v>378</v>
      </c>
      <c r="C2689" t="s">
        <v>379</v>
      </c>
      <c r="D2689" t="s">
        <v>479</v>
      </c>
      <c r="E2689" t="str">
        <f>_xlfn.XLOOKUP(F2689, Keys!B:B, Keys!A:A, "找不到")</f>
        <v>PN</v>
      </c>
      <c r="F2689" t="s">
        <v>80</v>
      </c>
      <c r="G2689">
        <v>1.0864076041007911</v>
      </c>
      <c r="H2689" t="s">
        <v>46</v>
      </c>
      <c r="I2689" t="s">
        <v>47</v>
      </c>
      <c r="J2689" t="s">
        <v>480</v>
      </c>
      <c r="K2689">
        <v>313.54449842309418</v>
      </c>
      <c r="L2689">
        <v>4396.5531761946022</v>
      </c>
    </row>
    <row r="2690" spans="1:12" hidden="1" x14ac:dyDescent="0.25">
      <c r="A2690">
        <v>126</v>
      </c>
      <c r="B2690" t="s">
        <v>378</v>
      </c>
      <c r="C2690" t="s">
        <v>379</v>
      </c>
      <c r="D2690" t="s">
        <v>479</v>
      </c>
      <c r="E2690" t="str">
        <f>_xlfn.XLOOKUP(F2690, Keys!B:B, Keys!A:A, "找不到")</f>
        <v>PN</v>
      </c>
      <c r="F2690" t="s">
        <v>80</v>
      </c>
      <c r="G2690">
        <v>0.44925539162088862</v>
      </c>
      <c r="H2690" t="s">
        <v>46</v>
      </c>
      <c r="I2690" t="s">
        <v>47</v>
      </c>
      <c r="J2690" t="s">
        <v>480</v>
      </c>
      <c r="K2690">
        <v>173.51083370291619</v>
      </c>
      <c r="L2690">
        <v>1818.079339188904</v>
      </c>
    </row>
    <row r="2691" spans="1:12" x14ac:dyDescent="0.25">
      <c r="A2691">
        <v>170</v>
      </c>
      <c r="B2691" t="s">
        <v>42</v>
      </c>
      <c r="C2691" t="s">
        <v>36</v>
      </c>
      <c r="D2691" t="s">
        <v>43</v>
      </c>
      <c r="E2691" t="str">
        <f>_xlfn.XLOOKUP(F2691, Keys!B:B, Keys!A:A, "找不到")</f>
        <v>FA</v>
      </c>
      <c r="F2691" t="s">
        <v>63</v>
      </c>
      <c r="G2691">
        <v>0.39068598806650062</v>
      </c>
      <c r="H2691" t="s">
        <v>64</v>
      </c>
      <c r="I2691" t="s">
        <v>65</v>
      </c>
      <c r="J2691" t="s">
        <v>57</v>
      </c>
      <c r="K2691">
        <v>183.20327782124789</v>
      </c>
      <c r="L2691">
        <v>1581.0564241679799</v>
      </c>
    </row>
    <row r="2692" spans="1:12" x14ac:dyDescent="0.25">
      <c r="A2692">
        <v>171</v>
      </c>
      <c r="B2692" t="s">
        <v>42</v>
      </c>
      <c r="C2692" t="s">
        <v>36</v>
      </c>
      <c r="D2692" t="s">
        <v>43</v>
      </c>
      <c r="E2692" t="str">
        <f>_xlfn.XLOOKUP(F2692, Keys!B:B, Keys!A:A, "找不到")</f>
        <v>FA</v>
      </c>
      <c r="F2692" t="s">
        <v>63</v>
      </c>
      <c r="G2692">
        <v>2.3776010991342762</v>
      </c>
      <c r="H2692" t="s">
        <v>64</v>
      </c>
      <c r="I2692" t="s">
        <v>65</v>
      </c>
      <c r="J2692" t="s">
        <v>57</v>
      </c>
      <c r="K2692">
        <v>436.38709311209487</v>
      </c>
      <c r="L2692">
        <v>9621.8487652934164</v>
      </c>
    </row>
    <row r="2693" spans="1:12" x14ac:dyDescent="0.25">
      <c r="A2693">
        <v>172</v>
      </c>
      <c r="B2693" t="s">
        <v>42</v>
      </c>
      <c r="C2693" t="s">
        <v>36</v>
      </c>
      <c r="D2693">
        <v>0</v>
      </c>
      <c r="E2693" t="str">
        <f>_xlfn.XLOOKUP(F2693, Keys!B:B, Keys!A:A, "找不到")</f>
        <v>FA</v>
      </c>
      <c r="F2693" t="s">
        <v>63</v>
      </c>
      <c r="G2693">
        <v>2.83398928138502</v>
      </c>
      <c r="H2693" t="s">
        <v>64</v>
      </c>
      <c r="I2693" t="s">
        <v>65</v>
      </c>
      <c r="J2693">
        <v>0</v>
      </c>
      <c r="K2693">
        <v>538.73650434126785</v>
      </c>
      <c r="L2693">
        <v>11468.793599514251</v>
      </c>
    </row>
    <row r="2694" spans="1:12" x14ac:dyDescent="0.25">
      <c r="A2694">
        <v>173</v>
      </c>
      <c r="B2694" t="s">
        <v>91</v>
      </c>
      <c r="C2694" t="s">
        <v>36</v>
      </c>
      <c r="D2694" t="s">
        <v>43</v>
      </c>
      <c r="E2694" t="str">
        <f>_xlfn.XLOOKUP(F2694, Keys!B:B, Keys!A:A, "找不到")</f>
        <v>FA</v>
      </c>
      <c r="F2694" t="s">
        <v>63</v>
      </c>
      <c r="G2694">
        <v>0.4017456074707566</v>
      </c>
      <c r="H2694" t="s">
        <v>64</v>
      </c>
      <c r="I2694" t="s">
        <v>65</v>
      </c>
      <c r="J2694" t="s">
        <v>57</v>
      </c>
      <c r="K2694">
        <v>167.76369365866279</v>
      </c>
      <c r="L2694">
        <v>1625.8132950106969</v>
      </c>
    </row>
    <row r="2695" spans="1:12" x14ac:dyDescent="0.25">
      <c r="A2695">
        <v>175</v>
      </c>
      <c r="B2695" t="s">
        <v>42</v>
      </c>
      <c r="C2695" t="s">
        <v>36</v>
      </c>
      <c r="D2695">
        <v>0</v>
      </c>
      <c r="E2695" t="str">
        <f>_xlfn.XLOOKUP(F2695, Keys!B:B, Keys!A:A, "找不到")</f>
        <v>FA</v>
      </c>
      <c r="F2695" t="s">
        <v>63</v>
      </c>
      <c r="G2695">
        <v>22.33512039593889</v>
      </c>
      <c r="H2695" t="s">
        <v>64</v>
      </c>
      <c r="I2695" t="s">
        <v>65</v>
      </c>
      <c r="J2695">
        <v>0</v>
      </c>
      <c r="K2695">
        <v>1618.928685742939</v>
      </c>
      <c r="L2695">
        <v>90387.386968568841</v>
      </c>
    </row>
    <row r="2696" spans="1:12" x14ac:dyDescent="0.25">
      <c r="A2696">
        <v>176</v>
      </c>
      <c r="B2696" t="s">
        <v>42</v>
      </c>
      <c r="C2696" t="s">
        <v>36</v>
      </c>
      <c r="D2696">
        <v>0</v>
      </c>
      <c r="E2696" t="str">
        <f>_xlfn.XLOOKUP(F2696, Keys!B:B, Keys!A:A, "找不到")</f>
        <v>FA</v>
      </c>
      <c r="F2696" t="s">
        <v>63</v>
      </c>
      <c r="G2696">
        <v>178.4008728467077</v>
      </c>
      <c r="H2696" t="s">
        <v>64</v>
      </c>
      <c r="I2696" t="s">
        <v>65</v>
      </c>
      <c r="J2696">
        <v>0</v>
      </c>
      <c r="K2696">
        <v>3016.922343913543</v>
      </c>
      <c r="L2696">
        <v>721965.60590100056</v>
      </c>
    </row>
    <row r="2697" spans="1:12" x14ac:dyDescent="0.25">
      <c r="A2697">
        <v>177</v>
      </c>
      <c r="B2697" t="s">
        <v>42</v>
      </c>
      <c r="C2697" t="s">
        <v>36</v>
      </c>
      <c r="D2697" t="s">
        <v>126</v>
      </c>
      <c r="E2697" t="str">
        <f>_xlfn.XLOOKUP(F2697, Keys!B:B, Keys!A:A, "找不到")</f>
        <v>FA</v>
      </c>
      <c r="F2697" t="s">
        <v>63</v>
      </c>
      <c r="G2697">
        <v>1.6003505965145799</v>
      </c>
      <c r="H2697" t="s">
        <v>64</v>
      </c>
      <c r="I2697" t="s">
        <v>65</v>
      </c>
      <c r="J2697">
        <v>0</v>
      </c>
      <c r="K2697">
        <v>335.51594276267377</v>
      </c>
      <c r="L2697">
        <v>6476.4149952307744</v>
      </c>
    </row>
    <row r="2698" spans="1:12" x14ac:dyDescent="0.25">
      <c r="A2698">
        <v>179</v>
      </c>
      <c r="B2698" t="s">
        <v>42</v>
      </c>
      <c r="C2698" t="s">
        <v>36</v>
      </c>
      <c r="D2698" t="s">
        <v>43</v>
      </c>
      <c r="E2698" t="str">
        <f>_xlfn.XLOOKUP(F2698, Keys!B:B, Keys!A:A, "找不到")</f>
        <v>FA</v>
      </c>
      <c r="F2698" t="s">
        <v>63</v>
      </c>
      <c r="G2698">
        <v>9.0196116715572288</v>
      </c>
      <c r="H2698" t="s">
        <v>64</v>
      </c>
      <c r="I2698" t="s">
        <v>65</v>
      </c>
      <c r="J2698">
        <v>0</v>
      </c>
      <c r="K2698">
        <v>784.29306921510829</v>
      </c>
      <c r="L2698">
        <v>36501.219425327057</v>
      </c>
    </row>
    <row r="2699" spans="1:12" x14ac:dyDescent="0.25">
      <c r="A2699">
        <v>180</v>
      </c>
      <c r="B2699" t="s">
        <v>42</v>
      </c>
      <c r="C2699" t="s">
        <v>36</v>
      </c>
      <c r="D2699" t="s">
        <v>43</v>
      </c>
      <c r="E2699" t="str">
        <f>_xlfn.XLOOKUP(F2699, Keys!B:B, Keys!A:A, "找不到")</f>
        <v>FA</v>
      </c>
      <c r="F2699" t="s">
        <v>63</v>
      </c>
      <c r="G2699">
        <v>0.8581900931282137</v>
      </c>
      <c r="H2699" t="s">
        <v>64</v>
      </c>
      <c r="I2699" t="s">
        <v>65</v>
      </c>
      <c r="J2699" t="s">
        <v>136</v>
      </c>
      <c r="K2699">
        <v>289.18602291788159</v>
      </c>
      <c r="L2699">
        <v>3472.9859819460012</v>
      </c>
    </row>
    <row r="2700" spans="1:12" hidden="1" x14ac:dyDescent="0.25">
      <c r="A2700">
        <v>64</v>
      </c>
      <c r="C2700" t="s">
        <v>3970</v>
      </c>
      <c r="D2700" t="s">
        <v>57</v>
      </c>
      <c r="E2700" t="str">
        <f>_xlfn.XLOOKUP(F2700, Keys!B:B, Keys!A:A, "找不到")</f>
        <v>PU</v>
      </c>
      <c r="F2700" t="s">
        <v>78</v>
      </c>
      <c r="G2700">
        <v>5.0225785234259321</v>
      </c>
      <c r="H2700" t="s">
        <v>46</v>
      </c>
      <c r="I2700" t="s">
        <v>47</v>
      </c>
      <c r="J2700" t="s">
        <v>57</v>
      </c>
      <c r="K2700">
        <v>0</v>
      </c>
      <c r="L2700">
        <v>0</v>
      </c>
    </row>
    <row r="2701" spans="1:12" hidden="1" x14ac:dyDescent="0.25">
      <c r="A2701">
        <v>480</v>
      </c>
      <c r="B2701" t="s">
        <v>2605</v>
      </c>
      <c r="C2701" t="s">
        <v>2606</v>
      </c>
      <c r="D2701" t="s">
        <v>3027</v>
      </c>
      <c r="E2701" t="str">
        <f>_xlfn.XLOOKUP(F2701, Keys!B:B, Keys!A:A, "找不到")</f>
        <v>PU</v>
      </c>
      <c r="F2701" t="s">
        <v>78</v>
      </c>
      <c r="G2701">
        <v>8.530605535235658</v>
      </c>
      <c r="H2701" t="s">
        <v>46</v>
      </c>
      <c r="I2701" t="s">
        <v>47</v>
      </c>
      <c r="J2701" t="s">
        <v>3097</v>
      </c>
      <c r="K2701">
        <v>0</v>
      </c>
      <c r="L2701">
        <v>814.43569729951923</v>
      </c>
    </row>
    <row r="2702" spans="1:12" hidden="1" x14ac:dyDescent="0.25">
      <c r="A2702">
        <v>514</v>
      </c>
      <c r="B2702" t="s">
        <v>2605</v>
      </c>
      <c r="C2702" t="s">
        <v>2606</v>
      </c>
      <c r="D2702" t="s">
        <v>3027</v>
      </c>
      <c r="E2702" t="str">
        <f>_xlfn.XLOOKUP(F2702, Keys!B:B, Keys!A:A, "找不到")</f>
        <v>PU</v>
      </c>
      <c r="F2702" t="s">
        <v>78</v>
      </c>
      <c r="G2702">
        <v>16.737187145344802</v>
      </c>
      <c r="H2702" t="s">
        <v>46</v>
      </c>
      <c r="I2702" t="s">
        <v>47</v>
      </c>
      <c r="J2702" t="s">
        <v>3097</v>
      </c>
      <c r="K2702">
        <v>0</v>
      </c>
      <c r="L2702">
        <v>1041.385701278844</v>
      </c>
    </row>
    <row r="2703" spans="1:12" hidden="1" x14ac:dyDescent="0.25">
      <c r="A2703">
        <v>65</v>
      </c>
      <c r="B2703" t="s">
        <v>1026</v>
      </c>
      <c r="C2703" t="s">
        <v>1027</v>
      </c>
      <c r="D2703" t="s">
        <v>1148</v>
      </c>
      <c r="E2703" t="str">
        <f>_xlfn.XLOOKUP(F2703, Keys!B:B, Keys!A:A, "找不到")</f>
        <v>PU</v>
      </c>
      <c r="F2703" t="s">
        <v>78</v>
      </c>
      <c r="G2703">
        <v>2.749015120855403</v>
      </c>
      <c r="H2703" t="s">
        <v>46</v>
      </c>
      <c r="I2703" t="s">
        <v>47</v>
      </c>
      <c r="J2703" t="s">
        <v>1157</v>
      </c>
      <c r="K2703">
        <v>467.27282217298148</v>
      </c>
      <c r="L2703">
        <v>11124.91399671989</v>
      </c>
    </row>
    <row r="2704" spans="1:12" hidden="1" x14ac:dyDescent="0.25">
      <c r="A2704">
        <v>66</v>
      </c>
      <c r="B2704" t="s">
        <v>1026</v>
      </c>
      <c r="C2704" t="s">
        <v>1027</v>
      </c>
      <c r="D2704" t="s">
        <v>1148</v>
      </c>
      <c r="E2704" t="str">
        <f>_xlfn.XLOOKUP(F2704, Keys!B:B, Keys!A:A, "找不到")</f>
        <v>PU</v>
      </c>
      <c r="F2704" t="s">
        <v>78</v>
      </c>
      <c r="G2704">
        <v>5.823114097003276</v>
      </c>
      <c r="H2704" t="s">
        <v>46</v>
      </c>
      <c r="I2704" t="s">
        <v>47</v>
      </c>
      <c r="J2704" t="s">
        <v>1157</v>
      </c>
      <c r="K2704">
        <v>794.77827476368543</v>
      </c>
      <c r="L2704">
        <v>23565.400943335189</v>
      </c>
    </row>
    <row r="2705" spans="1:12" hidden="1" x14ac:dyDescent="0.25">
      <c r="A2705">
        <v>68</v>
      </c>
      <c r="B2705" t="s">
        <v>1026</v>
      </c>
      <c r="C2705" t="s">
        <v>1027</v>
      </c>
      <c r="D2705" t="s">
        <v>1148</v>
      </c>
      <c r="E2705" t="str">
        <f>_xlfn.XLOOKUP(F2705, Keys!B:B, Keys!A:A, "找不到")</f>
        <v>PU</v>
      </c>
      <c r="F2705" t="s">
        <v>78</v>
      </c>
      <c r="G2705">
        <v>6.081044326917846</v>
      </c>
      <c r="H2705" t="s">
        <v>46</v>
      </c>
      <c r="I2705" t="s">
        <v>47</v>
      </c>
      <c r="J2705" t="s">
        <v>1157</v>
      </c>
      <c r="K2705">
        <v>955.33032328620993</v>
      </c>
      <c r="L2705">
        <v>24609.211726035039</v>
      </c>
    </row>
    <row r="2706" spans="1:12" hidden="1" x14ac:dyDescent="0.25">
      <c r="A2706">
        <v>69</v>
      </c>
      <c r="B2706" t="s">
        <v>1026</v>
      </c>
      <c r="C2706" t="s">
        <v>1027</v>
      </c>
      <c r="D2706" t="s">
        <v>1148</v>
      </c>
      <c r="E2706" t="str">
        <f>_xlfn.XLOOKUP(F2706, Keys!B:B, Keys!A:A, "找不到")</f>
        <v>PU</v>
      </c>
      <c r="F2706" t="s">
        <v>78</v>
      </c>
      <c r="G2706">
        <v>10.518529739986279</v>
      </c>
      <c r="H2706" t="s">
        <v>46</v>
      </c>
      <c r="I2706" t="s">
        <v>47</v>
      </c>
      <c r="J2706" t="s">
        <v>1157</v>
      </c>
      <c r="K2706">
        <v>1154.3691668999879</v>
      </c>
      <c r="L2706">
        <v>42567.149900898206</v>
      </c>
    </row>
    <row r="2707" spans="1:12" x14ac:dyDescent="0.25">
      <c r="A2707">
        <v>184</v>
      </c>
      <c r="B2707" t="s">
        <v>42</v>
      </c>
      <c r="C2707" t="s">
        <v>36</v>
      </c>
      <c r="D2707">
        <v>0</v>
      </c>
      <c r="E2707" t="str">
        <f>_xlfn.XLOOKUP(F2707, Keys!B:B, Keys!A:A, "找不到")</f>
        <v>FA</v>
      </c>
      <c r="F2707" t="s">
        <v>63</v>
      </c>
      <c r="G2707">
        <v>11.487504728884019</v>
      </c>
      <c r="H2707" t="s">
        <v>64</v>
      </c>
      <c r="I2707" t="s">
        <v>65</v>
      </c>
      <c r="J2707">
        <v>0</v>
      </c>
      <c r="K2707">
        <v>1321.321876041382</v>
      </c>
      <c r="L2707">
        <v>46488.468243121693</v>
      </c>
    </row>
    <row r="2708" spans="1:12" x14ac:dyDescent="0.25">
      <c r="A2708">
        <v>185</v>
      </c>
      <c r="B2708" t="s">
        <v>42</v>
      </c>
      <c r="C2708" t="s">
        <v>36</v>
      </c>
      <c r="D2708">
        <v>0</v>
      </c>
      <c r="E2708" t="str">
        <f>_xlfn.XLOOKUP(F2708, Keys!B:B, Keys!A:A, "找不到")</f>
        <v>FA</v>
      </c>
      <c r="F2708" t="s">
        <v>63</v>
      </c>
      <c r="G2708">
        <v>3.142643374144078</v>
      </c>
      <c r="H2708" t="s">
        <v>64</v>
      </c>
      <c r="I2708" t="s">
        <v>65</v>
      </c>
      <c r="J2708">
        <v>0</v>
      </c>
      <c r="K2708">
        <v>1535.7277369413839</v>
      </c>
      <c r="L2708">
        <v>12717.87739342647</v>
      </c>
    </row>
    <row r="2709" spans="1:12" x14ac:dyDescent="0.25">
      <c r="A2709">
        <v>186</v>
      </c>
      <c r="B2709" t="s">
        <v>42</v>
      </c>
      <c r="C2709" t="s">
        <v>36</v>
      </c>
      <c r="D2709">
        <v>0</v>
      </c>
      <c r="E2709" t="str">
        <f>_xlfn.XLOOKUP(F2709, Keys!B:B, Keys!A:A, "找不到")</f>
        <v>FA</v>
      </c>
      <c r="F2709" t="s">
        <v>63</v>
      </c>
      <c r="G2709">
        <v>20.270448342359401</v>
      </c>
      <c r="H2709" t="s">
        <v>64</v>
      </c>
      <c r="I2709" t="s">
        <v>65</v>
      </c>
      <c r="J2709">
        <v>0</v>
      </c>
      <c r="K2709">
        <v>1190.241592972508</v>
      </c>
      <c r="L2709">
        <v>82031.922186565207</v>
      </c>
    </row>
    <row r="2710" spans="1:12" x14ac:dyDescent="0.25">
      <c r="A2710">
        <v>187</v>
      </c>
      <c r="B2710" t="s">
        <v>42</v>
      </c>
      <c r="C2710" t="s">
        <v>36</v>
      </c>
      <c r="D2710" t="s">
        <v>126</v>
      </c>
      <c r="E2710" t="str">
        <f>_xlfn.XLOOKUP(F2710, Keys!B:B, Keys!A:A, "找不到")</f>
        <v>FA</v>
      </c>
      <c r="F2710" t="s">
        <v>63</v>
      </c>
      <c r="G2710">
        <v>1.418745859248806</v>
      </c>
      <c r="H2710" t="s">
        <v>64</v>
      </c>
      <c r="I2710" t="s">
        <v>65</v>
      </c>
      <c r="J2710">
        <v>0</v>
      </c>
      <c r="K2710">
        <v>338.05165880337353</v>
      </c>
      <c r="L2710">
        <v>5741.4837581665024</v>
      </c>
    </row>
    <row r="2711" spans="1:12" x14ac:dyDescent="0.25">
      <c r="A2711">
        <v>194</v>
      </c>
      <c r="B2711" t="s">
        <v>42</v>
      </c>
      <c r="C2711" t="s">
        <v>36</v>
      </c>
      <c r="D2711" t="s">
        <v>126</v>
      </c>
      <c r="E2711" t="str">
        <f>_xlfn.XLOOKUP(F2711, Keys!B:B, Keys!A:A, "找不到")</f>
        <v>FA</v>
      </c>
      <c r="F2711" t="s">
        <v>63</v>
      </c>
      <c r="G2711">
        <v>6.4525342506901469</v>
      </c>
      <c r="H2711" t="s">
        <v>64</v>
      </c>
      <c r="I2711" t="s">
        <v>65</v>
      </c>
      <c r="J2711">
        <v>0</v>
      </c>
      <c r="K2711">
        <v>1315.6713409579661</v>
      </c>
      <c r="L2711">
        <v>26112.58412339343</v>
      </c>
    </row>
    <row r="2712" spans="1:12" hidden="1" x14ac:dyDescent="0.25">
      <c r="A2712">
        <v>43</v>
      </c>
      <c r="B2712" t="s">
        <v>2605</v>
      </c>
      <c r="C2712" t="s">
        <v>2606</v>
      </c>
      <c r="D2712">
        <v>0</v>
      </c>
      <c r="E2712" t="str">
        <f>_xlfn.XLOOKUP(F2712, Keys!B:B, Keys!A:A, "找不到")</f>
        <v>PEI</v>
      </c>
      <c r="F2712" t="s">
        <v>68</v>
      </c>
      <c r="G2712">
        <v>1.6945345163324139</v>
      </c>
      <c r="H2712" t="s">
        <v>73</v>
      </c>
      <c r="I2712" t="s">
        <v>74</v>
      </c>
      <c r="J2712" t="s">
        <v>2691</v>
      </c>
      <c r="K2712">
        <v>0</v>
      </c>
      <c r="L2712">
        <v>327.4297654437155</v>
      </c>
    </row>
    <row r="2713" spans="1:12" hidden="1" x14ac:dyDescent="0.25">
      <c r="A2713">
        <v>44</v>
      </c>
      <c r="B2713" t="s">
        <v>2605</v>
      </c>
      <c r="C2713" t="s">
        <v>2606</v>
      </c>
      <c r="D2713">
        <v>0</v>
      </c>
      <c r="E2713" t="str">
        <f>_xlfn.XLOOKUP(F2713, Keys!B:B, Keys!A:A, "找不到")</f>
        <v>PEI</v>
      </c>
      <c r="F2713" t="s">
        <v>68</v>
      </c>
      <c r="G2713">
        <v>0.50987398208899493</v>
      </c>
      <c r="H2713" t="s">
        <v>73</v>
      </c>
      <c r="I2713" t="s">
        <v>74</v>
      </c>
      <c r="J2713" t="s">
        <v>2691</v>
      </c>
      <c r="K2713">
        <v>0</v>
      </c>
      <c r="L2713">
        <v>241.40276191263439</v>
      </c>
    </row>
    <row r="2714" spans="1:12" hidden="1" x14ac:dyDescent="0.25">
      <c r="A2714">
        <v>86</v>
      </c>
      <c r="B2714" t="s">
        <v>152</v>
      </c>
      <c r="C2714" t="s">
        <v>149</v>
      </c>
      <c r="D2714">
        <v>0</v>
      </c>
      <c r="E2714" t="str">
        <f>_xlfn.XLOOKUP(F2714, Keys!B:B, Keys!A:A, "找不到")</f>
        <v>PEI</v>
      </c>
      <c r="F2714" t="s">
        <v>68</v>
      </c>
      <c r="G2714">
        <v>8.8011554244807666</v>
      </c>
      <c r="H2714" t="s">
        <v>60</v>
      </c>
      <c r="I2714" t="s">
        <v>66</v>
      </c>
      <c r="J2714" t="s">
        <v>57</v>
      </c>
      <c r="K2714">
        <v>781.28721146491239</v>
      </c>
      <c r="L2714">
        <v>35617.15482257741</v>
      </c>
    </row>
    <row r="2715" spans="1:12" hidden="1" x14ac:dyDescent="0.25">
      <c r="A2715">
        <v>181</v>
      </c>
      <c r="B2715" t="s">
        <v>152</v>
      </c>
      <c r="C2715" t="s">
        <v>149</v>
      </c>
      <c r="D2715">
        <v>0</v>
      </c>
      <c r="E2715" t="str">
        <f>_xlfn.XLOOKUP(F2715, Keys!B:B, Keys!A:A, "找不到")</f>
        <v>PEI</v>
      </c>
      <c r="F2715" t="s">
        <v>68</v>
      </c>
      <c r="G2715">
        <v>0.44021573298094202</v>
      </c>
      <c r="H2715" t="s">
        <v>73</v>
      </c>
      <c r="I2715" t="s">
        <v>74</v>
      </c>
      <c r="J2715">
        <v>0</v>
      </c>
      <c r="K2715">
        <v>268.50725544790038</v>
      </c>
      <c r="L2715">
        <v>1781.496992236292</v>
      </c>
    </row>
    <row r="2716" spans="1:12" x14ac:dyDescent="0.25">
      <c r="A2716">
        <v>195</v>
      </c>
      <c r="B2716" t="s">
        <v>42</v>
      </c>
      <c r="C2716" t="s">
        <v>36</v>
      </c>
      <c r="D2716" t="s">
        <v>126</v>
      </c>
      <c r="E2716" t="str">
        <f>_xlfn.XLOOKUP(F2716, Keys!B:B, Keys!A:A, "找不到")</f>
        <v>FA</v>
      </c>
      <c r="F2716" t="s">
        <v>63</v>
      </c>
      <c r="G2716">
        <v>15.78250758546177</v>
      </c>
      <c r="H2716" t="s">
        <v>64</v>
      </c>
      <c r="I2716" t="s">
        <v>65</v>
      </c>
      <c r="J2716">
        <v>0</v>
      </c>
      <c r="K2716">
        <v>1014.013131463011</v>
      </c>
      <c r="L2716">
        <v>63869.797662737867</v>
      </c>
    </row>
    <row r="2717" spans="1:12" x14ac:dyDescent="0.25">
      <c r="A2717">
        <v>198</v>
      </c>
      <c r="B2717" t="s">
        <v>42</v>
      </c>
      <c r="C2717" t="s">
        <v>36</v>
      </c>
      <c r="D2717" t="s">
        <v>126</v>
      </c>
      <c r="E2717" t="str">
        <f>_xlfn.XLOOKUP(F2717, Keys!B:B, Keys!A:A, "找不到")</f>
        <v>FA</v>
      </c>
      <c r="F2717" t="s">
        <v>63</v>
      </c>
      <c r="G2717">
        <v>1.660984209609186</v>
      </c>
      <c r="H2717" t="s">
        <v>64</v>
      </c>
      <c r="I2717" t="s">
        <v>65</v>
      </c>
      <c r="J2717">
        <v>0</v>
      </c>
      <c r="K2717">
        <v>330.31875789867058</v>
      </c>
      <c r="L2717">
        <v>6721.7915033010477</v>
      </c>
    </row>
    <row r="2718" spans="1:12" x14ac:dyDescent="0.25">
      <c r="A2718">
        <v>199</v>
      </c>
      <c r="B2718" t="s">
        <v>42</v>
      </c>
      <c r="C2718" t="s">
        <v>36</v>
      </c>
      <c r="D2718" t="s">
        <v>126</v>
      </c>
      <c r="E2718" t="str">
        <f>_xlfn.XLOOKUP(F2718, Keys!B:B, Keys!A:A, "找不到")</f>
        <v>FA</v>
      </c>
      <c r="F2718" t="s">
        <v>63</v>
      </c>
      <c r="G2718">
        <v>1.55577989491599</v>
      </c>
      <c r="H2718" t="s">
        <v>64</v>
      </c>
      <c r="I2718" t="s">
        <v>65</v>
      </c>
      <c r="J2718">
        <v>0</v>
      </c>
      <c r="K2718">
        <v>317.96372029983257</v>
      </c>
      <c r="L2718">
        <v>6296.0430437285631</v>
      </c>
    </row>
    <row r="2719" spans="1:12" x14ac:dyDescent="0.25">
      <c r="A2719">
        <v>208</v>
      </c>
      <c r="B2719" t="s">
        <v>42</v>
      </c>
      <c r="C2719" t="s">
        <v>36</v>
      </c>
      <c r="D2719" t="s">
        <v>126</v>
      </c>
      <c r="E2719" t="str">
        <f>_xlfn.XLOOKUP(F2719, Keys!B:B, Keys!A:A, "找不到")</f>
        <v>FA</v>
      </c>
      <c r="F2719" t="s">
        <v>63</v>
      </c>
      <c r="G2719">
        <v>16.976750262510318</v>
      </c>
      <c r="H2719" t="s">
        <v>64</v>
      </c>
      <c r="I2719" t="s">
        <v>65</v>
      </c>
      <c r="J2719">
        <v>0</v>
      </c>
      <c r="K2719">
        <v>1200.342271111429</v>
      </c>
      <c r="L2719">
        <v>68702.745642028516</v>
      </c>
    </row>
    <row r="2720" spans="1:12" x14ac:dyDescent="0.25">
      <c r="A2720">
        <v>219</v>
      </c>
      <c r="B2720" t="s">
        <v>42</v>
      </c>
      <c r="C2720" t="s">
        <v>36</v>
      </c>
      <c r="D2720" t="s">
        <v>43</v>
      </c>
      <c r="E2720" t="str">
        <f>_xlfn.XLOOKUP(F2720, Keys!B:B, Keys!A:A, "找不到")</f>
        <v>FA</v>
      </c>
      <c r="F2720" t="s">
        <v>63</v>
      </c>
      <c r="G2720">
        <v>1.6142221304094491</v>
      </c>
      <c r="H2720" t="s">
        <v>64</v>
      </c>
      <c r="I2720" t="s">
        <v>65</v>
      </c>
      <c r="J2720">
        <v>0</v>
      </c>
      <c r="K2720">
        <v>332.95476645823248</v>
      </c>
      <c r="L2720">
        <v>6532.5513258068631</v>
      </c>
    </row>
    <row r="2721" spans="1:12" x14ac:dyDescent="0.25">
      <c r="A2721">
        <v>221</v>
      </c>
      <c r="B2721" t="s">
        <v>42</v>
      </c>
      <c r="C2721" t="s">
        <v>36</v>
      </c>
      <c r="D2721" t="s">
        <v>43</v>
      </c>
      <c r="E2721" t="str">
        <f>_xlfn.XLOOKUP(F2721, Keys!B:B, Keys!A:A, "找不到")</f>
        <v>FA</v>
      </c>
      <c r="F2721" t="s">
        <v>63</v>
      </c>
      <c r="G2721">
        <v>7.6672311222630949</v>
      </c>
      <c r="H2721" t="s">
        <v>64</v>
      </c>
      <c r="I2721" t="s">
        <v>65</v>
      </c>
      <c r="J2721">
        <v>0</v>
      </c>
      <c r="K2721">
        <v>754.5393706897629</v>
      </c>
      <c r="L2721">
        <v>31028.307622261938</v>
      </c>
    </row>
    <row r="2722" spans="1:12" x14ac:dyDescent="0.25">
      <c r="A2722">
        <v>222</v>
      </c>
      <c r="B2722" t="s">
        <v>42</v>
      </c>
      <c r="C2722" t="s">
        <v>36</v>
      </c>
      <c r="D2722" t="s">
        <v>43</v>
      </c>
      <c r="E2722" t="str">
        <f>_xlfn.XLOOKUP(F2722, Keys!B:B, Keys!A:A, "找不到")</f>
        <v>FA</v>
      </c>
      <c r="F2722" t="s">
        <v>63</v>
      </c>
      <c r="G2722">
        <v>2.4150047437836371</v>
      </c>
      <c r="H2722" t="s">
        <v>64</v>
      </c>
      <c r="I2722" t="s">
        <v>65</v>
      </c>
      <c r="J2722">
        <v>0</v>
      </c>
      <c r="K2722">
        <v>387.24391529242178</v>
      </c>
      <c r="L2722">
        <v>9773.2165503343876</v>
      </c>
    </row>
    <row r="2723" spans="1:12" x14ac:dyDescent="0.25">
      <c r="A2723">
        <v>227</v>
      </c>
      <c r="B2723" t="s">
        <v>42</v>
      </c>
      <c r="C2723" t="s">
        <v>36</v>
      </c>
      <c r="D2723">
        <v>0</v>
      </c>
      <c r="E2723" t="str">
        <f>_xlfn.XLOOKUP(F2723, Keys!B:B, Keys!A:A, "找不到")</f>
        <v>FA</v>
      </c>
      <c r="F2723" t="s">
        <v>63</v>
      </c>
      <c r="G2723">
        <v>3.880546775560977</v>
      </c>
      <c r="H2723" t="s">
        <v>64</v>
      </c>
      <c r="I2723" t="s">
        <v>65</v>
      </c>
      <c r="J2723">
        <v>0</v>
      </c>
      <c r="K2723">
        <v>571.83132030128627</v>
      </c>
      <c r="L2723">
        <v>15704.078457353569</v>
      </c>
    </row>
    <row r="2724" spans="1:12" x14ac:dyDescent="0.25">
      <c r="A2724">
        <v>228</v>
      </c>
      <c r="B2724" t="s">
        <v>42</v>
      </c>
      <c r="C2724" t="s">
        <v>36</v>
      </c>
      <c r="D2724" t="s">
        <v>43</v>
      </c>
      <c r="E2724" t="str">
        <f>_xlfn.XLOOKUP(F2724, Keys!B:B, Keys!A:A, "找不到")</f>
        <v>FA</v>
      </c>
      <c r="F2724" t="s">
        <v>63</v>
      </c>
      <c r="G2724">
        <v>19.706568765609688</v>
      </c>
      <c r="H2724" t="s">
        <v>64</v>
      </c>
      <c r="I2724" t="s">
        <v>65</v>
      </c>
      <c r="J2724">
        <v>0</v>
      </c>
      <c r="K2724">
        <v>1397.091477815741</v>
      </c>
      <c r="L2724">
        <v>79749.97337214931</v>
      </c>
    </row>
    <row r="2725" spans="1:12" x14ac:dyDescent="0.25">
      <c r="A2725">
        <v>233</v>
      </c>
      <c r="B2725" t="s">
        <v>42</v>
      </c>
      <c r="C2725" t="s">
        <v>36</v>
      </c>
      <c r="D2725" t="s">
        <v>43</v>
      </c>
      <c r="E2725" t="str">
        <f>_xlfn.XLOOKUP(F2725, Keys!B:B, Keys!A:A, "找不到")</f>
        <v>FA</v>
      </c>
      <c r="F2725" t="s">
        <v>63</v>
      </c>
      <c r="G2725">
        <v>11.304270141987811</v>
      </c>
      <c r="H2725" t="s">
        <v>64</v>
      </c>
      <c r="I2725" t="s">
        <v>65</v>
      </c>
      <c r="J2725">
        <v>0</v>
      </c>
      <c r="K2725">
        <v>900.68744535328096</v>
      </c>
      <c r="L2725">
        <v>45746.941212229787</v>
      </c>
    </row>
    <row r="2726" spans="1:12" x14ac:dyDescent="0.25">
      <c r="A2726">
        <v>237</v>
      </c>
      <c r="B2726" t="s">
        <v>42</v>
      </c>
      <c r="C2726" t="s">
        <v>36</v>
      </c>
      <c r="D2726" t="s">
        <v>43</v>
      </c>
      <c r="E2726" t="str">
        <f>_xlfn.XLOOKUP(F2726, Keys!B:B, Keys!A:A, "找不到")</f>
        <v>FA</v>
      </c>
      <c r="F2726" t="s">
        <v>63</v>
      </c>
      <c r="G2726">
        <v>0.80945320975986079</v>
      </c>
      <c r="H2726" t="s">
        <v>64</v>
      </c>
      <c r="I2726" t="s">
        <v>65</v>
      </c>
      <c r="J2726">
        <v>0</v>
      </c>
      <c r="K2726">
        <v>223.86002687917599</v>
      </c>
      <c r="L2726">
        <v>3275.7540235519782</v>
      </c>
    </row>
    <row r="2727" spans="1:12" x14ac:dyDescent="0.25">
      <c r="A2727">
        <v>238</v>
      </c>
      <c r="B2727" t="s">
        <v>42</v>
      </c>
      <c r="C2727" t="s">
        <v>36</v>
      </c>
      <c r="D2727" t="s">
        <v>43</v>
      </c>
      <c r="E2727" t="str">
        <f>_xlfn.XLOOKUP(F2727, Keys!B:B, Keys!A:A, "找不到")</f>
        <v>FA</v>
      </c>
      <c r="F2727" t="s">
        <v>63</v>
      </c>
      <c r="G2727">
        <v>0.2525366706733978</v>
      </c>
      <c r="H2727" t="s">
        <v>64</v>
      </c>
      <c r="I2727" t="s">
        <v>65</v>
      </c>
      <c r="J2727">
        <v>0</v>
      </c>
      <c r="K2727">
        <v>130.8670657955997</v>
      </c>
      <c r="L2727">
        <v>1021.983735537008</v>
      </c>
    </row>
    <row r="2728" spans="1:12" x14ac:dyDescent="0.25">
      <c r="A2728">
        <v>239</v>
      </c>
      <c r="B2728" t="s">
        <v>42</v>
      </c>
      <c r="C2728" t="s">
        <v>36</v>
      </c>
      <c r="D2728" t="s">
        <v>43</v>
      </c>
      <c r="E2728" t="str">
        <f>_xlfn.XLOOKUP(F2728, Keys!B:B, Keys!A:A, "找不到")</f>
        <v>FA</v>
      </c>
      <c r="F2728" t="s">
        <v>63</v>
      </c>
      <c r="G2728">
        <v>0.30595326905848541</v>
      </c>
      <c r="H2728" t="s">
        <v>64</v>
      </c>
      <c r="I2728" t="s">
        <v>65</v>
      </c>
      <c r="J2728">
        <v>0</v>
      </c>
      <c r="K2728">
        <v>142.77876089974981</v>
      </c>
      <c r="L2728">
        <v>1238.1539044542719</v>
      </c>
    </row>
    <row r="2729" spans="1:12" x14ac:dyDescent="0.25">
      <c r="A2729">
        <v>240</v>
      </c>
      <c r="B2729" t="s">
        <v>42</v>
      </c>
      <c r="C2729" t="s">
        <v>36</v>
      </c>
      <c r="D2729" t="s">
        <v>43</v>
      </c>
      <c r="E2729" t="str">
        <f>_xlfn.XLOOKUP(F2729, Keys!B:B, Keys!A:A, "找不到")</f>
        <v>FA</v>
      </c>
      <c r="F2729" t="s">
        <v>63</v>
      </c>
      <c r="G2729">
        <v>1.1539978460183979</v>
      </c>
      <c r="H2729" t="s">
        <v>64</v>
      </c>
      <c r="I2729" t="s">
        <v>65</v>
      </c>
      <c r="J2729">
        <v>0</v>
      </c>
      <c r="K2729">
        <v>327.88405937827753</v>
      </c>
      <c r="L2729">
        <v>4670.0822749057388</v>
      </c>
    </row>
    <row r="2730" spans="1:12" x14ac:dyDescent="0.25">
      <c r="A2730">
        <v>245</v>
      </c>
      <c r="B2730" t="s">
        <v>42</v>
      </c>
      <c r="C2730" t="s">
        <v>36</v>
      </c>
      <c r="D2730" t="s">
        <v>43</v>
      </c>
      <c r="E2730" t="str">
        <f>_xlfn.XLOOKUP(F2730, Keys!B:B, Keys!A:A, "找不到")</f>
        <v>FA</v>
      </c>
      <c r="F2730" t="s">
        <v>63</v>
      </c>
      <c r="G2730">
        <v>2.030846153232146</v>
      </c>
      <c r="H2730" t="s">
        <v>64</v>
      </c>
      <c r="I2730" t="s">
        <v>65</v>
      </c>
      <c r="J2730" t="s">
        <v>140</v>
      </c>
      <c r="K2730">
        <v>377.86419584027988</v>
      </c>
      <c r="L2730">
        <v>8218.5756723836621</v>
      </c>
    </row>
    <row r="2731" spans="1:12" x14ac:dyDescent="0.25">
      <c r="A2731">
        <v>246</v>
      </c>
      <c r="B2731" t="s">
        <v>42</v>
      </c>
      <c r="C2731" t="s">
        <v>36</v>
      </c>
      <c r="D2731" t="s">
        <v>43</v>
      </c>
      <c r="E2731" t="str">
        <f>_xlfn.XLOOKUP(F2731, Keys!B:B, Keys!A:A, "找不到")</f>
        <v>FA</v>
      </c>
      <c r="F2731" t="s">
        <v>63</v>
      </c>
      <c r="G2731">
        <v>0.70273654774986294</v>
      </c>
      <c r="H2731" t="s">
        <v>64</v>
      </c>
      <c r="I2731" t="s">
        <v>65</v>
      </c>
      <c r="J2731">
        <v>0</v>
      </c>
      <c r="K2731">
        <v>282.16588713409737</v>
      </c>
      <c r="L2731">
        <v>2843.8852870465098</v>
      </c>
    </row>
    <row r="2732" spans="1:12" x14ac:dyDescent="0.25">
      <c r="A2732">
        <v>247</v>
      </c>
      <c r="B2732" t="s">
        <v>42</v>
      </c>
      <c r="C2732" t="s">
        <v>36</v>
      </c>
      <c r="D2732" t="s">
        <v>43</v>
      </c>
      <c r="E2732" t="str">
        <f>_xlfn.XLOOKUP(F2732, Keys!B:B, Keys!A:A, "找不到")</f>
        <v>FA</v>
      </c>
      <c r="F2732" t="s">
        <v>63</v>
      </c>
      <c r="G2732">
        <v>6.9095462223075197</v>
      </c>
      <c r="H2732" t="s">
        <v>64</v>
      </c>
      <c r="I2732" t="s">
        <v>65</v>
      </c>
      <c r="J2732" t="s">
        <v>140</v>
      </c>
      <c r="K2732">
        <v>690.7341773236983</v>
      </c>
      <c r="L2732">
        <v>27962.053353716408</v>
      </c>
    </row>
    <row r="2733" spans="1:12" x14ac:dyDescent="0.25">
      <c r="A2733">
        <v>252</v>
      </c>
      <c r="B2733" t="s">
        <v>42</v>
      </c>
      <c r="C2733" t="s">
        <v>36</v>
      </c>
      <c r="D2733" t="s">
        <v>43</v>
      </c>
      <c r="E2733" t="str">
        <f>_xlfn.XLOOKUP(F2733, Keys!B:B, Keys!A:A, "找不到")</f>
        <v>FA</v>
      </c>
      <c r="F2733" t="s">
        <v>63</v>
      </c>
      <c r="G2733">
        <v>5.6428683420348804</v>
      </c>
      <c r="H2733" t="s">
        <v>64</v>
      </c>
      <c r="I2733" t="s">
        <v>65</v>
      </c>
      <c r="J2733">
        <v>0</v>
      </c>
      <c r="K2733">
        <v>662.63240038571007</v>
      </c>
      <c r="L2733">
        <v>22835.969334507488</v>
      </c>
    </row>
    <row r="2734" spans="1:12" hidden="1" x14ac:dyDescent="0.25">
      <c r="A2734">
        <v>189</v>
      </c>
      <c r="B2734" t="s">
        <v>714</v>
      </c>
      <c r="C2734" t="s">
        <v>715</v>
      </c>
      <c r="D2734" t="s">
        <v>57</v>
      </c>
      <c r="E2734" t="str">
        <f>_xlfn.XLOOKUP(F2734, Keys!B:B, Keys!A:A, "找不到")</f>
        <v>FA</v>
      </c>
      <c r="F2734" t="s">
        <v>63</v>
      </c>
      <c r="G2734">
        <v>8.2900071181402364</v>
      </c>
      <c r="H2734" t="s">
        <v>64</v>
      </c>
      <c r="I2734" t="s">
        <v>65</v>
      </c>
      <c r="J2734" t="s">
        <v>968</v>
      </c>
      <c r="K2734">
        <v>0</v>
      </c>
      <c r="L2734">
        <v>0</v>
      </c>
    </row>
    <row r="2735" spans="1:12" x14ac:dyDescent="0.25">
      <c r="A2735">
        <v>253</v>
      </c>
      <c r="B2735" t="s">
        <v>42</v>
      </c>
      <c r="C2735" t="s">
        <v>36</v>
      </c>
      <c r="D2735" t="s">
        <v>43</v>
      </c>
      <c r="E2735" t="str">
        <f>_xlfn.XLOOKUP(F2735, Keys!B:B, Keys!A:A, "找不到")</f>
        <v>FA</v>
      </c>
      <c r="F2735" t="s">
        <v>63</v>
      </c>
      <c r="G2735">
        <v>1.3236605478447161</v>
      </c>
      <c r="H2735" t="s">
        <v>64</v>
      </c>
      <c r="I2735" t="s">
        <v>65</v>
      </c>
      <c r="J2735">
        <v>0</v>
      </c>
      <c r="K2735">
        <v>448.84522863130297</v>
      </c>
      <c r="L2735">
        <v>5356.6856158439286</v>
      </c>
    </row>
    <row r="2736" spans="1:12" x14ac:dyDescent="0.25">
      <c r="A2736">
        <v>254</v>
      </c>
      <c r="B2736" t="s">
        <v>42</v>
      </c>
      <c r="C2736" t="s">
        <v>36</v>
      </c>
      <c r="D2736" t="s">
        <v>43</v>
      </c>
      <c r="E2736" t="str">
        <f>_xlfn.XLOOKUP(F2736, Keys!B:B, Keys!A:A, "找不到")</f>
        <v>FA</v>
      </c>
      <c r="F2736" t="s">
        <v>63</v>
      </c>
      <c r="G2736">
        <v>3.8341813881639881</v>
      </c>
      <c r="H2736" t="s">
        <v>64</v>
      </c>
      <c r="I2736" t="s">
        <v>65</v>
      </c>
      <c r="J2736">
        <v>0</v>
      </c>
      <c r="K2736">
        <v>554.75730239241216</v>
      </c>
      <c r="L2736">
        <v>15516.44364105048</v>
      </c>
    </row>
    <row r="2737" spans="1:12" hidden="1" x14ac:dyDescent="0.25">
      <c r="A2737">
        <v>332</v>
      </c>
      <c r="B2737" t="s">
        <v>2605</v>
      </c>
      <c r="C2737" t="s">
        <v>2606</v>
      </c>
      <c r="D2737" t="s">
        <v>2702</v>
      </c>
      <c r="E2737" t="str">
        <f>_xlfn.XLOOKUP(F2737, Keys!B:B, Keys!A:A, "找不到")</f>
        <v>PLG</v>
      </c>
      <c r="F2737" t="s">
        <v>881</v>
      </c>
      <c r="G2737">
        <v>0.31679035329605321</v>
      </c>
      <c r="H2737">
        <v>0</v>
      </c>
      <c r="I2737">
        <v>0</v>
      </c>
      <c r="J2737" t="s">
        <v>3137</v>
      </c>
      <c r="K2737">
        <v>0</v>
      </c>
      <c r="L2737">
        <v>182.1594465349888</v>
      </c>
    </row>
    <row r="2738" spans="1:12" hidden="1" x14ac:dyDescent="0.25">
      <c r="A2738">
        <v>401</v>
      </c>
      <c r="B2738" t="s">
        <v>2605</v>
      </c>
      <c r="C2738" t="s">
        <v>2606</v>
      </c>
      <c r="D2738" t="s">
        <v>2702</v>
      </c>
      <c r="E2738" t="str">
        <f>_xlfn.XLOOKUP(F2738, Keys!B:B, Keys!A:A, "找不到")</f>
        <v>PLG</v>
      </c>
      <c r="F2738" t="s">
        <v>881</v>
      </c>
      <c r="G2738">
        <v>10.25046623137915</v>
      </c>
      <c r="H2738">
        <v>0</v>
      </c>
      <c r="I2738" t="s">
        <v>38</v>
      </c>
      <c r="J2738" t="s">
        <v>2883</v>
      </c>
      <c r="K2738">
        <v>0</v>
      </c>
      <c r="L2738">
        <v>1025.5125981971071</v>
      </c>
    </row>
    <row r="2739" spans="1:12" hidden="1" x14ac:dyDescent="0.25">
      <c r="A2739">
        <v>846</v>
      </c>
      <c r="B2739" t="s">
        <v>2605</v>
      </c>
      <c r="C2739" t="s">
        <v>2606</v>
      </c>
      <c r="D2739" t="s">
        <v>2702</v>
      </c>
      <c r="E2739" t="str">
        <f>_xlfn.XLOOKUP(F2739, Keys!B:B, Keys!A:A, "找不到")</f>
        <v>PLG</v>
      </c>
      <c r="F2739" t="s">
        <v>881</v>
      </c>
      <c r="G2739">
        <v>1.007272416873219</v>
      </c>
      <c r="H2739">
        <v>0</v>
      </c>
      <c r="I2739">
        <v>0</v>
      </c>
      <c r="J2739" t="s">
        <v>3834</v>
      </c>
      <c r="K2739">
        <v>0</v>
      </c>
      <c r="L2739">
        <v>267.48601144335578</v>
      </c>
    </row>
    <row r="2740" spans="1:12" hidden="1" x14ac:dyDescent="0.25">
      <c r="A2740">
        <v>847</v>
      </c>
      <c r="B2740" t="s">
        <v>2605</v>
      </c>
      <c r="C2740" t="s">
        <v>2606</v>
      </c>
      <c r="D2740" t="s">
        <v>2702</v>
      </c>
      <c r="E2740" t="str">
        <f>_xlfn.XLOOKUP(F2740, Keys!B:B, Keys!A:A, "找不到")</f>
        <v>PLG</v>
      </c>
      <c r="F2740" t="s">
        <v>881</v>
      </c>
      <c r="G2740">
        <v>0.6957648126883863</v>
      </c>
      <c r="H2740">
        <v>0</v>
      </c>
      <c r="I2740">
        <v>0</v>
      </c>
      <c r="J2740">
        <v>0</v>
      </c>
      <c r="K2740">
        <v>0</v>
      </c>
      <c r="L2740">
        <v>222.75160295618801</v>
      </c>
    </row>
    <row r="2741" spans="1:12" hidden="1" x14ac:dyDescent="0.25">
      <c r="A2741">
        <v>848</v>
      </c>
      <c r="B2741" t="s">
        <v>2605</v>
      </c>
      <c r="C2741" t="s">
        <v>2606</v>
      </c>
      <c r="D2741" t="s">
        <v>2702</v>
      </c>
      <c r="E2741" t="str">
        <f>_xlfn.XLOOKUP(F2741, Keys!B:B, Keys!A:A, "找不到")</f>
        <v>PLG</v>
      </c>
      <c r="F2741" t="s">
        <v>881</v>
      </c>
      <c r="G2741">
        <v>0.12906601122355321</v>
      </c>
      <c r="H2741">
        <v>0</v>
      </c>
      <c r="I2741">
        <v>0</v>
      </c>
      <c r="J2741">
        <v>0</v>
      </c>
      <c r="K2741">
        <v>0</v>
      </c>
      <c r="L2741">
        <v>94.301183924615415</v>
      </c>
    </row>
    <row r="2742" spans="1:12" hidden="1" x14ac:dyDescent="0.25">
      <c r="A2742">
        <v>1050</v>
      </c>
      <c r="B2742" t="s">
        <v>2605</v>
      </c>
      <c r="C2742" t="s">
        <v>2606</v>
      </c>
      <c r="D2742" t="s">
        <v>2702</v>
      </c>
      <c r="E2742" t="str">
        <f>_xlfn.XLOOKUP(F2742, Keys!B:B, Keys!A:A, "找不到")</f>
        <v>PLG</v>
      </c>
      <c r="F2742" t="s">
        <v>881</v>
      </c>
      <c r="G2742">
        <v>0.22731118098525119</v>
      </c>
      <c r="H2742">
        <v>0</v>
      </c>
      <c r="I2742">
        <v>0</v>
      </c>
      <c r="J2742" t="s">
        <v>2883</v>
      </c>
      <c r="K2742">
        <v>0</v>
      </c>
      <c r="L2742">
        <v>162.30665878635301</v>
      </c>
    </row>
    <row r="2743" spans="1:12" hidden="1" x14ac:dyDescent="0.25">
      <c r="A2743">
        <v>339</v>
      </c>
      <c r="B2743" t="s">
        <v>2042</v>
      </c>
      <c r="C2743" t="s">
        <v>972</v>
      </c>
      <c r="D2743">
        <v>0</v>
      </c>
      <c r="E2743" t="str">
        <f>_xlfn.XLOOKUP(F2743, Keys!B:B, Keys!A:A, "找不到")</f>
        <v>PLG</v>
      </c>
      <c r="F2743" t="s">
        <v>881</v>
      </c>
      <c r="G2743">
        <v>11.73603137699136</v>
      </c>
      <c r="H2743">
        <v>0</v>
      </c>
      <c r="I2743">
        <v>0</v>
      </c>
      <c r="J2743" t="s">
        <v>57</v>
      </c>
      <c r="K2743">
        <v>923.06794702200739</v>
      </c>
      <c r="L2743">
        <v>47494.223928171137</v>
      </c>
    </row>
    <row r="2744" spans="1:12" hidden="1" x14ac:dyDescent="0.25">
      <c r="A2744">
        <v>190</v>
      </c>
      <c r="B2744" t="s">
        <v>714</v>
      </c>
      <c r="C2744" t="s">
        <v>715</v>
      </c>
      <c r="D2744" t="s">
        <v>57</v>
      </c>
      <c r="E2744" t="str">
        <f>_xlfn.XLOOKUP(F2744, Keys!B:B, Keys!A:A, "找不到")</f>
        <v>FA</v>
      </c>
      <c r="F2744" t="s">
        <v>63</v>
      </c>
      <c r="G2744">
        <v>0.1901969892550707</v>
      </c>
      <c r="H2744" t="s">
        <v>64</v>
      </c>
      <c r="I2744" t="s">
        <v>65</v>
      </c>
      <c r="J2744" t="s">
        <v>968</v>
      </c>
      <c r="K2744">
        <v>0</v>
      </c>
      <c r="L2744">
        <v>0</v>
      </c>
    </row>
    <row r="2745" spans="1:12" hidden="1" x14ac:dyDescent="0.25">
      <c r="A2745">
        <v>1082</v>
      </c>
      <c r="B2745">
        <v>0</v>
      </c>
      <c r="C2745" t="s">
        <v>2606</v>
      </c>
      <c r="D2745">
        <v>0</v>
      </c>
      <c r="E2745" t="str">
        <f>_xlfn.XLOOKUP(F2745, Keys!B:B, Keys!A:A, "找不到")</f>
        <v>RD</v>
      </c>
      <c r="F2745" t="s">
        <v>142</v>
      </c>
      <c r="G2745">
        <v>2.2196799630366661E-2</v>
      </c>
      <c r="H2745">
        <v>0</v>
      </c>
      <c r="I2745">
        <v>0</v>
      </c>
      <c r="J2745">
        <v>0</v>
      </c>
      <c r="K2745">
        <v>0</v>
      </c>
      <c r="L2745">
        <v>35.665793406860189</v>
      </c>
    </row>
    <row r="2746" spans="1:12" hidden="1" x14ac:dyDescent="0.25">
      <c r="A2746">
        <v>81</v>
      </c>
      <c r="C2746" t="s">
        <v>3970</v>
      </c>
      <c r="D2746" t="s">
        <v>57</v>
      </c>
      <c r="E2746" t="str">
        <f>_xlfn.XLOOKUP(F2746, Keys!B:B, Keys!A:A, "找不到")</f>
        <v>RD</v>
      </c>
      <c r="F2746" t="s">
        <v>142</v>
      </c>
      <c r="G2746">
        <v>0.24306513602246041</v>
      </c>
      <c r="H2746">
        <v>0</v>
      </c>
      <c r="I2746" t="s">
        <v>38</v>
      </c>
      <c r="J2746" t="s">
        <v>2660</v>
      </c>
      <c r="K2746">
        <v>0</v>
      </c>
      <c r="L2746">
        <v>0</v>
      </c>
    </row>
    <row r="2747" spans="1:12" hidden="1" x14ac:dyDescent="0.25">
      <c r="A2747">
        <v>96</v>
      </c>
      <c r="C2747" t="s">
        <v>3970</v>
      </c>
      <c r="D2747" t="s">
        <v>57</v>
      </c>
      <c r="E2747" t="str">
        <f>_xlfn.XLOOKUP(F2747, Keys!B:B, Keys!A:A, "找不到")</f>
        <v>RD</v>
      </c>
      <c r="F2747" t="s">
        <v>142</v>
      </c>
      <c r="G2747">
        <v>0.72655281559285279</v>
      </c>
      <c r="H2747">
        <v>0</v>
      </c>
      <c r="I2747" t="s">
        <v>38</v>
      </c>
      <c r="J2747" t="s">
        <v>2660</v>
      </c>
      <c r="K2747">
        <v>0</v>
      </c>
      <c r="L2747">
        <v>0</v>
      </c>
    </row>
    <row r="2748" spans="1:12" hidden="1" x14ac:dyDescent="0.25">
      <c r="A2748">
        <v>100</v>
      </c>
      <c r="C2748" t="s">
        <v>3970</v>
      </c>
      <c r="D2748" t="s">
        <v>57</v>
      </c>
      <c r="E2748" t="str">
        <f>_xlfn.XLOOKUP(F2748, Keys!B:B, Keys!A:A, "找不到")</f>
        <v>RD</v>
      </c>
      <c r="F2748" t="s">
        <v>142</v>
      </c>
      <c r="G2748">
        <v>0.17927956231090039</v>
      </c>
      <c r="H2748">
        <v>0</v>
      </c>
      <c r="I2748" t="s">
        <v>38</v>
      </c>
      <c r="J2748" t="s">
        <v>2660</v>
      </c>
      <c r="K2748">
        <v>0</v>
      </c>
      <c r="L2748">
        <v>0</v>
      </c>
    </row>
    <row r="2749" spans="1:12" hidden="1" x14ac:dyDescent="0.25">
      <c r="A2749">
        <v>102</v>
      </c>
      <c r="C2749" t="s">
        <v>3970</v>
      </c>
      <c r="D2749" t="s">
        <v>57</v>
      </c>
      <c r="E2749" t="str">
        <f>_xlfn.XLOOKUP(F2749, Keys!B:B, Keys!A:A, "找不到")</f>
        <v>RD</v>
      </c>
      <c r="F2749" t="s">
        <v>142</v>
      </c>
      <c r="G2749">
        <v>0.20364417576520369</v>
      </c>
      <c r="H2749">
        <v>0</v>
      </c>
      <c r="I2749" t="s">
        <v>38</v>
      </c>
      <c r="J2749" t="s">
        <v>2660</v>
      </c>
      <c r="K2749">
        <v>0</v>
      </c>
      <c r="L2749">
        <v>0</v>
      </c>
    </row>
    <row r="2750" spans="1:12" hidden="1" x14ac:dyDescent="0.25">
      <c r="A2750">
        <v>112</v>
      </c>
      <c r="C2750" t="s">
        <v>3970</v>
      </c>
      <c r="D2750" t="s">
        <v>57</v>
      </c>
      <c r="E2750" t="str">
        <f>_xlfn.XLOOKUP(F2750, Keys!B:B, Keys!A:A, "找不到")</f>
        <v>RD</v>
      </c>
      <c r="F2750" t="s">
        <v>142</v>
      </c>
      <c r="G2750">
        <v>0.17038944448910889</v>
      </c>
      <c r="H2750">
        <v>0</v>
      </c>
      <c r="I2750" t="s">
        <v>38</v>
      </c>
      <c r="J2750" t="s">
        <v>2660</v>
      </c>
      <c r="K2750">
        <v>0</v>
      </c>
      <c r="L2750">
        <v>0</v>
      </c>
    </row>
    <row r="2751" spans="1:12" hidden="1" x14ac:dyDescent="0.25">
      <c r="A2751">
        <v>24</v>
      </c>
      <c r="B2751" t="s">
        <v>2605</v>
      </c>
      <c r="C2751" t="s">
        <v>2606</v>
      </c>
      <c r="D2751">
        <v>0</v>
      </c>
      <c r="E2751" t="str">
        <f>_xlfn.XLOOKUP(F2751, Keys!B:B, Keys!A:A, "找不到")</f>
        <v>RD</v>
      </c>
      <c r="F2751" t="s">
        <v>142</v>
      </c>
      <c r="G2751">
        <v>0.1702036546573501</v>
      </c>
      <c r="H2751">
        <v>0</v>
      </c>
      <c r="I2751" t="s">
        <v>38</v>
      </c>
      <c r="J2751">
        <v>0</v>
      </c>
      <c r="K2751">
        <v>0</v>
      </c>
      <c r="L2751">
        <v>96.278200997653926</v>
      </c>
    </row>
    <row r="2752" spans="1:12" hidden="1" x14ac:dyDescent="0.25">
      <c r="A2752">
        <v>25</v>
      </c>
      <c r="B2752" t="s">
        <v>2605</v>
      </c>
      <c r="C2752" t="s">
        <v>2606</v>
      </c>
      <c r="D2752">
        <v>0</v>
      </c>
      <c r="E2752" t="str">
        <f>_xlfn.XLOOKUP(F2752, Keys!B:B, Keys!A:A, "找不到")</f>
        <v>RD</v>
      </c>
      <c r="F2752" t="s">
        <v>142</v>
      </c>
      <c r="G2752">
        <v>0.14001578174324811</v>
      </c>
      <c r="H2752">
        <v>0</v>
      </c>
      <c r="I2752" t="s">
        <v>38</v>
      </c>
      <c r="J2752" t="s">
        <v>2660</v>
      </c>
      <c r="K2752">
        <v>0</v>
      </c>
      <c r="L2752">
        <v>93.654055823171944</v>
      </c>
    </row>
    <row r="2753" spans="1:12" hidden="1" x14ac:dyDescent="0.25">
      <c r="A2753">
        <v>93</v>
      </c>
      <c r="B2753" t="s">
        <v>2605</v>
      </c>
      <c r="C2753" t="s">
        <v>2606</v>
      </c>
      <c r="D2753">
        <v>0</v>
      </c>
      <c r="E2753" t="str">
        <f>_xlfn.XLOOKUP(F2753, Keys!B:B, Keys!A:A, "找不到")</f>
        <v>RD</v>
      </c>
      <c r="F2753" t="s">
        <v>142</v>
      </c>
      <c r="G2753">
        <v>0.72900878601392904</v>
      </c>
      <c r="H2753">
        <v>0</v>
      </c>
      <c r="I2753" t="s">
        <v>38</v>
      </c>
      <c r="J2753" t="s">
        <v>2778</v>
      </c>
      <c r="K2753">
        <v>0</v>
      </c>
      <c r="L2753">
        <v>236.11583195083031</v>
      </c>
    </row>
    <row r="2754" spans="1:12" hidden="1" x14ac:dyDescent="0.25">
      <c r="A2754">
        <v>106</v>
      </c>
      <c r="B2754" t="s">
        <v>2605</v>
      </c>
      <c r="C2754" t="s">
        <v>2606</v>
      </c>
      <c r="D2754">
        <v>0</v>
      </c>
      <c r="E2754" t="str">
        <f>_xlfn.XLOOKUP(F2754, Keys!B:B, Keys!A:A, "找不到")</f>
        <v>RD</v>
      </c>
      <c r="F2754" t="s">
        <v>142</v>
      </c>
      <c r="G2754">
        <v>0.30434582605972382</v>
      </c>
      <c r="H2754">
        <v>0</v>
      </c>
      <c r="I2754" t="s">
        <v>38</v>
      </c>
      <c r="J2754" t="s">
        <v>2804</v>
      </c>
      <c r="K2754">
        <v>0</v>
      </c>
      <c r="L2754">
        <v>151.09584147234699</v>
      </c>
    </row>
    <row r="2755" spans="1:12" hidden="1" x14ac:dyDescent="0.25">
      <c r="A2755">
        <v>133</v>
      </c>
      <c r="B2755" t="s">
        <v>2605</v>
      </c>
      <c r="C2755" t="s">
        <v>2606</v>
      </c>
      <c r="D2755">
        <v>0</v>
      </c>
      <c r="E2755" t="str">
        <f>_xlfn.XLOOKUP(F2755, Keys!B:B, Keys!A:A, "找不到")</f>
        <v>RD</v>
      </c>
      <c r="F2755" t="s">
        <v>142</v>
      </c>
      <c r="G2755">
        <v>0.22706818392232059</v>
      </c>
      <c r="H2755">
        <v>0</v>
      </c>
      <c r="I2755" t="s">
        <v>38</v>
      </c>
      <c r="J2755" t="s">
        <v>2838</v>
      </c>
      <c r="K2755">
        <v>0</v>
      </c>
      <c r="L2755">
        <v>117.71149347911251</v>
      </c>
    </row>
    <row r="2756" spans="1:12" hidden="1" x14ac:dyDescent="0.25">
      <c r="A2756">
        <v>139</v>
      </c>
      <c r="B2756" t="s">
        <v>2605</v>
      </c>
      <c r="C2756" t="s">
        <v>2606</v>
      </c>
      <c r="D2756">
        <v>0</v>
      </c>
      <c r="E2756" t="str">
        <f>_xlfn.XLOOKUP(F2756, Keys!B:B, Keys!A:A, "找不到")</f>
        <v>RD</v>
      </c>
      <c r="F2756" t="s">
        <v>142</v>
      </c>
      <c r="G2756">
        <v>0.9620477354347825</v>
      </c>
      <c r="H2756">
        <v>0</v>
      </c>
      <c r="I2756" t="s">
        <v>38</v>
      </c>
      <c r="J2756" t="s">
        <v>2790</v>
      </c>
      <c r="K2756">
        <v>0</v>
      </c>
      <c r="L2756">
        <v>271.10198560400261</v>
      </c>
    </row>
    <row r="2757" spans="1:12" hidden="1" x14ac:dyDescent="0.25">
      <c r="A2757">
        <v>161</v>
      </c>
      <c r="B2757" t="s">
        <v>2605</v>
      </c>
      <c r="C2757" t="s">
        <v>2606</v>
      </c>
      <c r="D2757" t="s">
        <v>2712</v>
      </c>
      <c r="E2757" t="str">
        <f>_xlfn.XLOOKUP(F2757, Keys!B:B, Keys!A:A, "找不到")</f>
        <v>RD</v>
      </c>
      <c r="F2757" t="s">
        <v>142</v>
      </c>
      <c r="G2757">
        <v>0.15984525320386911</v>
      </c>
      <c r="H2757">
        <v>0</v>
      </c>
      <c r="I2757" t="s">
        <v>38</v>
      </c>
      <c r="J2757" t="s">
        <v>2888</v>
      </c>
      <c r="K2757">
        <v>0</v>
      </c>
      <c r="L2757">
        <v>120.3418565617836</v>
      </c>
    </row>
    <row r="2758" spans="1:12" hidden="1" x14ac:dyDescent="0.25">
      <c r="A2758">
        <v>434</v>
      </c>
      <c r="B2758" t="s">
        <v>2605</v>
      </c>
      <c r="C2758" t="s">
        <v>2606</v>
      </c>
      <c r="D2758">
        <v>0</v>
      </c>
      <c r="E2758" t="str">
        <f>_xlfn.XLOOKUP(F2758, Keys!B:B, Keys!A:A, "找不到")</f>
        <v>RD</v>
      </c>
      <c r="F2758" t="s">
        <v>142</v>
      </c>
      <c r="G2758">
        <v>0.32041022827862647</v>
      </c>
      <c r="H2758">
        <v>0</v>
      </c>
      <c r="I2758" t="s">
        <v>38</v>
      </c>
      <c r="J2758">
        <v>0</v>
      </c>
      <c r="K2758">
        <v>0</v>
      </c>
      <c r="L2758">
        <v>219.13077360296799</v>
      </c>
    </row>
    <row r="2759" spans="1:12" hidden="1" x14ac:dyDescent="0.25">
      <c r="A2759">
        <v>518</v>
      </c>
      <c r="B2759" t="s">
        <v>2605</v>
      </c>
      <c r="C2759" t="s">
        <v>2606</v>
      </c>
      <c r="D2759">
        <v>0</v>
      </c>
      <c r="E2759" t="str">
        <f>_xlfn.XLOOKUP(F2759, Keys!B:B, Keys!A:A, "找不到")</f>
        <v>RD</v>
      </c>
      <c r="F2759" t="s">
        <v>142</v>
      </c>
      <c r="G2759">
        <v>0.1132018990203684</v>
      </c>
      <c r="H2759">
        <v>0</v>
      </c>
      <c r="I2759" t="s">
        <v>38</v>
      </c>
      <c r="J2759" t="s">
        <v>3376</v>
      </c>
      <c r="K2759">
        <v>0</v>
      </c>
      <c r="L2759">
        <v>91.073204960110019</v>
      </c>
    </row>
    <row r="2760" spans="1:12" hidden="1" x14ac:dyDescent="0.25">
      <c r="A2760">
        <v>533</v>
      </c>
      <c r="B2760" t="s">
        <v>2605</v>
      </c>
      <c r="C2760" t="s">
        <v>2606</v>
      </c>
      <c r="D2760">
        <v>0</v>
      </c>
      <c r="E2760" t="str">
        <f>_xlfn.XLOOKUP(F2760, Keys!B:B, Keys!A:A, "找不到")</f>
        <v>RD</v>
      </c>
      <c r="F2760" t="s">
        <v>142</v>
      </c>
      <c r="G2760">
        <v>0.42522762609196768</v>
      </c>
      <c r="H2760">
        <v>0</v>
      </c>
      <c r="I2760" t="s">
        <v>38</v>
      </c>
      <c r="J2760" t="s">
        <v>3439</v>
      </c>
      <c r="K2760">
        <v>0</v>
      </c>
      <c r="L2760">
        <v>170.43223507926521</v>
      </c>
    </row>
    <row r="2761" spans="1:12" hidden="1" x14ac:dyDescent="0.25">
      <c r="A2761">
        <v>664</v>
      </c>
      <c r="B2761" t="s">
        <v>2605</v>
      </c>
      <c r="C2761" t="s">
        <v>2606</v>
      </c>
      <c r="D2761">
        <v>0</v>
      </c>
      <c r="E2761" t="str">
        <f>_xlfn.XLOOKUP(F2761, Keys!B:B, Keys!A:A, "找不到")</f>
        <v>RD</v>
      </c>
      <c r="F2761" t="s">
        <v>142</v>
      </c>
      <c r="G2761">
        <v>1.387984195503793</v>
      </c>
      <c r="H2761">
        <v>0</v>
      </c>
      <c r="I2761" t="s">
        <v>38</v>
      </c>
      <c r="J2761" t="s">
        <v>3638</v>
      </c>
      <c r="K2761">
        <v>0</v>
      </c>
      <c r="L2761">
        <v>289.70870753676809</v>
      </c>
    </row>
    <row r="2762" spans="1:12" hidden="1" x14ac:dyDescent="0.25">
      <c r="A2762">
        <v>694</v>
      </c>
      <c r="B2762" t="s">
        <v>2605</v>
      </c>
      <c r="C2762" t="s">
        <v>2606</v>
      </c>
      <c r="D2762">
        <v>0</v>
      </c>
      <c r="E2762" t="str">
        <f>_xlfn.XLOOKUP(F2762, Keys!B:B, Keys!A:A, "找不到")</f>
        <v>RD</v>
      </c>
      <c r="F2762" t="s">
        <v>142</v>
      </c>
      <c r="G2762">
        <v>0.54699553000646051</v>
      </c>
      <c r="H2762">
        <v>0</v>
      </c>
      <c r="I2762">
        <v>0</v>
      </c>
      <c r="J2762" t="s">
        <v>3658</v>
      </c>
      <c r="K2762">
        <v>0</v>
      </c>
      <c r="L2762">
        <v>208.45804127818209</v>
      </c>
    </row>
    <row r="2763" spans="1:12" hidden="1" x14ac:dyDescent="0.25">
      <c r="A2763">
        <v>774</v>
      </c>
      <c r="B2763" t="s">
        <v>2605</v>
      </c>
      <c r="C2763" t="s">
        <v>2606</v>
      </c>
      <c r="D2763">
        <v>0</v>
      </c>
      <c r="E2763" t="str">
        <f>_xlfn.XLOOKUP(F2763, Keys!B:B, Keys!A:A, "找不到")</f>
        <v>RD</v>
      </c>
      <c r="F2763" t="s">
        <v>142</v>
      </c>
      <c r="G2763">
        <v>1.277367060581585</v>
      </c>
      <c r="H2763">
        <v>0</v>
      </c>
      <c r="I2763" t="s">
        <v>38</v>
      </c>
      <c r="J2763" t="s">
        <v>3638</v>
      </c>
      <c r="K2763">
        <v>0</v>
      </c>
      <c r="L2763">
        <v>281.17764733467999</v>
      </c>
    </row>
    <row r="2764" spans="1:12" hidden="1" x14ac:dyDescent="0.25">
      <c r="A2764">
        <v>775</v>
      </c>
      <c r="B2764" t="s">
        <v>2605</v>
      </c>
      <c r="C2764" t="s">
        <v>2606</v>
      </c>
      <c r="D2764">
        <v>0</v>
      </c>
      <c r="E2764" t="str">
        <f>_xlfn.XLOOKUP(F2764, Keys!B:B, Keys!A:A, "找不到")</f>
        <v>RD</v>
      </c>
      <c r="F2764" t="s">
        <v>142</v>
      </c>
      <c r="G2764">
        <v>0.84355232611734654</v>
      </c>
      <c r="H2764">
        <v>0</v>
      </c>
      <c r="I2764" t="s">
        <v>38</v>
      </c>
      <c r="J2764" t="s">
        <v>3783</v>
      </c>
      <c r="K2764">
        <v>0</v>
      </c>
      <c r="L2764">
        <v>241.4901239099068</v>
      </c>
    </row>
    <row r="2765" spans="1:12" hidden="1" x14ac:dyDescent="0.25">
      <c r="A2765">
        <v>782</v>
      </c>
      <c r="B2765" t="s">
        <v>2605</v>
      </c>
      <c r="C2765" t="s">
        <v>2606</v>
      </c>
      <c r="D2765" t="s">
        <v>3027</v>
      </c>
      <c r="E2765" t="str">
        <f>_xlfn.XLOOKUP(F2765, Keys!B:B, Keys!A:A, "找不到")</f>
        <v>RD</v>
      </c>
      <c r="F2765" t="s">
        <v>142</v>
      </c>
      <c r="G2765">
        <v>0.89388153199510634</v>
      </c>
      <c r="H2765">
        <v>0</v>
      </c>
      <c r="I2765" t="s">
        <v>38</v>
      </c>
      <c r="J2765" t="s">
        <v>3157</v>
      </c>
      <c r="K2765">
        <v>0</v>
      </c>
      <c r="L2765">
        <v>241.45753051409179</v>
      </c>
    </row>
    <row r="2766" spans="1:12" hidden="1" x14ac:dyDescent="0.25">
      <c r="A2766">
        <v>799</v>
      </c>
      <c r="B2766" t="s">
        <v>2605</v>
      </c>
      <c r="C2766" t="s">
        <v>2606</v>
      </c>
      <c r="D2766">
        <v>0</v>
      </c>
      <c r="E2766" t="str">
        <f>_xlfn.XLOOKUP(F2766, Keys!B:B, Keys!A:A, "找不到")</f>
        <v>RD</v>
      </c>
      <c r="F2766" t="s">
        <v>142</v>
      </c>
      <c r="G2766">
        <v>0.73604759894351179</v>
      </c>
      <c r="H2766">
        <v>0</v>
      </c>
      <c r="I2766">
        <v>0</v>
      </c>
      <c r="J2766">
        <v>0</v>
      </c>
      <c r="K2766">
        <v>0</v>
      </c>
      <c r="L2766">
        <v>241.69145935071239</v>
      </c>
    </row>
    <row r="2767" spans="1:12" hidden="1" x14ac:dyDescent="0.25">
      <c r="A2767">
        <v>811</v>
      </c>
      <c r="B2767" t="s">
        <v>2605</v>
      </c>
      <c r="C2767" t="s">
        <v>2606</v>
      </c>
      <c r="D2767">
        <v>0</v>
      </c>
      <c r="E2767" t="str">
        <f>_xlfn.XLOOKUP(F2767, Keys!B:B, Keys!A:A, "找不到")</f>
        <v>RD</v>
      </c>
      <c r="F2767" t="s">
        <v>142</v>
      </c>
      <c r="G2767">
        <v>0.34684419832591862</v>
      </c>
      <c r="H2767">
        <v>0</v>
      </c>
      <c r="I2767" t="s">
        <v>38</v>
      </c>
      <c r="J2767" t="s">
        <v>3818</v>
      </c>
      <c r="K2767">
        <v>0</v>
      </c>
      <c r="L2767">
        <v>156.79248106751621</v>
      </c>
    </row>
    <row r="2768" spans="1:12" hidden="1" x14ac:dyDescent="0.25">
      <c r="A2768">
        <v>851</v>
      </c>
      <c r="B2768" t="s">
        <v>2605</v>
      </c>
      <c r="C2768" t="s">
        <v>2606</v>
      </c>
      <c r="D2768">
        <v>0</v>
      </c>
      <c r="E2768" t="str">
        <f>_xlfn.XLOOKUP(F2768, Keys!B:B, Keys!A:A, "找不到")</f>
        <v>RD</v>
      </c>
      <c r="F2768" t="s">
        <v>142</v>
      </c>
      <c r="G2768">
        <v>0.17942595697694291</v>
      </c>
      <c r="H2768">
        <v>0</v>
      </c>
      <c r="I2768" t="s">
        <v>38</v>
      </c>
      <c r="J2768" t="s">
        <v>57</v>
      </c>
      <c r="K2768">
        <v>0</v>
      </c>
      <c r="L2768">
        <v>107.9327039702672</v>
      </c>
    </row>
    <row r="2769" spans="1:12" hidden="1" x14ac:dyDescent="0.25">
      <c r="A2769">
        <v>1028</v>
      </c>
      <c r="B2769" t="s">
        <v>2605</v>
      </c>
      <c r="C2769" t="s">
        <v>2606</v>
      </c>
      <c r="D2769">
        <v>0</v>
      </c>
      <c r="E2769" t="str">
        <f>_xlfn.XLOOKUP(F2769, Keys!B:B, Keys!A:A, "找不到")</f>
        <v>RD</v>
      </c>
      <c r="F2769" t="s">
        <v>142</v>
      </c>
      <c r="G2769">
        <v>0.1449001422019682</v>
      </c>
      <c r="H2769">
        <v>0</v>
      </c>
      <c r="I2769" t="s">
        <v>38</v>
      </c>
      <c r="J2769" t="s">
        <v>3959</v>
      </c>
      <c r="K2769">
        <v>0</v>
      </c>
      <c r="L2769">
        <v>89.234751885530272</v>
      </c>
    </row>
    <row r="2770" spans="1:12" hidden="1" x14ac:dyDescent="0.25">
      <c r="A2770">
        <v>34</v>
      </c>
      <c r="B2770" t="s">
        <v>2042</v>
      </c>
      <c r="C2770" t="s">
        <v>972</v>
      </c>
      <c r="D2770">
        <v>0</v>
      </c>
      <c r="E2770" t="str">
        <f>_xlfn.XLOOKUP(F2770, Keys!B:B, Keys!A:A, "找不到")</f>
        <v>RD</v>
      </c>
      <c r="F2770" t="s">
        <v>142</v>
      </c>
      <c r="G2770">
        <v>0.32878502509537161</v>
      </c>
      <c r="H2770">
        <v>0</v>
      </c>
      <c r="I2770">
        <v>0</v>
      </c>
      <c r="J2770" t="s">
        <v>2100</v>
      </c>
      <c r="K2770">
        <v>136.27205191496199</v>
      </c>
      <c r="L2770">
        <v>1330.551112595278</v>
      </c>
    </row>
    <row r="2771" spans="1:12" hidden="1" x14ac:dyDescent="0.25">
      <c r="A2771">
        <v>51</v>
      </c>
      <c r="B2771" t="s">
        <v>2042</v>
      </c>
      <c r="C2771" t="s">
        <v>972</v>
      </c>
      <c r="D2771">
        <v>0</v>
      </c>
      <c r="E2771" t="str">
        <f>_xlfn.XLOOKUP(F2771, Keys!B:B, Keys!A:A, "找不到")</f>
        <v>RD</v>
      </c>
      <c r="F2771" t="s">
        <v>142</v>
      </c>
      <c r="G2771">
        <v>0.54652889580357689</v>
      </c>
      <c r="H2771">
        <v>0</v>
      </c>
      <c r="I2771" t="s">
        <v>38</v>
      </c>
      <c r="J2771" t="s">
        <v>2130</v>
      </c>
      <c r="K2771">
        <v>177.39915810658329</v>
      </c>
      <c r="L2771">
        <v>2211.7328189323139</v>
      </c>
    </row>
    <row r="2772" spans="1:12" hidden="1" x14ac:dyDescent="0.25">
      <c r="A2772">
        <v>55</v>
      </c>
      <c r="B2772" t="s">
        <v>2042</v>
      </c>
      <c r="C2772" t="s">
        <v>972</v>
      </c>
      <c r="D2772">
        <v>0</v>
      </c>
      <c r="E2772" t="str">
        <f>_xlfn.XLOOKUP(F2772, Keys!B:B, Keys!A:A, "找不到")</f>
        <v>RD</v>
      </c>
      <c r="F2772" t="s">
        <v>142</v>
      </c>
      <c r="G2772">
        <v>0.32969671768545339</v>
      </c>
      <c r="H2772">
        <v>0</v>
      </c>
      <c r="I2772" t="s">
        <v>38</v>
      </c>
      <c r="J2772" t="s">
        <v>2134</v>
      </c>
      <c r="K2772">
        <v>213.0066865543487</v>
      </c>
      <c r="L2772">
        <v>1334.2406163667049</v>
      </c>
    </row>
    <row r="2773" spans="1:12" hidden="1" x14ac:dyDescent="0.25">
      <c r="A2773">
        <v>68</v>
      </c>
      <c r="B2773" t="s">
        <v>2042</v>
      </c>
      <c r="C2773" t="s">
        <v>972</v>
      </c>
      <c r="D2773">
        <v>0</v>
      </c>
      <c r="E2773" t="str">
        <f>_xlfn.XLOOKUP(F2773, Keys!B:B, Keys!A:A, "找不到")</f>
        <v>RD</v>
      </c>
      <c r="F2773" t="s">
        <v>142</v>
      </c>
      <c r="G2773">
        <v>0.14810625167196989</v>
      </c>
      <c r="H2773">
        <v>0</v>
      </c>
      <c r="I2773" t="s">
        <v>38</v>
      </c>
      <c r="J2773" t="s">
        <v>2156</v>
      </c>
      <c r="K2773">
        <v>90.316617344219054</v>
      </c>
      <c r="L2773">
        <v>599.36713324243783</v>
      </c>
    </row>
    <row r="2774" spans="1:12" hidden="1" x14ac:dyDescent="0.25">
      <c r="A2774">
        <v>202</v>
      </c>
      <c r="B2774" t="s">
        <v>2042</v>
      </c>
      <c r="C2774" t="s">
        <v>972</v>
      </c>
      <c r="D2774" t="s">
        <v>2241</v>
      </c>
      <c r="E2774" t="str">
        <f>_xlfn.XLOOKUP(F2774, Keys!B:B, Keys!A:A, "找不到")</f>
        <v>RD</v>
      </c>
      <c r="F2774" t="s">
        <v>142</v>
      </c>
      <c r="G2774">
        <v>1.5904854612824271</v>
      </c>
      <c r="H2774">
        <v>0</v>
      </c>
      <c r="I2774">
        <v>0</v>
      </c>
      <c r="J2774" t="s">
        <v>2398</v>
      </c>
      <c r="K2774">
        <v>309.19065178914047</v>
      </c>
      <c r="L2774">
        <v>6436.4920496670693</v>
      </c>
    </row>
    <row r="2775" spans="1:12" hidden="1" x14ac:dyDescent="0.25">
      <c r="A2775">
        <v>19</v>
      </c>
      <c r="B2775" t="s">
        <v>1482</v>
      </c>
      <c r="C2775" t="s">
        <v>1483</v>
      </c>
      <c r="D2775">
        <v>0</v>
      </c>
      <c r="E2775" t="str">
        <f>_xlfn.XLOOKUP(F2775, Keys!B:B, Keys!A:A, "找不到")</f>
        <v>RD</v>
      </c>
      <c r="F2775" t="s">
        <v>142</v>
      </c>
      <c r="G2775">
        <v>0.45445609288891148</v>
      </c>
      <c r="H2775" t="s">
        <v>159</v>
      </c>
      <c r="I2775" t="s">
        <v>38</v>
      </c>
      <c r="J2775" t="s">
        <v>1521</v>
      </c>
      <c r="K2775">
        <v>164.88402416456509</v>
      </c>
      <c r="L2775">
        <v>1839.1259147026051</v>
      </c>
    </row>
    <row r="2776" spans="1:12" hidden="1" x14ac:dyDescent="0.25">
      <c r="A2776">
        <v>71</v>
      </c>
      <c r="B2776" t="s">
        <v>1482</v>
      </c>
      <c r="C2776" t="s">
        <v>1483</v>
      </c>
      <c r="D2776" t="s">
        <v>1612</v>
      </c>
      <c r="E2776" t="str">
        <f>_xlfn.XLOOKUP(F2776, Keys!B:B, Keys!A:A, "找不到")</f>
        <v>RD</v>
      </c>
      <c r="F2776" t="s">
        <v>142</v>
      </c>
      <c r="G2776">
        <v>0.1635332895983585</v>
      </c>
      <c r="H2776">
        <v>0</v>
      </c>
      <c r="I2776" t="s">
        <v>38</v>
      </c>
      <c r="J2776" t="s">
        <v>1644</v>
      </c>
      <c r="K2776">
        <v>143.27751204313711</v>
      </c>
      <c r="L2776">
        <v>661.798390478231</v>
      </c>
    </row>
    <row r="2777" spans="1:12" hidden="1" x14ac:dyDescent="0.25">
      <c r="A2777">
        <v>103</v>
      </c>
      <c r="B2777" t="s">
        <v>1482</v>
      </c>
      <c r="C2777" t="s">
        <v>1483</v>
      </c>
      <c r="D2777">
        <v>0</v>
      </c>
      <c r="E2777" t="str">
        <f>_xlfn.XLOOKUP(F2777, Keys!B:B, Keys!A:A, "找不到")</f>
        <v>RD</v>
      </c>
      <c r="F2777" t="s">
        <v>142</v>
      </c>
      <c r="G2777">
        <v>0.39719275548284938</v>
      </c>
      <c r="H2777">
        <v>0</v>
      </c>
      <c r="I2777" t="s">
        <v>38</v>
      </c>
      <c r="J2777" t="s">
        <v>1172</v>
      </c>
      <c r="K2777">
        <v>177.09079445433659</v>
      </c>
      <c r="L2777">
        <v>1607.388483004024</v>
      </c>
    </row>
    <row r="2778" spans="1:12" hidden="1" x14ac:dyDescent="0.25">
      <c r="A2778">
        <v>160</v>
      </c>
      <c r="B2778" t="s">
        <v>1482</v>
      </c>
      <c r="C2778" t="s">
        <v>1483</v>
      </c>
      <c r="D2778" t="s">
        <v>1612</v>
      </c>
      <c r="E2778" t="str">
        <f>_xlfn.XLOOKUP(F2778, Keys!B:B, Keys!A:A, "找不到")</f>
        <v>RD</v>
      </c>
      <c r="F2778" t="s">
        <v>142</v>
      </c>
      <c r="G2778">
        <v>0.42324419563288712</v>
      </c>
      <c r="H2778">
        <v>0</v>
      </c>
      <c r="I2778" t="s">
        <v>38</v>
      </c>
      <c r="J2778" t="s">
        <v>1812</v>
      </c>
      <c r="K2778">
        <v>158.00859855819621</v>
      </c>
      <c r="L2778">
        <v>1712.8153425949899</v>
      </c>
    </row>
    <row r="2779" spans="1:12" hidden="1" x14ac:dyDescent="0.25">
      <c r="A2779">
        <v>183</v>
      </c>
      <c r="B2779" t="s">
        <v>1482</v>
      </c>
      <c r="C2779" t="s">
        <v>1483</v>
      </c>
      <c r="D2779" t="s">
        <v>1612</v>
      </c>
      <c r="E2779" t="str">
        <f>_xlfn.XLOOKUP(F2779, Keys!B:B, Keys!A:A, "找不到")</f>
        <v>RD</v>
      </c>
      <c r="F2779" t="s">
        <v>142</v>
      </c>
      <c r="G2779">
        <v>0.145826689770541</v>
      </c>
      <c r="H2779">
        <v>0</v>
      </c>
      <c r="I2779" t="s">
        <v>38</v>
      </c>
      <c r="J2779" t="s">
        <v>1855</v>
      </c>
      <c r="K2779">
        <v>100.543758249962</v>
      </c>
      <c r="L2779">
        <v>590.14203662103228</v>
      </c>
    </row>
    <row r="2780" spans="1:12" hidden="1" x14ac:dyDescent="0.25">
      <c r="A2780">
        <v>184</v>
      </c>
      <c r="B2780" t="s">
        <v>1482</v>
      </c>
      <c r="C2780" t="s">
        <v>1483</v>
      </c>
      <c r="D2780" t="s">
        <v>1612</v>
      </c>
      <c r="E2780" t="str">
        <f>_xlfn.XLOOKUP(F2780, Keys!B:B, Keys!A:A, "找不到")</f>
        <v>RD</v>
      </c>
      <c r="F2780" t="s">
        <v>142</v>
      </c>
      <c r="G2780">
        <v>0.68534421934204481</v>
      </c>
      <c r="H2780">
        <v>0</v>
      </c>
      <c r="I2780" t="s">
        <v>38</v>
      </c>
      <c r="J2780" t="s">
        <v>1857</v>
      </c>
      <c r="K2780">
        <v>260.48203999935657</v>
      </c>
      <c r="L2780">
        <v>2773.5007495909731</v>
      </c>
    </row>
    <row r="2781" spans="1:12" hidden="1" x14ac:dyDescent="0.25">
      <c r="A2781">
        <v>247</v>
      </c>
      <c r="B2781" t="s">
        <v>1482</v>
      </c>
      <c r="C2781" t="s">
        <v>1483</v>
      </c>
      <c r="D2781" t="s">
        <v>1612</v>
      </c>
      <c r="E2781" t="str">
        <f>_xlfn.XLOOKUP(F2781, Keys!B:B, Keys!A:A, "找不到")</f>
        <v>RD</v>
      </c>
      <c r="F2781" t="s">
        <v>142</v>
      </c>
      <c r="G2781">
        <v>0.34154261460019658</v>
      </c>
      <c r="H2781">
        <v>0</v>
      </c>
      <c r="I2781" t="s">
        <v>38</v>
      </c>
      <c r="J2781" t="s">
        <v>1857</v>
      </c>
      <c r="K2781">
        <v>159.32906464127339</v>
      </c>
      <c r="L2781">
        <v>1382.179452130373</v>
      </c>
    </row>
    <row r="2782" spans="1:12" hidden="1" x14ac:dyDescent="0.25">
      <c r="A2782">
        <v>192</v>
      </c>
      <c r="B2782" t="s">
        <v>714</v>
      </c>
      <c r="C2782" t="s">
        <v>715</v>
      </c>
      <c r="D2782" t="s">
        <v>57</v>
      </c>
      <c r="E2782" t="str">
        <f>_xlfn.XLOOKUP(F2782, Keys!B:B, Keys!A:A, "找不到")</f>
        <v>FA</v>
      </c>
      <c r="F2782" t="s">
        <v>63</v>
      </c>
      <c r="G2782">
        <v>0.5260242986210093</v>
      </c>
      <c r="H2782" t="s">
        <v>64</v>
      </c>
      <c r="I2782" t="s">
        <v>65</v>
      </c>
      <c r="J2782" t="s">
        <v>981</v>
      </c>
      <c r="K2782">
        <v>0</v>
      </c>
      <c r="L2782">
        <v>0</v>
      </c>
    </row>
    <row r="2783" spans="1:12" hidden="1" x14ac:dyDescent="0.25">
      <c r="A2783">
        <v>193</v>
      </c>
      <c r="B2783" t="s">
        <v>714</v>
      </c>
      <c r="C2783" t="s">
        <v>715</v>
      </c>
      <c r="D2783" t="s">
        <v>57</v>
      </c>
      <c r="E2783" t="str">
        <f>_xlfn.XLOOKUP(F2783, Keys!B:B, Keys!A:A, "找不到")</f>
        <v>FA</v>
      </c>
      <c r="F2783" t="s">
        <v>63</v>
      </c>
      <c r="G2783">
        <v>0.34342235021954559</v>
      </c>
      <c r="H2783" t="s">
        <v>64</v>
      </c>
      <c r="I2783" t="s">
        <v>65</v>
      </c>
      <c r="J2783" t="s">
        <v>981</v>
      </c>
      <c r="K2783">
        <v>0</v>
      </c>
      <c r="L2783">
        <v>0</v>
      </c>
    </row>
    <row r="2784" spans="1:12" hidden="1" x14ac:dyDescent="0.25">
      <c r="A2784">
        <v>195</v>
      </c>
      <c r="B2784" t="s">
        <v>714</v>
      </c>
      <c r="C2784" t="s">
        <v>715</v>
      </c>
      <c r="D2784" t="s">
        <v>57</v>
      </c>
      <c r="E2784" t="str">
        <f>_xlfn.XLOOKUP(F2784, Keys!B:B, Keys!A:A, "找不到")</f>
        <v>FA</v>
      </c>
      <c r="F2784" t="s">
        <v>63</v>
      </c>
      <c r="G2784">
        <v>4.529498428707198</v>
      </c>
      <c r="H2784" t="s">
        <v>64</v>
      </c>
      <c r="I2784" t="s">
        <v>65</v>
      </c>
      <c r="J2784" t="s">
        <v>57</v>
      </c>
      <c r="K2784">
        <v>0</v>
      </c>
      <c r="L2784">
        <v>0</v>
      </c>
    </row>
    <row r="2785" spans="1:12" hidden="1" x14ac:dyDescent="0.25">
      <c r="A2785">
        <v>196</v>
      </c>
      <c r="B2785" t="s">
        <v>714</v>
      </c>
      <c r="C2785" t="s">
        <v>715</v>
      </c>
      <c r="D2785" t="s">
        <v>57</v>
      </c>
      <c r="E2785" t="str">
        <f>_xlfn.XLOOKUP(F2785, Keys!B:B, Keys!A:A, "找不到")</f>
        <v>FA</v>
      </c>
      <c r="F2785" t="s">
        <v>63</v>
      </c>
      <c r="G2785">
        <v>9.4973601337101116E-2</v>
      </c>
      <c r="H2785" t="s">
        <v>64</v>
      </c>
      <c r="I2785" t="s">
        <v>65</v>
      </c>
      <c r="J2785" t="s">
        <v>57</v>
      </c>
      <c r="K2785">
        <v>0</v>
      </c>
      <c r="L2785">
        <v>0</v>
      </c>
    </row>
    <row r="2786" spans="1:12" hidden="1" x14ac:dyDescent="0.25">
      <c r="A2786">
        <v>199</v>
      </c>
      <c r="B2786" t="s">
        <v>714</v>
      </c>
      <c r="C2786" t="s">
        <v>715</v>
      </c>
      <c r="D2786" t="s">
        <v>57</v>
      </c>
      <c r="E2786" t="str">
        <f>_xlfn.XLOOKUP(F2786, Keys!B:B, Keys!A:A, "找不到")</f>
        <v>FA</v>
      </c>
      <c r="F2786" t="s">
        <v>63</v>
      </c>
      <c r="G2786">
        <v>7.3194216790998716</v>
      </c>
      <c r="H2786" t="s">
        <v>64</v>
      </c>
      <c r="I2786" t="s">
        <v>65</v>
      </c>
      <c r="J2786" t="s">
        <v>57</v>
      </c>
      <c r="K2786">
        <v>0</v>
      </c>
      <c r="L2786">
        <v>0</v>
      </c>
    </row>
    <row r="2787" spans="1:12" hidden="1" x14ac:dyDescent="0.25">
      <c r="A2787">
        <v>200</v>
      </c>
      <c r="B2787" t="s">
        <v>714</v>
      </c>
      <c r="C2787" t="s">
        <v>715</v>
      </c>
      <c r="D2787" t="s">
        <v>57</v>
      </c>
      <c r="E2787" t="str">
        <f>_xlfn.XLOOKUP(F2787, Keys!B:B, Keys!A:A, "找不到")</f>
        <v>FA</v>
      </c>
      <c r="F2787" t="s">
        <v>63</v>
      </c>
      <c r="G2787">
        <v>4.700785983908264</v>
      </c>
      <c r="H2787" t="s">
        <v>64</v>
      </c>
      <c r="I2787" t="s">
        <v>65</v>
      </c>
      <c r="J2787" t="s">
        <v>57</v>
      </c>
      <c r="K2787">
        <v>0</v>
      </c>
      <c r="L2787">
        <v>0</v>
      </c>
    </row>
    <row r="2788" spans="1:12" hidden="1" x14ac:dyDescent="0.25">
      <c r="A2788">
        <v>59</v>
      </c>
      <c r="B2788" t="s">
        <v>1026</v>
      </c>
      <c r="C2788" t="s">
        <v>1027</v>
      </c>
      <c r="D2788">
        <v>0</v>
      </c>
      <c r="E2788" t="str">
        <f>_xlfn.XLOOKUP(F2788, Keys!B:B, Keys!A:A, "找不到")</f>
        <v>RD</v>
      </c>
      <c r="F2788" t="s">
        <v>142</v>
      </c>
      <c r="G2788">
        <v>0.99929611432644672</v>
      </c>
      <c r="H2788">
        <v>0</v>
      </c>
      <c r="I2788">
        <v>0</v>
      </c>
      <c r="J2788" t="s">
        <v>1161</v>
      </c>
      <c r="K2788">
        <v>246.28296549929959</v>
      </c>
      <c r="L2788">
        <v>4044.024074221466</v>
      </c>
    </row>
    <row r="2789" spans="1:12" hidden="1" x14ac:dyDescent="0.25">
      <c r="A2789">
        <v>250</v>
      </c>
      <c r="B2789" t="s">
        <v>1026</v>
      </c>
      <c r="C2789" t="s">
        <v>1027</v>
      </c>
      <c r="D2789">
        <v>0</v>
      </c>
      <c r="E2789" t="str">
        <f>_xlfn.XLOOKUP(F2789, Keys!B:B, Keys!A:A, "找不到")</f>
        <v>RD</v>
      </c>
      <c r="F2789" t="s">
        <v>142</v>
      </c>
      <c r="G2789">
        <v>0.4342863820230331</v>
      </c>
      <c r="H2789">
        <v>0</v>
      </c>
      <c r="I2789" t="s">
        <v>38</v>
      </c>
      <c r="J2789" t="s">
        <v>1471</v>
      </c>
      <c r="K2789">
        <v>165.33765100650709</v>
      </c>
      <c r="L2789">
        <v>1757.5016642503981</v>
      </c>
    </row>
    <row r="2790" spans="1:12" hidden="1" x14ac:dyDescent="0.25">
      <c r="A2790">
        <v>21</v>
      </c>
      <c r="B2790" t="s">
        <v>152</v>
      </c>
      <c r="C2790" t="s">
        <v>149</v>
      </c>
      <c r="D2790">
        <v>0</v>
      </c>
      <c r="E2790" t="str">
        <f>_xlfn.XLOOKUP(F2790, Keys!B:B, Keys!A:A, "找不到")</f>
        <v>RD</v>
      </c>
      <c r="F2790" t="s">
        <v>142</v>
      </c>
      <c r="G2790">
        <v>2.9315943703981509E-2</v>
      </c>
      <c r="H2790">
        <v>0</v>
      </c>
      <c r="I2790" t="s">
        <v>38</v>
      </c>
      <c r="J2790" t="s">
        <v>184</v>
      </c>
      <c r="K2790">
        <v>44.096815449473212</v>
      </c>
      <c r="L2790">
        <v>118.63788960825831</v>
      </c>
    </row>
    <row r="2791" spans="1:12" hidden="1" x14ac:dyDescent="0.25">
      <c r="A2791">
        <v>60</v>
      </c>
      <c r="B2791" t="s">
        <v>152</v>
      </c>
      <c r="C2791" t="s">
        <v>149</v>
      </c>
      <c r="D2791">
        <v>0</v>
      </c>
      <c r="E2791" t="str">
        <f>_xlfn.XLOOKUP(F2791, Keys!B:B, Keys!A:A, "找不到")</f>
        <v>RD</v>
      </c>
      <c r="F2791" t="s">
        <v>142</v>
      </c>
      <c r="G2791">
        <v>0.86556914216076719</v>
      </c>
      <c r="H2791">
        <v>0</v>
      </c>
      <c r="I2791" t="s">
        <v>38</v>
      </c>
      <c r="J2791">
        <v>0</v>
      </c>
      <c r="K2791">
        <v>227.93434041098911</v>
      </c>
      <c r="L2791">
        <v>3502.8480533627612</v>
      </c>
    </row>
    <row r="2792" spans="1:12" hidden="1" x14ac:dyDescent="0.25">
      <c r="A2792">
        <v>104</v>
      </c>
      <c r="B2792" t="s">
        <v>152</v>
      </c>
      <c r="C2792" t="s">
        <v>149</v>
      </c>
      <c r="D2792">
        <v>0</v>
      </c>
      <c r="E2792" t="str">
        <f>_xlfn.XLOOKUP(F2792, Keys!B:B, Keys!A:A, "找不到")</f>
        <v>RD</v>
      </c>
      <c r="F2792" t="s">
        <v>142</v>
      </c>
      <c r="G2792">
        <v>0.32360082917881289</v>
      </c>
      <c r="H2792">
        <v>0</v>
      </c>
      <c r="I2792" t="s">
        <v>38</v>
      </c>
      <c r="J2792" t="s">
        <v>57</v>
      </c>
      <c r="K2792">
        <v>142.6577812268664</v>
      </c>
      <c r="L2792">
        <v>1309.5713321363339</v>
      </c>
    </row>
    <row r="2793" spans="1:12" hidden="1" x14ac:dyDescent="0.25">
      <c r="A2793">
        <v>124</v>
      </c>
      <c r="B2793" t="s">
        <v>152</v>
      </c>
      <c r="C2793" t="s">
        <v>149</v>
      </c>
      <c r="D2793">
        <v>0</v>
      </c>
      <c r="E2793" t="str">
        <f>_xlfn.XLOOKUP(F2793, Keys!B:B, Keys!A:A, "找不到")</f>
        <v>RD</v>
      </c>
      <c r="F2793" t="s">
        <v>142</v>
      </c>
      <c r="G2793">
        <v>0.80674251602671465</v>
      </c>
      <c r="H2793">
        <v>0</v>
      </c>
      <c r="I2793" t="s">
        <v>38</v>
      </c>
      <c r="J2793">
        <v>0</v>
      </c>
      <c r="K2793">
        <v>220.00442624522901</v>
      </c>
      <c r="L2793">
        <v>3264.784191329551</v>
      </c>
    </row>
    <row r="2794" spans="1:12" hidden="1" x14ac:dyDescent="0.25">
      <c r="A2794">
        <v>125</v>
      </c>
      <c r="B2794" t="s">
        <v>152</v>
      </c>
      <c r="C2794" t="s">
        <v>149</v>
      </c>
      <c r="D2794">
        <v>0</v>
      </c>
      <c r="E2794" t="str">
        <f>_xlfn.XLOOKUP(F2794, Keys!B:B, Keys!A:A, "找不到")</f>
        <v>RD</v>
      </c>
      <c r="F2794" t="s">
        <v>142</v>
      </c>
      <c r="G2794">
        <v>1.724510210318281</v>
      </c>
      <c r="H2794">
        <v>0</v>
      </c>
      <c r="I2794" t="s">
        <v>38</v>
      </c>
      <c r="J2794">
        <v>0</v>
      </c>
      <c r="K2794">
        <v>348.55398489091141</v>
      </c>
      <c r="L2794">
        <v>6978.8731355855389</v>
      </c>
    </row>
    <row r="2795" spans="1:12" hidden="1" x14ac:dyDescent="0.25">
      <c r="A2795">
        <v>126</v>
      </c>
      <c r="B2795" t="s">
        <v>152</v>
      </c>
      <c r="C2795" t="s">
        <v>149</v>
      </c>
      <c r="D2795">
        <v>0</v>
      </c>
      <c r="E2795" t="str">
        <f>_xlfn.XLOOKUP(F2795, Keys!B:B, Keys!A:A, "找不到")</f>
        <v>RD</v>
      </c>
      <c r="F2795" t="s">
        <v>142</v>
      </c>
      <c r="G2795">
        <v>0.68444697001244426</v>
      </c>
      <c r="H2795">
        <v>0</v>
      </c>
      <c r="I2795" t="s">
        <v>38</v>
      </c>
      <c r="J2795">
        <v>0</v>
      </c>
      <c r="K2795">
        <v>194.59828970264769</v>
      </c>
      <c r="L2795">
        <v>2769.8696958547839</v>
      </c>
    </row>
    <row r="2796" spans="1:12" hidden="1" x14ac:dyDescent="0.25">
      <c r="A2796">
        <v>130</v>
      </c>
      <c r="B2796" t="s">
        <v>152</v>
      </c>
      <c r="C2796" t="s">
        <v>149</v>
      </c>
      <c r="D2796">
        <v>0</v>
      </c>
      <c r="E2796" t="str">
        <f>_xlfn.XLOOKUP(F2796, Keys!B:B, Keys!A:A, "找不到")</f>
        <v>RD</v>
      </c>
      <c r="F2796" t="s">
        <v>142</v>
      </c>
      <c r="G2796">
        <v>1.130462453750982</v>
      </c>
      <c r="H2796">
        <v>0</v>
      </c>
      <c r="I2796" t="s">
        <v>38</v>
      </c>
      <c r="J2796" t="s">
        <v>57</v>
      </c>
      <c r="K2796">
        <v>255.68331548967339</v>
      </c>
      <c r="L2796">
        <v>4574.8375405760853</v>
      </c>
    </row>
    <row r="2797" spans="1:12" hidden="1" x14ac:dyDescent="0.25">
      <c r="A2797">
        <v>154</v>
      </c>
      <c r="B2797" t="s">
        <v>152</v>
      </c>
      <c r="C2797" t="s">
        <v>149</v>
      </c>
      <c r="D2797">
        <v>0</v>
      </c>
      <c r="E2797" t="str">
        <f>_xlfn.XLOOKUP(F2797, Keys!B:B, Keys!A:A, "找不到")</f>
        <v>RD</v>
      </c>
      <c r="F2797" t="s">
        <v>142</v>
      </c>
      <c r="G2797">
        <v>0.54272128621168836</v>
      </c>
      <c r="H2797">
        <v>0</v>
      </c>
      <c r="I2797" t="s">
        <v>38</v>
      </c>
      <c r="J2797" t="s">
        <v>57</v>
      </c>
      <c r="K2797">
        <v>191.3805665747154</v>
      </c>
      <c r="L2797">
        <v>2196.323907965806</v>
      </c>
    </row>
    <row r="2798" spans="1:12" hidden="1" x14ac:dyDescent="0.25">
      <c r="A2798">
        <v>158</v>
      </c>
      <c r="B2798" t="s">
        <v>152</v>
      </c>
      <c r="C2798" t="s">
        <v>149</v>
      </c>
      <c r="D2798">
        <v>0</v>
      </c>
      <c r="E2798" t="str">
        <f>_xlfn.XLOOKUP(F2798, Keys!B:B, Keys!A:A, "找不到")</f>
        <v>RD</v>
      </c>
      <c r="F2798" t="s">
        <v>142</v>
      </c>
      <c r="G2798">
        <v>0.94006741240727953</v>
      </c>
      <c r="H2798">
        <v>0</v>
      </c>
      <c r="I2798" t="s">
        <v>38</v>
      </c>
      <c r="J2798" t="s">
        <v>57</v>
      </c>
      <c r="K2798">
        <v>246.32519606356979</v>
      </c>
      <c r="L2798">
        <v>3804.333062706382</v>
      </c>
    </row>
    <row r="2799" spans="1:12" hidden="1" x14ac:dyDescent="0.25">
      <c r="A2799">
        <v>160</v>
      </c>
      <c r="B2799" t="s">
        <v>152</v>
      </c>
      <c r="C2799" t="s">
        <v>149</v>
      </c>
      <c r="D2799">
        <v>0</v>
      </c>
      <c r="E2799" t="str">
        <f>_xlfn.XLOOKUP(F2799, Keys!B:B, Keys!A:A, "找不到")</f>
        <v>RD</v>
      </c>
      <c r="F2799" t="s">
        <v>142</v>
      </c>
      <c r="G2799">
        <v>0.93585829260535514</v>
      </c>
      <c r="H2799">
        <v>0</v>
      </c>
      <c r="I2799" t="s">
        <v>38</v>
      </c>
      <c r="J2799" t="s">
        <v>365</v>
      </c>
      <c r="K2799">
        <v>236.0163239690408</v>
      </c>
      <c r="L2799">
        <v>3787.2992910682951</v>
      </c>
    </row>
    <row r="2800" spans="1:12" hidden="1" x14ac:dyDescent="0.25">
      <c r="A2800">
        <v>162</v>
      </c>
      <c r="B2800" t="s">
        <v>152</v>
      </c>
      <c r="C2800" t="s">
        <v>149</v>
      </c>
      <c r="D2800">
        <v>0</v>
      </c>
      <c r="E2800" t="str">
        <f>_xlfn.XLOOKUP(F2800, Keys!B:B, Keys!A:A, "找不到")</f>
        <v>RD</v>
      </c>
      <c r="F2800" t="s">
        <v>142</v>
      </c>
      <c r="G2800">
        <v>1.0120035695106731</v>
      </c>
      <c r="H2800">
        <v>0</v>
      </c>
      <c r="I2800" t="s">
        <v>38</v>
      </c>
      <c r="J2800" t="s">
        <v>369</v>
      </c>
      <c r="K2800">
        <v>241.05685792928321</v>
      </c>
      <c r="L2800">
        <v>4095.4495265477181</v>
      </c>
    </row>
    <row r="2801" spans="1:12" hidden="1" x14ac:dyDescent="0.25">
      <c r="A2801">
        <v>5</v>
      </c>
      <c r="B2801" t="s">
        <v>378</v>
      </c>
      <c r="C2801" t="s">
        <v>379</v>
      </c>
      <c r="D2801">
        <v>0</v>
      </c>
      <c r="E2801" t="str">
        <f>_xlfn.XLOOKUP(F2801, Keys!B:B, Keys!A:A, "找不到")</f>
        <v>RD</v>
      </c>
      <c r="F2801" t="s">
        <v>142</v>
      </c>
      <c r="G2801">
        <v>2.9927175344229479E-2</v>
      </c>
      <c r="H2801">
        <v>0</v>
      </c>
      <c r="I2801" t="s">
        <v>38</v>
      </c>
      <c r="J2801" t="s">
        <v>392</v>
      </c>
      <c r="K2801">
        <v>40.336982986797928</v>
      </c>
      <c r="L2801">
        <v>121.11146619146631</v>
      </c>
    </row>
    <row r="2802" spans="1:12" hidden="1" x14ac:dyDescent="0.25">
      <c r="A2802">
        <v>6</v>
      </c>
      <c r="B2802" t="s">
        <v>378</v>
      </c>
      <c r="C2802" t="s">
        <v>379</v>
      </c>
      <c r="D2802">
        <v>0</v>
      </c>
      <c r="E2802" t="str">
        <f>_xlfn.XLOOKUP(F2802, Keys!B:B, Keys!A:A, "找不到")</f>
        <v>RD</v>
      </c>
      <c r="F2802" t="s">
        <v>142</v>
      </c>
      <c r="G2802">
        <v>0.76347871667161893</v>
      </c>
      <c r="H2802">
        <v>0</v>
      </c>
      <c r="I2802" t="s">
        <v>38</v>
      </c>
      <c r="J2802" t="s">
        <v>394</v>
      </c>
      <c r="K2802">
        <v>219.73407609889381</v>
      </c>
      <c r="L2802">
        <v>3089.7011067203189</v>
      </c>
    </row>
    <row r="2803" spans="1:12" hidden="1" x14ac:dyDescent="0.25">
      <c r="A2803">
        <v>117</v>
      </c>
      <c r="B2803" t="s">
        <v>378</v>
      </c>
      <c r="C2803" t="s">
        <v>379</v>
      </c>
      <c r="D2803">
        <v>0</v>
      </c>
      <c r="E2803" t="str">
        <f>_xlfn.XLOOKUP(F2803, Keys!B:B, Keys!A:A, "找不到")</f>
        <v>RD</v>
      </c>
      <c r="F2803" t="s">
        <v>142</v>
      </c>
      <c r="G2803">
        <v>8.2638729960308961</v>
      </c>
      <c r="H2803">
        <v>0</v>
      </c>
      <c r="I2803" t="s">
        <v>38</v>
      </c>
      <c r="J2803" t="s">
        <v>695</v>
      </c>
      <c r="K2803">
        <v>843.94059545109167</v>
      </c>
      <c r="L2803">
        <v>33442.841279116903</v>
      </c>
    </row>
    <row r="2804" spans="1:12" x14ac:dyDescent="0.25">
      <c r="A2804">
        <v>256</v>
      </c>
      <c r="B2804" t="s">
        <v>42</v>
      </c>
      <c r="C2804" t="s">
        <v>36</v>
      </c>
      <c r="D2804" t="s">
        <v>43</v>
      </c>
      <c r="E2804" t="str">
        <f>_xlfn.XLOOKUP(F2804, Keys!B:B, Keys!A:A, "找不到")</f>
        <v>FA</v>
      </c>
      <c r="F2804" t="s">
        <v>63</v>
      </c>
      <c r="G2804">
        <v>1.209251169382515</v>
      </c>
      <c r="H2804" t="s">
        <v>64</v>
      </c>
      <c r="I2804" t="s">
        <v>65</v>
      </c>
      <c r="J2804">
        <v>0</v>
      </c>
      <c r="K2804">
        <v>282.83393023702553</v>
      </c>
      <c r="L2804">
        <v>4893.685435832509</v>
      </c>
    </row>
    <row r="2805" spans="1:12" hidden="1" x14ac:dyDescent="0.25">
      <c r="A2805">
        <v>15</v>
      </c>
      <c r="C2805" t="s">
        <v>3970</v>
      </c>
      <c r="D2805">
        <v>0</v>
      </c>
      <c r="E2805" t="str">
        <f>_xlfn.XLOOKUP(F2805, Keys!B:B, Keys!A:A, "找不到")</f>
        <v>RW</v>
      </c>
      <c r="F2805" t="s">
        <v>137</v>
      </c>
      <c r="G2805">
        <v>2.0488135394422979</v>
      </c>
      <c r="H2805">
        <v>0</v>
      </c>
      <c r="I2805">
        <v>0</v>
      </c>
      <c r="J2805" t="s">
        <v>4001</v>
      </c>
      <c r="K2805">
        <v>0</v>
      </c>
      <c r="L2805">
        <v>0</v>
      </c>
    </row>
    <row r="2806" spans="1:12" hidden="1" x14ac:dyDescent="0.25">
      <c r="A2806">
        <v>82</v>
      </c>
      <c r="C2806" t="s">
        <v>3970</v>
      </c>
      <c r="D2806" t="s">
        <v>57</v>
      </c>
      <c r="E2806" t="str">
        <f>_xlfn.XLOOKUP(F2806, Keys!B:B, Keys!A:A, "找不到")</f>
        <v>RW</v>
      </c>
      <c r="F2806" t="s">
        <v>137</v>
      </c>
      <c r="G2806">
        <v>0.63580382484080777</v>
      </c>
      <c r="H2806">
        <v>0</v>
      </c>
      <c r="I2806" t="s">
        <v>38</v>
      </c>
      <c r="J2806" t="s">
        <v>4128</v>
      </c>
      <c r="K2806">
        <v>0</v>
      </c>
      <c r="L2806">
        <v>0</v>
      </c>
    </row>
    <row r="2807" spans="1:12" hidden="1" x14ac:dyDescent="0.25">
      <c r="A2807">
        <v>182</v>
      </c>
      <c r="C2807" t="s">
        <v>3970</v>
      </c>
      <c r="D2807">
        <v>0</v>
      </c>
      <c r="E2807" t="str">
        <f>_xlfn.XLOOKUP(F2807, Keys!B:B, Keys!A:A, "找不到")</f>
        <v>RW</v>
      </c>
      <c r="F2807" t="s">
        <v>137</v>
      </c>
      <c r="G2807">
        <v>2.0488135394422979</v>
      </c>
      <c r="H2807">
        <v>0</v>
      </c>
      <c r="I2807">
        <v>0</v>
      </c>
      <c r="J2807" t="s">
        <v>4247</v>
      </c>
      <c r="K2807">
        <v>0</v>
      </c>
      <c r="L2807">
        <v>0</v>
      </c>
    </row>
    <row r="2808" spans="1:12" hidden="1" x14ac:dyDescent="0.25">
      <c r="A2808">
        <v>183</v>
      </c>
      <c r="C2808" t="s">
        <v>3970</v>
      </c>
      <c r="D2808">
        <v>0</v>
      </c>
      <c r="E2808" t="str">
        <f>_xlfn.XLOOKUP(F2808, Keys!B:B, Keys!A:A, "找不到")</f>
        <v>RW</v>
      </c>
      <c r="F2808" t="s">
        <v>137</v>
      </c>
      <c r="G2808">
        <v>2.0488135394422979</v>
      </c>
      <c r="H2808">
        <v>0</v>
      </c>
      <c r="I2808">
        <v>0</v>
      </c>
      <c r="J2808" t="s">
        <v>4247</v>
      </c>
      <c r="K2808">
        <v>0</v>
      </c>
      <c r="L2808">
        <v>0</v>
      </c>
    </row>
    <row r="2809" spans="1:12" hidden="1" x14ac:dyDescent="0.25">
      <c r="A2809">
        <v>153</v>
      </c>
      <c r="B2809" t="s">
        <v>2605</v>
      </c>
      <c r="C2809" t="s">
        <v>2606</v>
      </c>
      <c r="D2809">
        <v>0</v>
      </c>
      <c r="E2809" t="str">
        <f>_xlfn.XLOOKUP(F2809, Keys!B:B, Keys!A:A, "找不到")</f>
        <v>RW</v>
      </c>
      <c r="F2809" t="s">
        <v>137</v>
      </c>
      <c r="G2809">
        <v>0.61259090363623758</v>
      </c>
      <c r="H2809">
        <v>0</v>
      </c>
      <c r="I2809" t="s">
        <v>38</v>
      </c>
      <c r="J2809" t="s">
        <v>2869</v>
      </c>
      <c r="K2809">
        <v>0</v>
      </c>
      <c r="L2809">
        <v>233.63693561704841</v>
      </c>
    </row>
    <row r="2810" spans="1:12" hidden="1" x14ac:dyDescent="0.25">
      <c r="A2810">
        <v>158</v>
      </c>
      <c r="B2810" t="s">
        <v>2605</v>
      </c>
      <c r="C2810" t="s">
        <v>2606</v>
      </c>
      <c r="D2810" t="s">
        <v>2702</v>
      </c>
      <c r="E2810" t="str">
        <f>_xlfn.XLOOKUP(F2810, Keys!B:B, Keys!A:A, "找不到")</f>
        <v>RW</v>
      </c>
      <c r="F2810" t="s">
        <v>137</v>
      </c>
      <c r="G2810">
        <v>0.56898894199487671</v>
      </c>
      <c r="H2810">
        <v>0</v>
      </c>
      <c r="I2810" t="s">
        <v>38</v>
      </c>
      <c r="J2810" t="s">
        <v>2879</v>
      </c>
      <c r="K2810">
        <v>0</v>
      </c>
      <c r="L2810">
        <v>214.1994968658633</v>
      </c>
    </row>
    <row r="2811" spans="1:12" hidden="1" x14ac:dyDescent="0.25">
      <c r="A2811">
        <v>297</v>
      </c>
      <c r="B2811" t="s">
        <v>2605</v>
      </c>
      <c r="C2811" t="s">
        <v>2606</v>
      </c>
      <c r="D2811" t="s">
        <v>2712</v>
      </c>
      <c r="E2811" t="str">
        <f>_xlfn.XLOOKUP(F2811, Keys!B:B, Keys!A:A, "找不到")</f>
        <v>RW</v>
      </c>
      <c r="F2811" t="s">
        <v>137</v>
      </c>
      <c r="G2811">
        <v>0.5588768311123038</v>
      </c>
      <c r="H2811">
        <v>0</v>
      </c>
      <c r="I2811" t="s">
        <v>38</v>
      </c>
      <c r="J2811" t="s">
        <v>3086</v>
      </c>
      <c r="K2811">
        <v>0</v>
      </c>
      <c r="L2811">
        <v>267.72653416722682</v>
      </c>
    </row>
    <row r="2812" spans="1:12" hidden="1" x14ac:dyDescent="0.25">
      <c r="A2812">
        <v>313</v>
      </c>
      <c r="B2812" t="s">
        <v>2605</v>
      </c>
      <c r="C2812" t="s">
        <v>2606</v>
      </c>
      <c r="D2812">
        <v>0</v>
      </c>
      <c r="E2812" t="str">
        <f>_xlfn.XLOOKUP(F2812, Keys!B:B, Keys!A:A, "找不到")</f>
        <v>RW</v>
      </c>
      <c r="F2812" t="s">
        <v>137</v>
      </c>
      <c r="G2812">
        <v>8.3798010518288238E-2</v>
      </c>
      <c r="H2812">
        <v>0</v>
      </c>
      <c r="I2812" t="s">
        <v>38</v>
      </c>
      <c r="J2812" t="s">
        <v>3111</v>
      </c>
      <c r="K2812">
        <v>0</v>
      </c>
      <c r="L2812">
        <v>68.061931166166445</v>
      </c>
    </row>
    <row r="2813" spans="1:12" hidden="1" x14ac:dyDescent="0.25">
      <c r="A2813">
        <v>606</v>
      </c>
      <c r="B2813" t="s">
        <v>2605</v>
      </c>
      <c r="C2813" t="s">
        <v>2606</v>
      </c>
      <c r="D2813">
        <v>0</v>
      </c>
      <c r="E2813" t="str">
        <f>_xlfn.XLOOKUP(F2813, Keys!B:B, Keys!A:A, "找不到")</f>
        <v>RW</v>
      </c>
      <c r="F2813" t="s">
        <v>137</v>
      </c>
      <c r="G2813">
        <v>0.53890176271035573</v>
      </c>
      <c r="H2813">
        <v>0</v>
      </c>
      <c r="I2813" t="s">
        <v>38</v>
      </c>
      <c r="J2813" t="s">
        <v>3544</v>
      </c>
      <c r="K2813">
        <v>0</v>
      </c>
      <c r="L2813">
        <v>191.45953258826401</v>
      </c>
    </row>
    <row r="2814" spans="1:12" hidden="1" x14ac:dyDescent="0.25">
      <c r="A2814">
        <v>779</v>
      </c>
      <c r="B2814" t="s">
        <v>2605</v>
      </c>
      <c r="C2814" t="s">
        <v>2606</v>
      </c>
      <c r="D2814" t="s">
        <v>2712</v>
      </c>
      <c r="E2814" t="str">
        <f>_xlfn.XLOOKUP(F2814, Keys!B:B, Keys!A:A, "找不到")</f>
        <v>RW</v>
      </c>
      <c r="F2814" t="s">
        <v>137</v>
      </c>
      <c r="G2814">
        <v>1.929963043408758</v>
      </c>
      <c r="H2814">
        <v>0</v>
      </c>
      <c r="I2814" t="s">
        <v>38</v>
      </c>
      <c r="J2814" t="s">
        <v>3789</v>
      </c>
      <c r="K2814">
        <v>0</v>
      </c>
      <c r="L2814">
        <v>336.31719788333498</v>
      </c>
    </row>
    <row r="2815" spans="1:12" hidden="1" x14ac:dyDescent="0.25">
      <c r="A2815">
        <v>780</v>
      </c>
      <c r="B2815" t="s">
        <v>2605</v>
      </c>
      <c r="C2815" t="s">
        <v>2606</v>
      </c>
      <c r="D2815">
        <v>0</v>
      </c>
      <c r="E2815" t="str">
        <f>_xlfn.XLOOKUP(F2815, Keys!B:B, Keys!A:A, "找不到")</f>
        <v>RW</v>
      </c>
      <c r="F2815" t="s">
        <v>137</v>
      </c>
      <c r="G2815">
        <v>1.0164250950679059</v>
      </c>
      <c r="H2815">
        <v>0</v>
      </c>
      <c r="I2815" t="s">
        <v>38</v>
      </c>
      <c r="J2815" t="s">
        <v>3791</v>
      </c>
      <c r="K2815">
        <v>0</v>
      </c>
      <c r="L2815">
        <v>283.84463286229419</v>
      </c>
    </row>
    <row r="2816" spans="1:12" hidden="1" x14ac:dyDescent="0.25">
      <c r="A2816">
        <v>781</v>
      </c>
      <c r="B2816" t="s">
        <v>2605</v>
      </c>
      <c r="C2816" t="s">
        <v>2606</v>
      </c>
      <c r="D2816">
        <v>0</v>
      </c>
      <c r="E2816" t="str">
        <f>_xlfn.XLOOKUP(F2816, Keys!B:B, Keys!A:A, "找不到")</f>
        <v>RW</v>
      </c>
      <c r="F2816" t="s">
        <v>137</v>
      </c>
      <c r="G2816">
        <v>63.718358342263329</v>
      </c>
      <c r="H2816">
        <v>0</v>
      </c>
      <c r="I2816" t="s">
        <v>38</v>
      </c>
      <c r="J2816" t="s">
        <v>3793</v>
      </c>
      <c r="K2816">
        <v>0</v>
      </c>
      <c r="L2816">
        <v>2667.6916266797698</v>
      </c>
    </row>
    <row r="2817" spans="1:12" hidden="1" x14ac:dyDescent="0.25">
      <c r="A2817">
        <v>797</v>
      </c>
      <c r="B2817" t="s">
        <v>2605</v>
      </c>
      <c r="C2817" t="s">
        <v>2606</v>
      </c>
      <c r="D2817">
        <v>0</v>
      </c>
      <c r="E2817" t="str">
        <f>_xlfn.XLOOKUP(F2817, Keys!B:B, Keys!A:A, "找不到")</f>
        <v>RW</v>
      </c>
      <c r="F2817" t="s">
        <v>137</v>
      </c>
      <c r="G2817">
        <v>0.14877265393730069</v>
      </c>
      <c r="H2817">
        <v>0</v>
      </c>
      <c r="I2817" t="s">
        <v>38</v>
      </c>
      <c r="J2817" t="s">
        <v>3806</v>
      </c>
      <c r="K2817">
        <v>0</v>
      </c>
      <c r="L2817">
        <v>96.827047599945686</v>
      </c>
    </row>
    <row r="2818" spans="1:12" hidden="1" x14ac:dyDescent="0.25">
      <c r="A2818">
        <v>833</v>
      </c>
      <c r="B2818" t="s">
        <v>2605</v>
      </c>
      <c r="C2818" t="s">
        <v>2606</v>
      </c>
      <c r="D2818">
        <v>0</v>
      </c>
      <c r="E2818" t="str">
        <f>_xlfn.XLOOKUP(F2818, Keys!B:B, Keys!A:A, "找不到")</f>
        <v>RW</v>
      </c>
      <c r="F2818" t="s">
        <v>137</v>
      </c>
      <c r="G2818">
        <v>0.35810655990228368</v>
      </c>
      <c r="H2818">
        <v>0</v>
      </c>
      <c r="I2818" t="s">
        <v>38</v>
      </c>
      <c r="J2818" t="s">
        <v>3826</v>
      </c>
      <c r="K2818">
        <v>0</v>
      </c>
      <c r="L2818">
        <v>144.32737249026431</v>
      </c>
    </row>
    <row r="2819" spans="1:12" hidden="1" x14ac:dyDescent="0.25">
      <c r="A2819">
        <v>47</v>
      </c>
      <c r="B2819" t="s">
        <v>2042</v>
      </c>
      <c r="C2819" t="s">
        <v>972</v>
      </c>
      <c r="D2819">
        <v>0</v>
      </c>
      <c r="E2819" t="str">
        <f>_xlfn.XLOOKUP(F2819, Keys!B:B, Keys!A:A, "找不到")</f>
        <v>RW</v>
      </c>
      <c r="F2819" t="s">
        <v>137</v>
      </c>
      <c r="G2819">
        <v>0.29505330574077382</v>
      </c>
      <c r="H2819">
        <v>0</v>
      </c>
      <c r="I2819" t="s">
        <v>38</v>
      </c>
      <c r="J2819" t="s">
        <v>2123</v>
      </c>
      <c r="K2819">
        <v>128.82948993051539</v>
      </c>
      <c r="L2819">
        <v>1194.0431414551911</v>
      </c>
    </row>
    <row r="2820" spans="1:12" hidden="1" x14ac:dyDescent="0.25">
      <c r="A2820">
        <v>82</v>
      </c>
      <c r="B2820" t="s">
        <v>2042</v>
      </c>
      <c r="C2820" t="s">
        <v>972</v>
      </c>
      <c r="D2820" t="s">
        <v>2185</v>
      </c>
      <c r="E2820" t="str">
        <f>_xlfn.XLOOKUP(F2820, Keys!B:B, Keys!A:A, "找不到")</f>
        <v>RW</v>
      </c>
      <c r="F2820" t="s">
        <v>137</v>
      </c>
      <c r="G2820">
        <v>0.38581005851716887</v>
      </c>
      <c r="H2820">
        <v>0</v>
      </c>
      <c r="I2820">
        <v>0</v>
      </c>
      <c r="J2820" t="s">
        <v>2189</v>
      </c>
      <c r="K2820">
        <v>169.6160425361283</v>
      </c>
      <c r="L2820">
        <v>1561.3241584271129</v>
      </c>
    </row>
    <row r="2821" spans="1:12" hidden="1" x14ac:dyDescent="0.25">
      <c r="A2821">
        <v>84</v>
      </c>
      <c r="B2821" t="s">
        <v>2042</v>
      </c>
      <c r="C2821" t="s">
        <v>972</v>
      </c>
      <c r="D2821" t="s">
        <v>2185</v>
      </c>
      <c r="E2821" t="str">
        <f>_xlfn.XLOOKUP(F2821, Keys!B:B, Keys!A:A, "找不到")</f>
        <v>RW</v>
      </c>
      <c r="F2821" t="s">
        <v>137</v>
      </c>
      <c r="G2821">
        <v>0.37709825937767871</v>
      </c>
      <c r="H2821">
        <v>0</v>
      </c>
      <c r="I2821">
        <v>0</v>
      </c>
      <c r="J2821" t="s">
        <v>2189</v>
      </c>
      <c r="K2821">
        <v>150.5774111979363</v>
      </c>
      <c r="L2821">
        <v>1526.0686171067839</v>
      </c>
    </row>
    <row r="2822" spans="1:12" hidden="1" x14ac:dyDescent="0.25">
      <c r="A2822">
        <v>153</v>
      </c>
      <c r="B2822" t="s">
        <v>2042</v>
      </c>
      <c r="C2822" t="s">
        <v>972</v>
      </c>
      <c r="D2822" t="s">
        <v>2241</v>
      </c>
      <c r="E2822" t="str">
        <f>_xlfn.XLOOKUP(F2822, Keys!B:B, Keys!A:A, "找不到")</f>
        <v>RW</v>
      </c>
      <c r="F2822" t="s">
        <v>137</v>
      </c>
      <c r="G2822">
        <v>0.35771516442493723</v>
      </c>
      <c r="H2822">
        <v>0</v>
      </c>
      <c r="I2822" t="s">
        <v>38</v>
      </c>
      <c r="J2822" t="s">
        <v>2316</v>
      </c>
      <c r="K2822">
        <v>142.71411751441201</v>
      </c>
      <c r="L2822">
        <v>1447.627701047943</v>
      </c>
    </row>
    <row r="2823" spans="1:12" hidden="1" x14ac:dyDescent="0.25">
      <c r="A2823">
        <v>157</v>
      </c>
      <c r="B2823" t="s">
        <v>2042</v>
      </c>
      <c r="C2823" t="s">
        <v>972</v>
      </c>
      <c r="D2823" t="s">
        <v>2241</v>
      </c>
      <c r="E2823" t="str">
        <f>_xlfn.XLOOKUP(F2823, Keys!B:B, Keys!A:A, "找不到")</f>
        <v>RW</v>
      </c>
      <c r="F2823" t="s">
        <v>137</v>
      </c>
      <c r="G2823">
        <v>0.78246624981976931</v>
      </c>
      <c r="H2823">
        <v>0</v>
      </c>
      <c r="I2823" t="s">
        <v>38</v>
      </c>
      <c r="J2823" t="s">
        <v>2322</v>
      </c>
      <c r="K2823">
        <v>216.1120459955431</v>
      </c>
      <c r="L2823">
        <v>3166.541234546648</v>
      </c>
    </row>
    <row r="2824" spans="1:12" hidden="1" x14ac:dyDescent="0.25">
      <c r="A2824">
        <v>163</v>
      </c>
      <c r="B2824" t="s">
        <v>2042</v>
      </c>
      <c r="C2824" t="s">
        <v>972</v>
      </c>
      <c r="D2824" t="s">
        <v>2241</v>
      </c>
      <c r="E2824" t="str">
        <f>_xlfn.XLOOKUP(F2824, Keys!B:B, Keys!A:A, "找不到")</f>
        <v>RW</v>
      </c>
      <c r="F2824" t="s">
        <v>137</v>
      </c>
      <c r="G2824">
        <v>0.58221539965143476</v>
      </c>
      <c r="H2824">
        <v>0</v>
      </c>
      <c r="I2824" t="s">
        <v>38</v>
      </c>
      <c r="J2824" t="s">
        <v>2331</v>
      </c>
      <c r="K2824">
        <v>213.98957154000641</v>
      </c>
      <c r="L2824">
        <v>2356.1515538963822</v>
      </c>
    </row>
    <row r="2825" spans="1:12" hidden="1" x14ac:dyDescent="0.25">
      <c r="A2825">
        <v>201</v>
      </c>
      <c r="B2825" t="s">
        <v>2042</v>
      </c>
      <c r="C2825" t="s">
        <v>972</v>
      </c>
      <c r="D2825" t="s">
        <v>2241</v>
      </c>
      <c r="E2825" t="str">
        <f>_xlfn.XLOOKUP(F2825, Keys!B:B, Keys!A:A, "找不到")</f>
        <v>RW</v>
      </c>
      <c r="F2825" t="s">
        <v>137</v>
      </c>
      <c r="G2825">
        <v>0.41491940897448898</v>
      </c>
      <c r="H2825">
        <v>0</v>
      </c>
      <c r="I2825">
        <v>0</v>
      </c>
      <c r="J2825" t="s">
        <v>2396</v>
      </c>
      <c r="K2825">
        <v>162.8514010130466</v>
      </c>
      <c r="L2825">
        <v>1679.125991484073</v>
      </c>
    </row>
    <row r="2826" spans="1:12" hidden="1" x14ac:dyDescent="0.25">
      <c r="A2826">
        <v>213</v>
      </c>
      <c r="B2826" t="s">
        <v>2042</v>
      </c>
      <c r="C2826" t="s">
        <v>972</v>
      </c>
      <c r="D2826" t="s">
        <v>2080</v>
      </c>
      <c r="E2826" t="str">
        <f>_xlfn.XLOOKUP(F2826, Keys!B:B, Keys!A:A, "找不到")</f>
        <v>RW</v>
      </c>
      <c r="F2826" t="s">
        <v>137</v>
      </c>
      <c r="G2826">
        <v>0.62489720685254269</v>
      </c>
      <c r="H2826">
        <v>0</v>
      </c>
      <c r="I2826">
        <v>0</v>
      </c>
      <c r="J2826" t="s">
        <v>2417</v>
      </c>
      <c r="K2826">
        <v>262.00382758420932</v>
      </c>
      <c r="L2826">
        <v>2528.8793903984802</v>
      </c>
    </row>
    <row r="2827" spans="1:12" hidden="1" x14ac:dyDescent="0.25">
      <c r="A2827">
        <v>214</v>
      </c>
      <c r="B2827" t="s">
        <v>2042</v>
      </c>
      <c r="C2827" t="s">
        <v>972</v>
      </c>
      <c r="D2827" t="s">
        <v>2080</v>
      </c>
      <c r="E2827" t="str">
        <f>_xlfn.XLOOKUP(F2827, Keys!B:B, Keys!A:A, "找不到")</f>
        <v>RW</v>
      </c>
      <c r="F2827" t="s">
        <v>137</v>
      </c>
      <c r="G2827">
        <v>1.0340409281929921</v>
      </c>
      <c r="H2827">
        <v>0</v>
      </c>
      <c r="I2827">
        <v>0</v>
      </c>
      <c r="J2827" t="s">
        <v>2417</v>
      </c>
      <c r="K2827">
        <v>300.64336061448148</v>
      </c>
      <c r="L2827">
        <v>4184.6319097931673</v>
      </c>
    </row>
    <row r="2828" spans="1:12" hidden="1" x14ac:dyDescent="0.25">
      <c r="A2828">
        <v>215</v>
      </c>
      <c r="B2828" t="s">
        <v>2042</v>
      </c>
      <c r="C2828" t="s">
        <v>972</v>
      </c>
      <c r="D2828">
        <v>0</v>
      </c>
      <c r="E2828" t="str">
        <f>_xlfn.XLOOKUP(F2828, Keys!B:B, Keys!A:A, "找不到")</f>
        <v>RW</v>
      </c>
      <c r="F2828" t="s">
        <v>137</v>
      </c>
      <c r="G2828">
        <v>1.878993153202094</v>
      </c>
      <c r="H2828">
        <v>0</v>
      </c>
      <c r="I2828" t="s">
        <v>38</v>
      </c>
      <c r="J2828" t="s">
        <v>2420</v>
      </c>
      <c r="K2828">
        <v>370.8003765256264</v>
      </c>
      <c r="L2828">
        <v>7604.0459258348101</v>
      </c>
    </row>
    <row r="2829" spans="1:12" hidden="1" x14ac:dyDescent="0.25">
      <c r="A2829">
        <v>216</v>
      </c>
      <c r="B2829" t="s">
        <v>2042</v>
      </c>
      <c r="C2829" t="s">
        <v>972</v>
      </c>
      <c r="D2829" t="s">
        <v>2185</v>
      </c>
      <c r="E2829" t="str">
        <f>_xlfn.XLOOKUP(F2829, Keys!B:B, Keys!A:A, "找不到")</f>
        <v>RW</v>
      </c>
      <c r="F2829" t="s">
        <v>137</v>
      </c>
      <c r="G2829">
        <v>1.5713861182276789</v>
      </c>
      <c r="H2829">
        <v>0</v>
      </c>
      <c r="I2829" t="s">
        <v>38</v>
      </c>
      <c r="J2829" t="s">
        <v>2425</v>
      </c>
      <c r="K2829">
        <v>301.22075271266658</v>
      </c>
      <c r="L2829">
        <v>6359.1994413922184</v>
      </c>
    </row>
    <row r="2830" spans="1:12" hidden="1" x14ac:dyDescent="0.25">
      <c r="A2830">
        <v>217</v>
      </c>
      <c r="B2830" t="s">
        <v>2042</v>
      </c>
      <c r="C2830" t="s">
        <v>972</v>
      </c>
      <c r="D2830" t="s">
        <v>2241</v>
      </c>
      <c r="E2830" t="str">
        <f>_xlfn.XLOOKUP(F2830, Keys!B:B, Keys!A:A, "找不到")</f>
        <v>RW</v>
      </c>
      <c r="F2830" t="s">
        <v>137</v>
      </c>
      <c r="G2830">
        <v>0.53482576879979349</v>
      </c>
      <c r="H2830">
        <v>0</v>
      </c>
      <c r="I2830" t="s">
        <v>38</v>
      </c>
      <c r="J2830" t="s">
        <v>2427</v>
      </c>
      <c r="K2830">
        <v>199.23662172825391</v>
      </c>
      <c r="L2830">
        <v>2164.3717548108229</v>
      </c>
    </row>
    <row r="2831" spans="1:12" hidden="1" x14ac:dyDescent="0.25">
      <c r="A2831">
        <v>218</v>
      </c>
      <c r="B2831" t="s">
        <v>2042</v>
      </c>
      <c r="C2831" t="s">
        <v>972</v>
      </c>
      <c r="D2831" t="s">
        <v>2241</v>
      </c>
      <c r="E2831" t="str">
        <f>_xlfn.XLOOKUP(F2831, Keys!B:B, Keys!A:A, "找不到")</f>
        <v>RW</v>
      </c>
      <c r="F2831" t="s">
        <v>137</v>
      </c>
      <c r="G2831">
        <v>0.73738450846752002</v>
      </c>
      <c r="H2831">
        <v>0</v>
      </c>
      <c r="I2831" t="s">
        <v>38</v>
      </c>
      <c r="J2831" t="s">
        <v>2429</v>
      </c>
      <c r="K2831">
        <v>202.31763630000989</v>
      </c>
      <c r="L2831">
        <v>2984.1011702627952</v>
      </c>
    </row>
    <row r="2832" spans="1:12" hidden="1" x14ac:dyDescent="0.25">
      <c r="A2832">
        <v>219</v>
      </c>
      <c r="B2832" t="s">
        <v>2042</v>
      </c>
      <c r="C2832" t="s">
        <v>972</v>
      </c>
      <c r="D2832">
        <v>0</v>
      </c>
      <c r="E2832" t="str">
        <f>_xlfn.XLOOKUP(F2832, Keys!B:B, Keys!A:A, "找不到")</f>
        <v>RW</v>
      </c>
      <c r="F2832" t="s">
        <v>137</v>
      </c>
      <c r="G2832">
        <v>0.56949893632492665</v>
      </c>
      <c r="H2832">
        <v>0</v>
      </c>
      <c r="I2832" t="s">
        <v>38</v>
      </c>
      <c r="J2832" t="s">
        <v>2204</v>
      </c>
      <c r="K2832">
        <v>184.74513621785769</v>
      </c>
      <c r="L2832">
        <v>2304.6896467658662</v>
      </c>
    </row>
    <row r="2833" spans="1:12" hidden="1" x14ac:dyDescent="0.25">
      <c r="A2833">
        <v>278</v>
      </c>
      <c r="B2833" t="s">
        <v>2042</v>
      </c>
      <c r="C2833" t="s">
        <v>972</v>
      </c>
      <c r="D2833">
        <v>0</v>
      </c>
      <c r="E2833" t="str">
        <f>_xlfn.XLOOKUP(F2833, Keys!B:B, Keys!A:A, "找不到")</f>
        <v>RW</v>
      </c>
      <c r="F2833" t="s">
        <v>137</v>
      </c>
      <c r="G2833">
        <v>0.91680168478083235</v>
      </c>
      <c r="H2833">
        <v>0</v>
      </c>
      <c r="I2833" t="s">
        <v>38</v>
      </c>
      <c r="J2833" t="s">
        <v>2538</v>
      </c>
      <c r="K2833">
        <v>230.50037976145299</v>
      </c>
      <c r="L2833">
        <v>3710.1796268261178</v>
      </c>
    </row>
    <row r="2834" spans="1:12" hidden="1" x14ac:dyDescent="0.25">
      <c r="A2834">
        <v>343</v>
      </c>
      <c r="B2834" t="s">
        <v>2042</v>
      </c>
      <c r="C2834" t="s">
        <v>972</v>
      </c>
      <c r="D2834" t="s">
        <v>2586</v>
      </c>
      <c r="E2834" t="str">
        <f>_xlfn.XLOOKUP(F2834, Keys!B:B, Keys!A:A, "找不到")</f>
        <v>RW</v>
      </c>
      <c r="F2834" t="s">
        <v>137</v>
      </c>
      <c r="G2834">
        <v>0.74842001390668034</v>
      </c>
      <c r="H2834">
        <v>0</v>
      </c>
      <c r="I2834" t="s">
        <v>38</v>
      </c>
      <c r="J2834" t="s">
        <v>2588</v>
      </c>
      <c r="K2834">
        <v>255.8103451211559</v>
      </c>
      <c r="L2834">
        <v>3028.7604549606508</v>
      </c>
    </row>
    <row r="2835" spans="1:12" hidden="1" x14ac:dyDescent="0.25">
      <c r="A2835">
        <v>355</v>
      </c>
      <c r="B2835" t="s">
        <v>2042</v>
      </c>
      <c r="C2835" t="s">
        <v>972</v>
      </c>
      <c r="D2835" t="s">
        <v>2586</v>
      </c>
      <c r="E2835" t="str">
        <f>_xlfn.XLOOKUP(F2835, Keys!B:B, Keys!A:A, "找不到")</f>
        <v>RW</v>
      </c>
      <c r="F2835" t="s">
        <v>137</v>
      </c>
      <c r="G2835">
        <v>0.72567879993212803</v>
      </c>
      <c r="H2835">
        <v>0</v>
      </c>
      <c r="I2835" t="s">
        <v>38</v>
      </c>
      <c r="J2835" t="s">
        <v>2592</v>
      </c>
      <c r="K2835">
        <v>208.00940463864561</v>
      </c>
      <c r="L2835">
        <v>2936.7296590117462</v>
      </c>
    </row>
    <row r="2836" spans="1:12" hidden="1" x14ac:dyDescent="0.25">
      <c r="A2836">
        <v>361</v>
      </c>
      <c r="B2836" t="s">
        <v>2042</v>
      </c>
      <c r="C2836" t="s">
        <v>972</v>
      </c>
      <c r="D2836" t="s">
        <v>2586</v>
      </c>
      <c r="E2836" t="str">
        <f>_xlfn.XLOOKUP(F2836, Keys!B:B, Keys!A:A, "找不到")</f>
        <v>RW</v>
      </c>
      <c r="F2836" t="s">
        <v>137</v>
      </c>
      <c r="G2836">
        <v>1.048103727795985</v>
      </c>
      <c r="H2836">
        <v>0</v>
      </c>
      <c r="I2836" t="s">
        <v>38</v>
      </c>
      <c r="J2836" t="s">
        <v>2594</v>
      </c>
      <c r="K2836">
        <v>252.2482551695015</v>
      </c>
      <c r="L2836">
        <v>4241.5422683246697</v>
      </c>
    </row>
    <row r="2837" spans="1:12" hidden="1" x14ac:dyDescent="0.25">
      <c r="A2837">
        <v>368</v>
      </c>
      <c r="B2837" t="s">
        <v>2042</v>
      </c>
      <c r="C2837" t="s">
        <v>972</v>
      </c>
      <c r="D2837">
        <v>0</v>
      </c>
      <c r="E2837" t="str">
        <f>_xlfn.XLOOKUP(F2837, Keys!B:B, Keys!A:A, "找不到")</f>
        <v>RW</v>
      </c>
      <c r="F2837" t="s">
        <v>137</v>
      </c>
      <c r="G2837">
        <v>1.6563852877444269</v>
      </c>
      <c r="H2837">
        <v>0</v>
      </c>
      <c r="I2837" t="s">
        <v>38</v>
      </c>
      <c r="J2837" t="s">
        <v>2600</v>
      </c>
      <c r="K2837">
        <v>296.04781131998789</v>
      </c>
      <c r="L2837">
        <v>6703.1802523716005</v>
      </c>
    </row>
    <row r="2838" spans="1:12" hidden="1" x14ac:dyDescent="0.25">
      <c r="A2838">
        <v>44</v>
      </c>
      <c r="B2838" t="s">
        <v>1482</v>
      </c>
      <c r="C2838" t="s">
        <v>1483</v>
      </c>
      <c r="D2838">
        <v>0</v>
      </c>
      <c r="E2838" t="str">
        <f>_xlfn.XLOOKUP(F2838, Keys!B:B, Keys!A:A, "找不到")</f>
        <v>RW</v>
      </c>
      <c r="F2838" t="s">
        <v>137</v>
      </c>
      <c r="G2838">
        <v>0.23550001309197821</v>
      </c>
      <c r="H2838" t="s">
        <v>159</v>
      </c>
      <c r="I2838" t="s">
        <v>38</v>
      </c>
      <c r="J2838" t="s">
        <v>1578</v>
      </c>
      <c r="K2838">
        <v>114.02723425376909</v>
      </c>
      <c r="L2838">
        <v>953.03855260695434</v>
      </c>
    </row>
    <row r="2839" spans="1:12" hidden="1" x14ac:dyDescent="0.25">
      <c r="A2839">
        <v>49</v>
      </c>
      <c r="B2839" t="s">
        <v>1482</v>
      </c>
      <c r="C2839" t="s">
        <v>1483</v>
      </c>
      <c r="D2839" t="s">
        <v>1590</v>
      </c>
      <c r="E2839" t="str">
        <f>_xlfn.XLOOKUP(F2839, Keys!B:B, Keys!A:A, "找不到")</f>
        <v>RW</v>
      </c>
      <c r="F2839" t="s">
        <v>137</v>
      </c>
      <c r="G2839">
        <v>0.30067876593280529</v>
      </c>
      <c r="H2839">
        <v>0</v>
      </c>
      <c r="I2839" t="s">
        <v>38</v>
      </c>
      <c r="J2839" t="s">
        <v>1591</v>
      </c>
      <c r="K2839">
        <v>138.56320639533331</v>
      </c>
      <c r="L2839">
        <v>1216.8086622242611</v>
      </c>
    </row>
    <row r="2840" spans="1:12" hidden="1" x14ac:dyDescent="0.25">
      <c r="A2840">
        <v>111</v>
      </c>
      <c r="B2840" t="s">
        <v>1482</v>
      </c>
      <c r="C2840" t="s">
        <v>1483</v>
      </c>
      <c r="D2840">
        <v>0</v>
      </c>
      <c r="E2840" t="str">
        <f>_xlfn.XLOOKUP(F2840, Keys!B:B, Keys!A:A, "找不到")</f>
        <v>RW</v>
      </c>
      <c r="F2840" t="s">
        <v>137</v>
      </c>
      <c r="G2840">
        <v>6.1112545481253653</v>
      </c>
      <c r="H2840">
        <v>0</v>
      </c>
      <c r="I2840" t="s">
        <v>38</v>
      </c>
      <c r="J2840" t="s">
        <v>1720</v>
      </c>
      <c r="K2840">
        <v>783.15469903568658</v>
      </c>
      <c r="L2840">
        <v>24731.468642777989</v>
      </c>
    </row>
    <row r="2841" spans="1:12" hidden="1" x14ac:dyDescent="0.25">
      <c r="A2841">
        <v>127</v>
      </c>
      <c r="B2841" t="s">
        <v>1482</v>
      </c>
      <c r="C2841" t="s">
        <v>1483</v>
      </c>
      <c r="D2841">
        <v>0</v>
      </c>
      <c r="E2841" t="str">
        <f>_xlfn.XLOOKUP(F2841, Keys!B:B, Keys!A:A, "找不到")</f>
        <v>RW</v>
      </c>
      <c r="F2841" t="s">
        <v>137</v>
      </c>
      <c r="G2841">
        <v>1.0991400976765611</v>
      </c>
      <c r="H2841">
        <v>0</v>
      </c>
      <c r="I2841" t="s">
        <v>38</v>
      </c>
      <c r="J2841" t="s">
        <v>1750</v>
      </c>
      <c r="K2841">
        <v>411.19124905426082</v>
      </c>
      <c r="L2841">
        <v>4448.0799557017826</v>
      </c>
    </row>
    <row r="2842" spans="1:12" hidden="1" x14ac:dyDescent="0.25">
      <c r="A2842">
        <v>212</v>
      </c>
      <c r="B2842" t="s">
        <v>1482</v>
      </c>
      <c r="C2842" t="s">
        <v>1483</v>
      </c>
      <c r="D2842">
        <v>0</v>
      </c>
      <c r="E2842" t="str">
        <f>_xlfn.XLOOKUP(F2842, Keys!B:B, Keys!A:A, "找不到")</f>
        <v>RW</v>
      </c>
      <c r="F2842" t="s">
        <v>137</v>
      </c>
      <c r="G2842">
        <v>14.71246290316895</v>
      </c>
      <c r="H2842">
        <v>0</v>
      </c>
      <c r="I2842" t="s">
        <v>38</v>
      </c>
      <c r="J2842" t="s">
        <v>1907</v>
      </c>
      <c r="K2842">
        <v>997.95416001999581</v>
      </c>
      <c r="L2842">
        <v>59539.46314662545</v>
      </c>
    </row>
    <row r="2843" spans="1:12" hidden="1" x14ac:dyDescent="0.25">
      <c r="A2843">
        <v>271</v>
      </c>
      <c r="B2843" t="s">
        <v>1482</v>
      </c>
      <c r="C2843" t="s">
        <v>1483</v>
      </c>
      <c r="D2843" t="s">
        <v>1590</v>
      </c>
      <c r="E2843" t="str">
        <f>_xlfn.XLOOKUP(F2843, Keys!B:B, Keys!A:A, "找不到")</f>
        <v>RW</v>
      </c>
      <c r="F2843" t="s">
        <v>137</v>
      </c>
      <c r="G2843">
        <v>6.2980993029588456E-2</v>
      </c>
      <c r="H2843">
        <v>0</v>
      </c>
      <c r="I2843">
        <v>0</v>
      </c>
      <c r="J2843">
        <v>0</v>
      </c>
      <c r="K2843">
        <v>61.122253608207252</v>
      </c>
      <c r="L2843">
        <v>254.87605563412271</v>
      </c>
    </row>
    <row r="2844" spans="1:12" hidden="1" x14ac:dyDescent="0.25">
      <c r="A2844">
        <v>203</v>
      </c>
      <c r="B2844" t="s">
        <v>714</v>
      </c>
      <c r="C2844" t="s">
        <v>715</v>
      </c>
      <c r="D2844" t="s">
        <v>863</v>
      </c>
      <c r="E2844" t="str">
        <f>_xlfn.XLOOKUP(F2844, Keys!B:B, Keys!A:A, "找不到")</f>
        <v>FA</v>
      </c>
      <c r="F2844" t="s">
        <v>63</v>
      </c>
      <c r="G2844">
        <v>5.7618336067976577</v>
      </c>
      <c r="H2844" t="s">
        <v>64</v>
      </c>
      <c r="I2844" t="s">
        <v>65</v>
      </c>
      <c r="J2844" t="s">
        <v>997</v>
      </c>
      <c r="K2844">
        <v>0</v>
      </c>
      <c r="L2844">
        <v>0</v>
      </c>
    </row>
    <row r="2845" spans="1:12" hidden="1" x14ac:dyDescent="0.25">
      <c r="A2845">
        <v>8</v>
      </c>
      <c r="B2845" t="s">
        <v>1026</v>
      </c>
      <c r="C2845" t="s">
        <v>1027</v>
      </c>
      <c r="D2845">
        <v>0</v>
      </c>
      <c r="E2845" t="str">
        <f>_xlfn.XLOOKUP(F2845, Keys!B:B, Keys!A:A, "找不到")</f>
        <v>RW</v>
      </c>
      <c r="F2845" t="s">
        <v>137</v>
      </c>
      <c r="G2845">
        <v>0.10503990170620239</v>
      </c>
      <c r="H2845">
        <v>0</v>
      </c>
      <c r="I2845" t="s">
        <v>38</v>
      </c>
      <c r="J2845" t="s">
        <v>1041</v>
      </c>
      <c r="K2845">
        <v>81.109086204309278</v>
      </c>
      <c r="L2845">
        <v>425.08310115871421</v>
      </c>
    </row>
    <row r="2846" spans="1:12" hidden="1" x14ac:dyDescent="0.25">
      <c r="A2846">
        <v>12</v>
      </c>
      <c r="B2846" t="s">
        <v>1026</v>
      </c>
      <c r="C2846" t="s">
        <v>1027</v>
      </c>
      <c r="D2846" t="s">
        <v>1051</v>
      </c>
      <c r="E2846" t="str">
        <f>_xlfn.XLOOKUP(F2846, Keys!B:B, Keys!A:A, "找不到")</f>
        <v>RW</v>
      </c>
      <c r="F2846" t="s">
        <v>137</v>
      </c>
      <c r="G2846">
        <v>0.64693645639680286</v>
      </c>
      <c r="H2846">
        <v>0</v>
      </c>
      <c r="I2846" t="s">
        <v>38</v>
      </c>
      <c r="J2846" t="s">
        <v>1052</v>
      </c>
      <c r="K2846">
        <v>201.0167489700041</v>
      </c>
      <c r="L2846">
        <v>2618.069425721329</v>
      </c>
    </row>
    <row r="2847" spans="1:12" hidden="1" x14ac:dyDescent="0.25">
      <c r="A2847">
        <v>14</v>
      </c>
      <c r="B2847" t="s">
        <v>1026</v>
      </c>
      <c r="C2847" t="s">
        <v>1027</v>
      </c>
      <c r="D2847" t="s">
        <v>1051</v>
      </c>
      <c r="E2847" t="str">
        <f>_xlfn.XLOOKUP(F2847, Keys!B:B, Keys!A:A, "找不到")</f>
        <v>RW</v>
      </c>
      <c r="F2847" t="s">
        <v>137</v>
      </c>
      <c r="G2847">
        <v>1.71884275796785</v>
      </c>
      <c r="H2847">
        <v>0</v>
      </c>
      <c r="I2847" t="s">
        <v>38</v>
      </c>
      <c r="J2847" t="s">
        <v>1056</v>
      </c>
      <c r="K2847">
        <v>358.55975654716389</v>
      </c>
      <c r="L2847">
        <v>6955.9376779008089</v>
      </c>
    </row>
    <row r="2848" spans="1:12" hidden="1" x14ac:dyDescent="0.25">
      <c r="A2848">
        <v>16</v>
      </c>
      <c r="B2848" t="s">
        <v>1026</v>
      </c>
      <c r="C2848" t="s">
        <v>1027</v>
      </c>
      <c r="D2848" t="s">
        <v>1051</v>
      </c>
      <c r="E2848" t="str">
        <f>_xlfn.XLOOKUP(F2848, Keys!B:B, Keys!A:A, "找不到")</f>
        <v>RW</v>
      </c>
      <c r="F2848" t="s">
        <v>137</v>
      </c>
      <c r="G2848">
        <v>0.63661536337258517</v>
      </c>
      <c r="H2848">
        <v>0</v>
      </c>
      <c r="I2848" t="s">
        <v>38</v>
      </c>
      <c r="J2848" t="s">
        <v>1060</v>
      </c>
      <c r="K2848">
        <v>260.93569933459219</v>
      </c>
      <c r="L2848">
        <v>2576.3012770576588</v>
      </c>
    </row>
    <row r="2849" spans="1:12" hidden="1" x14ac:dyDescent="0.25">
      <c r="A2849">
        <v>34</v>
      </c>
      <c r="B2849" t="s">
        <v>1026</v>
      </c>
      <c r="C2849" t="s">
        <v>1027</v>
      </c>
      <c r="D2849">
        <v>0</v>
      </c>
      <c r="E2849" t="str">
        <f>_xlfn.XLOOKUP(F2849, Keys!B:B, Keys!A:A, "找不到")</f>
        <v>RW</v>
      </c>
      <c r="F2849" t="s">
        <v>137</v>
      </c>
      <c r="G2849">
        <v>0.74468416146915595</v>
      </c>
      <c r="H2849">
        <v>0</v>
      </c>
      <c r="I2849" t="s">
        <v>38</v>
      </c>
      <c r="J2849" t="s">
        <v>1104</v>
      </c>
      <c r="K2849">
        <v>209.13759602923031</v>
      </c>
      <c r="L2849">
        <v>3013.641936056702</v>
      </c>
    </row>
    <row r="2850" spans="1:12" hidden="1" x14ac:dyDescent="0.25">
      <c r="A2850">
        <v>37</v>
      </c>
      <c r="B2850" t="s">
        <v>1026</v>
      </c>
      <c r="C2850" t="s">
        <v>1027</v>
      </c>
      <c r="D2850">
        <v>0</v>
      </c>
      <c r="E2850" t="str">
        <f>_xlfn.XLOOKUP(F2850, Keys!B:B, Keys!A:A, "找不到")</f>
        <v>RW</v>
      </c>
      <c r="F2850" t="s">
        <v>137</v>
      </c>
      <c r="G2850">
        <v>0.29095552523764118</v>
      </c>
      <c r="H2850">
        <v>0</v>
      </c>
      <c r="I2850" t="s">
        <v>38</v>
      </c>
      <c r="J2850" t="s">
        <v>1104</v>
      </c>
      <c r="K2850">
        <v>152.74151043780719</v>
      </c>
      <c r="L2850">
        <v>1177.459945775787</v>
      </c>
    </row>
    <row r="2851" spans="1:12" hidden="1" x14ac:dyDescent="0.25">
      <c r="A2851">
        <v>192</v>
      </c>
      <c r="B2851" t="s">
        <v>1026</v>
      </c>
      <c r="C2851" t="s">
        <v>1027</v>
      </c>
      <c r="D2851">
        <v>0</v>
      </c>
      <c r="E2851" t="str">
        <f>_xlfn.XLOOKUP(F2851, Keys!B:B, Keys!A:A, "找不到")</f>
        <v>RW</v>
      </c>
      <c r="F2851" t="s">
        <v>137</v>
      </c>
      <c r="G2851">
        <v>0.82786471522884764</v>
      </c>
      <c r="H2851">
        <v>0</v>
      </c>
      <c r="I2851" t="s">
        <v>38</v>
      </c>
      <c r="J2851" t="s">
        <v>1399</v>
      </c>
      <c r="K2851">
        <v>296.75152470601682</v>
      </c>
      <c r="L2851">
        <v>3350.2630407409711</v>
      </c>
    </row>
    <row r="2852" spans="1:12" hidden="1" x14ac:dyDescent="0.25">
      <c r="A2852">
        <v>194</v>
      </c>
      <c r="B2852" t="s">
        <v>1026</v>
      </c>
      <c r="C2852" t="s">
        <v>1027</v>
      </c>
      <c r="D2852">
        <v>0</v>
      </c>
      <c r="E2852" t="str">
        <f>_xlfn.XLOOKUP(F2852, Keys!B:B, Keys!A:A, "找不到")</f>
        <v>RW</v>
      </c>
      <c r="F2852" t="s">
        <v>137</v>
      </c>
      <c r="G2852">
        <v>1.1583086893940031</v>
      </c>
      <c r="H2852">
        <v>0</v>
      </c>
      <c r="I2852" t="s">
        <v>38</v>
      </c>
      <c r="J2852" t="s">
        <v>1406</v>
      </c>
      <c r="K2852">
        <v>315.46197049897393</v>
      </c>
      <c r="L2852">
        <v>4687.527708887932</v>
      </c>
    </row>
    <row r="2853" spans="1:12" hidden="1" x14ac:dyDescent="0.25">
      <c r="A2853">
        <v>201</v>
      </c>
      <c r="B2853" t="s">
        <v>1026</v>
      </c>
      <c r="C2853" t="s">
        <v>1027</v>
      </c>
      <c r="D2853">
        <v>0</v>
      </c>
      <c r="E2853" t="str">
        <f>_xlfn.XLOOKUP(F2853, Keys!B:B, Keys!A:A, "找不到")</f>
        <v>RW</v>
      </c>
      <c r="F2853" t="s">
        <v>137</v>
      </c>
      <c r="G2853">
        <v>0.83514004673307496</v>
      </c>
      <c r="H2853">
        <v>0</v>
      </c>
      <c r="I2853" t="s">
        <v>38</v>
      </c>
      <c r="J2853" t="s">
        <v>1425</v>
      </c>
      <c r="K2853">
        <v>271.95664205503863</v>
      </c>
      <c r="L2853">
        <v>3379.7053805331839</v>
      </c>
    </row>
    <row r="2854" spans="1:12" hidden="1" x14ac:dyDescent="0.25">
      <c r="A2854">
        <v>267</v>
      </c>
      <c r="B2854" t="s">
        <v>1026</v>
      </c>
      <c r="C2854" t="s">
        <v>1027</v>
      </c>
      <c r="D2854">
        <v>0</v>
      </c>
      <c r="E2854" t="str">
        <f>_xlfn.XLOOKUP(F2854, Keys!B:B, Keys!A:A, "找不到")</f>
        <v>RW</v>
      </c>
      <c r="F2854" t="s">
        <v>137</v>
      </c>
      <c r="G2854">
        <v>3.4036800978994891E-2</v>
      </c>
      <c r="H2854">
        <v>0</v>
      </c>
      <c r="I2854" t="s">
        <v>38</v>
      </c>
      <c r="J2854" t="s">
        <v>1475</v>
      </c>
      <c r="K2854">
        <v>43.919989785428392</v>
      </c>
      <c r="L2854">
        <v>137.74259760963551</v>
      </c>
    </row>
    <row r="2855" spans="1:12" hidden="1" x14ac:dyDescent="0.25">
      <c r="A2855">
        <v>269</v>
      </c>
      <c r="B2855" t="s">
        <v>1026</v>
      </c>
      <c r="C2855" t="s">
        <v>1027</v>
      </c>
      <c r="D2855">
        <v>0</v>
      </c>
      <c r="E2855" t="str">
        <f>_xlfn.XLOOKUP(F2855, Keys!B:B, Keys!A:A, "找不到")</f>
        <v>RW</v>
      </c>
      <c r="F2855" t="s">
        <v>137</v>
      </c>
      <c r="G2855">
        <v>0.67441287589689358</v>
      </c>
      <c r="H2855">
        <v>0</v>
      </c>
      <c r="I2855" t="s">
        <v>38</v>
      </c>
      <c r="J2855" t="s">
        <v>1476</v>
      </c>
      <c r="K2855">
        <v>256.34832792503948</v>
      </c>
      <c r="L2855">
        <v>2729.2629952136622</v>
      </c>
    </row>
    <row r="2856" spans="1:12" hidden="1" x14ac:dyDescent="0.25">
      <c r="A2856">
        <v>279</v>
      </c>
      <c r="B2856" t="s">
        <v>1026</v>
      </c>
      <c r="C2856" t="s">
        <v>1027</v>
      </c>
      <c r="D2856">
        <v>0</v>
      </c>
      <c r="E2856" t="str">
        <f>_xlfn.XLOOKUP(F2856, Keys!B:B, Keys!A:A, "找不到")</f>
        <v>RW</v>
      </c>
      <c r="F2856" t="s">
        <v>137</v>
      </c>
      <c r="G2856">
        <v>2.798617501450975E-2</v>
      </c>
      <c r="H2856">
        <v>0</v>
      </c>
      <c r="I2856">
        <v>0</v>
      </c>
      <c r="J2856" t="s">
        <v>1479</v>
      </c>
      <c r="K2856">
        <v>43.606715733602641</v>
      </c>
      <c r="L2856">
        <v>113.25648512136659</v>
      </c>
    </row>
    <row r="2857" spans="1:12" hidden="1" x14ac:dyDescent="0.25">
      <c r="A2857">
        <v>24</v>
      </c>
      <c r="B2857" t="s">
        <v>152</v>
      </c>
      <c r="C2857" t="s">
        <v>149</v>
      </c>
      <c r="D2857">
        <v>0</v>
      </c>
      <c r="E2857" t="str">
        <f>_xlfn.XLOOKUP(F2857, Keys!B:B, Keys!A:A, "找不到")</f>
        <v>RW</v>
      </c>
      <c r="F2857" t="s">
        <v>137</v>
      </c>
      <c r="G2857">
        <v>0.38382202520129932</v>
      </c>
      <c r="H2857">
        <v>0</v>
      </c>
      <c r="I2857" t="s">
        <v>38</v>
      </c>
      <c r="J2857" t="s">
        <v>188</v>
      </c>
      <c r="K2857">
        <v>148.6770704919571</v>
      </c>
      <c r="L2857">
        <v>1553.278840853603</v>
      </c>
    </row>
    <row r="2858" spans="1:12" hidden="1" x14ac:dyDescent="0.25">
      <c r="A2858">
        <v>17</v>
      </c>
      <c r="B2858" t="s">
        <v>378</v>
      </c>
      <c r="C2858" t="s">
        <v>379</v>
      </c>
      <c r="D2858">
        <v>0</v>
      </c>
      <c r="E2858" t="str">
        <f>_xlfn.XLOOKUP(F2858, Keys!B:B, Keys!A:A, "找不到")</f>
        <v>RW</v>
      </c>
      <c r="F2858" t="s">
        <v>137</v>
      </c>
      <c r="G2858">
        <v>0.21376396066076769</v>
      </c>
      <c r="H2858">
        <v>0</v>
      </c>
      <c r="I2858" t="s">
        <v>38</v>
      </c>
      <c r="J2858" t="s">
        <v>433</v>
      </c>
      <c r="K2858">
        <v>112.9024431011804</v>
      </c>
      <c r="L2858">
        <v>865.07551737629797</v>
      </c>
    </row>
    <row r="2859" spans="1:12" hidden="1" x14ac:dyDescent="0.25">
      <c r="A2859">
        <v>53</v>
      </c>
      <c r="B2859" t="s">
        <v>378</v>
      </c>
      <c r="C2859" t="s">
        <v>379</v>
      </c>
      <c r="D2859" t="s">
        <v>479</v>
      </c>
      <c r="E2859" t="str">
        <f>_xlfn.XLOOKUP(F2859, Keys!B:B, Keys!A:A, "找不到")</f>
        <v>RW</v>
      </c>
      <c r="F2859" t="s">
        <v>137</v>
      </c>
      <c r="G2859">
        <v>0.44059238801735068</v>
      </c>
      <c r="H2859">
        <v>0</v>
      </c>
      <c r="I2859" t="s">
        <v>38</v>
      </c>
      <c r="J2859" t="s">
        <v>541</v>
      </c>
      <c r="K2859">
        <v>162.59412685310119</v>
      </c>
      <c r="L2859">
        <v>1783.0212671865049</v>
      </c>
    </row>
    <row r="2860" spans="1:12" hidden="1" x14ac:dyDescent="0.25">
      <c r="A2860">
        <v>116</v>
      </c>
      <c r="B2860" t="s">
        <v>378</v>
      </c>
      <c r="C2860" t="s">
        <v>379</v>
      </c>
      <c r="D2860">
        <v>0</v>
      </c>
      <c r="E2860" t="str">
        <f>_xlfn.XLOOKUP(F2860, Keys!B:B, Keys!A:A, "找不到")</f>
        <v>RW</v>
      </c>
      <c r="F2860" t="s">
        <v>137</v>
      </c>
      <c r="G2860">
        <v>1.2488816895415229</v>
      </c>
      <c r="H2860">
        <v>0</v>
      </c>
      <c r="I2860" t="s">
        <v>38</v>
      </c>
      <c r="J2860" t="s">
        <v>692</v>
      </c>
      <c r="K2860">
        <v>323.93364541194688</v>
      </c>
      <c r="L2860">
        <v>5054.0651023790688</v>
      </c>
    </row>
    <row r="2861" spans="1:12" hidden="1" x14ac:dyDescent="0.25">
      <c r="A2861">
        <v>131</v>
      </c>
      <c r="B2861" t="s">
        <v>378</v>
      </c>
      <c r="C2861" t="s">
        <v>379</v>
      </c>
      <c r="D2861">
        <v>0</v>
      </c>
      <c r="E2861" t="str">
        <f>_xlfn.XLOOKUP(F2861, Keys!B:B, Keys!A:A, "找不到")</f>
        <v>RW</v>
      </c>
      <c r="F2861" t="s">
        <v>137</v>
      </c>
      <c r="G2861">
        <v>59.162017365162427</v>
      </c>
      <c r="H2861">
        <v>0</v>
      </c>
      <c r="I2861">
        <v>0</v>
      </c>
      <c r="J2861" t="s">
        <v>706</v>
      </c>
      <c r="K2861">
        <v>3658.1363297624512</v>
      </c>
      <c r="L2861">
        <v>239421.14761998071</v>
      </c>
    </row>
    <row r="2862" spans="1:12" x14ac:dyDescent="0.25">
      <c r="A2862">
        <v>261</v>
      </c>
      <c r="B2862" t="s">
        <v>42</v>
      </c>
      <c r="C2862" t="s">
        <v>36</v>
      </c>
      <c r="D2862" t="s">
        <v>43</v>
      </c>
      <c r="E2862" t="str">
        <f>_xlfn.XLOOKUP(F2862, Keys!B:B, Keys!A:A, "找不到")</f>
        <v>FA</v>
      </c>
      <c r="F2862" t="s">
        <v>63</v>
      </c>
      <c r="G2862">
        <v>1.111017482311792</v>
      </c>
      <c r="H2862" t="s">
        <v>64</v>
      </c>
      <c r="I2862" t="s">
        <v>65</v>
      </c>
      <c r="J2862">
        <v>0</v>
      </c>
      <c r="K2862">
        <v>324.9758187540308</v>
      </c>
      <c r="L2862">
        <v>4496.1462182590403</v>
      </c>
    </row>
    <row r="2863" spans="1:12" hidden="1" x14ac:dyDescent="0.25">
      <c r="A2863">
        <v>309</v>
      </c>
      <c r="B2863" t="s">
        <v>2605</v>
      </c>
      <c r="C2863" t="s">
        <v>2606</v>
      </c>
      <c r="D2863">
        <v>0</v>
      </c>
      <c r="E2863" t="str">
        <f>_xlfn.XLOOKUP(F2863, Keys!B:B, Keys!A:A, "找不到")</f>
        <v>SSG</v>
      </c>
      <c r="F2863" t="s">
        <v>56</v>
      </c>
      <c r="G2863">
        <v>1.3476868149060279</v>
      </c>
      <c r="H2863" t="s">
        <v>60</v>
      </c>
      <c r="I2863" t="s">
        <v>66</v>
      </c>
      <c r="J2863" t="s">
        <v>3106</v>
      </c>
      <c r="K2863">
        <v>0</v>
      </c>
      <c r="L2863">
        <v>432.56247383797762</v>
      </c>
    </row>
    <row r="2864" spans="1:12" hidden="1" x14ac:dyDescent="0.25">
      <c r="A2864">
        <v>310</v>
      </c>
      <c r="B2864" t="s">
        <v>2605</v>
      </c>
      <c r="C2864" t="s">
        <v>2606</v>
      </c>
      <c r="D2864">
        <v>0</v>
      </c>
      <c r="E2864" t="str">
        <f>_xlfn.XLOOKUP(F2864, Keys!B:B, Keys!A:A, "找不到")</f>
        <v>SSG</v>
      </c>
      <c r="F2864" t="s">
        <v>56</v>
      </c>
      <c r="G2864">
        <v>0.88965336863194122</v>
      </c>
      <c r="H2864" t="s">
        <v>60</v>
      </c>
      <c r="I2864" t="s">
        <v>66</v>
      </c>
      <c r="J2864" t="s">
        <v>3106</v>
      </c>
      <c r="K2864">
        <v>0</v>
      </c>
      <c r="L2864">
        <v>447.64878473359209</v>
      </c>
    </row>
    <row r="2865" spans="1:12" hidden="1" x14ac:dyDescent="0.25">
      <c r="A2865">
        <v>528</v>
      </c>
      <c r="B2865" t="s">
        <v>2605</v>
      </c>
      <c r="C2865" t="s">
        <v>2606</v>
      </c>
      <c r="D2865" t="s">
        <v>2702</v>
      </c>
      <c r="E2865" t="str">
        <f>_xlfn.XLOOKUP(F2865, Keys!B:B, Keys!A:A, "找不到")</f>
        <v>SSG</v>
      </c>
      <c r="F2865" t="s">
        <v>56</v>
      </c>
      <c r="G2865">
        <v>5.8890647857511418</v>
      </c>
      <c r="H2865" t="s">
        <v>46</v>
      </c>
      <c r="I2865" t="s">
        <v>47</v>
      </c>
      <c r="J2865" t="s">
        <v>2883</v>
      </c>
      <c r="K2865">
        <v>0</v>
      </c>
      <c r="L2865">
        <v>927.08749934953551</v>
      </c>
    </row>
    <row r="2866" spans="1:12" hidden="1" x14ac:dyDescent="0.25">
      <c r="A2866">
        <v>651</v>
      </c>
      <c r="B2866" t="s">
        <v>2605</v>
      </c>
      <c r="C2866" t="s">
        <v>2606</v>
      </c>
      <c r="D2866">
        <v>0</v>
      </c>
      <c r="E2866" t="str">
        <f>_xlfn.XLOOKUP(F2866, Keys!B:B, Keys!A:A, "找不到")</f>
        <v>SSG</v>
      </c>
      <c r="F2866" t="s">
        <v>56</v>
      </c>
      <c r="G2866">
        <v>16.11023084567206</v>
      </c>
      <c r="H2866" t="s">
        <v>46</v>
      </c>
      <c r="I2866" t="s">
        <v>47</v>
      </c>
      <c r="J2866" t="s">
        <v>3548</v>
      </c>
      <c r="K2866">
        <v>0</v>
      </c>
      <c r="L2866">
        <v>1047.6807628752549</v>
      </c>
    </row>
    <row r="2867" spans="1:12" hidden="1" x14ac:dyDescent="0.25">
      <c r="A2867">
        <v>853</v>
      </c>
      <c r="B2867" t="s">
        <v>2605</v>
      </c>
      <c r="C2867" t="s">
        <v>2606</v>
      </c>
      <c r="D2867">
        <v>0</v>
      </c>
      <c r="E2867" t="str">
        <f>_xlfn.XLOOKUP(F2867, Keys!B:B, Keys!A:A, "找不到")</f>
        <v>SSG</v>
      </c>
      <c r="F2867" t="s">
        <v>56</v>
      </c>
      <c r="G2867">
        <v>2.3365406154958039</v>
      </c>
      <c r="H2867" t="s">
        <v>46</v>
      </c>
      <c r="I2867" t="s">
        <v>47</v>
      </c>
      <c r="J2867" t="s">
        <v>2756</v>
      </c>
      <c r="K2867">
        <v>0</v>
      </c>
      <c r="L2867">
        <v>433.66482906825041</v>
      </c>
    </row>
    <row r="2868" spans="1:12" hidden="1" x14ac:dyDescent="0.25">
      <c r="A2868">
        <v>895</v>
      </c>
      <c r="B2868" t="s">
        <v>2605</v>
      </c>
      <c r="C2868" t="s">
        <v>2606</v>
      </c>
      <c r="D2868" t="s">
        <v>3027</v>
      </c>
      <c r="E2868" t="str">
        <f>_xlfn.XLOOKUP(F2868, Keys!B:B, Keys!A:A, "找不到")</f>
        <v>SSG</v>
      </c>
      <c r="F2868" t="s">
        <v>56</v>
      </c>
      <c r="G2868">
        <v>1.1874770965513179</v>
      </c>
      <c r="H2868" t="s">
        <v>46</v>
      </c>
      <c r="I2868" t="s">
        <v>47</v>
      </c>
      <c r="J2868" t="s">
        <v>3364</v>
      </c>
      <c r="K2868">
        <v>0</v>
      </c>
      <c r="L2868">
        <v>349.9802048008678</v>
      </c>
    </row>
    <row r="2869" spans="1:12" hidden="1" x14ac:dyDescent="0.25">
      <c r="A2869">
        <v>1008</v>
      </c>
      <c r="B2869" t="s">
        <v>2605</v>
      </c>
      <c r="C2869" t="s">
        <v>2606</v>
      </c>
      <c r="D2869" t="s">
        <v>3027</v>
      </c>
      <c r="E2869" t="str">
        <f>_xlfn.XLOOKUP(F2869, Keys!B:B, Keys!A:A, "找不到")</f>
        <v>SSG</v>
      </c>
      <c r="F2869" t="s">
        <v>56</v>
      </c>
      <c r="G2869">
        <v>0.67944095099791413</v>
      </c>
      <c r="H2869" t="s">
        <v>46</v>
      </c>
      <c r="I2869" t="s">
        <v>47</v>
      </c>
      <c r="J2869" t="s">
        <v>3364</v>
      </c>
      <c r="K2869">
        <v>0</v>
      </c>
      <c r="L2869">
        <v>340.04834147370542</v>
      </c>
    </row>
    <row r="2870" spans="1:12" hidden="1" x14ac:dyDescent="0.25">
      <c r="A2870">
        <v>1011</v>
      </c>
      <c r="B2870" t="s">
        <v>2605</v>
      </c>
      <c r="C2870" t="s">
        <v>2606</v>
      </c>
      <c r="D2870" t="s">
        <v>2702</v>
      </c>
      <c r="E2870" t="str">
        <f>_xlfn.XLOOKUP(F2870, Keys!B:B, Keys!A:A, "找不到")</f>
        <v>SSG</v>
      </c>
      <c r="F2870" t="s">
        <v>56</v>
      </c>
      <c r="G2870">
        <v>1.35754441837337</v>
      </c>
      <c r="H2870" t="s">
        <v>46</v>
      </c>
      <c r="I2870" t="s">
        <v>47</v>
      </c>
      <c r="J2870" t="s">
        <v>2883</v>
      </c>
      <c r="K2870">
        <v>0</v>
      </c>
      <c r="L2870">
        <v>516.09189955846659</v>
      </c>
    </row>
    <row r="2871" spans="1:12" hidden="1" x14ac:dyDescent="0.25">
      <c r="A2871">
        <v>1014</v>
      </c>
      <c r="B2871" t="s">
        <v>2605</v>
      </c>
      <c r="C2871" t="s">
        <v>2606</v>
      </c>
      <c r="D2871" t="s">
        <v>2702</v>
      </c>
      <c r="E2871" t="str">
        <f>_xlfn.XLOOKUP(F2871, Keys!B:B, Keys!A:A, "找不到")</f>
        <v>SSG</v>
      </c>
      <c r="F2871" t="s">
        <v>56</v>
      </c>
      <c r="G2871">
        <v>3.7279484898674329</v>
      </c>
      <c r="H2871" t="s">
        <v>46</v>
      </c>
      <c r="I2871" t="s">
        <v>47</v>
      </c>
      <c r="J2871" t="s">
        <v>2883</v>
      </c>
      <c r="K2871">
        <v>0</v>
      </c>
      <c r="L2871">
        <v>627.58711744946731</v>
      </c>
    </row>
    <row r="2872" spans="1:12" hidden="1" x14ac:dyDescent="0.25">
      <c r="A2872">
        <v>1062</v>
      </c>
      <c r="B2872" t="s">
        <v>2605</v>
      </c>
      <c r="C2872" t="s">
        <v>2606</v>
      </c>
      <c r="D2872">
        <v>0</v>
      </c>
      <c r="E2872" t="str">
        <f>_xlfn.XLOOKUP(F2872, Keys!B:B, Keys!A:A, "找不到")</f>
        <v>SSG</v>
      </c>
      <c r="F2872" t="s">
        <v>56</v>
      </c>
      <c r="G2872">
        <v>0.52808745495763265</v>
      </c>
      <c r="H2872" t="s">
        <v>46</v>
      </c>
      <c r="I2872" t="s">
        <v>47</v>
      </c>
      <c r="J2872" t="s">
        <v>3106</v>
      </c>
      <c r="K2872">
        <v>0</v>
      </c>
      <c r="L2872">
        <v>194.98403373797399</v>
      </c>
    </row>
    <row r="2873" spans="1:12" hidden="1" x14ac:dyDescent="0.25">
      <c r="A2873">
        <v>52</v>
      </c>
      <c r="B2873" t="s">
        <v>2042</v>
      </c>
      <c r="C2873" t="s">
        <v>972</v>
      </c>
      <c r="D2873">
        <v>0</v>
      </c>
      <c r="E2873" t="str">
        <f>_xlfn.XLOOKUP(F2873, Keys!B:B, Keys!A:A, "找不到")</f>
        <v>SSG</v>
      </c>
      <c r="F2873" t="s">
        <v>56</v>
      </c>
      <c r="G2873">
        <v>5.6831892978179299</v>
      </c>
      <c r="H2873" t="s">
        <v>46</v>
      </c>
      <c r="I2873" t="s">
        <v>47</v>
      </c>
      <c r="J2873" t="s">
        <v>2132</v>
      </c>
      <c r="K2873">
        <v>659.1777485480186</v>
      </c>
      <c r="L2873">
        <v>22999.14310606986</v>
      </c>
    </row>
    <row r="2874" spans="1:12" hidden="1" x14ac:dyDescent="0.25">
      <c r="A2874">
        <v>53</v>
      </c>
      <c r="B2874" t="s">
        <v>2042</v>
      </c>
      <c r="C2874" t="s">
        <v>972</v>
      </c>
      <c r="D2874">
        <v>0</v>
      </c>
      <c r="E2874" t="str">
        <f>_xlfn.XLOOKUP(F2874, Keys!B:B, Keys!A:A, "找不到")</f>
        <v>SSG</v>
      </c>
      <c r="F2874" t="s">
        <v>56</v>
      </c>
      <c r="G2874">
        <v>4.9024802142931136</v>
      </c>
      <c r="H2874" t="s">
        <v>46</v>
      </c>
      <c r="I2874" t="s">
        <v>47</v>
      </c>
      <c r="J2874" t="s">
        <v>2134</v>
      </c>
      <c r="K2874">
        <v>600.96148640053968</v>
      </c>
      <c r="L2874">
        <v>19839.71289967325</v>
      </c>
    </row>
    <row r="2875" spans="1:12" hidden="1" x14ac:dyDescent="0.25">
      <c r="A2875">
        <v>58</v>
      </c>
      <c r="B2875" t="s">
        <v>2042</v>
      </c>
      <c r="C2875" t="s">
        <v>972</v>
      </c>
      <c r="D2875">
        <v>0</v>
      </c>
      <c r="E2875" t="str">
        <f>_xlfn.XLOOKUP(F2875, Keys!B:B, Keys!A:A, "找不到")</f>
        <v>SSG</v>
      </c>
      <c r="F2875" t="s">
        <v>56</v>
      </c>
      <c r="G2875">
        <v>11.149109571144621</v>
      </c>
      <c r="H2875" t="s">
        <v>46</v>
      </c>
      <c r="I2875" t="s">
        <v>47</v>
      </c>
      <c r="J2875" t="s">
        <v>2134</v>
      </c>
      <c r="K2875">
        <v>904.83863228985183</v>
      </c>
      <c r="L2875">
        <v>45119.026147952049</v>
      </c>
    </row>
    <row r="2876" spans="1:12" hidden="1" x14ac:dyDescent="0.25">
      <c r="A2876">
        <v>69</v>
      </c>
      <c r="B2876" t="s">
        <v>2042</v>
      </c>
      <c r="C2876" t="s">
        <v>972</v>
      </c>
      <c r="D2876">
        <v>0</v>
      </c>
      <c r="E2876" t="str">
        <f>_xlfn.XLOOKUP(F2876, Keys!B:B, Keys!A:A, "找不到")</f>
        <v>SSG</v>
      </c>
      <c r="F2876" t="s">
        <v>56</v>
      </c>
      <c r="G2876">
        <v>5.90143512787877</v>
      </c>
      <c r="H2876" t="s">
        <v>46</v>
      </c>
      <c r="I2876" t="s">
        <v>47</v>
      </c>
      <c r="J2876" t="s">
        <v>2159</v>
      </c>
      <c r="K2876">
        <v>634.42859815940437</v>
      </c>
      <c r="L2876">
        <v>23882.356177962349</v>
      </c>
    </row>
    <row r="2877" spans="1:12" hidden="1" x14ac:dyDescent="0.25">
      <c r="A2877">
        <v>212</v>
      </c>
      <c r="B2877" t="s">
        <v>2042</v>
      </c>
      <c r="C2877" t="s">
        <v>972</v>
      </c>
      <c r="D2877">
        <v>0</v>
      </c>
      <c r="E2877" t="str">
        <f>_xlfn.XLOOKUP(F2877, Keys!B:B, Keys!A:A, "找不到")</f>
        <v>SSG</v>
      </c>
      <c r="F2877" t="s">
        <v>56</v>
      </c>
      <c r="G2877">
        <v>0.54471024494603171</v>
      </c>
      <c r="H2877" t="s">
        <v>46</v>
      </c>
      <c r="I2877" t="s">
        <v>47</v>
      </c>
      <c r="J2877" t="s">
        <v>2159</v>
      </c>
      <c r="K2877">
        <v>254.77033675033289</v>
      </c>
      <c r="L2877">
        <v>2204.37297058999</v>
      </c>
    </row>
    <row r="2878" spans="1:12" hidden="1" x14ac:dyDescent="0.25">
      <c r="A2878">
        <v>279</v>
      </c>
      <c r="B2878" t="s">
        <v>2042</v>
      </c>
      <c r="C2878" t="s">
        <v>972</v>
      </c>
      <c r="D2878">
        <v>0</v>
      </c>
      <c r="E2878" t="str">
        <f>_xlfn.XLOOKUP(F2878, Keys!B:B, Keys!A:A, "找不到")</f>
        <v>SSG</v>
      </c>
      <c r="F2878" t="s">
        <v>56</v>
      </c>
      <c r="G2878">
        <v>0.53419645704821461</v>
      </c>
      <c r="H2878" t="s">
        <v>46</v>
      </c>
      <c r="I2878" t="s">
        <v>47</v>
      </c>
      <c r="J2878" t="s">
        <v>2539</v>
      </c>
      <c r="K2878">
        <v>188.3091630782009</v>
      </c>
      <c r="L2878">
        <v>2161.8250103202872</v>
      </c>
    </row>
    <row r="2879" spans="1:12" hidden="1" x14ac:dyDescent="0.25">
      <c r="A2879">
        <v>30</v>
      </c>
      <c r="B2879" t="s">
        <v>152</v>
      </c>
      <c r="C2879" t="s">
        <v>149</v>
      </c>
      <c r="D2879">
        <v>0</v>
      </c>
      <c r="E2879" t="str">
        <f>_xlfn.XLOOKUP(F2879, Keys!B:B, Keys!A:A, "找不到")</f>
        <v>SSG</v>
      </c>
      <c r="F2879" t="s">
        <v>56</v>
      </c>
      <c r="G2879">
        <v>52.409159560495198</v>
      </c>
      <c r="H2879" t="s">
        <v>60</v>
      </c>
      <c r="I2879" t="s">
        <v>66</v>
      </c>
      <c r="J2879" t="s">
        <v>192</v>
      </c>
      <c r="K2879">
        <v>1632.577507432379</v>
      </c>
      <c r="L2879">
        <v>212093.1923318973</v>
      </c>
    </row>
    <row r="2880" spans="1:12" hidden="1" x14ac:dyDescent="0.25">
      <c r="A2880">
        <v>159</v>
      </c>
      <c r="B2880" t="s">
        <v>152</v>
      </c>
      <c r="C2880" t="s">
        <v>149</v>
      </c>
      <c r="D2880">
        <v>0</v>
      </c>
      <c r="E2880" t="str">
        <f>_xlfn.XLOOKUP(F2880, Keys!B:B, Keys!A:A, "找不到")</f>
        <v>SSG</v>
      </c>
      <c r="F2880" t="s">
        <v>56</v>
      </c>
      <c r="G2880">
        <v>114.22295469882761</v>
      </c>
      <c r="H2880" t="s">
        <v>60</v>
      </c>
      <c r="I2880" t="s">
        <v>66</v>
      </c>
      <c r="J2880">
        <v>0</v>
      </c>
      <c r="K2880">
        <v>2410.1351350223599</v>
      </c>
      <c r="L2880">
        <v>462245.7467895929</v>
      </c>
    </row>
    <row r="2881" spans="1:12" hidden="1" x14ac:dyDescent="0.25">
      <c r="A2881">
        <v>169</v>
      </c>
      <c r="B2881" t="s">
        <v>152</v>
      </c>
      <c r="C2881" t="s">
        <v>149</v>
      </c>
      <c r="D2881">
        <v>0</v>
      </c>
      <c r="E2881" t="str">
        <f>_xlfn.XLOOKUP(F2881, Keys!B:B, Keys!A:A, "找不到")</f>
        <v>SSG</v>
      </c>
      <c r="F2881" t="s">
        <v>56</v>
      </c>
      <c r="G2881">
        <v>35.320374616818967</v>
      </c>
      <c r="H2881" t="s">
        <v>60</v>
      </c>
      <c r="I2881" t="s">
        <v>66</v>
      </c>
      <c r="J2881">
        <v>0</v>
      </c>
      <c r="K2881">
        <v>1550.9881248334079</v>
      </c>
      <c r="L2881">
        <v>142937.05660730251</v>
      </c>
    </row>
    <row r="2882" spans="1:12" x14ac:dyDescent="0.25">
      <c r="A2882">
        <v>262</v>
      </c>
      <c r="B2882" t="s">
        <v>42</v>
      </c>
      <c r="C2882" t="s">
        <v>36</v>
      </c>
      <c r="D2882" t="s">
        <v>43</v>
      </c>
      <c r="E2882" t="str">
        <f>_xlfn.XLOOKUP(F2882, Keys!B:B, Keys!A:A, "找不到")</f>
        <v>FA</v>
      </c>
      <c r="F2882" t="s">
        <v>63</v>
      </c>
      <c r="G2882">
        <v>0.30736540133619522</v>
      </c>
      <c r="H2882" t="s">
        <v>64</v>
      </c>
      <c r="I2882" t="s">
        <v>65</v>
      </c>
      <c r="J2882">
        <v>0</v>
      </c>
      <c r="K2882">
        <v>143.44675567698289</v>
      </c>
      <c r="L2882">
        <v>1243.868623890455</v>
      </c>
    </row>
    <row r="2883" spans="1:12" x14ac:dyDescent="0.25">
      <c r="A2883">
        <v>263</v>
      </c>
      <c r="B2883" t="s">
        <v>42</v>
      </c>
      <c r="C2883" t="s">
        <v>36</v>
      </c>
      <c r="D2883" t="s">
        <v>43</v>
      </c>
      <c r="E2883" t="str">
        <f>_xlfn.XLOOKUP(F2883, Keys!B:B, Keys!A:A, "找不到")</f>
        <v>FA</v>
      </c>
      <c r="F2883" t="s">
        <v>63</v>
      </c>
      <c r="G2883">
        <v>0.1500292744310861</v>
      </c>
      <c r="H2883" t="s">
        <v>64</v>
      </c>
      <c r="I2883" t="s">
        <v>65</v>
      </c>
      <c r="J2883">
        <v>0</v>
      </c>
      <c r="K2883">
        <v>115.0575797153883</v>
      </c>
      <c r="L2883">
        <v>607.14936137446966</v>
      </c>
    </row>
    <row r="2884" spans="1:12" x14ac:dyDescent="0.25">
      <c r="A2884">
        <v>264</v>
      </c>
      <c r="B2884" t="s">
        <v>42</v>
      </c>
      <c r="C2884" t="s">
        <v>36</v>
      </c>
      <c r="D2884" t="s">
        <v>43</v>
      </c>
      <c r="E2884" t="str">
        <f>_xlfn.XLOOKUP(F2884, Keys!B:B, Keys!A:A, "找不到")</f>
        <v>FA</v>
      </c>
      <c r="F2884" t="s">
        <v>63</v>
      </c>
      <c r="G2884">
        <v>0.87236870588870341</v>
      </c>
      <c r="H2884" t="s">
        <v>64</v>
      </c>
      <c r="I2884" t="s">
        <v>65</v>
      </c>
      <c r="J2884">
        <v>0</v>
      </c>
      <c r="K2884">
        <v>243.49110743725041</v>
      </c>
      <c r="L2884">
        <v>3530.365021572441</v>
      </c>
    </row>
    <row r="2885" spans="1:12" x14ac:dyDescent="0.25">
      <c r="A2885">
        <v>265</v>
      </c>
      <c r="B2885" t="s">
        <v>42</v>
      </c>
      <c r="C2885" t="s">
        <v>36</v>
      </c>
      <c r="D2885" t="s">
        <v>43</v>
      </c>
      <c r="E2885" t="str">
        <f>_xlfn.XLOOKUP(F2885, Keys!B:B, Keys!A:A, "找不到")</f>
        <v>FA</v>
      </c>
      <c r="F2885" t="s">
        <v>63</v>
      </c>
      <c r="G2885">
        <v>0.68042611001155251</v>
      </c>
      <c r="H2885" t="s">
        <v>64</v>
      </c>
      <c r="I2885" t="s">
        <v>65</v>
      </c>
      <c r="J2885">
        <v>0</v>
      </c>
      <c r="K2885">
        <v>247.33156897779159</v>
      </c>
      <c r="L2885">
        <v>2753.597787649036</v>
      </c>
    </row>
    <row r="2886" spans="1:12" hidden="1" x14ac:dyDescent="0.25">
      <c r="A2886">
        <v>71</v>
      </c>
      <c r="B2886" t="s">
        <v>2605</v>
      </c>
      <c r="C2886" t="s">
        <v>2606</v>
      </c>
      <c r="D2886" t="s">
        <v>2712</v>
      </c>
      <c r="E2886" t="str">
        <f>_xlfn.XLOOKUP(F2886, Keys!B:B, Keys!A:A, "找不到")</f>
        <v>STD</v>
      </c>
      <c r="F2886" t="s">
        <v>671</v>
      </c>
      <c r="G2886">
        <v>0.466819710884529</v>
      </c>
      <c r="H2886">
        <v>0</v>
      </c>
      <c r="I2886" t="s">
        <v>38</v>
      </c>
      <c r="J2886" t="s">
        <v>2751</v>
      </c>
      <c r="K2886">
        <v>0</v>
      </c>
      <c r="L2886">
        <v>171.1243425779825</v>
      </c>
    </row>
    <row r="2887" spans="1:12" hidden="1" x14ac:dyDescent="0.25">
      <c r="A2887">
        <v>229</v>
      </c>
      <c r="B2887" t="s">
        <v>2605</v>
      </c>
      <c r="C2887" t="s">
        <v>2606</v>
      </c>
      <c r="D2887">
        <v>0</v>
      </c>
      <c r="E2887" t="str">
        <f>_xlfn.XLOOKUP(F2887, Keys!B:B, Keys!A:A, "找不到")</f>
        <v>STD</v>
      </c>
      <c r="F2887" t="s">
        <v>671</v>
      </c>
      <c r="G2887">
        <v>0.42975830535160808</v>
      </c>
      <c r="H2887">
        <v>0</v>
      </c>
      <c r="I2887" t="s">
        <v>38</v>
      </c>
      <c r="J2887" t="s">
        <v>1172</v>
      </c>
      <c r="K2887">
        <v>0</v>
      </c>
      <c r="L2887">
        <v>152.70140292427391</v>
      </c>
    </row>
    <row r="2888" spans="1:12" hidden="1" x14ac:dyDescent="0.25">
      <c r="A2888">
        <v>410</v>
      </c>
      <c r="B2888" t="s">
        <v>2605</v>
      </c>
      <c r="C2888" t="s">
        <v>2606</v>
      </c>
      <c r="D2888">
        <v>0</v>
      </c>
      <c r="E2888" t="str">
        <f>_xlfn.XLOOKUP(F2888, Keys!B:B, Keys!A:A, "找不到")</f>
        <v>STD</v>
      </c>
      <c r="F2888" t="s">
        <v>671</v>
      </c>
      <c r="G2888">
        <v>0.94950876986784694</v>
      </c>
      <c r="H2888">
        <v>0</v>
      </c>
      <c r="I2888" t="s">
        <v>38</v>
      </c>
      <c r="J2888" t="s">
        <v>1172</v>
      </c>
      <c r="K2888">
        <v>0</v>
      </c>
      <c r="L2888">
        <v>252.820537822121</v>
      </c>
    </row>
    <row r="2889" spans="1:12" hidden="1" x14ac:dyDescent="0.25">
      <c r="A2889">
        <v>413</v>
      </c>
      <c r="B2889" t="s">
        <v>2605</v>
      </c>
      <c r="C2889" t="s">
        <v>2606</v>
      </c>
      <c r="D2889">
        <v>0</v>
      </c>
      <c r="E2889" t="str">
        <f>_xlfn.XLOOKUP(F2889, Keys!B:B, Keys!A:A, "找不到")</f>
        <v>STD</v>
      </c>
      <c r="F2889" t="s">
        <v>671</v>
      </c>
      <c r="G2889">
        <v>1.2257453160396781</v>
      </c>
      <c r="H2889">
        <v>0</v>
      </c>
      <c r="I2889" t="s">
        <v>38</v>
      </c>
      <c r="J2889" t="s">
        <v>1172</v>
      </c>
      <c r="K2889">
        <v>0</v>
      </c>
      <c r="L2889">
        <v>337.57715814056382</v>
      </c>
    </row>
    <row r="2890" spans="1:12" hidden="1" x14ac:dyDescent="0.25">
      <c r="A2890">
        <v>912</v>
      </c>
      <c r="B2890" t="s">
        <v>2605</v>
      </c>
      <c r="C2890" t="s">
        <v>2606</v>
      </c>
      <c r="D2890">
        <v>0</v>
      </c>
      <c r="E2890" t="str">
        <f>_xlfn.XLOOKUP(F2890, Keys!B:B, Keys!A:A, "找不到")</f>
        <v>STD</v>
      </c>
      <c r="F2890" t="s">
        <v>671</v>
      </c>
      <c r="G2890">
        <v>1.172090481039586</v>
      </c>
      <c r="H2890">
        <v>0</v>
      </c>
      <c r="I2890" t="s">
        <v>38</v>
      </c>
      <c r="J2890" t="s">
        <v>3889</v>
      </c>
      <c r="K2890">
        <v>0</v>
      </c>
      <c r="L2890">
        <v>273.2457875074648</v>
      </c>
    </row>
    <row r="2891" spans="1:12" hidden="1" x14ac:dyDescent="0.25">
      <c r="A2891">
        <v>990</v>
      </c>
      <c r="B2891" t="s">
        <v>2605</v>
      </c>
      <c r="C2891" t="s">
        <v>2606</v>
      </c>
      <c r="D2891" t="s">
        <v>3027</v>
      </c>
      <c r="E2891" t="str">
        <f>_xlfn.XLOOKUP(F2891, Keys!B:B, Keys!A:A, "找不到")</f>
        <v>STD</v>
      </c>
      <c r="F2891" t="s">
        <v>671</v>
      </c>
      <c r="G2891">
        <v>4.3952067404286387E-2</v>
      </c>
      <c r="H2891">
        <v>0</v>
      </c>
      <c r="I2891" t="s">
        <v>38</v>
      </c>
      <c r="J2891" t="s">
        <v>3097</v>
      </c>
      <c r="K2891">
        <v>0</v>
      </c>
      <c r="L2891">
        <v>56.249006174685817</v>
      </c>
    </row>
    <row r="2892" spans="1:12" hidden="1" x14ac:dyDescent="0.25">
      <c r="A2892">
        <v>8</v>
      </c>
      <c r="B2892" t="s">
        <v>1482</v>
      </c>
      <c r="C2892" t="s">
        <v>1483</v>
      </c>
      <c r="D2892">
        <v>0</v>
      </c>
      <c r="E2892" t="str">
        <f>_xlfn.XLOOKUP(F2892, Keys!B:B, Keys!A:A, "找不到")</f>
        <v>STD</v>
      </c>
      <c r="F2892" t="s">
        <v>671</v>
      </c>
      <c r="G2892">
        <v>0.85459799167091322</v>
      </c>
      <c r="H2892" t="s">
        <v>159</v>
      </c>
      <c r="I2892" t="s">
        <v>38</v>
      </c>
      <c r="J2892" t="s">
        <v>1501</v>
      </c>
      <c r="K2892">
        <v>253.6896715525734</v>
      </c>
      <c r="L2892">
        <v>3458.449204946563</v>
      </c>
    </row>
    <row r="2893" spans="1:12" hidden="1" x14ac:dyDescent="0.25">
      <c r="A2893">
        <v>9</v>
      </c>
      <c r="B2893" t="s">
        <v>1482</v>
      </c>
      <c r="C2893" t="s">
        <v>1483</v>
      </c>
      <c r="D2893">
        <v>0</v>
      </c>
      <c r="E2893" t="str">
        <f>_xlfn.XLOOKUP(F2893, Keys!B:B, Keys!A:A, "找不到")</f>
        <v>STD</v>
      </c>
      <c r="F2893" t="s">
        <v>671</v>
      </c>
      <c r="G2893">
        <v>0.38043626326618257</v>
      </c>
      <c r="H2893" t="s">
        <v>159</v>
      </c>
      <c r="I2893" t="s">
        <v>38</v>
      </c>
      <c r="J2893" t="s">
        <v>1501</v>
      </c>
      <c r="K2893">
        <v>197.63553756421479</v>
      </c>
      <c r="L2893">
        <v>1539.577093614824</v>
      </c>
    </row>
    <row r="2894" spans="1:12" hidden="1" x14ac:dyDescent="0.25">
      <c r="A2894">
        <v>55</v>
      </c>
      <c r="B2894" t="s">
        <v>1482</v>
      </c>
      <c r="C2894" t="s">
        <v>1483</v>
      </c>
      <c r="D2894">
        <v>0</v>
      </c>
      <c r="E2894" t="str">
        <f>_xlfn.XLOOKUP(F2894, Keys!B:B, Keys!A:A, "找不到")</f>
        <v>STD</v>
      </c>
      <c r="F2894" t="s">
        <v>671</v>
      </c>
      <c r="G2894">
        <v>9.7388184941395547E-2</v>
      </c>
      <c r="H2894">
        <v>0</v>
      </c>
      <c r="I2894" t="s">
        <v>38</v>
      </c>
      <c r="J2894" t="s">
        <v>1172</v>
      </c>
      <c r="K2894">
        <v>78.586387910833551</v>
      </c>
      <c r="L2894">
        <v>394.11757816470168</v>
      </c>
    </row>
    <row r="2895" spans="1:12" hidden="1" x14ac:dyDescent="0.25">
      <c r="A2895">
        <v>59</v>
      </c>
      <c r="B2895" t="s">
        <v>1482</v>
      </c>
      <c r="C2895" t="s">
        <v>1483</v>
      </c>
      <c r="D2895">
        <v>0</v>
      </c>
      <c r="E2895" t="str">
        <f>_xlfn.XLOOKUP(F2895, Keys!B:B, Keys!A:A, "找不到")</f>
        <v>STD</v>
      </c>
      <c r="F2895" t="s">
        <v>671</v>
      </c>
      <c r="G2895">
        <v>0.1014388219709129</v>
      </c>
      <c r="H2895">
        <v>0</v>
      </c>
      <c r="I2895" t="s">
        <v>38</v>
      </c>
      <c r="J2895" t="s">
        <v>1172</v>
      </c>
      <c r="K2895">
        <v>81.528490728264345</v>
      </c>
      <c r="L2895">
        <v>410.50999021199789</v>
      </c>
    </row>
    <row r="2896" spans="1:12" hidden="1" x14ac:dyDescent="0.25">
      <c r="A2896">
        <v>62</v>
      </c>
      <c r="B2896" t="s">
        <v>1482</v>
      </c>
      <c r="C2896" t="s">
        <v>1483</v>
      </c>
      <c r="D2896">
        <v>0</v>
      </c>
      <c r="E2896" t="str">
        <f>_xlfn.XLOOKUP(F2896, Keys!B:B, Keys!A:A, "找不到")</f>
        <v>STD</v>
      </c>
      <c r="F2896" t="s">
        <v>671</v>
      </c>
      <c r="G2896">
        <v>0.1237539034638247</v>
      </c>
      <c r="H2896">
        <v>0</v>
      </c>
      <c r="I2896" t="s">
        <v>38</v>
      </c>
      <c r="J2896" t="s">
        <v>1172</v>
      </c>
      <c r="K2896">
        <v>88.677726075063617</v>
      </c>
      <c r="L2896">
        <v>500.81628229277459</v>
      </c>
    </row>
    <row r="2897" spans="1:12" hidden="1" x14ac:dyDescent="0.25">
      <c r="A2897">
        <v>92</v>
      </c>
      <c r="B2897" t="s">
        <v>1482</v>
      </c>
      <c r="C2897" t="s">
        <v>1483</v>
      </c>
      <c r="D2897">
        <v>0</v>
      </c>
      <c r="E2897" t="str">
        <f>_xlfn.XLOOKUP(F2897, Keys!B:B, Keys!A:A, "找不到")</f>
        <v>STD</v>
      </c>
      <c r="F2897" t="s">
        <v>671</v>
      </c>
      <c r="G2897">
        <v>0.39742167467916623</v>
      </c>
      <c r="H2897">
        <v>0</v>
      </c>
      <c r="I2897" t="s">
        <v>38</v>
      </c>
      <c r="J2897" t="s">
        <v>1683</v>
      </c>
      <c r="K2897">
        <v>153.5441965290961</v>
      </c>
      <c r="L2897">
        <v>1608.314889829473</v>
      </c>
    </row>
    <row r="2898" spans="1:12" hidden="1" x14ac:dyDescent="0.25">
      <c r="A2898">
        <v>205</v>
      </c>
      <c r="B2898" t="s">
        <v>714</v>
      </c>
      <c r="C2898" t="s">
        <v>715</v>
      </c>
      <c r="D2898" t="s">
        <v>731</v>
      </c>
      <c r="E2898" t="str">
        <f>_xlfn.XLOOKUP(F2898, Keys!B:B, Keys!A:A, "找不到")</f>
        <v>FA</v>
      </c>
      <c r="F2898" t="s">
        <v>63</v>
      </c>
      <c r="G2898">
        <v>0.63365565354671194</v>
      </c>
      <c r="H2898" t="s">
        <v>64</v>
      </c>
      <c r="I2898" t="s">
        <v>65</v>
      </c>
      <c r="J2898" t="s">
        <v>57</v>
      </c>
      <c r="K2898">
        <v>0</v>
      </c>
      <c r="L2898">
        <v>0</v>
      </c>
    </row>
    <row r="2899" spans="1:12" hidden="1" x14ac:dyDescent="0.25">
      <c r="A2899">
        <v>102</v>
      </c>
      <c r="B2899" t="s">
        <v>378</v>
      </c>
      <c r="C2899" t="s">
        <v>379</v>
      </c>
      <c r="D2899">
        <v>0</v>
      </c>
      <c r="E2899" t="str">
        <f>_xlfn.XLOOKUP(F2899, Keys!B:B, Keys!A:A, "找不到")</f>
        <v>STD</v>
      </c>
      <c r="F2899" t="s">
        <v>671</v>
      </c>
      <c r="G2899">
        <v>0.96473975795892664</v>
      </c>
      <c r="H2899">
        <v>0</v>
      </c>
      <c r="I2899" t="s">
        <v>38</v>
      </c>
      <c r="J2899" t="s">
        <v>672</v>
      </c>
      <c r="K2899">
        <v>262.59333840597333</v>
      </c>
      <c r="L2899">
        <v>3904.1789021406948</v>
      </c>
    </row>
    <row r="2900" spans="1:12" hidden="1" x14ac:dyDescent="0.25">
      <c r="A2900">
        <v>1084</v>
      </c>
      <c r="B2900">
        <v>0</v>
      </c>
      <c r="C2900" t="s">
        <v>2606</v>
      </c>
      <c r="D2900">
        <v>0</v>
      </c>
      <c r="E2900" t="str">
        <f>_xlfn.XLOOKUP(F2900, Keys!B:B, Keys!A:A, "找不到")</f>
        <v>STW</v>
      </c>
      <c r="F2900" t="s">
        <v>116</v>
      </c>
      <c r="G2900">
        <v>0.13270838313663599</v>
      </c>
      <c r="H2900">
        <v>0</v>
      </c>
      <c r="I2900">
        <v>0</v>
      </c>
      <c r="J2900" t="s">
        <v>1041</v>
      </c>
      <c r="K2900">
        <v>0</v>
      </c>
      <c r="L2900">
        <v>87.046492971940225</v>
      </c>
    </row>
    <row r="2901" spans="1:12" hidden="1" x14ac:dyDescent="0.25">
      <c r="A2901">
        <v>1085</v>
      </c>
      <c r="B2901">
        <v>0</v>
      </c>
      <c r="C2901" t="s">
        <v>2606</v>
      </c>
      <c r="D2901">
        <v>0</v>
      </c>
      <c r="E2901" t="str">
        <f>_xlfn.XLOOKUP(F2901, Keys!B:B, Keys!A:A, "找不到")</f>
        <v>STW</v>
      </c>
      <c r="F2901" t="s">
        <v>116</v>
      </c>
      <c r="G2901">
        <v>5.4882294086808628E-2</v>
      </c>
      <c r="H2901">
        <v>0</v>
      </c>
      <c r="I2901">
        <v>0</v>
      </c>
      <c r="J2901">
        <v>0</v>
      </c>
      <c r="K2901">
        <v>0</v>
      </c>
      <c r="L2901">
        <v>79.376184192040867</v>
      </c>
    </row>
    <row r="2902" spans="1:12" hidden="1" x14ac:dyDescent="0.25">
      <c r="A2902">
        <v>146</v>
      </c>
      <c r="C2902" t="s">
        <v>3970</v>
      </c>
      <c r="D2902">
        <v>0</v>
      </c>
      <c r="E2902" t="str">
        <f>_xlfn.XLOOKUP(F2902, Keys!B:B, Keys!A:A, "找不到")</f>
        <v>STW</v>
      </c>
      <c r="F2902" t="s">
        <v>116</v>
      </c>
      <c r="G2902">
        <v>1.676698776824016</v>
      </c>
      <c r="H2902">
        <v>0</v>
      </c>
      <c r="I2902" t="s">
        <v>38</v>
      </c>
      <c r="J2902" t="s">
        <v>4221</v>
      </c>
      <c r="K2902">
        <v>0</v>
      </c>
      <c r="L2902">
        <v>0</v>
      </c>
    </row>
    <row r="2903" spans="1:12" hidden="1" x14ac:dyDescent="0.25">
      <c r="A2903">
        <v>147</v>
      </c>
      <c r="C2903" t="s">
        <v>3970</v>
      </c>
      <c r="D2903">
        <v>0</v>
      </c>
      <c r="E2903" t="str">
        <f>_xlfn.XLOOKUP(F2903, Keys!B:B, Keys!A:A, "找不到")</f>
        <v>STW</v>
      </c>
      <c r="F2903" t="s">
        <v>116</v>
      </c>
      <c r="G2903">
        <v>1.240430863169516</v>
      </c>
      <c r="H2903">
        <v>0</v>
      </c>
      <c r="I2903" t="s">
        <v>38</v>
      </c>
      <c r="J2903" t="s">
        <v>4224</v>
      </c>
      <c r="K2903">
        <v>0</v>
      </c>
      <c r="L2903">
        <v>0</v>
      </c>
    </row>
    <row r="2904" spans="1:12" hidden="1" x14ac:dyDescent="0.25">
      <c r="A2904">
        <v>148</v>
      </c>
      <c r="C2904" t="s">
        <v>3970</v>
      </c>
      <c r="D2904">
        <v>0</v>
      </c>
      <c r="E2904" t="str">
        <f>_xlfn.XLOOKUP(F2904, Keys!B:B, Keys!A:A, "找不到")</f>
        <v>STW</v>
      </c>
      <c r="F2904" t="s">
        <v>116</v>
      </c>
      <c r="G2904">
        <v>1.3129961143518021</v>
      </c>
      <c r="H2904">
        <v>0</v>
      </c>
      <c r="I2904" t="s">
        <v>38</v>
      </c>
      <c r="J2904" t="s">
        <v>4226</v>
      </c>
      <c r="K2904">
        <v>0</v>
      </c>
      <c r="L2904">
        <v>0</v>
      </c>
    </row>
    <row r="2905" spans="1:12" hidden="1" x14ac:dyDescent="0.25">
      <c r="A2905">
        <v>149</v>
      </c>
      <c r="C2905" t="s">
        <v>3970</v>
      </c>
      <c r="D2905">
        <v>0</v>
      </c>
      <c r="E2905" t="str">
        <f>_xlfn.XLOOKUP(F2905, Keys!B:B, Keys!A:A, "找不到")</f>
        <v>STW</v>
      </c>
      <c r="F2905" t="s">
        <v>116</v>
      </c>
      <c r="G2905">
        <v>0.20049940693425239</v>
      </c>
      <c r="H2905">
        <v>0</v>
      </c>
      <c r="I2905" t="s">
        <v>38</v>
      </c>
      <c r="J2905" t="s">
        <v>4229</v>
      </c>
      <c r="K2905">
        <v>0</v>
      </c>
      <c r="L2905">
        <v>0</v>
      </c>
    </row>
    <row r="2906" spans="1:12" hidden="1" x14ac:dyDescent="0.25">
      <c r="A2906">
        <v>186</v>
      </c>
      <c r="C2906" t="s">
        <v>3970</v>
      </c>
      <c r="D2906">
        <v>0</v>
      </c>
      <c r="E2906" t="str">
        <f>_xlfn.XLOOKUP(F2906, Keys!B:B, Keys!A:A, "找不到")</f>
        <v>STW</v>
      </c>
      <c r="F2906" t="s">
        <v>116</v>
      </c>
      <c r="G2906">
        <v>1.200266535407565</v>
      </c>
      <c r="H2906">
        <v>0</v>
      </c>
      <c r="I2906">
        <v>0</v>
      </c>
      <c r="J2906" t="s">
        <v>4248</v>
      </c>
      <c r="K2906">
        <v>0</v>
      </c>
      <c r="L2906">
        <v>0</v>
      </c>
    </row>
    <row r="2907" spans="1:12" hidden="1" x14ac:dyDescent="0.25">
      <c r="A2907">
        <v>794</v>
      </c>
      <c r="B2907" t="s">
        <v>2605</v>
      </c>
      <c r="C2907" t="s">
        <v>2606</v>
      </c>
      <c r="D2907" t="s">
        <v>3027</v>
      </c>
      <c r="E2907" t="str">
        <f>_xlfn.XLOOKUP(F2907, Keys!B:B, Keys!A:A, "找不到")</f>
        <v>STW</v>
      </c>
      <c r="F2907" t="s">
        <v>116</v>
      </c>
      <c r="G2907">
        <v>6.6016954088500973E-2</v>
      </c>
      <c r="H2907">
        <v>0</v>
      </c>
      <c r="I2907" t="s">
        <v>38</v>
      </c>
      <c r="J2907" t="s">
        <v>3804</v>
      </c>
      <c r="K2907">
        <v>0</v>
      </c>
      <c r="L2907">
        <v>66.37616836671809</v>
      </c>
    </row>
    <row r="2908" spans="1:12" hidden="1" x14ac:dyDescent="0.25">
      <c r="A2908">
        <v>911</v>
      </c>
      <c r="B2908" t="s">
        <v>2605</v>
      </c>
      <c r="C2908" t="s">
        <v>2606</v>
      </c>
      <c r="D2908">
        <v>0</v>
      </c>
      <c r="E2908" t="str">
        <f>_xlfn.XLOOKUP(F2908, Keys!B:B, Keys!A:A, "找不到")</f>
        <v>STW</v>
      </c>
      <c r="F2908" t="s">
        <v>116</v>
      </c>
      <c r="G2908">
        <v>0.23901895615682101</v>
      </c>
      <c r="H2908">
        <v>0</v>
      </c>
      <c r="I2908" t="s">
        <v>38</v>
      </c>
      <c r="J2908" t="s">
        <v>3888</v>
      </c>
      <c r="K2908">
        <v>0</v>
      </c>
      <c r="L2908">
        <v>118.1588077258635</v>
      </c>
    </row>
    <row r="2909" spans="1:12" hidden="1" x14ac:dyDescent="0.25">
      <c r="A2909">
        <v>1032</v>
      </c>
      <c r="B2909" t="s">
        <v>2605</v>
      </c>
      <c r="C2909" t="s">
        <v>2606</v>
      </c>
      <c r="D2909">
        <v>0</v>
      </c>
      <c r="E2909" t="str">
        <f>_xlfn.XLOOKUP(F2909, Keys!B:B, Keys!A:A, "找不到")</f>
        <v>STW</v>
      </c>
      <c r="F2909" t="s">
        <v>116</v>
      </c>
      <c r="G2909">
        <v>0.1353740533784665</v>
      </c>
      <c r="H2909">
        <v>0</v>
      </c>
      <c r="I2909" t="s">
        <v>38</v>
      </c>
      <c r="J2909" t="s">
        <v>3960</v>
      </c>
      <c r="K2909">
        <v>0</v>
      </c>
      <c r="L2909">
        <v>94.641437659015992</v>
      </c>
    </row>
    <row r="2910" spans="1:12" hidden="1" x14ac:dyDescent="0.25">
      <c r="A2910">
        <v>267</v>
      </c>
      <c r="B2910" t="s">
        <v>2042</v>
      </c>
      <c r="C2910" t="s">
        <v>972</v>
      </c>
      <c r="D2910">
        <v>0</v>
      </c>
      <c r="E2910" t="str">
        <f>_xlfn.XLOOKUP(F2910, Keys!B:B, Keys!A:A, "找不到")</f>
        <v>STW</v>
      </c>
      <c r="F2910" t="s">
        <v>116</v>
      </c>
      <c r="G2910">
        <v>7.6471681920796147E-2</v>
      </c>
      <c r="H2910">
        <v>0</v>
      </c>
      <c r="I2910">
        <v>0</v>
      </c>
      <c r="J2910" t="s">
        <v>2525</v>
      </c>
      <c r="K2910">
        <v>70.450113678362641</v>
      </c>
      <c r="L2910">
        <v>309.47115499628592</v>
      </c>
    </row>
    <row r="2911" spans="1:12" hidden="1" x14ac:dyDescent="0.25">
      <c r="A2911">
        <v>319</v>
      </c>
      <c r="B2911" t="s">
        <v>2042</v>
      </c>
      <c r="C2911" t="s">
        <v>972</v>
      </c>
      <c r="D2911">
        <v>0</v>
      </c>
      <c r="E2911" t="str">
        <f>_xlfn.XLOOKUP(F2911, Keys!B:B, Keys!A:A, "找不到")</f>
        <v>STW</v>
      </c>
      <c r="F2911" t="s">
        <v>116</v>
      </c>
      <c r="G2911">
        <v>0.48918993461248839</v>
      </c>
      <c r="H2911">
        <v>0</v>
      </c>
      <c r="I2911">
        <v>0</v>
      </c>
      <c r="J2911" t="s">
        <v>2579</v>
      </c>
      <c r="K2911">
        <v>177.97889215698481</v>
      </c>
      <c r="L2911">
        <v>1979.6893474094561</v>
      </c>
    </row>
    <row r="2912" spans="1:12" hidden="1" x14ac:dyDescent="0.25">
      <c r="A2912">
        <v>255</v>
      </c>
      <c r="B2912" t="s">
        <v>1482</v>
      </c>
      <c r="C2912" t="s">
        <v>1483</v>
      </c>
      <c r="D2912">
        <v>0</v>
      </c>
      <c r="E2912" t="str">
        <f>_xlfn.XLOOKUP(F2912, Keys!B:B, Keys!A:A, "找不到")</f>
        <v>STW</v>
      </c>
      <c r="F2912" t="s">
        <v>116</v>
      </c>
      <c r="G2912">
        <v>1.2522969744382699</v>
      </c>
      <c r="H2912">
        <v>0</v>
      </c>
      <c r="I2912" t="s">
        <v>38</v>
      </c>
      <c r="J2912" t="s">
        <v>2023</v>
      </c>
      <c r="K2912">
        <v>400.54560655078171</v>
      </c>
      <c r="L2912">
        <v>5067.8863252826304</v>
      </c>
    </row>
    <row r="2913" spans="1:12" hidden="1" x14ac:dyDescent="0.25">
      <c r="A2913">
        <v>195</v>
      </c>
      <c r="B2913" t="s">
        <v>1026</v>
      </c>
      <c r="C2913" t="s">
        <v>1027</v>
      </c>
      <c r="D2913">
        <v>0</v>
      </c>
      <c r="E2913" t="str">
        <f>_xlfn.XLOOKUP(F2913, Keys!B:B, Keys!A:A, "找不到")</f>
        <v>STW</v>
      </c>
      <c r="F2913" t="s">
        <v>116</v>
      </c>
      <c r="G2913">
        <v>1.2239807640934051</v>
      </c>
      <c r="H2913">
        <v>0</v>
      </c>
      <c r="I2913" t="s">
        <v>38</v>
      </c>
      <c r="J2913" t="s">
        <v>1409</v>
      </c>
      <c r="K2913">
        <v>371.83266658072228</v>
      </c>
      <c r="L2913">
        <v>4953.2942292225589</v>
      </c>
    </row>
    <row r="2914" spans="1:12" hidden="1" x14ac:dyDescent="0.25">
      <c r="A2914">
        <v>25</v>
      </c>
      <c r="B2914" t="s">
        <v>1026</v>
      </c>
      <c r="C2914" t="s">
        <v>1027</v>
      </c>
      <c r="D2914">
        <v>0</v>
      </c>
      <c r="E2914" t="str">
        <f>_xlfn.XLOOKUP(F2914, Keys!B:B, Keys!A:A, "找不到")</f>
        <v>STW</v>
      </c>
      <c r="F2914" t="s">
        <v>116</v>
      </c>
      <c r="G2914">
        <v>0.1162783203109622</v>
      </c>
      <c r="H2914">
        <v>0</v>
      </c>
      <c r="I2914" t="s">
        <v>38</v>
      </c>
      <c r="J2914" t="s">
        <v>1082</v>
      </c>
      <c r="K2914">
        <v>86.732771707258792</v>
      </c>
      <c r="L2914">
        <v>470.563549588618</v>
      </c>
    </row>
    <row r="2915" spans="1:12" hidden="1" x14ac:dyDescent="0.25">
      <c r="A2915">
        <v>67</v>
      </c>
      <c r="B2915" t="s">
        <v>1026</v>
      </c>
      <c r="C2915" t="s">
        <v>1027</v>
      </c>
      <c r="D2915">
        <v>0</v>
      </c>
      <c r="E2915" t="str">
        <f>_xlfn.XLOOKUP(F2915, Keys!B:B, Keys!A:A, "找不到")</f>
        <v>STW</v>
      </c>
      <c r="F2915" t="s">
        <v>116</v>
      </c>
      <c r="G2915">
        <v>0.44299216348668552</v>
      </c>
      <c r="H2915">
        <v>0</v>
      </c>
      <c r="I2915" t="s">
        <v>38</v>
      </c>
      <c r="J2915" t="s">
        <v>1171</v>
      </c>
      <c r="K2915">
        <v>169.11455514277509</v>
      </c>
      <c r="L2915">
        <v>1792.732852803204</v>
      </c>
    </row>
    <row r="2916" spans="1:12" hidden="1" x14ac:dyDescent="0.25">
      <c r="A2916">
        <v>213</v>
      </c>
      <c r="B2916" t="s">
        <v>1026</v>
      </c>
      <c r="C2916" t="s">
        <v>1027</v>
      </c>
      <c r="D2916">
        <v>0</v>
      </c>
      <c r="E2916" t="str">
        <f>_xlfn.XLOOKUP(F2916, Keys!B:B, Keys!A:A, "找不到")</f>
        <v>STW</v>
      </c>
      <c r="F2916" t="s">
        <v>116</v>
      </c>
      <c r="G2916">
        <v>0.52052349036698009</v>
      </c>
      <c r="H2916">
        <v>0</v>
      </c>
      <c r="I2916" t="s">
        <v>38</v>
      </c>
      <c r="J2916" t="s">
        <v>1451</v>
      </c>
      <c r="K2916">
        <v>200.85554954502649</v>
      </c>
      <c r="L2916">
        <v>2106.492255962276</v>
      </c>
    </row>
    <row r="2917" spans="1:12" hidden="1" x14ac:dyDescent="0.25">
      <c r="A2917">
        <v>214</v>
      </c>
      <c r="B2917" t="s">
        <v>1026</v>
      </c>
      <c r="C2917" t="s">
        <v>1027</v>
      </c>
      <c r="D2917">
        <v>0</v>
      </c>
      <c r="E2917" t="str">
        <f>_xlfn.XLOOKUP(F2917, Keys!B:B, Keys!A:A, "找不到")</f>
        <v>STW</v>
      </c>
      <c r="F2917" t="s">
        <v>116</v>
      </c>
      <c r="G2917">
        <v>0.70426447684630944</v>
      </c>
      <c r="H2917">
        <v>0</v>
      </c>
      <c r="I2917" t="s">
        <v>38</v>
      </c>
      <c r="J2917" t="s">
        <v>1452</v>
      </c>
      <c r="K2917">
        <v>252.4101264976216</v>
      </c>
      <c r="L2917">
        <v>2850.068621456749</v>
      </c>
    </row>
    <row r="2918" spans="1:12" hidden="1" x14ac:dyDescent="0.25">
      <c r="A2918">
        <v>215</v>
      </c>
      <c r="B2918" t="s">
        <v>1026</v>
      </c>
      <c r="C2918" t="s">
        <v>1027</v>
      </c>
      <c r="D2918">
        <v>0</v>
      </c>
      <c r="E2918" t="str">
        <f>_xlfn.XLOOKUP(F2918, Keys!B:B, Keys!A:A, "找不到")</f>
        <v>STW</v>
      </c>
      <c r="F2918" t="s">
        <v>116</v>
      </c>
      <c r="G2918">
        <v>0.44839558077986857</v>
      </c>
      <c r="H2918">
        <v>0</v>
      </c>
      <c r="I2918" t="s">
        <v>38</v>
      </c>
      <c r="J2918" t="s">
        <v>1453</v>
      </c>
      <c r="K2918">
        <v>211.6826738515409</v>
      </c>
      <c r="L2918">
        <v>1814.5997942467079</v>
      </c>
    </row>
    <row r="2919" spans="1:12" hidden="1" x14ac:dyDescent="0.25">
      <c r="A2919">
        <v>263</v>
      </c>
      <c r="B2919" t="s">
        <v>1026</v>
      </c>
      <c r="C2919" t="s">
        <v>1027</v>
      </c>
      <c r="D2919">
        <v>0</v>
      </c>
      <c r="E2919" t="str">
        <f>_xlfn.XLOOKUP(F2919, Keys!B:B, Keys!A:A, "找不到")</f>
        <v>STW</v>
      </c>
      <c r="F2919" t="s">
        <v>116</v>
      </c>
      <c r="G2919">
        <v>0.20310363857596181</v>
      </c>
      <c r="H2919">
        <v>0</v>
      </c>
      <c r="I2919" t="s">
        <v>38</v>
      </c>
      <c r="J2919" t="s">
        <v>1474</v>
      </c>
      <c r="K2919">
        <v>123.11612779460491</v>
      </c>
      <c r="L2919">
        <v>821.93455191885948</v>
      </c>
    </row>
    <row r="2920" spans="1:12" hidden="1" x14ac:dyDescent="0.25">
      <c r="A2920">
        <v>272</v>
      </c>
      <c r="B2920" t="s">
        <v>1026</v>
      </c>
      <c r="C2920" t="s">
        <v>1027</v>
      </c>
      <c r="D2920" t="s">
        <v>1257</v>
      </c>
      <c r="E2920" t="str">
        <f>_xlfn.XLOOKUP(F2920, Keys!B:B, Keys!A:A, "找不到")</f>
        <v>STW</v>
      </c>
      <c r="F2920" t="s">
        <v>116</v>
      </c>
      <c r="G2920">
        <v>0.494607230048422</v>
      </c>
      <c r="H2920">
        <v>0</v>
      </c>
      <c r="I2920" t="s">
        <v>38</v>
      </c>
      <c r="J2920" t="s">
        <v>1477</v>
      </c>
      <c r="K2920">
        <v>260.75172711181619</v>
      </c>
      <c r="L2920">
        <v>2001.6124519287321</v>
      </c>
    </row>
    <row r="2921" spans="1:12" hidden="1" x14ac:dyDescent="0.25">
      <c r="A2921">
        <v>134</v>
      </c>
      <c r="B2921" t="s">
        <v>378</v>
      </c>
      <c r="C2921" t="s">
        <v>379</v>
      </c>
      <c r="D2921">
        <v>0</v>
      </c>
      <c r="E2921" t="str">
        <f>_xlfn.XLOOKUP(F2921, Keys!B:B, Keys!A:A, "找不到")</f>
        <v>STW</v>
      </c>
      <c r="F2921" t="s">
        <v>116</v>
      </c>
      <c r="G2921">
        <v>95.956846034786793</v>
      </c>
      <c r="H2921">
        <v>0</v>
      </c>
      <c r="I2921">
        <v>0</v>
      </c>
      <c r="J2921" t="s">
        <v>708</v>
      </c>
      <c r="K2921">
        <v>3715.6908169348608</v>
      </c>
      <c r="L2921">
        <v>388325.13194809941</v>
      </c>
    </row>
    <row r="2922" spans="1:12" hidden="1" x14ac:dyDescent="0.25">
      <c r="A2922">
        <v>1126</v>
      </c>
      <c r="B2922" t="s">
        <v>378</v>
      </c>
      <c r="C2922" t="s">
        <v>379</v>
      </c>
      <c r="D2922">
        <v>0</v>
      </c>
      <c r="E2922" t="str">
        <f>_xlfn.XLOOKUP(F2922, Keys!B:B, Keys!A:A, "找不到")</f>
        <v>STW</v>
      </c>
      <c r="F2922" t="s">
        <v>116</v>
      </c>
      <c r="G2922">
        <v>95.956846034786793</v>
      </c>
      <c r="H2922">
        <v>0</v>
      </c>
      <c r="I2922">
        <v>0</v>
      </c>
      <c r="J2922">
        <v>0</v>
      </c>
      <c r="K2922">
        <v>0</v>
      </c>
      <c r="L2922">
        <v>3715.6908169348608</v>
      </c>
    </row>
    <row r="2923" spans="1:12" x14ac:dyDescent="0.25">
      <c r="A2923">
        <v>266</v>
      </c>
      <c r="B2923" t="s">
        <v>42</v>
      </c>
      <c r="C2923" t="s">
        <v>36</v>
      </c>
      <c r="D2923" t="s">
        <v>43</v>
      </c>
      <c r="E2923" t="str">
        <f>_xlfn.XLOOKUP(F2923, Keys!B:B, Keys!A:A, "找不到")</f>
        <v>FA</v>
      </c>
      <c r="F2923" t="s">
        <v>63</v>
      </c>
      <c r="G2923">
        <v>0.64052650189379079</v>
      </c>
      <c r="H2923" t="s">
        <v>64</v>
      </c>
      <c r="I2923" t="s">
        <v>65</v>
      </c>
      <c r="J2923">
        <v>0</v>
      </c>
      <c r="K2923">
        <v>232.89087374416289</v>
      </c>
      <c r="L2923">
        <v>2592.1291564125499</v>
      </c>
    </row>
    <row r="2924" spans="1:12" hidden="1" x14ac:dyDescent="0.25">
      <c r="A2924">
        <v>674</v>
      </c>
      <c r="B2924" t="s">
        <v>2605</v>
      </c>
      <c r="C2924" t="s">
        <v>2606</v>
      </c>
      <c r="D2924">
        <v>0</v>
      </c>
      <c r="E2924" t="str">
        <f>_xlfn.XLOOKUP(F2924, Keys!B:B, Keys!A:A, "找不到")</f>
        <v>SSL</v>
      </c>
      <c r="F2924" t="s">
        <v>3657</v>
      </c>
      <c r="G2924">
        <v>14.20322626339169</v>
      </c>
      <c r="H2924" t="s">
        <v>75</v>
      </c>
      <c r="I2924" t="s">
        <v>83</v>
      </c>
      <c r="J2924" t="s">
        <v>3658</v>
      </c>
      <c r="K2924">
        <v>0</v>
      </c>
      <c r="L2924">
        <v>1350.0724170775429</v>
      </c>
    </row>
    <row r="2925" spans="1:12" hidden="1" x14ac:dyDescent="0.25">
      <c r="A2925">
        <v>677</v>
      </c>
      <c r="B2925" t="s">
        <v>2605</v>
      </c>
      <c r="C2925" t="s">
        <v>2606</v>
      </c>
      <c r="D2925">
        <v>0</v>
      </c>
      <c r="E2925" t="str">
        <f>_xlfn.XLOOKUP(F2925, Keys!B:B, Keys!A:A, "找不到")</f>
        <v>SSL</v>
      </c>
      <c r="F2925" t="s">
        <v>3657</v>
      </c>
      <c r="G2925">
        <v>2.2222111450656659</v>
      </c>
      <c r="H2925" t="s">
        <v>75</v>
      </c>
      <c r="I2925" t="s">
        <v>83</v>
      </c>
      <c r="J2925" t="s">
        <v>3658</v>
      </c>
      <c r="K2925">
        <v>0</v>
      </c>
      <c r="L2925">
        <v>526.7874372163443</v>
      </c>
    </row>
    <row r="2926" spans="1:12" hidden="1" x14ac:dyDescent="0.25">
      <c r="A2926">
        <v>681</v>
      </c>
      <c r="B2926" t="s">
        <v>2605</v>
      </c>
      <c r="C2926" t="s">
        <v>2606</v>
      </c>
      <c r="D2926">
        <v>0</v>
      </c>
      <c r="E2926" t="str">
        <f>_xlfn.XLOOKUP(F2926, Keys!B:B, Keys!A:A, "找不到")</f>
        <v>SSL</v>
      </c>
      <c r="F2926" t="s">
        <v>3657</v>
      </c>
      <c r="G2926">
        <v>2.7803230177001241</v>
      </c>
      <c r="H2926" t="s">
        <v>75</v>
      </c>
      <c r="I2926" t="s">
        <v>83</v>
      </c>
      <c r="J2926" t="s">
        <v>3658</v>
      </c>
      <c r="K2926">
        <v>0</v>
      </c>
      <c r="L2926">
        <v>747.92146172594437</v>
      </c>
    </row>
    <row r="2927" spans="1:12" hidden="1" x14ac:dyDescent="0.25">
      <c r="A2927">
        <v>684</v>
      </c>
      <c r="B2927" t="s">
        <v>2605</v>
      </c>
      <c r="C2927" t="s">
        <v>2606</v>
      </c>
      <c r="D2927">
        <v>0</v>
      </c>
      <c r="E2927" t="str">
        <f>_xlfn.XLOOKUP(F2927, Keys!B:B, Keys!A:A, "找不到")</f>
        <v>SSL</v>
      </c>
      <c r="F2927" t="s">
        <v>3657</v>
      </c>
      <c r="G2927">
        <v>3.9185488041410359</v>
      </c>
      <c r="H2927" t="s">
        <v>75</v>
      </c>
      <c r="I2927" t="s">
        <v>83</v>
      </c>
      <c r="J2927" t="s">
        <v>3658</v>
      </c>
      <c r="K2927">
        <v>0</v>
      </c>
      <c r="L2927">
        <v>596.90481436798382</v>
      </c>
    </row>
    <row r="2928" spans="1:12" hidden="1" x14ac:dyDescent="0.25">
      <c r="A2928">
        <v>685</v>
      </c>
      <c r="B2928" t="s">
        <v>2605</v>
      </c>
      <c r="C2928" t="s">
        <v>2606</v>
      </c>
      <c r="D2928">
        <v>0</v>
      </c>
      <c r="E2928" t="str">
        <f>_xlfn.XLOOKUP(F2928, Keys!B:B, Keys!A:A, "找不到")</f>
        <v>SSL</v>
      </c>
      <c r="F2928" t="s">
        <v>3657</v>
      </c>
      <c r="G2928">
        <v>5.0412738197742719</v>
      </c>
      <c r="H2928" t="s">
        <v>75</v>
      </c>
      <c r="I2928" t="s">
        <v>83</v>
      </c>
      <c r="J2928" t="s">
        <v>3658</v>
      </c>
      <c r="K2928">
        <v>0</v>
      </c>
      <c r="L2928">
        <v>587.45278792172462</v>
      </c>
    </row>
    <row r="2929" spans="1:12" hidden="1" x14ac:dyDescent="0.25">
      <c r="A2929">
        <v>687</v>
      </c>
      <c r="B2929" t="s">
        <v>2605</v>
      </c>
      <c r="C2929" t="s">
        <v>2606</v>
      </c>
      <c r="D2929">
        <v>0</v>
      </c>
      <c r="E2929" t="str">
        <f>_xlfn.XLOOKUP(F2929, Keys!B:B, Keys!A:A, "找不到")</f>
        <v>SSL</v>
      </c>
      <c r="F2929" t="s">
        <v>3657</v>
      </c>
      <c r="G2929">
        <v>7.0406833035849274</v>
      </c>
      <c r="H2929" t="s">
        <v>75</v>
      </c>
      <c r="I2929" t="s">
        <v>83</v>
      </c>
      <c r="J2929" t="s">
        <v>3658</v>
      </c>
      <c r="K2929">
        <v>0</v>
      </c>
      <c r="L2929">
        <v>691.27527293121545</v>
      </c>
    </row>
    <row r="2930" spans="1:12" hidden="1" x14ac:dyDescent="0.25">
      <c r="A2930">
        <v>688</v>
      </c>
      <c r="B2930" t="s">
        <v>2605</v>
      </c>
      <c r="C2930" t="s">
        <v>2606</v>
      </c>
      <c r="D2930">
        <v>0</v>
      </c>
      <c r="E2930" t="str">
        <f>_xlfn.XLOOKUP(F2930, Keys!B:B, Keys!A:A, "找不到")</f>
        <v>SSL</v>
      </c>
      <c r="F2930" t="s">
        <v>3657</v>
      </c>
      <c r="G2930">
        <v>3.6825911875775348</v>
      </c>
      <c r="H2930" t="s">
        <v>75</v>
      </c>
      <c r="I2930" t="s">
        <v>83</v>
      </c>
      <c r="J2930" t="s">
        <v>3658</v>
      </c>
      <c r="K2930">
        <v>0</v>
      </c>
      <c r="L2930">
        <v>641.38876879336658</v>
      </c>
    </row>
    <row r="2931" spans="1:12" hidden="1" x14ac:dyDescent="0.25">
      <c r="A2931">
        <v>1074</v>
      </c>
      <c r="B2931">
        <v>0</v>
      </c>
      <c r="C2931" t="s">
        <v>2606</v>
      </c>
      <c r="D2931">
        <v>0</v>
      </c>
      <c r="E2931" t="str">
        <f>_xlfn.XLOOKUP(F2931, Keys!B:B, Keys!A:A, "找不到")</f>
        <v>TC</v>
      </c>
      <c r="F2931" t="s">
        <v>409</v>
      </c>
      <c r="G2931">
        <v>0.15135739510639329</v>
      </c>
      <c r="H2931" t="s">
        <v>60</v>
      </c>
      <c r="I2931" t="s">
        <v>66</v>
      </c>
      <c r="J2931">
        <v>0</v>
      </c>
      <c r="K2931">
        <v>0</v>
      </c>
      <c r="L2931">
        <v>108.9038268281905</v>
      </c>
    </row>
    <row r="2932" spans="1:12" hidden="1" x14ac:dyDescent="0.25">
      <c r="A2932">
        <v>157</v>
      </c>
      <c r="C2932" t="s">
        <v>3970</v>
      </c>
      <c r="D2932">
        <v>0</v>
      </c>
      <c r="E2932" t="str">
        <f>_xlfn.XLOOKUP(F2932, Keys!B:B, Keys!A:A, "找不到")</f>
        <v>TC</v>
      </c>
      <c r="F2932" t="s">
        <v>409</v>
      </c>
      <c r="G2932">
        <v>0.5103854289255837</v>
      </c>
      <c r="H2932" t="s">
        <v>60</v>
      </c>
      <c r="I2932" t="s">
        <v>66</v>
      </c>
      <c r="J2932" t="s">
        <v>4241</v>
      </c>
      <c r="K2932">
        <v>0</v>
      </c>
      <c r="L2932">
        <v>0</v>
      </c>
    </row>
    <row r="2933" spans="1:12" hidden="1" x14ac:dyDescent="0.25">
      <c r="A2933">
        <v>158</v>
      </c>
      <c r="C2933" t="s">
        <v>3970</v>
      </c>
      <c r="D2933">
        <v>0</v>
      </c>
      <c r="E2933" t="str">
        <f>_xlfn.XLOOKUP(F2933, Keys!B:B, Keys!A:A, "找不到")</f>
        <v>TC</v>
      </c>
      <c r="F2933" t="s">
        <v>409</v>
      </c>
      <c r="G2933">
        <v>0.17081114037640011</v>
      </c>
      <c r="H2933" t="s">
        <v>60</v>
      </c>
      <c r="I2933" t="s">
        <v>66</v>
      </c>
      <c r="J2933">
        <v>0</v>
      </c>
      <c r="K2933">
        <v>0</v>
      </c>
      <c r="L2933">
        <v>0</v>
      </c>
    </row>
    <row r="2934" spans="1:12" hidden="1" x14ac:dyDescent="0.25">
      <c r="A2934">
        <v>159</v>
      </c>
      <c r="C2934" t="s">
        <v>3970</v>
      </c>
      <c r="D2934">
        <v>0</v>
      </c>
      <c r="E2934" t="str">
        <f>_xlfn.XLOOKUP(F2934, Keys!B:B, Keys!A:A, "找不到")</f>
        <v>TC</v>
      </c>
      <c r="F2934" t="s">
        <v>409</v>
      </c>
      <c r="G2934">
        <v>0.1052839880394951</v>
      </c>
      <c r="H2934" t="s">
        <v>60</v>
      </c>
      <c r="I2934" t="s">
        <v>66</v>
      </c>
      <c r="J2934">
        <v>0</v>
      </c>
      <c r="K2934">
        <v>0</v>
      </c>
      <c r="L2934">
        <v>0</v>
      </c>
    </row>
    <row r="2935" spans="1:12" hidden="1" x14ac:dyDescent="0.25">
      <c r="A2935">
        <v>920</v>
      </c>
      <c r="B2935" t="s">
        <v>2605</v>
      </c>
      <c r="C2935" t="s">
        <v>2606</v>
      </c>
      <c r="D2935" t="s">
        <v>2702</v>
      </c>
      <c r="E2935" t="str">
        <f>_xlfn.XLOOKUP(F2935, Keys!B:B, Keys!A:A, "找不到")</f>
        <v>TC</v>
      </c>
      <c r="F2935" t="s">
        <v>409</v>
      </c>
      <c r="G2935">
        <v>6.0033314064691673E-2</v>
      </c>
      <c r="H2935" t="s">
        <v>60</v>
      </c>
      <c r="I2935" t="s">
        <v>66</v>
      </c>
      <c r="J2935" t="s">
        <v>57</v>
      </c>
      <c r="K2935">
        <v>0</v>
      </c>
      <c r="L2935">
        <v>68.650618764756942</v>
      </c>
    </row>
    <row r="2936" spans="1:12" hidden="1" x14ac:dyDescent="0.25">
      <c r="A2936">
        <v>975</v>
      </c>
      <c r="B2936" t="s">
        <v>2605</v>
      </c>
      <c r="C2936" t="s">
        <v>2606</v>
      </c>
      <c r="D2936">
        <v>0</v>
      </c>
      <c r="E2936" t="str">
        <f>_xlfn.XLOOKUP(F2936, Keys!B:B, Keys!A:A, "找不到")</f>
        <v>TC</v>
      </c>
      <c r="F2936" t="s">
        <v>409</v>
      </c>
      <c r="G2936">
        <v>0.24867847897390261</v>
      </c>
      <c r="H2936" t="s">
        <v>60</v>
      </c>
      <c r="I2936" t="s">
        <v>66</v>
      </c>
      <c r="J2936">
        <v>0</v>
      </c>
      <c r="K2936">
        <v>0</v>
      </c>
      <c r="L2936">
        <v>184.08428941308659</v>
      </c>
    </row>
    <row r="2937" spans="1:12" hidden="1" x14ac:dyDescent="0.25">
      <c r="A2937">
        <v>1033</v>
      </c>
      <c r="B2937" t="s">
        <v>2605</v>
      </c>
      <c r="C2937" t="s">
        <v>2606</v>
      </c>
      <c r="D2937">
        <v>0</v>
      </c>
      <c r="E2937" t="str">
        <f>_xlfn.XLOOKUP(F2937, Keys!B:B, Keys!A:A, "找不到")</f>
        <v>TC</v>
      </c>
      <c r="F2937" t="s">
        <v>409</v>
      </c>
      <c r="G2937">
        <v>0.29253500944984939</v>
      </c>
      <c r="H2937" t="s">
        <v>60</v>
      </c>
      <c r="I2937" t="s">
        <v>66</v>
      </c>
      <c r="J2937">
        <v>0</v>
      </c>
      <c r="K2937">
        <v>0</v>
      </c>
      <c r="L2937">
        <v>138.71006949405759</v>
      </c>
    </row>
    <row r="2938" spans="1:12" hidden="1" x14ac:dyDescent="0.25">
      <c r="A2938">
        <v>92</v>
      </c>
      <c r="B2938" t="s">
        <v>2042</v>
      </c>
      <c r="C2938" t="s">
        <v>972</v>
      </c>
      <c r="D2938">
        <v>0</v>
      </c>
      <c r="E2938" t="str">
        <f>_xlfn.XLOOKUP(F2938, Keys!B:B, Keys!A:A, "找不到")</f>
        <v>TC</v>
      </c>
      <c r="F2938" t="s">
        <v>409</v>
      </c>
      <c r="G2938">
        <v>0.33967468120707539</v>
      </c>
      <c r="H2938" t="s">
        <v>60</v>
      </c>
      <c r="I2938" t="s">
        <v>66</v>
      </c>
      <c r="J2938" t="s">
        <v>2200</v>
      </c>
      <c r="K2938">
        <v>198.28450831486259</v>
      </c>
      <c r="L2938">
        <v>1374.620163644682</v>
      </c>
    </row>
    <row r="2939" spans="1:12" hidden="1" x14ac:dyDescent="0.25">
      <c r="A2939">
        <v>70</v>
      </c>
      <c r="B2939" t="s">
        <v>1482</v>
      </c>
      <c r="C2939" t="s">
        <v>1483</v>
      </c>
      <c r="D2939">
        <v>0</v>
      </c>
      <c r="E2939" t="str">
        <f>_xlfn.XLOOKUP(F2939, Keys!B:B, Keys!A:A, "找不到")</f>
        <v>TC</v>
      </c>
      <c r="F2939" t="s">
        <v>409</v>
      </c>
      <c r="G2939">
        <v>0.47103991525071842</v>
      </c>
      <c r="H2939" t="s">
        <v>60</v>
      </c>
      <c r="I2939" t="s">
        <v>66</v>
      </c>
      <c r="J2939" t="s">
        <v>1640</v>
      </c>
      <c r="K2939">
        <v>184.01458454552809</v>
      </c>
      <c r="L2939">
        <v>1906.238531185621</v>
      </c>
    </row>
    <row r="2940" spans="1:12" hidden="1" x14ac:dyDescent="0.25">
      <c r="A2940">
        <v>73</v>
      </c>
      <c r="B2940" t="s">
        <v>1482</v>
      </c>
      <c r="C2940" t="s">
        <v>1483</v>
      </c>
      <c r="D2940">
        <v>0</v>
      </c>
      <c r="E2940" t="str">
        <f>_xlfn.XLOOKUP(F2940, Keys!B:B, Keys!A:A, "找不到")</f>
        <v>TC</v>
      </c>
      <c r="F2940" t="s">
        <v>409</v>
      </c>
      <c r="G2940">
        <v>0.54479169100045843</v>
      </c>
      <c r="H2940" t="s">
        <v>60</v>
      </c>
      <c r="I2940" t="s">
        <v>66</v>
      </c>
      <c r="J2940" t="s">
        <v>1640</v>
      </c>
      <c r="K2940">
        <v>214.5305941749657</v>
      </c>
      <c r="L2940">
        <v>2204.7025723968318</v>
      </c>
    </row>
    <row r="2941" spans="1:12" hidden="1" x14ac:dyDescent="0.25">
      <c r="A2941">
        <v>104</v>
      </c>
      <c r="B2941" t="s">
        <v>1482</v>
      </c>
      <c r="C2941" t="s">
        <v>1483</v>
      </c>
      <c r="D2941">
        <v>0</v>
      </c>
      <c r="E2941" t="str">
        <f>_xlfn.XLOOKUP(F2941, Keys!B:B, Keys!A:A, "找不到")</f>
        <v>TC</v>
      </c>
      <c r="F2941" t="s">
        <v>409</v>
      </c>
      <c r="G2941">
        <v>0.20792662484630919</v>
      </c>
      <c r="H2941" t="s">
        <v>60</v>
      </c>
      <c r="I2941" t="s">
        <v>66</v>
      </c>
      <c r="J2941" t="s">
        <v>1700</v>
      </c>
      <c r="K2941">
        <v>115.91131456756411</v>
      </c>
      <c r="L2941">
        <v>841.45256295412776</v>
      </c>
    </row>
    <row r="2942" spans="1:12" hidden="1" x14ac:dyDescent="0.25">
      <c r="A2942">
        <v>117</v>
      </c>
      <c r="B2942" t="s">
        <v>1482</v>
      </c>
      <c r="C2942" t="s">
        <v>1483</v>
      </c>
      <c r="D2942">
        <v>0</v>
      </c>
      <c r="E2942" t="str">
        <f>_xlfn.XLOOKUP(F2942, Keys!B:B, Keys!A:A, "找不到")</f>
        <v>TC</v>
      </c>
      <c r="F2942" t="s">
        <v>409</v>
      </c>
      <c r="G2942">
        <v>0.2863499262696505</v>
      </c>
      <c r="H2942" t="s">
        <v>60</v>
      </c>
      <c r="I2942" t="s">
        <v>66</v>
      </c>
      <c r="J2942" t="s">
        <v>1735</v>
      </c>
      <c r="K2942">
        <v>135.40336647395171</v>
      </c>
      <c r="L2942">
        <v>1158.8216734601599</v>
      </c>
    </row>
    <row r="2943" spans="1:12" hidden="1" x14ac:dyDescent="0.25">
      <c r="A2943">
        <v>125</v>
      </c>
      <c r="B2943" t="s">
        <v>1482</v>
      </c>
      <c r="C2943" t="s">
        <v>1483</v>
      </c>
      <c r="D2943">
        <v>0</v>
      </c>
      <c r="E2943" t="str">
        <f>_xlfn.XLOOKUP(F2943, Keys!B:B, Keys!A:A, "找不到")</f>
        <v>TC</v>
      </c>
      <c r="F2943" t="s">
        <v>409</v>
      </c>
      <c r="G2943">
        <v>9.0568729276906942E-2</v>
      </c>
      <c r="H2943" t="s">
        <v>60</v>
      </c>
      <c r="I2943" t="s">
        <v>66</v>
      </c>
      <c r="J2943" t="s">
        <v>673</v>
      </c>
      <c r="K2943">
        <v>100.4118802780394</v>
      </c>
      <c r="L2943">
        <v>366.52010982183089</v>
      </c>
    </row>
    <row r="2944" spans="1:12" hidden="1" x14ac:dyDescent="0.25">
      <c r="A2944">
        <v>132</v>
      </c>
      <c r="B2944" t="s">
        <v>1482</v>
      </c>
      <c r="C2944" t="s">
        <v>1483</v>
      </c>
      <c r="D2944">
        <v>0</v>
      </c>
      <c r="E2944" t="str">
        <f>_xlfn.XLOOKUP(F2944, Keys!B:B, Keys!A:A, "找不到")</f>
        <v>TC</v>
      </c>
      <c r="F2944" t="s">
        <v>409</v>
      </c>
      <c r="G2944">
        <v>0.22873667254366431</v>
      </c>
      <c r="H2944" t="s">
        <v>60</v>
      </c>
      <c r="I2944" t="s">
        <v>66</v>
      </c>
      <c r="J2944" t="s">
        <v>673</v>
      </c>
      <c r="K2944">
        <v>174.14866350978031</v>
      </c>
      <c r="L2944">
        <v>925.66817499073079</v>
      </c>
    </row>
    <row r="2945" spans="1:12" hidden="1" x14ac:dyDescent="0.25">
      <c r="A2945">
        <v>143</v>
      </c>
      <c r="B2945" t="s">
        <v>1482</v>
      </c>
      <c r="C2945" t="s">
        <v>1483</v>
      </c>
      <c r="D2945">
        <v>0</v>
      </c>
      <c r="E2945" t="str">
        <f>_xlfn.XLOOKUP(F2945, Keys!B:B, Keys!A:A, "找不到")</f>
        <v>TC</v>
      </c>
      <c r="F2945" t="s">
        <v>409</v>
      </c>
      <c r="G2945">
        <v>4.0380423997263208E-2</v>
      </c>
      <c r="H2945" t="s">
        <v>60</v>
      </c>
      <c r="I2945" t="s">
        <v>66</v>
      </c>
      <c r="J2945" t="s">
        <v>1784</v>
      </c>
      <c r="K2945">
        <v>51.487311970666497</v>
      </c>
      <c r="L2945">
        <v>163.41443184963339</v>
      </c>
    </row>
    <row r="2946" spans="1:12" hidden="1" x14ac:dyDescent="0.25">
      <c r="A2946">
        <v>144</v>
      </c>
      <c r="B2946" t="s">
        <v>1482</v>
      </c>
      <c r="C2946" t="s">
        <v>1483</v>
      </c>
      <c r="D2946">
        <v>0</v>
      </c>
      <c r="E2946" t="str">
        <f>_xlfn.XLOOKUP(F2946, Keys!B:B, Keys!A:A, "找不到")</f>
        <v>TC</v>
      </c>
      <c r="F2946" t="s">
        <v>409</v>
      </c>
      <c r="G2946">
        <v>2.958437017804642E-2</v>
      </c>
      <c r="H2946" t="s">
        <v>60</v>
      </c>
      <c r="I2946" t="s">
        <v>66</v>
      </c>
      <c r="J2946" t="s">
        <v>1784</v>
      </c>
      <c r="K2946">
        <v>42.570510529443673</v>
      </c>
      <c r="L2946">
        <v>119.7241773539167</v>
      </c>
    </row>
    <row r="2947" spans="1:12" hidden="1" x14ac:dyDescent="0.25">
      <c r="A2947">
        <v>210</v>
      </c>
      <c r="B2947" t="s">
        <v>1482</v>
      </c>
      <c r="C2947" t="s">
        <v>1483</v>
      </c>
      <c r="D2947" t="s">
        <v>1612</v>
      </c>
      <c r="E2947" t="str">
        <f>_xlfn.XLOOKUP(F2947, Keys!B:B, Keys!A:A, "找不到")</f>
        <v>TC</v>
      </c>
      <c r="F2947" t="s">
        <v>409</v>
      </c>
      <c r="G2947">
        <v>0.22163973697974251</v>
      </c>
      <c r="H2947" t="s">
        <v>60</v>
      </c>
      <c r="I2947" t="s">
        <v>66</v>
      </c>
      <c r="J2947" t="s">
        <v>1613</v>
      </c>
      <c r="K2947">
        <v>149.28931813396841</v>
      </c>
      <c r="L2947">
        <v>896.94778084305312</v>
      </c>
    </row>
    <row r="2948" spans="1:12" hidden="1" x14ac:dyDescent="0.25">
      <c r="A2948">
        <v>218</v>
      </c>
      <c r="B2948" t="s">
        <v>1482</v>
      </c>
      <c r="C2948" t="s">
        <v>1483</v>
      </c>
      <c r="D2948">
        <v>0</v>
      </c>
      <c r="E2948" t="str">
        <f>_xlfn.XLOOKUP(F2948, Keys!B:B, Keys!A:A, "找不到")</f>
        <v>TC</v>
      </c>
      <c r="F2948" t="s">
        <v>409</v>
      </c>
      <c r="G2948">
        <v>0.41588205805685619</v>
      </c>
      <c r="H2948" t="s">
        <v>60</v>
      </c>
      <c r="I2948" t="s">
        <v>66</v>
      </c>
      <c r="J2948" t="s">
        <v>1928</v>
      </c>
      <c r="K2948">
        <v>327.13606998388082</v>
      </c>
      <c r="L2948">
        <v>1683.0217096884251</v>
      </c>
    </row>
    <row r="2949" spans="1:12" hidden="1" x14ac:dyDescent="0.25">
      <c r="A2949">
        <v>263</v>
      </c>
      <c r="B2949" t="s">
        <v>1482</v>
      </c>
      <c r="C2949" t="s">
        <v>1483</v>
      </c>
      <c r="D2949" t="s">
        <v>1612</v>
      </c>
      <c r="E2949" t="str">
        <f>_xlfn.XLOOKUP(F2949, Keys!B:B, Keys!A:A, "找不到")</f>
        <v>TC</v>
      </c>
      <c r="F2949" t="s">
        <v>409</v>
      </c>
      <c r="G2949">
        <v>6.0278375522484932E-2</v>
      </c>
      <c r="H2949" t="s">
        <v>60</v>
      </c>
      <c r="I2949" t="s">
        <v>66</v>
      </c>
      <c r="J2949" t="s">
        <v>2038</v>
      </c>
      <c r="K2949">
        <v>61.258804023975259</v>
      </c>
      <c r="L2949">
        <v>243.93890686965881</v>
      </c>
    </row>
    <row r="2950" spans="1:12" hidden="1" x14ac:dyDescent="0.25">
      <c r="A2950">
        <v>264</v>
      </c>
      <c r="B2950" t="s">
        <v>1482</v>
      </c>
      <c r="C2950" t="s">
        <v>1483</v>
      </c>
      <c r="D2950" t="s">
        <v>1612</v>
      </c>
      <c r="E2950" t="str">
        <f>_xlfn.XLOOKUP(F2950, Keys!B:B, Keys!A:A, "找不到")</f>
        <v>TC</v>
      </c>
      <c r="F2950" t="s">
        <v>409</v>
      </c>
      <c r="G2950">
        <v>6.7597585660886028E-2</v>
      </c>
      <c r="H2950" t="s">
        <v>60</v>
      </c>
      <c r="I2950" t="s">
        <v>66</v>
      </c>
      <c r="J2950" t="s">
        <v>2038</v>
      </c>
      <c r="K2950">
        <v>62.669645915656901</v>
      </c>
      <c r="L2950">
        <v>273.55881790466822</v>
      </c>
    </row>
    <row r="2951" spans="1:12" hidden="1" x14ac:dyDescent="0.25">
      <c r="A2951">
        <v>200</v>
      </c>
      <c r="B2951" t="s">
        <v>1026</v>
      </c>
      <c r="C2951" t="s">
        <v>1027</v>
      </c>
      <c r="D2951">
        <v>0</v>
      </c>
      <c r="E2951" t="str">
        <f>_xlfn.XLOOKUP(F2951, Keys!B:B, Keys!A:A, "找不到")</f>
        <v>TC</v>
      </c>
      <c r="F2951" t="s">
        <v>409</v>
      </c>
      <c r="G2951">
        <v>0.99316608585550481</v>
      </c>
      <c r="H2951" t="s">
        <v>60</v>
      </c>
      <c r="I2951" t="s">
        <v>66</v>
      </c>
      <c r="J2951" t="s">
        <v>1422</v>
      </c>
      <c r="K2951">
        <v>252.8572480792576</v>
      </c>
      <c r="L2951">
        <v>4019.2166299046621</v>
      </c>
    </row>
    <row r="2952" spans="1:12" hidden="1" x14ac:dyDescent="0.25">
      <c r="A2952">
        <v>202</v>
      </c>
      <c r="B2952" t="s">
        <v>1026</v>
      </c>
      <c r="C2952" t="s">
        <v>1027</v>
      </c>
      <c r="D2952">
        <v>0</v>
      </c>
      <c r="E2952" t="str">
        <f>_xlfn.XLOOKUP(F2952, Keys!B:B, Keys!A:A, "找不到")</f>
        <v>TC</v>
      </c>
      <c r="F2952" t="s">
        <v>409</v>
      </c>
      <c r="G2952">
        <v>0.39206786206977601</v>
      </c>
      <c r="H2952" t="s">
        <v>60</v>
      </c>
      <c r="I2952" t="s">
        <v>66</v>
      </c>
      <c r="J2952" t="s">
        <v>1431</v>
      </c>
      <c r="K2952">
        <v>196.0898336053711</v>
      </c>
      <c r="L2952">
        <v>1586.648692222132</v>
      </c>
    </row>
    <row r="2953" spans="1:12" hidden="1" x14ac:dyDescent="0.25">
      <c r="A2953">
        <v>256</v>
      </c>
      <c r="B2953" t="s">
        <v>1026</v>
      </c>
      <c r="C2953" t="s">
        <v>1027</v>
      </c>
      <c r="D2953">
        <v>0</v>
      </c>
      <c r="E2953" t="str">
        <f>_xlfn.XLOOKUP(F2953, Keys!B:B, Keys!A:A, "找不到")</f>
        <v>TC</v>
      </c>
      <c r="F2953" t="s">
        <v>409</v>
      </c>
      <c r="G2953">
        <v>2.055027997973113</v>
      </c>
      <c r="H2953" t="s">
        <v>60</v>
      </c>
      <c r="I2953" t="s">
        <v>66</v>
      </c>
      <c r="J2953" t="s">
        <v>1472</v>
      </c>
      <c r="K2953">
        <v>360.05308088552209</v>
      </c>
      <c r="L2953">
        <v>8316.4365175221101</v>
      </c>
    </row>
    <row r="2954" spans="1:12" hidden="1" x14ac:dyDescent="0.25">
      <c r="A2954">
        <v>281</v>
      </c>
      <c r="B2954" t="s">
        <v>1026</v>
      </c>
      <c r="C2954" t="s">
        <v>1027</v>
      </c>
      <c r="D2954">
        <v>0</v>
      </c>
      <c r="E2954" t="str">
        <f>_xlfn.XLOOKUP(F2954, Keys!B:B, Keys!A:A, "找不到")</f>
        <v>TC</v>
      </c>
      <c r="F2954" t="s">
        <v>409</v>
      </c>
      <c r="G2954">
        <v>0.62016861294040471</v>
      </c>
      <c r="H2954" t="s">
        <v>60</v>
      </c>
      <c r="I2954" t="s">
        <v>66</v>
      </c>
      <c r="J2954">
        <v>0</v>
      </c>
      <c r="K2954">
        <v>202.5652481243948</v>
      </c>
      <c r="L2954">
        <v>2509.7433732122299</v>
      </c>
    </row>
    <row r="2955" spans="1:12" hidden="1" x14ac:dyDescent="0.25">
      <c r="A2955">
        <v>10</v>
      </c>
      <c r="B2955" t="s">
        <v>378</v>
      </c>
      <c r="C2955" t="s">
        <v>379</v>
      </c>
      <c r="D2955">
        <v>0</v>
      </c>
      <c r="E2955" t="str">
        <f>_xlfn.XLOOKUP(F2955, Keys!B:B, Keys!A:A, "找不到")</f>
        <v>TC</v>
      </c>
      <c r="F2955" t="s">
        <v>409</v>
      </c>
      <c r="G2955">
        <v>0.22012113815142781</v>
      </c>
      <c r="H2955" t="s">
        <v>60</v>
      </c>
      <c r="I2955" t="s">
        <v>66</v>
      </c>
      <c r="J2955" t="s">
        <v>57</v>
      </c>
      <c r="K2955">
        <v>132.5319168913214</v>
      </c>
      <c r="L2955">
        <v>890.80220483935955</v>
      </c>
    </row>
    <row r="2956" spans="1:12" hidden="1" x14ac:dyDescent="0.25">
      <c r="A2956">
        <v>39</v>
      </c>
      <c r="B2956" t="s">
        <v>378</v>
      </c>
      <c r="C2956" t="s">
        <v>379</v>
      </c>
      <c r="D2956" t="s">
        <v>479</v>
      </c>
      <c r="E2956" t="str">
        <f>_xlfn.XLOOKUP(F2956, Keys!B:B, Keys!A:A, "找不到")</f>
        <v>TC</v>
      </c>
      <c r="F2956" t="s">
        <v>409</v>
      </c>
      <c r="G2956">
        <v>0.52679583291688126</v>
      </c>
      <c r="H2956" t="s">
        <v>46</v>
      </c>
      <c r="I2956" t="s">
        <v>47</v>
      </c>
      <c r="J2956" t="s">
        <v>480</v>
      </c>
      <c r="K2956">
        <v>235.02413001030129</v>
      </c>
      <c r="L2956">
        <v>2131.875627227219</v>
      </c>
    </row>
    <row r="2957" spans="1:12" hidden="1" x14ac:dyDescent="0.25">
      <c r="A2957">
        <v>92</v>
      </c>
      <c r="B2957" t="s">
        <v>378</v>
      </c>
      <c r="C2957" t="s">
        <v>379</v>
      </c>
      <c r="D2957">
        <v>0</v>
      </c>
      <c r="E2957" t="str">
        <f>_xlfn.XLOOKUP(F2957, Keys!B:B, Keys!A:A, "找不到")</f>
        <v>TC</v>
      </c>
      <c r="F2957" t="s">
        <v>409</v>
      </c>
      <c r="G2957">
        <v>0.126922999589963</v>
      </c>
      <c r="H2957" t="s">
        <v>60</v>
      </c>
      <c r="I2957" t="s">
        <v>66</v>
      </c>
      <c r="J2957" t="s">
        <v>637</v>
      </c>
      <c r="K2957">
        <v>89.969367161546657</v>
      </c>
      <c r="L2957">
        <v>513.64121060370212</v>
      </c>
    </row>
    <row r="2958" spans="1:12" hidden="1" x14ac:dyDescent="0.25">
      <c r="A2958">
        <v>109</v>
      </c>
      <c r="B2958" t="s">
        <v>378</v>
      </c>
      <c r="C2958" t="s">
        <v>379</v>
      </c>
      <c r="D2958">
        <v>0</v>
      </c>
      <c r="E2958" t="str">
        <f>_xlfn.XLOOKUP(F2958, Keys!B:B, Keys!A:A, "找不到")</f>
        <v>TC</v>
      </c>
      <c r="F2958" t="s">
        <v>409</v>
      </c>
      <c r="G2958">
        <v>7.7025855894923209E-2</v>
      </c>
      <c r="H2958" t="s">
        <v>60</v>
      </c>
      <c r="I2958" t="s">
        <v>66</v>
      </c>
      <c r="J2958" t="s">
        <v>685</v>
      </c>
      <c r="K2958">
        <v>70.793481412352747</v>
      </c>
      <c r="L2958">
        <v>311.71382647328591</v>
      </c>
    </row>
    <row r="2959" spans="1:12" hidden="1" x14ac:dyDescent="0.25">
      <c r="A2959">
        <v>110</v>
      </c>
      <c r="B2959" t="s">
        <v>378</v>
      </c>
      <c r="C2959" t="s">
        <v>379</v>
      </c>
      <c r="D2959">
        <v>0</v>
      </c>
      <c r="E2959" t="str">
        <f>_xlfn.XLOOKUP(F2959, Keys!B:B, Keys!A:A, "找不到")</f>
        <v>TC</v>
      </c>
      <c r="F2959" t="s">
        <v>409</v>
      </c>
      <c r="G2959">
        <v>5.5741754030004753E-2</v>
      </c>
      <c r="H2959" t="s">
        <v>60</v>
      </c>
      <c r="I2959" t="s">
        <v>66</v>
      </c>
      <c r="J2959" t="s">
        <v>685</v>
      </c>
      <c r="K2959">
        <v>64.662449151519141</v>
      </c>
      <c r="L2959">
        <v>225.5797776103739</v>
      </c>
    </row>
    <row r="2960" spans="1:12" hidden="1" x14ac:dyDescent="0.25">
      <c r="A2960">
        <v>111</v>
      </c>
      <c r="B2960" t="s">
        <v>378</v>
      </c>
      <c r="C2960" t="s">
        <v>379</v>
      </c>
      <c r="D2960">
        <v>0</v>
      </c>
      <c r="E2960" t="str">
        <f>_xlfn.XLOOKUP(F2960, Keys!B:B, Keys!A:A, "找不到")</f>
        <v>TC</v>
      </c>
      <c r="F2960" t="s">
        <v>409</v>
      </c>
      <c r="G2960">
        <v>9.990565583102946E-3</v>
      </c>
      <c r="H2960" t="s">
        <v>60</v>
      </c>
      <c r="I2960" t="s">
        <v>66</v>
      </c>
      <c r="J2960" t="s">
        <v>685</v>
      </c>
      <c r="K2960">
        <v>36.949965095222836</v>
      </c>
      <c r="L2960">
        <v>40.430546215411702</v>
      </c>
    </row>
    <row r="2961" spans="1:12" hidden="1" x14ac:dyDescent="0.25">
      <c r="A2961">
        <v>112</v>
      </c>
      <c r="B2961" t="s">
        <v>378</v>
      </c>
      <c r="C2961" t="s">
        <v>379</v>
      </c>
      <c r="D2961">
        <v>0</v>
      </c>
      <c r="E2961" t="str">
        <f>_xlfn.XLOOKUP(F2961, Keys!B:B, Keys!A:A, "找不到")</f>
        <v>TC</v>
      </c>
      <c r="F2961" t="s">
        <v>409</v>
      </c>
      <c r="G2961">
        <v>9.8779907655035665E-2</v>
      </c>
      <c r="H2961" t="s">
        <v>60</v>
      </c>
      <c r="I2961" t="s">
        <v>66</v>
      </c>
      <c r="J2961" t="s">
        <v>685</v>
      </c>
      <c r="K2961">
        <v>126.0701097470437</v>
      </c>
      <c r="L2961">
        <v>399.74970269507179</v>
      </c>
    </row>
    <row r="2962" spans="1:12" hidden="1" x14ac:dyDescent="0.25">
      <c r="A2962">
        <v>123</v>
      </c>
      <c r="B2962" t="s">
        <v>378</v>
      </c>
      <c r="C2962" t="s">
        <v>379</v>
      </c>
      <c r="D2962">
        <v>0</v>
      </c>
      <c r="E2962" t="str">
        <f>_xlfn.XLOOKUP(F2962, Keys!B:B, Keys!A:A, "找不到")</f>
        <v>TC</v>
      </c>
      <c r="F2962" t="s">
        <v>409</v>
      </c>
      <c r="G2962">
        <v>8.6474891547823313E-2</v>
      </c>
      <c r="H2962" t="s">
        <v>60</v>
      </c>
      <c r="I2962" t="s">
        <v>66</v>
      </c>
      <c r="J2962">
        <v>0</v>
      </c>
      <c r="K2962">
        <v>91.515849900194922</v>
      </c>
      <c r="L2962">
        <v>349.95287004673258</v>
      </c>
    </row>
    <row r="2963" spans="1:12" hidden="1" x14ac:dyDescent="0.25">
      <c r="A2963">
        <v>124</v>
      </c>
      <c r="B2963" t="s">
        <v>378</v>
      </c>
      <c r="C2963" t="s">
        <v>379</v>
      </c>
      <c r="D2963">
        <v>0</v>
      </c>
      <c r="E2963" t="str">
        <f>_xlfn.XLOOKUP(F2963, Keys!B:B, Keys!A:A, "找不到")</f>
        <v>TC</v>
      </c>
      <c r="F2963" t="s">
        <v>409</v>
      </c>
      <c r="G2963">
        <v>0.25894892559617172</v>
      </c>
      <c r="H2963" t="s">
        <v>60</v>
      </c>
      <c r="I2963" t="s">
        <v>66</v>
      </c>
      <c r="J2963">
        <v>0</v>
      </c>
      <c r="K2963">
        <v>132.9949273388747</v>
      </c>
      <c r="L2963">
        <v>1047.933314351513</v>
      </c>
    </row>
    <row r="2964" spans="1:12" hidden="1" x14ac:dyDescent="0.25">
      <c r="A2964">
        <v>1077</v>
      </c>
      <c r="B2964">
        <v>0</v>
      </c>
      <c r="C2964" t="s">
        <v>2606</v>
      </c>
      <c r="D2964">
        <v>0</v>
      </c>
      <c r="E2964" t="str">
        <f>_xlfn.XLOOKUP(F2964, Keys!B:B, Keys!A:A, "找不到")</f>
        <v>TW</v>
      </c>
      <c r="F2964" t="s">
        <v>97</v>
      </c>
      <c r="G2964">
        <v>5.5484760234257767E-2</v>
      </c>
      <c r="H2964" t="s">
        <v>60</v>
      </c>
      <c r="I2964" t="s">
        <v>66</v>
      </c>
      <c r="J2964">
        <v>0</v>
      </c>
      <c r="K2964">
        <v>0</v>
      </c>
      <c r="L2964">
        <v>62.048074408246322</v>
      </c>
    </row>
    <row r="2965" spans="1:12" hidden="1" x14ac:dyDescent="0.25">
      <c r="A2965">
        <v>1095</v>
      </c>
      <c r="B2965">
        <v>0</v>
      </c>
      <c r="C2965" t="s">
        <v>2606</v>
      </c>
      <c r="D2965">
        <v>0</v>
      </c>
      <c r="E2965" t="str">
        <f>_xlfn.XLOOKUP(F2965, Keys!B:B, Keys!A:A, "找不到")</f>
        <v>TW</v>
      </c>
      <c r="F2965" t="s">
        <v>97</v>
      </c>
      <c r="G2965">
        <v>9.4814107517965346E-2</v>
      </c>
      <c r="H2965" t="s">
        <v>60</v>
      </c>
      <c r="I2965" t="s">
        <v>66</v>
      </c>
      <c r="J2965">
        <v>0</v>
      </c>
      <c r="K2965">
        <v>0</v>
      </c>
      <c r="L2965">
        <v>117.1707108695566</v>
      </c>
    </row>
    <row r="2966" spans="1:12" hidden="1" x14ac:dyDescent="0.25">
      <c r="A2966">
        <v>1096</v>
      </c>
      <c r="B2966">
        <v>0</v>
      </c>
      <c r="C2966" t="s">
        <v>2606</v>
      </c>
      <c r="D2966">
        <v>0</v>
      </c>
      <c r="E2966" t="str">
        <f>_xlfn.XLOOKUP(F2966, Keys!B:B, Keys!A:A, "找不到")</f>
        <v>TW</v>
      </c>
      <c r="F2966" t="s">
        <v>97</v>
      </c>
      <c r="G2966">
        <v>3.4802784036106198E-2</v>
      </c>
      <c r="H2966" t="s">
        <v>60</v>
      </c>
      <c r="I2966" t="s">
        <v>66</v>
      </c>
      <c r="J2966">
        <v>0</v>
      </c>
      <c r="K2966">
        <v>0</v>
      </c>
      <c r="L2966">
        <v>47.312878083039877</v>
      </c>
    </row>
    <row r="2967" spans="1:12" hidden="1" x14ac:dyDescent="0.25">
      <c r="A2967">
        <v>1107</v>
      </c>
      <c r="B2967">
        <v>0</v>
      </c>
      <c r="C2967" t="s">
        <v>2606</v>
      </c>
      <c r="D2967">
        <v>0</v>
      </c>
      <c r="E2967" t="str">
        <f>_xlfn.XLOOKUP(F2967, Keys!B:B, Keys!A:A, "找不到")</f>
        <v>TW</v>
      </c>
      <c r="F2967" t="s">
        <v>97</v>
      </c>
      <c r="G2967">
        <v>0.12398640358643689</v>
      </c>
      <c r="H2967" t="s">
        <v>60</v>
      </c>
      <c r="I2967" t="s">
        <v>66</v>
      </c>
      <c r="J2967">
        <v>0</v>
      </c>
      <c r="K2967">
        <v>0</v>
      </c>
      <c r="L2967">
        <v>89.66550788009998</v>
      </c>
    </row>
    <row r="2968" spans="1:12" hidden="1" x14ac:dyDescent="0.25">
      <c r="A2968">
        <v>1108</v>
      </c>
      <c r="B2968">
        <v>0</v>
      </c>
      <c r="C2968" t="s">
        <v>2606</v>
      </c>
      <c r="D2968">
        <v>0</v>
      </c>
      <c r="E2968" t="str">
        <f>_xlfn.XLOOKUP(F2968, Keys!B:B, Keys!A:A, "找不到")</f>
        <v>TW</v>
      </c>
      <c r="F2968" t="s">
        <v>97</v>
      </c>
      <c r="G2968">
        <v>5.1591709936424722E-2</v>
      </c>
      <c r="H2968" t="s">
        <v>60</v>
      </c>
      <c r="I2968" t="s">
        <v>66</v>
      </c>
      <c r="J2968">
        <v>0</v>
      </c>
      <c r="K2968">
        <v>0</v>
      </c>
      <c r="L2968">
        <v>61.408668912835523</v>
      </c>
    </row>
    <row r="2969" spans="1:12" hidden="1" x14ac:dyDescent="0.25">
      <c r="A2969">
        <v>1109</v>
      </c>
      <c r="B2969">
        <v>0</v>
      </c>
      <c r="C2969" t="s">
        <v>2606</v>
      </c>
      <c r="D2969">
        <v>0</v>
      </c>
      <c r="E2969" t="str">
        <f>_xlfn.XLOOKUP(F2969, Keys!B:B, Keys!A:A, "找不到")</f>
        <v>TW</v>
      </c>
      <c r="F2969" t="s">
        <v>97</v>
      </c>
      <c r="G2969">
        <v>0.37332945775164439</v>
      </c>
      <c r="H2969" t="s">
        <v>60</v>
      </c>
      <c r="I2969" t="s">
        <v>66</v>
      </c>
      <c r="J2969">
        <v>0</v>
      </c>
      <c r="K2969">
        <v>0</v>
      </c>
      <c r="L2969">
        <v>171.64217355585751</v>
      </c>
    </row>
    <row r="2970" spans="1:12" hidden="1" x14ac:dyDescent="0.25">
      <c r="A2970">
        <v>1110</v>
      </c>
      <c r="B2970">
        <v>0</v>
      </c>
      <c r="C2970" t="s">
        <v>2606</v>
      </c>
      <c r="D2970">
        <v>0</v>
      </c>
      <c r="E2970" t="str">
        <f>_xlfn.XLOOKUP(F2970, Keys!B:B, Keys!A:A, "找不到")</f>
        <v>TW</v>
      </c>
      <c r="F2970" t="s">
        <v>97</v>
      </c>
      <c r="G2970">
        <v>0.19734018651877511</v>
      </c>
      <c r="H2970" t="s">
        <v>60</v>
      </c>
      <c r="I2970" t="s">
        <v>66</v>
      </c>
      <c r="J2970">
        <v>0</v>
      </c>
      <c r="K2970">
        <v>0</v>
      </c>
      <c r="L2970">
        <v>112.5376467487586</v>
      </c>
    </row>
    <row r="2971" spans="1:12" hidden="1" x14ac:dyDescent="0.25">
      <c r="A2971">
        <v>1111</v>
      </c>
      <c r="B2971">
        <v>0</v>
      </c>
      <c r="C2971" t="s">
        <v>2606</v>
      </c>
      <c r="D2971">
        <v>0</v>
      </c>
      <c r="E2971" t="str">
        <f>_xlfn.XLOOKUP(F2971, Keys!B:B, Keys!A:A, "找不到")</f>
        <v>TW</v>
      </c>
      <c r="F2971" t="s">
        <v>97</v>
      </c>
      <c r="G2971">
        <v>6.4073402734564799E-2</v>
      </c>
      <c r="H2971" t="s">
        <v>60</v>
      </c>
      <c r="I2971" t="s">
        <v>66</v>
      </c>
      <c r="J2971">
        <v>0</v>
      </c>
      <c r="K2971">
        <v>0</v>
      </c>
      <c r="L2971">
        <v>92.168729202282933</v>
      </c>
    </row>
    <row r="2972" spans="1:12" hidden="1" x14ac:dyDescent="0.25">
      <c r="A2972">
        <v>1115</v>
      </c>
      <c r="B2972">
        <v>0</v>
      </c>
      <c r="C2972" t="s">
        <v>2606</v>
      </c>
      <c r="D2972">
        <v>0</v>
      </c>
      <c r="E2972" t="str">
        <f>_xlfn.XLOOKUP(F2972, Keys!B:B, Keys!A:A, "找不到")</f>
        <v>TW</v>
      </c>
      <c r="F2972" t="s">
        <v>97</v>
      </c>
      <c r="G2972">
        <v>0.17000880187762571</v>
      </c>
      <c r="H2972" t="s">
        <v>60</v>
      </c>
      <c r="I2972" t="s">
        <v>66</v>
      </c>
      <c r="J2972">
        <v>0</v>
      </c>
      <c r="K2972">
        <v>0</v>
      </c>
      <c r="L2972">
        <v>224.97154557368981</v>
      </c>
    </row>
    <row r="2973" spans="1:12" hidden="1" x14ac:dyDescent="0.25">
      <c r="A2973">
        <v>1117</v>
      </c>
      <c r="B2973">
        <v>0</v>
      </c>
      <c r="C2973" t="s">
        <v>2606</v>
      </c>
      <c r="D2973">
        <v>0</v>
      </c>
      <c r="E2973" t="str">
        <f>_xlfn.XLOOKUP(F2973, Keys!B:B, Keys!A:A, "找不到")</f>
        <v>TW</v>
      </c>
      <c r="F2973" t="s">
        <v>97</v>
      </c>
      <c r="G2973">
        <v>0.19606216632339671</v>
      </c>
      <c r="H2973" t="s">
        <v>60</v>
      </c>
      <c r="I2973" t="s">
        <v>66</v>
      </c>
      <c r="J2973" t="s">
        <v>57</v>
      </c>
      <c r="K2973">
        <v>0</v>
      </c>
      <c r="L2973">
        <v>114.300514550163</v>
      </c>
    </row>
    <row r="2974" spans="1:12" hidden="1" x14ac:dyDescent="0.25">
      <c r="A2974">
        <v>60</v>
      </c>
      <c r="B2974" t="s">
        <v>2605</v>
      </c>
      <c r="C2974" t="s">
        <v>2606</v>
      </c>
      <c r="D2974">
        <v>0</v>
      </c>
      <c r="E2974" t="str">
        <f>_xlfn.XLOOKUP(F2974, Keys!B:B, Keys!A:A, "找不到")</f>
        <v>TW</v>
      </c>
      <c r="F2974" t="s">
        <v>97</v>
      </c>
      <c r="G2974">
        <v>0.66790098511918772</v>
      </c>
      <c r="H2974" t="s">
        <v>60</v>
      </c>
      <c r="I2974" t="s">
        <v>66</v>
      </c>
      <c r="J2974">
        <v>0</v>
      </c>
      <c r="K2974">
        <v>0</v>
      </c>
      <c r="L2974">
        <v>383.84787547073671</v>
      </c>
    </row>
    <row r="2975" spans="1:12" hidden="1" x14ac:dyDescent="0.25">
      <c r="A2975">
        <v>145</v>
      </c>
      <c r="B2975" t="s">
        <v>2605</v>
      </c>
      <c r="C2975" t="s">
        <v>2606</v>
      </c>
      <c r="D2975">
        <v>0</v>
      </c>
      <c r="E2975" t="str">
        <f>_xlfn.XLOOKUP(F2975, Keys!B:B, Keys!A:A, "找不到")</f>
        <v>TW</v>
      </c>
      <c r="F2975" t="s">
        <v>97</v>
      </c>
      <c r="G2975">
        <v>0.81052272069788922</v>
      </c>
      <c r="H2975" t="s">
        <v>60</v>
      </c>
      <c r="I2975" t="s">
        <v>66</v>
      </c>
      <c r="J2975" t="s">
        <v>2790</v>
      </c>
      <c r="K2975">
        <v>0</v>
      </c>
      <c r="L2975">
        <v>243.0547364380603</v>
      </c>
    </row>
    <row r="2976" spans="1:12" hidden="1" x14ac:dyDescent="0.25">
      <c r="A2976">
        <v>146</v>
      </c>
      <c r="B2976" t="s">
        <v>2605</v>
      </c>
      <c r="C2976" t="s">
        <v>2606</v>
      </c>
      <c r="D2976">
        <v>0</v>
      </c>
      <c r="E2976" t="str">
        <f>_xlfn.XLOOKUP(F2976, Keys!B:B, Keys!A:A, "找不到")</f>
        <v>TW</v>
      </c>
      <c r="F2976" t="s">
        <v>97</v>
      </c>
      <c r="G2976">
        <v>1.1106930696027899</v>
      </c>
      <c r="H2976" t="s">
        <v>60</v>
      </c>
      <c r="I2976" t="s">
        <v>66</v>
      </c>
      <c r="J2976" t="s">
        <v>2790</v>
      </c>
      <c r="K2976">
        <v>0</v>
      </c>
      <c r="L2976">
        <v>373.70470004594051</v>
      </c>
    </row>
    <row r="2977" spans="1:12" hidden="1" x14ac:dyDescent="0.25">
      <c r="A2977">
        <v>149</v>
      </c>
      <c r="B2977" t="s">
        <v>2605</v>
      </c>
      <c r="C2977" t="s">
        <v>2606</v>
      </c>
      <c r="D2977" t="s">
        <v>2712</v>
      </c>
      <c r="E2977" t="str">
        <f>_xlfn.XLOOKUP(F2977, Keys!B:B, Keys!A:A, "找不到")</f>
        <v>TW</v>
      </c>
      <c r="F2977" t="s">
        <v>97</v>
      </c>
      <c r="G2977">
        <v>0.1007912960700426</v>
      </c>
      <c r="H2977" t="s">
        <v>60</v>
      </c>
      <c r="I2977" t="s">
        <v>66</v>
      </c>
      <c r="J2977" t="s">
        <v>2860</v>
      </c>
      <c r="K2977">
        <v>0</v>
      </c>
      <c r="L2977">
        <v>116.8861973446806</v>
      </c>
    </row>
    <row r="2978" spans="1:12" hidden="1" x14ac:dyDescent="0.25">
      <c r="A2978">
        <v>182</v>
      </c>
      <c r="B2978" t="s">
        <v>2605</v>
      </c>
      <c r="C2978" t="s">
        <v>2606</v>
      </c>
      <c r="D2978">
        <v>0</v>
      </c>
      <c r="E2978" t="str">
        <f>_xlfn.XLOOKUP(F2978, Keys!B:B, Keys!A:A, "找不到")</f>
        <v>TW</v>
      </c>
      <c r="F2978" t="s">
        <v>97</v>
      </c>
      <c r="G2978">
        <v>9.2956016470630481E-2</v>
      </c>
      <c r="H2978" t="s">
        <v>60</v>
      </c>
      <c r="I2978" t="s">
        <v>66</v>
      </c>
      <c r="J2978" t="s">
        <v>2747</v>
      </c>
      <c r="K2978">
        <v>0</v>
      </c>
      <c r="L2978">
        <v>84.197142329142878</v>
      </c>
    </row>
    <row r="2979" spans="1:12" hidden="1" x14ac:dyDescent="0.25">
      <c r="A2979">
        <v>183</v>
      </c>
      <c r="B2979" t="s">
        <v>2605</v>
      </c>
      <c r="C2979" t="s">
        <v>2606</v>
      </c>
      <c r="D2979">
        <v>0</v>
      </c>
      <c r="E2979" t="str">
        <f>_xlfn.XLOOKUP(F2979, Keys!B:B, Keys!A:A, "找不到")</f>
        <v>TW</v>
      </c>
      <c r="F2979" t="s">
        <v>97</v>
      </c>
      <c r="G2979">
        <v>6.5245777273913702E-2</v>
      </c>
      <c r="H2979" t="s">
        <v>60</v>
      </c>
      <c r="I2979" t="s">
        <v>66</v>
      </c>
      <c r="J2979" t="s">
        <v>2747</v>
      </c>
      <c r="K2979">
        <v>0</v>
      </c>
      <c r="L2979">
        <v>69.820433909488656</v>
      </c>
    </row>
    <row r="2980" spans="1:12" hidden="1" x14ac:dyDescent="0.25">
      <c r="A2980">
        <v>222</v>
      </c>
      <c r="B2980" t="s">
        <v>2605</v>
      </c>
      <c r="C2980" t="s">
        <v>2606</v>
      </c>
      <c r="D2980" t="s">
        <v>2702</v>
      </c>
      <c r="E2980" t="str">
        <f>_xlfn.XLOOKUP(F2980, Keys!B:B, Keys!A:A, "找不到")</f>
        <v>TW</v>
      </c>
      <c r="F2980" t="s">
        <v>97</v>
      </c>
      <c r="G2980">
        <v>0.20556393802751741</v>
      </c>
      <c r="H2980" t="s">
        <v>46</v>
      </c>
      <c r="I2980" t="s">
        <v>47</v>
      </c>
      <c r="J2980" t="s">
        <v>2942</v>
      </c>
      <c r="K2980">
        <v>0</v>
      </c>
      <c r="L2980">
        <v>126.3738785370991</v>
      </c>
    </row>
    <row r="2981" spans="1:12" hidden="1" x14ac:dyDescent="0.25">
      <c r="A2981">
        <v>223</v>
      </c>
      <c r="B2981" t="s">
        <v>2605</v>
      </c>
      <c r="C2981" t="s">
        <v>2606</v>
      </c>
      <c r="D2981" t="s">
        <v>2702</v>
      </c>
      <c r="E2981" t="str">
        <f>_xlfn.XLOOKUP(F2981, Keys!B:B, Keys!A:A, "找不到")</f>
        <v>TW</v>
      </c>
      <c r="F2981" t="s">
        <v>97</v>
      </c>
      <c r="G2981">
        <v>0.84479364649448552</v>
      </c>
      <c r="H2981" t="s">
        <v>46</v>
      </c>
      <c r="I2981" t="s">
        <v>47</v>
      </c>
      <c r="J2981" t="s">
        <v>2942</v>
      </c>
      <c r="K2981">
        <v>0</v>
      </c>
      <c r="L2981">
        <v>267.47645706209568</v>
      </c>
    </row>
    <row r="2982" spans="1:12" hidden="1" x14ac:dyDescent="0.25">
      <c r="A2982">
        <v>331</v>
      </c>
      <c r="B2982" t="s">
        <v>2605</v>
      </c>
      <c r="C2982" t="s">
        <v>2606</v>
      </c>
      <c r="D2982" t="s">
        <v>2702</v>
      </c>
      <c r="E2982" t="str">
        <f>_xlfn.XLOOKUP(F2982, Keys!B:B, Keys!A:A, "找不到")</f>
        <v>TW</v>
      </c>
      <c r="F2982" t="s">
        <v>97</v>
      </c>
      <c r="G2982">
        <v>0.65520748174206589</v>
      </c>
      <c r="H2982" t="s">
        <v>46</v>
      </c>
      <c r="I2982" t="s">
        <v>47</v>
      </c>
      <c r="J2982" t="s">
        <v>3135</v>
      </c>
      <c r="K2982">
        <v>0</v>
      </c>
      <c r="L2982">
        <v>228.6354092622143</v>
      </c>
    </row>
    <row r="2983" spans="1:12" hidden="1" x14ac:dyDescent="0.25">
      <c r="A2983">
        <v>347</v>
      </c>
      <c r="B2983" t="s">
        <v>2605</v>
      </c>
      <c r="C2983" t="s">
        <v>2606</v>
      </c>
      <c r="D2983">
        <v>0</v>
      </c>
      <c r="E2983" t="str">
        <f>_xlfn.XLOOKUP(F2983, Keys!B:B, Keys!A:A, "找不到")</f>
        <v>TW</v>
      </c>
      <c r="F2983" t="s">
        <v>97</v>
      </c>
      <c r="G2983">
        <v>7.1065401030557029E-2</v>
      </c>
      <c r="H2983" t="s">
        <v>60</v>
      </c>
      <c r="I2983" t="s">
        <v>66</v>
      </c>
      <c r="J2983" t="s">
        <v>583</v>
      </c>
      <c r="K2983">
        <v>0</v>
      </c>
      <c r="L2983">
        <v>81.723020910381308</v>
      </c>
    </row>
    <row r="2984" spans="1:12" hidden="1" x14ac:dyDescent="0.25">
      <c r="A2984">
        <v>393</v>
      </c>
      <c r="B2984" t="s">
        <v>2605</v>
      </c>
      <c r="C2984" t="s">
        <v>2606</v>
      </c>
      <c r="D2984" t="s">
        <v>2702</v>
      </c>
      <c r="E2984" t="str">
        <f>_xlfn.XLOOKUP(F2984, Keys!B:B, Keys!A:A, "找不到")</f>
        <v>TW</v>
      </c>
      <c r="F2984" t="s">
        <v>97</v>
      </c>
      <c r="G2984">
        <v>0.50585645365645959</v>
      </c>
      <c r="H2984" t="s">
        <v>60</v>
      </c>
      <c r="I2984" t="s">
        <v>66</v>
      </c>
      <c r="J2984" t="s">
        <v>2883</v>
      </c>
      <c r="K2984">
        <v>0</v>
      </c>
      <c r="L2984">
        <v>377.98219275351471</v>
      </c>
    </row>
    <row r="2985" spans="1:12" hidden="1" x14ac:dyDescent="0.25">
      <c r="A2985">
        <v>394</v>
      </c>
      <c r="B2985" t="s">
        <v>2605</v>
      </c>
      <c r="C2985" t="s">
        <v>2606</v>
      </c>
      <c r="D2985" t="s">
        <v>2702</v>
      </c>
      <c r="E2985" t="str">
        <f>_xlfn.XLOOKUP(F2985, Keys!B:B, Keys!A:A, "找不到")</f>
        <v>TW</v>
      </c>
      <c r="F2985" t="s">
        <v>97</v>
      </c>
      <c r="G2985">
        <v>1.30769401245595</v>
      </c>
      <c r="H2985" t="s">
        <v>60</v>
      </c>
      <c r="I2985" t="s">
        <v>66</v>
      </c>
      <c r="J2985" t="s">
        <v>2883</v>
      </c>
      <c r="K2985">
        <v>0</v>
      </c>
      <c r="L2985">
        <v>448.51729198219169</v>
      </c>
    </row>
    <row r="2986" spans="1:12" hidden="1" x14ac:dyDescent="0.25">
      <c r="A2986">
        <v>414</v>
      </c>
      <c r="B2986" t="s">
        <v>2605</v>
      </c>
      <c r="C2986" t="s">
        <v>2606</v>
      </c>
      <c r="D2986">
        <v>0</v>
      </c>
      <c r="E2986" t="str">
        <f>_xlfn.XLOOKUP(F2986, Keys!B:B, Keys!A:A, "找不到")</f>
        <v>TW</v>
      </c>
      <c r="F2986" t="s">
        <v>97</v>
      </c>
      <c r="G2986">
        <v>2.0444390756069128</v>
      </c>
      <c r="H2986" t="s">
        <v>60</v>
      </c>
      <c r="I2986" t="s">
        <v>66</v>
      </c>
      <c r="J2986" t="s">
        <v>57</v>
      </c>
      <c r="K2986">
        <v>0</v>
      </c>
      <c r="L2986">
        <v>385.72251980577067</v>
      </c>
    </row>
    <row r="2987" spans="1:12" hidden="1" x14ac:dyDescent="0.25">
      <c r="A2987">
        <v>464</v>
      </c>
      <c r="B2987" t="s">
        <v>2605</v>
      </c>
      <c r="C2987" t="s">
        <v>2606</v>
      </c>
      <c r="D2987">
        <v>0</v>
      </c>
      <c r="E2987" t="str">
        <f>_xlfn.XLOOKUP(F2987, Keys!B:B, Keys!A:A, "找不到")</f>
        <v>TW</v>
      </c>
      <c r="F2987" t="s">
        <v>97</v>
      </c>
      <c r="G2987">
        <v>0.17950177771276929</v>
      </c>
      <c r="H2987" t="s">
        <v>60</v>
      </c>
      <c r="I2987" t="s">
        <v>66</v>
      </c>
      <c r="J2987" t="s">
        <v>3334</v>
      </c>
      <c r="K2987">
        <v>0</v>
      </c>
      <c r="L2987">
        <v>159.0806451512839</v>
      </c>
    </row>
    <row r="2988" spans="1:12" hidden="1" x14ac:dyDescent="0.25">
      <c r="A2988">
        <v>487</v>
      </c>
      <c r="B2988" t="s">
        <v>2605</v>
      </c>
      <c r="C2988" t="s">
        <v>2606</v>
      </c>
      <c r="D2988" t="s">
        <v>3027</v>
      </c>
      <c r="E2988" t="str">
        <f>_xlfn.XLOOKUP(F2988, Keys!B:B, Keys!A:A, "找不到")</f>
        <v>TW</v>
      </c>
      <c r="F2988" t="s">
        <v>97</v>
      </c>
      <c r="G2988">
        <v>0.1564327101511418</v>
      </c>
      <c r="H2988" t="s">
        <v>46</v>
      </c>
      <c r="I2988" t="s">
        <v>47</v>
      </c>
      <c r="J2988" t="s">
        <v>3097</v>
      </c>
      <c r="K2988">
        <v>0</v>
      </c>
      <c r="L2988">
        <v>99.911181372362776</v>
      </c>
    </row>
    <row r="2989" spans="1:12" hidden="1" x14ac:dyDescent="0.25">
      <c r="A2989">
        <v>562</v>
      </c>
      <c r="B2989" t="s">
        <v>2605</v>
      </c>
      <c r="C2989" t="s">
        <v>2606</v>
      </c>
      <c r="D2989">
        <v>0</v>
      </c>
      <c r="E2989" t="str">
        <f>_xlfn.XLOOKUP(F2989, Keys!B:B, Keys!A:A, "找不到")</f>
        <v>TW</v>
      </c>
      <c r="F2989" t="s">
        <v>97</v>
      </c>
      <c r="G2989">
        <v>2.688722538242978E-2</v>
      </c>
      <c r="H2989" t="s">
        <v>60</v>
      </c>
      <c r="I2989" t="s">
        <v>66</v>
      </c>
      <c r="J2989" t="s">
        <v>2691</v>
      </c>
      <c r="K2989">
        <v>0</v>
      </c>
      <c r="L2989">
        <v>47.894542603034509</v>
      </c>
    </row>
    <row r="2990" spans="1:12" hidden="1" x14ac:dyDescent="0.25">
      <c r="A2990">
        <v>867</v>
      </c>
      <c r="B2990" t="s">
        <v>2605</v>
      </c>
      <c r="C2990" t="s">
        <v>2606</v>
      </c>
      <c r="D2990">
        <v>0</v>
      </c>
      <c r="E2990" t="str">
        <f>_xlfn.XLOOKUP(F2990, Keys!B:B, Keys!A:A, "找不到")</f>
        <v>TW</v>
      </c>
      <c r="F2990" t="s">
        <v>97</v>
      </c>
      <c r="G2990">
        <v>6.9777789916425081E-2</v>
      </c>
      <c r="H2990" t="s">
        <v>60</v>
      </c>
      <c r="I2990" t="s">
        <v>66</v>
      </c>
      <c r="J2990" t="s">
        <v>3850</v>
      </c>
      <c r="K2990">
        <v>0</v>
      </c>
      <c r="L2990">
        <v>74.937375737672383</v>
      </c>
    </row>
    <row r="2991" spans="1:12" hidden="1" x14ac:dyDescent="0.25">
      <c r="A2991">
        <v>891</v>
      </c>
      <c r="B2991" t="s">
        <v>2605</v>
      </c>
      <c r="C2991" t="s">
        <v>2606</v>
      </c>
      <c r="D2991">
        <v>0</v>
      </c>
      <c r="E2991" t="str">
        <f>_xlfn.XLOOKUP(F2991, Keys!B:B, Keys!A:A, "找不到")</f>
        <v>TW</v>
      </c>
      <c r="F2991" t="s">
        <v>97</v>
      </c>
      <c r="G2991">
        <v>8.5592771918829524E-2</v>
      </c>
      <c r="H2991" t="s">
        <v>60</v>
      </c>
      <c r="I2991" t="s">
        <v>66</v>
      </c>
      <c r="J2991" t="s">
        <v>3876</v>
      </c>
      <c r="K2991">
        <v>0</v>
      </c>
      <c r="L2991">
        <v>75.837973590291483</v>
      </c>
    </row>
    <row r="2992" spans="1:12" hidden="1" x14ac:dyDescent="0.25">
      <c r="A2992">
        <v>892</v>
      </c>
      <c r="B2992" t="s">
        <v>2605</v>
      </c>
      <c r="C2992" t="s">
        <v>2606</v>
      </c>
      <c r="D2992">
        <v>0</v>
      </c>
      <c r="E2992" t="str">
        <f>_xlfn.XLOOKUP(F2992, Keys!B:B, Keys!A:A, "找不到")</f>
        <v>TW</v>
      </c>
      <c r="F2992" t="s">
        <v>97</v>
      </c>
      <c r="G2992">
        <v>7.2925004817055591E-2</v>
      </c>
      <c r="H2992" t="s">
        <v>60</v>
      </c>
      <c r="I2992" t="s">
        <v>66</v>
      </c>
      <c r="J2992" t="s">
        <v>3876</v>
      </c>
      <c r="K2992">
        <v>0</v>
      </c>
      <c r="L2992">
        <v>75.051213321348925</v>
      </c>
    </row>
    <row r="2993" spans="1:12" hidden="1" x14ac:dyDescent="0.25">
      <c r="A2993">
        <v>900</v>
      </c>
      <c r="B2993" t="s">
        <v>2605</v>
      </c>
      <c r="C2993" t="s">
        <v>2606</v>
      </c>
      <c r="D2993">
        <v>0</v>
      </c>
      <c r="E2993" t="str">
        <f>_xlfn.XLOOKUP(F2993, Keys!B:B, Keys!A:A, "找不到")</f>
        <v>TW</v>
      </c>
      <c r="F2993" t="s">
        <v>97</v>
      </c>
      <c r="G2993">
        <v>0.19146283882170351</v>
      </c>
      <c r="H2993" t="s">
        <v>60</v>
      </c>
      <c r="I2993" t="s">
        <v>66</v>
      </c>
      <c r="J2993" t="s">
        <v>3380</v>
      </c>
      <c r="K2993">
        <v>0</v>
      </c>
      <c r="L2993">
        <v>129.0799533805679</v>
      </c>
    </row>
    <row r="2994" spans="1:12" hidden="1" x14ac:dyDescent="0.25">
      <c r="A2994">
        <v>925</v>
      </c>
      <c r="B2994" t="s">
        <v>2605</v>
      </c>
      <c r="C2994" t="s">
        <v>2606</v>
      </c>
      <c r="D2994" t="s">
        <v>57</v>
      </c>
      <c r="E2994" t="str">
        <f>_xlfn.XLOOKUP(F2994, Keys!B:B, Keys!A:A, "找不到")</f>
        <v>TW</v>
      </c>
      <c r="F2994" t="s">
        <v>97</v>
      </c>
      <c r="G2994">
        <v>1.5413641956262261E-2</v>
      </c>
      <c r="H2994" t="s">
        <v>60</v>
      </c>
      <c r="I2994" t="s">
        <v>66</v>
      </c>
      <c r="J2994" t="s">
        <v>57</v>
      </c>
      <c r="K2994">
        <v>0</v>
      </c>
      <c r="L2994">
        <v>51.173505175380981</v>
      </c>
    </row>
    <row r="2995" spans="1:12" hidden="1" x14ac:dyDescent="0.25">
      <c r="A2995">
        <v>930</v>
      </c>
      <c r="B2995" t="s">
        <v>2605</v>
      </c>
      <c r="C2995" t="s">
        <v>2606</v>
      </c>
      <c r="D2995">
        <v>0</v>
      </c>
      <c r="E2995" t="str">
        <f>_xlfn.XLOOKUP(F2995, Keys!B:B, Keys!A:A, "找不到")</f>
        <v>TW</v>
      </c>
      <c r="F2995" t="s">
        <v>97</v>
      </c>
      <c r="G2995">
        <v>4.7723644469455609E-2</v>
      </c>
      <c r="H2995" t="s">
        <v>60</v>
      </c>
      <c r="I2995" t="s">
        <v>66</v>
      </c>
      <c r="J2995" t="s">
        <v>57</v>
      </c>
      <c r="K2995">
        <v>0</v>
      </c>
      <c r="L2995">
        <v>74.070211863088446</v>
      </c>
    </row>
    <row r="2996" spans="1:12" hidden="1" x14ac:dyDescent="0.25">
      <c r="A2996">
        <v>950</v>
      </c>
      <c r="B2996" t="s">
        <v>2605</v>
      </c>
      <c r="C2996" t="s">
        <v>2606</v>
      </c>
      <c r="D2996">
        <v>0</v>
      </c>
      <c r="E2996" t="str">
        <f>_xlfn.XLOOKUP(F2996, Keys!B:B, Keys!A:A, "找不到")</f>
        <v>TW</v>
      </c>
      <c r="F2996" t="s">
        <v>97</v>
      </c>
      <c r="G2996">
        <v>2.3757556278525409</v>
      </c>
      <c r="H2996" t="s">
        <v>60</v>
      </c>
      <c r="I2996" t="s">
        <v>66</v>
      </c>
      <c r="J2996" t="s">
        <v>3931</v>
      </c>
      <c r="K2996">
        <v>0</v>
      </c>
      <c r="L2996">
        <v>401.22876686674408</v>
      </c>
    </row>
    <row r="2997" spans="1:12" hidden="1" x14ac:dyDescent="0.25">
      <c r="A2997">
        <v>976</v>
      </c>
      <c r="B2997" t="s">
        <v>2605</v>
      </c>
      <c r="C2997" t="s">
        <v>2606</v>
      </c>
      <c r="D2997">
        <v>0</v>
      </c>
      <c r="E2997" t="str">
        <f>_xlfn.XLOOKUP(F2997, Keys!B:B, Keys!A:A, "找不到")</f>
        <v>TW</v>
      </c>
      <c r="F2997" t="s">
        <v>97</v>
      </c>
      <c r="G2997">
        <v>0.36514662801664222</v>
      </c>
      <c r="H2997" t="s">
        <v>60</v>
      </c>
      <c r="I2997" t="s">
        <v>66</v>
      </c>
      <c r="J2997">
        <v>0</v>
      </c>
      <c r="K2997">
        <v>0</v>
      </c>
      <c r="L2997">
        <v>270.85481680024571</v>
      </c>
    </row>
    <row r="2998" spans="1:12" hidden="1" x14ac:dyDescent="0.25">
      <c r="A2998">
        <v>996</v>
      </c>
      <c r="B2998" t="s">
        <v>2605</v>
      </c>
      <c r="C2998" t="s">
        <v>2606</v>
      </c>
      <c r="D2998">
        <v>0</v>
      </c>
      <c r="E2998" t="str">
        <f>_xlfn.XLOOKUP(F2998, Keys!B:B, Keys!A:A, "找不到")</f>
        <v>TW</v>
      </c>
      <c r="F2998" t="s">
        <v>97</v>
      </c>
      <c r="G2998">
        <v>0.12014084443930011</v>
      </c>
      <c r="H2998" t="s">
        <v>46</v>
      </c>
      <c r="I2998" t="s">
        <v>47</v>
      </c>
      <c r="J2998">
        <v>0</v>
      </c>
      <c r="K2998">
        <v>0</v>
      </c>
      <c r="L2998">
        <v>129.58808055844301</v>
      </c>
    </row>
    <row r="2999" spans="1:12" hidden="1" x14ac:dyDescent="0.25">
      <c r="A2999">
        <v>1024</v>
      </c>
      <c r="B2999" t="s">
        <v>2605</v>
      </c>
      <c r="C2999" t="s">
        <v>2606</v>
      </c>
      <c r="D2999">
        <v>0</v>
      </c>
      <c r="E2999" t="str">
        <f>_xlfn.XLOOKUP(F2999, Keys!B:B, Keys!A:A, "找不到")</f>
        <v>TW</v>
      </c>
      <c r="F2999" t="s">
        <v>97</v>
      </c>
      <c r="G2999">
        <v>0.26093251490985192</v>
      </c>
      <c r="H2999" t="s">
        <v>60</v>
      </c>
      <c r="I2999" t="s">
        <v>66</v>
      </c>
      <c r="J2999">
        <v>0</v>
      </c>
      <c r="K2999">
        <v>0</v>
      </c>
      <c r="L2999">
        <v>216.2907059290801</v>
      </c>
    </row>
    <row r="3000" spans="1:12" hidden="1" x14ac:dyDescent="0.25">
      <c r="A3000">
        <v>1043</v>
      </c>
      <c r="B3000" t="s">
        <v>2605</v>
      </c>
      <c r="C3000" t="s">
        <v>2606</v>
      </c>
      <c r="D3000">
        <v>0</v>
      </c>
      <c r="E3000" t="str">
        <f>_xlfn.XLOOKUP(F3000, Keys!B:B, Keys!A:A, "找不到")</f>
        <v>TW</v>
      </c>
      <c r="F3000" t="s">
        <v>97</v>
      </c>
      <c r="G3000">
        <v>0.23178361892949931</v>
      </c>
      <c r="H3000" t="s">
        <v>60</v>
      </c>
      <c r="I3000" t="s">
        <v>66</v>
      </c>
      <c r="J3000" t="s">
        <v>3962</v>
      </c>
      <c r="K3000">
        <v>0</v>
      </c>
      <c r="L3000">
        <v>204.93229642199319</v>
      </c>
    </row>
    <row r="3001" spans="1:12" hidden="1" x14ac:dyDescent="0.25">
      <c r="A3001">
        <v>80</v>
      </c>
      <c r="B3001" t="s">
        <v>2042</v>
      </c>
      <c r="C3001" t="s">
        <v>972</v>
      </c>
      <c r="D3001">
        <v>0</v>
      </c>
      <c r="E3001" t="str">
        <f>_xlfn.XLOOKUP(F3001, Keys!B:B, Keys!A:A, "找不到")</f>
        <v>TW</v>
      </c>
      <c r="F3001" t="s">
        <v>97</v>
      </c>
      <c r="G3001">
        <v>7.6400281390764629E-2</v>
      </c>
      <c r="H3001" t="s">
        <v>60</v>
      </c>
      <c r="I3001" t="s">
        <v>66</v>
      </c>
      <c r="J3001" t="s">
        <v>2181</v>
      </c>
      <c r="K3001">
        <v>87.159779403446834</v>
      </c>
      <c r="L3001">
        <v>309.18220614697088</v>
      </c>
    </row>
    <row r="3002" spans="1:12" hidden="1" x14ac:dyDescent="0.25">
      <c r="A3002">
        <v>81</v>
      </c>
      <c r="B3002" t="s">
        <v>2042</v>
      </c>
      <c r="C3002" t="s">
        <v>972</v>
      </c>
      <c r="D3002" t="s">
        <v>2185</v>
      </c>
      <c r="E3002" t="str">
        <f>_xlfn.XLOOKUP(F3002, Keys!B:B, Keys!A:A, "找不到")</f>
        <v>TW</v>
      </c>
      <c r="F3002" t="s">
        <v>97</v>
      </c>
      <c r="G3002">
        <v>1.9083938976369881</v>
      </c>
      <c r="H3002" t="s">
        <v>60</v>
      </c>
      <c r="I3002" t="s">
        <v>66</v>
      </c>
      <c r="J3002" t="s">
        <v>2186</v>
      </c>
      <c r="K3002">
        <v>384.68221573066501</v>
      </c>
      <c r="L3002">
        <v>7723.0269931982939</v>
      </c>
    </row>
    <row r="3003" spans="1:12" hidden="1" x14ac:dyDescent="0.25">
      <c r="A3003">
        <v>99</v>
      </c>
      <c r="B3003" t="s">
        <v>2042</v>
      </c>
      <c r="C3003" t="s">
        <v>972</v>
      </c>
      <c r="D3003">
        <v>0</v>
      </c>
      <c r="E3003" t="str">
        <f>_xlfn.XLOOKUP(F3003, Keys!B:B, Keys!A:A, "找不到")</f>
        <v>TW</v>
      </c>
      <c r="F3003" t="s">
        <v>97</v>
      </c>
      <c r="G3003">
        <v>2.8513266979852041</v>
      </c>
      <c r="H3003" t="s">
        <v>60</v>
      </c>
      <c r="I3003" t="s">
        <v>66</v>
      </c>
      <c r="J3003" t="s">
        <v>2220</v>
      </c>
      <c r="K3003">
        <v>424.57021415900329</v>
      </c>
      <c r="L3003">
        <v>11538.955915879509</v>
      </c>
    </row>
    <row r="3004" spans="1:12" hidden="1" x14ac:dyDescent="0.25">
      <c r="A3004">
        <v>128</v>
      </c>
      <c r="B3004" t="s">
        <v>2042</v>
      </c>
      <c r="C3004" t="s">
        <v>972</v>
      </c>
      <c r="D3004" t="s">
        <v>2241</v>
      </c>
      <c r="E3004" t="str">
        <f>_xlfn.XLOOKUP(F3004, Keys!B:B, Keys!A:A, "找不到")</f>
        <v>TW</v>
      </c>
      <c r="F3004" t="s">
        <v>97</v>
      </c>
      <c r="G3004">
        <v>5.605171064998616E-2</v>
      </c>
      <c r="H3004" t="s">
        <v>60</v>
      </c>
      <c r="I3004" t="s">
        <v>66</v>
      </c>
      <c r="J3004" t="s">
        <v>2257</v>
      </c>
      <c r="K3004">
        <v>60.85090670204282</v>
      </c>
      <c r="L3004">
        <v>226.83413256602589</v>
      </c>
    </row>
    <row r="3005" spans="1:12" hidden="1" x14ac:dyDescent="0.25">
      <c r="A3005">
        <v>230</v>
      </c>
      <c r="B3005" t="s">
        <v>2042</v>
      </c>
      <c r="C3005" t="s">
        <v>972</v>
      </c>
      <c r="D3005">
        <v>0</v>
      </c>
      <c r="E3005" t="str">
        <f>_xlfn.XLOOKUP(F3005, Keys!B:B, Keys!A:A, "找不到")</f>
        <v>TW</v>
      </c>
      <c r="F3005" t="s">
        <v>97</v>
      </c>
      <c r="G3005">
        <v>8.1651975027488943E-2</v>
      </c>
      <c r="H3005" t="s">
        <v>60</v>
      </c>
      <c r="I3005" t="s">
        <v>66</v>
      </c>
      <c r="J3005" t="s">
        <v>2453</v>
      </c>
      <c r="K3005">
        <v>86.264233731046843</v>
      </c>
      <c r="L3005">
        <v>330.4351412808814</v>
      </c>
    </row>
    <row r="3006" spans="1:12" hidden="1" x14ac:dyDescent="0.25">
      <c r="A3006">
        <v>239</v>
      </c>
      <c r="B3006" t="s">
        <v>2042</v>
      </c>
      <c r="C3006" t="s">
        <v>972</v>
      </c>
      <c r="D3006">
        <v>0</v>
      </c>
      <c r="E3006" t="str">
        <f>_xlfn.XLOOKUP(F3006, Keys!B:B, Keys!A:A, "找不到")</f>
        <v>TW</v>
      </c>
      <c r="F3006" t="s">
        <v>97</v>
      </c>
      <c r="G3006">
        <v>0.1013688320473059</v>
      </c>
      <c r="H3006" t="s">
        <v>60</v>
      </c>
      <c r="I3006" t="s">
        <v>66</v>
      </c>
      <c r="J3006" t="s">
        <v>2476</v>
      </c>
      <c r="K3006">
        <v>113.67549808716559</v>
      </c>
      <c r="L3006">
        <v>410.22674990718571</v>
      </c>
    </row>
    <row r="3007" spans="1:12" hidden="1" x14ac:dyDescent="0.25">
      <c r="A3007">
        <v>292</v>
      </c>
      <c r="B3007" t="s">
        <v>2042</v>
      </c>
      <c r="C3007" t="s">
        <v>972</v>
      </c>
      <c r="D3007" t="s">
        <v>57</v>
      </c>
      <c r="E3007" t="str">
        <f>_xlfn.XLOOKUP(F3007, Keys!B:B, Keys!A:A, "找不到")</f>
        <v>TW</v>
      </c>
      <c r="F3007" t="s">
        <v>97</v>
      </c>
      <c r="G3007">
        <v>2.2625166206174122E-2</v>
      </c>
      <c r="H3007" t="s">
        <v>60</v>
      </c>
      <c r="I3007" t="s">
        <v>66</v>
      </c>
      <c r="J3007" t="s">
        <v>57</v>
      </c>
      <c r="K3007">
        <v>42.526278993801377</v>
      </c>
      <c r="L3007">
        <v>91.561165413618582</v>
      </c>
    </row>
    <row r="3008" spans="1:12" hidden="1" x14ac:dyDescent="0.25">
      <c r="A3008">
        <v>293</v>
      </c>
      <c r="B3008" t="s">
        <v>2042</v>
      </c>
      <c r="C3008" t="s">
        <v>972</v>
      </c>
      <c r="D3008" t="s">
        <v>57</v>
      </c>
      <c r="E3008" t="str">
        <f>_xlfn.XLOOKUP(F3008, Keys!B:B, Keys!A:A, "找不到")</f>
        <v>TW</v>
      </c>
      <c r="F3008" t="s">
        <v>97</v>
      </c>
      <c r="G3008">
        <v>5.0676492039568748E-2</v>
      </c>
      <c r="H3008" t="s">
        <v>60</v>
      </c>
      <c r="I3008" t="s">
        <v>66</v>
      </c>
      <c r="J3008" t="s">
        <v>57</v>
      </c>
      <c r="K3008">
        <v>60.777312425460408</v>
      </c>
      <c r="L3008">
        <v>205.08130759944129</v>
      </c>
    </row>
    <row r="3009" spans="1:12" hidden="1" x14ac:dyDescent="0.25">
      <c r="A3009">
        <v>315</v>
      </c>
      <c r="B3009" t="s">
        <v>2042</v>
      </c>
      <c r="C3009" t="s">
        <v>972</v>
      </c>
      <c r="D3009" t="s">
        <v>2057</v>
      </c>
      <c r="E3009" t="str">
        <f>_xlfn.XLOOKUP(F3009, Keys!B:B, Keys!A:A, "找不到")</f>
        <v>TW</v>
      </c>
      <c r="F3009" t="s">
        <v>97</v>
      </c>
      <c r="G3009">
        <v>1.532930902837115</v>
      </c>
      <c r="H3009" t="s">
        <v>46</v>
      </c>
      <c r="I3009" t="s">
        <v>47</v>
      </c>
      <c r="J3009" t="s">
        <v>2067</v>
      </c>
      <c r="K3009">
        <v>300.74825105248158</v>
      </c>
      <c r="L3009">
        <v>6203.5760835213268</v>
      </c>
    </row>
    <row r="3010" spans="1:12" hidden="1" x14ac:dyDescent="0.25">
      <c r="A3010">
        <v>318</v>
      </c>
      <c r="B3010" t="s">
        <v>2042</v>
      </c>
      <c r="C3010" t="s">
        <v>972</v>
      </c>
      <c r="D3010" t="s">
        <v>2241</v>
      </c>
      <c r="E3010" t="str">
        <f>_xlfn.XLOOKUP(F3010, Keys!B:B, Keys!A:A, "找不到")</f>
        <v>TW</v>
      </c>
      <c r="F3010" t="s">
        <v>97</v>
      </c>
      <c r="G3010">
        <v>0.83908037697288906</v>
      </c>
      <c r="H3010" t="s">
        <v>46</v>
      </c>
      <c r="I3010" t="s">
        <v>47</v>
      </c>
      <c r="J3010" t="s">
        <v>2293</v>
      </c>
      <c r="K3010">
        <v>258.17774054476598</v>
      </c>
      <c r="L3010">
        <v>3395.6513950545468</v>
      </c>
    </row>
    <row r="3011" spans="1:12" hidden="1" x14ac:dyDescent="0.25">
      <c r="A3011">
        <v>327</v>
      </c>
      <c r="B3011" t="s">
        <v>2042</v>
      </c>
      <c r="C3011" t="s">
        <v>972</v>
      </c>
      <c r="D3011" t="s">
        <v>2241</v>
      </c>
      <c r="E3011" t="str">
        <f>_xlfn.XLOOKUP(F3011, Keys!B:B, Keys!A:A, "找不到")</f>
        <v>TW</v>
      </c>
      <c r="F3011" t="s">
        <v>97</v>
      </c>
      <c r="G3011">
        <v>0.81619179449469514</v>
      </c>
      <c r="H3011" t="s">
        <v>46</v>
      </c>
      <c r="I3011" t="s">
        <v>47</v>
      </c>
      <c r="J3011" t="s">
        <v>2293</v>
      </c>
      <c r="K3011">
        <v>245.3349511534912</v>
      </c>
      <c r="L3011">
        <v>3303.0242175446961</v>
      </c>
    </row>
    <row r="3012" spans="1:12" hidden="1" x14ac:dyDescent="0.25">
      <c r="A3012">
        <v>328</v>
      </c>
      <c r="B3012" t="s">
        <v>2042</v>
      </c>
      <c r="C3012" t="s">
        <v>972</v>
      </c>
      <c r="D3012">
        <v>0</v>
      </c>
      <c r="E3012" t="str">
        <f>_xlfn.XLOOKUP(F3012, Keys!B:B, Keys!A:A, "找不到")</f>
        <v>TW</v>
      </c>
      <c r="F3012" t="s">
        <v>97</v>
      </c>
      <c r="G3012">
        <v>0.1197825575637927</v>
      </c>
      <c r="H3012" t="s">
        <v>60</v>
      </c>
      <c r="I3012" t="s">
        <v>66</v>
      </c>
      <c r="J3012" t="s">
        <v>2519</v>
      </c>
      <c r="K3012">
        <v>84.461716192070739</v>
      </c>
      <c r="L3012">
        <v>484.74475134559862</v>
      </c>
    </row>
    <row r="3013" spans="1:12" hidden="1" x14ac:dyDescent="0.25">
      <c r="A3013">
        <v>330</v>
      </c>
      <c r="B3013" t="s">
        <v>2042</v>
      </c>
      <c r="C3013" t="s">
        <v>972</v>
      </c>
      <c r="D3013">
        <v>0</v>
      </c>
      <c r="E3013" t="str">
        <f>_xlfn.XLOOKUP(F3013, Keys!B:B, Keys!A:A, "找不到")</f>
        <v>TW</v>
      </c>
      <c r="F3013" t="s">
        <v>97</v>
      </c>
      <c r="G3013">
        <v>3.8527095802506642E-2</v>
      </c>
      <c r="H3013" t="s">
        <v>60</v>
      </c>
      <c r="I3013" t="s">
        <v>66</v>
      </c>
      <c r="J3013">
        <v>0</v>
      </c>
      <c r="K3013">
        <v>51.070227710526993</v>
      </c>
      <c r="L3013">
        <v>155.91424874116541</v>
      </c>
    </row>
    <row r="3014" spans="1:12" hidden="1" x14ac:dyDescent="0.25">
      <c r="A3014">
        <v>332</v>
      </c>
      <c r="B3014" t="s">
        <v>2042</v>
      </c>
      <c r="C3014" t="s">
        <v>972</v>
      </c>
      <c r="D3014" t="s">
        <v>2241</v>
      </c>
      <c r="E3014" t="str">
        <f>_xlfn.XLOOKUP(F3014, Keys!B:B, Keys!A:A, "找不到")</f>
        <v>TW</v>
      </c>
      <c r="F3014" t="s">
        <v>97</v>
      </c>
      <c r="G3014">
        <v>0.89273665938334024</v>
      </c>
      <c r="H3014" t="s">
        <v>60</v>
      </c>
      <c r="I3014" t="s">
        <v>66</v>
      </c>
      <c r="J3014" t="s">
        <v>2257</v>
      </c>
      <c r="K3014">
        <v>248.17638513757461</v>
      </c>
      <c r="L3014">
        <v>3612.7915346890791</v>
      </c>
    </row>
    <row r="3015" spans="1:12" hidden="1" x14ac:dyDescent="0.25">
      <c r="A3015">
        <v>382</v>
      </c>
      <c r="B3015" t="s">
        <v>2042</v>
      </c>
      <c r="C3015" t="s">
        <v>972</v>
      </c>
      <c r="D3015">
        <v>0</v>
      </c>
      <c r="E3015" t="str">
        <f>_xlfn.XLOOKUP(F3015, Keys!B:B, Keys!A:A, "找不到")</f>
        <v>TW</v>
      </c>
      <c r="F3015" t="s">
        <v>97</v>
      </c>
      <c r="G3015">
        <v>4.1006642205384233E-2</v>
      </c>
      <c r="H3015" t="s">
        <v>60</v>
      </c>
      <c r="I3015" t="s">
        <v>66</v>
      </c>
      <c r="J3015">
        <v>0</v>
      </c>
      <c r="K3015">
        <v>49.74201948328718</v>
      </c>
      <c r="L3015">
        <v>165.9486571638829</v>
      </c>
    </row>
    <row r="3016" spans="1:12" hidden="1" x14ac:dyDescent="0.25">
      <c r="A3016">
        <v>385</v>
      </c>
      <c r="B3016" t="s">
        <v>2042</v>
      </c>
      <c r="C3016" t="s">
        <v>972</v>
      </c>
      <c r="D3016">
        <v>0</v>
      </c>
      <c r="E3016" t="str">
        <f>_xlfn.XLOOKUP(F3016, Keys!B:B, Keys!A:A, "找不到")</f>
        <v>TW</v>
      </c>
      <c r="F3016" t="s">
        <v>97</v>
      </c>
      <c r="G3016">
        <v>0.21543843770305809</v>
      </c>
      <c r="H3016" t="s">
        <v>60</v>
      </c>
      <c r="I3016" t="s">
        <v>66</v>
      </c>
      <c r="J3016" t="s">
        <v>2067</v>
      </c>
      <c r="K3016">
        <v>116.698276427168</v>
      </c>
      <c r="L3016">
        <v>871.85191265460639</v>
      </c>
    </row>
    <row r="3017" spans="1:12" hidden="1" x14ac:dyDescent="0.25">
      <c r="A3017">
        <v>393</v>
      </c>
      <c r="B3017" t="s">
        <v>2042</v>
      </c>
      <c r="C3017" t="s">
        <v>972</v>
      </c>
      <c r="D3017">
        <v>0</v>
      </c>
      <c r="E3017" t="str">
        <f>_xlfn.XLOOKUP(F3017, Keys!B:B, Keys!A:A, "找不到")</f>
        <v>TW</v>
      </c>
      <c r="F3017" t="s">
        <v>97</v>
      </c>
      <c r="G3017">
        <v>0.1160079646866502</v>
      </c>
      <c r="H3017" t="s">
        <v>60</v>
      </c>
      <c r="I3017" t="s">
        <v>66</v>
      </c>
      <c r="J3017" t="s">
        <v>2296</v>
      </c>
      <c r="K3017">
        <v>87.471094619237846</v>
      </c>
      <c r="L3017">
        <v>469.46945481766409</v>
      </c>
    </row>
    <row r="3018" spans="1:12" hidden="1" x14ac:dyDescent="0.25">
      <c r="A3018">
        <v>395</v>
      </c>
      <c r="B3018" t="s">
        <v>2042</v>
      </c>
      <c r="C3018" t="s">
        <v>972</v>
      </c>
      <c r="D3018">
        <v>0</v>
      </c>
      <c r="E3018" t="str">
        <f>_xlfn.XLOOKUP(F3018, Keys!B:B, Keys!A:A, "找不到")</f>
        <v>TW</v>
      </c>
      <c r="F3018" t="s">
        <v>97</v>
      </c>
      <c r="G3018">
        <v>9.4962573415374563E-2</v>
      </c>
      <c r="H3018" t="s">
        <v>60</v>
      </c>
      <c r="I3018" t="s">
        <v>66</v>
      </c>
      <c r="J3018">
        <v>0</v>
      </c>
      <c r="K3018">
        <v>78.638061146034886</v>
      </c>
      <c r="L3018">
        <v>384.30143731785211</v>
      </c>
    </row>
    <row r="3019" spans="1:12" hidden="1" x14ac:dyDescent="0.25">
      <c r="A3019">
        <v>396</v>
      </c>
      <c r="B3019" t="s">
        <v>2042</v>
      </c>
      <c r="C3019" t="s">
        <v>972</v>
      </c>
      <c r="D3019">
        <v>0</v>
      </c>
      <c r="E3019" t="str">
        <f>_xlfn.XLOOKUP(F3019, Keys!B:B, Keys!A:A, "找不到")</f>
        <v>TW</v>
      </c>
      <c r="F3019" t="s">
        <v>97</v>
      </c>
      <c r="G3019">
        <v>6.5346892909352791E-2</v>
      </c>
      <c r="H3019" t="s">
        <v>60</v>
      </c>
      <c r="I3019" t="s">
        <v>66</v>
      </c>
      <c r="J3019">
        <v>0</v>
      </c>
      <c r="K3019">
        <v>65.873148962429823</v>
      </c>
      <c r="L3019">
        <v>264.4505510552458</v>
      </c>
    </row>
    <row r="3020" spans="1:12" hidden="1" x14ac:dyDescent="0.25">
      <c r="A3020">
        <v>397</v>
      </c>
      <c r="B3020" t="s">
        <v>2042</v>
      </c>
      <c r="C3020" t="s">
        <v>972</v>
      </c>
      <c r="D3020">
        <v>0</v>
      </c>
      <c r="E3020" t="str">
        <f>_xlfn.XLOOKUP(F3020, Keys!B:B, Keys!A:A, "找不到")</f>
        <v>TW</v>
      </c>
      <c r="F3020" t="s">
        <v>97</v>
      </c>
      <c r="G3020">
        <v>4.4826150825906297E-2</v>
      </c>
      <c r="H3020" t="s">
        <v>60</v>
      </c>
      <c r="I3020" t="s">
        <v>66</v>
      </c>
      <c r="J3020">
        <v>0</v>
      </c>
      <c r="K3020">
        <v>55.94159244480818</v>
      </c>
      <c r="L3020">
        <v>181.40572198345231</v>
      </c>
    </row>
    <row r="3021" spans="1:12" hidden="1" x14ac:dyDescent="0.25">
      <c r="A3021">
        <v>206</v>
      </c>
      <c r="B3021" t="s">
        <v>714</v>
      </c>
      <c r="C3021" t="s">
        <v>715</v>
      </c>
      <c r="D3021" t="s">
        <v>863</v>
      </c>
      <c r="E3021" t="str">
        <f>_xlfn.XLOOKUP(F3021, Keys!B:B, Keys!A:A, "找不到")</f>
        <v>FA</v>
      </c>
      <c r="F3021" t="s">
        <v>63</v>
      </c>
      <c r="G3021">
        <v>7.8655484187428746</v>
      </c>
      <c r="H3021" t="s">
        <v>64</v>
      </c>
      <c r="I3021" t="s">
        <v>65</v>
      </c>
      <c r="J3021" t="s">
        <v>57</v>
      </c>
      <c r="K3021">
        <v>0</v>
      </c>
      <c r="L3021">
        <v>0</v>
      </c>
    </row>
    <row r="3022" spans="1:12" x14ac:dyDescent="0.25">
      <c r="A3022">
        <v>267</v>
      </c>
      <c r="B3022" t="s">
        <v>42</v>
      </c>
      <c r="C3022" t="s">
        <v>36</v>
      </c>
      <c r="D3022" t="s">
        <v>43</v>
      </c>
      <c r="E3022" t="str">
        <f>_xlfn.XLOOKUP(F3022, Keys!B:B, Keys!A:A, "找不到")</f>
        <v>FA</v>
      </c>
      <c r="F3022" t="s">
        <v>63</v>
      </c>
      <c r="G3022">
        <v>0.17253250435255249</v>
      </c>
      <c r="H3022" t="s">
        <v>64</v>
      </c>
      <c r="I3022" t="s">
        <v>65</v>
      </c>
      <c r="J3022">
        <v>0</v>
      </c>
      <c r="K3022">
        <v>110.06671419385709</v>
      </c>
      <c r="L3022">
        <v>698.21706617735504</v>
      </c>
    </row>
    <row r="3023" spans="1:12" x14ac:dyDescent="0.25">
      <c r="A3023">
        <v>268</v>
      </c>
      <c r="B3023" t="s">
        <v>42</v>
      </c>
      <c r="C3023" t="s">
        <v>36</v>
      </c>
      <c r="D3023" t="s">
        <v>43</v>
      </c>
      <c r="E3023" t="str">
        <f>_xlfn.XLOOKUP(F3023, Keys!B:B, Keys!A:A, "找不到")</f>
        <v>FA</v>
      </c>
      <c r="F3023" t="s">
        <v>63</v>
      </c>
      <c r="G3023">
        <v>0.2482955834324154</v>
      </c>
      <c r="H3023" t="s">
        <v>64</v>
      </c>
      <c r="I3023" t="s">
        <v>65</v>
      </c>
      <c r="J3023">
        <v>0</v>
      </c>
      <c r="K3023">
        <v>138.941442168733</v>
      </c>
      <c r="L3023">
        <v>1004.820595745389</v>
      </c>
    </row>
    <row r="3024" spans="1:12" x14ac:dyDescent="0.25">
      <c r="A3024">
        <v>269</v>
      </c>
      <c r="B3024" t="s">
        <v>42</v>
      </c>
      <c r="C3024" t="s">
        <v>36</v>
      </c>
      <c r="D3024" t="s">
        <v>43</v>
      </c>
      <c r="E3024" t="str">
        <f>_xlfn.XLOOKUP(F3024, Keys!B:B, Keys!A:A, "找不到")</f>
        <v>FA</v>
      </c>
      <c r="F3024" t="s">
        <v>63</v>
      </c>
      <c r="G3024">
        <v>1.6662872497217991</v>
      </c>
      <c r="H3024" t="s">
        <v>64</v>
      </c>
      <c r="I3024" t="s">
        <v>65</v>
      </c>
      <c r="J3024">
        <v>0</v>
      </c>
      <c r="K3024">
        <v>342.81914981116148</v>
      </c>
      <c r="L3024">
        <v>6743.2522310818467</v>
      </c>
    </row>
    <row r="3025" spans="1:12" x14ac:dyDescent="0.25">
      <c r="A3025">
        <v>270</v>
      </c>
      <c r="B3025" t="s">
        <v>42</v>
      </c>
      <c r="C3025" t="s">
        <v>36</v>
      </c>
      <c r="D3025" t="s">
        <v>43</v>
      </c>
      <c r="E3025" t="str">
        <f>_xlfn.XLOOKUP(F3025, Keys!B:B, Keys!A:A, "找不到")</f>
        <v>FA</v>
      </c>
      <c r="F3025" t="s">
        <v>63</v>
      </c>
      <c r="G3025">
        <v>0.70947766495239106</v>
      </c>
      <c r="H3025" t="s">
        <v>64</v>
      </c>
      <c r="I3025" t="s">
        <v>65</v>
      </c>
      <c r="J3025">
        <v>0</v>
      </c>
      <c r="K3025">
        <v>232.34308722271069</v>
      </c>
      <c r="L3025">
        <v>2871.1657296133731</v>
      </c>
    </row>
    <row r="3026" spans="1:12" x14ac:dyDescent="0.25">
      <c r="A3026">
        <v>271</v>
      </c>
      <c r="B3026" t="s">
        <v>42</v>
      </c>
      <c r="C3026" t="s">
        <v>36</v>
      </c>
      <c r="D3026" t="s">
        <v>43</v>
      </c>
      <c r="E3026" t="str">
        <f>_xlfn.XLOOKUP(F3026, Keys!B:B, Keys!A:A, "找不到")</f>
        <v>FA</v>
      </c>
      <c r="F3026" t="s">
        <v>63</v>
      </c>
      <c r="G3026">
        <v>5.0475496169195297</v>
      </c>
      <c r="H3026" t="s">
        <v>64</v>
      </c>
      <c r="I3026" t="s">
        <v>65</v>
      </c>
      <c r="J3026">
        <v>0</v>
      </c>
      <c r="K3026">
        <v>598.09497402766601</v>
      </c>
      <c r="L3026">
        <v>20426.79029169292</v>
      </c>
    </row>
    <row r="3027" spans="1:12" x14ac:dyDescent="0.25">
      <c r="A3027">
        <v>272</v>
      </c>
      <c r="B3027" t="s">
        <v>42</v>
      </c>
      <c r="C3027" t="s">
        <v>36</v>
      </c>
      <c r="D3027" t="s">
        <v>43</v>
      </c>
      <c r="E3027" t="str">
        <f>_xlfn.XLOOKUP(F3027, Keys!B:B, Keys!A:A, "找不到")</f>
        <v>FA</v>
      </c>
      <c r="F3027" t="s">
        <v>63</v>
      </c>
      <c r="G3027">
        <v>0.48692483078454718</v>
      </c>
      <c r="H3027" t="s">
        <v>64</v>
      </c>
      <c r="I3027" t="s">
        <v>65</v>
      </c>
      <c r="J3027">
        <v>0</v>
      </c>
      <c r="K3027">
        <v>197.4910814845509</v>
      </c>
      <c r="L3027">
        <v>1970.522760769639</v>
      </c>
    </row>
    <row r="3028" spans="1:12" x14ac:dyDescent="0.25">
      <c r="A3028">
        <v>274</v>
      </c>
      <c r="B3028" t="s">
        <v>42</v>
      </c>
      <c r="C3028" t="s">
        <v>36</v>
      </c>
      <c r="D3028" t="s">
        <v>43</v>
      </c>
      <c r="E3028" t="str">
        <f>_xlfn.XLOOKUP(F3028, Keys!B:B, Keys!A:A, "找不到")</f>
        <v>FA</v>
      </c>
      <c r="F3028" t="s">
        <v>63</v>
      </c>
      <c r="G3028">
        <v>0.35775556349129578</v>
      </c>
      <c r="H3028" t="s">
        <v>64</v>
      </c>
      <c r="I3028" t="s">
        <v>65</v>
      </c>
      <c r="J3028">
        <v>0</v>
      </c>
      <c r="K3028">
        <v>175.92358873803221</v>
      </c>
      <c r="L3028">
        <v>1447.791190923054</v>
      </c>
    </row>
    <row r="3029" spans="1:12" x14ac:dyDescent="0.25">
      <c r="A3029">
        <v>280</v>
      </c>
      <c r="B3029" t="s">
        <v>42</v>
      </c>
      <c r="C3029" t="s">
        <v>36</v>
      </c>
      <c r="D3029" t="s">
        <v>43</v>
      </c>
      <c r="E3029" t="str">
        <f>_xlfn.XLOOKUP(F3029, Keys!B:B, Keys!A:A, "找不到")</f>
        <v>FA</v>
      </c>
      <c r="F3029" t="s">
        <v>63</v>
      </c>
      <c r="G3029">
        <v>0.39146396338998118</v>
      </c>
      <c r="H3029" t="s">
        <v>64</v>
      </c>
      <c r="I3029" t="s">
        <v>65</v>
      </c>
      <c r="J3029">
        <v>0</v>
      </c>
      <c r="K3029">
        <v>164.84106568797699</v>
      </c>
      <c r="L3029">
        <v>1584.204791195732</v>
      </c>
    </row>
    <row r="3030" spans="1:12" x14ac:dyDescent="0.25">
      <c r="A3030">
        <v>285</v>
      </c>
      <c r="B3030" t="s">
        <v>42</v>
      </c>
      <c r="C3030" t="s">
        <v>36</v>
      </c>
      <c r="D3030" t="s">
        <v>43</v>
      </c>
      <c r="E3030" t="str">
        <f>_xlfn.XLOOKUP(F3030, Keys!B:B, Keys!A:A, "找不到")</f>
        <v>FA</v>
      </c>
      <c r="F3030" t="s">
        <v>63</v>
      </c>
      <c r="G3030">
        <v>21.055074847737799</v>
      </c>
      <c r="H3030" t="s">
        <v>64</v>
      </c>
      <c r="I3030" t="s">
        <v>65</v>
      </c>
      <c r="J3030">
        <v>0</v>
      </c>
      <c r="K3030">
        <v>1456.403101032633</v>
      </c>
      <c r="L3030">
        <v>85207.205700162362</v>
      </c>
    </row>
    <row r="3031" spans="1:12" x14ac:dyDescent="0.25">
      <c r="A3031">
        <v>286</v>
      </c>
      <c r="B3031" t="s">
        <v>42</v>
      </c>
      <c r="C3031" t="s">
        <v>36</v>
      </c>
      <c r="D3031" t="s">
        <v>43</v>
      </c>
      <c r="E3031" t="str">
        <f>_xlfn.XLOOKUP(F3031, Keys!B:B, Keys!A:A, "找不到")</f>
        <v>FA</v>
      </c>
      <c r="F3031" t="s">
        <v>63</v>
      </c>
      <c r="G3031">
        <v>1.9806441318782171</v>
      </c>
      <c r="H3031" t="s">
        <v>64</v>
      </c>
      <c r="I3031" t="s">
        <v>65</v>
      </c>
      <c r="J3031">
        <v>0</v>
      </c>
      <c r="K3031">
        <v>665.54406103001656</v>
      </c>
      <c r="L3031">
        <v>8015.4144872061224</v>
      </c>
    </row>
    <row r="3032" spans="1:12" x14ac:dyDescent="0.25">
      <c r="A3032">
        <v>290</v>
      </c>
      <c r="B3032" t="s">
        <v>42</v>
      </c>
      <c r="C3032" t="s">
        <v>36</v>
      </c>
      <c r="D3032" t="s">
        <v>43</v>
      </c>
      <c r="E3032" t="str">
        <f>_xlfn.XLOOKUP(F3032, Keys!B:B, Keys!A:A, "找不到")</f>
        <v>FA</v>
      </c>
      <c r="F3032" t="s">
        <v>63</v>
      </c>
      <c r="G3032">
        <v>2.1681089923721268</v>
      </c>
      <c r="H3032" t="s">
        <v>64</v>
      </c>
      <c r="I3032" t="s">
        <v>65</v>
      </c>
      <c r="J3032">
        <v>0</v>
      </c>
      <c r="K3032">
        <v>687.04272860348919</v>
      </c>
      <c r="L3032">
        <v>8774.0608964528237</v>
      </c>
    </row>
    <row r="3033" spans="1:12" x14ac:dyDescent="0.25">
      <c r="A3033">
        <v>293</v>
      </c>
      <c r="B3033" t="s">
        <v>42</v>
      </c>
      <c r="C3033" t="s">
        <v>36</v>
      </c>
      <c r="D3033" t="s">
        <v>43</v>
      </c>
      <c r="E3033" t="str">
        <f>_xlfn.XLOOKUP(F3033, Keys!B:B, Keys!A:A, "找不到")</f>
        <v>FA</v>
      </c>
      <c r="F3033" t="s">
        <v>63</v>
      </c>
      <c r="G3033">
        <v>0.40245004616940538</v>
      </c>
      <c r="H3033" t="s">
        <v>64</v>
      </c>
      <c r="I3033" t="s">
        <v>65</v>
      </c>
      <c r="J3033">
        <v>0</v>
      </c>
      <c r="K3033">
        <v>162.32490578576451</v>
      </c>
      <c r="L3033">
        <v>1628.6640686855951</v>
      </c>
    </row>
    <row r="3034" spans="1:12" x14ac:dyDescent="0.25">
      <c r="A3034">
        <v>295</v>
      </c>
      <c r="B3034" t="s">
        <v>42</v>
      </c>
      <c r="C3034" t="s">
        <v>36</v>
      </c>
      <c r="D3034">
        <v>0</v>
      </c>
      <c r="E3034" t="str">
        <f>_xlfn.XLOOKUP(F3034, Keys!B:B, Keys!A:A, "找不到")</f>
        <v>FA</v>
      </c>
      <c r="F3034" t="s">
        <v>63</v>
      </c>
      <c r="G3034">
        <v>4.7402802047258552</v>
      </c>
      <c r="H3034" t="s">
        <v>64</v>
      </c>
      <c r="I3034" t="s">
        <v>65</v>
      </c>
      <c r="J3034">
        <v>0</v>
      </c>
      <c r="K3034">
        <v>634.54856867771878</v>
      </c>
      <c r="L3034">
        <v>19183.310123634179</v>
      </c>
    </row>
    <row r="3035" spans="1:12" x14ac:dyDescent="0.25">
      <c r="A3035">
        <v>300</v>
      </c>
      <c r="B3035" t="s">
        <v>42</v>
      </c>
      <c r="C3035" t="s">
        <v>36</v>
      </c>
      <c r="D3035" t="s">
        <v>43</v>
      </c>
      <c r="E3035" t="str">
        <f>_xlfn.XLOOKUP(F3035, Keys!B:B, Keys!A:A, "找不到")</f>
        <v>FA</v>
      </c>
      <c r="F3035" t="s">
        <v>63</v>
      </c>
      <c r="G3035">
        <v>2.3292403170810401</v>
      </c>
      <c r="H3035" t="s">
        <v>64</v>
      </c>
      <c r="I3035" t="s">
        <v>65</v>
      </c>
      <c r="J3035">
        <v>0</v>
      </c>
      <c r="K3035">
        <v>999.77090506687978</v>
      </c>
      <c r="L3035">
        <v>9426.1388410100772</v>
      </c>
    </row>
    <row r="3036" spans="1:12" x14ac:dyDescent="0.25">
      <c r="A3036">
        <v>303</v>
      </c>
      <c r="B3036" t="s">
        <v>42</v>
      </c>
      <c r="C3036" t="s">
        <v>36</v>
      </c>
      <c r="D3036">
        <v>0</v>
      </c>
      <c r="E3036" t="str">
        <f>_xlfn.XLOOKUP(F3036, Keys!B:B, Keys!A:A, "找不到")</f>
        <v>FA</v>
      </c>
      <c r="F3036" t="s">
        <v>63</v>
      </c>
      <c r="G3036">
        <v>4.5395254325294427</v>
      </c>
      <c r="H3036" t="s">
        <v>64</v>
      </c>
      <c r="I3036" t="s">
        <v>65</v>
      </c>
      <c r="J3036">
        <v>0</v>
      </c>
      <c r="K3036">
        <v>823.81805910668379</v>
      </c>
      <c r="L3036">
        <v>18370.881134730971</v>
      </c>
    </row>
    <row r="3037" spans="1:12" x14ac:dyDescent="0.25">
      <c r="A3037">
        <v>307</v>
      </c>
      <c r="B3037" t="s">
        <v>42</v>
      </c>
      <c r="C3037" t="s">
        <v>36</v>
      </c>
      <c r="D3037">
        <v>0</v>
      </c>
      <c r="E3037" t="str">
        <f>_xlfn.XLOOKUP(F3037, Keys!B:B, Keys!A:A, "找不到")</f>
        <v>FA</v>
      </c>
      <c r="F3037" t="s">
        <v>63</v>
      </c>
      <c r="G3037">
        <v>0.2754693259308878</v>
      </c>
      <c r="H3037" t="s">
        <v>64</v>
      </c>
      <c r="I3037" t="s">
        <v>65</v>
      </c>
      <c r="J3037">
        <v>0</v>
      </c>
      <c r="K3037">
        <v>250.7268714160183</v>
      </c>
      <c r="L3037">
        <v>1114.7892699702329</v>
      </c>
    </row>
    <row r="3038" spans="1:12" x14ac:dyDescent="0.25">
      <c r="A3038">
        <v>308</v>
      </c>
      <c r="B3038" t="s">
        <v>42</v>
      </c>
      <c r="C3038" t="s">
        <v>36</v>
      </c>
      <c r="D3038">
        <v>0</v>
      </c>
      <c r="E3038" t="str">
        <f>_xlfn.XLOOKUP(F3038, Keys!B:B, Keys!A:A, "找不到")</f>
        <v>FA</v>
      </c>
      <c r="F3038" t="s">
        <v>63</v>
      </c>
      <c r="G3038">
        <v>1.1168873979514149</v>
      </c>
      <c r="H3038" t="s">
        <v>64</v>
      </c>
      <c r="I3038" t="s">
        <v>65</v>
      </c>
      <c r="J3038">
        <v>0</v>
      </c>
      <c r="K3038">
        <v>332.12400036094499</v>
      </c>
      <c r="L3038">
        <v>4519.901019083306</v>
      </c>
    </row>
    <row r="3039" spans="1:12" x14ac:dyDescent="0.25">
      <c r="A3039">
        <v>316</v>
      </c>
      <c r="B3039" t="s">
        <v>42</v>
      </c>
      <c r="C3039" t="s">
        <v>36</v>
      </c>
      <c r="D3039" t="s">
        <v>43</v>
      </c>
      <c r="E3039" t="str">
        <f>_xlfn.XLOOKUP(F3039, Keys!B:B, Keys!A:A, "找不到")</f>
        <v>FA</v>
      </c>
      <c r="F3039" t="s">
        <v>63</v>
      </c>
      <c r="G3039">
        <v>2.6133385034960162</v>
      </c>
      <c r="H3039" t="s">
        <v>64</v>
      </c>
      <c r="I3039" t="s">
        <v>65</v>
      </c>
      <c r="J3039">
        <v>0</v>
      </c>
      <c r="K3039">
        <v>428.89307574888909</v>
      </c>
      <c r="L3039">
        <v>10575.848010127789</v>
      </c>
    </row>
    <row r="3040" spans="1:12" hidden="1" x14ac:dyDescent="0.25">
      <c r="A3040">
        <v>1</v>
      </c>
      <c r="C3040" t="s">
        <v>3970</v>
      </c>
      <c r="D3040" t="s">
        <v>57</v>
      </c>
      <c r="E3040" t="str">
        <f>_xlfn.XLOOKUP(F3040, Keys!B:B, Keys!A:A, "找不到")</f>
        <v>UN</v>
      </c>
      <c r="F3040" t="s">
        <v>625</v>
      </c>
      <c r="G3040">
        <v>0.21833546062277401</v>
      </c>
      <c r="H3040">
        <v>0</v>
      </c>
      <c r="I3040" t="s">
        <v>38</v>
      </c>
      <c r="J3040" t="s">
        <v>3971</v>
      </c>
      <c r="K3040">
        <v>0</v>
      </c>
      <c r="L3040">
        <v>0</v>
      </c>
    </row>
    <row r="3041" spans="1:12" hidden="1" x14ac:dyDescent="0.25">
      <c r="A3041">
        <v>2</v>
      </c>
      <c r="C3041" t="s">
        <v>3970</v>
      </c>
      <c r="D3041" t="s">
        <v>57</v>
      </c>
      <c r="E3041" t="str">
        <f>_xlfn.XLOOKUP(F3041, Keys!B:B, Keys!A:A, "找不到")</f>
        <v>UN</v>
      </c>
      <c r="F3041" t="s">
        <v>625</v>
      </c>
      <c r="G3041">
        <v>0.79592205246077041</v>
      </c>
      <c r="H3041">
        <v>0</v>
      </c>
      <c r="I3041" t="s">
        <v>38</v>
      </c>
      <c r="J3041" t="s">
        <v>3976</v>
      </c>
      <c r="K3041">
        <v>0</v>
      </c>
      <c r="L3041">
        <v>0</v>
      </c>
    </row>
    <row r="3042" spans="1:12" hidden="1" x14ac:dyDescent="0.25">
      <c r="A3042">
        <v>3</v>
      </c>
      <c r="C3042" t="s">
        <v>3970</v>
      </c>
      <c r="D3042" t="s">
        <v>57</v>
      </c>
      <c r="E3042" t="str">
        <f>_xlfn.XLOOKUP(F3042, Keys!B:B, Keys!A:A, "找不到")</f>
        <v>UN</v>
      </c>
      <c r="F3042" t="s">
        <v>625</v>
      </c>
      <c r="G3042">
        <v>0.9912735833912536</v>
      </c>
      <c r="H3042">
        <v>0</v>
      </c>
      <c r="I3042" t="s">
        <v>38</v>
      </c>
      <c r="J3042" t="s">
        <v>3978</v>
      </c>
      <c r="K3042">
        <v>0</v>
      </c>
      <c r="L3042">
        <v>0</v>
      </c>
    </row>
    <row r="3043" spans="1:12" hidden="1" x14ac:dyDescent="0.25">
      <c r="A3043">
        <v>721</v>
      </c>
      <c r="B3043" t="s">
        <v>2605</v>
      </c>
      <c r="C3043" t="s">
        <v>2606</v>
      </c>
      <c r="D3043">
        <v>0</v>
      </c>
      <c r="E3043" t="str">
        <f>_xlfn.XLOOKUP(F3043, Keys!B:B, Keys!A:A, "找不到")</f>
        <v>UN</v>
      </c>
      <c r="F3043" t="s">
        <v>625</v>
      </c>
      <c r="G3043">
        <v>6.816480066424406E-2</v>
      </c>
      <c r="H3043">
        <v>0</v>
      </c>
      <c r="I3043" t="s">
        <v>38</v>
      </c>
      <c r="J3043" t="s">
        <v>3716</v>
      </c>
      <c r="K3043">
        <v>0</v>
      </c>
      <c r="L3043">
        <v>59.632840697298107</v>
      </c>
    </row>
    <row r="3044" spans="1:12" hidden="1" x14ac:dyDescent="0.25">
      <c r="A3044">
        <v>722</v>
      </c>
      <c r="B3044" t="s">
        <v>2605</v>
      </c>
      <c r="C3044" t="s">
        <v>2606</v>
      </c>
      <c r="D3044">
        <v>0</v>
      </c>
      <c r="E3044" t="str">
        <f>_xlfn.XLOOKUP(F3044, Keys!B:B, Keys!A:A, "找不到")</f>
        <v>UN</v>
      </c>
      <c r="F3044" t="s">
        <v>625</v>
      </c>
      <c r="G3044">
        <v>5.5703747950748103E-2</v>
      </c>
      <c r="H3044">
        <v>0</v>
      </c>
      <c r="I3044" t="s">
        <v>38</v>
      </c>
      <c r="J3044" t="s">
        <v>3716</v>
      </c>
      <c r="K3044">
        <v>0</v>
      </c>
      <c r="L3044">
        <v>56.811615862281862</v>
      </c>
    </row>
    <row r="3045" spans="1:12" hidden="1" x14ac:dyDescent="0.25">
      <c r="A3045">
        <v>723</v>
      </c>
      <c r="B3045" t="s">
        <v>2605</v>
      </c>
      <c r="C3045" t="s">
        <v>2606</v>
      </c>
      <c r="D3045">
        <v>0</v>
      </c>
      <c r="E3045" t="str">
        <f>_xlfn.XLOOKUP(F3045, Keys!B:B, Keys!A:A, "找不到")</f>
        <v>UN</v>
      </c>
      <c r="F3045" t="s">
        <v>625</v>
      </c>
      <c r="G3045">
        <v>1.3997630846452549</v>
      </c>
      <c r="H3045">
        <v>0</v>
      </c>
      <c r="I3045" t="s">
        <v>38</v>
      </c>
      <c r="J3045" t="s">
        <v>3716</v>
      </c>
      <c r="K3045">
        <v>0</v>
      </c>
      <c r="L3045">
        <v>392.29967997495038</v>
      </c>
    </row>
    <row r="3046" spans="1:12" hidden="1" x14ac:dyDescent="0.25">
      <c r="A3046">
        <v>724</v>
      </c>
      <c r="B3046" t="s">
        <v>2605</v>
      </c>
      <c r="C3046" t="s">
        <v>2606</v>
      </c>
      <c r="D3046">
        <v>0</v>
      </c>
      <c r="E3046" t="str">
        <f>_xlfn.XLOOKUP(F3046, Keys!B:B, Keys!A:A, "找不到")</f>
        <v>UN</v>
      </c>
      <c r="F3046" t="s">
        <v>625</v>
      </c>
      <c r="G3046">
        <v>5.8253740344539451E-2</v>
      </c>
      <c r="H3046">
        <v>0</v>
      </c>
      <c r="I3046" t="s">
        <v>38</v>
      </c>
      <c r="J3046" t="s">
        <v>3716</v>
      </c>
      <c r="K3046">
        <v>0</v>
      </c>
      <c r="L3046">
        <v>59.673775956586212</v>
      </c>
    </row>
    <row r="3047" spans="1:12" hidden="1" x14ac:dyDescent="0.25">
      <c r="A3047">
        <v>725</v>
      </c>
      <c r="B3047" t="s">
        <v>2605</v>
      </c>
      <c r="C3047" t="s">
        <v>2606</v>
      </c>
      <c r="D3047">
        <v>0</v>
      </c>
      <c r="E3047" t="str">
        <f>_xlfn.XLOOKUP(F3047, Keys!B:B, Keys!A:A, "找不到")</f>
        <v>UN</v>
      </c>
      <c r="F3047" t="s">
        <v>625</v>
      </c>
      <c r="G3047">
        <v>5.4660239671959612E-2</v>
      </c>
      <c r="H3047">
        <v>0</v>
      </c>
      <c r="I3047" t="s">
        <v>38</v>
      </c>
      <c r="J3047" t="s">
        <v>3716</v>
      </c>
      <c r="K3047">
        <v>0</v>
      </c>
      <c r="L3047">
        <v>63.448458938938273</v>
      </c>
    </row>
    <row r="3048" spans="1:12" hidden="1" x14ac:dyDescent="0.25">
      <c r="A3048">
        <v>726</v>
      </c>
      <c r="B3048" t="s">
        <v>2605</v>
      </c>
      <c r="C3048" t="s">
        <v>2606</v>
      </c>
      <c r="D3048">
        <v>0</v>
      </c>
      <c r="E3048" t="str">
        <f>_xlfn.XLOOKUP(F3048, Keys!B:B, Keys!A:A, "找不到")</f>
        <v>UN</v>
      </c>
      <c r="F3048" t="s">
        <v>625</v>
      </c>
      <c r="G3048">
        <v>0.7906586691710159</v>
      </c>
      <c r="H3048">
        <v>0</v>
      </c>
      <c r="I3048" t="s">
        <v>38</v>
      </c>
      <c r="J3048" t="s">
        <v>3716</v>
      </c>
      <c r="K3048">
        <v>0</v>
      </c>
      <c r="L3048">
        <v>244.81999007627249</v>
      </c>
    </row>
    <row r="3049" spans="1:12" hidden="1" x14ac:dyDescent="0.25">
      <c r="A3049">
        <v>727</v>
      </c>
      <c r="B3049" t="s">
        <v>2605</v>
      </c>
      <c r="C3049" t="s">
        <v>2606</v>
      </c>
      <c r="D3049">
        <v>0</v>
      </c>
      <c r="E3049" t="str">
        <f>_xlfn.XLOOKUP(F3049, Keys!B:B, Keys!A:A, "找不到")</f>
        <v>UN</v>
      </c>
      <c r="F3049" t="s">
        <v>625</v>
      </c>
      <c r="G3049">
        <v>0.13316714324588591</v>
      </c>
      <c r="H3049">
        <v>0</v>
      </c>
      <c r="I3049" t="s">
        <v>38</v>
      </c>
      <c r="J3049" t="s">
        <v>3716</v>
      </c>
      <c r="K3049">
        <v>0</v>
      </c>
      <c r="L3049">
        <v>109.0039190848612</v>
      </c>
    </row>
    <row r="3050" spans="1:12" hidden="1" x14ac:dyDescent="0.25">
      <c r="A3050">
        <v>728</v>
      </c>
      <c r="B3050" t="s">
        <v>2605</v>
      </c>
      <c r="C3050" t="s">
        <v>2606</v>
      </c>
      <c r="D3050">
        <v>0</v>
      </c>
      <c r="E3050" t="str">
        <f>_xlfn.XLOOKUP(F3050, Keys!B:B, Keys!A:A, "找不到")</f>
        <v>UN</v>
      </c>
      <c r="F3050" t="s">
        <v>625</v>
      </c>
      <c r="G3050">
        <v>0.19227688536050641</v>
      </c>
      <c r="H3050">
        <v>0</v>
      </c>
      <c r="I3050" t="s">
        <v>38</v>
      </c>
      <c r="J3050" t="s">
        <v>3716</v>
      </c>
      <c r="K3050">
        <v>0</v>
      </c>
      <c r="L3050">
        <v>141.34737635228549</v>
      </c>
    </row>
    <row r="3051" spans="1:12" hidden="1" x14ac:dyDescent="0.25">
      <c r="A3051">
        <v>789</v>
      </c>
      <c r="B3051" t="s">
        <v>2605</v>
      </c>
      <c r="C3051" t="s">
        <v>2606</v>
      </c>
      <c r="D3051">
        <v>0</v>
      </c>
      <c r="E3051" t="str">
        <f>_xlfn.XLOOKUP(F3051, Keys!B:B, Keys!A:A, "找不到")</f>
        <v>UN</v>
      </c>
      <c r="F3051" t="s">
        <v>625</v>
      </c>
      <c r="G3051">
        <v>6.2012280118219616</v>
      </c>
      <c r="H3051">
        <v>0</v>
      </c>
      <c r="I3051" t="s">
        <v>38</v>
      </c>
      <c r="J3051" t="s">
        <v>3801</v>
      </c>
      <c r="K3051">
        <v>0</v>
      </c>
      <c r="L3051">
        <v>910.43200210358134</v>
      </c>
    </row>
    <row r="3052" spans="1:12" hidden="1" x14ac:dyDescent="0.25">
      <c r="A3052">
        <v>882</v>
      </c>
      <c r="B3052" t="s">
        <v>2605</v>
      </c>
      <c r="C3052" t="s">
        <v>2606</v>
      </c>
      <c r="D3052">
        <v>0</v>
      </c>
      <c r="E3052" t="str">
        <f>_xlfn.XLOOKUP(F3052, Keys!B:B, Keys!A:A, "找不到")</f>
        <v>UN</v>
      </c>
      <c r="F3052" t="s">
        <v>625</v>
      </c>
      <c r="G3052">
        <v>0.14336199834677649</v>
      </c>
      <c r="H3052">
        <v>0</v>
      </c>
      <c r="I3052" t="s">
        <v>38</v>
      </c>
      <c r="J3052" t="s">
        <v>3860</v>
      </c>
      <c r="K3052">
        <v>0</v>
      </c>
      <c r="L3052">
        <v>105.2492183649061</v>
      </c>
    </row>
    <row r="3053" spans="1:12" hidden="1" x14ac:dyDescent="0.25">
      <c r="A3053">
        <v>883</v>
      </c>
      <c r="B3053" t="s">
        <v>2605</v>
      </c>
      <c r="C3053" t="s">
        <v>2606</v>
      </c>
      <c r="D3053">
        <v>0</v>
      </c>
      <c r="E3053" t="str">
        <f>_xlfn.XLOOKUP(F3053, Keys!B:B, Keys!A:A, "找不到")</f>
        <v>UN</v>
      </c>
      <c r="F3053" t="s">
        <v>625</v>
      </c>
      <c r="G3053">
        <v>0.50643145127750744</v>
      </c>
      <c r="H3053">
        <v>0</v>
      </c>
      <c r="I3053" t="s">
        <v>38</v>
      </c>
      <c r="J3053" t="s">
        <v>3863</v>
      </c>
      <c r="K3053">
        <v>0</v>
      </c>
      <c r="L3053">
        <v>229.7779924545041</v>
      </c>
    </row>
    <row r="3054" spans="1:12" hidden="1" x14ac:dyDescent="0.25">
      <c r="A3054">
        <v>186</v>
      </c>
      <c r="B3054" t="s">
        <v>1026</v>
      </c>
      <c r="C3054" t="s">
        <v>1027</v>
      </c>
      <c r="D3054">
        <v>0</v>
      </c>
      <c r="E3054" t="str">
        <f>_xlfn.XLOOKUP(F3054, Keys!B:B, Keys!A:A, "找不到")</f>
        <v>UN</v>
      </c>
      <c r="F3054" t="s">
        <v>625</v>
      </c>
      <c r="G3054">
        <v>12.81941535482385</v>
      </c>
      <c r="H3054">
        <v>0</v>
      </c>
      <c r="I3054" t="s">
        <v>38</v>
      </c>
      <c r="J3054" t="s">
        <v>1380</v>
      </c>
      <c r="K3054">
        <v>1293.240422525394</v>
      </c>
      <c r="L3054">
        <v>51878.540874038059</v>
      </c>
    </row>
    <row r="3055" spans="1:12" hidden="1" x14ac:dyDescent="0.25">
      <c r="A3055">
        <v>187</v>
      </c>
      <c r="B3055" t="s">
        <v>1026</v>
      </c>
      <c r="C3055" t="s">
        <v>1027</v>
      </c>
      <c r="D3055">
        <v>0</v>
      </c>
      <c r="E3055" t="str">
        <f>_xlfn.XLOOKUP(F3055, Keys!B:B, Keys!A:A, "找不到")</f>
        <v>UN</v>
      </c>
      <c r="F3055" t="s">
        <v>625</v>
      </c>
      <c r="G3055">
        <v>0.91116782088638537</v>
      </c>
      <c r="H3055">
        <v>0</v>
      </c>
      <c r="I3055" t="s">
        <v>38</v>
      </c>
      <c r="J3055" t="s">
        <v>1385</v>
      </c>
      <c r="K3055">
        <v>308.7416190805896</v>
      </c>
      <c r="L3055">
        <v>3687.3800973439211</v>
      </c>
    </row>
    <row r="3056" spans="1:12" hidden="1" x14ac:dyDescent="0.25">
      <c r="A3056">
        <v>188</v>
      </c>
      <c r="B3056" t="s">
        <v>1026</v>
      </c>
      <c r="C3056" t="s">
        <v>1027</v>
      </c>
      <c r="D3056">
        <v>0</v>
      </c>
      <c r="E3056" t="str">
        <f>_xlfn.XLOOKUP(F3056, Keys!B:B, Keys!A:A, "找不到")</f>
        <v>UN</v>
      </c>
      <c r="F3056" t="s">
        <v>625</v>
      </c>
      <c r="G3056">
        <v>2.3417244238493011</v>
      </c>
      <c r="H3056">
        <v>0</v>
      </c>
      <c r="I3056" t="s">
        <v>38</v>
      </c>
      <c r="J3056" t="s">
        <v>1385</v>
      </c>
      <c r="K3056">
        <v>558.50409868985332</v>
      </c>
      <c r="L3056">
        <v>9476.6604307492998</v>
      </c>
    </row>
    <row r="3057" spans="1:12" hidden="1" x14ac:dyDescent="0.25">
      <c r="A3057">
        <v>189</v>
      </c>
      <c r="B3057" t="s">
        <v>1026</v>
      </c>
      <c r="C3057" t="s">
        <v>1027</v>
      </c>
      <c r="D3057">
        <v>0</v>
      </c>
      <c r="E3057" t="str">
        <f>_xlfn.XLOOKUP(F3057, Keys!B:B, Keys!A:A, "找不到")</f>
        <v>UN</v>
      </c>
      <c r="F3057" t="s">
        <v>625</v>
      </c>
      <c r="G3057">
        <v>1.0437405383448231</v>
      </c>
      <c r="H3057">
        <v>0</v>
      </c>
      <c r="I3057" t="s">
        <v>38</v>
      </c>
      <c r="J3057" t="s">
        <v>1385</v>
      </c>
      <c r="K3057">
        <v>419.16796171557951</v>
      </c>
      <c r="L3057">
        <v>4223.8849964430692</v>
      </c>
    </row>
    <row r="3058" spans="1:12" hidden="1" x14ac:dyDescent="0.25">
      <c r="A3058">
        <v>190</v>
      </c>
      <c r="B3058" t="s">
        <v>1026</v>
      </c>
      <c r="C3058" t="s">
        <v>1027</v>
      </c>
      <c r="D3058">
        <v>0</v>
      </c>
      <c r="E3058" t="str">
        <f>_xlfn.XLOOKUP(F3058, Keys!B:B, Keys!A:A, "找不到")</f>
        <v>UN</v>
      </c>
      <c r="F3058" t="s">
        <v>625</v>
      </c>
      <c r="G3058">
        <v>0.83302557894820606</v>
      </c>
      <c r="H3058">
        <v>0</v>
      </c>
      <c r="I3058" t="s">
        <v>38</v>
      </c>
      <c r="J3058" t="s">
        <v>1385</v>
      </c>
      <c r="K3058">
        <v>312.47046000227459</v>
      </c>
      <c r="L3058">
        <v>3371.1483987701358</v>
      </c>
    </row>
    <row r="3059" spans="1:12" hidden="1" x14ac:dyDescent="0.25">
      <c r="A3059">
        <v>247</v>
      </c>
      <c r="B3059" t="s">
        <v>1026</v>
      </c>
      <c r="C3059" t="s">
        <v>1027</v>
      </c>
      <c r="D3059" t="s">
        <v>57</v>
      </c>
      <c r="E3059" t="str">
        <f>_xlfn.XLOOKUP(F3059, Keys!B:B, Keys!A:A, "找不到")</f>
        <v>UN</v>
      </c>
      <c r="F3059" t="s">
        <v>625</v>
      </c>
      <c r="G3059">
        <v>0.30641758657946883</v>
      </c>
      <c r="H3059">
        <v>0</v>
      </c>
      <c r="I3059" t="s">
        <v>38</v>
      </c>
      <c r="J3059" t="s">
        <v>1467</v>
      </c>
      <c r="K3059">
        <v>125.8098860730813</v>
      </c>
      <c r="L3059">
        <v>1240.0329383122239</v>
      </c>
    </row>
    <row r="3060" spans="1:12" hidden="1" x14ac:dyDescent="0.25">
      <c r="A3060">
        <v>89</v>
      </c>
      <c r="B3060" t="s">
        <v>378</v>
      </c>
      <c r="C3060" t="s">
        <v>379</v>
      </c>
      <c r="D3060">
        <v>0</v>
      </c>
      <c r="E3060" t="str">
        <f>_xlfn.XLOOKUP(F3060, Keys!B:B, Keys!A:A, "找不到")</f>
        <v>UN</v>
      </c>
      <c r="F3060" t="s">
        <v>625</v>
      </c>
      <c r="G3060">
        <v>0.9604563546628645</v>
      </c>
      <c r="H3060">
        <v>0</v>
      </c>
      <c r="I3060" t="s">
        <v>38</v>
      </c>
      <c r="J3060" t="s">
        <v>626</v>
      </c>
      <c r="K3060">
        <v>329.70150671838388</v>
      </c>
      <c r="L3060">
        <v>3886.844514664816</v>
      </c>
    </row>
    <row r="3061" spans="1:12" hidden="1" x14ac:dyDescent="0.25">
      <c r="A3061">
        <v>90</v>
      </c>
      <c r="B3061" t="s">
        <v>378</v>
      </c>
      <c r="C3061" t="s">
        <v>379</v>
      </c>
      <c r="D3061">
        <v>0</v>
      </c>
      <c r="E3061" t="str">
        <f>_xlfn.XLOOKUP(F3061, Keys!B:B, Keys!A:A, "找不到")</f>
        <v>UN</v>
      </c>
      <c r="F3061" t="s">
        <v>625</v>
      </c>
      <c r="G3061">
        <v>1.0306184417336539</v>
      </c>
      <c r="H3061">
        <v>0</v>
      </c>
      <c r="I3061" t="s">
        <v>38</v>
      </c>
      <c r="J3061" t="s">
        <v>632</v>
      </c>
      <c r="K3061">
        <v>579.70554362070948</v>
      </c>
      <c r="L3061">
        <v>4170.781543083207</v>
      </c>
    </row>
    <row r="3062" spans="1:12" hidden="1" x14ac:dyDescent="0.25">
      <c r="A3062">
        <v>91</v>
      </c>
      <c r="B3062" t="s">
        <v>378</v>
      </c>
      <c r="C3062" t="s">
        <v>379</v>
      </c>
      <c r="D3062">
        <v>0</v>
      </c>
      <c r="E3062" t="str">
        <f>_xlfn.XLOOKUP(F3062, Keys!B:B, Keys!A:A, "找不到")</f>
        <v>UN</v>
      </c>
      <c r="F3062" t="s">
        <v>625</v>
      </c>
      <c r="G3062">
        <v>0.80417629695921677</v>
      </c>
      <c r="H3062">
        <v>0</v>
      </c>
      <c r="I3062" t="s">
        <v>38</v>
      </c>
      <c r="J3062" t="s">
        <v>634</v>
      </c>
      <c r="K3062">
        <v>494.56103665338691</v>
      </c>
      <c r="L3062">
        <v>3254.3990296743568</v>
      </c>
    </row>
    <row r="3063" spans="1:12" hidden="1" x14ac:dyDescent="0.25">
      <c r="A3063">
        <v>8</v>
      </c>
      <c r="B3063" t="s">
        <v>2042</v>
      </c>
      <c r="C3063" t="s">
        <v>972</v>
      </c>
      <c r="D3063">
        <v>0</v>
      </c>
      <c r="E3063" t="str">
        <f>_xlfn.XLOOKUP(F3063, Keys!B:B, Keys!A:A, "找不到")</f>
        <v>WSG</v>
      </c>
      <c r="F3063" t="s">
        <v>123</v>
      </c>
      <c r="G3063">
        <v>1.953868085603909</v>
      </c>
      <c r="H3063" t="s">
        <v>46</v>
      </c>
      <c r="I3063" t="s">
        <v>47</v>
      </c>
      <c r="J3063" t="s">
        <v>2061</v>
      </c>
      <c r="K3063">
        <v>702.01521656098896</v>
      </c>
      <c r="L3063">
        <v>7907.0552389379009</v>
      </c>
    </row>
    <row r="3064" spans="1:12" hidden="1" x14ac:dyDescent="0.25">
      <c r="A3064">
        <v>173</v>
      </c>
      <c r="B3064" t="s">
        <v>2042</v>
      </c>
      <c r="C3064" t="s">
        <v>972</v>
      </c>
      <c r="D3064" t="s">
        <v>2057</v>
      </c>
      <c r="E3064" t="str">
        <f>_xlfn.XLOOKUP(F3064, Keys!B:B, Keys!A:A, "找不到")</f>
        <v>WSG</v>
      </c>
      <c r="F3064" t="s">
        <v>123</v>
      </c>
      <c r="G3064">
        <v>6.262929841523377</v>
      </c>
      <c r="H3064" t="s">
        <v>46</v>
      </c>
      <c r="I3064" t="s">
        <v>47</v>
      </c>
      <c r="J3064" t="s">
        <v>2346</v>
      </c>
      <c r="K3064">
        <v>842.21346518897667</v>
      </c>
      <c r="L3064">
        <v>25345.279233225039</v>
      </c>
    </row>
    <row r="3065" spans="1:12" x14ac:dyDescent="0.25">
      <c r="A3065">
        <v>38</v>
      </c>
      <c r="B3065" t="s">
        <v>42</v>
      </c>
      <c r="C3065" t="s">
        <v>36</v>
      </c>
      <c r="D3065" t="s">
        <v>43</v>
      </c>
      <c r="E3065" t="str">
        <f>_xlfn.XLOOKUP(F3065, Keys!B:B, Keys!A:A, "找不到")</f>
        <v>PU</v>
      </c>
      <c r="F3065" t="s">
        <v>78</v>
      </c>
      <c r="G3065">
        <v>5.1116247866766464</v>
      </c>
      <c r="H3065" t="s">
        <v>64</v>
      </c>
      <c r="I3065" t="s">
        <v>65</v>
      </c>
      <c r="J3065">
        <v>0</v>
      </c>
      <c r="K3065">
        <v>767.19203789435733</v>
      </c>
      <c r="L3065">
        <v>20686.09434115604</v>
      </c>
    </row>
    <row r="3066" spans="1:12" x14ac:dyDescent="0.25">
      <c r="A3066">
        <v>46</v>
      </c>
      <c r="B3066" t="s">
        <v>42</v>
      </c>
      <c r="C3066" t="s">
        <v>36</v>
      </c>
      <c r="D3066" t="s">
        <v>43</v>
      </c>
      <c r="E3066" t="str">
        <f>_xlfn.XLOOKUP(F3066, Keys!B:B, Keys!A:A, "找不到")</f>
        <v>PEI</v>
      </c>
      <c r="F3066" t="s">
        <v>68</v>
      </c>
      <c r="G3066">
        <v>11.004529068922411</v>
      </c>
      <c r="H3066" t="s">
        <v>75</v>
      </c>
      <c r="I3066" t="s">
        <v>83</v>
      </c>
      <c r="J3066" t="s">
        <v>84</v>
      </c>
      <c r="K3066">
        <v>1042.046933275722</v>
      </c>
      <c r="L3066">
        <v>44533.92727358712</v>
      </c>
    </row>
  </sheetData>
  <autoFilter ref="A1:L3066" xr:uid="{4CCBCE66-4708-4C42-A9F6-1E2CFC36F16A}">
    <filterColumn colId="2">
      <filters>
        <filter val="VV"/>
      </filters>
    </filterColumn>
    <sortState xmlns:xlrd2="http://schemas.microsoft.com/office/spreadsheetml/2017/richdata2" ref="A23:L3066">
      <sortCondition ref="H1:H3066"/>
    </sortState>
  </autoFilter>
  <sortState xmlns:xlrd2="http://schemas.microsoft.com/office/spreadsheetml/2017/richdata2" ref="A2:L3066">
    <sortCondition ref="A1:A3066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C2BE-2CE9-4125-864D-0619FB3295FC}">
  <dimension ref="A1:B32"/>
  <sheetViews>
    <sheetView workbookViewId="0">
      <selection activeCell="X8" sqref="X8"/>
    </sheetView>
  </sheetViews>
  <sheetFormatPr defaultRowHeight="15" x14ac:dyDescent="0.25"/>
  <cols>
    <col min="1" max="1" width="13" bestFit="1" customWidth="1"/>
    <col min="2" max="2" width="48.85546875" bestFit="1" customWidth="1"/>
  </cols>
  <sheetData>
    <row r="1" spans="1:2" x14ac:dyDescent="0.25">
      <c r="A1" s="3" t="s">
        <v>14</v>
      </c>
      <c r="B1" s="3" t="s">
        <v>15</v>
      </c>
    </row>
    <row r="2" spans="1:2" x14ac:dyDescent="0.25">
      <c r="A2" t="s">
        <v>44</v>
      </c>
      <c r="B2" t="s">
        <v>45</v>
      </c>
    </row>
    <row r="3" spans="1:2" x14ac:dyDescent="0.25">
      <c r="A3" t="s">
        <v>58</v>
      </c>
      <c r="B3" t="s">
        <v>59</v>
      </c>
    </row>
    <row r="4" spans="1:2" x14ac:dyDescent="0.25">
      <c r="A4" t="s">
        <v>52</v>
      </c>
      <c r="B4" t="s">
        <v>53</v>
      </c>
    </row>
    <row r="5" spans="1:2" x14ac:dyDescent="0.25">
      <c r="A5" t="s">
        <v>134</v>
      </c>
      <c r="B5" t="s">
        <v>135</v>
      </c>
    </row>
    <row r="6" spans="1:2" x14ac:dyDescent="0.25">
      <c r="A6" t="s">
        <v>62</v>
      </c>
      <c r="B6" t="s">
        <v>63</v>
      </c>
    </row>
    <row r="7" spans="1:2" x14ac:dyDescent="0.25">
      <c r="A7" t="s">
        <v>3837</v>
      </c>
      <c r="B7" t="s">
        <v>3838</v>
      </c>
    </row>
    <row r="8" spans="1:2" x14ac:dyDescent="0.25">
      <c r="A8" t="s">
        <v>81</v>
      </c>
      <c r="B8" t="s">
        <v>82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99</v>
      </c>
      <c r="B10" t="s">
        <v>100</v>
      </c>
    </row>
    <row r="11" spans="1:2" x14ac:dyDescent="0.25">
      <c r="A11" t="s">
        <v>704</v>
      </c>
      <c r="B11" t="s">
        <v>705</v>
      </c>
    </row>
    <row r="12" spans="1:2" x14ac:dyDescent="0.25">
      <c r="A12" t="s">
        <v>1045</v>
      </c>
      <c r="B12" t="s">
        <v>133</v>
      </c>
    </row>
    <row r="13" spans="1:2" x14ac:dyDescent="0.25">
      <c r="A13" t="s">
        <v>129</v>
      </c>
      <c r="B13" t="s">
        <v>130</v>
      </c>
    </row>
    <row r="14" spans="1:2" x14ac:dyDescent="0.25">
      <c r="A14" t="s">
        <v>402</v>
      </c>
      <c r="B14" t="s">
        <v>403</v>
      </c>
    </row>
    <row r="15" spans="1:2" x14ac:dyDescent="0.25">
      <c r="A15" t="s">
        <v>67</v>
      </c>
      <c r="B15" t="s">
        <v>68</v>
      </c>
    </row>
    <row r="16" spans="1:2" x14ac:dyDescent="0.25">
      <c r="A16" t="s">
        <v>900</v>
      </c>
      <c r="B16" t="s">
        <v>901</v>
      </c>
    </row>
    <row r="17" spans="1:2" x14ac:dyDescent="0.25">
      <c r="A17" t="s">
        <v>111</v>
      </c>
      <c r="B17" t="s">
        <v>112</v>
      </c>
    </row>
    <row r="18" spans="1:2" x14ac:dyDescent="0.25">
      <c r="A18" t="s">
        <v>87</v>
      </c>
      <c r="B18" t="s">
        <v>88</v>
      </c>
    </row>
    <row r="19" spans="1:2" x14ac:dyDescent="0.25">
      <c r="A19" t="s">
        <v>113</v>
      </c>
      <c r="B19" t="s">
        <v>114</v>
      </c>
    </row>
    <row r="20" spans="1:2" x14ac:dyDescent="0.25">
      <c r="A20" t="s">
        <v>880</v>
      </c>
      <c r="B20" t="s">
        <v>881</v>
      </c>
    </row>
    <row r="21" spans="1:2" x14ac:dyDescent="0.25">
      <c r="A21" t="s">
        <v>79</v>
      </c>
      <c r="B21" t="s">
        <v>80</v>
      </c>
    </row>
    <row r="22" spans="1:2" x14ac:dyDescent="0.25">
      <c r="A22" t="s">
        <v>77</v>
      </c>
      <c r="B22" t="s">
        <v>78</v>
      </c>
    </row>
    <row r="23" spans="1:2" x14ac:dyDescent="0.25">
      <c r="A23" t="s">
        <v>141</v>
      </c>
      <c r="B23" t="s">
        <v>142</v>
      </c>
    </row>
    <row r="24" spans="1:2" x14ac:dyDescent="0.25">
      <c r="A24" t="s">
        <v>115</v>
      </c>
      <c r="B24" t="s">
        <v>137</v>
      </c>
    </row>
    <row r="25" spans="1:2" x14ac:dyDescent="0.25">
      <c r="A25" t="s">
        <v>55</v>
      </c>
      <c r="B25" t="s">
        <v>56</v>
      </c>
    </row>
    <row r="26" spans="1:2" x14ac:dyDescent="0.25">
      <c r="A26" t="s">
        <v>3656</v>
      </c>
      <c r="B26" t="s">
        <v>3657</v>
      </c>
    </row>
    <row r="27" spans="1:2" x14ac:dyDescent="0.25">
      <c r="A27" t="s">
        <v>906</v>
      </c>
      <c r="B27" t="s">
        <v>671</v>
      </c>
    </row>
    <row r="28" spans="1:2" x14ac:dyDescent="0.25">
      <c r="A28" t="s">
        <v>1081</v>
      </c>
      <c r="B28" t="s">
        <v>116</v>
      </c>
    </row>
    <row r="29" spans="1:2" x14ac:dyDescent="0.25">
      <c r="A29" t="s">
        <v>408</v>
      </c>
      <c r="B29" t="s">
        <v>409</v>
      </c>
    </row>
    <row r="30" spans="1:2" x14ac:dyDescent="0.25">
      <c r="A30" t="s">
        <v>96</v>
      </c>
      <c r="B30" t="s">
        <v>97</v>
      </c>
    </row>
    <row r="31" spans="1:2" x14ac:dyDescent="0.25">
      <c r="A31" t="s">
        <v>624</v>
      </c>
      <c r="B31" t="s">
        <v>625</v>
      </c>
    </row>
    <row r="32" spans="1:2" x14ac:dyDescent="0.25">
      <c r="A32" t="s">
        <v>122</v>
      </c>
      <c r="B32" t="s">
        <v>123</v>
      </c>
    </row>
  </sheetData>
  <sortState xmlns:xlrd2="http://schemas.microsoft.com/office/spreadsheetml/2017/richdata2" ref="A2:B32">
    <sortCondition ref="A2:A3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0038-A935-4D2F-9187-14394A04E100}">
  <dimension ref="A1:AL92"/>
  <sheetViews>
    <sheetView tabSelected="1" topLeftCell="B1" workbookViewId="0">
      <selection activeCell="P38" sqref="P38"/>
    </sheetView>
  </sheetViews>
  <sheetFormatPr defaultRowHeight="15" x14ac:dyDescent="0.25"/>
  <cols>
    <col min="1" max="1" width="9.7109375" customWidth="1"/>
    <col min="2" max="2" width="22.5703125" style="9" bestFit="1" customWidth="1"/>
    <col min="3" max="3" width="3.140625" customWidth="1"/>
    <col min="4" max="4" width="8.85546875" customWidth="1"/>
    <col min="5" max="5" width="13.42578125" customWidth="1"/>
    <col min="6" max="6" width="4.28515625" customWidth="1"/>
    <col min="7" max="8" width="8.85546875" customWidth="1"/>
    <col min="9" max="9" width="2.85546875" customWidth="1"/>
    <col min="11" max="11" width="10.85546875" bestFit="1" customWidth="1"/>
    <col min="12" max="12" width="2.85546875" customWidth="1"/>
    <col min="14" max="14" width="10.85546875" bestFit="1" customWidth="1"/>
    <col min="15" max="15" width="2.85546875" customWidth="1"/>
    <col min="17" max="17" width="10.85546875" bestFit="1" customWidth="1"/>
    <col min="18" max="18" width="2.85546875" customWidth="1"/>
    <col min="21" max="21" width="2.85546875" customWidth="1"/>
    <col min="24" max="24" width="2.85546875" customWidth="1"/>
    <col min="27" max="27" width="2.85546875" customWidth="1"/>
    <col min="30" max="30" width="2.85546875" customWidth="1"/>
    <col min="35" max="35" width="11" bestFit="1" customWidth="1"/>
  </cols>
  <sheetData>
    <row r="1" spans="2:32" x14ac:dyDescent="0.25">
      <c r="B1" s="4"/>
      <c r="V1" s="5"/>
      <c r="W1" s="5"/>
      <c r="AB1" s="5"/>
      <c r="AC1" s="5"/>
      <c r="AE1" s="5"/>
      <c r="AF1" s="5"/>
    </row>
    <row r="2" spans="2:32" ht="15.75" thickBot="1" x14ac:dyDescent="0.3">
      <c r="B2" s="6"/>
      <c r="D2" s="7" t="s">
        <v>4250</v>
      </c>
      <c r="E2" s="7"/>
      <c r="G2" s="7" t="s">
        <v>4251</v>
      </c>
      <c r="H2" s="7"/>
      <c r="J2" s="7" t="s">
        <v>4252</v>
      </c>
      <c r="K2" s="7"/>
      <c r="M2" s="7" t="s">
        <v>1482</v>
      </c>
      <c r="N2" s="7"/>
      <c r="P2" s="7" t="s">
        <v>4253</v>
      </c>
      <c r="Q2" s="7"/>
      <c r="S2" s="7" t="s">
        <v>1026</v>
      </c>
      <c r="T2" s="7"/>
      <c r="V2" s="7" t="s">
        <v>152</v>
      </c>
      <c r="W2" s="7"/>
      <c r="Y2" s="7" t="s">
        <v>378</v>
      </c>
      <c r="Z2" s="7"/>
      <c r="AB2" s="7" t="s">
        <v>4254</v>
      </c>
      <c r="AC2" s="7"/>
      <c r="AE2" s="7" t="s">
        <v>4255</v>
      </c>
      <c r="AF2" s="7"/>
    </row>
    <row r="3" spans="2:32" x14ac:dyDescent="0.25">
      <c r="B3" s="8" t="s">
        <v>4256</v>
      </c>
      <c r="D3" s="8" t="s">
        <v>4257</v>
      </c>
      <c r="E3" s="8" t="s">
        <v>4258</v>
      </c>
      <c r="G3" s="8" t="s">
        <v>4257</v>
      </c>
      <c r="H3" s="8" t="s">
        <v>4258</v>
      </c>
      <c r="J3" s="8" t="s">
        <v>4257</v>
      </c>
      <c r="K3" s="8" t="s">
        <v>4258</v>
      </c>
      <c r="M3" s="8" t="s">
        <v>4257</v>
      </c>
      <c r="N3" s="8" t="s">
        <v>4258</v>
      </c>
      <c r="P3" s="8" t="s">
        <v>4257</v>
      </c>
      <c r="Q3" s="8" t="s">
        <v>4258</v>
      </c>
      <c r="S3" s="8" t="s">
        <v>4257</v>
      </c>
      <c r="T3" s="8" t="s">
        <v>4258</v>
      </c>
      <c r="V3" s="8" t="s">
        <v>4257</v>
      </c>
      <c r="W3" s="8" t="s">
        <v>4258</v>
      </c>
      <c r="Y3" s="8" t="s">
        <v>4257</v>
      </c>
      <c r="Z3" s="8" t="s">
        <v>4258</v>
      </c>
      <c r="AB3" s="8" t="s">
        <v>4257</v>
      </c>
      <c r="AC3" s="8" t="s">
        <v>4258</v>
      </c>
      <c r="AE3" s="8" t="s">
        <v>4257</v>
      </c>
      <c r="AF3" s="8" t="s">
        <v>4258</v>
      </c>
    </row>
    <row r="4" spans="2:32" x14ac:dyDescent="0.25">
      <c r="B4" t="s">
        <v>44</v>
      </c>
      <c r="D4">
        <f>COUNTIFS(All!$C:$C,"AA",All!$E:$E,$B4)</f>
        <v>1</v>
      </c>
      <c r="E4" s="10">
        <f>SUMIFS(All!$G:$G,All!$C:$C,"AA",All!$E:$E,$B4)</f>
        <v>0.40700059947932771</v>
      </c>
      <c r="G4">
        <f>COUNTIFS(All!$C:$C,"CG",All!$E:$E,$B4)</f>
        <v>16</v>
      </c>
      <c r="H4" s="10">
        <f>SUMIFS(All!$G:$G,All!$C:$C,"CG",All!$E:$E,$B4)</f>
        <v>99.750169060968702</v>
      </c>
      <c r="J4">
        <f>COUNTIFS(All!$C:$C,"GL",All!$E:$E,$B4)</f>
        <v>0</v>
      </c>
      <c r="K4" s="10">
        <f>SUMIFS(All!$G:$G,All!$C:$C,"GL",All!$E:$E,$B4)</f>
        <v>0</v>
      </c>
      <c r="M4">
        <f>COUNTIFS(All!$C:$C,"LU",All!$E:$E,$B4)</f>
        <v>0</v>
      </c>
      <c r="N4" s="10">
        <f>SUMIFS(All!$G:$G,All!$C:$C,"LU",All!$E:$E,$B4)</f>
        <v>0</v>
      </c>
      <c r="P4">
        <f>COUNTIFS(All!$C:$C,"RR",All!$E:$E,$B4)</f>
        <v>0</v>
      </c>
      <c r="Q4" s="10">
        <f>SUMIFS(All!$G:$G,All!$C:$C,"RR",All!$E:$E,$B4)</f>
        <v>0</v>
      </c>
      <c r="S4">
        <f>COUNTIFS(All!$C:$C,"RS",All!$E:$E,$B4)</f>
        <v>2</v>
      </c>
      <c r="T4" s="10">
        <f>SUMIFS(All!$G:$G,All!$C:$C,"RS",All!$E:$E,$B4)</f>
        <v>2.4785322356406772</v>
      </c>
      <c r="V4">
        <f>COUNTIFS(All!$C:$C,"SS",All!$E:$E,$B4)</f>
        <v>2</v>
      </c>
      <c r="W4" s="10">
        <f>SUMIFS(All!$G:$G,All!$C:$C,"SS",All!$E:$E,$B4)</f>
        <v>156.39675029577188</v>
      </c>
      <c r="Y4">
        <f>COUNTIFS(All!$C:$C,"UG",All!$E:$E,$B4)</f>
        <v>0</v>
      </c>
      <c r="Z4" s="10">
        <f>SUMIFS(All!$G:$G,All!$C:$C,"UG",All!$E:$E,$B4)</f>
        <v>0</v>
      </c>
      <c r="AB4">
        <f>COUNTIFS(All!$C:$C,"VV",All!$E:$E,$B4)</f>
        <v>21</v>
      </c>
      <c r="AC4" s="10">
        <f>SUMIFS(All!$G:$G,All!$C:$C,"VV",All!$E:$E,$B4)</f>
        <v>314.05534600036776</v>
      </c>
      <c r="AE4">
        <f>COUNTIFS(All!$C:$C,"SS",All!$E:$E,$B4)</f>
        <v>2</v>
      </c>
      <c r="AF4" s="10">
        <f>SUMIFS(All!$G:$G,All!$C:$C,"SS",All!$E:$E,$B4)</f>
        <v>156.39675029577188</v>
      </c>
    </row>
    <row r="5" spans="2:32" x14ac:dyDescent="0.25">
      <c r="B5" t="s">
        <v>58</v>
      </c>
      <c r="D5">
        <f>COUNTIFS(All!$C:$C,"AA",All!$E:$E,$B5)</f>
        <v>0</v>
      </c>
      <c r="E5" s="10">
        <f>SUMIFS(All!$G:$G,All!$C:$C,"AA",All!$E:$E,$B5)</f>
        <v>0</v>
      </c>
      <c r="G5">
        <f>COUNTIFS(All!$C:$C,"CG",All!$E:$E,$B5)</f>
        <v>0</v>
      </c>
      <c r="H5" s="10">
        <f>SUMIFS(All!$G:$G,All!$C:$C,"CG",All!$E:$E,$B5)</f>
        <v>0</v>
      </c>
      <c r="J5">
        <f>COUNTIFS(All!$C:$C,"GL",All!$E:$E,$B5)</f>
        <v>0</v>
      </c>
      <c r="K5" s="10">
        <f>SUMIFS(All!$G:$G,All!$C:$C,"GL",All!$E:$E,$B5)</f>
        <v>0</v>
      </c>
      <c r="M5">
        <f>COUNTIFS(All!$C:$C,"LU",All!$E:$E,$B5)</f>
        <v>0</v>
      </c>
      <c r="N5" s="10">
        <f>SUMIFS(All!$G:$G,All!$C:$C,"LU",All!$E:$E,$B5)</f>
        <v>0</v>
      </c>
      <c r="P5">
        <f>COUNTIFS(All!$C:$C,"RR",All!$E:$E,$B5)</f>
        <v>0</v>
      </c>
      <c r="Q5" s="10">
        <f>SUMIFS(All!$G:$G,All!$C:$C,"RR",All!$E:$E,$B5)</f>
        <v>0</v>
      </c>
      <c r="S5">
        <f>COUNTIFS(All!$C:$C,"RS",All!$E:$E,$B5)</f>
        <v>0</v>
      </c>
      <c r="T5" s="10">
        <f>SUMIFS(All!$G:$G,All!$C:$C,"RS",All!$E:$E,$B5)</f>
        <v>0</v>
      </c>
      <c r="V5">
        <f>COUNTIFS(All!$C:$C,"SS",All!$E:$E,$B5)</f>
        <v>0</v>
      </c>
      <c r="W5" s="10">
        <f>SUMIFS(All!$G:$G,All!$C:$C,"SS",All!$E:$E,$B5)</f>
        <v>0</v>
      </c>
      <c r="Y5">
        <f>COUNTIFS(All!$C:$C,"UG",All!$E:$E,$B5)</f>
        <v>0</v>
      </c>
      <c r="Z5" s="10">
        <f>SUMIFS(All!$G:$G,All!$C:$C,"UG",All!$E:$E,$B5)</f>
        <v>0</v>
      </c>
      <c r="AB5">
        <f>COUNTIFS(All!$C:$C,"VV",All!$E:$E,$B5)</f>
        <v>19</v>
      </c>
      <c r="AC5" s="10">
        <f>SUMIFS(All!$G:$G,All!$C:$C,"VV",All!$E:$E,$B5)</f>
        <v>517.22114067685584</v>
      </c>
      <c r="AE5">
        <f>COUNTIFS(All!$C:$C,"SS",All!$E:$E,$B5)</f>
        <v>0</v>
      </c>
      <c r="AF5" s="10">
        <f>SUMIFS(All!$G:$G,All!$C:$C,"SS",All!$E:$E,$B5)</f>
        <v>0</v>
      </c>
    </row>
    <row r="6" spans="2:32" x14ac:dyDescent="0.25">
      <c r="B6" t="s">
        <v>52</v>
      </c>
      <c r="D6">
        <f>COUNTIFS(All!$C:$C,"AA",All!$E:$E,$B6)</f>
        <v>0</v>
      </c>
      <c r="E6" s="10">
        <f>SUMIFS(All!$G:$G,All!$C:$C,"AA",All!$E:$E,$B6)</f>
        <v>0</v>
      </c>
      <c r="G6">
        <f>COUNTIFS(All!$C:$C,"CG",All!$E:$E,$B6)</f>
        <v>1</v>
      </c>
      <c r="H6" s="10">
        <f>SUMIFS(All!$G:$G,All!$C:$C,"CG",All!$E:$E,$B6)</f>
        <v>3.989465095263935</v>
      </c>
      <c r="J6">
        <f>COUNTIFS(All!$C:$C,"GL",All!$E:$E,$B6)</f>
        <v>0</v>
      </c>
      <c r="K6" s="10">
        <f>SUMIFS(All!$G:$G,All!$C:$C,"GL",All!$E:$E,$B6)</f>
        <v>0</v>
      </c>
      <c r="M6">
        <f>COUNTIFS(All!$C:$C,"LU",All!$E:$E,$B6)</f>
        <v>0</v>
      </c>
      <c r="N6" s="10">
        <f>SUMIFS(All!$G:$G,All!$C:$C,"LU",All!$E:$E,$B6)</f>
        <v>0</v>
      </c>
      <c r="P6">
        <f>COUNTIFS(All!$C:$C,"RR",All!$E:$E,$B6)</f>
        <v>0</v>
      </c>
      <c r="Q6" s="10">
        <f>SUMIFS(All!$G:$G,All!$C:$C,"RR",All!$E:$E,$B6)</f>
        <v>0</v>
      </c>
      <c r="S6">
        <f>COUNTIFS(All!$C:$C,"RS",All!$E:$E,$B6)</f>
        <v>0</v>
      </c>
      <c r="T6" s="10">
        <f>SUMIFS(All!$G:$G,All!$C:$C,"RS",All!$E:$E,$B6)</f>
        <v>0</v>
      </c>
      <c r="V6">
        <f>COUNTIFS(All!$C:$C,"SS",All!$E:$E,$B6)</f>
        <v>0</v>
      </c>
      <c r="W6" s="10">
        <f>SUMIFS(All!$G:$G,All!$C:$C,"SS",All!$E:$E,$B6)</f>
        <v>0</v>
      </c>
      <c r="Y6">
        <f>COUNTIFS(All!$C:$C,"UG",All!$E:$E,$B6)</f>
        <v>0</v>
      </c>
      <c r="Z6" s="10">
        <f>SUMIFS(All!$G:$G,All!$C:$C,"UG",All!$E:$E,$B6)</f>
        <v>0</v>
      </c>
      <c r="AB6">
        <f>COUNTIFS(All!$C:$C,"VV",All!$E:$E,$B6)</f>
        <v>22</v>
      </c>
      <c r="AC6" s="10">
        <f>SUMIFS(All!$G:$G,All!$C:$C,"VV",All!$E:$E,$B6)</f>
        <v>432.35102038901476</v>
      </c>
      <c r="AE6">
        <f>COUNTIFS(All!$C:$C,"SS",All!$E:$E,$B6)</f>
        <v>0</v>
      </c>
      <c r="AF6" s="10">
        <f>SUMIFS(All!$G:$G,All!$C:$C,"SS",All!$E:$E,$B6)</f>
        <v>0</v>
      </c>
    </row>
    <row r="7" spans="2:32" x14ac:dyDescent="0.25">
      <c r="B7" t="s">
        <v>134</v>
      </c>
      <c r="D7">
        <f>COUNTIFS(All!$C:$C,"AA",All!$E:$E,$B7)</f>
        <v>0</v>
      </c>
      <c r="E7" s="10">
        <f>SUMIFS(All!$G:$G,All!$C:$C,"AA",All!$E:$E,$B7)</f>
        <v>0</v>
      </c>
      <c r="G7">
        <f>COUNTIFS(All!$C:$C,"CG",All!$E:$E,$B7)</f>
        <v>1</v>
      </c>
      <c r="H7" s="10">
        <f>SUMIFS(All!$G:$G,All!$C:$C,"CG",All!$E:$E,$B7)</f>
        <v>1.0037517586374161</v>
      </c>
      <c r="J7">
        <f>COUNTIFS(All!$C:$C,"GL",All!$E:$E,$B7)</f>
        <v>1</v>
      </c>
      <c r="K7" s="10">
        <f>SUMIFS(All!$G:$G,All!$C:$C,"GL",All!$E:$E,$B7)</f>
        <v>6.5794345801238385E-2</v>
      </c>
      <c r="M7">
        <f>COUNTIFS(All!$C:$C,"LU",All!$E:$E,$B7)</f>
        <v>0</v>
      </c>
      <c r="N7" s="10">
        <f>SUMIFS(All!$G:$G,All!$C:$C,"LU",All!$E:$E,$B7)</f>
        <v>0</v>
      </c>
      <c r="P7">
        <f>COUNTIFS(All!$C:$C,"RR",All!$E:$E,$B7)</f>
        <v>0</v>
      </c>
      <c r="Q7" s="10">
        <f>SUMIFS(All!$G:$G,All!$C:$C,"RR",All!$E:$E,$B7)</f>
        <v>0</v>
      </c>
      <c r="S7">
        <f>COUNTIFS(All!$C:$C,"RS",All!$E:$E,$B7)</f>
        <v>0</v>
      </c>
      <c r="T7" s="10">
        <f>SUMIFS(All!$G:$G,All!$C:$C,"RS",All!$E:$E,$B7)</f>
        <v>0</v>
      </c>
      <c r="V7">
        <f>COUNTIFS(All!$C:$C,"SS",All!$E:$E,$B7)</f>
        <v>0</v>
      </c>
      <c r="W7" s="10">
        <f>SUMIFS(All!$G:$G,All!$C:$C,"SS",All!$E:$E,$B7)</f>
        <v>0</v>
      </c>
      <c r="Y7">
        <f>COUNTIFS(All!$C:$C,"UG",All!$E:$E,$B7)</f>
        <v>0</v>
      </c>
      <c r="Z7" s="10">
        <f>SUMIFS(All!$G:$G,All!$C:$C,"UG",All!$E:$E,$B7)</f>
        <v>0</v>
      </c>
      <c r="AB7">
        <f>COUNTIFS(All!$C:$C,"VV",All!$E:$E,$B7)</f>
        <v>3</v>
      </c>
      <c r="AC7" s="10">
        <f>SUMIFS(All!$G:$G,All!$C:$C,"VV",All!$E:$E,$B7)</f>
        <v>2.8930783905610102</v>
      </c>
      <c r="AE7">
        <f>COUNTIFS(All!$C:$C,"SS",All!$E:$E,$B7)</f>
        <v>0</v>
      </c>
      <c r="AF7" s="10">
        <f>SUMIFS(All!$G:$G,All!$C:$C,"SS",All!$E:$E,$B7)</f>
        <v>0</v>
      </c>
    </row>
    <row r="8" spans="2:32" x14ac:dyDescent="0.25">
      <c r="B8" t="s">
        <v>62</v>
      </c>
      <c r="D8">
        <f>COUNTIFS(All!$C:$C,"AA",All!$E:$E,$B8)</f>
        <v>55</v>
      </c>
      <c r="E8" s="10">
        <f>SUMIFS(All!$G:$G,All!$C:$C,"AA",All!$E:$E,$B8)</f>
        <v>167.31401142876851</v>
      </c>
      <c r="G8">
        <f>COUNTIFS(All!$C:$C,"CG",All!$E:$E,$B8)</f>
        <v>425</v>
      </c>
      <c r="H8" s="10">
        <f>SUMIFS(All!$G:$G,All!$C:$C,"CG",All!$E:$E,$B8)</f>
        <v>1661.385606050266</v>
      </c>
      <c r="J8">
        <f>COUNTIFS(All!$C:$C,"GL",All!$E:$E,$B8)</f>
        <v>197</v>
      </c>
      <c r="K8" s="10">
        <f>SUMIFS(All!$G:$G,All!$C:$C,"GL",All!$E:$E,$B8)</f>
        <v>506.08135149181192</v>
      </c>
      <c r="M8">
        <f>COUNTIFS(All!$C:$C,"LU",All!$E:$E,$B8)</f>
        <v>129</v>
      </c>
      <c r="N8" s="10">
        <f>SUMIFS(All!$G:$G,All!$C:$C,"LU",All!$E:$E,$B8)</f>
        <v>531.72851383589284</v>
      </c>
      <c r="P8">
        <f>COUNTIFS(All!$C:$C,"RR",All!$E:$E,$B8)</f>
        <v>94</v>
      </c>
      <c r="Q8" s="10">
        <f>SUMIFS(All!$G:$G,All!$C:$C,"RR",All!$E:$E,$B8)</f>
        <v>479.24286824974627</v>
      </c>
      <c r="S8">
        <f>COUNTIFS(All!$C:$C,"RS",All!$E:$E,$B8)</f>
        <v>135</v>
      </c>
      <c r="T8" s="10">
        <f>SUMIFS(All!$G:$G,All!$C:$C,"RS",All!$E:$E,$B8)</f>
        <v>233.50545627198071</v>
      </c>
      <c r="V8">
        <f>COUNTIFS(All!$C:$C,"SS",All!$E:$E,$B8)</f>
        <v>149</v>
      </c>
      <c r="W8" s="10">
        <f>SUMIFS(All!$G:$G,All!$C:$C,"SS",All!$E:$E,$B8)</f>
        <v>2597.4394105840624</v>
      </c>
      <c r="Y8">
        <f>COUNTIFS(All!$C:$C,"UG",All!$E:$E,$B8)</f>
        <v>34</v>
      </c>
      <c r="Z8" s="10">
        <f>SUMIFS(All!$G:$G,All!$C:$C,"UG",All!$E:$E,$B8)</f>
        <v>70.154126102903703</v>
      </c>
      <c r="AB8">
        <f>COUNTIFS(All!$C:$C,"VV",All!$E:$E,$B8)</f>
        <v>122</v>
      </c>
      <c r="AC8" s="10">
        <f>SUMIFS(All!$G:$G,All!$C:$C,"VV",All!$E:$E,$B8)</f>
        <v>823.96753168467058</v>
      </c>
      <c r="AE8">
        <f>COUNTIFS(All!$C:$C,"SS",All!$E:$E,$B8)</f>
        <v>149</v>
      </c>
      <c r="AF8" s="10">
        <f>SUMIFS(All!$G:$G,All!$C:$C,"SS",All!$E:$E,$B8)</f>
        <v>2597.4394105840624</v>
      </c>
    </row>
    <row r="9" spans="2:32" x14ac:dyDescent="0.25">
      <c r="B9" t="s">
        <v>3837</v>
      </c>
      <c r="D9">
        <f>COUNTIFS(All!$C:$C,"AA",All!$E:$E,$B9)</f>
        <v>0</v>
      </c>
      <c r="E9" s="10">
        <f>SUMIFS(All!$G:$G,All!$C:$C,"AA",All!$E:$E,$B9)</f>
        <v>0</v>
      </c>
      <c r="G9">
        <f>COUNTIFS(All!$C:$C,"CG",All!$E:$E,$B9)</f>
        <v>1</v>
      </c>
      <c r="H9" s="10">
        <f>SUMIFS(All!$G:$G,All!$C:$C,"CG",All!$E:$E,$B9)</f>
        <v>1.4107826415529821</v>
      </c>
      <c r="J9">
        <f>COUNTIFS(All!$C:$C,"GL",All!$E:$E,$B9)</f>
        <v>0</v>
      </c>
      <c r="K9" s="10">
        <f>SUMIFS(All!$G:$G,All!$C:$C,"GL",All!$E:$E,$B9)</f>
        <v>0</v>
      </c>
      <c r="M9">
        <f>COUNTIFS(All!$C:$C,"LU",All!$E:$E,$B9)</f>
        <v>0</v>
      </c>
      <c r="N9" s="10">
        <f>SUMIFS(All!$G:$G,All!$C:$C,"LU",All!$E:$E,$B9)</f>
        <v>0</v>
      </c>
      <c r="P9">
        <f>COUNTIFS(All!$C:$C,"RR",All!$E:$E,$B9)</f>
        <v>0</v>
      </c>
      <c r="Q9" s="10">
        <f>SUMIFS(All!$G:$G,All!$C:$C,"RR",All!$E:$E,$B9)</f>
        <v>0</v>
      </c>
      <c r="S9">
        <f>COUNTIFS(All!$C:$C,"RS",All!$E:$E,$B9)</f>
        <v>0</v>
      </c>
      <c r="T9" s="10">
        <f>SUMIFS(All!$G:$G,All!$C:$C,"RS",All!$E:$E,$B9)</f>
        <v>0</v>
      </c>
      <c r="V9">
        <f>COUNTIFS(All!$C:$C,"SS",All!$E:$E,$B9)</f>
        <v>0</v>
      </c>
      <c r="W9" s="10">
        <f>SUMIFS(All!$G:$G,All!$C:$C,"SS",All!$E:$E,$B9)</f>
        <v>0</v>
      </c>
      <c r="Y9">
        <f>COUNTIFS(All!$C:$C,"UG",All!$E:$E,$B9)</f>
        <v>0</v>
      </c>
      <c r="Z9" s="10">
        <f>SUMIFS(All!$G:$G,All!$C:$C,"UG",All!$E:$E,$B9)</f>
        <v>0</v>
      </c>
      <c r="AB9">
        <f>COUNTIFS(All!$C:$C,"VV",All!$E:$E,$B9)</f>
        <v>0</v>
      </c>
      <c r="AC9" s="10">
        <f>SUMIFS(All!$G:$G,All!$C:$C,"VV",All!$E:$E,$B9)</f>
        <v>0</v>
      </c>
      <c r="AE9">
        <f>COUNTIFS(All!$C:$C,"SS",All!$E:$E,$B9)</f>
        <v>0</v>
      </c>
      <c r="AF9" s="10">
        <f>SUMIFS(All!$G:$G,All!$C:$C,"SS",All!$E:$E,$B9)</f>
        <v>0</v>
      </c>
    </row>
    <row r="10" spans="2:32" x14ac:dyDescent="0.25">
      <c r="B10" t="s">
        <v>81</v>
      </c>
      <c r="D10">
        <f>COUNTIFS(All!$C:$C,"AA",All!$E:$E,$B10)</f>
        <v>0</v>
      </c>
      <c r="E10" s="10">
        <f>SUMIFS(All!$G:$G,All!$C:$C,"AA",All!$E:$E,$B10)</f>
        <v>0</v>
      </c>
      <c r="G10">
        <f>COUNTIFS(All!$C:$C,"CG",All!$E:$E,$B10)</f>
        <v>19</v>
      </c>
      <c r="H10" s="10">
        <f>SUMIFS(All!$G:$G,All!$C:$C,"CG",All!$E:$E,$B10)</f>
        <v>180.26929212765049</v>
      </c>
      <c r="J10">
        <f>COUNTIFS(All!$C:$C,"GL",All!$E:$E,$B10)</f>
        <v>9</v>
      </c>
      <c r="K10" s="10">
        <f>SUMIFS(All!$G:$G,All!$C:$C,"GL",All!$E:$E,$B10)</f>
        <v>90.933588965201253</v>
      </c>
      <c r="M10">
        <f>COUNTIFS(All!$C:$C,"LU",All!$E:$E,$B10)</f>
        <v>0</v>
      </c>
      <c r="N10" s="10">
        <f>SUMIFS(All!$G:$G,All!$C:$C,"LU",All!$E:$E,$B10)</f>
        <v>0</v>
      </c>
      <c r="P10">
        <f>COUNTIFS(All!$C:$C,"RR",All!$E:$E,$B10)</f>
        <v>0</v>
      </c>
      <c r="Q10" s="10">
        <f>SUMIFS(All!$G:$G,All!$C:$C,"RR",All!$E:$E,$B10)</f>
        <v>0</v>
      </c>
      <c r="S10">
        <f>COUNTIFS(All!$C:$C,"RS",All!$E:$E,$B10)</f>
        <v>0</v>
      </c>
      <c r="T10" s="10">
        <f>SUMIFS(All!$G:$G,All!$C:$C,"RS",All!$E:$E,$B10)</f>
        <v>0</v>
      </c>
      <c r="V10">
        <f>COUNTIFS(All!$C:$C,"SS",All!$E:$E,$B10)</f>
        <v>1</v>
      </c>
      <c r="W10" s="10">
        <f>SUMIFS(All!$G:$G,All!$C:$C,"SS",All!$E:$E,$B10)</f>
        <v>119.0500545990988</v>
      </c>
      <c r="Y10">
        <f>COUNTIFS(All!$C:$C,"UG",All!$E:$E,$B10)</f>
        <v>0</v>
      </c>
      <c r="Z10" s="10">
        <f>SUMIFS(All!$G:$G,All!$C:$C,"UG",All!$E:$E,$B10)</f>
        <v>0</v>
      </c>
      <c r="AB10">
        <f>COUNTIFS(All!$C:$C,"VV",All!$E:$E,$B10)</f>
        <v>12</v>
      </c>
      <c r="AC10" s="10">
        <f>SUMIFS(All!$G:$G,All!$C:$C,"VV",All!$E:$E,$B10)</f>
        <v>174.07890672459516</v>
      </c>
      <c r="AE10">
        <f>COUNTIFS(All!$C:$C,"SS",All!$E:$E,$B10)</f>
        <v>1</v>
      </c>
      <c r="AF10" s="10">
        <f>SUMIFS(All!$G:$G,All!$C:$C,"SS",All!$E:$E,$B10)</f>
        <v>119.0500545990988</v>
      </c>
    </row>
    <row r="11" spans="2:32" x14ac:dyDescent="0.25">
      <c r="B11" t="s">
        <v>146</v>
      </c>
      <c r="D11">
        <f>COUNTIFS(All!$C:$C,"AA",All!$E:$E,$B11)</f>
        <v>0</v>
      </c>
      <c r="E11" s="10">
        <f>SUMIFS(All!$G:$G,All!$C:$C,"AA",All!$E:$E,$B11)</f>
        <v>0</v>
      </c>
      <c r="G11">
        <f>COUNTIFS(All!$C:$C,"CG",All!$E:$E,$B11)</f>
        <v>3</v>
      </c>
      <c r="H11" s="10">
        <f>SUMIFS(All!$G:$G,All!$C:$C,"CG",All!$E:$E,$B11)</f>
        <v>1.3371106060772735</v>
      </c>
      <c r="J11">
        <f>COUNTIFS(All!$C:$C,"GL",All!$E:$E,$B11)</f>
        <v>2</v>
      </c>
      <c r="K11" s="10">
        <f>SUMIFS(All!$G:$G,All!$C:$C,"GL",All!$E:$E,$B11)</f>
        <v>3.5751069539405131</v>
      </c>
      <c r="M11">
        <f>COUNTIFS(All!$C:$C,"LU",All!$E:$E,$B11)</f>
        <v>0</v>
      </c>
      <c r="N11" s="10">
        <f>SUMIFS(All!$G:$G,All!$C:$C,"LU",All!$E:$E,$B11)</f>
        <v>0</v>
      </c>
      <c r="P11">
        <f>COUNTIFS(All!$C:$C,"RR",All!$E:$E,$B11)</f>
        <v>0</v>
      </c>
      <c r="Q11" s="10">
        <f>SUMIFS(All!$G:$G,All!$C:$C,"RR",All!$E:$E,$B11)</f>
        <v>0</v>
      </c>
      <c r="S11">
        <f>COUNTIFS(All!$C:$C,"RS",All!$E:$E,$B11)</f>
        <v>1</v>
      </c>
      <c r="T11" s="10">
        <f>SUMIFS(All!$G:$G,All!$C:$C,"RS",All!$E:$E,$B11)</f>
        <v>1.2613152826911469</v>
      </c>
      <c r="V11">
        <f>COUNTIFS(All!$C:$C,"SS",All!$E:$E,$B11)</f>
        <v>0</v>
      </c>
      <c r="W11" s="10">
        <f>SUMIFS(All!$G:$G,All!$C:$C,"SS",All!$E:$E,$B11)</f>
        <v>0</v>
      </c>
      <c r="Y11">
        <f>COUNTIFS(All!$C:$C,"UG",All!$E:$E,$B11)</f>
        <v>0</v>
      </c>
      <c r="Z11" s="10">
        <f>SUMIFS(All!$G:$G,All!$C:$C,"UG",All!$E:$E,$B11)</f>
        <v>0</v>
      </c>
      <c r="AB11">
        <f>COUNTIFS(All!$C:$C,"VV",All!$E:$E,$B11)</f>
        <v>1</v>
      </c>
      <c r="AC11" s="10">
        <f>SUMIFS(All!$G:$G,All!$C:$C,"VV",All!$E:$E,$B11)</f>
        <v>3.2092275681919483E-2</v>
      </c>
      <c r="AE11">
        <f>COUNTIFS(All!$C:$C,"SS",All!$E:$E,$B11)</f>
        <v>0</v>
      </c>
      <c r="AF11" s="10">
        <f>SUMIFS(All!$G:$G,All!$C:$C,"SS",All!$E:$E,$B11)</f>
        <v>0</v>
      </c>
    </row>
    <row r="12" spans="2:32" x14ac:dyDescent="0.25">
      <c r="B12" t="s">
        <v>99</v>
      </c>
      <c r="D12">
        <f>COUNTIFS(All!$C:$C,"AA",All!$E:$E,$B12)</f>
        <v>30</v>
      </c>
      <c r="E12" s="10">
        <f>SUMIFS(All!$G:$G,All!$C:$C,"AA",All!$E:$E,$B12)</f>
        <v>15.098934607512206</v>
      </c>
      <c r="G12">
        <f>COUNTIFS(All!$C:$C,"CG",All!$E:$E,$B12)</f>
        <v>90</v>
      </c>
      <c r="H12" s="10">
        <f>SUMIFS(All!$G:$G,All!$C:$C,"CG",All!$E:$E,$B12)</f>
        <v>32.289507187950406</v>
      </c>
      <c r="J12">
        <f>COUNTIFS(All!$C:$C,"GL",All!$E:$E,$B12)</f>
        <v>14</v>
      </c>
      <c r="K12" s="10">
        <f>SUMIFS(All!$G:$G,All!$C:$C,"GL",All!$E:$E,$B12)</f>
        <v>13.397718610818004</v>
      </c>
      <c r="M12">
        <f>COUNTIFS(All!$C:$C,"LU",All!$E:$E,$B12)</f>
        <v>2</v>
      </c>
      <c r="N12" s="10">
        <f>SUMIFS(All!$G:$G,All!$C:$C,"LU",All!$E:$E,$B12)</f>
        <v>0.1675844700330299</v>
      </c>
      <c r="P12">
        <f>COUNTIFS(All!$C:$C,"RR",All!$E:$E,$B12)</f>
        <v>1</v>
      </c>
      <c r="Q12" s="10">
        <f>SUMIFS(All!$G:$G,All!$C:$C,"RR",All!$E:$E,$B12)</f>
        <v>0.34154771112919668</v>
      </c>
      <c r="S12">
        <f>COUNTIFS(All!$C:$C,"RS",All!$E:$E,$B12)</f>
        <v>2</v>
      </c>
      <c r="T12" s="10">
        <f>SUMIFS(All!$G:$G,All!$C:$C,"RS",All!$E:$E,$B12)</f>
        <v>0.2851616556660227</v>
      </c>
      <c r="V12">
        <f>COUNTIFS(All!$C:$C,"SS",All!$E:$E,$B12)</f>
        <v>0</v>
      </c>
      <c r="W12" s="10">
        <f>SUMIFS(All!$G:$G,All!$C:$C,"SS",All!$E:$E,$B12)</f>
        <v>0</v>
      </c>
      <c r="Y12">
        <f>COUNTIFS(All!$C:$C,"UG",All!$E:$E,$B12)</f>
        <v>11</v>
      </c>
      <c r="Z12" s="10">
        <f>SUMIFS(All!$G:$G,All!$C:$C,"UG",All!$E:$E,$B12)</f>
        <v>2.9437179558260382</v>
      </c>
      <c r="AB12">
        <f>COUNTIFS(All!$C:$C,"VV",All!$E:$E,$B12)</f>
        <v>12</v>
      </c>
      <c r="AC12" s="10">
        <f>SUMIFS(All!$G:$G,All!$C:$C,"VV",All!$E:$E,$B12)</f>
        <v>9.7601771640435118</v>
      </c>
      <c r="AE12">
        <f>COUNTIFS(All!$C:$C,"SS",All!$E:$E,$B12)</f>
        <v>0</v>
      </c>
      <c r="AF12" s="10">
        <f>SUMIFS(All!$G:$G,All!$C:$C,"SS",All!$E:$E,$B12)</f>
        <v>0</v>
      </c>
    </row>
    <row r="13" spans="2:32" x14ac:dyDescent="0.25">
      <c r="B13" t="s">
        <v>704</v>
      </c>
      <c r="D13">
        <f>COUNTIFS(All!$C:$C,"AA",All!$E:$E,$B13)</f>
        <v>1</v>
      </c>
      <c r="E13" s="10">
        <f>SUMIFS(All!$G:$G,All!$C:$C,"AA",All!$E:$E,$B13)</f>
        <v>0.18865454711928711</v>
      </c>
      <c r="G13">
        <f>COUNTIFS(All!$C:$C,"CG",All!$E:$E,$B13)</f>
        <v>8</v>
      </c>
      <c r="H13" s="10">
        <f>SUMIFS(All!$G:$G,All!$C:$C,"CG",All!$E:$E,$B13)</f>
        <v>2.0253460621191284</v>
      </c>
      <c r="J13">
        <f>COUNTIFS(All!$C:$C,"GL",All!$E:$E,$B13)</f>
        <v>4</v>
      </c>
      <c r="K13" s="10">
        <f>SUMIFS(All!$G:$G,All!$C:$C,"GL",All!$E:$E,$B13)</f>
        <v>1.0689529270588474</v>
      </c>
      <c r="M13">
        <f>COUNTIFS(All!$C:$C,"LU",All!$E:$E,$B13)</f>
        <v>2</v>
      </c>
      <c r="N13" s="10">
        <f>SUMIFS(All!$G:$G,All!$C:$C,"LU",All!$E:$E,$B13)</f>
        <v>2.524147270556585E-2</v>
      </c>
      <c r="P13">
        <f>COUNTIFS(All!$C:$C,"RR",All!$E:$E,$B13)</f>
        <v>1</v>
      </c>
      <c r="Q13" s="10">
        <f>SUMIFS(All!$G:$G,All!$C:$C,"RR",All!$E:$E,$B13)</f>
        <v>2.851709096535748E-2</v>
      </c>
      <c r="S13">
        <f>COUNTIFS(All!$C:$C,"RS",All!$E:$E,$B13)</f>
        <v>2</v>
      </c>
      <c r="T13" s="10">
        <f>SUMIFS(All!$G:$G,All!$C:$C,"RS",All!$E:$E,$B13)</f>
        <v>1.3660371313198831</v>
      </c>
      <c r="V13">
        <f>COUNTIFS(All!$C:$C,"SS",All!$E:$E,$B13)</f>
        <v>0</v>
      </c>
      <c r="W13" s="10">
        <f>SUMIFS(All!$G:$G,All!$C:$C,"SS",All!$E:$E,$B13)</f>
        <v>0</v>
      </c>
      <c r="Y13">
        <f>COUNTIFS(All!$C:$C,"UG",All!$E:$E,$B13)</f>
        <v>1</v>
      </c>
      <c r="Z13" s="10">
        <f>SUMIFS(All!$G:$G,All!$C:$C,"UG",All!$E:$E,$B13)</f>
        <v>0.11500011415655489</v>
      </c>
      <c r="AB13">
        <f>COUNTIFS(All!$C:$C,"VV",All!$E:$E,$B13)</f>
        <v>0</v>
      </c>
      <c r="AC13" s="10">
        <f>SUMIFS(All!$G:$G,All!$C:$C,"VV",All!$E:$E,$B13)</f>
        <v>0</v>
      </c>
      <c r="AE13">
        <f>COUNTIFS(All!$C:$C,"SS",All!$E:$E,$B13)</f>
        <v>0</v>
      </c>
      <c r="AF13" s="10">
        <f>SUMIFS(All!$G:$G,All!$C:$C,"SS",All!$E:$E,$B13)</f>
        <v>0</v>
      </c>
    </row>
    <row r="14" spans="2:32" x14ac:dyDescent="0.25">
      <c r="B14" t="s">
        <v>1045</v>
      </c>
      <c r="D14">
        <f>COUNTIFS(All!$C:$C,"AA",All!$E:$E,$B14)</f>
        <v>2</v>
      </c>
      <c r="E14" s="10">
        <f>SUMIFS(All!$G:$G,All!$C:$C,"AA",All!$E:$E,$B14)</f>
        <v>0.47762269666920587</v>
      </c>
      <c r="G14">
        <f>COUNTIFS(All!$C:$C,"CG",All!$E:$E,$B14)</f>
        <v>11</v>
      </c>
      <c r="H14" s="10">
        <f>SUMIFS(All!$G:$G,All!$C:$C,"CG",All!$E:$E,$B14)</f>
        <v>4.1499510406808939</v>
      </c>
      <c r="J14">
        <f>COUNTIFS(All!$C:$C,"GL",All!$E:$E,$B14)</f>
        <v>5</v>
      </c>
      <c r="K14" s="10">
        <f>SUMIFS(All!$G:$G,All!$C:$C,"GL",All!$E:$E,$B14)</f>
        <v>1.7981023214465912</v>
      </c>
      <c r="M14">
        <f>COUNTIFS(All!$C:$C,"LU",All!$E:$E,$B14)</f>
        <v>0</v>
      </c>
      <c r="N14" s="10">
        <f>SUMIFS(All!$G:$G,All!$C:$C,"LU",All!$E:$E,$B14)</f>
        <v>0</v>
      </c>
      <c r="P14">
        <f>COUNTIFS(All!$C:$C,"RR",All!$E:$E,$B14)</f>
        <v>0</v>
      </c>
      <c r="Q14" s="10">
        <f>SUMIFS(All!$G:$G,All!$C:$C,"RR",All!$E:$E,$B14)</f>
        <v>0</v>
      </c>
      <c r="S14">
        <f>COUNTIFS(All!$C:$C,"RS",All!$E:$E,$B14)</f>
        <v>9</v>
      </c>
      <c r="T14" s="10">
        <f>SUMIFS(All!$G:$G,All!$C:$C,"RS",All!$E:$E,$B14)</f>
        <v>4.9549782843881349</v>
      </c>
      <c r="V14">
        <f>COUNTIFS(All!$C:$C,"SS",All!$E:$E,$B14)</f>
        <v>0</v>
      </c>
      <c r="W14" s="10">
        <f>SUMIFS(All!$G:$G,All!$C:$C,"SS",All!$E:$E,$B14)</f>
        <v>0</v>
      </c>
      <c r="Y14">
        <f>COUNTIFS(All!$C:$C,"UG",All!$E:$E,$B14)</f>
        <v>2</v>
      </c>
      <c r="Z14" s="10">
        <f>SUMIFS(All!$G:$G,All!$C:$C,"UG",All!$E:$E,$B14)</f>
        <v>7.1706033003649375E-2</v>
      </c>
      <c r="AB14">
        <f>COUNTIFS(All!$C:$C,"VV",All!$E:$E,$B14)</f>
        <v>1</v>
      </c>
      <c r="AC14" s="10">
        <f>SUMIFS(All!$G:$G,All!$C:$C,"VV",All!$E:$E,$B14)</f>
        <v>0.4947121630525193</v>
      </c>
      <c r="AE14">
        <f>COUNTIFS(All!$C:$C,"SS",All!$E:$E,$B14)</f>
        <v>0</v>
      </c>
      <c r="AF14" s="10">
        <f>SUMIFS(All!$G:$G,All!$C:$C,"SS",All!$E:$E,$B14)</f>
        <v>0</v>
      </c>
    </row>
    <row r="15" spans="2:32" x14ac:dyDescent="0.25">
      <c r="B15" t="s">
        <v>129</v>
      </c>
      <c r="D15">
        <f>COUNTIFS(All!$C:$C,"AA",All!$E:$E,$B15)</f>
        <v>0</v>
      </c>
      <c r="E15" s="10">
        <f>SUMIFS(All!$G:$G,All!$C:$C,"AA",All!$E:$E,$B15)</f>
        <v>0</v>
      </c>
      <c r="G15">
        <f>COUNTIFS(All!$C:$C,"CG",All!$E:$E,$B15)</f>
        <v>3</v>
      </c>
      <c r="H15" s="10">
        <f>SUMIFS(All!$G:$G,All!$C:$C,"CG",All!$E:$E,$B15)</f>
        <v>1.1404000148345568</v>
      </c>
      <c r="J15">
        <f>COUNTIFS(All!$C:$C,"GL",All!$E:$E,$B15)</f>
        <v>0</v>
      </c>
      <c r="K15" s="10">
        <f>SUMIFS(All!$G:$G,All!$C:$C,"GL",All!$E:$E,$B15)</f>
        <v>0</v>
      </c>
      <c r="M15">
        <f>COUNTIFS(All!$C:$C,"LU",All!$E:$E,$B15)</f>
        <v>0</v>
      </c>
      <c r="N15" s="10">
        <f>SUMIFS(All!$G:$G,All!$C:$C,"LU",All!$E:$E,$B15)</f>
        <v>0</v>
      </c>
      <c r="P15">
        <f>COUNTIFS(All!$C:$C,"RR",All!$E:$E,$B15)</f>
        <v>0</v>
      </c>
      <c r="Q15" s="10">
        <f>SUMIFS(All!$G:$G,All!$C:$C,"RR",All!$E:$E,$B15)</f>
        <v>0</v>
      </c>
      <c r="S15">
        <f>COUNTIFS(All!$C:$C,"RS",All!$E:$E,$B15)</f>
        <v>2</v>
      </c>
      <c r="T15" s="10">
        <f>SUMIFS(All!$G:$G,All!$C:$C,"RS",All!$E:$E,$B15)</f>
        <v>0.58059119535681869</v>
      </c>
      <c r="V15">
        <f>COUNTIFS(All!$C:$C,"SS",All!$E:$E,$B15)</f>
        <v>1</v>
      </c>
      <c r="W15" s="10">
        <f>SUMIFS(All!$G:$G,All!$C:$C,"SS",All!$E:$E,$B15)</f>
        <v>0.26217608318449948</v>
      </c>
      <c r="Y15">
        <f>COUNTIFS(All!$C:$C,"UG",All!$E:$E,$B15)</f>
        <v>0</v>
      </c>
      <c r="Z15" s="10">
        <f>SUMIFS(All!$G:$G,All!$C:$C,"UG",All!$E:$E,$B15)</f>
        <v>0</v>
      </c>
      <c r="AB15">
        <f>COUNTIFS(All!$C:$C,"VV",All!$E:$E,$B15)</f>
        <v>1</v>
      </c>
      <c r="AC15" s="10">
        <f>SUMIFS(All!$G:$G,All!$C:$C,"VV",All!$E:$E,$B15)</f>
        <v>0.47255644785755241</v>
      </c>
      <c r="AE15">
        <f>COUNTIFS(All!$C:$C,"SS",All!$E:$E,$B15)</f>
        <v>1</v>
      </c>
      <c r="AF15" s="10">
        <f>SUMIFS(All!$G:$G,All!$C:$C,"SS",All!$E:$E,$B15)</f>
        <v>0.26217608318449948</v>
      </c>
    </row>
    <row r="16" spans="2:32" x14ac:dyDescent="0.25">
      <c r="B16" t="s">
        <v>402</v>
      </c>
      <c r="D16">
        <f>COUNTIFS(All!$C:$C,"AA",All!$E:$E,$B16)</f>
        <v>23</v>
      </c>
      <c r="E16" s="10">
        <f>SUMIFS(All!$G:$G,All!$C:$C,"AA",All!$E:$E,$B16)</f>
        <v>87.377900867059964</v>
      </c>
      <c r="G16">
        <f>COUNTIFS(All!$C:$C,"CG",All!$E:$E,$B16)</f>
        <v>207</v>
      </c>
      <c r="H16" s="10">
        <f>SUMIFS(All!$G:$G,All!$C:$C,"CG",All!$E:$E,$B16)</f>
        <v>1517.4055326288681</v>
      </c>
      <c r="J16">
        <f>COUNTIFS(All!$C:$C,"GL",All!$E:$E,$B16)</f>
        <v>13</v>
      </c>
      <c r="K16" s="10">
        <f>SUMIFS(All!$G:$G,All!$C:$C,"GL",All!$E:$E,$B16)</f>
        <v>56.405445257753222</v>
      </c>
      <c r="M16">
        <f>COUNTIFS(All!$C:$C,"LU",All!$E:$E,$B16)</f>
        <v>87</v>
      </c>
      <c r="N16" s="10">
        <f>SUMIFS(All!$G:$G,All!$C:$C,"LU",All!$E:$E,$B16)</f>
        <v>965.26260817313698</v>
      </c>
      <c r="P16">
        <f>COUNTIFS(All!$C:$C,"RR",All!$E:$E,$B16)</f>
        <v>105</v>
      </c>
      <c r="Q16" s="10">
        <f>SUMIFS(All!$G:$G,All!$C:$C,"RR",All!$E:$E,$B16)</f>
        <v>976.08545356902641</v>
      </c>
      <c r="S16">
        <f>COUNTIFS(All!$C:$C,"RS",All!$E:$E,$B16)</f>
        <v>31</v>
      </c>
      <c r="T16" s="10">
        <f>SUMIFS(All!$G:$G,All!$C:$C,"RS",All!$E:$E,$B16)</f>
        <v>92.365782291231909</v>
      </c>
      <c r="V16">
        <f>COUNTIFS(All!$C:$C,"SS",All!$E:$E,$B16)</f>
        <v>0</v>
      </c>
      <c r="W16" s="10">
        <f>SUMIFS(All!$G:$G,All!$C:$C,"SS",All!$E:$E,$B16)</f>
        <v>0</v>
      </c>
      <c r="Y16">
        <f>COUNTIFS(All!$C:$C,"UG",All!$E:$E,$B16)</f>
        <v>35</v>
      </c>
      <c r="Z16" s="10">
        <f>SUMIFS(All!$G:$G,All!$C:$C,"UG",All!$E:$E,$B16)</f>
        <v>130.52657786940654</v>
      </c>
      <c r="AB16">
        <f>COUNTIFS(All!$C:$C,"VV",All!$E:$E,$B16)</f>
        <v>0</v>
      </c>
      <c r="AC16" s="10">
        <f>SUMIFS(All!$G:$G,All!$C:$C,"VV",All!$E:$E,$B16)</f>
        <v>0</v>
      </c>
      <c r="AE16">
        <f>COUNTIFS(All!$C:$C,"SS",All!$E:$E,$B16)</f>
        <v>0</v>
      </c>
      <c r="AF16" s="10">
        <f>SUMIFS(All!$G:$G,All!$C:$C,"SS",All!$E:$E,$B16)</f>
        <v>0</v>
      </c>
    </row>
    <row r="17" spans="1:36" x14ac:dyDescent="0.25">
      <c r="B17" t="s">
        <v>67</v>
      </c>
      <c r="D17">
        <f>COUNTIFS(All!$C:$C,"AA",All!$E:$E,$B17)</f>
        <v>0</v>
      </c>
      <c r="E17" s="10">
        <f>SUMIFS(All!$G:$G,All!$C:$C,"AA",All!$E:$E,$B17)</f>
        <v>0</v>
      </c>
      <c r="G17">
        <f>COUNTIFS(All!$C:$C,"CG",All!$E:$E,$B17)</f>
        <v>2</v>
      </c>
      <c r="H17" s="10">
        <f>SUMIFS(All!$G:$G,All!$C:$C,"CG",All!$E:$E,$B17)</f>
        <v>2.204408498421409</v>
      </c>
      <c r="J17">
        <f>COUNTIFS(All!$C:$C,"GL",All!$E:$E,$B17)</f>
        <v>0</v>
      </c>
      <c r="K17" s="10">
        <f>SUMIFS(All!$G:$G,All!$C:$C,"GL",All!$E:$E,$B17)</f>
        <v>0</v>
      </c>
      <c r="M17">
        <f>COUNTIFS(All!$C:$C,"LU",All!$E:$E,$B17)</f>
        <v>0</v>
      </c>
      <c r="N17" s="10">
        <f>SUMIFS(All!$G:$G,All!$C:$C,"LU",All!$E:$E,$B17)</f>
        <v>0</v>
      </c>
      <c r="P17">
        <f>COUNTIFS(All!$C:$C,"RR",All!$E:$E,$B17)</f>
        <v>0</v>
      </c>
      <c r="Q17" s="10">
        <f>SUMIFS(All!$G:$G,All!$C:$C,"RR",All!$E:$E,$B17)</f>
        <v>0</v>
      </c>
      <c r="S17">
        <f>COUNTIFS(All!$C:$C,"RS",All!$E:$E,$B17)</f>
        <v>0</v>
      </c>
      <c r="T17" s="10">
        <f>SUMIFS(All!$G:$G,All!$C:$C,"RS",All!$E:$E,$B17)</f>
        <v>0</v>
      </c>
      <c r="V17">
        <f>COUNTIFS(All!$C:$C,"SS",All!$E:$E,$B17)</f>
        <v>2</v>
      </c>
      <c r="W17" s="10">
        <f>SUMIFS(All!$G:$G,All!$C:$C,"SS",All!$E:$E,$B17)</f>
        <v>9.2413711574617086</v>
      </c>
      <c r="Y17">
        <f>COUNTIFS(All!$C:$C,"UG",All!$E:$E,$B17)</f>
        <v>0</v>
      </c>
      <c r="Z17" s="10">
        <f>SUMIFS(All!$G:$G,All!$C:$C,"UG",All!$E:$E,$B17)</f>
        <v>0</v>
      </c>
      <c r="AB17">
        <f>COUNTIFS(All!$C:$C,"VV",All!$E:$E,$B17)</f>
        <v>18</v>
      </c>
      <c r="AC17" s="10">
        <f>SUMIFS(All!$G:$G,All!$C:$C,"VV",All!$E:$E,$B17)</f>
        <v>112.7823266292486</v>
      </c>
      <c r="AE17">
        <f>COUNTIFS(All!$C:$C,"SS",All!$E:$E,$B17)</f>
        <v>2</v>
      </c>
      <c r="AF17" s="10">
        <f>SUMIFS(All!$G:$G,All!$C:$C,"SS",All!$E:$E,$B17)</f>
        <v>9.2413711574617086</v>
      </c>
    </row>
    <row r="18" spans="1:36" x14ac:dyDescent="0.25">
      <c r="B18" t="s">
        <v>900</v>
      </c>
      <c r="D18">
        <f>COUNTIFS(All!$C:$C,"AA",All!$E:$E,$B18)</f>
        <v>0</v>
      </c>
      <c r="E18" s="10">
        <f>SUMIFS(All!$G:$G,All!$C:$C,"AA",All!$E:$E,$B18)</f>
        <v>0</v>
      </c>
      <c r="G18">
        <f>COUNTIFS(All!$C:$C,"CG",All!$E:$E,$B18)</f>
        <v>0</v>
      </c>
      <c r="H18" s="10">
        <f>SUMIFS(All!$G:$G,All!$C:$C,"CG",All!$E:$E,$B18)</f>
        <v>0</v>
      </c>
      <c r="J18">
        <f>COUNTIFS(All!$C:$C,"GL",All!$E:$E,$B18)</f>
        <v>0</v>
      </c>
      <c r="K18" s="10">
        <f>SUMIFS(All!$G:$G,All!$C:$C,"GL",All!$E:$E,$B18)</f>
        <v>0</v>
      </c>
      <c r="M18">
        <f>COUNTIFS(All!$C:$C,"LU",All!$E:$E,$B18)</f>
        <v>0</v>
      </c>
      <c r="N18" s="10">
        <f>SUMIFS(All!$G:$G,All!$C:$C,"LU",All!$E:$E,$B18)</f>
        <v>0</v>
      </c>
      <c r="P18">
        <f>COUNTIFS(All!$C:$C,"RR",All!$E:$E,$B18)</f>
        <v>1</v>
      </c>
      <c r="Q18" s="10">
        <f>SUMIFS(All!$G:$G,All!$C:$C,"RR",All!$E:$E,$B18)</f>
        <v>1.534955045055719</v>
      </c>
      <c r="S18">
        <f>COUNTIFS(All!$C:$C,"RS",All!$E:$E,$B18)</f>
        <v>0</v>
      </c>
      <c r="T18" s="10">
        <f>SUMIFS(All!$G:$G,All!$C:$C,"RS",All!$E:$E,$B18)</f>
        <v>0</v>
      </c>
      <c r="V18">
        <f>COUNTIFS(All!$C:$C,"SS",All!$E:$E,$B18)</f>
        <v>0</v>
      </c>
      <c r="W18" s="10">
        <f>SUMIFS(All!$G:$G,All!$C:$C,"SS",All!$E:$E,$B18)</f>
        <v>0</v>
      </c>
      <c r="Y18">
        <f>COUNTIFS(All!$C:$C,"UG",All!$E:$E,$B18)</f>
        <v>0</v>
      </c>
      <c r="Z18" s="10">
        <f>SUMIFS(All!$G:$G,All!$C:$C,"UG",All!$E:$E,$B18)</f>
        <v>0</v>
      </c>
      <c r="AB18">
        <f>COUNTIFS(All!$C:$C,"VV",All!$E:$E,$B18)</f>
        <v>0</v>
      </c>
      <c r="AC18" s="10">
        <f>SUMIFS(All!$G:$G,All!$C:$C,"VV",All!$E:$E,$B18)</f>
        <v>0</v>
      </c>
      <c r="AE18">
        <f>COUNTIFS(All!$C:$C,"SS",All!$E:$E,$B18)</f>
        <v>0</v>
      </c>
      <c r="AF18" s="10">
        <f>SUMIFS(All!$G:$G,All!$C:$C,"SS",All!$E:$E,$B18)</f>
        <v>0</v>
      </c>
    </row>
    <row r="19" spans="1:36" x14ac:dyDescent="0.25">
      <c r="B19" t="s">
        <v>111</v>
      </c>
      <c r="D19">
        <f>COUNTIFS(All!$C:$C,"AA",All!$E:$E,$B19)</f>
        <v>0</v>
      </c>
      <c r="E19" s="10">
        <f>SUMIFS(All!$G:$G,All!$C:$C,"AA",All!$E:$E,$B19)</f>
        <v>0</v>
      </c>
      <c r="G19">
        <f>COUNTIFS(All!$C:$C,"CG",All!$E:$E,$B19)</f>
        <v>0</v>
      </c>
      <c r="H19" s="10">
        <f>SUMIFS(All!$G:$G,All!$C:$C,"CG",All!$E:$E,$B19)</f>
        <v>0</v>
      </c>
      <c r="J19">
        <f>COUNTIFS(All!$C:$C,"GL",All!$E:$E,$B19)</f>
        <v>0</v>
      </c>
      <c r="K19" s="10">
        <f>SUMIFS(All!$G:$G,All!$C:$C,"GL",All!$E:$E,$B19)</f>
        <v>0</v>
      </c>
      <c r="M19">
        <f>COUNTIFS(All!$C:$C,"LU",All!$E:$E,$B19)</f>
        <v>0</v>
      </c>
      <c r="N19" s="10">
        <f>SUMIFS(All!$G:$G,All!$C:$C,"LU",All!$E:$E,$B19)</f>
        <v>0</v>
      </c>
      <c r="P19">
        <f>COUNTIFS(All!$C:$C,"RR",All!$E:$E,$B19)</f>
        <v>0</v>
      </c>
      <c r="Q19" s="10">
        <f>SUMIFS(All!$G:$G,All!$C:$C,"RR",All!$E:$E,$B19)</f>
        <v>0</v>
      </c>
      <c r="S19">
        <f>COUNTIFS(All!$C:$C,"RS",All!$E:$E,$B19)</f>
        <v>0</v>
      </c>
      <c r="T19" s="10">
        <f>SUMIFS(All!$G:$G,All!$C:$C,"RS",All!$E:$E,$B19)</f>
        <v>0</v>
      </c>
      <c r="V19">
        <f>COUNTIFS(All!$C:$C,"SS",All!$E:$E,$B19)</f>
        <v>0</v>
      </c>
      <c r="W19" s="10">
        <f>SUMIFS(All!$G:$G,All!$C:$C,"SS",All!$E:$E,$B19)</f>
        <v>0</v>
      </c>
      <c r="Y19">
        <f>COUNTIFS(All!$C:$C,"UG",All!$E:$E,$B19)</f>
        <v>0</v>
      </c>
      <c r="Z19" s="10">
        <f>SUMIFS(All!$G:$G,All!$C:$C,"UG",All!$E:$E,$B19)</f>
        <v>0</v>
      </c>
      <c r="AB19">
        <f>COUNTIFS(All!$C:$C,"VV",All!$E:$E,$B19)</f>
        <v>2</v>
      </c>
      <c r="AC19" s="10">
        <f>SUMIFS(All!$G:$G,All!$C:$C,"VV",All!$E:$E,$B19)</f>
        <v>3.8947804144363052</v>
      </c>
      <c r="AE19">
        <f>COUNTIFS(All!$C:$C,"SS",All!$E:$E,$B19)</f>
        <v>0</v>
      </c>
      <c r="AF19" s="10">
        <f>SUMIFS(All!$G:$G,All!$C:$C,"SS",All!$E:$E,$B19)</f>
        <v>0</v>
      </c>
    </row>
    <row r="20" spans="1:36" x14ac:dyDescent="0.25">
      <c r="B20" t="s">
        <v>87</v>
      </c>
      <c r="D20">
        <f>COUNTIFS(All!$C:$C,"AA",All!$E:$E,$B20)</f>
        <v>2</v>
      </c>
      <c r="E20" s="10">
        <f>SUMIFS(All!$G:$G,All!$C:$C,"AA",All!$E:$E,$B20)</f>
        <v>8.4647091017629918</v>
      </c>
      <c r="G20">
        <f>COUNTIFS(All!$C:$C,"CG",All!$E:$E,$B20)</f>
        <v>23</v>
      </c>
      <c r="H20" s="10">
        <f>SUMIFS(All!$G:$G,All!$C:$C,"CG",All!$E:$E,$B20)</f>
        <v>139.90657961589756</v>
      </c>
      <c r="J20">
        <f>COUNTIFS(All!$C:$C,"GL",All!$E:$E,$B20)</f>
        <v>20</v>
      </c>
      <c r="K20" s="10">
        <f>SUMIFS(All!$G:$G,All!$C:$C,"GL",All!$E:$E,$B20)</f>
        <v>98.358619717181298</v>
      </c>
      <c r="M20">
        <f>COUNTIFS(All!$C:$C,"LU",All!$E:$E,$B20)</f>
        <v>0</v>
      </c>
      <c r="N20" s="10">
        <f>SUMIFS(All!$G:$G,All!$C:$C,"LU",All!$E:$E,$B20)</f>
        <v>0</v>
      </c>
      <c r="P20">
        <f>COUNTIFS(All!$C:$C,"RR",All!$E:$E,$B20)</f>
        <v>0</v>
      </c>
      <c r="Q20" s="10">
        <f>SUMIFS(All!$G:$G,All!$C:$C,"RR",All!$E:$E,$B20)</f>
        <v>0</v>
      </c>
      <c r="S20">
        <f>COUNTIFS(All!$C:$C,"RS",All!$E:$E,$B20)</f>
        <v>10</v>
      </c>
      <c r="T20" s="10">
        <f>SUMIFS(All!$G:$G,All!$C:$C,"RS",All!$E:$E,$B20)</f>
        <v>56.300498726466799</v>
      </c>
      <c r="V20">
        <f>COUNTIFS(All!$C:$C,"SS",All!$E:$E,$B20)</f>
        <v>0</v>
      </c>
      <c r="W20" s="10">
        <f>SUMIFS(All!$G:$G,All!$C:$C,"SS",All!$E:$E,$B20)</f>
        <v>0</v>
      </c>
      <c r="Y20">
        <f>COUNTIFS(All!$C:$C,"UG",All!$E:$E,$B20)</f>
        <v>7</v>
      </c>
      <c r="Z20" s="10">
        <f>SUMIFS(All!$G:$G,All!$C:$C,"UG",All!$E:$E,$B20)</f>
        <v>8.9724324295073057</v>
      </c>
      <c r="AB20">
        <f>COUNTIFS(All!$C:$C,"VV",All!$E:$E,$B20)</f>
        <v>3</v>
      </c>
      <c r="AC20" s="10">
        <f>SUMIFS(All!$G:$G,All!$C:$C,"VV",All!$E:$E,$B20)</f>
        <v>36.741456941213386</v>
      </c>
      <c r="AE20">
        <f>COUNTIFS(All!$C:$C,"SS",All!$E:$E,$B20)</f>
        <v>0</v>
      </c>
      <c r="AF20" s="10">
        <f>SUMIFS(All!$G:$G,All!$C:$C,"SS",All!$E:$E,$B20)</f>
        <v>0</v>
      </c>
    </row>
    <row r="21" spans="1:36" x14ac:dyDescent="0.25">
      <c r="B21" t="s">
        <v>113</v>
      </c>
      <c r="D21">
        <f>COUNTIFS(All!$C:$C,"AA",All!$E:$E,$B21)</f>
        <v>0</v>
      </c>
      <c r="E21" s="10">
        <f>SUMIFS(All!$G:$G,All!$C:$C,"AA",All!$E:$E,$B21)</f>
        <v>0</v>
      </c>
      <c r="G21">
        <f>COUNTIFS(All!$C:$C,"CG",All!$E:$E,$B21)</f>
        <v>73</v>
      </c>
      <c r="H21" s="10">
        <f>SUMIFS(All!$G:$G,All!$C:$C,"CG",All!$E:$E,$B21)</f>
        <v>505.921608696985</v>
      </c>
      <c r="J21">
        <f>COUNTIFS(All!$C:$C,"GL",All!$E:$E,$B21)</f>
        <v>28</v>
      </c>
      <c r="K21" s="10">
        <f>SUMIFS(All!$G:$G,All!$C:$C,"GL",All!$E:$E,$B21)</f>
        <v>208.37474541620307</v>
      </c>
      <c r="M21">
        <f>COUNTIFS(All!$C:$C,"LU",All!$E:$E,$B21)</f>
        <v>0</v>
      </c>
      <c r="N21" s="10">
        <f>SUMIFS(All!$G:$G,All!$C:$C,"LU",All!$E:$E,$B21)</f>
        <v>0</v>
      </c>
      <c r="P21">
        <f>COUNTIFS(All!$C:$C,"RR",All!$E:$E,$B21)</f>
        <v>4</v>
      </c>
      <c r="Q21" s="10">
        <f>SUMIFS(All!$G:$G,All!$C:$C,"RR",All!$E:$E,$B21)</f>
        <v>28.604490864493716</v>
      </c>
      <c r="S21">
        <f>COUNTIFS(All!$C:$C,"RS",All!$E:$E,$B21)</f>
        <v>0</v>
      </c>
      <c r="T21" s="10">
        <f>SUMIFS(All!$G:$G,All!$C:$C,"RS",All!$E:$E,$B21)</f>
        <v>0</v>
      </c>
      <c r="V21">
        <f>COUNTIFS(All!$C:$C,"SS",All!$E:$E,$B21)</f>
        <v>3</v>
      </c>
      <c r="W21" s="10">
        <f>SUMIFS(All!$G:$G,All!$C:$C,"SS",All!$E:$E,$B21)</f>
        <v>194.08760934117407</v>
      </c>
      <c r="Y21">
        <f>COUNTIFS(All!$C:$C,"UG",All!$E:$E,$B21)</f>
        <v>0</v>
      </c>
      <c r="Z21" s="10">
        <f>SUMIFS(All!$G:$G,All!$C:$C,"UG",All!$E:$E,$B21)</f>
        <v>0</v>
      </c>
      <c r="AB21">
        <f>COUNTIFS(All!$C:$C,"VV",All!$E:$E,$B21)</f>
        <v>27</v>
      </c>
      <c r="AC21" s="10">
        <f>SUMIFS(All!$G:$G,All!$C:$C,"VV",All!$E:$E,$B21)</f>
        <v>255.55634234950242</v>
      </c>
      <c r="AE21">
        <f>COUNTIFS(All!$C:$C,"SS",All!$E:$E,$B21)</f>
        <v>3</v>
      </c>
      <c r="AF21" s="10">
        <f>SUMIFS(All!$G:$G,All!$C:$C,"SS",All!$E:$E,$B21)</f>
        <v>194.08760934117407</v>
      </c>
    </row>
    <row r="22" spans="1:36" x14ac:dyDescent="0.25">
      <c r="B22" t="s">
        <v>880</v>
      </c>
      <c r="D22">
        <f>COUNTIFS(All!$C:$C,"AA",All!$E:$E,$B22)</f>
        <v>0</v>
      </c>
      <c r="E22" s="10">
        <f>SUMIFS(All!$G:$G,All!$C:$C,"AA",All!$E:$E,$B22)</f>
        <v>0</v>
      </c>
      <c r="G22">
        <f>COUNTIFS(All!$C:$C,"CG",All!$E:$E,$B22)</f>
        <v>6</v>
      </c>
      <c r="H22" s="10">
        <f>SUMIFS(All!$G:$G,All!$C:$C,"CG",All!$E:$E,$B22)</f>
        <v>12.626671006445614</v>
      </c>
      <c r="J22">
        <f>COUNTIFS(All!$C:$C,"GL",All!$E:$E,$B22)</f>
        <v>1</v>
      </c>
      <c r="K22" s="10">
        <f>SUMIFS(All!$G:$G,All!$C:$C,"GL",All!$E:$E,$B22)</f>
        <v>11.73603137699136</v>
      </c>
      <c r="M22">
        <f>COUNTIFS(All!$C:$C,"LU",All!$E:$E,$B22)</f>
        <v>0</v>
      </c>
      <c r="N22" s="10">
        <f>SUMIFS(All!$G:$G,All!$C:$C,"LU",All!$E:$E,$B22)</f>
        <v>0</v>
      </c>
      <c r="P22">
        <f>COUNTIFS(All!$C:$C,"RR",All!$E:$E,$B22)</f>
        <v>1</v>
      </c>
      <c r="Q22" s="10">
        <f>SUMIFS(All!$G:$G,All!$C:$C,"RR",All!$E:$E,$B22)</f>
        <v>18.08307157559241</v>
      </c>
      <c r="S22">
        <f>COUNTIFS(All!$C:$C,"RS",All!$E:$E,$B22)</f>
        <v>0</v>
      </c>
      <c r="T22" s="10">
        <f>SUMIFS(All!$G:$G,All!$C:$C,"RS",All!$E:$E,$B22)</f>
        <v>0</v>
      </c>
      <c r="V22">
        <f>COUNTIFS(All!$C:$C,"SS",All!$E:$E,$B22)</f>
        <v>0</v>
      </c>
      <c r="W22" s="10">
        <f>SUMIFS(All!$G:$G,All!$C:$C,"SS",All!$E:$E,$B22)</f>
        <v>0</v>
      </c>
      <c r="Y22">
        <f>COUNTIFS(All!$C:$C,"UG",All!$E:$E,$B22)</f>
        <v>0</v>
      </c>
      <c r="Z22" s="10">
        <f>SUMIFS(All!$G:$G,All!$C:$C,"UG",All!$E:$E,$B22)</f>
        <v>0</v>
      </c>
      <c r="AB22">
        <f>COUNTIFS(All!$C:$C,"VV",All!$E:$E,$B22)</f>
        <v>0</v>
      </c>
      <c r="AC22" s="10">
        <f>SUMIFS(All!$G:$G,All!$C:$C,"VV",All!$E:$E,$B22)</f>
        <v>0</v>
      </c>
      <c r="AE22">
        <f>COUNTIFS(All!$C:$C,"SS",All!$E:$E,$B22)</f>
        <v>0</v>
      </c>
      <c r="AF22" s="10">
        <f>SUMIFS(All!$G:$G,All!$C:$C,"SS",All!$E:$E,$B22)</f>
        <v>0</v>
      </c>
    </row>
    <row r="23" spans="1:36" x14ac:dyDescent="0.25">
      <c r="B23" t="s">
        <v>79</v>
      </c>
      <c r="D23">
        <f>COUNTIFS(All!$C:$C,"AA",All!$E:$E,$B23)</f>
        <v>43</v>
      </c>
      <c r="E23" s="10">
        <f>SUMIFS(All!$G:$G,All!$C:$C,"AA",All!$E:$E,$B23)</f>
        <v>178.80015006446143</v>
      </c>
      <c r="G23">
        <f>COUNTIFS(All!$C:$C,"CG",All!$E:$E,$B23)</f>
        <v>105</v>
      </c>
      <c r="H23" s="10">
        <f>SUMIFS(All!$G:$G,All!$C:$C,"CG",All!$E:$E,$B23)</f>
        <v>818.03922684981228</v>
      </c>
      <c r="J23">
        <f>COUNTIFS(All!$C:$C,"GL",All!$E:$E,$B23)</f>
        <v>46</v>
      </c>
      <c r="K23" s="10">
        <f>SUMIFS(All!$G:$G,All!$C:$C,"GL",All!$E:$E,$B23)</f>
        <v>150.14928706618591</v>
      </c>
      <c r="M23">
        <f>COUNTIFS(All!$C:$C,"LU",All!$E:$E,$B23)</f>
        <v>21</v>
      </c>
      <c r="N23" s="10">
        <f>SUMIFS(All!$G:$G,All!$C:$C,"LU",All!$E:$E,$B23)</f>
        <v>82.396560203893259</v>
      </c>
      <c r="P23">
        <f>COUNTIFS(All!$C:$C,"RR",All!$E:$E,$B23)</f>
        <v>7</v>
      </c>
      <c r="Q23" s="10">
        <f>SUMIFS(All!$G:$G,All!$C:$C,"RR",All!$E:$E,$B23)</f>
        <v>73.638001736638685</v>
      </c>
      <c r="S23">
        <f>COUNTIFS(All!$C:$C,"RS",All!$E:$E,$B23)</f>
        <v>51</v>
      </c>
      <c r="T23" s="10">
        <f>SUMIFS(All!$G:$G,All!$C:$C,"RS",All!$E:$E,$B23)</f>
        <v>194.4958315028635</v>
      </c>
      <c r="V23">
        <f>COUNTIFS(All!$C:$C,"SS",All!$E:$E,$B23)</f>
        <v>0</v>
      </c>
      <c r="W23" s="10">
        <f>SUMIFS(All!$G:$G,All!$C:$C,"SS",All!$E:$E,$B23)</f>
        <v>0</v>
      </c>
      <c r="Y23">
        <f>COUNTIFS(All!$C:$C,"UG",All!$E:$E,$B23)</f>
        <v>19</v>
      </c>
      <c r="Z23" s="10">
        <f>SUMIFS(All!$G:$G,All!$C:$C,"UG",All!$E:$E,$B23)</f>
        <v>34.912458104778985</v>
      </c>
      <c r="AB23">
        <f>COUNTIFS(All!$C:$C,"VV",All!$E:$E,$B23)</f>
        <v>9</v>
      </c>
      <c r="AC23" s="10">
        <f>SUMIFS(All!$G:$G,All!$C:$C,"VV",All!$E:$E,$B23)</f>
        <v>68.629803964304202</v>
      </c>
      <c r="AE23">
        <f>COUNTIFS(All!$C:$C,"SS",All!$E:$E,$B23)</f>
        <v>0</v>
      </c>
      <c r="AF23" s="10">
        <f>SUMIFS(All!$G:$G,All!$C:$C,"SS",All!$E:$E,$B23)</f>
        <v>0</v>
      </c>
    </row>
    <row r="24" spans="1:36" x14ac:dyDescent="0.25">
      <c r="B24" t="s">
        <v>77</v>
      </c>
      <c r="D24">
        <f>COUNTIFS(All!$C:$C,"AA",All!$E:$E,$B24)</f>
        <v>1</v>
      </c>
      <c r="E24" s="10">
        <f>SUMIFS(All!$G:$G,All!$C:$C,"AA",All!$E:$E,$B24)</f>
        <v>5.0225785234259321</v>
      </c>
      <c r="G24">
        <f>COUNTIFS(All!$C:$C,"CG",All!$E:$E,$B24)</f>
        <v>2</v>
      </c>
      <c r="H24" s="10">
        <f>SUMIFS(All!$G:$G,All!$C:$C,"CG",All!$E:$E,$B24)</f>
        <v>25.26779268058046</v>
      </c>
      <c r="J24">
        <f>COUNTIFS(All!$C:$C,"GL",All!$E:$E,$B24)</f>
        <v>0</v>
      </c>
      <c r="K24" s="10">
        <f>SUMIFS(All!$G:$G,All!$C:$C,"GL",All!$E:$E,$B24)</f>
        <v>0</v>
      </c>
      <c r="M24">
        <f>COUNTIFS(All!$C:$C,"LU",All!$E:$E,$B24)</f>
        <v>0</v>
      </c>
      <c r="N24" s="10">
        <f>SUMIFS(All!$G:$G,All!$C:$C,"LU",All!$E:$E,$B24)</f>
        <v>0</v>
      </c>
      <c r="P24">
        <f>COUNTIFS(All!$C:$C,"RR",All!$E:$E,$B24)</f>
        <v>0</v>
      </c>
      <c r="Q24" s="10">
        <f>SUMIFS(All!$G:$G,All!$C:$C,"RR",All!$E:$E,$B24)</f>
        <v>0</v>
      </c>
      <c r="S24">
        <f>COUNTIFS(All!$C:$C,"RS",All!$E:$E,$B24)</f>
        <v>4</v>
      </c>
      <c r="T24" s="10">
        <f>SUMIFS(All!$G:$G,All!$C:$C,"RS",All!$E:$E,$B24)</f>
        <v>25.171703284762806</v>
      </c>
      <c r="V24">
        <f>COUNTIFS(All!$C:$C,"SS",All!$E:$E,$B24)</f>
        <v>0</v>
      </c>
      <c r="W24" s="10">
        <f>SUMIFS(All!$G:$G,All!$C:$C,"SS",All!$E:$E,$B24)</f>
        <v>0</v>
      </c>
      <c r="Y24">
        <f>COUNTIFS(All!$C:$C,"UG",All!$E:$E,$B24)</f>
        <v>0</v>
      </c>
      <c r="Z24" s="10">
        <f>SUMIFS(All!$G:$G,All!$C:$C,"UG",All!$E:$E,$B24)</f>
        <v>0</v>
      </c>
      <c r="AB24">
        <f>COUNTIFS(All!$C:$C,"VV",All!$E:$E,$B24)</f>
        <v>5</v>
      </c>
      <c r="AC24" s="10">
        <f>SUMIFS(All!$G:$G,All!$C:$C,"VV",All!$E:$E,$B24)</f>
        <v>31.640653044974364</v>
      </c>
      <c r="AE24">
        <f>COUNTIFS(All!$C:$C,"SS",All!$E:$E,$B24)</f>
        <v>0</v>
      </c>
      <c r="AF24" s="10">
        <f>SUMIFS(All!$G:$G,All!$C:$C,"SS",All!$E:$E,$B24)</f>
        <v>0</v>
      </c>
    </row>
    <row r="25" spans="1:36" x14ac:dyDescent="0.25">
      <c r="B25" t="s">
        <v>141</v>
      </c>
      <c r="D25">
        <f>COUNTIFS(All!$C:$C,"AA",All!$E:$E,$B25)</f>
        <v>5</v>
      </c>
      <c r="E25" s="10">
        <f>SUMIFS(All!$G:$G,All!$C:$C,"AA",All!$E:$E,$B25)</f>
        <v>1.5229311341805263</v>
      </c>
      <c r="G25">
        <f>COUNTIFS(All!$C:$C,"CG",All!$E:$E,$B25)</f>
        <v>20</v>
      </c>
      <c r="H25" s="10">
        <f>SUMIFS(All!$G:$G,All!$C:$C,"CG",All!$E:$E,$B25)</f>
        <v>9.9305703147091844</v>
      </c>
      <c r="J25">
        <f>COUNTIFS(All!$C:$C,"GL",All!$E:$E,$B25)</f>
        <v>5</v>
      </c>
      <c r="K25" s="10">
        <f>SUMIFS(All!$G:$G,All!$C:$C,"GL",All!$E:$E,$B25)</f>
        <v>2.9436023515387988</v>
      </c>
      <c r="M25">
        <f>COUNTIFS(All!$C:$C,"LU",All!$E:$E,$B25)</f>
        <v>7</v>
      </c>
      <c r="N25" s="10">
        <f>SUMIFS(All!$G:$G,All!$C:$C,"LU",All!$E:$E,$B25)</f>
        <v>2.6111398573157887</v>
      </c>
      <c r="P25">
        <f>COUNTIFS(All!$C:$C,"RR",All!$E:$E,$B25)</f>
        <v>6</v>
      </c>
      <c r="Q25" s="10">
        <f>SUMIFS(All!$G:$G,All!$C:$C,"RR",All!$E:$E,$B25)</f>
        <v>1.8671790809420796</v>
      </c>
      <c r="S25">
        <f>COUNTIFS(All!$C:$C,"RS",All!$E:$E,$B25)</f>
        <v>2</v>
      </c>
      <c r="T25" s="10">
        <f>SUMIFS(All!$G:$G,All!$C:$C,"RS",All!$E:$E,$B25)</f>
        <v>1.4335824963494799</v>
      </c>
      <c r="V25">
        <f>COUNTIFS(All!$C:$C,"SS",All!$E:$E,$B25)</f>
        <v>11</v>
      </c>
      <c r="W25" s="10">
        <f>SUMIFS(All!$G:$G,All!$C:$C,"SS",All!$E:$E,$B25)</f>
        <v>8.9952986258869796</v>
      </c>
      <c r="Y25">
        <f>COUNTIFS(All!$C:$C,"UG",All!$E:$E,$B25)</f>
        <v>3</v>
      </c>
      <c r="Z25" s="10">
        <f>SUMIFS(All!$G:$G,All!$C:$C,"UG",All!$E:$E,$B25)</f>
        <v>9.0572788880467439</v>
      </c>
      <c r="AB25">
        <f>COUNTIFS(All!$C:$C,"VV",All!$E:$E,$B25)</f>
        <v>1</v>
      </c>
      <c r="AC25" s="10">
        <f>SUMIFS(All!$G:$G,All!$C:$C,"VV",All!$E:$E,$B25)</f>
        <v>0.37265839440589649</v>
      </c>
      <c r="AE25">
        <f>COUNTIFS(All!$C:$C,"SS",All!$E:$E,$B25)</f>
        <v>11</v>
      </c>
      <c r="AF25" s="10">
        <f>SUMIFS(All!$G:$G,All!$C:$C,"SS",All!$E:$E,$B25)</f>
        <v>8.9952986258869796</v>
      </c>
    </row>
    <row r="26" spans="1:36" x14ac:dyDescent="0.25">
      <c r="B26" t="s">
        <v>115</v>
      </c>
      <c r="D26">
        <f>COUNTIFS(All!$C:$C,"AA",All!$E:$E,$B26)</f>
        <v>4</v>
      </c>
      <c r="E26" s="10">
        <f>SUMIFS(All!$G:$G,All!$C:$C,"AA",All!$E:$E,$B26)</f>
        <v>6.782244443167702</v>
      </c>
      <c r="G26">
        <f>COUNTIFS(All!$C:$C,"CG",All!$E:$E,$B26)</f>
        <v>10</v>
      </c>
      <c r="H26" s="10">
        <f>SUMIFS(All!$G:$G,All!$C:$C,"CG",All!$E:$E,$B26)</f>
        <v>69.534782144551642</v>
      </c>
      <c r="J26">
        <f>COUNTIFS(All!$C:$C,"GL",All!$E:$E,$B26)</f>
        <v>19</v>
      </c>
      <c r="K26" s="10">
        <f>SUMIFS(All!$G:$G,All!$C:$C,"GL",All!$E:$E,$B26)</f>
        <v>15.241693980733851</v>
      </c>
      <c r="M26">
        <f>COUNTIFS(All!$C:$C,"LU",All!$E:$E,$B26)</f>
        <v>6</v>
      </c>
      <c r="N26" s="10">
        <f>SUMIFS(All!$G:$G,All!$C:$C,"LU",All!$E:$E,$B26)</f>
        <v>22.522017321025249</v>
      </c>
      <c r="P26">
        <f>COUNTIFS(All!$C:$C,"RR",All!$E:$E,$B26)</f>
        <v>1</v>
      </c>
      <c r="Q26" s="10">
        <f>SUMIFS(All!$G:$G,All!$C:$C,"RR",All!$E:$E,$B26)</f>
        <v>0.23654994809298319</v>
      </c>
      <c r="S26">
        <f>COUNTIFS(All!$C:$C,"RS",All!$E:$E,$B26)</f>
        <v>12</v>
      </c>
      <c r="T26" s="10">
        <f>SUMIFS(All!$G:$G,All!$C:$C,"RS",All!$E:$E,$B26)</f>
        <v>7.7008234693965623</v>
      </c>
      <c r="V26">
        <f>COUNTIFS(All!$C:$C,"SS",All!$E:$E,$B26)</f>
        <v>1</v>
      </c>
      <c r="W26" s="10">
        <f>SUMIFS(All!$G:$G,All!$C:$C,"SS",All!$E:$E,$B26)</f>
        <v>0.38382202520129932</v>
      </c>
      <c r="Y26">
        <f>COUNTIFS(All!$C:$C,"UG",All!$E:$E,$B26)</f>
        <v>4</v>
      </c>
      <c r="Z26" s="10">
        <f>SUMIFS(All!$G:$G,All!$C:$C,"UG",All!$E:$E,$B26)</f>
        <v>61.065255403382068</v>
      </c>
      <c r="AB26">
        <f>COUNTIFS(All!$C:$C,"VV",All!$E:$E,$B26)</f>
        <v>1</v>
      </c>
      <c r="AC26" s="10">
        <f>SUMIFS(All!$G:$G,All!$C:$C,"VV",All!$E:$E,$B26)</f>
        <v>0.96094632609354813</v>
      </c>
      <c r="AE26">
        <f>COUNTIFS(All!$C:$C,"SS",All!$E:$E,$B26)</f>
        <v>1</v>
      </c>
      <c r="AF26" s="10">
        <f>SUMIFS(All!$G:$G,All!$C:$C,"SS",All!$E:$E,$B26)</f>
        <v>0.38382202520129932</v>
      </c>
    </row>
    <row r="27" spans="1:36" x14ac:dyDescent="0.25">
      <c r="B27" t="s">
        <v>55</v>
      </c>
      <c r="D27">
        <f>COUNTIFS(All!$C:$C,"AA",All!$E:$E,$B27)</f>
        <v>0</v>
      </c>
      <c r="E27" s="10">
        <f>SUMIFS(All!$G:$G,All!$C:$C,"AA",All!$E:$E,$B27)</f>
        <v>0</v>
      </c>
      <c r="G27">
        <f>COUNTIFS(All!$C:$C,"CG",All!$E:$E,$B27)</f>
        <v>10</v>
      </c>
      <c r="H27" s="10">
        <f>SUMIFS(All!$G:$G,All!$C:$C,"CG",All!$E:$E,$B27)</f>
        <v>34.053674841204646</v>
      </c>
      <c r="J27">
        <f>COUNTIFS(All!$C:$C,"GL",All!$E:$E,$B27)</f>
        <v>6</v>
      </c>
      <c r="K27" s="10">
        <f>SUMIFS(All!$G:$G,All!$C:$C,"GL",All!$E:$E,$B27)</f>
        <v>28.715120913128679</v>
      </c>
      <c r="M27">
        <f>COUNTIFS(All!$C:$C,"LU",All!$E:$E,$B27)</f>
        <v>0</v>
      </c>
      <c r="N27" s="10">
        <f>SUMIFS(All!$G:$G,All!$C:$C,"LU",All!$E:$E,$B27)</f>
        <v>0</v>
      </c>
      <c r="P27">
        <f>COUNTIFS(All!$C:$C,"RR",All!$E:$E,$B27)</f>
        <v>0</v>
      </c>
      <c r="Q27" s="10">
        <f>SUMIFS(All!$G:$G,All!$C:$C,"RR",All!$E:$E,$B27)</f>
        <v>0</v>
      </c>
      <c r="S27">
        <f>COUNTIFS(All!$C:$C,"RS",All!$E:$E,$B27)</f>
        <v>0</v>
      </c>
      <c r="T27" s="10">
        <f>SUMIFS(All!$G:$G,All!$C:$C,"RS",All!$E:$E,$B27)</f>
        <v>0</v>
      </c>
      <c r="V27">
        <f>COUNTIFS(All!$C:$C,"SS",All!$E:$E,$B27)</f>
        <v>3</v>
      </c>
      <c r="W27" s="10">
        <f>SUMIFS(All!$G:$G,All!$C:$C,"SS",All!$E:$E,$B27)</f>
        <v>201.95248887614179</v>
      </c>
      <c r="Y27">
        <f>COUNTIFS(All!$C:$C,"UG",All!$E:$E,$B27)</f>
        <v>0</v>
      </c>
      <c r="Z27" s="10">
        <f>SUMIFS(All!$G:$G,All!$C:$C,"UG",All!$E:$E,$B27)</f>
        <v>0</v>
      </c>
      <c r="AB27">
        <f>COUNTIFS(All!$C:$C,"VV",All!$E:$E,$B27)</f>
        <v>4</v>
      </c>
      <c r="AC27" s="10">
        <f>SUMIFS(All!$G:$G,All!$C:$C,"VV",All!$E:$E,$B27)</f>
        <v>25.233155907459036</v>
      </c>
      <c r="AE27">
        <f>COUNTIFS(All!$C:$C,"SS",All!$E:$E,$B27)</f>
        <v>3</v>
      </c>
      <c r="AF27" s="10">
        <f>SUMIFS(All!$G:$G,All!$C:$C,"SS",All!$E:$E,$B27)</f>
        <v>201.95248887614179</v>
      </c>
    </row>
    <row r="28" spans="1:36" x14ac:dyDescent="0.25">
      <c r="A28" s="10"/>
      <c r="B28" t="s">
        <v>3656</v>
      </c>
      <c r="D28">
        <f>COUNTIFS(All!$C:$C,"AA",All!$E:$E,$B28)</f>
        <v>0</v>
      </c>
      <c r="E28" s="10">
        <f>SUMIFS(All!$G:$G,All!$C:$C,"AA",All!$E:$E,$B28)</f>
        <v>0</v>
      </c>
      <c r="G28">
        <f>COUNTIFS(All!$C:$C,"CG",All!$E:$E,$B28)</f>
        <v>7</v>
      </c>
      <c r="H28" s="10">
        <f>SUMIFS(All!$G:$G,All!$C:$C,"CG",All!$E:$E,$B28)</f>
        <v>38.888857541235247</v>
      </c>
      <c r="J28">
        <f>COUNTIFS(All!$C:$C,"GL",All!$E:$E,$B28)</f>
        <v>0</v>
      </c>
      <c r="K28" s="10">
        <f>SUMIFS(All!$G:$G,All!$C:$C,"GL",All!$E:$E,$B28)</f>
        <v>0</v>
      </c>
      <c r="M28">
        <f>COUNTIFS(All!$C:$C,"LU",All!$E:$E,$B28)</f>
        <v>0</v>
      </c>
      <c r="N28" s="10">
        <f>SUMIFS(All!$G:$G,All!$C:$C,"LU",All!$E:$E,$B28)</f>
        <v>0</v>
      </c>
      <c r="P28">
        <f>COUNTIFS(All!$C:$C,"RR",All!$E:$E,$B28)</f>
        <v>0</v>
      </c>
      <c r="Q28" s="10">
        <f>SUMIFS(All!$G:$G,All!$C:$C,"RR",All!$E:$E,$B28)</f>
        <v>0</v>
      </c>
      <c r="S28">
        <f>COUNTIFS(All!$C:$C,"RS",All!$E:$E,$B28)</f>
        <v>0</v>
      </c>
      <c r="T28" s="10">
        <f>SUMIFS(All!$G:$G,All!$C:$C,"RS",All!$E:$E,$B28)</f>
        <v>0</v>
      </c>
      <c r="V28">
        <f>COUNTIFS(All!$C:$C,"SS",All!$E:$E,$B28)</f>
        <v>0</v>
      </c>
      <c r="W28" s="10">
        <f>SUMIFS(All!$G:$G,All!$C:$C,"SS",All!$E:$E,$B28)</f>
        <v>0</v>
      </c>
      <c r="Y28">
        <f>COUNTIFS(All!$C:$C,"UG",All!$E:$E,$B28)</f>
        <v>0</v>
      </c>
      <c r="Z28" s="10">
        <f>SUMIFS(All!$G:$G,All!$C:$C,"UG",All!$E:$E,$B28)</f>
        <v>0</v>
      </c>
      <c r="AB28">
        <f>COUNTIFS(All!$C:$C,"VV",All!$E:$E,$B28)</f>
        <v>0</v>
      </c>
      <c r="AC28" s="10">
        <f>SUMIFS(All!$G:$G,All!$C:$C,"VV",All!$E:$E,$B28)</f>
        <v>0</v>
      </c>
      <c r="AE28">
        <f>COUNTIFS(All!$C:$C,"SS",All!$E:$E,$B28)</f>
        <v>0</v>
      </c>
      <c r="AF28" s="10">
        <f>SUMIFS(All!$G:$G,All!$C:$C,"SS",All!$E:$E,$B28)</f>
        <v>0</v>
      </c>
    </row>
    <row r="29" spans="1:36" x14ac:dyDescent="0.25">
      <c r="B29" t="s">
        <v>906</v>
      </c>
      <c r="D29">
        <f>COUNTIFS(All!$C:$C,"AA",All!$E:$E,$B29)</f>
        <v>0</v>
      </c>
      <c r="E29" s="10">
        <f>SUMIFS(All!$G:$G,All!$C:$C,"AA",All!$E:$E,$B29)</f>
        <v>0</v>
      </c>
      <c r="G29">
        <f>COUNTIFS(All!$C:$C,"CG",All!$E:$E,$B29)</f>
        <v>6</v>
      </c>
      <c r="H29" s="10">
        <f>SUMIFS(All!$G:$G,All!$C:$C,"CG",All!$E:$E,$B29)</f>
        <v>4.2878746505875345</v>
      </c>
      <c r="J29">
        <f>COUNTIFS(All!$C:$C,"GL",All!$E:$E,$B29)</f>
        <v>0</v>
      </c>
      <c r="K29" s="10">
        <f>SUMIFS(All!$G:$G,All!$C:$C,"GL",All!$E:$E,$B29)</f>
        <v>0</v>
      </c>
      <c r="M29">
        <f>COUNTIFS(All!$C:$C,"LU",All!$E:$E,$B29)</f>
        <v>6</v>
      </c>
      <c r="N29" s="10">
        <f>SUMIFS(All!$G:$G,All!$C:$C,"LU",All!$E:$E,$B29)</f>
        <v>1.955036839992395</v>
      </c>
      <c r="P29">
        <f>COUNTIFS(All!$C:$C,"RR",All!$E:$E,$B29)</f>
        <v>1</v>
      </c>
      <c r="Q29" s="10">
        <f>SUMIFS(All!$G:$G,All!$C:$C,"RR",All!$E:$E,$B29)</f>
        <v>0.6313190000371196</v>
      </c>
      <c r="S29">
        <f>COUNTIFS(All!$C:$C,"RS",All!$E:$E,$B29)</f>
        <v>0</v>
      </c>
      <c r="T29" s="10">
        <f>SUMIFS(All!$G:$G,All!$C:$C,"RS",All!$E:$E,$B29)</f>
        <v>0</v>
      </c>
      <c r="V29">
        <f>COUNTIFS(All!$C:$C,"SS",All!$E:$E,$B29)</f>
        <v>0</v>
      </c>
      <c r="W29" s="10">
        <f>SUMIFS(All!$G:$G,All!$C:$C,"SS",All!$E:$E,$B29)</f>
        <v>0</v>
      </c>
      <c r="Y29">
        <f>COUNTIFS(All!$C:$C,"UG",All!$E:$E,$B29)</f>
        <v>1</v>
      </c>
      <c r="Z29" s="10">
        <f>SUMIFS(All!$G:$G,All!$C:$C,"UG",All!$E:$E,$B29)</f>
        <v>0.96473975795892664</v>
      </c>
      <c r="AB29">
        <f>COUNTIFS(All!$C:$C,"VV",All!$E:$E,$B29)</f>
        <v>0</v>
      </c>
      <c r="AC29" s="10">
        <f>SUMIFS(All!$G:$G,All!$C:$C,"VV",All!$E:$E,$B29)</f>
        <v>0</v>
      </c>
      <c r="AE29">
        <f>COUNTIFS(All!$C:$C,"SS",All!$E:$E,$B29)</f>
        <v>0</v>
      </c>
      <c r="AF29" s="10">
        <f>SUMIFS(All!$G:$G,All!$C:$C,"SS",All!$E:$E,$B29)</f>
        <v>0</v>
      </c>
    </row>
    <row r="30" spans="1:36" x14ac:dyDescent="0.25">
      <c r="B30" t="s">
        <v>1081</v>
      </c>
      <c r="D30">
        <f>COUNTIFS(All!$C:$C,"AA",All!$E:$E,$B30)</f>
        <v>5</v>
      </c>
      <c r="E30" s="10">
        <f>SUMIFS(All!$G:$G,All!$C:$C,"AA",All!$E:$E,$B30)</f>
        <v>5.6308916966871507</v>
      </c>
      <c r="G30">
        <f>COUNTIFS(All!$C:$C,"CG",All!$E:$E,$B30)</f>
        <v>5</v>
      </c>
      <c r="H30" s="10">
        <f>SUMIFS(All!$G:$G,All!$C:$C,"CG",All!$E:$E,$B30)</f>
        <v>0.62800064084723317</v>
      </c>
      <c r="J30">
        <f>COUNTIFS(All!$C:$C,"GL",All!$E:$E,$B30)</f>
        <v>2</v>
      </c>
      <c r="K30" s="10">
        <f>SUMIFS(All!$G:$G,All!$C:$C,"GL",All!$E:$E,$B30)</f>
        <v>0.56566161653328451</v>
      </c>
      <c r="M30">
        <f>COUNTIFS(All!$C:$C,"LU",All!$E:$E,$B30)</f>
        <v>1</v>
      </c>
      <c r="N30" s="10">
        <f>SUMIFS(All!$G:$G,All!$C:$C,"LU",All!$E:$E,$B30)</f>
        <v>1.2522969744382699</v>
      </c>
      <c r="P30">
        <f>COUNTIFS(All!$C:$C,"RR",All!$E:$E,$B30)</f>
        <v>0</v>
      </c>
      <c r="Q30" s="10">
        <f>SUMIFS(All!$G:$G,All!$C:$C,"RR",All!$E:$E,$B30)</f>
        <v>0</v>
      </c>
      <c r="S30">
        <f>COUNTIFS(All!$C:$C,"RS",All!$E:$E,$B30)</f>
        <v>8</v>
      </c>
      <c r="T30" s="10">
        <f>SUMIFS(All!$G:$G,All!$C:$C,"RS",All!$E:$E,$B30)</f>
        <v>4.1541456645085955</v>
      </c>
      <c r="V30">
        <f>COUNTIFS(All!$C:$C,"SS",All!$E:$E,$B30)</f>
        <v>0</v>
      </c>
      <c r="W30" s="10">
        <f>SUMIFS(All!$G:$G,All!$C:$C,"SS",All!$E:$E,$B30)</f>
        <v>0</v>
      </c>
      <c r="Y30">
        <f>COUNTIFS(All!$C:$C,"UG",All!$E:$E,$B30)</f>
        <v>2</v>
      </c>
      <c r="Z30" s="10">
        <f>SUMIFS(All!$G:$G,All!$C:$C,"UG",All!$E:$E,$B30)</f>
        <v>191.91369206957359</v>
      </c>
      <c r="AB30">
        <f>COUNTIFS(All!$C:$C,"VV",All!$E:$E,$B30)</f>
        <v>1</v>
      </c>
      <c r="AC30" s="10">
        <f>SUMIFS(All!$G:$G,All!$C:$C,"VV",All!$E:$E,$B30)</f>
        <v>0.59961224285715753</v>
      </c>
      <c r="AE30">
        <f>COUNTIFS(All!$C:$C,"SS",All!$E:$E,$B30)</f>
        <v>0</v>
      </c>
      <c r="AF30" s="10">
        <f>SUMIFS(All!$G:$G,All!$C:$C,"SS",All!$E:$E,$B30)</f>
        <v>0</v>
      </c>
    </row>
    <row r="31" spans="1:36" x14ac:dyDescent="0.25">
      <c r="A31" s="10"/>
      <c r="B31" t="s">
        <v>408</v>
      </c>
      <c r="D31">
        <f>COUNTIFS(All!$C:$C,"AA",All!$E:$E,$B31)</f>
        <v>3</v>
      </c>
      <c r="E31" s="10">
        <f>SUMIFS(All!$G:$G,All!$C:$C,"AA",All!$E:$E,$B31)</f>
        <v>0.78648055734147893</v>
      </c>
      <c r="G31">
        <f>COUNTIFS(All!$C:$C,"CG",All!$E:$E,$B31)</f>
        <v>4</v>
      </c>
      <c r="H31" s="10">
        <f>SUMIFS(All!$G:$G,All!$C:$C,"CG",All!$E:$E,$B31)</f>
        <v>0.75260419759483699</v>
      </c>
      <c r="J31">
        <f>COUNTIFS(All!$C:$C,"GL",All!$E:$E,$B31)</f>
        <v>1</v>
      </c>
      <c r="K31" s="10">
        <f>SUMIFS(All!$G:$G,All!$C:$C,"GL",All!$E:$E,$B31)</f>
        <v>0.33967468120707539</v>
      </c>
      <c r="M31">
        <f>COUNTIFS(All!$C:$C,"LU",All!$E:$E,$B31)</f>
        <v>12</v>
      </c>
      <c r="N31" s="10">
        <f>SUMIFS(All!$G:$G,All!$C:$C,"LU",All!$E:$E,$B31)</f>
        <v>2.6647761095829869</v>
      </c>
      <c r="P31">
        <f>COUNTIFS(All!$C:$C,"RR",All!$E:$E,$B31)</f>
        <v>0</v>
      </c>
      <c r="Q31" s="10">
        <f>SUMIFS(All!$G:$G,All!$C:$C,"RR",All!$E:$E,$B31)</f>
        <v>0</v>
      </c>
      <c r="S31">
        <f>COUNTIFS(All!$C:$C,"RS",All!$E:$E,$B31)</f>
        <v>4</v>
      </c>
      <c r="T31" s="10">
        <f>SUMIFS(All!$G:$G,All!$C:$C,"RS",All!$E:$E,$B31)</f>
        <v>4.0604305588387986</v>
      </c>
      <c r="V31">
        <f>COUNTIFS(All!$C:$C,"SS",All!$E:$E,$B31)</f>
        <v>0</v>
      </c>
      <c r="W31" s="10">
        <f>SUMIFS(All!$G:$G,All!$C:$C,"SS",All!$E:$E,$B31)</f>
        <v>0</v>
      </c>
      <c r="Y31">
        <f>COUNTIFS(All!$C:$C,"UG",All!$E:$E,$B31)</f>
        <v>9</v>
      </c>
      <c r="Z31" s="10">
        <f>SUMIFS(All!$G:$G,All!$C:$C,"UG",All!$E:$E,$B31)</f>
        <v>1.4608018709653336</v>
      </c>
      <c r="AB31">
        <f>COUNTIFS(All!$C:$C,"VV",All!$E:$E,$B31)</f>
        <v>0</v>
      </c>
      <c r="AC31" s="10">
        <f>SUMIFS(All!$G:$G,All!$C:$C,"VV",All!$E:$E,$B31)</f>
        <v>0</v>
      </c>
      <c r="AE31">
        <f>COUNTIFS(All!$C:$C,"SS",All!$E:$E,$B31)</f>
        <v>0</v>
      </c>
      <c r="AF31" s="10">
        <f>SUMIFS(All!$G:$G,All!$C:$C,"SS",All!$E:$E,$B31)</f>
        <v>0</v>
      </c>
      <c r="AJ31" s="11"/>
    </row>
    <row r="32" spans="1:36" x14ac:dyDescent="0.25">
      <c r="B32" t="s">
        <v>96</v>
      </c>
      <c r="D32">
        <f>COUNTIFS(All!$C:$C,"AA",All!$E:$E,$B32)</f>
        <v>0</v>
      </c>
      <c r="E32" s="10">
        <f>SUMIFS(All!$G:$G,All!$C:$C,"AA",All!$E:$E,$B32)</f>
        <v>0</v>
      </c>
      <c r="G32">
        <f>COUNTIFS(All!$C:$C,"CG",All!$E:$E,$B32)</f>
        <v>37</v>
      </c>
      <c r="H32" s="10">
        <f>SUMIFS(All!$G:$G,All!$C:$C,"CG",All!$E:$E,$B32)</f>
        <v>14.043700294059507</v>
      </c>
      <c r="J32">
        <f>COUNTIFS(All!$C:$C,"GL",All!$E:$E,$B32)</f>
        <v>20</v>
      </c>
      <c r="K32" s="10">
        <f>SUMIFS(All!$G:$G,All!$C:$C,"GL",All!$E:$E,$B32)</f>
        <v>9.9653331017835463</v>
      </c>
      <c r="M32">
        <f>COUNTIFS(All!$C:$C,"LU",All!$E:$E,$B32)</f>
        <v>0</v>
      </c>
      <c r="N32" s="10">
        <f>SUMIFS(All!$G:$G,All!$C:$C,"LU",All!$E:$E,$B32)</f>
        <v>0</v>
      </c>
      <c r="P32">
        <f>COUNTIFS(All!$C:$C,"RR",All!$E:$E,$B32)</f>
        <v>1</v>
      </c>
      <c r="Q32" s="10">
        <f>SUMIFS(All!$G:$G,All!$C:$C,"RR",All!$E:$E,$B32)</f>
        <v>0.15361888508587451</v>
      </c>
      <c r="S32">
        <f>COUNTIFS(All!$C:$C,"RS",All!$E:$E,$B32)</f>
        <v>0</v>
      </c>
      <c r="T32" s="10">
        <f>SUMIFS(All!$G:$G,All!$C:$C,"RS",All!$E:$E,$B32)</f>
        <v>0</v>
      </c>
      <c r="V32">
        <f>COUNTIFS(All!$C:$C,"SS",All!$E:$E,$B32)</f>
        <v>0</v>
      </c>
      <c r="W32" s="10">
        <f>SUMIFS(All!$G:$G,All!$C:$C,"SS",All!$E:$E,$B32)</f>
        <v>0</v>
      </c>
      <c r="Y32">
        <f>COUNTIFS(All!$C:$C,"UG",All!$E:$E,$B32)</f>
        <v>0</v>
      </c>
      <c r="Z32" s="10">
        <f>SUMIFS(All!$G:$G,All!$C:$C,"UG",All!$E:$E,$B32)</f>
        <v>0</v>
      </c>
      <c r="AB32">
        <f>COUNTIFS(All!$C:$C,"VV",All!$E:$E,$B32)</f>
        <v>18</v>
      </c>
      <c r="AC32" s="10">
        <f>SUMIFS(All!$G:$G,All!$C:$C,"VV",All!$E:$E,$B32)</f>
        <v>21.415926899965484</v>
      </c>
      <c r="AE32">
        <f>COUNTIFS(All!$C:$C,"SS",All!$E:$E,$B32)</f>
        <v>0</v>
      </c>
      <c r="AF32" s="10">
        <f>SUMIFS(All!$G:$G,All!$C:$C,"SS",All!$E:$E,$B32)</f>
        <v>0</v>
      </c>
    </row>
    <row r="33" spans="1:36" x14ac:dyDescent="0.25">
      <c r="B33" t="s">
        <v>624</v>
      </c>
      <c r="D33">
        <f>COUNTIFS(All!$C:$C,"AA",All!$E:$E,$B33)</f>
        <v>3</v>
      </c>
      <c r="E33" s="10">
        <f>SUMIFS(All!$G:$G,All!$C:$C,"AA",All!$E:$E,$B33)</f>
        <v>2.0055310964747983</v>
      </c>
      <c r="G33">
        <f>COUNTIFS(All!$C:$C,"CG",All!$E:$E,$B33)</f>
        <v>11</v>
      </c>
      <c r="H33" s="10">
        <f>SUMIFS(All!$G:$G,All!$C:$C,"CG",All!$E:$E,$B33)</f>
        <v>9.6036697725003997</v>
      </c>
      <c r="J33">
        <f>COUNTIFS(All!$C:$C,"GL",All!$E:$E,$B33)</f>
        <v>0</v>
      </c>
      <c r="K33" s="10">
        <f>SUMIFS(All!$G:$G,All!$C:$C,"GL",All!$E:$E,$B33)</f>
        <v>0</v>
      </c>
      <c r="M33">
        <f>COUNTIFS(All!$C:$C,"LU",All!$E:$E,$B33)</f>
        <v>0</v>
      </c>
      <c r="N33" s="10">
        <f>SUMIFS(All!$G:$G,All!$C:$C,"LU",All!$E:$E,$B33)</f>
        <v>0</v>
      </c>
      <c r="P33">
        <f>COUNTIFS(All!$C:$C,"RR",All!$E:$E,$B33)</f>
        <v>0</v>
      </c>
      <c r="Q33" s="10">
        <f>SUMIFS(All!$G:$G,All!$C:$C,"RR",All!$E:$E,$B33)</f>
        <v>0</v>
      </c>
      <c r="S33">
        <f>COUNTIFS(All!$C:$C,"RS",All!$E:$E,$B33)</f>
        <v>6</v>
      </c>
      <c r="T33" s="10">
        <f>SUMIFS(All!$G:$G,All!$C:$C,"RS",All!$E:$E,$B33)</f>
        <v>18.255491303432034</v>
      </c>
      <c r="V33">
        <f>COUNTIFS(All!$C:$C,"SS",All!$E:$E,$B33)</f>
        <v>0</v>
      </c>
      <c r="W33" s="10">
        <f>SUMIFS(All!$G:$G,All!$C:$C,"SS",All!$E:$E,$B33)</f>
        <v>0</v>
      </c>
      <c r="Y33">
        <f>COUNTIFS(All!$C:$C,"UG",All!$E:$E,$B33)</f>
        <v>3</v>
      </c>
      <c r="Z33" s="10">
        <f>SUMIFS(All!$G:$G,All!$C:$C,"UG",All!$E:$E,$B33)</f>
        <v>2.7952510933557351</v>
      </c>
      <c r="AB33">
        <f>COUNTIFS(All!$C:$C,"VV",All!$E:$E,$B33)</f>
        <v>0</v>
      </c>
      <c r="AC33" s="10">
        <f>SUMIFS(All!$G:$G,All!$C:$C,"VV",All!$E:$E,$B33)</f>
        <v>0</v>
      </c>
      <c r="AE33">
        <f>COUNTIFS(All!$C:$C,"SS",All!$E:$E,$B33)</f>
        <v>0</v>
      </c>
      <c r="AF33" s="10">
        <f>SUMIFS(All!$G:$G,All!$C:$C,"SS",All!$E:$E,$B33)</f>
        <v>0</v>
      </c>
      <c r="AJ33" s="10"/>
    </row>
    <row r="34" spans="1:36" x14ac:dyDescent="0.25">
      <c r="B34" t="s">
        <v>122</v>
      </c>
      <c r="D34">
        <f>COUNTIFS(All!$C:$C,"AA",All!$E:$E,$B34)</f>
        <v>0</v>
      </c>
      <c r="E34" s="10">
        <f>SUMIFS(All!$G:$G,All!$C:$C,"AA",All!$E:$E,$B34)</f>
        <v>0</v>
      </c>
      <c r="G34">
        <f>COUNTIFS(All!$C:$C,"CG",All!$E:$E,$B34)</f>
        <v>0</v>
      </c>
      <c r="H34" s="10">
        <f>SUMIFS(All!$G:$G,All!$C:$C,"CG",All!$E:$E,$B34)</f>
        <v>0</v>
      </c>
      <c r="J34">
        <f>COUNTIFS(All!$C:$C,"GL",All!$E:$E,$B34)</f>
        <v>2</v>
      </c>
      <c r="K34" s="10">
        <f>SUMIFS(All!$G:$G,All!$C:$C,"GL",All!$E:$E,$B34)</f>
        <v>8.2167979271272866</v>
      </c>
      <c r="M34">
        <f>COUNTIFS(All!$C:$C,"LU",All!$E:$E,$B34)</f>
        <v>0</v>
      </c>
      <c r="N34" s="10">
        <f>SUMIFS(All!$G:$G,All!$C:$C,"LU",All!$E:$E,$B34)</f>
        <v>0</v>
      </c>
      <c r="P34">
        <f>COUNTIFS(All!$C:$C,"RR",All!$E:$E,$B34)</f>
        <v>0</v>
      </c>
      <c r="Q34" s="10">
        <f>SUMIFS(All!$G:$G,All!$C:$C,"RR",All!$E:$E,$B34)</f>
        <v>0</v>
      </c>
      <c r="S34">
        <f>COUNTIFS(All!$C:$C,"RS",All!$E:$E,$B34)</f>
        <v>0</v>
      </c>
      <c r="T34" s="10">
        <f>SUMIFS(All!$G:$G,All!$C:$C,"RS",All!$E:$E,$B34)</f>
        <v>0</v>
      </c>
      <c r="V34">
        <f>COUNTIFS(All!$C:$C,"SS",All!$E:$E,$B34)</f>
        <v>0</v>
      </c>
      <c r="W34" s="10">
        <f>SUMIFS(All!$G:$G,All!$C:$C,"SS",All!$E:$E,$B34)</f>
        <v>0</v>
      </c>
      <c r="Y34">
        <f>COUNTIFS(All!$C:$C,"UG",All!$E:$E,$B34)</f>
        <v>0</v>
      </c>
      <c r="Z34" s="10">
        <f>SUMIFS(All!$G:$G,All!$C:$C,"UG",All!$E:$E,$B34)</f>
        <v>0</v>
      </c>
      <c r="AB34">
        <f>COUNTIFS(All!$C:$C,"VV",All!$E:$E,$B34)</f>
        <v>2</v>
      </c>
      <c r="AC34" s="10">
        <f>SUMIFS(All!$G:$G,All!$C:$C,"VV",All!$E:$E,$B34)</f>
        <v>17.027572095465846</v>
      </c>
      <c r="AE34">
        <f>COUNTIFS(All!$C:$C,"SS",All!$E:$E,$B34)</f>
        <v>0</v>
      </c>
      <c r="AF34" s="10">
        <f>SUMIFS(All!$G:$G,All!$C:$C,"SS",All!$E:$E,$B34)</f>
        <v>0</v>
      </c>
    </row>
    <row r="35" spans="1:36" x14ac:dyDescent="0.25">
      <c r="B35" s="12" t="s">
        <v>4259</v>
      </c>
      <c r="D35" s="13">
        <f>SUM(D4:D34)</f>
        <v>178</v>
      </c>
      <c r="E35" s="14">
        <f>SUM(E4:E34)</f>
        <v>479.87964136411046</v>
      </c>
      <c r="G35" s="13">
        <f>SUM(G4:G34)</f>
        <v>1106</v>
      </c>
      <c r="H35" s="14">
        <f>SUM(H4:H34)</f>
        <v>5191.8469360203044</v>
      </c>
      <c r="J35" s="13">
        <f>SUM(J4:J34)</f>
        <v>395</v>
      </c>
      <c r="K35" s="14">
        <f>SUM(K4:K34)</f>
        <v>1207.9326290224456</v>
      </c>
      <c r="M35" s="13">
        <f>SUM(M4:M34)</f>
        <v>273</v>
      </c>
      <c r="N35" s="14">
        <f>SUM(N4:N34)</f>
        <v>1610.5857752580162</v>
      </c>
      <c r="P35" s="13">
        <f>SUM(P4:P34)</f>
        <v>223</v>
      </c>
      <c r="Q35" s="14">
        <f>SUM(Q4:Q34)</f>
        <v>1580.447572756806</v>
      </c>
      <c r="S35" s="13">
        <f>SUM(S4:S34)</f>
        <v>281</v>
      </c>
      <c r="T35" s="14">
        <f>SUM(T4:T34)</f>
        <v>648.37036135489382</v>
      </c>
      <c r="V35" s="13">
        <f>SUM(V4:V34)</f>
        <v>173</v>
      </c>
      <c r="W35" s="14">
        <f>SUM(W4:W34)</f>
        <v>3287.808981587983</v>
      </c>
      <c r="Y35" s="13">
        <f>SUM(Y4:Y34)</f>
        <v>131</v>
      </c>
      <c r="Z35" s="14">
        <f>SUM(Z4:Z34)</f>
        <v>514.95303769286522</v>
      </c>
      <c r="AB35" s="13">
        <f>SUM(AB4:AB34)</f>
        <v>305</v>
      </c>
      <c r="AC35" s="14">
        <f>SUM(AC4:AC34)</f>
        <v>2850.1817971266273</v>
      </c>
      <c r="AE35" s="13">
        <f>SUM(AE4:AE34)</f>
        <v>173</v>
      </c>
      <c r="AF35" s="14">
        <f>SUM(AF4:AF34)</f>
        <v>3287.808981587983</v>
      </c>
      <c r="AI35" s="10"/>
    </row>
    <row r="36" spans="1:36" x14ac:dyDescent="0.25"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H36" s="10"/>
    </row>
    <row r="38" spans="1:36" x14ac:dyDescent="0.25">
      <c r="B38" s="8" t="s">
        <v>4260</v>
      </c>
      <c r="D38" s="8" t="s">
        <v>4257</v>
      </c>
      <c r="E38" s="8" t="s">
        <v>4258</v>
      </c>
      <c r="G38" s="8" t="s">
        <v>4257</v>
      </c>
      <c r="H38" s="8" t="s">
        <v>4258</v>
      </c>
      <c r="J38" s="8" t="s">
        <v>4257</v>
      </c>
      <c r="K38" s="8" t="s">
        <v>4258</v>
      </c>
      <c r="M38" s="8" t="s">
        <v>4257</v>
      </c>
      <c r="N38" s="8" t="s">
        <v>4258</v>
      </c>
      <c r="P38" s="8" t="s">
        <v>4257</v>
      </c>
      <c r="Q38" s="8" t="s">
        <v>4258</v>
      </c>
      <c r="S38" s="8" t="s">
        <v>4257</v>
      </c>
      <c r="T38" s="8" t="s">
        <v>4258</v>
      </c>
      <c r="V38" s="8" t="s">
        <v>4257</v>
      </c>
      <c r="W38" s="8" t="s">
        <v>4258</v>
      </c>
      <c r="Y38" s="8" t="s">
        <v>4257</v>
      </c>
      <c r="Z38" s="8" t="s">
        <v>4258</v>
      </c>
      <c r="AB38" s="8" t="s">
        <v>4257</v>
      </c>
      <c r="AC38" s="8" t="s">
        <v>4258</v>
      </c>
      <c r="AE38" s="8" t="s">
        <v>4257</v>
      </c>
      <c r="AF38" s="8" t="s">
        <v>4258</v>
      </c>
    </row>
    <row r="39" spans="1:36" x14ac:dyDescent="0.25">
      <c r="B39" s="9">
        <v>0</v>
      </c>
      <c r="D39">
        <f>COUNTIFS(All!$C:$C,"AA",All!$H:$H,$B39)</f>
        <v>42</v>
      </c>
      <c r="E39" s="10">
        <f>SUMIFS(All!$G:$G,All!$C:$C,"AA",All!$H:$H,$B39)</f>
        <v>106.67130282910099</v>
      </c>
      <c r="G39">
        <f>COUNTIFS(All!$C:$C,"CG",All!$H:$H,$B39)</f>
        <v>267</v>
      </c>
      <c r="H39" s="10">
        <f>SUMIFS(All!$G:$G,All!$C:$C,"CG",All!$H:$H,$B39)</f>
        <v>1624.6413026558662</v>
      </c>
      <c r="J39">
        <f>COUNTIFS(All!$C:$C,"AA",All!$H:$H,$B39)</f>
        <v>42</v>
      </c>
      <c r="K39" s="10">
        <f>SUMIFS(All!$G:$G,All!$C:$C,"GL",All!$H:$H,$B39)</f>
        <v>86.892434583550482</v>
      </c>
      <c r="M39">
        <f>COUNTIFS(All!$C:$C,"LU",All!$H:$H,$B39)</f>
        <v>107</v>
      </c>
      <c r="N39" s="10">
        <f>SUMIFS(All!$G:$G,All!$C:$C,"LU",All!$H:$H,$B39)</f>
        <v>993.60309916590847</v>
      </c>
      <c r="P39">
        <f>COUNTIFS(All!$C:$C,"RR",All!$H:$H,$B39)</f>
        <v>114</v>
      </c>
      <c r="Q39" s="10">
        <f>SUMIFS(All!$G:$G,All!$C:$C,"RR",All!$H:$H,$B39)</f>
        <v>996.90357317369103</v>
      </c>
      <c r="S39">
        <f>COUNTIFS(All!$C:$C,"RS",All!$H:$H,$B39)</f>
        <v>59</v>
      </c>
      <c r="T39" s="10">
        <f>SUMIFS(All!$G:$G,All!$C:$C,"RS",All!$H:$H,$B39)</f>
        <v>123.90982522491856</v>
      </c>
      <c r="V39">
        <f>COUNTIFS(All!$C:$C,"SS",All!$H:$H,$B39)</f>
        <v>12</v>
      </c>
      <c r="W39" s="10">
        <f>SUMIFS(All!$G:$G,All!$C:$C,"SS",All!$H:$H,$B39)</f>
        <v>9.3791206510882787</v>
      </c>
      <c r="Y39">
        <f>COUNTIFS(All!$C:$C,"UG",All!$H:$H,$B39)</f>
        <v>48</v>
      </c>
      <c r="Z39" s="10">
        <f>SUMIFS(All!$G:$G,All!$C:$C,"UG",All!$H:$H,$B39)</f>
        <v>396.32279508172365</v>
      </c>
      <c r="AB39">
        <f>COUNTIFS(All!$C:$C,"VV",All!$H:$H,$B39)</f>
        <v>3</v>
      </c>
      <c r="AC39" s="10">
        <f>SUMIFS(All!$G:$G,All!$C:$C,"VV",All!$H:$H,$B39)</f>
        <v>1.9332169633566021</v>
      </c>
      <c r="AE39">
        <f>COUNTIFS(All!$C:$C,"SS",All!$H:$H,$B39)</f>
        <v>12</v>
      </c>
      <c r="AF39" s="10">
        <f>SUMIFS(All!$G:$G,All!$C:$C,"SS",All!$H:$H,$B39)</f>
        <v>9.3791206510882787</v>
      </c>
    </row>
    <row r="40" spans="1:36" x14ac:dyDescent="0.25">
      <c r="B40" s="9">
        <v>1</v>
      </c>
      <c r="D40">
        <f>COUNTIFS(All!$C:$C,"AA",All!$H:$H,$B40)</f>
        <v>41</v>
      </c>
      <c r="E40" s="10">
        <f>SUMIFS(All!$G:$G,All!$C:$C,"AA",All!$H:$H,$B40)</f>
        <v>140.93620381813164</v>
      </c>
      <c r="G40">
        <f>COUNTIFS(All!$C:$C,"CG",All!$H:$H,$B40)</f>
        <v>255</v>
      </c>
      <c r="H40" s="10">
        <f>SUMIFS(All!$G:$G,All!$C:$C,"CG",All!$H:$H,$B40)</f>
        <v>1693.71548890595</v>
      </c>
      <c r="J40">
        <f>COUNTIFS('[1]unit-ditch-irr-crop'!$I$2:$I$1048576,"GW",'[1]unit-ditch-irr-crop'!$N$2:$N$1048576,$B40)</f>
        <v>119</v>
      </c>
      <c r="K40" s="10">
        <f>SUMIFS(All!$G:$G,All!$C:$C,"GL",All!$H:$H,$B40)</f>
        <v>528.52140788570171</v>
      </c>
      <c r="M40">
        <f>COUNTIFS(All!$C:$C,"LU",All!$H:$H,$B40)</f>
        <v>21</v>
      </c>
      <c r="N40" s="10">
        <f>SUMIFS(All!$G:$G,All!$C:$C,"LU",All!$H:$H,$B40)</f>
        <v>82.396560203893259</v>
      </c>
      <c r="P40">
        <f>COUNTIFS(All!$C:$C,"RR",All!$H:$H,$B40)</f>
        <v>11</v>
      </c>
      <c r="Q40" s="10">
        <f>SUMIFS(All!$G:$G,All!$C:$C,"RR",All!$H:$H,$B40)</f>
        <v>98.688744927272609</v>
      </c>
      <c r="S40">
        <f>COUNTIFS(All!$C:$C,"RS",All!$H:$H,$B40)</f>
        <v>62</v>
      </c>
      <c r="T40" s="10">
        <f>SUMIFS(All!$G:$G,All!$C:$C,"RS",All!$H:$H,$B40)</f>
        <v>267.94429069890225</v>
      </c>
      <c r="V40">
        <f>COUNTIFS(All!$C:$C,"SS",All!$H:$H,$B40)</f>
        <v>0</v>
      </c>
      <c r="W40" s="10">
        <f>SUMIFS(All!$G:$G,All!$C:$C,"SS",All!$H:$H,$B40)</f>
        <v>0</v>
      </c>
      <c r="Y40">
        <f>COUNTIFS(All!$C:$C,"UG",All!$H:$H,$B40)</f>
        <v>24</v>
      </c>
      <c r="Z40" s="10">
        <f>SUMIFS(All!$G:$G,All!$C:$C,"UG",All!$H:$H,$B40)</f>
        <v>37.266710880015196</v>
      </c>
      <c r="AB40">
        <f>COUNTIFS(All!$C:$C,"VV",All!$H:$H,$B40)</f>
        <v>145</v>
      </c>
      <c r="AC40" s="10">
        <f>SUMIFS(All!$G:$G,All!$C:$C,"VV",All!$H:$H,$B40)</f>
        <v>1454.6587488915297</v>
      </c>
      <c r="AE40">
        <f>COUNTIFS(All!$C:$C,"SS",All!$H:$H,$B40)</f>
        <v>0</v>
      </c>
      <c r="AF40" s="10">
        <f>SUMIFS(All!$G:$G,All!$C:$C,"SS",All!$H:$H,$B40)</f>
        <v>0</v>
      </c>
    </row>
    <row r="41" spans="1:36" x14ac:dyDescent="0.25">
      <c r="B41" s="9">
        <v>2</v>
      </c>
      <c r="D41">
        <f>COUNTIFS(All!$C:$C,"AA",All!$H:$H,$B41)</f>
        <v>35</v>
      </c>
      <c r="E41" s="10">
        <f>SUMIFS(All!$G:$G,All!$C:$C,"AA",All!$H:$H,$B41)</f>
        <v>24.350124266616678</v>
      </c>
      <c r="G41">
        <f>COUNTIFS(All!$C:$C,"CG",All!$H:$H,$B41)</f>
        <v>132</v>
      </c>
      <c r="H41" s="10">
        <f>SUMIFS(All!$G:$G,All!$C:$C,"CG",All!$H:$H,$B41)</f>
        <v>164.02735601397723</v>
      </c>
      <c r="J41">
        <f>COUNTIFS('[1]unit-ditch-irr-crop'!$I$2:$I$1048576,"GW",'[1]unit-ditch-irr-crop'!$N$2:$N$1048576,$B41)</f>
        <v>68</v>
      </c>
      <c r="K41" s="10">
        <f>SUMIFS(All!$G:$G,All!$C:$C,"GL",All!$H:$H,$B41)</f>
        <v>86.21122986215768</v>
      </c>
      <c r="M41">
        <f>COUNTIFS(All!$C:$C,"LU",All!$H:$H,$B41)</f>
        <v>12</v>
      </c>
      <c r="N41" s="10">
        <f>SUMIFS(All!$G:$G,All!$C:$C,"LU",All!$H:$H,$B41)</f>
        <v>2.6647761095829869</v>
      </c>
      <c r="P41">
        <f>COUNTIFS(All!$C:$C,"RR",All!$H:$H,$B41)</f>
        <v>4</v>
      </c>
      <c r="Q41" s="10">
        <f>SUMIFS(All!$G:$G,All!$C:$C,"RR",All!$H:$H,$B41)</f>
        <v>5.6123864060959399</v>
      </c>
      <c r="S41">
        <f>COUNTIFS(All!$C:$C,"RS",All!$H:$H,$B41)</f>
        <v>12</v>
      </c>
      <c r="T41" s="10">
        <f>SUMIFS(All!$G:$G,All!$C:$C,"RS",All!$H:$H,$B41)</f>
        <v>14.660813663343259</v>
      </c>
      <c r="V41">
        <f>COUNTIFS(All!$C:$C,"SS",All!$H:$H,$B41)</f>
        <v>10</v>
      </c>
      <c r="W41" s="10">
        <f>SUMIFS(All!$G:$G,All!$C:$C,"SS",All!$H:$H,$B41)</f>
        <v>680.28805853666745</v>
      </c>
      <c r="Y41">
        <f>COUNTIFS(All!$C:$C,"UG",All!$H:$H,$B41)</f>
        <v>25</v>
      </c>
      <c r="Z41" s="10">
        <f>SUMIFS(All!$G:$G,All!$C:$C,"UG",All!$H:$H,$B41)</f>
        <v>11.209405628222671</v>
      </c>
      <c r="AB41">
        <f>COUNTIFS(All!$C:$C,"VV",All!$H:$H,$B41)</f>
        <v>18</v>
      </c>
      <c r="AC41" s="10">
        <f>SUMIFS(All!$G:$G,All!$C:$C,"VV",All!$H:$H,$B41)</f>
        <v>202.43785521500735</v>
      </c>
      <c r="AE41">
        <f>COUNTIFS(All!$C:$C,"SS",All!$H:$H,$B41)</f>
        <v>10</v>
      </c>
      <c r="AF41" s="10">
        <f>SUMIFS(All!$G:$G,All!$C:$C,"SS",All!$H:$H,$B41)</f>
        <v>680.28805853666745</v>
      </c>
    </row>
    <row r="42" spans="1:36" x14ac:dyDescent="0.25">
      <c r="B42" s="9">
        <v>3</v>
      </c>
      <c r="D42">
        <f>COUNTIFS(All!$C:$C,"AA",All!$H:$H,$B42)</f>
        <v>0</v>
      </c>
      <c r="E42" s="10">
        <f>SUMIFS(All!$G:$G,All!$C:$C,"AA",All!$H:$H,$B42)</f>
        <v>0</v>
      </c>
      <c r="G42">
        <f>COUNTIFS(All!$C:$C,"CG",All!$H:$H,$B42)</f>
        <v>19</v>
      </c>
      <c r="H42" s="10">
        <f>SUMIFS(All!$G:$G,All!$C:$C,"CG",All!$H:$H,$B42)</f>
        <v>5.7562000991766009</v>
      </c>
      <c r="J42">
        <f>COUNTIFS('[1]unit-ditch-irr-crop'!$I$2:$I$1048576,"GW",'[1]unit-ditch-irr-crop'!$N$2:$N$1048576,$B42)</f>
        <v>7</v>
      </c>
      <c r="K42" s="10">
        <f>SUMIFS(All!$G:$G,All!$C:$C,"GL",All!$H:$H,$B42)</f>
        <v>0.22620519922376797</v>
      </c>
      <c r="M42">
        <f>COUNTIFS(All!$C:$C,"LU",All!$H:$H,$B42)</f>
        <v>4</v>
      </c>
      <c r="N42" s="10">
        <f>SUMIFS(All!$G:$G,All!$C:$C,"LU",All!$H:$H,$B42)</f>
        <v>0.19282594273859574</v>
      </c>
      <c r="P42">
        <f>COUNTIFS(All!$C:$C,"RR",All!$H:$H,$B42)</f>
        <v>0</v>
      </c>
      <c r="Q42" s="10">
        <f>SUMIFS(All!$G:$G,All!$C:$C,"RR",All!$H:$H,$B42)</f>
        <v>0</v>
      </c>
      <c r="S42">
        <f>COUNTIFS(All!$C:$C,"RS",All!$H:$H,$B42)</f>
        <v>13</v>
      </c>
      <c r="T42" s="10">
        <f>SUMIFS(All!$G:$G,All!$C:$C,"RS",All!$H:$H,$B42)</f>
        <v>8.3499754957490637</v>
      </c>
      <c r="V42">
        <f>COUNTIFS(All!$C:$C,"SS",All!$H:$H,$B42)</f>
        <v>2</v>
      </c>
      <c r="W42" s="10">
        <f>SUMIFS(All!$G:$G,All!$C:$C,"SS",All!$H:$H,$B42)</f>
        <v>0.70239181616544144</v>
      </c>
      <c r="Y42">
        <f>COUNTIFS(All!$C:$C,"UG",All!$H:$H,$B42)</f>
        <v>0</v>
      </c>
      <c r="Z42" s="10">
        <f>SUMIFS(All!$G:$G,All!$C:$C,"UG",All!$H:$H,$B42)</f>
        <v>0</v>
      </c>
      <c r="AB42">
        <f>COUNTIFS(All!$C:$C,"VV",All!$H:$H,$B42)</f>
        <v>15</v>
      </c>
      <c r="AC42" s="10">
        <f>SUMIFS(All!$G:$G,All!$C:$C,"VV",All!$H:$H,$B42)</f>
        <v>351.06829051646372</v>
      </c>
      <c r="AE42">
        <f>COUNTIFS(All!$C:$C,"SS",All!$H:$H,$B42)</f>
        <v>2</v>
      </c>
      <c r="AF42" s="10">
        <f>SUMIFS(All!$G:$G,All!$C:$C,"SS",All!$H:$H,$B42)</f>
        <v>0.70239181616544144</v>
      </c>
    </row>
    <row r="43" spans="1:36" x14ac:dyDescent="0.25">
      <c r="A43" s="10">
        <f>Q35-Q45</f>
        <v>0</v>
      </c>
      <c r="B43" s="9">
        <v>4</v>
      </c>
      <c r="D43">
        <f>COUNTIFS(All!$C:$C,"AA",All!$H:$H,$B43)</f>
        <v>55</v>
      </c>
      <c r="E43" s="10">
        <f>SUMIFS(All!$G:$G,All!$C:$C,"AA",All!$H:$H,$B43)</f>
        <v>164.55786298383626</v>
      </c>
      <c r="G43">
        <f>COUNTIFS(All!$C:$C,"CG",All!$H:$H,$B43)</f>
        <v>426</v>
      </c>
      <c r="H43" s="10">
        <f>SUMIFS(All!$G:$G,All!$C:$C,"CG",All!$H:$H,$B43)</f>
        <v>1664.817730804097</v>
      </c>
      <c r="J43">
        <f>COUNTIFS('[1]unit-ditch-irr-crop'!$I$2:$I$1048576,"GW",'[1]unit-ditch-irr-crop'!$N$2:$N$1048576,$B43)</f>
        <v>180</v>
      </c>
      <c r="K43" s="10">
        <f>SUMIFS(All!$G:$G,All!$C:$C,"GL",All!$H:$H,$B43)</f>
        <v>505.66068666174635</v>
      </c>
      <c r="M43">
        <f>COUNTIFS(All!$C:$C,"LU",All!$H:$H,$B43)</f>
        <v>129</v>
      </c>
      <c r="N43" s="10">
        <f>SUMIFS(All!$G:$G,All!$C:$C,"LU",All!$H:$H,$B43)</f>
        <v>531.72851383589284</v>
      </c>
      <c r="P43">
        <f>COUNTIFS(All!$C:$C,"RR",All!$H:$H,$B43)</f>
        <v>94</v>
      </c>
      <c r="Q43" s="10">
        <f>SUMIFS(All!$G:$G,All!$C:$C,"RR",All!$H:$H,$B43)</f>
        <v>479.24286824974627</v>
      </c>
      <c r="S43">
        <f>COUNTIFS(All!$C:$C,"RS",All!$H:$H,$B43)</f>
        <v>135</v>
      </c>
      <c r="T43" s="10">
        <f>SUMIFS(All!$G:$G,All!$C:$C,"RS",All!$H:$H,$B43)</f>
        <v>233.50545627198071</v>
      </c>
      <c r="V43">
        <f>COUNTIFS(All!$C:$C,"SS",All!$H:$H,$B43)</f>
        <v>149</v>
      </c>
      <c r="W43" s="10">
        <f>SUMIFS(All!$G:$G,All!$C:$C,"SS",All!$H:$H,$B43)</f>
        <v>2597.4394105840624</v>
      </c>
      <c r="Y43">
        <f>COUNTIFS(All!$C:$C,"UG",All!$H:$H,$B43)</f>
        <v>34</v>
      </c>
      <c r="Z43" s="10">
        <f>SUMIFS(All!$G:$G,All!$C:$C,"UG",All!$H:$H,$B43)</f>
        <v>70.154126102903703</v>
      </c>
      <c r="AB43">
        <f>COUNTIFS(All!$C:$C,"VV",All!$H:$H,$B43)</f>
        <v>123</v>
      </c>
      <c r="AC43" s="10">
        <f>SUMIFS(All!$G:$G,All!$C:$C,"VV",All!$H:$H,$B43)</f>
        <v>829.07915647134723</v>
      </c>
      <c r="AE43">
        <f>COUNTIFS(All!$C:$C,"SS",All!$H:$H,$B43)</f>
        <v>149</v>
      </c>
      <c r="AF43" s="10">
        <f>SUMIFS(All!$G:$G,All!$C:$C,"SS",All!$H:$H,$B43)</f>
        <v>2597.4394105840624</v>
      </c>
    </row>
    <row r="44" spans="1:36" x14ac:dyDescent="0.25">
      <c r="B44" s="9">
        <v>5</v>
      </c>
      <c r="D44">
        <f>COUNTIFS(All!$C:$C,"AA",All!$H:$H,$B44)</f>
        <v>5</v>
      </c>
      <c r="E44" s="10">
        <f>SUMIFS(All!$G:$G,All!$C:$C,"AA",All!$H:$H,$B44)</f>
        <v>43.364147466424967</v>
      </c>
      <c r="G44">
        <f>COUNTIFS(All!$C:$C,"CG",All!$H:$H,$B44)</f>
        <v>7</v>
      </c>
      <c r="H44" s="10">
        <f>SUMIFS(All!$G:$G,All!$C:$C,"CG",All!$H:$H,$B44)</f>
        <v>38.888857541235247</v>
      </c>
      <c r="J44">
        <f>COUNTIFS('[1]unit-ditch-irr-crop'!$I$2:$I$1048576,"GW",'[1]unit-ditch-irr-crop'!$N$2:$N$1048576,$B44)</f>
        <v>0</v>
      </c>
      <c r="K44" s="10">
        <f>SUMIFS(All!$G:$G,All!$C:$C,"GL",All!$H:$H,$B44)</f>
        <v>0.42066483006554928</v>
      </c>
      <c r="M44">
        <f>COUNTIFS(All!$C:$C,"LU",All!$H:$H,$B44)</f>
        <v>0</v>
      </c>
      <c r="N44" s="10">
        <f>SUMIFS(All!$G:$G,All!$C:$C,"LU",All!$H:$H,$B44)</f>
        <v>0</v>
      </c>
      <c r="P44">
        <f>COUNTIFS(All!$C:$C,"RR",All!$H:$H,$B44)</f>
        <v>0</v>
      </c>
      <c r="Q44" s="10">
        <f>SUMIFS(All!$G:$G,All!$C:$C,"RR",All!$H:$H,$B44)</f>
        <v>0</v>
      </c>
      <c r="S44">
        <f>COUNTIFS(All!$C:$C,"RS",All!$H:$H,$B44)</f>
        <v>0</v>
      </c>
      <c r="T44" s="10">
        <f>SUMIFS(All!$G:$G,All!$C:$C,"RS",All!$H:$H,$B44)</f>
        <v>0</v>
      </c>
      <c r="V44">
        <f>COUNTIFS(All!$C:$C,"SS",All!$H:$H,$B44)</f>
        <v>0</v>
      </c>
      <c r="W44" s="10">
        <f>SUMIFS(All!$G:$G,All!$C:$C,"SS",All!$H:$H,$B44)</f>
        <v>0</v>
      </c>
      <c r="Y44">
        <f>COUNTIFS(All!$C:$C,"UG",All!$H:$H,$B44)</f>
        <v>0</v>
      </c>
      <c r="Z44" s="10">
        <f>SUMIFS(All!$G:$G,All!$C:$C,"UG",All!$H:$H,$B44)</f>
        <v>0</v>
      </c>
      <c r="AB44">
        <f>COUNTIFS(All!$C:$C,"VV",All!$H:$H,$B44)</f>
        <v>1</v>
      </c>
      <c r="AC44" s="10">
        <f>SUMIFS(All!$G:$G,All!$C:$C,"VV",All!$H:$H,$B44)</f>
        <v>11.004529068922411</v>
      </c>
      <c r="AE44">
        <f>COUNTIFS(All!$C:$C,"SS",All!$H:$H,$B44)</f>
        <v>0</v>
      </c>
      <c r="AF44" s="10">
        <f>SUMIFS(All!$G:$G,All!$C:$C,"SS",All!$H:$H,$B44)</f>
        <v>0</v>
      </c>
    </row>
    <row r="45" spans="1:36" x14ac:dyDescent="0.25">
      <c r="B45" s="12" t="s">
        <v>4259</v>
      </c>
      <c r="D45" s="17">
        <f>SUM(D39:D44)</f>
        <v>178</v>
      </c>
      <c r="E45" s="14">
        <f>SUM(E39:E44)</f>
        <v>479.87964136411057</v>
      </c>
      <c r="F45" s="10"/>
      <c r="G45" s="17">
        <f>SUM(G39:G44)</f>
        <v>1106</v>
      </c>
      <c r="H45" s="14">
        <f>SUM(H39:H44)</f>
        <v>5191.8469360203026</v>
      </c>
      <c r="J45" s="17">
        <f>SUM(J39:J44)</f>
        <v>416</v>
      </c>
      <c r="K45" s="14">
        <f>SUM(K39:K44)</f>
        <v>1207.9326290224453</v>
      </c>
      <c r="M45" s="17">
        <f>SUM(M39:M44)</f>
        <v>273</v>
      </c>
      <c r="N45" s="14">
        <f>SUM(N39:N44)</f>
        <v>1610.5857752580164</v>
      </c>
      <c r="P45" s="17">
        <f>SUM(P39:P44)</f>
        <v>223</v>
      </c>
      <c r="Q45" s="14">
        <f>SUM(Q39:Q44)</f>
        <v>1580.447572756806</v>
      </c>
      <c r="S45" s="17">
        <f>SUM(S39:S44)</f>
        <v>281</v>
      </c>
      <c r="T45" s="14">
        <f>SUM(T39:T44)</f>
        <v>648.37036135489382</v>
      </c>
      <c r="V45" s="17">
        <f>SUM(V39:V44)</f>
        <v>173</v>
      </c>
      <c r="W45" s="14">
        <f>SUM(W39:W44)</f>
        <v>3287.8089815879839</v>
      </c>
      <c r="Y45" s="17">
        <f>SUM(Y39:Y44)</f>
        <v>131</v>
      </c>
      <c r="Z45" s="14">
        <f>SUM(Z39:Z44)</f>
        <v>514.95303769286522</v>
      </c>
      <c r="AB45" s="17">
        <f>SUM(AB39:AB44)</f>
        <v>305</v>
      </c>
      <c r="AC45" s="14">
        <f>SUM(AC39:AC44)</f>
        <v>2850.1817971266273</v>
      </c>
      <c r="AE45" s="17">
        <f>SUM(AE39:AE44)</f>
        <v>173</v>
      </c>
      <c r="AF45" s="14">
        <f>SUM(AF39:AF44)</f>
        <v>3287.8089815879839</v>
      </c>
    </row>
    <row r="46" spans="1:36" x14ac:dyDescent="0.25"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</row>
    <row r="47" spans="1:36" x14ac:dyDescent="0.25">
      <c r="AH47" s="8" t="s">
        <v>4261</v>
      </c>
      <c r="AJ47" s="8" t="s">
        <v>4262</v>
      </c>
    </row>
    <row r="48" spans="1:36" x14ac:dyDescent="0.25">
      <c r="B48" s="8" t="s">
        <v>4263</v>
      </c>
      <c r="E48" s="18">
        <f>E40+E41+E42</f>
        <v>165.28632808474833</v>
      </c>
      <c r="H48" s="10">
        <f>H40+H41+H42</f>
        <v>1863.4990450191037</v>
      </c>
      <c r="K48" s="10">
        <f>K40+K41+K42</f>
        <v>614.9588429470831</v>
      </c>
      <c r="N48" s="10">
        <f>N40+N41+N42</f>
        <v>85.25416225621484</v>
      </c>
      <c r="Q48" s="10">
        <f>Q40+Q41+Q42</f>
        <v>104.30113133336855</v>
      </c>
      <c r="T48" s="10">
        <f>T40+T41+T42</f>
        <v>290.95507985799458</v>
      </c>
      <c r="W48" s="10">
        <f>W40+W41+W42</f>
        <v>680.99045035283291</v>
      </c>
      <c r="Z48" s="10">
        <f>Z40+Z41+Z42</f>
        <v>48.476116508237865</v>
      </c>
      <c r="AC48" s="10">
        <f>AC40+AC41+AC42</f>
        <v>2008.1648946230009</v>
      </c>
      <c r="AF48" s="10">
        <f>AF40+AF41+AF42</f>
        <v>680.99045035283291</v>
      </c>
      <c r="AH48" s="10">
        <f>E48+H48+K48+N48+Q48+T48+W48+Z48+AC48+AF48</f>
        <v>6542.8765013354177</v>
      </c>
      <c r="AJ48" s="10">
        <f>AH48-AF48</f>
        <v>5861.8860509825845</v>
      </c>
    </row>
    <row r="49" spans="1:32" x14ac:dyDescent="0.25"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</row>
    <row r="51" spans="1:32" x14ac:dyDescent="0.25">
      <c r="B51" s="9" t="s">
        <v>4264</v>
      </c>
      <c r="E51" s="9" t="s">
        <v>4265</v>
      </c>
      <c r="H51" s="9" t="s">
        <v>4265</v>
      </c>
      <c r="K51" s="9" t="s">
        <v>4265</v>
      </c>
      <c r="N51" s="9" t="s">
        <v>4265</v>
      </c>
      <c r="Q51" s="9" t="s">
        <v>4265</v>
      </c>
      <c r="T51" s="9" t="s">
        <v>4265</v>
      </c>
      <c r="W51" s="9" t="s">
        <v>4265</v>
      </c>
      <c r="Z51" s="9" t="s">
        <v>4265</v>
      </c>
      <c r="AC51" s="9" t="s">
        <v>4265</v>
      </c>
      <c r="AF51" s="9" t="s">
        <v>4265</v>
      </c>
    </row>
    <row r="52" spans="1:32" x14ac:dyDescent="0.25">
      <c r="B52" s="8" t="s">
        <v>4266</v>
      </c>
      <c r="E52" s="8" t="s">
        <v>4267</v>
      </c>
      <c r="H52" s="8" t="s">
        <v>4267</v>
      </c>
      <c r="K52" s="8" t="s">
        <v>4267</v>
      </c>
      <c r="N52" s="8" t="s">
        <v>4267</v>
      </c>
      <c r="Q52" s="8" t="s">
        <v>4267</v>
      </c>
      <c r="T52" s="8" t="s">
        <v>4267</v>
      </c>
      <c r="W52" s="8" t="s">
        <v>4267</v>
      </c>
      <c r="Z52" s="8" t="s">
        <v>4267</v>
      </c>
      <c r="AC52" s="8" t="s">
        <v>4267</v>
      </c>
      <c r="AF52" s="8" t="s">
        <v>4267</v>
      </c>
    </row>
    <row r="53" spans="1:32" x14ac:dyDescent="0.25">
      <c r="A53">
        <v>1</v>
      </c>
      <c r="B53" s="9" t="s">
        <v>4268</v>
      </c>
      <c r="E53" s="19">
        <f>E4/E48</f>
        <v>2.4623972484320886E-3</v>
      </c>
      <c r="H53" s="19">
        <f>H4/H48</f>
        <v>5.352842510308134E-2</v>
      </c>
      <c r="K53" s="19">
        <f>K4/K48</f>
        <v>0</v>
      </c>
      <c r="N53" s="19">
        <f>N4/N48</f>
        <v>0</v>
      </c>
      <c r="Q53" s="19">
        <f>Q4/Q48</f>
        <v>0</v>
      </c>
      <c r="T53" s="19">
        <f>T4/T48</f>
        <v>8.5186078787500997E-3</v>
      </c>
      <c r="W53" s="19">
        <f>W4/W48</f>
        <v>0.22966070994790019</v>
      </c>
      <c r="Z53" s="19">
        <f>Z4/Z48</f>
        <v>0</v>
      </c>
      <c r="AC53" s="19">
        <f>AC4/AC48</f>
        <v>0.15638922224030133</v>
      </c>
      <c r="AF53" s="19">
        <f>AF4/AF48</f>
        <v>0.22966070994790019</v>
      </c>
    </row>
    <row r="54" spans="1:32" x14ac:dyDescent="0.25">
      <c r="A54">
        <v>2</v>
      </c>
      <c r="B54" s="9" t="s">
        <v>4269</v>
      </c>
      <c r="E54" s="19">
        <f>E7/E48</f>
        <v>0</v>
      </c>
      <c r="H54" s="19">
        <f>H7/H48</f>
        <v>5.3863819319914172E-4</v>
      </c>
      <c r="K54" s="19">
        <f>K7/K48</f>
        <v>1.0698983607737137E-4</v>
      </c>
      <c r="N54" s="19">
        <f>N7/N48</f>
        <v>0</v>
      </c>
      <c r="Q54" s="19">
        <f>Q7/Q48</f>
        <v>0</v>
      </c>
      <c r="T54" s="19">
        <f>T7/T48</f>
        <v>0</v>
      </c>
      <c r="W54" s="19">
        <f>W7/W48</f>
        <v>0</v>
      </c>
      <c r="Z54" s="19">
        <f>Z7/Z48</f>
        <v>0</v>
      </c>
      <c r="AC54" s="19">
        <f>AC7/AC48</f>
        <v>1.440657785776171E-3</v>
      </c>
      <c r="AF54" s="19">
        <f>AF7/AF48</f>
        <v>0</v>
      </c>
    </row>
    <row r="55" spans="1:32" x14ac:dyDescent="0.25">
      <c r="A55">
        <v>3</v>
      </c>
      <c r="B55" s="9" t="s">
        <v>4270</v>
      </c>
      <c r="E55" s="19">
        <f>E19/E48</f>
        <v>0</v>
      </c>
      <c r="H55" s="19">
        <f>H19/H48</f>
        <v>0</v>
      </c>
      <c r="K55" s="19">
        <f>K19/K48</f>
        <v>0</v>
      </c>
      <c r="N55" s="19">
        <f>N19/N48</f>
        <v>0</v>
      </c>
      <c r="Q55" s="19">
        <f>Q19/Q48</f>
        <v>0</v>
      </c>
      <c r="T55" s="19">
        <f>T19/T48</f>
        <v>0</v>
      </c>
      <c r="W55" s="19">
        <f>W19/W48</f>
        <v>0</v>
      </c>
      <c r="Z55" s="19">
        <f>Z19/Z48</f>
        <v>0</v>
      </c>
      <c r="AC55" s="19">
        <f>AC19/AC48</f>
        <v>1.9394724132788331E-3</v>
      </c>
      <c r="AF55" s="19">
        <f>AF19/AF48</f>
        <v>0</v>
      </c>
    </row>
    <row r="56" spans="1:32" x14ac:dyDescent="0.25">
      <c r="A56">
        <v>4</v>
      </c>
      <c r="B56" s="9" t="s">
        <v>4271</v>
      </c>
      <c r="E56" s="19">
        <f>E20/E48</f>
        <v>5.1212397297753669E-2</v>
      </c>
      <c r="H56" s="19">
        <f>H20/H48</f>
        <v>7.5077355145338059E-2</v>
      </c>
      <c r="K56" s="19">
        <f>K20/K48</f>
        <v>0.15994341872671469</v>
      </c>
      <c r="N56" s="19">
        <f>N20/N48</f>
        <v>0</v>
      </c>
      <c r="Q56" s="19">
        <f>Q20/Q48</f>
        <v>0</v>
      </c>
      <c r="T56" s="19">
        <f>T20/T48</f>
        <v>0.19350237416011154</v>
      </c>
      <c r="W56" s="19">
        <f>W20/W48</f>
        <v>0</v>
      </c>
      <c r="Z56" s="19">
        <f>Z20/Z48</f>
        <v>0.18508975297108549</v>
      </c>
      <c r="AC56" s="19">
        <f>AC20/AC48</f>
        <v>1.8296035868165583E-2</v>
      </c>
      <c r="AF56" s="19">
        <f>AF20/AF48</f>
        <v>0</v>
      </c>
    </row>
    <row r="57" spans="1:32" x14ac:dyDescent="0.25">
      <c r="A57">
        <v>5</v>
      </c>
      <c r="B57" s="9" t="s">
        <v>4272</v>
      </c>
      <c r="E57" s="19">
        <f>E18/E48</f>
        <v>0</v>
      </c>
      <c r="H57" s="19">
        <f>H18/H48</f>
        <v>0</v>
      </c>
      <c r="K57" s="19">
        <f>K18/K48</f>
        <v>0</v>
      </c>
      <c r="N57" s="19">
        <f>N18/N48</f>
        <v>0</v>
      </c>
      <c r="Q57" s="19">
        <f>Q18/Q48</f>
        <v>1.4716571387415511E-2</v>
      </c>
      <c r="T57" s="19">
        <f>T18/T48</f>
        <v>0</v>
      </c>
      <c r="W57" s="19">
        <f>W18/W48</f>
        <v>0</v>
      </c>
      <c r="Z57" s="19">
        <f>Z18/Z48</f>
        <v>0</v>
      </c>
      <c r="AC57" s="19">
        <f>AC18/AC48</f>
        <v>0</v>
      </c>
      <c r="AF57" s="19">
        <f>AF18/AF48</f>
        <v>0</v>
      </c>
    </row>
    <row r="58" spans="1:32" x14ac:dyDescent="0.25">
      <c r="A58">
        <v>6</v>
      </c>
      <c r="B58" s="9" t="s">
        <v>4273</v>
      </c>
      <c r="E58" s="19">
        <f>(E10+E11)/E48</f>
        <v>0</v>
      </c>
      <c r="H58" s="19">
        <f>(H10+H11)/H48</f>
        <v>9.7454518809193161E-2</v>
      </c>
      <c r="K58" s="19">
        <f>(K10+K11)/K48</f>
        <v>0.15368296106813475</v>
      </c>
      <c r="N58" s="19">
        <f>(N10+N11)/N48</f>
        <v>0</v>
      </c>
      <c r="Q58" s="19">
        <f>(Q10+Q11)/Q48</f>
        <v>0</v>
      </c>
      <c r="T58" s="19">
        <f>(T10+T11)/T48</f>
        <v>4.3350859634647132E-3</v>
      </c>
      <c r="W58" s="19">
        <f>(W10+W11)/W48</f>
        <v>0.17481897805970248</v>
      </c>
      <c r="Z58" s="19">
        <f>(Z10+Z11)/Z48</f>
        <v>0</v>
      </c>
      <c r="AC58" s="19">
        <f>(AC10+AC11)/AC48</f>
        <v>8.6701545010806236E-2</v>
      </c>
      <c r="AF58" s="19">
        <f>(AF10+AF11)/AF48</f>
        <v>0.17481897805970248</v>
      </c>
    </row>
    <row r="59" spans="1:32" x14ac:dyDescent="0.25">
      <c r="A59">
        <v>7</v>
      </c>
      <c r="B59" s="9" t="s">
        <v>4274</v>
      </c>
      <c r="E59" s="19"/>
      <c r="H59" s="19"/>
      <c r="K59" s="19"/>
      <c r="N59" s="19"/>
      <c r="Q59" s="19"/>
      <c r="T59" s="19"/>
      <c r="W59" s="19"/>
      <c r="Z59" s="19"/>
      <c r="AC59" s="19"/>
      <c r="AF59" s="19"/>
    </row>
    <row r="60" spans="1:32" x14ac:dyDescent="0.25">
      <c r="A60">
        <v>8</v>
      </c>
      <c r="B60" s="9" t="s">
        <v>4275</v>
      </c>
      <c r="E60" s="19"/>
      <c r="H60" s="19"/>
      <c r="K60" s="19"/>
      <c r="N60" s="19"/>
      <c r="Q60" s="19"/>
      <c r="T60" s="19"/>
      <c r="W60" s="19"/>
      <c r="Z60" s="19"/>
      <c r="AC60" s="19"/>
      <c r="AF60" s="19"/>
    </row>
    <row r="61" spans="1:32" x14ac:dyDescent="0.25">
      <c r="A61">
        <v>9</v>
      </c>
      <c r="B61" s="9" t="s">
        <v>4276</v>
      </c>
      <c r="E61" s="19"/>
      <c r="H61" s="19"/>
      <c r="K61" s="19"/>
      <c r="N61" s="19"/>
      <c r="Q61" s="19"/>
      <c r="T61" s="19"/>
      <c r="W61" s="19"/>
      <c r="Z61" s="19"/>
      <c r="AC61" s="19"/>
      <c r="AF61" s="19"/>
    </row>
    <row r="62" spans="1:32" x14ac:dyDescent="0.25">
      <c r="A62">
        <v>10</v>
      </c>
      <c r="B62" s="9" t="s">
        <v>4277</v>
      </c>
      <c r="E62" s="19" t="e">
        <f>#REF!/E48</f>
        <v>#REF!</v>
      </c>
      <c r="H62" s="19" t="e">
        <f>#REF!/H48</f>
        <v>#REF!</v>
      </c>
      <c r="K62" s="19" t="e">
        <f>#REF!/K48</f>
        <v>#REF!</v>
      </c>
      <c r="N62" s="19" t="e">
        <f>#REF!/N48</f>
        <v>#REF!</v>
      </c>
      <c r="Q62" s="19" t="e">
        <f>#REF!/Q48</f>
        <v>#REF!</v>
      </c>
      <c r="T62" s="19" t="e">
        <f>#REF!/T48</f>
        <v>#REF!</v>
      </c>
      <c r="W62" s="19" t="e">
        <f>#REF!/W48</f>
        <v>#REF!</v>
      </c>
      <c r="Z62" s="19" t="e">
        <f>#REF!/Z48</f>
        <v>#REF!</v>
      </c>
      <c r="AC62" s="19" t="e">
        <f>#REF!/AC48</f>
        <v>#REF!</v>
      </c>
      <c r="AF62" s="19" t="e">
        <f>#REF!/AF48</f>
        <v>#REF!</v>
      </c>
    </row>
    <row r="63" spans="1:32" x14ac:dyDescent="0.25">
      <c r="A63">
        <v>11</v>
      </c>
      <c r="B63" s="9" t="s">
        <v>4278</v>
      </c>
      <c r="E63" s="19"/>
      <c r="H63" s="19"/>
      <c r="K63" s="19"/>
      <c r="N63" s="19"/>
      <c r="Q63" s="19"/>
      <c r="T63" s="19"/>
      <c r="W63" s="19"/>
      <c r="Z63" s="19"/>
      <c r="AC63" s="19"/>
      <c r="AF63" s="19"/>
    </row>
    <row r="64" spans="1:32" x14ac:dyDescent="0.25">
      <c r="A64">
        <v>12</v>
      </c>
      <c r="B64" s="9" t="s">
        <v>4279</v>
      </c>
      <c r="E64" s="19">
        <f>E12/E48</f>
        <v>9.1350172651729733E-2</v>
      </c>
      <c r="H64" s="19">
        <f>H12/H48</f>
        <v>1.7327353761868652E-2</v>
      </c>
      <c r="K64" s="19">
        <f>K12/K48</f>
        <v>2.1786366298290422E-2</v>
      </c>
      <c r="N64" s="19">
        <f>N12/N48</f>
        <v>1.9657042612111686E-3</v>
      </c>
      <c r="Q64" s="19">
        <f>Q12/Q48</f>
        <v>3.2746309341318432E-3</v>
      </c>
      <c r="T64" s="19">
        <f>T12/T48</f>
        <v>9.8008825212881853E-4</v>
      </c>
      <c r="W64" s="19">
        <f>W12/W48</f>
        <v>0</v>
      </c>
      <c r="Z64" s="19">
        <f>Z12/Z48</f>
        <v>6.0725119251782325E-2</v>
      </c>
      <c r="AC64" s="19">
        <f>AC12/AC48</f>
        <v>4.8602468802124042E-3</v>
      </c>
      <c r="AF64" s="19">
        <f>AF12/AF48</f>
        <v>0</v>
      </c>
    </row>
    <row r="65" spans="1:32" x14ac:dyDescent="0.25">
      <c r="A65">
        <v>13</v>
      </c>
      <c r="B65" s="9" t="s">
        <v>4280</v>
      </c>
      <c r="E65" s="19">
        <f>E25/E48</f>
        <v>9.2138965867743384E-3</v>
      </c>
      <c r="H65" s="19">
        <f>H25/H48</f>
        <v>5.328991362379464E-3</v>
      </c>
      <c r="K65" s="19">
        <f>K25/K48</f>
        <v>4.7866656204699773E-3</v>
      </c>
      <c r="N65" s="19">
        <f>N25/N48</f>
        <v>3.0627711166388738E-2</v>
      </c>
      <c r="Q65" s="19">
        <f>Q25/Q48</f>
        <v>1.7901810431702598E-2</v>
      </c>
      <c r="T65" s="19">
        <f>T25/T48</f>
        <v>4.9271609110559727E-3</v>
      </c>
      <c r="W65" s="19">
        <f>W25/W48</f>
        <v>1.3209140629250176E-2</v>
      </c>
      <c r="Z65" s="19">
        <f>Z25/Z48</f>
        <v>0.18684002639748548</v>
      </c>
      <c r="AC65" s="19">
        <f>AC25/AC48</f>
        <v>1.8557161087902436E-4</v>
      </c>
      <c r="AF65" s="19">
        <f>AF25/AF48</f>
        <v>1.3209140629250176E-2</v>
      </c>
    </row>
    <row r="66" spans="1:32" x14ac:dyDescent="0.25">
      <c r="A66">
        <v>14</v>
      </c>
      <c r="B66" s="9" t="s">
        <v>4281</v>
      </c>
      <c r="E66" s="19">
        <f>E13/E48</f>
        <v>1.1413802297220678E-3</v>
      </c>
      <c r="H66" s="19">
        <f>H13/H48</f>
        <v>1.0868511403494523E-3</v>
      </c>
      <c r="K66" s="19">
        <f>K13/K48</f>
        <v>1.7382511680555349E-3</v>
      </c>
      <c r="N66" s="19">
        <f>N13/N48</f>
        <v>2.9607320085683913E-4</v>
      </c>
      <c r="Q66" s="19">
        <f>Q13/Q48</f>
        <v>2.7341113754759581E-4</v>
      </c>
      <c r="T66" s="19">
        <f>T13/T48</f>
        <v>4.6950104187443642E-3</v>
      </c>
      <c r="W66" s="19">
        <f>W13/W48</f>
        <v>0</v>
      </c>
      <c r="Z66" s="19">
        <f>Z13/Z48</f>
        <v>2.3723045994621323E-3</v>
      </c>
      <c r="AC66" s="19">
        <f>AC13/AC48</f>
        <v>0</v>
      </c>
      <c r="AF66" s="19">
        <f>AF13/AF48</f>
        <v>0</v>
      </c>
    </row>
    <row r="67" spans="1:32" x14ac:dyDescent="0.25">
      <c r="A67">
        <v>15</v>
      </c>
      <c r="B67" s="9" t="s">
        <v>4282</v>
      </c>
      <c r="E67" s="19">
        <f>E24/E48</f>
        <v>3.0387138377535212E-2</v>
      </c>
      <c r="H67" s="19">
        <f>H24/H48</f>
        <v>1.3559326873881722E-2</v>
      </c>
      <c r="K67" s="19">
        <f>K24/K48</f>
        <v>0</v>
      </c>
      <c r="N67" s="19">
        <f>N24/N48</f>
        <v>0</v>
      </c>
      <c r="Q67" s="19">
        <f>Q24/Q48</f>
        <v>0</v>
      </c>
      <c r="T67" s="19">
        <f>T24/T48</f>
        <v>8.6514053293203441E-2</v>
      </c>
      <c r="W67" s="19">
        <f>W24/W48</f>
        <v>0</v>
      </c>
      <c r="Z67" s="19">
        <f>Z24/Z48</f>
        <v>0</v>
      </c>
      <c r="AC67" s="19">
        <f>AC24/AC48</f>
        <v>1.5756003468487264E-2</v>
      </c>
      <c r="AF67" s="19">
        <f>AF24/AF48</f>
        <v>0</v>
      </c>
    </row>
    <row r="68" spans="1:32" x14ac:dyDescent="0.25">
      <c r="A68">
        <v>16</v>
      </c>
      <c r="B68" s="9" t="s">
        <v>4283</v>
      </c>
      <c r="E68" s="19">
        <f>E8/E48</f>
        <v>1.0122677015547257</v>
      </c>
      <c r="H68" s="19">
        <f>H8/H48</f>
        <v>0.8915408947973108</v>
      </c>
      <c r="K68" s="19">
        <f>K8/K48</f>
        <v>0.82295158008705949</v>
      </c>
      <c r="N68" s="19">
        <f>N8/N48</f>
        <v>6.2369801047119084</v>
      </c>
      <c r="Q68" s="19">
        <f>Q8/Q48</f>
        <v>4.5948002876208927</v>
      </c>
      <c r="T68" s="19">
        <f>T8/T48</f>
        <v>0.80254813349863796</v>
      </c>
      <c r="W68" s="19">
        <f>W8/W48</f>
        <v>3.8142082744894354</v>
      </c>
      <c r="Z68" s="19">
        <f>Z8/Z48</f>
        <v>1.4471894853825997</v>
      </c>
      <c r="AC68" s="19">
        <f>AC8/AC48</f>
        <v>0.41030870218421811</v>
      </c>
      <c r="AF68" s="19">
        <f>AF8/AF48</f>
        <v>3.8142082744894354</v>
      </c>
    </row>
    <row r="69" spans="1:32" x14ac:dyDescent="0.25">
      <c r="A69">
        <v>17</v>
      </c>
      <c r="B69" s="9" t="s">
        <v>4284</v>
      </c>
      <c r="E69" s="19">
        <f>E9/E48</f>
        <v>0</v>
      </c>
      <c r="H69" s="19">
        <f>H9/H48</f>
        <v>7.5706110251240802E-4</v>
      </c>
      <c r="K69" s="19">
        <f>K9/K48</f>
        <v>0</v>
      </c>
      <c r="N69" s="19">
        <f>N9/N48</f>
        <v>0</v>
      </c>
      <c r="Q69" s="19">
        <f>Q9/Q48</f>
        <v>0</v>
      </c>
      <c r="T69" s="19">
        <f>T9/T48</f>
        <v>0</v>
      </c>
      <c r="W69" s="19">
        <f>W9/W48</f>
        <v>0</v>
      </c>
      <c r="Z69" s="19">
        <f>Z9/Z48</f>
        <v>0</v>
      </c>
      <c r="AC69" s="19">
        <f>AC9/AC48</f>
        <v>0</v>
      </c>
      <c r="AF69" s="19">
        <f>AF9/AF48</f>
        <v>0</v>
      </c>
    </row>
    <row r="70" spans="1:32" x14ac:dyDescent="0.25">
      <c r="A70">
        <v>18</v>
      </c>
      <c r="B70" s="9" t="s">
        <v>4285</v>
      </c>
      <c r="E70" s="19">
        <f>E5/E48</f>
        <v>0</v>
      </c>
      <c r="H70" s="19">
        <f>H5/H48</f>
        <v>0</v>
      </c>
      <c r="K70" s="19">
        <f>K5/K48</f>
        <v>0</v>
      </c>
      <c r="N70" s="19">
        <f>N5/N48</f>
        <v>0</v>
      </c>
      <c r="Q70" s="19">
        <f>Q5/Q48</f>
        <v>0</v>
      </c>
      <c r="T70" s="19">
        <f>T5/T48</f>
        <v>0</v>
      </c>
      <c r="W70" s="19">
        <f>W5/W48</f>
        <v>0</v>
      </c>
      <c r="Z70" s="19">
        <f>Z5/Z48</f>
        <v>0</v>
      </c>
      <c r="AC70" s="19">
        <f>AC5/AC48</f>
        <v>0.25755909888762168</v>
      </c>
      <c r="AF70" s="19">
        <f>AF5/AF48</f>
        <v>0</v>
      </c>
    </row>
    <row r="71" spans="1:32" x14ac:dyDescent="0.25">
      <c r="A71">
        <v>19</v>
      </c>
      <c r="B71" s="9" t="s">
        <v>4286</v>
      </c>
      <c r="E71" s="19">
        <f>E16/E48</f>
        <v>0.52864566524980894</v>
      </c>
      <c r="H71" s="19">
        <f>H16/H48</f>
        <v>0.81427760142120831</v>
      </c>
      <c r="K71" s="19">
        <f>K16/K48</f>
        <v>9.1722309394625431E-2</v>
      </c>
      <c r="N71" s="19">
        <f>N16/N48</f>
        <v>11.322175746355088</v>
      </c>
      <c r="Q71" s="19">
        <f>Q16/Q48</f>
        <v>9.3583400399488497</v>
      </c>
      <c r="T71" s="19">
        <f>T16/T48</f>
        <v>0.31745719076742895</v>
      </c>
      <c r="W71" s="19">
        <f>W16/W48</f>
        <v>0</v>
      </c>
      <c r="Z71" s="19">
        <f>Z16/Z48</f>
        <v>2.6925955969931152</v>
      </c>
      <c r="AC71" s="19">
        <f>AC16/AC48</f>
        <v>0</v>
      </c>
      <c r="AF71" s="19">
        <f>AF16/AF48</f>
        <v>0</v>
      </c>
    </row>
    <row r="72" spans="1:32" x14ac:dyDescent="0.25">
      <c r="A72">
        <v>20</v>
      </c>
      <c r="B72" s="9" t="s">
        <v>4287</v>
      </c>
      <c r="E72" s="19">
        <f>E6/E48</f>
        <v>0</v>
      </c>
      <c r="H72" s="19">
        <f>H6/H48</f>
        <v>2.1408463320264468E-3</v>
      </c>
      <c r="K72" s="19">
        <f>K6/K48</f>
        <v>0</v>
      </c>
      <c r="N72" s="19">
        <f>N6/N48</f>
        <v>0</v>
      </c>
      <c r="Q72" s="19">
        <f>Q6/Q48</f>
        <v>0</v>
      </c>
      <c r="T72" s="19">
        <f>T6/T48</f>
        <v>0</v>
      </c>
      <c r="W72" s="19">
        <f>W6/W48</f>
        <v>0</v>
      </c>
      <c r="Z72" s="19">
        <f>Z6/Z48</f>
        <v>0</v>
      </c>
      <c r="AC72" s="19">
        <f>AC6/AC48</f>
        <v>0.21529657327775434</v>
      </c>
      <c r="AF72" s="19">
        <f>AF6/AF48</f>
        <v>0</v>
      </c>
    </row>
    <row r="73" spans="1:32" x14ac:dyDescent="0.25">
      <c r="A73">
        <v>21</v>
      </c>
      <c r="B73" s="9" t="s">
        <v>4288</v>
      </c>
      <c r="E73" s="19"/>
      <c r="H73" s="19"/>
      <c r="K73" s="19"/>
      <c r="N73" s="19"/>
      <c r="Q73" s="19"/>
      <c r="T73" s="19"/>
      <c r="W73" s="19"/>
      <c r="Z73" s="19"/>
      <c r="AC73" s="19"/>
      <c r="AF73" s="19"/>
    </row>
    <row r="74" spans="1:32" x14ac:dyDescent="0.25">
      <c r="A74">
        <v>22</v>
      </c>
      <c r="B74" s="9" t="s">
        <v>4289</v>
      </c>
      <c r="E74" s="19">
        <f>E15/E48</f>
        <v>0</v>
      </c>
      <c r="H74" s="19">
        <f>H15/H48</f>
        <v>6.1196705084593482E-4</v>
      </c>
      <c r="K74" s="19">
        <f>K15/K48</f>
        <v>0</v>
      </c>
      <c r="N74" s="19">
        <f>N15/N48</f>
        <v>0</v>
      </c>
      <c r="Q74" s="19">
        <f>Q15/Q48</f>
        <v>0</v>
      </c>
      <c r="T74" s="19">
        <f>T15/T48</f>
        <v>1.9954667766590834E-3</v>
      </c>
      <c r="W74" s="19">
        <f>W15/W48</f>
        <v>3.8499230502962489E-4</v>
      </c>
      <c r="Z74" s="19">
        <f>Z15/Z48</f>
        <v>0</v>
      </c>
      <c r="AC74" s="19">
        <f>AC15/AC48</f>
        <v>2.3531755241955213E-4</v>
      </c>
      <c r="AF74" s="19">
        <f>AF15/AF48</f>
        <v>3.8499230502962489E-4</v>
      </c>
    </row>
    <row r="75" spans="1:32" x14ac:dyDescent="0.25">
      <c r="A75">
        <v>23</v>
      </c>
      <c r="B75" s="9" t="s">
        <v>4290</v>
      </c>
      <c r="E75" s="19">
        <f>E14/E48</f>
        <v>2.8896685055784608E-3</v>
      </c>
      <c r="H75" s="19">
        <f>H14/H48</f>
        <v>2.2269670874118159E-3</v>
      </c>
      <c r="K75" s="19">
        <f>K14/K48</f>
        <v>2.9239392880822711E-3</v>
      </c>
      <c r="N75" s="19">
        <f>N14/N48</f>
        <v>0</v>
      </c>
      <c r="Q75" s="19">
        <f>Q14/Q48</f>
        <v>0</v>
      </c>
      <c r="T75" s="19">
        <f>T14/T48</f>
        <v>1.7030045623559809E-2</v>
      </c>
      <c r="W75" s="19">
        <f>W14/W48</f>
        <v>0</v>
      </c>
      <c r="Z75" s="19">
        <f>Z14/Z48</f>
        <v>1.4792033308085621E-3</v>
      </c>
      <c r="AC75" s="19">
        <f>AC14/AC48</f>
        <v>2.4635036912414168E-4</v>
      </c>
      <c r="AF75" s="19">
        <f>AF14/AF48</f>
        <v>0</v>
      </c>
    </row>
    <row r="76" spans="1:32" x14ac:dyDescent="0.25">
      <c r="A76">
        <v>24</v>
      </c>
      <c r="B76" s="9" t="s">
        <v>4291</v>
      </c>
      <c r="E76" s="19">
        <f>E21/E48</f>
        <v>0</v>
      </c>
      <c r="H76" s="19">
        <f>H21/H48</f>
        <v>0.27149013574718445</v>
      </c>
      <c r="K76" s="19">
        <f>K21/K48</f>
        <v>0.33884340034465299</v>
      </c>
      <c r="N76" s="19">
        <f>N21/N48</f>
        <v>0</v>
      </c>
      <c r="Q76" s="19">
        <f>Q21/Q48</f>
        <v>0.27424909489301408</v>
      </c>
      <c r="T76" s="19">
        <f>T21/T48</f>
        <v>0</v>
      </c>
      <c r="W76" s="19">
        <f>W21/W48</f>
        <v>0.28500782828982979</v>
      </c>
      <c r="Z76" s="19">
        <f>Z21/Z48</f>
        <v>0</v>
      </c>
      <c r="AC76" s="19">
        <f>AC21/AC48</f>
        <v>0.12725864446379478</v>
      </c>
      <c r="AF76" s="19">
        <f>AF21/AF48</f>
        <v>0.28500782828982979</v>
      </c>
    </row>
    <row r="77" spans="1:32" x14ac:dyDescent="0.25">
      <c r="A77">
        <v>25</v>
      </c>
      <c r="B77" s="9" t="s">
        <v>4292</v>
      </c>
      <c r="E77" s="19" t="e">
        <f>((E26+E27+E28)*(1+(#REF!/(E$35-#REF!))))/E$48</f>
        <v>#REF!</v>
      </c>
      <c r="H77" s="19">
        <f>(H26+H27+H28)/H48</f>
        <v>7.6456875525541743E-2</v>
      </c>
      <c r="K77" s="19">
        <f>(K26+K27+K28)/K48</f>
        <v>7.1479279301371046E-2</v>
      </c>
      <c r="N77" s="19">
        <f>(N26+N27+N28)/N48</f>
        <v>0.26417498835235392</v>
      </c>
      <c r="Q77" s="19">
        <f>(Q26+Q27+Q28)/Q48</f>
        <v>2.2679518914988503E-3</v>
      </c>
      <c r="T77" s="19">
        <f>(T26+T27+T28)/T48</f>
        <v>2.646739652442252E-2</v>
      </c>
      <c r="W77" s="19">
        <f>(W26+W27+W28)/W48</f>
        <v>0.29712062892586699</v>
      </c>
      <c r="Z77" s="19">
        <f>(Z26+Z27+Z28)/Z48</f>
        <v>1.2596977605044919</v>
      </c>
      <c r="AC77" s="19">
        <f>(AC26+AC27+AC28)/AC48</f>
        <v>1.3043800488540104E-2</v>
      </c>
      <c r="AF77" s="19">
        <f>(AF26+AF27+AF28)/AF48</f>
        <v>0.29712062892586699</v>
      </c>
    </row>
    <row r="78" spans="1:32" x14ac:dyDescent="0.25">
      <c r="A78">
        <v>26</v>
      </c>
      <c r="B78" s="9" t="s">
        <v>4293</v>
      </c>
      <c r="E78" s="19"/>
      <c r="H78" s="19"/>
      <c r="K78" s="19"/>
      <c r="N78" s="19"/>
      <c r="Q78" s="19"/>
      <c r="T78" s="19"/>
      <c r="W78" s="19"/>
      <c r="Z78" s="19"/>
      <c r="AC78" s="19"/>
      <c r="AF78" s="19"/>
    </row>
    <row r="79" spans="1:32" x14ac:dyDescent="0.25">
      <c r="A79">
        <v>27</v>
      </c>
      <c r="B79" s="9" t="s">
        <v>4294</v>
      </c>
      <c r="E79" s="19" t="e">
        <f>((E22+E23)*(1+(#REF!/(E$35-#REF!))))/E$48</f>
        <v>#REF!</v>
      </c>
      <c r="H79" s="19" t="e">
        <f>((H22+H23)*(1+(#REF!/(H$35-#REF!))))/H$48</f>
        <v>#REF!</v>
      </c>
      <c r="K79" s="19" t="e">
        <f>((K22+K23)*(1+(#REF!/(K$35-#REF!))))/K$48</f>
        <v>#REF!</v>
      </c>
      <c r="N79" s="19" t="e">
        <f>((N22+N23)*(1+(#REF!/(N$35-#REF!))))/N$48</f>
        <v>#REF!</v>
      </c>
      <c r="Q79" s="19" t="e">
        <f>((Q22+Q23)*(1+(#REF!/(Q$35-#REF!))))/Q$48</f>
        <v>#REF!</v>
      </c>
      <c r="T79" s="19" t="e">
        <f>((T22+T23)*(1+(#REF!/(T$35-#REF!))))/T$48</f>
        <v>#REF!</v>
      </c>
      <c r="W79" s="19" t="e">
        <f>((W22+W23)*(1+(#REF!/(W$35-#REF!))))/W$48</f>
        <v>#REF!</v>
      </c>
      <c r="Z79" s="19" t="e">
        <f>((Z22+Z23)*(1+(#REF!/(Z$35-#REF!))))/Z$48</f>
        <v>#REF!</v>
      </c>
      <c r="AB79" s="19"/>
      <c r="AC79" s="19" t="e">
        <f>((AC22+AC23)*(1+(#REF!/(AC$35-#REF!))))/AC$48</f>
        <v>#REF!</v>
      </c>
      <c r="AF79" s="19" t="e">
        <f>((AF22+AF23)*(1+(#REF!/(AF$35-#REF!))))/AF$48</f>
        <v>#REF!</v>
      </c>
    </row>
    <row r="80" spans="1:32" x14ac:dyDescent="0.25">
      <c r="A80">
        <v>28</v>
      </c>
      <c r="B80" s="9" t="s">
        <v>4295</v>
      </c>
      <c r="E80" s="19"/>
      <c r="H80" s="19"/>
      <c r="K80" s="19"/>
      <c r="N80" s="19"/>
      <c r="Q80" s="19"/>
      <c r="T80" s="19"/>
      <c r="W80" s="19"/>
      <c r="Z80" s="19"/>
      <c r="AC80" s="19"/>
      <c r="AF80" s="19"/>
    </row>
    <row r="81" spans="1:38" x14ac:dyDescent="0.25">
      <c r="A81">
        <v>29</v>
      </c>
      <c r="B81" s="9" t="s">
        <v>4296</v>
      </c>
      <c r="E81" s="19" t="e">
        <f>((E17)*(1+(#REF!/(E$35-#REF!))))/E$48</f>
        <v>#REF!</v>
      </c>
      <c r="H81" s="19" t="e">
        <f>((H17)*(1+(#REF!/(H$35-#REF!))))/H$48</f>
        <v>#REF!</v>
      </c>
      <c r="K81" s="19" t="e">
        <f>((K17)*(1+(#REF!/(K$35-#REF!))))/K$48</f>
        <v>#REF!</v>
      </c>
      <c r="N81" s="19" t="e">
        <f>((N17)*(1+(#REF!/(N$35-#REF!))))/N$48</f>
        <v>#REF!</v>
      </c>
      <c r="Q81" s="19" t="e">
        <f>((Q17)*(1+(#REF!/(Q$35-#REF!))))/Q$48</f>
        <v>#REF!</v>
      </c>
      <c r="T81" s="19" t="e">
        <f>((T17)*(1+(#REF!/(T$35-#REF!))))/T$48</f>
        <v>#REF!</v>
      </c>
      <c r="W81" s="19" t="e">
        <f>((W17)*(1+(#REF!/(W$35-#REF!))))/W$48</f>
        <v>#REF!</v>
      </c>
      <c r="Z81" s="19" t="e">
        <f>((Z17)*(1+(#REF!/(Z$35-#REF!))))/Z$48</f>
        <v>#REF!</v>
      </c>
      <c r="AC81" s="19" t="e">
        <f>((AC17)*(1+(#REF!/(AC$35-#REF!))))/AC$48</f>
        <v>#REF!</v>
      </c>
      <c r="AF81" s="19" t="e">
        <f>((AF17)*(1+(#REF!/(AF$35-#REF!))))/AF$48</f>
        <v>#REF!</v>
      </c>
    </row>
    <row r="82" spans="1:38" x14ac:dyDescent="0.25">
      <c r="A82">
        <v>30</v>
      </c>
      <c r="B82" s="8" t="s">
        <v>4297</v>
      </c>
      <c r="E82" s="20"/>
      <c r="H82" s="20"/>
      <c r="K82" s="20"/>
      <c r="N82" s="20"/>
      <c r="Q82" s="20"/>
      <c r="T82" s="20"/>
      <c r="W82" s="20"/>
      <c r="Z82" s="20"/>
      <c r="AC82" s="20"/>
      <c r="AF82" s="20"/>
    </row>
    <row r="83" spans="1:38" x14ac:dyDescent="0.25">
      <c r="B83" s="9" t="s">
        <v>4259</v>
      </c>
      <c r="E83" s="19" t="e">
        <f>SUM(E53:E82)</f>
        <v>#REF!</v>
      </c>
      <c r="H83" s="19" t="e">
        <f>SUM(H53:H82)</f>
        <v>#REF!</v>
      </c>
      <c r="K83" s="19" t="e">
        <f>SUM(K53:K82)</f>
        <v>#REF!</v>
      </c>
      <c r="L83" s="19"/>
      <c r="M83" s="19"/>
      <c r="N83" s="19" t="e">
        <f>SUM(N53:N82)</f>
        <v>#REF!</v>
      </c>
      <c r="O83" s="19"/>
      <c r="P83" s="19"/>
      <c r="Q83" s="19" t="e">
        <f>SUM(Q53:Q82)</f>
        <v>#REF!</v>
      </c>
      <c r="T83" s="19" t="e">
        <f>SUM(T53:T82)</f>
        <v>#REF!</v>
      </c>
      <c r="W83" s="19" t="e">
        <f>SUM(W53:W82)</f>
        <v>#REF!</v>
      </c>
      <c r="Z83" s="19" t="e">
        <f>SUM(Z53:Z82)</f>
        <v>#REF!</v>
      </c>
      <c r="AC83" s="19" t="e">
        <f>SUM(AC53:AC82)</f>
        <v>#REF!</v>
      </c>
      <c r="AF83" s="19" t="e">
        <f>SUM(AF53:AF82)</f>
        <v>#REF!</v>
      </c>
    </row>
    <row r="84" spans="1:38" x14ac:dyDescent="0.25">
      <c r="B84" s="15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</row>
    <row r="86" spans="1:38" x14ac:dyDescent="0.25">
      <c r="B86" s="9" t="s">
        <v>4264</v>
      </c>
    </row>
    <row r="87" spans="1:38" x14ac:dyDescent="0.25">
      <c r="B87" s="8" t="s">
        <v>4298</v>
      </c>
    </row>
    <row r="88" spans="1:38" x14ac:dyDescent="0.25">
      <c r="B88" s="9" t="s">
        <v>4299</v>
      </c>
      <c r="E88" s="19">
        <f>E40/E48</f>
        <v>0.8526791383850485</v>
      </c>
      <c r="H88" s="19">
        <f>H40/H48</f>
        <v>0.9088899151480847</v>
      </c>
      <c r="K88" s="19">
        <f>K40/K48</f>
        <v>0.85944191867028852</v>
      </c>
      <c r="N88" s="19">
        <f>N40/N48</f>
        <v>0.96648137783896559</v>
      </c>
      <c r="Q88" s="19">
        <f>Q40/Q48</f>
        <v>0.94619055100986815</v>
      </c>
      <c r="T88" s="19">
        <f>T40/T48</f>
        <v>0.92091291490657901</v>
      </c>
      <c r="W88" s="19">
        <f>W40/W48</f>
        <v>0</v>
      </c>
      <c r="Z88" s="19">
        <f>Z40/Z48</f>
        <v>0.76876436406951487</v>
      </c>
      <c r="AC88" s="19">
        <f>AC40/AC48</f>
        <v>0.72437216325535725</v>
      </c>
      <c r="AF88" s="19">
        <f>AF40/AF48</f>
        <v>0</v>
      </c>
    </row>
    <row r="89" spans="1:38" x14ac:dyDescent="0.25">
      <c r="B89" s="9" t="s">
        <v>4300</v>
      </c>
      <c r="E89" s="19">
        <f>E41/E48</f>
        <v>0.14732086161495148</v>
      </c>
      <c r="H89" s="19">
        <f>H41/H48</f>
        <v>8.8021164514358902E-2</v>
      </c>
      <c r="K89" s="19">
        <f>K41/K48</f>
        <v>0.14019024338117553</v>
      </c>
      <c r="N89" s="19">
        <f>N41/N48</f>
        <v>3.1256844698966363E-2</v>
      </c>
      <c r="Q89" s="19">
        <f>Q41/Q48</f>
        <v>5.3809448990131875E-2</v>
      </c>
      <c r="T89" s="19">
        <f>T41/T48</f>
        <v>5.0388581187510835E-2</v>
      </c>
      <c r="W89" s="19">
        <f>W41/W48</f>
        <v>0.99896857317778609</v>
      </c>
      <c r="Z89" s="19">
        <f>Z41/Z48</f>
        <v>0.23123563593048513</v>
      </c>
      <c r="AC89" s="19">
        <f>AC41/AC48</f>
        <v>0.10080738676243597</v>
      </c>
      <c r="AF89" s="19">
        <f>AF41/AF48</f>
        <v>0.99896857317778609</v>
      </c>
      <c r="AL89" s="19"/>
    </row>
    <row r="90" spans="1:38" x14ac:dyDescent="0.25">
      <c r="B90" s="8" t="s">
        <v>4301</v>
      </c>
      <c r="E90" s="20">
        <f>E42/E48</f>
        <v>0</v>
      </c>
      <c r="H90" s="20">
        <f>H42/H48</f>
        <v>3.0889203375564869E-3</v>
      </c>
      <c r="K90" s="20">
        <f>K42/K48</f>
        <v>3.6783794853606619E-4</v>
      </c>
      <c r="N90" s="20">
        <f>N42/N48</f>
        <v>2.261777462068008E-3</v>
      </c>
      <c r="Q90" s="20">
        <f>Q42/Q48</f>
        <v>0</v>
      </c>
      <c r="T90" s="20">
        <f>T42/T48</f>
        <v>2.8698503905910173E-2</v>
      </c>
      <c r="W90" s="20">
        <f>W42/W48</f>
        <v>1.0314268222139094E-3</v>
      </c>
      <c r="Z90" s="20">
        <f>Z42/Z48</f>
        <v>0</v>
      </c>
      <c r="AC90" s="20">
        <f>AC42/AC48</f>
        <v>0.17482044998220669</v>
      </c>
      <c r="AF90" s="20">
        <f>AF42/AF48</f>
        <v>1.0314268222139094E-3</v>
      </c>
    </row>
    <row r="91" spans="1:38" x14ac:dyDescent="0.25">
      <c r="B91" s="9" t="s">
        <v>4259</v>
      </c>
      <c r="E91" s="19">
        <f>SUM(E88:E90)</f>
        <v>1</v>
      </c>
      <c r="H91" s="19">
        <f>SUM(H88:H90)</f>
        <v>1.0000000000000002</v>
      </c>
      <c r="K91" s="19">
        <f>SUM(K88:K90)</f>
        <v>1.0000000000000002</v>
      </c>
      <c r="N91" s="19">
        <f>SUM(N88:N90)</f>
        <v>1</v>
      </c>
      <c r="Q91" s="19">
        <f>SUM(Q88:Q90)</f>
        <v>1</v>
      </c>
      <c r="T91" s="19">
        <f>SUM(T88:T90)</f>
        <v>1</v>
      </c>
      <c r="W91" s="19">
        <f>SUM(W88:W90)</f>
        <v>1</v>
      </c>
      <c r="Z91" s="19">
        <f>SUM(Z88:Z90)</f>
        <v>1</v>
      </c>
      <c r="AC91" s="19">
        <f>SUM(AC88:AC90)</f>
        <v>0.99999999999999989</v>
      </c>
      <c r="AF91" s="19">
        <f>SUM(AF88:AF90)</f>
        <v>1</v>
      </c>
    </row>
    <row r="92" spans="1:38" x14ac:dyDescent="0.25">
      <c r="B92" s="15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</row>
  </sheetData>
  <mergeCells count="13">
    <mergeCell ref="Y2:Z2"/>
    <mergeCell ref="AB2:AC2"/>
    <mergeCell ref="AE2:AF2"/>
    <mergeCell ref="V1:W1"/>
    <mergeCell ref="AB1:AC1"/>
    <mergeCell ref="AE1:AF1"/>
    <mergeCell ref="D2:E2"/>
    <mergeCell ref="G2:H2"/>
    <mergeCell ref="J2:K2"/>
    <mergeCell ref="M2:N2"/>
    <mergeCell ref="P2:Q2"/>
    <mergeCell ref="S2:T2"/>
    <mergeCell ref="V2:W2"/>
  </mergeCells>
  <conditionalFormatting sqref="E88:E90 H88:H90 K88:K90 N88:N90 Q88:Q90 T88:T90 W88:W90 Z88:Z90 AC88:AC90 AF88:AF90 D39:E44 G4:H34 D4:E34 G39:H44 J4:K34 J39:K44 M4:N34 M39:N44 P4:Q34 P39:Q44 S4:T34 S39:T44 V4:W34 V39:W44 Y39:Z44 Y4:Z34 AB4:AC34 AB39:AC44 AE4:AF34 AE39:AF44">
    <cfRule type="cellIs" dxfId="1" priority="2" operator="greaterThan">
      <formula>0</formula>
    </cfRule>
  </conditionalFormatting>
  <conditionalFormatting sqref="E53:E82 H53:H82 K53:K82 N53:N82 Q53:Q82 T53:T82 W53:W82 Z53:Z82 AC53:AC82 AF53:AF82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GSAR_IA_2025</vt:lpstr>
      <vt:lpstr>GSCG_IA_2025</vt:lpstr>
      <vt:lpstr>GSGW_IA_2025</vt:lpstr>
      <vt:lpstr>GSLU_IA_2025</vt:lpstr>
      <vt:lpstr>GSRR_IA_2025</vt:lpstr>
      <vt:lpstr>GSRE_IA_2025</vt:lpstr>
      <vt:lpstr>GSUG_IA_2025</vt:lpstr>
      <vt:lpstr>VV_IA_2025</vt:lpstr>
      <vt:lpstr>SS_IA_2025</vt:lpstr>
      <vt:lpstr>Sheet1</vt:lpstr>
      <vt:lpstr>All</vt:lpstr>
      <vt:lpstr>Keys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Liu, Tao, OSE</cp:lastModifiedBy>
  <dcterms:created xsi:type="dcterms:W3CDTF">2026-07-23T19:26:18Z</dcterms:created>
  <dcterms:modified xsi:type="dcterms:W3CDTF">2026-07-24T18:06:47Z</dcterms:modified>
</cp:coreProperties>
</file>