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birt\Desktop\2021_GSFworking\Outputs\zMisc\"/>
    </mc:Choice>
  </mc:AlternateContent>
  <xr:revisionPtr revIDLastSave="0" documentId="13_ncr:1_{EFEFDE41-424B-4AD1-863D-BA09F600F13F}" xr6:coauthVersionLast="47" xr6:coauthVersionMax="47" xr10:uidLastSave="{00000000-0000-0000-0000-000000000000}"/>
  <bookViews>
    <workbookView xWindow="-120" yWindow="-120" windowWidth="29040" windowHeight="15840" activeTab="2" xr2:uid="{F8D538D8-6911-4037-B99C-2143972BD6C9}"/>
  </bookViews>
  <sheets>
    <sheet name="Regionsum" sheetId="1" r:id="rId1"/>
    <sheet name="CropWeightedStats" sheetId="2" r:id="rId2"/>
    <sheet name="Sheet2" sheetId="3" r:id="rId3"/>
  </sheets>
  <calcPr calcId="191029"/>
  <pivotCaches>
    <pivotCache cacheId="35" r:id="rId4"/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2" l="1"/>
  <c r="H21" i="2"/>
  <c r="H22" i="2"/>
  <c r="H23" i="2"/>
  <c r="H19" i="2"/>
  <c r="H45" i="2"/>
  <c r="H46" i="2"/>
  <c r="H47" i="2"/>
  <c r="H48" i="2"/>
  <c r="H44" i="2"/>
  <c r="H43" i="2"/>
  <c r="H42" i="2"/>
  <c r="H41" i="2"/>
  <c r="H40" i="2"/>
  <c r="H39" i="2"/>
  <c r="H38" i="2"/>
  <c r="H37" i="2"/>
  <c r="H36" i="2"/>
  <c r="H35" i="2"/>
  <c r="H30" i="2"/>
  <c r="H25" i="2"/>
  <c r="H26" i="2"/>
  <c r="H27" i="2"/>
  <c r="H28" i="2"/>
  <c r="H29" i="2"/>
  <c r="H31" i="2"/>
  <c r="H32" i="2"/>
  <c r="H34" i="2"/>
  <c r="H18" i="2"/>
  <c r="H16" i="2"/>
  <c r="H17" i="2"/>
  <c r="H24" i="2"/>
  <c r="H15" i="2"/>
  <c r="H14" i="2"/>
  <c r="H10" i="2"/>
  <c r="H11" i="2"/>
  <c r="H12" i="2"/>
  <c r="H13" i="2"/>
  <c r="F5" i="2"/>
  <c r="F6" i="2"/>
  <c r="F7" i="2"/>
  <c r="F8" i="2"/>
  <c r="F4" i="2"/>
  <c r="H9" i="2"/>
</calcChain>
</file>

<file path=xl/sharedStrings.xml><?xml version="1.0" encoding="utf-8"?>
<sst xmlns="http://schemas.openxmlformats.org/spreadsheetml/2006/main" count="628" uniqueCount="43">
  <si>
    <t>Year</t>
  </si>
  <si>
    <t>Acres</t>
  </si>
  <si>
    <t>Crop Weighted CIR (ft)</t>
  </si>
  <si>
    <t>Crop CU Full Supply (AF)</t>
  </si>
  <si>
    <t>Shortage (AF)</t>
  </si>
  <si>
    <t>Shortage (%)</t>
  </si>
  <si>
    <t>Consumptive Use (AF)</t>
  </si>
  <si>
    <t>Incidental depletions (AF)</t>
  </si>
  <si>
    <t>Conservation Depletion (AF)</t>
  </si>
  <si>
    <t>Total Irrigation Depletion (AF)</t>
  </si>
  <si>
    <t>Location</t>
  </si>
  <si>
    <t>Luna</t>
  </si>
  <si>
    <t>Apache-Aragon</t>
  </si>
  <si>
    <t>Reserve</t>
  </si>
  <si>
    <t>Glenwood</t>
  </si>
  <si>
    <t>Upper_Gila</t>
  </si>
  <si>
    <t>Cliff_Gila</t>
  </si>
  <si>
    <t>Redrock</t>
  </si>
  <si>
    <t>San_Simon</t>
  </si>
  <si>
    <t>Virden_Valley</t>
  </si>
  <si>
    <t>Row Labels</t>
  </si>
  <si>
    <t>Grand Total</t>
  </si>
  <si>
    <t>Column Labels</t>
  </si>
  <si>
    <t>Sum of Consumptive Use (AF)</t>
  </si>
  <si>
    <t>luna</t>
  </si>
  <si>
    <t xml:space="preserve">pasture (unimproved) </t>
  </si>
  <si>
    <t>year</t>
  </si>
  <si>
    <t>locale</t>
  </si>
  <si>
    <t>Crop</t>
  </si>
  <si>
    <t>SeasonLength</t>
  </si>
  <si>
    <t>Re</t>
  </si>
  <si>
    <t>CIR(in)</t>
  </si>
  <si>
    <t>ApacheAragon</t>
  </si>
  <si>
    <t>Pasture (native)</t>
  </si>
  <si>
    <t>Etc</t>
  </si>
  <si>
    <t>UpperGila</t>
  </si>
  <si>
    <t>CDR</t>
  </si>
  <si>
    <t>CliffGila</t>
  </si>
  <si>
    <t>VirdenValley</t>
  </si>
  <si>
    <t>Pasture (improved)</t>
  </si>
  <si>
    <t>SanSimon</t>
  </si>
  <si>
    <t>Sum of Crop Weighted CIR (ft)</t>
  </si>
  <si>
    <t>Sum of CIR(in)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</si>
</sst>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[Gila Region sum 1968 - 2020.xlsx]Regionsum!PivotTable2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Regionsum!$Q$69:$Q$70</c:f>
              <c:strCache>
                <c:ptCount val="1"/>
                <c:pt idx="0">
                  <c:v>Apache-Aragon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Regionsum!$Q$71:$Q$76</c:f>
              <c:numCache>
                <c:formatCode>General</c:formatCode>
                <c:ptCount val="5"/>
                <c:pt idx="0">
                  <c:v>1.21</c:v>
                </c:pt>
                <c:pt idx="1">
                  <c:v>1.57</c:v>
                </c:pt>
                <c:pt idx="2">
                  <c:v>1.54</c:v>
                </c:pt>
                <c:pt idx="3">
                  <c:v>1.59</c:v>
                </c:pt>
                <c:pt idx="4">
                  <c:v>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CC-4BC1-AE7A-83E5EAA53803}"/>
            </c:ext>
          </c:extLst>
        </c:ser>
        <c:ser>
          <c:idx val="1"/>
          <c:order val="1"/>
          <c:tx>
            <c:strRef>
              <c:f>Regionsum!$R$69:$R$70</c:f>
              <c:strCache>
                <c:ptCount val="1"/>
                <c:pt idx="0">
                  <c:v>Cliff_Gila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Regionsum!$R$71:$R$76</c:f>
              <c:numCache>
                <c:formatCode>General</c:formatCode>
                <c:ptCount val="5"/>
                <c:pt idx="0">
                  <c:v>1.86</c:v>
                </c:pt>
                <c:pt idx="1">
                  <c:v>2.12</c:v>
                </c:pt>
                <c:pt idx="2">
                  <c:v>1.83</c:v>
                </c:pt>
                <c:pt idx="3">
                  <c:v>1.87</c:v>
                </c:pt>
                <c:pt idx="4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CC-4BC1-AE7A-83E5EAA53803}"/>
            </c:ext>
          </c:extLst>
        </c:ser>
        <c:ser>
          <c:idx val="2"/>
          <c:order val="2"/>
          <c:tx>
            <c:strRef>
              <c:f>Regionsum!$S$69:$S$70</c:f>
              <c:strCache>
                <c:ptCount val="1"/>
                <c:pt idx="0">
                  <c:v>Glenwood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Regionsum!$S$71:$S$76</c:f>
              <c:numCache>
                <c:formatCode>General</c:formatCode>
                <c:ptCount val="5"/>
                <c:pt idx="0">
                  <c:v>1.84</c:v>
                </c:pt>
                <c:pt idx="1">
                  <c:v>2.25</c:v>
                </c:pt>
                <c:pt idx="2">
                  <c:v>1.91</c:v>
                </c:pt>
                <c:pt idx="3">
                  <c:v>1.8</c:v>
                </c:pt>
                <c:pt idx="4">
                  <c:v>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3CC-4BC1-AE7A-83E5EAA53803}"/>
            </c:ext>
          </c:extLst>
        </c:ser>
        <c:ser>
          <c:idx val="3"/>
          <c:order val="3"/>
          <c:tx>
            <c:strRef>
              <c:f>Regionsum!$T$69:$T$70</c:f>
              <c:strCache>
                <c:ptCount val="1"/>
                <c:pt idx="0">
                  <c:v>Luna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Regionsum!$T$71:$T$76</c:f>
              <c:numCache>
                <c:formatCode>General</c:formatCode>
                <c:ptCount val="5"/>
                <c:pt idx="0">
                  <c:v>0.76</c:v>
                </c:pt>
                <c:pt idx="1">
                  <c:v>0.93</c:v>
                </c:pt>
                <c:pt idx="2">
                  <c:v>1.0900000000000001</c:v>
                </c:pt>
                <c:pt idx="3">
                  <c:v>0.96</c:v>
                </c:pt>
                <c:pt idx="4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3CC-4BC1-AE7A-83E5EAA53803}"/>
            </c:ext>
          </c:extLst>
        </c:ser>
        <c:ser>
          <c:idx val="4"/>
          <c:order val="4"/>
          <c:tx>
            <c:strRef>
              <c:f>Regionsum!$U$69:$U$70</c:f>
              <c:strCache>
                <c:ptCount val="1"/>
                <c:pt idx="0">
                  <c:v>Redrock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Regionsum!$U$71:$U$76</c:f>
              <c:numCache>
                <c:formatCode>General</c:formatCode>
                <c:ptCount val="5"/>
                <c:pt idx="0">
                  <c:v>1.76</c:v>
                </c:pt>
                <c:pt idx="1">
                  <c:v>1.95</c:v>
                </c:pt>
                <c:pt idx="2">
                  <c:v>2.25</c:v>
                </c:pt>
                <c:pt idx="3">
                  <c:v>2.21</c:v>
                </c:pt>
                <c:pt idx="4">
                  <c:v>2.92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33CC-4BC1-AE7A-83E5EAA53803}"/>
            </c:ext>
          </c:extLst>
        </c:ser>
        <c:ser>
          <c:idx val="5"/>
          <c:order val="5"/>
          <c:tx>
            <c:strRef>
              <c:f>Regionsum!$V$69:$V$70</c:f>
              <c:strCache>
                <c:ptCount val="1"/>
                <c:pt idx="0">
                  <c:v>Reserve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Regionsum!$V$71:$V$76</c:f>
              <c:numCache>
                <c:formatCode>General</c:formatCode>
                <c:ptCount val="5"/>
                <c:pt idx="0">
                  <c:v>1.21</c:v>
                </c:pt>
                <c:pt idx="1">
                  <c:v>1.55</c:v>
                </c:pt>
                <c:pt idx="2">
                  <c:v>1.54</c:v>
                </c:pt>
                <c:pt idx="3">
                  <c:v>1.6</c:v>
                </c:pt>
                <c:pt idx="4">
                  <c:v>2.0299999999999998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3CC-4BC1-AE7A-83E5EAA53803}"/>
            </c:ext>
          </c:extLst>
        </c:ser>
        <c:ser>
          <c:idx val="6"/>
          <c:order val="6"/>
          <c:tx>
            <c:strRef>
              <c:f>Regionsum!$W$69:$W$70</c:f>
              <c:strCache>
                <c:ptCount val="1"/>
                <c:pt idx="0">
                  <c:v>San_Simon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Regionsum!$W$71:$W$76</c:f>
              <c:numCache>
                <c:formatCode>General</c:formatCode>
                <c:ptCount val="5"/>
                <c:pt idx="0">
                  <c:v>2.25</c:v>
                </c:pt>
                <c:pt idx="1">
                  <c:v>2.58</c:v>
                </c:pt>
                <c:pt idx="2">
                  <c:v>2.27</c:v>
                </c:pt>
                <c:pt idx="3">
                  <c:v>2.54</c:v>
                </c:pt>
                <c:pt idx="4">
                  <c:v>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33CC-4BC1-AE7A-83E5EAA53803}"/>
            </c:ext>
          </c:extLst>
        </c:ser>
        <c:ser>
          <c:idx val="7"/>
          <c:order val="7"/>
          <c:tx>
            <c:strRef>
              <c:f>Regionsum!$X$69:$X$70</c:f>
              <c:strCache>
                <c:ptCount val="1"/>
                <c:pt idx="0">
                  <c:v>Upper_Gila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Regionsum!$X$71:$X$76</c:f>
              <c:numCache>
                <c:formatCode>General</c:formatCode>
                <c:ptCount val="5"/>
                <c:pt idx="0">
                  <c:v>1.46</c:v>
                </c:pt>
                <c:pt idx="1">
                  <c:v>1.7</c:v>
                </c:pt>
                <c:pt idx="2">
                  <c:v>1.58</c:v>
                </c:pt>
                <c:pt idx="3">
                  <c:v>1.46</c:v>
                </c:pt>
                <c:pt idx="4">
                  <c:v>2.84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3CC-4BC1-AE7A-83E5EAA53803}"/>
            </c:ext>
          </c:extLst>
        </c:ser>
        <c:ser>
          <c:idx val="8"/>
          <c:order val="8"/>
          <c:tx>
            <c:strRef>
              <c:f>Regionsum!$Y$69:$Y$70</c:f>
              <c:strCache>
                <c:ptCount val="1"/>
                <c:pt idx="0">
                  <c:v>Virden_Valley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Regionsum!$P$71:$P$76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Regionsum!$Y$71:$Y$76</c:f>
              <c:numCache>
                <c:formatCode>General</c:formatCode>
                <c:ptCount val="5"/>
                <c:pt idx="0">
                  <c:v>2.71</c:v>
                </c:pt>
                <c:pt idx="1">
                  <c:v>3.06</c:v>
                </c:pt>
                <c:pt idx="2">
                  <c:v>2.4</c:v>
                </c:pt>
                <c:pt idx="3">
                  <c:v>1.72</c:v>
                </c:pt>
                <c:pt idx="4">
                  <c:v>2.56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3CC-4BC1-AE7A-83E5EAA53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2134152"/>
        <c:axId val="1042132840"/>
      </c:barChart>
      <c:catAx>
        <c:axId val="1042134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32840"/>
        <c:crosses val="autoZero"/>
        <c:auto val="1"/>
        <c:lblAlgn val="ctr"/>
        <c:lblOffset val="100"/>
        <c:noMultiLvlLbl val="0"/>
      </c:catAx>
      <c:valAx>
        <c:axId val="10421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134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[Gila Region sum 1968 - 2020.xlsx]CropWeightedStats!PivotTable1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Consumptive Irrigation Requirement (CIR)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CropWeightedStats!$M$5:$M$6</c:f>
              <c:strCache>
                <c:ptCount val="1"/>
                <c:pt idx="0">
                  <c:v>ApacheAragon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CropWeightedStats!$M$7:$M$12</c:f>
              <c:numCache>
                <c:formatCode>General</c:formatCode>
                <c:ptCount val="5"/>
                <c:pt idx="0">
                  <c:v>14.699999999999998</c:v>
                </c:pt>
                <c:pt idx="1">
                  <c:v>18.920000000000002</c:v>
                </c:pt>
                <c:pt idx="2">
                  <c:v>18.32</c:v>
                </c:pt>
                <c:pt idx="3">
                  <c:v>19.059999999999999</c:v>
                </c:pt>
                <c:pt idx="4">
                  <c:v>24.14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F-41E5-BB91-80B57D332EC0}"/>
            </c:ext>
          </c:extLst>
        </c:ser>
        <c:ser>
          <c:idx val="1"/>
          <c:order val="1"/>
          <c:tx>
            <c:strRef>
              <c:f>CropWeightedStats!$N$5:$N$6</c:f>
              <c:strCache>
                <c:ptCount val="1"/>
                <c:pt idx="0">
                  <c:v>CliffGila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CropWeightedStats!$N$7:$N$12</c:f>
              <c:numCache>
                <c:formatCode>General</c:formatCode>
                <c:ptCount val="5"/>
                <c:pt idx="0">
                  <c:v>21.64</c:v>
                </c:pt>
                <c:pt idx="1">
                  <c:v>25.75</c:v>
                </c:pt>
                <c:pt idx="2">
                  <c:v>21.52</c:v>
                </c:pt>
                <c:pt idx="3">
                  <c:v>22.44</c:v>
                </c:pt>
                <c:pt idx="4">
                  <c:v>23.18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F-41E5-BB91-80B57D332EC0}"/>
            </c:ext>
          </c:extLst>
        </c:ser>
        <c:ser>
          <c:idx val="2"/>
          <c:order val="2"/>
          <c:tx>
            <c:strRef>
              <c:f>CropWeightedStats!$O$5:$O$6</c:f>
              <c:strCache>
                <c:ptCount val="1"/>
                <c:pt idx="0">
                  <c:v>Glenwood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CropWeightedStats!$O$7:$O$12</c:f>
              <c:numCache>
                <c:formatCode>General</c:formatCode>
                <c:ptCount val="5"/>
                <c:pt idx="0">
                  <c:v>24.550000000000004</c:v>
                </c:pt>
                <c:pt idx="1">
                  <c:v>28.290000000000003</c:v>
                </c:pt>
                <c:pt idx="2">
                  <c:v>25.66</c:v>
                </c:pt>
                <c:pt idx="3">
                  <c:v>24.06</c:v>
                </c:pt>
                <c:pt idx="4">
                  <c:v>33.309999999999995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F-41E5-BB91-80B57D332EC0}"/>
            </c:ext>
          </c:extLst>
        </c:ser>
        <c:ser>
          <c:idx val="3"/>
          <c:order val="3"/>
          <c:tx>
            <c:strRef>
              <c:f>CropWeightedStats!$P$5:$P$6</c:f>
              <c:strCache>
                <c:ptCount val="1"/>
                <c:pt idx="0">
                  <c:v>luna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CropWeightedStats!$P$7:$P$12</c:f>
              <c:numCache>
                <c:formatCode>General</c:formatCode>
                <c:ptCount val="5"/>
                <c:pt idx="0">
                  <c:v>9.19</c:v>
                </c:pt>
                <c:pt idx="1">
                  <c:v>11.36</c:v>
                </c:pt>
                <c:pt idx="2">
                  <c:v>13.12</c:v>
                </c:pt>
                <c:pt idx="3">
                  <c:v>11.58</c:v>
                </c:pt>
                <c:pt idx="4">
                  <c:v>20.56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F-41E5-BB91-80B57D332EC0}"/>
            </c:ext>
          </c:extLst>
        </c:ser>
        <c:ser>
          <c:idx val="4"/>
          <c:order val="4"/>
          <c:tx>
            <c:strRef>
              <c:f>CropWeightedStats!$Q$5:$Q$6</c:f>
              <c:strCache>
                <c:ptCount val="1"/>
                <c:pt idx="0">
                  <c:v>Redrock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CropWeightedStats!$Q$7:$Q$12</c:f>
              <c:numCache>
                <c:formatCode>General</c:formatCode>
                <c:ptCount val="5"/>
                <c:pt idx="0">
                  <c:v>27.69</c:v>
                </c:pt>
                <c:pt idx="1">
                  <c:v>29.05</c:v>
                </c:pt>
                <c:pt idx="2">
                  <c:v>24.950000000000003</c:v>
                </c:pt>
                <c:pt idx="3">
                  <c:v>24.729999999999997</c:v>
                </c:pt>
                <c:pt idx="4">
                  <c:v>32.26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DF-41E5-BB91-80B57D332EC0}"/>
            </c:ext>
          </c:extLst>
        </c:ser>
        <c:ser>
          <c:idx val="5"/>
          <c:order val="5"/>
          <c:tx>
            <c:strRef>
              <c:f>CropWeightedStats!$R$5:$R$6</c:f>
              <c:strCache>
                <c:ptCount val="1"/>
                <c:pt idx="0">
                  <c:v>Reserve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CropWeightedStats!$R$7:$R$12</c:f>
              <c:numCache>
                <c:formatCode>General</c:formatCode>
                <c:ptCount val="5"/>
                <c:pt idx="0">
                  <c:v>14.63</c:v>
                </c:pt>
                <c:pt idx="1">
                  <c:v>18.850000000000001</c:v>
                </c:pt>
                <c:pt idx="2">
                  <c:v>18.23</c:v>
                </c:pt>
                <c:pt idx="3">
                  <c:v>19.29</c:v>
                </c:pt>
                <c:pt idx="4">
                  <c:v>24.06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DF-41E5-BB91-80B57D332EC0}"/>
            </c:ext>
          </c:extLst>
        </c:ser>
        <c:ser>
          <c:idx val="6"/>
          <c:order val="6"/>
          <c:tx>
            <c:strRef>
              <c:f>CropWeightedStats!$S$5:$S$6</c:f>
              <c:strCache>
                <c:ptCount val="1"/>
                <c:pt idx="0">
                  <c:v>SanSimon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CropWeightedStats!$S$7:$S$12</c:f>
              <c:numCache>
                <c:formatCode>General</c:formatCode>
                <c:ptCount val="5"/>
                <c:pt idx="0">
                  <c:v>34.44</c:v>
                </c:pt>
                <c:pt idx="1">
                  <c:v>34.879999999999995</c:v>
                </c:pt>
                <c:pt idx="2">
                  <c:v>35.99</c:v>
                </c:pt>
                <c:pt idx="3">
                  <c:v>33.269999999999996</c:v>
                </c:pt>
                <c:pt idx="4">
                  <c:v>36.44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F-41E5-BB91-80B57D332EC0}"/>
            </c:ext>
          </c:extLst>
        </c:ser>
        <c:ser>
          <c:idx val="7"/>
          <c:order val="7"/>
          <c:tx>
            <c:strRef>
              <c:f>CropWeightedStats!$T$5:$T$6</c:f>
              <c:strCache>
                <c:ptCount val="1"/>
                <c:pt idx="0">
                  <c:v>UpperGila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CropWeightedStats!$T$7:$T$12</c:f>
              <c:numCache>
                <c:formatCode>General</c:formatCode>
                <c:ptCount val="5"/>
                <c:pt idx="0">
                  <c:v>17</c:v>
                </c:pt>
                <c:pt idx="1">
                  <c:v>19.46</c:v>
                </c:pt>
                <c:pt idx="2">
                  <c:v>17.869999999999997</c:v>
                </c:pt>
                <c:pt idx="3">
                  <c:v>17.07</c:v>
                </c:pt>
                <c:pt idx="4">
                  <c:v>20.83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DF-41E5-BB91-80B57D332EC0}"/>
            </c:ext>
          </c:extLst>
        </c:ser>
        <c:ser>
          <c:idx val="8"/>
          <c:order val="8"/>
          <c:tx>
            <c:strRef>
              <c:f>CropWeightedStats!$U$5:$U$6</c:f>
              <c:strCache>
                <c:ptCount val="1"/>
                <c:pt idx="0">
                  <c:v>VirdenValley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CropWeightedStats!$L$7:$L$12</c:f>
              <c:strCach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strCache>
            </c:strRef>
          </c:cat>
          <c:val>
            <c:numRef>
              <c:f>CropWeightedStats!$U$7:$U$12</c:f>
              <c:numCache>
                <c:formatCode>General</c:formatCode>
                <c:ptCount val="5"/>
                <c:pt idx="0">
                  <c:v>37.520000000000003</c:v>
                </c:pt>
                <c:pt idx="1">
                  <c:v>40.049999999999997</c:v>
                </c:pt>
                <c:pt idx="2">
                  <c:v>31.21</c:v>
                </c:pt>
                <c:pt idx="3">
                  <c:v>31.320000000000004</c:v>
                </c:pt>
                <c:pt idx="4">
                  <c:v>38.54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DF-41E5-BB91-80B57D33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617296"/>
        <c:axId val="612616968"/>
      </c:barChart>
      <c:catAx>
        <c:axId val="61261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16968"/>
        <c:crosses val="autoZero"/>
        <c:auto val="1"/>
        <c:lblAlgn val="ctr"/>
        <c:lblOffset val="100"/>
        <c:noMultiLvlLbl val="0"/>
      </c:catAx>
      <c:valAx>
        <c:axId val="612616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1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85724</xdr:colOff>
      <xdr:row>61</xdr:row>
      <xdr:rowOff>71436</xdr:rowOff>
    </xdr:from>
    <xdr:to>
      <xdr:col>15</xdr:col>
      <xdr:colOff>1209674</xdr:colOff>
      <xdr:row>80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95D90F-0613-CC61-E790-1A3E7F581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490536</xdr:colOff>
      <xdr:row>14</xdr:row>
      <xdr:rowOff>33336</xdr:rowOff>
    </xdr:from>
    <xdr:to>
      <xdr:col>20</xdr:col>
      <xdr:colOff>152399</xdr:colOff>
      <xdr:row>32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BFE21-F6FD-B70E-E8BD-3BBBA2D713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2</xdr:row>
      <xdr:rowOff>104775</xdr:rowOff>
    </xdr:from>
    <xdr:to>
      <xdr:col>18</xdr:col>
      <xdr:colOff>173403</xdr:colOff>
      <xdr:row>21</xdr:row>
      <xdr:rowOff>15165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AD85D0-1E24-B14C-8628-50DCBEA9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485775"/>
          <a:ext cx="9345978" cy="352989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21</xdr:row>
      <xdr:rowOff>152400</xdr:rowOff>
    </xdr:from>
    <xdr:to>
      <xdr:col>18</xdr:col>
      <xdr:colOff>240465</xdr:colOff>
      <xdr:row>40</xdr:row>
      <xdr:rowOff>62790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DC7457-C668-E35D-6ABF-166884A3E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0225" y="4152900"/>
          <a:ext cx="9413040" cy="3529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18</xdr:col>
      <xdr:colOff>238557</xdr:colOff>
      <xdr:row>60</xdr:row>
      <xdr:rowOff>100890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E3EFE4-8647-2D36-2F9F-FA92BE8D9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8001000"/>
          <a:ext cx="9382557" cy="352989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birt" refreshedDate="44796.568380324075" createdVersion="8" refreshedVersion="8" minRefreshableVersion="3" recordCount="477" xr:uid="{19921987-000F-46E2-B5E5-8EF26B4702F2}">
  <cacheSource type="worksheet">
    <worksheetSource ref="A1:K478" sheet="Regionsum"/>
  </cacheSource>
  <cacheFields count="11">
    <cacheField name="Year" numFmtId="0">
      <sharedItems containsSemiMixedTypes="0" containsString="0" containsNumber="1" containsInteger="1" minValue="1968" maxValue="2020" count="53"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Acres" numFmtId="0">
      <sharedItems containsSemiMixedTypes="0" containsString="0" containsNumber="1" containsInteger="1" minValue="9" maxValue="2346"/>
    </cacheField>
    <cacheField name="Crop Weighted CIR (ft)" numFmtId="0">
      <sharedItems containsSemiMixedTypes="0" containsString="0" containsNumber="1" minValue="0.5" maxValue="3.92" count="190">
        <n v="1"/>
        <n v="0.85"/>
        <n v="1.01"/>
        <n v="0.82"/>
        <n v="0.97"/>
        <n v="0.95"/>
        <n v="0.96"/>
        <n v="0.66"/>
        <n v="0.61"/>
        <n v="0.78"/>
        <n v="0.91"/>
        <n v="0.94"/>
        <n v="0.88"/>
        <n v="0.87"/>
        <n v="0.5"/>
        <n v="0.81"/>
        <n v="1.06"/>
        <n v="0.72"/>
        <n v="0.75"/>
        <n v="0.93"/>
        <n v="0.98"/>
        <n v="0.63"/>
        <n v="0.89"/>
        <n v="1.1100000000000001"/>
        <n v="1.24"/>
        <n v="1.18"/>
        <n v="0.71"/>
        <n v="0.8"/>
        <n v="0.9"/>
        <n v="1.23"/>
        <n v="0.83"/>
        <n v="0.64"/>
        <n v="0.76"/>
        <n v="1.0900000000000001"/>
        <n v="1.71"/>
        <n v="1.43"/>
        <n v="1.22"/>
        <n v="1.4"/>
        <n v="1.1299999999999999"/>
        <n v="1.1599999999999999"/>
        <n v="1.08"/>
        <n v="1.17"/>
        <n v="0.74"/>
        <n v="1.05"/>
        <n v="1.1200000000000001"/>
        <n v="0.84"/>
        <n v="1.03"/>
        <n v="0.77"/>
        <n v="1.21"/>
        <n v="1.41"/>
        <n v="1.39"/>
        <n v="1.53"/>
        <n v="1.44"/>
        <n v="1.6"/>
        <n v="1.02"/>
        <n v="1.1399999999999999"/>
        <n v="1.35"/>
        <n v="1.69"/>
        <n v="1.5"/>
        <n v="1.57"/>
        <n v="1.54"/>
        <n v="1.59"/>
        <n v="2.02"/>
        <n v="1.47"/>
        <n v="1.45"/>
        <n v="1.2"/>
        <n v="1.36"/>
        <n v="1.3"/>
        <n v="1.26"/>
        <n v="1.28"/>
        <n v="1.37"/>
        <n v="1.33"/>
        <n v="1.34"/>
        <n v="1.46"/>
        <n v="1.31"/>
        <n v="1.27"/>
        <n v="1.81"/>
        <n v="2.06"/>
        <n v="1.64"/>
        <n v="1.87"/>
        <n v="1.77"/>
        <n v="1.55"/>
        <n v="2.0299999999999998"/>
        <n v="2.23"/>
        <n v="1.84"/>
        <n v="1.94"/>
        <n v="1.82"/>
        <n v="1.9"/>
        <n v="1.88"/>
        <n v="1.7"/>
        <n v="1.96"/>
        <n v="2.1"/>
        <n v="2"/>
        <n v="1.79"/>
        <n v="1.72"/>
        <n v="2.21"/>
        <n v="1.78"/>
        <n v="1.67"/>
        <n v="2.11"/>
        <n v="2.31"/>
        <n v="2.04"/>
        <n v="2.2999999999999998"/>
        <n v="2.14"/>
        <n v="1.65"/>
        <n v="2.2599999999999998"/>
        <n v="1.8"/>
        <n v="1.91"/>
        <n v="1.93"/>
        <n v="2.0499999999999998"/>
        <n v="2.25"/>
        <n v="2.5299999999999998"/>
        <n v="2.0099999999999998"/>
        <n v="3.22"/>
        <n v="1.29"/>
        <n v="1.51"/>
        <n v="1.52"/>
        <n v="1.32"/>
        <n v="1.62"/>
        <n v="1.48"/>
        <n v="1.63"/>
        <n v="1.66"/>
        <n v="1.42"/>
        <n v="1.56"/>
        <n v="1.75"/>
        <n v="1.25"/>
        <n v="1.58"/>
        <n v="2.84"/>
        <n v="1.61"/>
        <n v="1.73"/>
        <n v="1.92"/>
        <n v="1.38"/>
        <n v="1.74"/>
        <n v="1.89"/>
        <n v="1.83"/>
        <n v="1.99"/>
        <n v="2.38"/>
        <n v="2.09"/>
        <n v="1.85"/>
        <n v="1.86"/>
        <n v="2.12"/>
        <n v="3.92"/>
        <n v="2.08"/>
        <n v="2.29"/>
        <n v="1.97"/>
        <n v="1.95"/>
        <n v="2.48"/>
        <n v="2.0699999999999998"/>
        <n v="2.16"/>
        <n v="2.4700000000000002"/>
        <n v="2.4500000000000002"/>
        <n v="3.01"/>
        <n v="2.3199999999999998"/>
        <n v="2.61"/>
        <n v="2.2400000000000002"/>
        <n v="2.62"/>
        <n v="2.71"/>
        <n v="2.2799999999999998"/>
        <n v="2.1800000000000002"/>
        <n v="1.76"/>
        <n v="2.92"/>
        <n v="2.39"/>
        <n v="2.2000000000000002"/>
        <n v="2.4300000000000002"/>
        <n v="2.35"/>
        <n v="2.44"/>
        <n v="2.17"/>
        <n v="2.2200000000000002"/>
        <n v="2.41"/>
        <n v="2.77"/>
        <n v="2.6"/>
        <n v="2.66"/>
        <n v="2.88"/>
        <n v="2.15"/>
        <n v="2.59"/>
        <n v="2.65"/>
        <n v="2.8"/>
        <n v="2.7"/>
        <n v="2.27"/>
        <n v="3.06"/>
        <n v="2.4"/>
        <n v="2.56"/>
        <n v="2.5099999999999998"/>
        <n v="2.68"/>
        <n v="2.95"/>
        <n v="2.89"/>
        <n v="2.81"/>
        <n v="2.93"/>
        <n v="2.58"/>
        <n v="2.54"/>
        <n v="3.05"/>
      </sharedItems>
    </cacheField>
    <cacheField name="Crop CU Full Supply (AF)" numFmtId="0">
      <sharedItems containsSemiMixedTypes="0" containsString="0" containsNumber="1" containsInteger="1" minValue="14" maxValue="6944"/>
    </cacheField>
    <cacheField name="Shortage (AF)" numFmtId="0">
      <sharedItems containsSemiMixedTypes="0" containsString="0" containsNumber="1" containsInteger="1" minValue="0" maxValue="0"/>
    </cacheField>
    <cacheField name="Shortage (%)" numFmtId="0">
      <sharedItems containsSemiMixedTypes="0" containsString="0" containsNumber="1" containsInteger="1" minValue="0" maxValue="0"/>
    </cacheField>
    <cacheField name="Consumptive Use (AF)" numFmtId="0">
      <sharedItems containsSemiMixedTypes="0" containsString="0" containsNumber="1" containsInteger="1" minValue="14" maxValue="6944"/>
    </cacheField>
    <cacheField name="Incidental depletions (AF)" numFmtId="0">
      <sharedItems containsSemiMixedTypes="0" containsString="0" containsNumber="1" containsInteger="1" minValue="1" maxValue="644"/>
    </cacheField>
    <cacheField name="Conservation Depletion (AF)" numFmtId="0">
      <sharedItems containsSemiMixedTypes="0" containsString="0" containsNumber="1" containsInteger="1" minValue="0" maxValue="100"/>
    </cacheField>
    <cacheField name="Total Irrigation Depletion (AF)" numFmtId="0">
      <sharedItems containsSemiMixedTypes="0" containsString="0" containsNumber="1" containsInteger="1" minValue="15" maxValue="7588"/>
    </cacheField>
    <cacheField name="Location" numFmtId="0">
      <sharedItems count="9">
        <s v="Luna"/>
        <s v="Apache-Aragon"/>
        <s v="Reserve"/>
        <s v="Glenwood"/>
        <s v="Upper_Gila"/>
        <s v="Cliff_Gila"/>
        <s v="Redrock"/>
        <s v="Virden_Valley"/>
        <s v="San_Simo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birt" refreshedDate="44804.700311921297" createdVersion="8" refreshedVersion="8" minRefreshableVersion="3" recordCount="45" xr:uid="{C2EDA75D-EED0-41FA-83E4-2DD1E9BD690B}">
  <cacheSource type="worksheet">
    <worksheetSource ref="A3:H48" sheet="CropWeightedStats"/>
  </cacheSource>
  <cacheFields count="8">
    <cacheField name="year" numFmtId="0">
      <sharedItems containsSemiMixedTypes="0" containsString="0" containsNumber="1" containsInteger="1" minValue="2016" maxValue="2020" count="5">
        <n v="2016"/>
        <n v="2017"/>
        <n v="2018"/>
        <n v="2019"/>
        <n v="2020"/>
      </sharedItems>
    </cacheField>
    <cacheField name="locale" numFmtId="0">
      <sharedItems count="9">
        <s v="luna"/>
        <s v="ApacheAragon"/>
        <s v="Reserve"/>
        <s v="Glenwood"/>
        <s v="UpperGila"/>
        <s v="CliffGila"/>
        <s v="Redrock"/>
        <s v="VirdenValley"/>
        <s v="SanSimon"/>
      </sharedItems>
    </cacheField>
    <cacheField name="Crop" numFmtId="0">
      <sharedItems/>
    </cacheField>
    <cacheField name="CDR" numFmtId="0">
      <sharedItems containsString="0" containsBlank="1" containsNumber="1" minValue="0" maxValue="53.8"/>
    </cacheField>
    <cacheField name="SeasonLength" numFmtId="0">
      <sharedItems containsSemiMixedTypes="0" containsString="0" containsNumber="1" containsInteger="1" minValue="177" maxValue="350"/>
    </cacheField>
    <cacheField name="Etc" numFmtId="0">
      <sharedItems containsSemiMixedTypes="0" containsString="0" containsNumber="1" minValue="18.96" maxValue="44.55"/>
    </cacheField>
    <cacheField name="Re" numFmtId="0">
      <sharedItems containsSemiMixedTypes="0" containsString="0" containsNumber="1" minValue="2.57" maxValue="12.44"/>
    </cacheField>
    <cacheField name="CIR(in)" numFmtId="0">
      <sharedItems containsSemiMixedTypes="0" containsString="0" containsNumber="1" minValue="9.19" maxValue="40.04999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x v="0"/>
    <n v="202"/>
    <x v="0"/>
    <n v="203"/>
    <n v="0"/>
    <n v="0"/>
    <n v="203"/>
    <n v="20"/>
    <n v="0"/>
    <n v="223"/>
    <x v="0"/>
  </r>
  <r>
    <x v="1"/>
    <n v="269"/>
    <x v="0"/>
    <n v="269"/>
    <n v="0"/>
    <n v="0"/>
    <n v="269"/>
    <n v="27"/>
    <n v="100"/>
    <n v="396"/>
    <x v="0"/>
  </r>
  <r>
    <x v="2"/>
    <n v="141"/>
    <x v="1"/>
    <n v="120"/>
    <n v="0"/>
    <n v="0"/>
    <n v="120"/>
    <n v="12"/>
    <n v="0"/>
    <n v="132"/>
    <x v="0"/>
  </r>
  <r>
    <x v="3"/>
    <n v="82"/>
    <x v="2"/>
    <n v="83"/>
    <n v="0"/>
    <n v="0"/>
    <n v="83"/>
    <n v="8"/>
    <n v="0"/>
    <n v="91"/>
    <x v="0"/>
  </r>
  <r>
    <x v="4"/>
    <n v="49"/>
    <x v="3"/>
    <n v="40"/>
    <n v="0"/>
    <n v="0"/>
    <n v="40"/>
    <n v="4"/>
    <n v="0"/>
    <n v="44"/>
    <x v="0"/>
  </r>
  <r>
    <x v="5"/>
    <n v="52"/>
    <x v="4"/>
    <n v="50"/>
    <n v="0"/>
    <n v="0"/>
    <n v="50"/>
    <n v="5"/>
    <n v="0"/>
    <n v="55"/>
    <x v="0"/>
  </r>
  <r>
    <x v="6"/>
    <n v="121"/>
    <x v="5"/>
    <n v="115"/>
    <n v="0"/>
    <n v="0"/>
    <n v="115"/>
    <n v="12"/>
    <n v="0"/>
    <n v="127"/>
    <x v="0"/>
  </r>
  <r>
    <x v="7"/>
    <n v="218"/>
    <x v="6"/>
    <n v="209"/>
    <n v="0"/>
    <n v="0"/>
    <n v="209"/>
    <n v="21"/>
    <n v="0"/>
    <n v="230"/>
    <x v="0"/>
  </r>
  <r>
    <x v="8"/>
    <n v="217"/>
    <x v="7"/>
    <n v="142"/>
    <n v="0"/>
    <n v="0"/>
    <n v="142"/>
    <n v="14"/>
    <n v="0"/>
    <n v="157"/>
    <x v="0"/>
  </r>
  <r>
    <x v="9"/>
    <n v="85"/>
    <x v="8"/>
    <n v="52"/>
    <n v="0"/>
    <n v="0"/>
    <n v="52"/>
    <n v="5"/>
    <n v="0"/>
    <n v="57"/>
    <x v="0"/>
  </r>
  <r>
    <x v="10"/>
    <n v="149"/>
    <x v="9"/>
    <n v="117"/>
    <n v="0"/>
    <n v="0"/>
    <n v="117"/>
    <n v="12"/>
    <n v="0"/>
    <n v="128"/>
    <x v="0"/>
  </r>
  <r>
    <x v="11"/>
    <n v="104"/>
    <x v="10"/>
    <n v="95"/>
    <n v="0"/>
    <n v="0"/>
    <n v="95"/>
    <n v="9"/>
    <n v="0"/>
    <n v="104"/>
    <x v="0"/>
  </r>
  <r>
    <x v="12"/>
    <n v="112"/>
    <x v="11"/>
    <n v="105"/>
    <n v="0"/>
    <n v="0"/>
    <n v="105"/>
    <n v="11"/>
    <n v="0"/>
    <n v="116"/>
    <x v="0"/>
  </r>
  <r>
    <x v="13"/>
    <n v="89"/>
    <x v="12"/>
    <n v="79"/>
    <n v="0"/>
    <n v="0"/>
    <n v="79"/>
    <n v="8"/>
    <n v="0"/>
    <n v="86"/>
    <x v="0"/>
  </r>
  <r>
    <x v="14"/>
    <n v="138"/>
    <x v="13"/>
    <n v="120"/>
    <n v="0"/>
    <n v="0"/>
    <n v="120"/>
    <n v="12"/>
    <n v="0"/>
    <n v="132"/>
    <x v="0"/>
  </r>
  <r>
    <x v="15"/>
    <n v="158"/>
    <x v="14"/>
    <n v="79"/>
    <n v="0"/>
    <n v="0"/>
    <n v="79"/>
    <n v="8"/>
    <n v="0"/>
    <n v="86"/>
    <x v="0"/>
  </r>
  <r>
    <x v="16"/>
    <n v="146"/>
    <x v="8"/>
    <n v="90"/>
    <n v="0"/>
    <n v="0"/>
    <n v="90"/>
    <n v="9"/>
    <n v="0"/>
    <n v="99"/>
    <x v="0"/>
  </r>
  <r>
    <x v="17"/>
    <n v="45"/>
    <x v="15"/>
    <n v="36"/>
    <n v="0"/>
    <n v="0"/>
    <n v="36"/>
    <n v="4"/>
    <n v="0"/>
    <n v="40"/>
    <x v="0"/>
  </r>
  <r>
    <x v="18"/>
    <n v="64"/>
    <x v="9"/>
    <n v="50"/>
    <n v="0"/>
    <n v="0"/>
    <n v="50"/>
    <n v="5"/>
    <n v="0"/>
    <n v="55"/>
    <x v="0"/>
  </r>
  <r>
    <x v="19"/>
    <n v="117"/>
    <x v="8"/>
    <n v="71"/>
    <n v="0"/>
    <n v="0"/>
    <n v="71"/>
    <n v="7"/>
    <n v="0"/>
    <n v="78"/>
    <x v="0"/>
  </r>
  <r>
    <x v="20"/>
    <n v="136"/>
    <x v="7"/>
    <n v="90"/>
    <n v="0"/>
    <n v="0"/>
    <n v="90"/>
    <n v="9"/>
    <n v="0"/>
    <n v="99"/>
    <x v="0"/>
  </r>
  <r>
    <x v="21"/>
    <n v="69"/>
    <x v="16"/>
    <n v="73"/>
    <n v="0"/>
    <n v="0"/>
    <n v="73"/>
    <n v="7"/>
    <n v="0"/>
    <n v="80"/>
    <x v="0"/>
  </r>
  <r>
    <x v="22"/>
    <n v="68"/>
    <x v="3"/>
    <n v="56"/>
    <n v="0"/>
    <n v="0"/>
    <n v="56"/>
    <n v="6"/>
    <n v="0"/>
    <n v="62"/>
    <x v="0"/>
  </r>
  <r>
    <x v="23"/>
    <n v="180"/>
    <x v="17"/>
    <n v="129"/>
    <n v="0"/>
    <n v="0"/>
    <n v="129"/>
    <n v="13"/>
    <n v="0"/>
    <n v="142"/>
    <x v="0"/>
  </r>
  <r>
    <x v="24"/>
    <n v="138"/>
    <x v="18"/>
    <n v="103"/>
    <n v="0"/>
    <n v="0"/>
    <n v="103"/>
    <n v="10"/>
    <n v="0"/>
    <n v="114"/>
    <x v="0"/>
  </r>
  <r>
    <x v="25"/>
    <n v="220"/>
    <x v="19"/>
    <n v="205"/>
    <n v="0"/>
    <n v="0"/>
    <n v="205"/>
    <n v="21"/>
    <n v="0"/>
    <n v="226"/>
    <x v="0"/>
  </r>
  <r>
    <x v="26"/>
    <n v="59"/>
    <x v="13"/>
    <n v="51"/>
    <n v="0"/>
    <n v="0"/>
    <n v="51"/>
    <n v="5"/>
    <n v="0"/>
    <n v="56"/>
    <x v="0"/>
  </r>
  <r>
    <x v="27"/>
    <n v="73"/>
    <x v="20"/>
    <n v="71"/>
    <n v="0"/>
    <n v="0"/>
    <n v="71"/>
    <n v="7"/>
    <n v="0"/>
    <n v="79"/>
    <x v="0"/>
  </r>
  <r>
    <x v="28"/>
    <n v="68"/>
    <x v="15"/>
    <n v="55"/>
    <n v="0"/>
    <n v="0"/>
    <n v="55"/>
    <n v="5"/>
    <n v="0"/>
    <n v="60"/>
    <x v="0"/>
  </r>
  <r>
    <x v="29"/>
    <n v="221"/>
    <x v="21"/>
    <n v="139"/>
    <n v="0"/>
    <n v="0"/>
    <n v="139"/>
    <n v="14"/>
    <n v="0"/>
    <n v="153"/>
    <x v="0"/>
  </r>
  <r>
    <x v="30"/>
    <n v="288"/>
    <x v="9"/>
    <n v="224"/>
    <n v="0"/>
    <n v="0"/>
    <n v="224"/>
    <n v="22"/>
    <n v="0"/>
    <n v="247"/>
    <x v="0"/>
  </r>
  <r>
    <x v="31"/>
    <n v="95"/>
    <x v="22"/>
    <n v="85"/>
    <n v="0"/>
    <n v="0"/>
    <n v="85"/>
    <n v="9"/>
    <n v="0"/>
    <n v="94"/>
    <x v="0"/>
  </r>
  <r>
    <x v="32"/>
    <n v="76"/>
    <x v="23"/>
    <n v="84"/>
    <n v="0"/>
    <n v="0"/>
    <n v="84"/>
    <n v="8"/>
    <n v="0"/>
    <n v="93"/>
    <x v="0"/>
  </r>
  <r>
    <x v="33"/>
    <n v="73"/>
    <x v="23"/>
    <n v="81"/>
    <n v="0"/>
    <n v="0"/>
    <n v="81"/>
    <n v="8"/>
    <n v="0"/>
    <n v="89"/>
    <x v="0"/>
  </r>
  <r>
    <x v="34"/>
    <n v="98"/>
    <x v="7"/>
    <n v="64"/>
    <n v="0"/>
    <n v="0"/>
    <n v="64"/>
    <n v="6"/>
    <n v="0"/>
    <n v="71"/>
    <x v="0"/>
  </r>
  <r>
    <x v="35"/>
    <n v="103"/>
    <x v="24"/>
    <n v="128"/>
    <n v="0"/>
    <n v="0"/>
    <n v="128"/>
    <n v="13"/>
    <n v="0"/>
    <n v="141"/>
    <x v="0"/>
  </r>
  <r>
    <x v="36"/>
    <n v="50"/>
    <x v="16"/>
    <n v="53"/>
    <n v="0"/>
    <n v="0"/>
    <n v="53"/>
    <n v="5"/>
    <n v="0"/>
    <n v="58"/>
    <x v="0"/>
  </r>
  <r>
    <x v="37"/>
    <n v="106"/>
    <x v="25"/>
    <n v="125"/>
    <n v="0"/>
    <n v="0"/>
    <n v="125"/>
    <n v="13"/>
    <n v="0"/>
    <n v="138"/>
    <x v="0"/>
  </r>
  <r>
    <x v="38"/>
    <n v="77"/>
    <x v="26"/>
    <n v="54"/>
    <n v="0"/>
    <n v="0"/>
    <n v="54"/>
    <n v="5"/>
    <n v="0"/>
    <n v="59"/>
    <x v="0"/>
  </r>
  <r>
    <x v="39"/>
    <n v="126"/>
    <x v="27"/>
    <n v="101"/>
    <n v="0"/>
    <n v="0"/>
    <n v="101"/>
    <n v="10"/>
    <n v="0"/>
    <n v="111"/>
    <x v="0"/>
  </r>
  <r>
    <x v="40"/>
    <n v="61"/>
    <x v="28"/>
    <n v="55"/>
    <n v="0"/>
    <n v="0"/>
    <n v="55"/>
    <n v="5"/>
    <n v="0"/>
    <n v="60"/>
    <x v="0"/>
  </r>
  <r>
    <x v="41"/>
    <n v="139"/>
    <x v="28"/>
    <n v="125"/>
    <n v="0"/>
    <n v="0"/>
    <n v="125"/>
    <n v="13"/>
    <n v="0"/>
    <n v="138"/>
    <x v="0"/>
  </r>
  <r>
    <x v="42"/>
    <n v="192"/>
    <x v="16"/>
    <n v="203"/>
    <n v="0"/>
    <n v="0"/>
    <n v="203"/>
    <n v="20"/>
    <n v="0"/>
    <n v="223"/>
    <x v="0"/>
  </r>
  <r>
    <x v="43"/>
    <n v="104"/>
    <x v="0"/>
    <n v="103"/>
    <n v="0"/>
    <n v="0"/>
    <n v="103"/>
    <n v="10"/>
    <n v="0"/>
    <n v="114"/>
    <x v="0"/>
  </r>
  <r>
    <x v="44"/>
    <n v="189"/>
    <x v="29"/>
    <n v="233"/>
    <n v="0"/>
    <n v="0"/>
    <n v="233"/>
    <n v="23"/>
    <n v="0"/>
    <n v="256"/>
    <x v="0"/>
  </r>
  <r>
    <x v="45"/>
    <n v="113"/>
    <x v="30"/>
    <n v="94"/>
    <n v="0"/>
    <n v="0"/>
    <n v="94"/>
    <n v="9"/>
    <n v="0"/>
    <n v="103"/>
    <x v="0"/>
  </r>
  <r>
    <x v="46"/>
    <n v="150"/>
    <x v="5"/>
    <n v="143"/>
    <n v="0"/>
    <n v="0"/>
    <n v="143"/>
    <n v="14"/>
    <n v="0"/>
    <n v="157"/>
    <x v="0"/>
  </r>
  <r>
    <x v="47"/>
    <n v="150"/>
    <x v="31"/>
    <n v="97"/>
    <n v="0"/>
    <n v="0"/>
    <n v="97"/>
    <n v="10"/>
    <n v="0"/>
    <n v="106"/>
    <x v="0"/>
  </r>
  <r>
    <x v="48"/>
    <n v="125"/>
    <x v="32"/>
    <n v="96"/>
    <n v="0"/>
    <n v="0"/>
    <n v="96"/>
    <n v="10"/>
    <n v="0"/>
    <n v="105"/>
    <x v="0"/>
  </r>
  <r>
    <x v="49"/>
    <n v="159"/>
    <x v="19"/>
    <n v="148"/>
    <n v="0"/>
    <n v="0"/>
    <n v="148"/>
    <n v="15"/>
    <n v="0"/>
    <n v="163"/>
    <x v="0"/>
  </r>
  <r>
    <x v="50"/>
    <n v="101"/>
    <x v="33"/>
    <n v="110"/>
    <n v="0"/>
    <n v="0"/>
    <n v="110"/>
    <n v="10"/>
    <n v="0"/>
    <n v="119"/>
    <x v="0"/>
  </r>
  <r>
    <x v="51"/>
    <n v="108"/>
    <x v="6"/>
    <n v="104"/>
    <n v="0"/>
    <n v="0"/>
    <n v="104"/>
    <n v="10"/>
    <n v="0"/>
    <n v="114"/>
    <x v="0"/>
  </r>
  <r>
    <x v="52"/>
    <n v="114"/>
    <x v="34"/>
    <n v="196"/>
    <n v="0"/>
    <n v="0"/>
    <n v="196"/>
    <n v="19"/>
    <n v="0"/>
    <n v="215"/>
    <x v="0"/>
  </r>
  <r>
    <x v="0"/>
    <n v="151"/>
    <x v="35"/>
    <n v="216"/>
    <n v="0"/>
    <n v="0"/>
    <n v="216"/>
    <n v="22"/>
    <n v="0"/>
    <n v="238"/>
    <x v="1"/>
  </r>
  <r>
    <x v="1"/>
    <n v="183"/>
    <x v="36"/>
    <n v="223"/>
    <n v="0"/>
    <n v="0"/>
    <n v="223"/>
    <n v="22"/>
    <n v="0"/>
    <n v="245"/>
    <x v="1"/>
  </r>
  <r>
    <x v="2"/>
    <n v="143"/>
    <x v="37"/>
    <n v="200"/>
    <n v="0"/>
    <n v="0"/>
    <n v="200"/>
    <n v="20"/>
    <n v="0"/>
    <n v="220"/>
    <x v="1"/>
  </r>
  <r>
    <x v="3"/>
    <n v="106"/>
    <x v="38"/>
    <n v="119"/>
    <n v="0"/>
    <n v="0"/>
    <n v="119"/>
    <n v="12"/>
    <n v="0"/>
    <n v="131"/>
    <x v="1"/>
  </r>
  <r>
    <x v="4"/>
    <n v="47"/>
    <x v="39"/>
    <n v="55"/>
    <n v="0"/>
    <n v="0"/>
    <n v="55"/>
    <n v="5"/>
    <n v="0"/>
    <n v="60"/>
    <x v="1"/>
  </r>
  <r>
    <x v="5"/>
    <n v="104"/>
    <x v="40"/>
    <n v="112"/>
    <n v="0"/>
    <n v="0"/>
    <n v="112"/>
    <n v="11"/>
    <n v="0"/>
    <n v="123"/>
    <x v="1"/>
  </r>
  <r>
    <x v="6"/>
    <n v="125"/>
    <x v="39"/>
    <n v="146"/>
    <n v="0"/>
    <n v="0"/>
    <n v="146"/>
    <n v="15"/>
    <n v="0"/>
    <n v="160"/>
    <x v="1"/>
  </r>
  <r>
    <x v="7"/>
    <n v="231"/>
    <x v="13"/>
    <n v="200"/>
    <n v="0"/>
    <n v="0"/>
    <n v="200"/>
    <n v="20"/>
    <n v="0"/>
    <n v="220"/>
    <x v="1"/>
  </r>
  <r>
    <x v="8"/>
    <n v="233"/>
    <x v="41"/>
    <n v="273"/>
    <n v="0"/>
    <n v="0"/>
    <n v="273"/>
    <n v="27"/>
    <n v="0"/>
    <n v="300"/>
    <x v="1"/>
  </r>
  <r>
    <x v="9"/>
    <n v="203"/>
    <x v="42"/>
    <n v="151"/>
    <n v="0"/>
    <n v="0"/>
    <n v="151"/>
    <n v="15"/>
    <n v="0"/>
    <n v="166"/>
    <x v="1"/>
  </r>
  <r>
    <x v="10"/>
    <n v="138"/>
    <x v="4"/>
    <n v="133"/>
    <n v="0"/>
    <n v="0"/>
    <n v="133"/>
    <n v="13"/>
    <n v="0"/>
    <n v="146"/>
    <x v="1"/>
  </r>
  <r>
    <x v="11"/>
    <n v="97"/>
    <x v="43"/>
    <n v="102"/>
    <n v="0"/>
    <n v="0"/>
    <n v="102"/>
    <n v="10"/>
    <n v="0"/>
    <n v="112"/>
    <x v="1"/>
  </r>
  <r>
    <x v="12"/>
    <n v="152"/>
    <x v="29"/>
    <n v="187"/>
    <n v="0"/>
    <n v="0"/>
    <n v="187"/>
    <n v="19"/>
    <n v="0"/>
    <n v="205"/>
    <x v="1"/>
  </r>
  <r>
    <x v="13"/>
    <n v="155"/>
    <x v="44"/>
    <n v="173"/>
    <n v="0"/>
    <n v="0"/>
    <n v="173"/>
    <n v="17"/>
    <n v="0"/>
    <n v="190"/>
    <x v="1"/>
  </r>
  <r>
    <x v="14"/>
    <n v="116"/>
    <x v="23"/>
    <n v="129"/>
    <n v="0"/>
    <n v="0"/>
    <n v="129"/>
    <n v="13"/>
    <n v="0"/>
    <n v="142"/>
    <x v="1"/>
  </r>
  <r>
    <x v="15"/>
    <n v="219"/>
    <x v="40"/>
    <n v="237"/>
    <n v="0"/>
    <n v="0"/>
    <n v="237"/>
    <n v="24"/>
    <n v="0"/>
    <n v="261"/>
    <x v="1"/>
  </r>
  <r>
    <x v="16"/>
    <n v="123"/>
    <x v="45"/>
    <n v="104"/>
    <n v="0"/>
    <n v="0"/>
    <n v="104"/>
    <n v="10"/>
    <n v="0"/>
    <n v="114"/>
    <x v="1"/>
  </r>
  <r>
    <x v="17"/>
    <n v="141"/>
    <x v="46"/>
    <n v="146"/>
    <n v="0"/>
    <n v="0"/>
    <n v="146"/>
    <n v="15"/>
    <n v="0"/>
    <n v="161"/>
    <x v="1"/>
  </r>
  <r>
    <x v="18"/>
    <n v="144"/>
    <x v="22"/>
    <n v="129"/>
    <n v="0"/>
    <n v="0"/>
    <n v="129"/>
    <n v="13"/>
    <n v="0"/>
    <n v="142"/>
    <x v="1"/>
  </r>
  <r>
    <x v="19"/>
    <n v="158"/>
    <x v="0"/>
    <n v="158"/>
    <n v="0"/>
    <n v="0"/>
    <n v="158"/>
    <n v="16"/>
    <n v="0"/>
    <n v="174"/>
    <x v="1"/>
  </r>
  <r>
    <x v="20"/>
    <n v="178"/>
    <x v="26"/>
    <n v="126"/>
    <n v="0"/>
    <n v="0"/>
    <n v="126"/>
    <n v="13"/>
    <n v="0"/>
    <n v="139"/>
    <x v="1"/>
  </r>
  <r>
    <x v="21"/>
    <n v="139"/>
    <x v="33"/>
    <n v="151"/>
    <n v="0"/>
    <n v="0"/>
    <n v="151"/>
    <n v="15"/>
    <n v="0"/>
    <n v="166"/>
    <x v="1"/>
  </r>
  <r>
    <x v="22"/>
    <n v="155"/>
    <x v="16"/>
    <n v="165"/>
    <n v="0"/>
    <n v="0"/>
    <n v="165"/>
    <n v="16"/>
    <n v="0"/>
    <n v="181"/>
    <x v="1"/>
  </r>
  <r>
    <x v="23"/>
    <n v="157"/>
    <x v="15"/>
    <n v="128"/>
    <n v="0"/>
    <n v="0"/>
    <n v="128"/>
    <n v="13"/>
    <n v="0"/>
    <n v="141"/>
    <x v="1"/>
  </r>
  <r>
    <x v="24"/>
    <n v="116"/>
    <x v="47"/>
    <n v="90"/>
    <n v="0"/>
    <n v="0"/>
    <n v="90"/>
    <n v="9"/>
    <n v="0"/>
    <n v="99"/>
    <x v="1"/>
  </r>
  <r>
    <x v="25"/>
    <n v="190"/>
    <x v="2"/>
    <n v="192"/>
    <n v="0"/>
    <n v="0"/>
    <n v="192"/>
    <n v="19"/>
    <n v="0"/>
    <n v="212"/>
    <x v="1"/>
  </r>
  <r>
    <x v="26"/>
    <n v="86"/>
    <x v="48"/>
    <n v="104"/>
    <n v="0"/>
    <n v="0"/>
    <n v="104"/>
    <n v="10"/>
    <n v="0"/>
    <n v="114"/>
    <x v="1"/>
  </r>
  <r>
    <x v="27"/>
    <n v="144"/>
    <x v="4"/>
    <n v="140"/>
    <n v="0"/>
    <n v="0"/>
    <n v="140"/>
    <n v="14"/>
    <n v="0"/>
    <n v="154"/>
    <x v="1"/>
  </r>
  <r>
    <x v="28"/>
    <n v="189"/>
    <x v="11"/>
    <n v="178"/>
    <n v="0"/>
    <n v="0"/>
    <n v="178"/>
    <n v="18"/>
    <n v="0"/>
    <n v="195"/>
    <x v="1"/>
  </r>
  <r>
    <x v="29"/>
    <n v="200"/>
    <x v="22"/>
    <n v="177"/>
    <n v="0"/>
    <n v="0"/>
    <n v="177"/>
    <n v="18"/>
    <n v="0"/>
    <n v="195"/>
    <x v="1"/>
  </r>
  <r>
    <x v="30"/>
    <n v="317"/>
    <x v="13"/>
    <n v="274"/>
    <n v="0"/>
    <n v="0"/>
    <n v="274"/>
    <n v="27"/>
    <n v="0"/>
    <n v="302"/>
    <x v="1"/>
  </r>
  <r>
    <x v="31"/>
    <n v="294"/>
    <x v="49"/>
    <n v="415"/>
    <n v="0"/>
    <n v="0"/>
    <n v="415"/>
    <n v="41"/>
    <n v="0"/>
    <n v="456"/>
    <x v="1"/>
  </r>
  <r>
    <x v="32"/>
    <n v="256"/>
    <x v="50"/>
    <n v="356"/>
    <n v="0"/>
    <n v="0"/>
    <n v="356"/>
    <n v="36"/>
    <n v="0"/>
    <n v="391"/>
    <x v="1"/>
  </r>
  <r>
    <x v="33"/>
    <n v="271"/>
    <x v="51"/>
    <n v="414"/>
    <n v="0"/>
    <n v="0"/>
    <n v="414"/>
    <n v="41"/>
    <n v="0"/>
    <n v="456"/>
    <x v="1"/>
  </r>
  <r>
    <x v="34"/>
    <n v="212"/>
    <x v="52"/>
    <n v="306"/>
    <n v="0"/>
    <n v="0"/>
    <n v="306"/>
    <n v="31"/>
    <n v="0"/>
    <n v="336"/>
    <x v="1"/>
  </r>
  <r>
    <x v="35"/>
    <n v="192"/>
    <x v="53"/>
    <n v="307"/>
    <n v="0"/>
    <n v="0"/>
    <n v="307"/>
    <n v="31"/>
    <n v="0"/>
    <n v="338"/>
    <x v="1"/>
  </r>
  <r>
    <x v="36"/>
    <n v="215"/>
    <x v="2"/>
    <n v="218"/>
    <n v="0"/>
    <n v="0"/>
    <n v="218"/>
    <n v="22"/>
    <n v="0"/>
    <n v="240"/>
    <x v="1"/>
  </r>
  <r>
    <x v="37"/>
    <n v="217"/>
    <x v="23"/>
    <n v="241"/>
    <n v="0"/>
    <n v="0"/>
    <n v="241"/>
    <n v="24"/>
    <n v="0"/>
    <n v="265"/>
    <x v="1"/>
  </r>
  <r>
    <x v="38"/>
    <n v="238"/>
    <x v="2"/>
    <n v="239"/>
    <n v="0"/>
    <n v="0"/>
    <n v="239"/>
    <n v="24"/>
    <n v="0"/>
    <n v="263"/>
    <x v="1"/>
  </r>
  <r>
    <x v="39"/>
    <n v="279"/>
    <x v="54"/>
    <n v="284"/>
    <n v="0"/>
    <n v="0"/>
    <n v="284"/>
    <n v="28"/>
    <n v="0"/>
    <n v="312"/>
    <x v="1"/>
  </r>
  <r>
    <x v="40"/>
    <n v="266"/>
    <x v="55"/>
    <n v="304"/>
    <n v="0"/>
    <n v="0"/>
    <n v="304"/>
    <n v="30"/>
    <n v="0"/>
    <n v="334"/>
    <x v="1"/>
  </r>
  <r>
    <x v="41"/>
    <n v="251"/>
    <x v="56"/>
    <n v="339"/>
    <n v="0"/>
    <n v="0"/>
    <n v="339"/>
    <n v="34"/>
    <n v="0"/>
    <n v="373"/>
    <x v="1"/>
  </r>
  <r>
    <x v="42"/>
    <n v="289"/>
    <x v="57"/>
    <n v="488"/>
    <n v="0"/>
    <n v="0"/>
    <n v="488"/>
    <n v="49"/>
    <n v="0"/>
    <n v="537"/>
    <x v="1"/>
  </r>
  <r>
    <x v="43"/>
    <n v="235"/>
    <x v="0"/>
    <n v="235"/>
    <n v="0"/>
    <n v="0"/>
    <n v="235"/>
    <n v="24"/>
    <n v="0"/>
    <n v="259"/>
    <x v="1"/>
  </r>
  <r>
    <x v="44"/>
    <n v="151"/>
    <x v="24"/>
    <n v="188"/>
    <n v="0"/>
    <n v="0"/>
    <n v="188"/>
    <n v="19"/>
    <n v="0"/>
    <n v="206"/>
    <x v="1"/>
  </r>
  <r>
    <x v="45"/>
    <n v="143"/>
    <x v="30"/>
    <n v="119"/>
    <n v="0"/>
    <n v="0"/>
    <n v="119"/>
    <n v="12"/>
    <n v="0"/>
    <n v="131"/>
    <x v="1"/>
  </r>
  <r>
    <x v="46"/>
    <n v="166"/>
    <x v="13"/>
    <n v="144"/>
    <n v="0"/>
    <n v="0"/>
    <n v="144"/>
    <n v="14"/>
    <n v="0"/>
    <n v="158"/>
    <x v="1"/>
  </r>
  <r>
    <x v="47"/>
    <n v="165"/>
    <x v="58"/>
    <n v="248"/>
    <n v="0"/>
    <n v="0"/>
    <n v="248"/>
    <n v="23"/>
    <n v="0"/>
    <n v="271"/>
    <x v="1"/>
  </r>
  <r>
    <x v="48"/>
    <n v="151"/>
    <x v="48"/>
    <n v="182"/>
    <n v="0"/>
    <n v="0"/>
    <n v="182"/>
    <n v="17"/>
    <n v="0"/>
    <n v="199"/>
    <x v="1"/>
  </r>
  <r>
    <x v="49"/>
    <n v="146"/>
    <x v="59"/>
    <n v="229"/>
    <n v="0"/>
    <n v="0"/>
    <n v="229"/>
    <n v="20"/>
    <n v="0"/>
    <n v="249"/>
    <x v="1"/>
  </r>
  <r>
    <x v="50"/>
    <n v="141"/>
    <x v="60"/>
    <n v="217"/>
    <n v="0"/>
    <n v="0"/>
    <n v="217"/>
    <n v="19"/>
    <n v="0"/>
    <n v="236"/>
    <x v="1"/>
  </r>
  <r>
    <x v="51"/>
    <n v="129"/>
    <x v="61"/>
    <n v="205"/>
    <n v="0"/>
    <n v="0"/>
    <n v="205"/>
    <n v="18"/>
    <n v="0"/>
    <n v="223"/>
    <x v="1"/>
  </r>
  <r>
    <x v="52"/>
    <n v="194"/>
    <x v="62"/>
    <n v="392"/>
    <n v="0"/>
    <n v="0"/>
    <n v="392"/>
    <n v="32"/>
    <n v="0"/>
    <n v="424"/>
    <x v="1"/>
  </r>
  <r>
    <x v="0"/>
    <n v="346"/>
    <x v="63"/>
    <n v="507"/>
    <n v="0"/>
    <n v="0"/>
    <n v="507"/>
    <n v="51"/>
    <n v="0"/>
    <n v="558"/>
    <x v="2"/>
  </r>
  <r>
    <x v="1"/>
    <n v="403"/>
    <x v="64"/>
    <n v="583"/>
    <n v="0"/>
    <n v="0"/>
    <n v="583"/>
    <n v="58"/>
    <n v="0"/>
    <n v="642"/>
    <x v="2"/>
  </r>
  <r>
    <x v="2"/>
    <n v="333"/>
    <x v="65"/>
    <n v="400"/>
    <n v="0"/>
    <n v="0"/>
    <n v="400"/>
    <n v="40"/>
    <n v="0"/>
    <n v="440"/>
    <x v="2"/>
  </r>
  <r>
    <x v="3"/>
    <n v="267"/>
    <x v="25"/>
    <n v="314"/>
    <n v="0"/>
    <n v="0"/>
    <n v="314"/>
    <n v="31"/>
    <n v="0"/>
    <n v="345"/>
    <x v="2"/>
  </r>
  <r>
    <x v="4"/>
    <n v="297"/>
    <x v="44"/>
    <n v="334"/>
    <n v="0"/>
    <n v="0"/>
    <n v="334"/>
    <n v="33"/>
    <n v="0"/>
    <n v="367"/>
    <x v="2"/>
  </r>
  <r>
    <x v="5"/>
    <n v="274"/>
    <x v="66"/>
    <n v="374"/>
    <n v="0"/>
    <n v="0"/>
    <n v="374"/>
    <n v="37"/>
    <n v="0"/>
    <n v="411"/>
    <x v="2"/>
  </r>
  <r>
    <x v="6"/>
    <n v="231"/>
    <x v="24"/>
    <n v="287"/>
    <n v="0"/>
    <n v="0"/>
    <n v="287"/>
    <n v="29"/>
    <n v="0"/>
    <n v="316"/>
    <x v="2"/>
  </r>
  <r>
    <x v="7"/>
    <n v="385"/>
    <x v="44"/>
    <n v="430"/>
    <n v="0"/>
    <n v="0"/>
    <n v="430"/>
    <n v="43"/>
    <n v="0"/>
    <n v="473"/>
    <x v="2"/>
  </r>
  <r>
    <x v="8"/>
    <n v="325"/>
    <x v="44"/>
    <n v="365"/>
    <n v="0"/>
    <n v="0"/>
    <n v="365"/>
    <n v="36"/>
    <n v="0"/>
    <n v="401"/>
    <x v="2"/>
  </r>
  <r>
    <x v="9"/>
    <n v="400"/>
    <x v="36"/>
    <n v="489"/>
    <n v="0"/>
    <n v="0"/>
    <n v="489"/>
    <n v="49"/>
    <n v="0"/>
    <n v="538"/>
    <x v="2"/>
  </r>
  <r>
    <x v="10"/>
    <n v="309"/>
    <x v="67"/>
    <n v="403"/>
    <n v="0"/>
    <n v="0"/>
    <n v="403"/>
    <n v="40"/>
    <n v="0"/>
    <n v="444"/>
    <x v="2"/>
  </r>
  <r>
    <x v="11"/>
    <n v="21"/>
    <x v="68"/>
    <n v="26"/>
    <n v="0"/>
    <n v="0"/>
    <n v="26"/>
    <n v="3"/>
    <n v="0"/>
    <n v="29"/>
    <x v="2"/>
  </r>
  <r>
    <x v="12"/>
    <n v="258"/>
    <x v="69"/>
    <n v="331"/>
    <n v="0"/>
    <n v="0"/>
    <n v="331"/>
    <n v="33"/>
    <n v="0"/>
    <n v="365"/>
    <x v="2"/>
  </r>
  <r>
    <x v="13"/>
    <n v="344"/>
    <x v="70"/>
    <n v="472"/>
    <n v="0"/>
    <n v="0"/>
    <n v="472"/>
    <n v="47"/>
    <n v="0"/>
    <n v="520"/>
    <x v="2"/>
  </r>
  <r>
    <x v="14"/>
    <n v="175"/>
    <x v="52"/>
    <n v="252"/>
    <n v="0"/>
    <n v="0"/>
    <n v="252"/>
    <n v="25"/>
    <n v="0"/>
    <n v="277"/>
    <x v="2"/>
  </r>
  <r>
    <x v="15"/>
    <n v="236"/>
    <x v="15"/>
    <n v="191"/>
    <n v="0"/>
    <n v="0"/>
    <n v="191"/>
    <n v="19"/>
    <n v="0"/>
    <n v="210"/>
    <x v="2"/>
  </r>
  <r>
    <x v="16"/>
    <n v="129"/>
    <x v="40"/>
    <n v="139"/>
    <n v="0"/>
    <n v="0"/>
    <n v="139"/>
    <n v="14"/>
    <n v="0"/>
    <n v="153"/>
    <x v="2"/>
  </r>
  <r>
    <x v="17"/>
    <n v="123"/>
    <x v="46"/>
    <n v="127"/>
    <n v="0"/>
    <n v="0"/>
    <n v="127"/>
    <n v="13"/>
    <n v="0"/>
    <n v="140"/>
    <x v="2"/>
  </r>
  <r>
    <x v="18"/>
    <n v="207"/>
    <x v="38"/>
    <n v="233"/>
    <n v="0"/>
    <n v="0"/>
    <n v="233"/>
    <n v="23"/>
    <n v="0"/>
    <n v="257"/>
    <x v="2"/>
  </r>
  <r>
    <x v="19"/>
    <n v="173"/>
    <x v="71"/>
    <n v="229"/>
    <n v="0"/>
    <n v="0"/>
    <n v="229"/>
    <n v="23"/>
    <n v="0"/>
    <n v="252"/>
    <x v="2"/>
  </r>
  <r>
    <x v="20"/>
    <n v="182"/>
    <x v="16"/>
    <n v="194"/>
    <n v="0"/>
    <n v="0"/>
    <n v="194"/>
    <n v="19"/>
    <n v="0"/>
    <n v="213"/>
    <x v="2"/>
  </r>
  <r>
    <x v="21"/>
    <n v="211"/>
    <x v="53"/>
    <n v="337"/>
    <n v="0"/>
    <n v="0"/>
    <n v="337"/>
    <n v="34"/>
    <n v="0"/>
    <n v="370"/>
    <x v="2"/>
  </r>
  <r>
    <x v="22"/>
    <n v="148"/>
    <x v="72"/>
    <n v="199"/>
    <n v="0"/>
    <n v="0"/>
    <n v="199"/>
    <n v="20"/>
    <n v="0"/>
    <n v="218"/>
    <x v="2"/>
  </r>
  <r>
    <x v="23"/>
    <n v="215"/>
    <x v="44"/>
    <n v="241"/>
    <n v="0"/>
    <n v="0"/>
    <n v="241"/>
    <n v="24"/>
    <n v="0"/>
    <n v="265"/>
    <x v="2"/>
  </r>
  <r>
    <x v="24"/>
    <n v="175"/>
    <x v="46"/>
    <n v="181"/>
    <n v="0"/>
    <n v="0"/>
    <n v="181"/>
    <n v="18"/>
    <n v="0"/>
    <n v="199"/>
    <x v="2"/>
  </r>
  <r>
    <x v="25"/>
    <n v="165"/>
    <x v="49"/>
    <n v="232"/>
    <n v="0"/>
    <n v="0"/>
    <n v="232"/>
    <n v="23"/>
    <n v="0"/>
    <n v="255"/>
    <x v="2"/>
  </r>
  <r>
    <x v="26"/>
    <n v="179"/>
    <x v="65"/>
    <n v="215"/>
    <n v="0"/>
    <n v="0"/>
    <n v="215"/>
    <n v="21"/>
    <n v="0"/>
    <n v="236"/>
    <x v="2"/>
  </r>
  <r>
    <x v="27"/>
    <n v="169"/>
    <x v="73"/>
    <n v="247"/>
    <n v="0"/>
    <n v="0"/>
    <n v="247"/>
    <n v="25"/>
    <n v="0"/>
    <n v="272"/>
    <x v="2"/>
  </r>
  <r>
    <x v="28"/>
    <n v="244"/>
    <x v="74"/>
    <n v="320"/>
    <n v="0"/>
    <n v="0"/>
    <n v="320"/>
    <n v="32"/>
    <n v="0"/>
    <n v="352"/>
    <x v="2"/>
  </r>
  <r>
    <x v="29"/>
    <n v="289"/>
    <x v="69"/>
    <n v="370"/>
    <n v="0"/>
    <n v="0"/>
    <n v="370"/>
    <n v="37"/>
    <n v="0"/>
    <n v="407"/>
    <x v="2"/>
  </r>
  <r>
    <x v="30"/>
    <n v="310"/>
    <x v="75"/>
    <n v="393"/>
    <n v="0"/>
    <n v="0"/>
    <n v="393"/>
    <n v="39"/>
    <n v="0"/>
    <n v="432"/>
    <x v="2"/>
  </r>
  <r>
    <x v="31"/>
    <n v="332"/>
    <x v="75"/>
    <n v="423"/>
    <n v="0"/>
    <n v="0"/>
    <n v="423"/>
    <n v="42"/>
    <n v="0"/>
    <n v="465"/>
    <x v="2"/>
  </r>
  <r>
    <x v="32"/>
    <n v="244"/>
    <x v="76"/>
    <n v="440"/>
    <n v="0"/>
    <n v="0"/>
    <n v="440"/>
    <n v="44"/>
    <n v="0"/>
    <n v="484"/>
    <x v="2"/>
  </r>
  <r>
    <x v="33"/>
    <n v="169"/>
    <x v="51"/>
    <n v="259"/>
    <n v="0"/>
    <n v="0"/>
    <n v="259"/>
    <n v="26"/>
    <n v="0"/>
    <n v="285"/>
    <x v="2"/>
  </r>
  <r>
    <x v="34"/>
    <n v="214"/>
    <x v="63"/>
    <n v="315"/>
    <n v="0"/>
    <n v="0"/>
    <n v="315"/>
    <n v="31"/>
    <n v="0"/>
    <n v="346"/>
    <x v="2"/>
  </r>
  <r>
    <x v="35"/>
    <n v="217"/>
    <x v="77"/>
    <n v="447"/>
    <n v="0"/>
    <n v="0"/>
    <n v="447"/>
    <n v="45"/>
    <n v="0"/>
    <n v="492"/>
    <x v="2"/>
  </r>
  <r>
    <x v="36"/>
    <n v="209"/>
    <x v="67"/>
    <n v="273"/>
    <n v="0"/>
    <n v="0"/>
    <n v="273"/>
    <n v="27"/>
    <n v="0"/>
    <n v="300"/>
    <x v="2"/>
  </r>
  <r>
    <x v="37"/>
    <n v="245"/>
    <x v="78"/>
    <n v="402"/>
    <n v="0"/>
    <n v="0"/>
    <n v="402"/>
    <n v="40"/>
    <n v="0"/>
    <n v="442"/>
    <x v="2"/>
  </r>
  <r>
    <x v="38"/>
    <n v="246"/>
    <x v="6"/>
    <n v="236"/>
    <n v="0"/>
    <n v="0"/>
    <n v="236"/>
    <n v="24"/>
    <n v="0"/>
    <n v="260"/>
    <x v="2"/>
  </r>
  <r>
    <x v="39"/>
    <n v="270"/>
    <x v="63"/>
    <n v="396"/>
    <n v="0"/>
    <n v="0"/>
    <n v="396"/>
    <n v="40"/>
    <n v="0"/>
    <n v="436"/>
    <x v="2"/>
  </r>
  <r>
    <x v="40"/>
    <n v="310"/>
    <x v="64"/>
    <n v="449"/>
    <n v="0"/>
    <n v="0"/>
    <n v="449"/>
    <n v="45"/>
    <n v="0"/>
    <n v="494"/>
    <x v="2"/>
  </r>
  <r>
    <x v="41"/>
    <n v="232"/>
    <x v="71"/>
    <n v="310"/>
    <n v="0"/>
    <n v="0"/>
    <n v="310"/>
    <n v="31"/>
    <n v="0"/>
    <n v="341"/>
    <x v="2"/>
  </r>
  <r>
    <x v="42"/>
    <n v="256"/>
    <x v="79"/>
    <n v="480"/>
    <n v="0"/>
    <n v="0"/>
    <n v="480"/>
    <n v="48"/>
    <n v="0"/>
    <n v="527"/>
    <x v="2"/>
  </r>
  <r>
    <x v="43"/>
    <n v="268"/>
    <x v="73"/>
    <n v="392"/>
    <n v="0"/>
    <n v="0"/>
    <n v="392"/>
    <n v="39"/>
    <n v="0"/>
    <n v="431"/>
    <x v="2"/>
  </r>
  <r>
    <x v="44"/>
    <n v="285"/>
    <x v="34"/>
    <n v="487"/>
    <n v="0"/>
    <n v="0"/>
    <n v="487"/>
    <n v="48"/>
    <n v="0"/>
    <n v="535"/>
    <x v="2"/>
  </r>
  <r>
    <x v="45"/>
    <n v="282"/>
    <x v="71"/>
    <n v="375"/>
    <n v="0"/>
    <n v="0"/>
    <n v="375"/>
    <n v="38"/>
    <n v="0"/>
    <n v="413"/>
    <x v="2"/>
  </r>
  <r>
    <x v="46"/>
    <n v="302"/>
    <x v="80"/>
    <n v="533"/>
    <n v="0"/>
    <n v="0"/>
    <n v="533"/>
    <n v="47"/>
    <n v="0"/>
    <n v="580"/>
    <x v="2"/>
  </r>
  <r>
    <x v="47"/>
    <n v="274"/>
    <x v="34"/>
    <n v="468"/>
    <n v="0"/>
    <n v="0"/>
    <n v="468"/>
    <n v="44"/>
    <n v="0"/>
    <n v="512"/>
    <x v="2"/>
  </r>
  <r>
    <x v="48"/>
    <n v="292"/>
    <x v="48"/>
    <n v="352"/>
    <n v="0"/>
    <n v="0"/>
    <n v="352"/>
    <n v="34"/>
    <n v="0"/>
    <n v="386"/>
    <x v="2"/>
  </r>
  <r>
    <x v="49"/>
    <n v="256"/>
    <x v="81"/>
    <n v="397"/>
    <n v="0"/>
    <n v="0"/>
    <n v="397"/>
    <n v="38"/>
    <n v="0"/>
    <n v="435"/>
    <x v="2"/>
  </r>
  <r>
    <x v="50"/>
    <n v="263"/>
    <x v="60"/>
    <n v="406"/>
    <n v="0"/>
    <n v="0"/>
    <n v="406"/>
    <n v="38"/>
    <n v="0"/>
    <n v="443"/>
    <x v="2"/>
  </r>
  <r>
    <x v="51"/>
    <n v="307"/>
    <x v="53"/>
    <n v="489"/>
    <n v="0"/>
    <n v="0"/>
    <n v="489"/>
    <n v="44"/>
    <n v="0"/>
    <n v="534"/>
    <x v="2"/>
  </r>
  <r>
    <x v="52"/>
    <n v="307"/>
    <x v="82"/>
    <n v="622"/>
    <n v="0"/>
    <n v="0"/>
    <n v="622"/>
    <n v="55"/>
    <n v="0"/>
    <n v="677"/>
    <x v="2"/>
  </r>
  <r>
    <x v="0"/>
    <n v="789"/>
    <x v="83"/>
    <n v="1758"/>
    <n v="0"/>
    <n v="0"/>
    <n v="1758"/>
    <n v="176"/>
    <n v="0"/>
    <n v="1934"/>
    <x v="3"/>
  </r>
  <r>
    <x v="1"/>
    <n v="788"/>
    <x v="84"/>
    <n v="1447"/>
    <n v="0"/>
    <n v="0"/>
    <n v="1447"/>
    <n v="145"/>
    <n v="0"/>
    <n v="1592"/>
    <x v="3"/>
  </r>
  <r>
    <x v="2"/>
    <n v="773"/>
    <x v="85"/>
    <n v="1501"/>
    <n v="0"/>
    <n v="0"/>
    <n v="1501"/>
    <n v="150"/>
    <n v="0"/>
    <n v="1651"/>
    <x v="3"/>
  </r>
  <r>
    <x v="3"/>
    <n v="633"/>
    <x v="86"/>
    <n v="1151"/>
    <n v="0"/>
    <n v="0"/>
    <n v="1151"/>
    <n v="115"/>
    <n v="0"/>
    <n v="1267"/>
    <x v="3"/>
  </r>
  <r>
    <x v="4"/>
    <n v="595"/>
    <x v="61"/>
    <n v="944"/>
    <n v="0"/>
    <n v="0"/>
    <n v="944"/>
    <n v="94"/>
    <n v="0"/>
    <n v="1038"/>
    <x v="3"/>
  </r>
  <r>
    <x v="5"/>
    <n v="456"/>
    <x v="87"/>
    <n v="867"/>
    <n v="0"/>
    <n v="0"/>
    <n v="867"/>
    <n v="87"/>
    <n v="0"/>
    <n v="954"/>
    <x v="3"/>
  </r>
  <r>
    <x v="6"/>
    <n v="508"/>
    <x v="88"/>
    <n v="956"/>
    <n v="0"/>
    <n v="0"/>
    <n v="956"/>
    <n v="96"/>
    <n v="0"/>
    <n v="1052"/>
    <x v="3"/>
  </r>
  <r>
    <x v="7"/>
    <n v="849"/>
    <x v="89"/>
    <n v="1439"/>
    <n v="0"/>
    <n v="0"/>
    <n v="1439"/>
    <n v="144"/>
    <n v="0"/>
    <n v="1583"/>
    <x v="3"/>
  </r>
  <r>
    <x v="8"/>
    <n v="759"/>
    <x v="90"/>
    <n v="1485"/>
    <n v="0"/>
    <n v="0"/>
    <n v="1485"/>
    <n v="148"/>
    <n v="0"/>
    <n v="1633"/>
    <x v="3"/>
  </r>
  <r>
    <x v="9"/>
    <n v="764"/>
    <x v="91"/>
    <n v="1608"/>
    <n v="0"/>
    <n v="0"/>
    <n v="1608"/>
    <n v="161"/>
    <n v="0"/>
    <n v="1769"/>
    <x v="3"/>
  </r>
  <r>
    <x v="10"/>
    <n v="753"/>
    <x v="80"/>
    <n v="1333"/>
    <n v="0"/>
    <n v="0"/>
    <n v="1333"/>
    <n v="133"/>
    <n v="0"/>
    <n v="1467"/>
    <x v="3"/>
  </r>
  <r>
    <x v="11"/>
    <n v="378"/>
    <x v="88"/>
    <n v="709"/>
    <n v="0"/>
    <n v="0"/>
    <n v="709"/>
    <n v="71"/>
    <n v="0"/>
    <n v="780"/>
    <x v="3"/>
  </r>
  <r>
    <x v="12"/>
    <n v="775"/>
    <x v="83"/>
    <n v="1730"/>
    <n v="0"/>
    <n v="0"/>
    <n v="1730"/>
    <n v="173"/>
    <n v="0"/>
    <n v="1903"/>
    <x v="3"/>
  </r>
  <r>
    <x v="13"/>
    <n v="698"/>
    <x v="87"/>
    <n v="1329"/>
    <n v="0"/>
    <n v="0"/>
    <n v="1329"/>
    <n v="133"/>
    <n v="0"/>
    <n v="1462"/>
    <x v="3"/>
  </r>
  <r>
    <x v="14"/>
    <n v="537"/>
    <x v="92"/>
    <n v="1072"/>
    <n v="0"/>
    <n v="0"/>
    <n v="1072"/>
    <n v="107"/>
    <n v="0"/>
    <n v="1179"/>
    <x v="3"/>
  </r>
  <r>
    <x v="15"/>
    <n v="693"/>
    <x v="51"/>
    <n v="1062"/>
    <n v="0"/>
    <n v="0"/>
    <n v="1062"/>
    <n v="106"/>
    <n v="0"/>
    <n v="1168"/>
    <x v="3"/>
  </r>
  <r>
    <x v="16"/>
    <n v="474"/>
    <x v="34"/>
    <n v="810"/>
    <n v="0"/>
    <n v="0"/>
    <n v="810"/>
    <n v="81"/>
    <n v="0"/>
    <n v="891"/>
    <x v="3"/>
  </r>
  <r>
    <x v="17"/>
    <n v="387"/>
    <x v="81"/>
    <n v="600"/>
    <n v="0"/>
    <n v="0"/>
    <n v="600"/>
    <n v="60"/>
    <n v="0"/>
    <n v="660"/>
    <x v="3"/>
  </r>
  <r>
    <x v="18"/>
    <n v="411"/>
    <x v="88"/>
    <n v="772"/>
    <n v="0"/>
    <n v="0"/>
    <n v="772"/>
    <n v="77"/>
    <n v="0"/>
    <n v="849"/>
    <x v="3"/>
  </r>
  <r>
    <x v="19"/>
    <n v="500"/>
    <x v="93"/>
    <n v="895"/>
    <n v="0"/>
    <n v="0"/>
    <n v="895"/>
    <n v="89"/>
    <n v="0"/>
    <n v="984"/>
    <x v="3"/>
  </r>
  <r>
    <x v="20"/>
    <n v="544"/>
    <x v="94"/>
    <n v="937"/>
    <n v="0"/>
    <n v="0"/>
    <n v="937"/>
    <n v="94"/>
    <n v="0"/>
    <n v="1031"/>
    <x v="3"/>
  </r>
  <r>
    <x v="21"/>
    <n v="406"/>
    <x v="95"/>
    <n v="897"/>
    <n v="0"/>
    <n v="0"/>
    <n v="897"/>
    <n v="90"/>
    <n v="0"/>
    <n v="987"/>
    <x v="3"/>
  </r>
  <r>
    <x v="22"/>
    <n v="428"/>
    <x v="90"/>
    <n v="838"/>
    <n v="0"/>
    <n v="0"/>
    <n v="838"/>
    <n v="84"/>
    <n v="0"/>
    <n v="922"/>
    <x v="3"/>
  </r>
  <r>
    <x v="23"/>
    <n v="622"/>
    <x v="96"/>
    <n v="1109"/>
    <n v="0"/>
    <n v="0"/>
    <n v="1109"/>
    <n v="111"/>
    <n v="0"/>
    <n v="1220"/>
    <x v="3"/>
  </r>
  <r>
    <x v="24"/>
    <n v="537"/>
    <x v="97"/>
    <n v="897"/>
    <n v="0"/>
    <n v="0"/>
    <n v="897"/>
    <n v="90"/>
    <n v="0"/>
    <n v="986"/>
    <x v="3"/>
  </r>
  <r>
    <x v="25"/>
    <n v="520"/>
    <x v="98"/>
    <n v="1096"/>
    <n v="0"/>
    <n v="0"/>
    <n v="1096"/>
    <n v="110"/>
    <n v="0"/>
    <n v="1206"/>
    <x v="3"/>
  </r>
  <r>
    <x v="26"/>
    <n v="361"/>
    <x v="96"/>
    <n v="642"/>
    <n v="0"/>
    <n v="0"/>
    <n v="642"/>
    <n v="64"/>
    <n v="0"/>
    <n v="706"/>
    <x v="3"/>
  </r>
  <r>
    <x v="27"/>
    <n v="557"/>
    <x v="99"/>
    <n v="1289"/>
    <n v="0"/>
    <n v="0"/>
    <n v="1289"/>
    <n v="129"/>
    <n v="0"/>
    <n v="1418"/>
    <x v="3"/>
  </r>
  <r>
    <x v="28"/>
    <n v="438"/>
    <x v="85"/>
    <n v="848"/>
    <n v="0"/>
    <n v="0"/>
    <n v="848"/>
    <n v="85"/>
    <n v="0"/>
    <n v="933"/>
    <x v="3"/>
  </r>
  <r>
    <x v="29"/>
    <n v="512"/>
    <x v="100"/>
    <n v="1047"/>
    <n v="0"/>
    <n v="0"/>
    <n v="1047"/>
    <n v="105"/>
    <n v="0"/>
    <n v="1151"/>
    <x v="3"/>
  </r>
  <r>
    <x v="30"/>
    <n v="583"/>
    <x v="76"/>
    <n v="1058"/>
    <n v="0"/>
    <n v="0"/>
    <n v="1058"/>
    <n v="106"/>
    <n v="0"/>
    <n v="1163"/>
    <x v="3"/>
  </r>
  <r>
    <x v="31"/>
    <n v="513"/>
    <x v="92"/>
    <n v="1025"/>
    <n v="0"/>
    <n v="0"/>
    <n v="1025"/>
    <n v="102"/>
    <n v="0"/>
    <n v="1127"/>
    <x v="3"/>
  </r>
  <r>
    <x v="32"/>
    <n v="453"/>
    <x v="101"/>
    <n v="1044"/>
    <n v="0"/>
    <n v="0"/>
    <n v="1044"/>
    <n v="104"/>
    <n v="0"/>
    <n v="1148"/>
    <x v="3"/>
  </r>
  <r>
    <x v="33"/>
    <n v="487"/>
    <x v="102"/>
    <n v="1043"/>
    <n v="0"/>
    <n v="0"/>
    <n v="1043"/>
    <n v="104"/>
    <n v="0"/>
    <n v="1147"/>
    <x v="3"/>
  </r>
  <r>
    <x v="34"/>
    <n v="533"/>
    <x v="103"/>
    <n v="879"/>
    <n v="0"/>
    <n v="0"/>
    <n v="879"/>
    <n v="88"/>
    <n v="0"/>
    <n v="967"/>
    <x v="3"/>
  </r>
  <r>
    <x v="35"/>
    <n v="508"/>
    <x v="104"/>
    <n v="1149"/>
    <n v="0"/>
    <n v="0"/>
    <n v="1149"/>
    <n v="115"/>
    <n v="0"/>
    <n v="1264"/>
    <x v="3"/>
  </r>
  <r>
    <x v="36"/>
    <n v="549"/>
    <x v="105"/>
    <n v="989"/>
    <n v="0"/>
    <n v="0"/>
    <n v="989"/>
    <n v="99"/>
    <n v="0"/>
    <n v="1087"/>
    <x v="3"/>
  </r>
  <r>
    <x v="37"/>
    <n v="690"/>
    <x v="90"/>
    <n v="1349"/>
    <n v="0"/>
    <n v="0"/>
    <n v="1349"/>
    <n v="135"/>
    <n v="0"/>
    <n v="1484"/>
    <x v="3"/>
  </r>
  <r>
    <x v="38"/>
    <n v="479"/>
    <x v="90"/>
    <n v="939"/>
    <n v="0"/>
    <n v="0"/>
    <n v="939"/>
    <n v="94"/>
    <n v="0"/>
    <n v="1033"/>
    <x v="3"/>
  </r>
  <r>
    <x v="39"/>
    <n v="650"/>
    <x v="106"/>
    <n v="1240"/>
    <n v="0"/>
    <n v="0"/>
    <n v="1240"/>
    <n v="124"/>
    <n v="0"/>
    <n v="1364"/>
    <x v="3"/>
  </r>
  <r>
    <x v="40"/>
    <n v="655"/>
    <x v="103"/>
    <n v="1078"/>
    <n v="0"/>
    <n v="0"/>
    <n v="1078"/>
    <n v="108"/>
    <n v="0"/>
    <n v="1186"/>
    <x v="3"/>
  </r>
  <r>
    <x v="41"/>
    <n v="449"/>
    <x v="107"/>
    <n v="866"/>
    <n v="0"/>
    <n v="0"/>
    <n v="866"/>
    <n v="87"/>
    <n v="0"/>
    <n v="952"/>
    <x v="3"/>
  </r>
  <r>
    <x v="42"/>
    <n v="505"/>
    <x v="108"/>
    <n v="1035"/>
    <n v="0"/>
    <n v="0"/>
    <n v="1035"/>
    <n v="104"/>
    <n v="0"/>
    <n v="1139"/>
    <x v="3"/>
  </r>
  <r>
    <x v="43"/>
    <n v="454"/>
    <x v="109"/>
    <n v="1021"/>
    <n v="0"/>
    <n v="0"/>
    <n v="1021"/>
    <n v="102"/>
    <n v="0"/>
    <n v="1123"/>
    <x v="3"/>
  </r>
  <r>
    <x v="44"/>
    <n v="461"/>
    <x v="110"/>
    <n v="1167"/>
    <n v="0"/>
    <n v="0"/>
    <n v="1167"/>
    <n v="117"/>
    <n v="0"/>
    <n v="1283"/>
    <x v="3"/>
  </r>
  <r>
    <x v="45"/>
    <n v="484"/>
    <x v="94"/>
    <n v="830"/>
    <n v="0"/>
    <n v="0"/>
    <n v="830"/>
    <n v="83"/>
    <n v="0"/>
    <n v="913"/>
    <x v="3"/>
  </r>
  <r>
    <x v="46"/>
    <n v="415"/>
    <x v="106"/>
    <n v="791"/>
    <n v="0"/>
    <n v="0"/>
    <n v="791"/>
    <n v="75"/>
    <n v="0"/>
    <n v="867"/>
    <x v="3"/>
  </r>
  <r>
    <x v="47"/>
    <n v="592"/>
    <x v="111"/>
    <n v="1189"/>
    <n v="0"/>
    <n v="0"/>
    <n v="1189"/>
    <n v="112"/>
    <n v="0"/>
    <n v="1300"/>
    <x v="3"/>
  </r>
  <r>
    <x v="48"/>
    <n v="600"/>
    <x v="84"/>
    <n v="1105"/>
    <n v="0"/>
    <n v="0"/>
    <n v="1105"/>
    <n v="105"/>
    <n v="0"/>
    <n v="1210"/>
    <x v="3"/>
  </r>
  <r>
    <x v="49"/>
    <n v="655"/>
    <x v="109"/>
    <n v="1474"/>
    <n v="0"/>
    <n v="0"/>
    <n v="1474"/>
    <n v="138"/>
    <n v="0"/>
    <n v="1612"/>
    <x v="3"/>
  </r>
  <r>
    <x v="50"/>
    <n v="513"/>
    <x v="106"/>
    <n v="981"/>
    <n v="0"/>
    <n v="0"/>
    <n v="981"/>
    <n v="89"/>
    <n v="0"/>
    <n v="1071"/>
    <x v="3"/>
  </r>
  <r>
    <x v="51"/>
    <n v="628"/>
    <x v="105"/>
    <n v="1129"/>
    <n v="0"/>
    <n v="0"/>
    <n v="1129"/>
    <n v="103"/>
    <n v="0"/>
    <n v="1232"/>
    <x v="3"/>
  </r>
  <r>
    <x v="52"/>
    <n v="677"/>
    <x v="112"/>
    <n v="2182"/>
    <n v="0"/>
    <n v="0"/>
    <n v="2182"/>
    <n v="198"/>
    <n v="0"/>
    <n v="2380"/>
    <x v="3"/>
  </r>
  <r>
    <x v="0"/>
    <n v="56"/>
    <x v="56"/>
    <n v="76"/>
    <n v="0"/>
    <n v="0"/>
    <n v="76"/>
    <n v="8"/>
    <n v="0"/>
    <n v="83"/>
    <x v="4"/>
  </r>
  <r>
    <x v="1"/>
    <n v="101"/>
    <x v="52"/>
    <n v="145"/>
    <n v="0"/>
    <n v="0"/>
    <n v="145"/>
    <n v="15"/>
    <n v="0"/>
    <n v="160"/>
    <x v="4"/>
  </r>
  <r>
    <x v="2"/>
    <n v="73"/>
    <x v="113"/>
    <n v="94"/>
    <n v="0"/>
    <n v="0"/>
    <n v="94"/>
    <n v="9"/>
    <n v="0"/>
    <n v="104"/>
    <x v="4"/>
  </r>
  <r>
    <x v="3"/>
    <n v="40"/>
    <x v="71"/>
    <n v="53"/>
    <n v="0"/>
    <n v="0"/>
    <n v="53"/>
    <n v="5"/>
    <n v="0"/>
    <n v="58"/>
    <x v="4"/>
  </r>
  <r>
    <x v="4"/>
    <n v="46"/>
    <x v="68"/>
    <n v="58"/>
    <n v="0"/>
    <n v="0"/>
    <n v="58"/>
    <n v="6"/>
    <n v="0"/>
    <n v="64"/>
    <x v="4"/>
  </r>
  <r>
    <x v="5"/>
    <n v="9"/>
    <x v="114"/>
    <n v="14"/>
    <n v="0"/>
    <n v="0"/>
    <n v="14"/>
    <n v="1"/>
    <n v="0"/>
    <n v="15"/>
    <x v="4"/>
  </r>
  <r>
    <x v="6"/>
    <n v="53"/>
    <x v="89"/>
    <n v="90"/>
    <n v="0"/>
    <n v="0"/>
    <n v="90"/>
    <n v="9"/>
    <n v="0"/>
    <n v="99"/>
    <x v="4"/>
  </r>
  <r>
    <x v="7"/>
    <n v="47"/>
    <x v="39"/>
    <n v="55"/>
    <n v="0"/>
    <n v="0"/>
    <n v="55"/>
    <n v="5"/>
    <n v="0"/>
    <n v="60"/>
    <x v="4"/>
  </r>
  <r>
    <x v="8"/>
    <n v="45"/>
    <x v="71"/>
    <n v="60"/>
    <n v="0"/>
    <n v="0"/>
    <n v="60"/>
    <n v="6"/>
    <n v="0"/>
    <n v="66"/>
    <x v="4"/>
  </r>
  <r>
    <x v="9"/>
    <n v="46"/>
    <x v="70"/>
    <n v="63"/>
    <n v="0"/>
    <n v="0"/>
    <n v="63"/>
    <n v="6"/>
    <n v="0"/>
    <n v="69"/>
    <x v="4"/>
  </r>
  <r>
    <x v="10"/>
    <n v="82"/>
    <x v="115"/>
    <n v="125"/>
    <n v="0"/>
    <n v="0"/>
    <n v="125"/>
    <n v="12"/>
    <n v="0"/>
    <n v="137"/>
    <x v="4"/>
  </r>
  <r>
    <x v="11"/>
    <n v="40"/>
    <x v="81"/>
    <n v="62"/>
    <n v="0"/>
    <n v="0"/>
    <n v="62"/>
    <n v="6"/>
    <n v="0"/>
    <n v="68"/>
    <x v="4"/>
  </r>
  <r>
    <x v="12"/>
    <n v="35"/>
    <x v="115"/>
    <n v="53"/>
    <n v="0"/>
    <n v="0"/>
    <n v="53"/>
    <n v="5"/>
    <n v="0"/>
    <n v="58"/>
    <x v="4"/>
  </r>
  <r>
    <x v="13"/>
    <n v="40"/>
    <x v="116"/>
    <n v="53"/>
    <n v="0"/>
    <n v="0"/>
    <n v="53"/>
    <n v="5"/>
    <n v="0"/>
    <n v="58"/>
    <x v="4"/>
  </r>
  <r>
    <x v="14"/>
    <n v="29"/>
    <x v="113"/>
    <n v="38"/>
    <n v="0"/>
    <n v="0"/>
    <n v="38"/>
    <n v="4"/>
    <n v="0"/>
    <n v="41"/>
    <x v="4"/>
  </r>
  <r>
    <x v="15"/>
    <n v="91"/>
    <x v="68"/>
    <n v="115"/>
    <n v="0"/>
    <n v="0"/>
    <n v="115"/>
    <n v="11"/>
    <n v="0"/>
    <n v="126"/>
    <x v="4"/>
  </r>
  <r>
    <x v="16"/>
    <n v="76"/>
    <x v="35"/>
    <n v="108"/>
    <n v="0"/>
    <n v="0"/>
    <n v="108"/>
    <n v="11"/>
    <n v="0"/>
    <n v="119"/>
    <x v="4"/>
  </r>
  <r>
    <x v="17"/>
    <n v="24"/>
    <x v="70"/>
    <n v="32"/>
    <n v="0"/>
    <n v="0"/>
    <n v="32"/>
    <n v="3"/>
    <n v="0"/>
    <n v="35"/>
    <x v="4"/>
  </r>
  <r>
    <x v="18"/>
    <n v="44"/>
    <x v="65"/>
    <n v="53"/>
    <n v="0"/>
    <n v="0"/>
    <n v="53"/>
    <n v="5"/>
    <n v="0"/>
    <n v="58"/>
    <x v="4"/>
  </r>
  <r>
    <x v="19"/>
    <n v="56"/>
    <x v="65"/>
    <n v="67"/>
    <n v="0"/>
    <n v="0"/>
    <n v="67"/>
    <n v="7"/>
    <n v="0"/>
    <n v="74"/>
    <x v="4"/>
  </r>
  <r>
    <x v="20"/>
    <n v="39"/>
    <x v="12"/>
    <n v="34"/>
    <n v="0"/>
    <n v="0"/>
    <n v="34"/>
    <n v="3"/>
    <n v="0"/>
    <n v="38"/>
    <x v="4"/>
  </r>
  <r>
    <x v="21"/>
    <n v="45"/>
    <x v="60"/>
    <n v="69"/>
    <n v="0"/>
    <n v="0"/>
    <n v="69"/>
    <n v="7"/>
    <n v="0"/>
    <n v="76"/>
    <x v="4"/>
  </r>
  <r>
    <x v="22"/>
    <n v="53"/>
    <x v="52"/>
    <n v="76"/>
    <n v="0"/>
    <n v="0"/>
    <n v="76"/>
    <n v="8"/>
    <n v="0"/>
    <n v="84"/>
    <x v="4"/>
  </r>
  <r>
    <x v="23"/>
    <n v="49"/>
    <x v="24"/>
    <n v="61"/>
    <n v="0"/>
    <n v="0"/>
    <n v="61"/>
    <n v="6"/>
    <n v="0"/>
    <n v="67"/>
    <x v="4"/>
  </r>
  <r>
    <x v="24"/>
    <n v="29"/>
    <x v="70"/>
    <n v="40"/>
    <n v="0"/>
    <n v="0"/>
    <n v="40"/>
    <n v="4"/>
    <n v="0"/>
    <n v="44"/>
    <x v="4"/>
  </r>
  <r>
    <x v="25"/>
    <n v="43"/>
    <x v="49"/>
    <n v="61"/>
    <n v="0"/>
    <n v="0"/>
    <n v="61"/>
    <n v="6"/>
    <n v="0"/>
    <n v="67"/>
    <x v="4"/>
  </r>
  <r>
    <x v="26"/>
    <n v="43"/>
    <x v="117"/>
    <n v="70"/>
    <n v="0"/>
    <n v="0"/>
    <n v="70"/>
    <n v="7"/>
    <n v="0"/>
    <n v="77"/>
    <x v="4"/>
  </r>
  <r>
    <x v="27"/>
    <n v="21"/>
    <x v="118"/>
    <n v="31"/>
    <n v="0"/>
    <n v="0"/>
    <n v="31"/>
    <n v="3"/>
    <n v="0"/>
    <n v="34"/>
    <x v="4"/>
  </r>
  <r>
    <x v="28"/>
    <n v="45"/>
    <x v="56"/>
    <n v="61"/>
    <n v="0"/>
    <n v="0"/>
    <n v="61"/>
    <n v="6"/>
    <n v="0"/>
    <n v="67"/>
    <x v="4"/>
  </r>
  <r>
    <x v="29"/>
    <n v="62"/>
    <x v="49"/>
    <n v="88"/>
    <n v="0"/>
    <n v="0"/>
    <n v="88"/>
    <n v="9"/>
    <n v="0"/>
    <n v="96"/>
    <x v="4"/>
  </r>
  <r>
    <x v="30"/>
    <n v="68"/>
    <x v="113"/>
    <n v="87"/>
    <n v="0"/>
    <n v="0"/>
    <n v="87"/>
    <n v="9"/>
    <n v="0"/>
    <n v="96"/>
    <x v="4"/>
  </r>
  <r>
    <x v="31"/>
    <n v="63"/>
    <x v="115"/>
    <n v="95"/>
    <n v="0"/>
    <n v="0"/>
    <n v="95"/>
    <n v="10"/>
    <n v="0"/>
    <n v="105"/>
    <x v="4"/>
  </r>
  <r>
    <x v="32"/>
    <n v="75"/>
    <x v="119"/>
    <n v="122"/>
    <n v="0"/>
    <n v="0"/>
    <n v="122"/>
    <n v="12"/>
    <n v="0"/>
    <n v="134"/>
    <x v="4"/>
  </r>
  <r>
    <x v="33"/>
    <n v="74"/>
    <x v="86"/>
    <n v="135"/>
    <n v="0"/>
    <n v="0"/>
    <n v="135"/>
    <n v="13"/>
    <n v="0"/>
    <n v="148"/>
    <x v="4"/>
  </r>
  <r>
    <x v="34"/>
    <n v="62"/>
    <x v="120"/>
    <n v="102"/>
    <n v="0"/>
    <n v="0"/>
    <n v="102"/>
    <n v="10"/>
    <n v="0"/>
    <n v="113"/>
    <x v="4"/>
  </r>
  <r>
    <x v="35"/>
    <n v="75"/>
    <x v="96"/>
    <n v="134"/>
    <n v="0"/>
    <n v="0"/>
    <n v="134"/>
    <n v="13"/>
    <n v="0"/>
    <n v="148"/>
    <x v="4"/>
  </r>
  <r>
    <x v="36"/>
    <n v="44"/>
    <x v="71"/>
    <n v="58"/>
    <n v="0"/>
    <n v="0"/>
    <n v="58"/>
    <n v="6"/>
    <n v="0"/>
    <n v="64"/>
    <x v="4"/>
  </r>
  <r>
    <x v="37"/>
    <n v="41"/>
    <x v="88"/>
    <n v="78"/>
    <n v="0"/>
    <n v="0"/>
    <n v="78"/>
    <n v="8"/>
    <n v="0"/>
    <n v="86"/>
    <x v="4"/>
  </r>
  <r>
    <x v="38"/>
    <n v="37"/>
    <x v="52"/>
    <n v="52"/>
    <n v="0"/>
    <n v="0"/>
    <n v="52"/>
    <n v="5"/>
    <n v="0"/>
    <n v="58"/>
    <x v="4"/>
  </r>
  <r>
    <x v="39"/>
    <n v="64"/>
    <x v="54"/>
    <n v="65"/>
    <n v="0"/>
    <n v="0"/>
    <n v="65"/>
    <n v="7"/>
    <n v="0"/>
    <n v="72"/>
    <x v="4"/>
  </r>
  <r>
    <x v="40"/>
    <n v="87"/>
    <x v="121"/>
    <n v="123"/>
    <n v="0"/>
    <n v="0"/>
    <n v="123"/>
    <n v="12"/>
    <n v="0"/>
    <n v="135"/>
    <x v="4"/>
  </r>
  <r>
    <x v="41"/>
    <n v="39"/>
    <x v="76"/>
    <n v="70"/>
    <n v="0"/>
    <n v="0"/>
    <n v="70"/>
    <n v="7"/>
    <n v="0"/>
    <n v="77"/>
    <x v="4"/>
  </r>
  <r>
    <x v="42"/>
    <n v="37"/>
    <x v="122"/>
    <n v="57"/>
    <n v="0"/>
    <n v="0"/>
    <n v="57"/>
    <n v="6"/>
    <n v="0"/>
    <n v="63"/>
    <x v="4"/>
  </r>
  <r>
    <x v="43"/>
    <n v="37"/>
    <x v="123"/>
    <n v="65"/>
    <n v="0"/>
    <n v="0"/>
    <n v="65"/>
    <n v="7"/>
    <n v="0"/>
    <n v="72"/>
    <x v="4"/>
  </r>
  <r>
    <x v="44"/>
    <n v="32"/>
    <x v="107"/>
    <n v="61"/>
    <n v="0"/>
    <n v="0"/>
    <n v="61"/>
    <n v="6"/>
    <n v="0"/>
    <n v="67"/>
    <x v="4"/>
  </r>
  <r>
    <x v="45"/>
    <n v="38"/>
    <x v="114"/>
    <n v="57"/>
    <n v="0"/>
    <n v="0"/>
    <n v="57"/>
    <n v="6"/>
    <n v="0"/>
    <n v="62"/>
    <x v="4"/>
  </r>
  <r>
    <x v="46"/>
    <n v="55"/>
    <x v="35"/>
    <n v="79"/>
    <n v="0"/>
    <n v="0"/>
    <n v="79"/>
    <n v="8"/>
    <n v="0"/>
    <n v="86"/>
    <x v="4"/>
  </r>
  <r>
    <x v="47"/>
    <n v="60"/>
    <x v="124"/>
    <n v="75"/>
    <n v="0"/>
    <n v="0"/>
    <n v="75"/>
    <n v="7"/>
    <n v="0"/>
    <n v="82"/>
    <x v="4"/>
  </r>
  <r>
    <x v="48"/>
    <n v="62"/>
    <x v="73"/>
    <n v="91"/>
    <n v="0"/>
    <n v="0"/>
    <n v="91"/>
    <n v="8"/>
    <n v="0"/>
    <n v="99"/>
    <x v="4"/>
  </r>
  <r>
    <x v="49"/>
    <n v="68"/>
    <x v="89"/>
    <n v="115"/>
    <n v="0"/>
    <n v="0"/>
    <n v="115"/>
    <n v="9"/>
    <n v="0"/>
    <n v="125"/>
    <x v="4"/>
  </r>
  <r>
    <x v="50"/>
    <n v="63"/>
    <x v="125"/>
    <n v="100"/>
    <n v="0"/>
    <n v="0"/>
    <n v="100"/>
    <n v="8"/>
    <n v="0"/>
    <n v="108"/>
    <x v="4"/>
  </r>
  <r>
    <x v="51"/>
    <n v="90"/>
    <x v="73"/>
    <n v="132"/>
    <n v="0"/>
    <n v="0"/>
    <n v="132"/>
    <n v="11"/>
    <n v="0"/>
    <n v="143"/>
    <x v="4"/>
  </r>
  <r>
    <x v="52"/>
    <n v="62"/>
    <x v="126"/>
    <n v="175"/>
    <n v="0"/>
    <n v="0"/>
    <n v="175"/>
    <n v="14"/>
    <n v="0"/>
    <n v="189"/>
    <x v="4"/>
  </r>
  <r>
    <x v="0"/>
    <n v="2336"/>
    <x v="105"/>
    <n v="4201"/>
    <n v="0"/>
    <n v="0"/>
    <n v="4201"/>
    <n v="420"/>
    <n v="0"/>
    <n v="4621"/>
    <x v="5"/>
  </r>
  <r>
    <x v="1"/>
    <n v="2306"/>
    <x v="117"/>
    <n v="3729"/>
    <n v="0"/>
    <n v="0"/>
    <n v="3729"/>
    <n v="373"/>
    <n v="0"/>
    <n v="4102"/>
    <x v="5"/>
  </r>
  <r>
    <x v="2"/>
    <n v="2317"/>
    <x v="123"/>
    <n v="4060"/>
    <n v="0"/>
    <n v="0"/>
    <n v="4060"/>
    <n v="406"/>
    <n v="0"/>
    <n v="4466"/>
    <x v="5"/>
  </r>
  <r>
    <x v="3"/>
    <n v="1894"/>
    <x v="57"/>
    <n v="3202"/>
    <n v="0"/>
    <n v="0"/>
    <n v="3202"/>
    <n v="320"/>
    <n v="0"/>
    <n v="3522"/>
    <x v="5"/>
  </r>
  <r>
    <x v="4"/>
    <n v="2059"/>
    <x v="127"/>
    <n v="3320"/>
    <n v="0"/>
    <n v="0"/>
    <n v="3320"/>
    <n v="332"/>
    <n v="0"/>
    <n v="3652"/>
    <x v="5"/>
  </r>
  <r>
    <x v="5"/>
    <n v="1947"/>
    <x v="96"/>
    <n v="3467"/>
    <n v="0"/>
    <n v="0"/>
    <n v="3467"/>
    <n v="347"/>
    <n v="0"/>
    <n v="3814"/>
    <x v="5"/>
  </r>
  <r>
    <x v="6"/>
    <n v="1491"/>
    <x v="84"/>
    <n v="2746"/>
    <n v="0"/>
    <n v="0"/>
    <n v="2746"/>
    <n v="275"/>
    <n v="0"/>
    <n v="3021"/>
    <x v="5"/>
  </r>
  <r>
    <x v="7"/>
    <n v="1645"/>
    <x v="72"/>
    <n v="2208"/>
    <n v="0"/>
    <n v="0"/>
    <n v="2208"/>
    <n v="221"/>
    <n v="0"/>
    <n v="2429"/>
    <x v="5"/>
  </r>
  <r>
    <x v="8"/>
    <n v="1746"/>
    <x v="86"/>
    <n v="3184"/>
    <n v="0"/>
    <n v="0"/>
    <n v="3184"/>
    <n v="318"/>
    <n v="0"/>
    <n v="3502"/>
    <x v="5"/>
  </r>
  <r>
    <x v="9"/>
    <n v="1106"/>
    <x v="123"/>
    <n v="1938"/>
    <n v="0"/>
    <n v="0"/>
    <n v="1938"/>
    <n v="194"/>
    <n v="0"/>
    <n v="2132"/>
    <x v="5"/>
  </r>
  <r>
    <x v="10"/>
    <n v="1939"/>
    <x v="84"/>
    <n v="3576"/>
    <n v="0"/>
    <n v="0"/>
    <n v="3576"/>
    <n v="358"/>
    <n v="0"/>
    <n v="3933"/>
    <x v="5"/>
  </r>
  <r>
    <x v="11"/>
    <n v="577"/>
    <x v="127"/>
    <n v="931"/>
    <n v="0"/>
    <n v="0"/>
    <n v="931"/>
    <n v="93"/>
    <n v="0"/>
    <n v="1025"/>
    <x v="5"/>
  </r>
  <r>
    <x v="12"/>
    <n v="1163"/>
    <x v="79"/>
    <n v="2174"/>
    <n v="0"/>
    <n v="0"/>
    <n v="2174"/>
    <n v="217"/>
    <n v="0"/>
    <n v="2392"/>
    <x v="5"/>
  </r>
  <r>
    <x v="13"/>
    <n v="1014"/>
    <x v="86"/>
    <n v="1845"/>
    <n v="0"/>
    <n v="0"/>
    <n v="1845"/>
    <n v="184"/>
    <n v="0"/>
    <n v="2029"/>
    <x v="5"/>
  </r>
  <r>
    <x v="14"/>
    <n v="541"/>
    <x v="128"/>
    <n v="934"/>
    <n v="0"/>
    <n v="0"/>
    <n v="934"/>
    <n v="93"/>
    <n v="0"/>
    <n v="1028"/>
    <x v="5"/>
  </r>
  <r>
    <x v="15"/>
    <n v="1466"/>
    <x v="35"/>
    <n v="2094"/>
    <n v="0"/>
    <n v="0"/>
    <n v="2094"/>
    <n v="209"/>
    <n v="0"/>
    <n v="2303"/>
    <x v="5"/>
  </r>
  <r>
    <x v="16"/>
    <n v="855"/>
    <x v="61"/>
    <n v="1357"/>
    <n v="0"/>
    <n v="0"/>
    <n v="1357"/>
    <n v="136"/>
    <n v="0"/>
    <n v="1493"/>
    <x v="5"/>
  </r>
  <r>
    <x v="17"/>
    <n v="469"/>
    <x v="127"/>
    <n v="756"/>
    <n v="0"/>
    <n v="0"/>
    <n v="756"/>
    <n v="76"/>
    <n v="0"/>
    <n v="832"/>
    <x v="5"/>
  </r>
  <r>
    <x v="18"/>
    <n v="757"/>
    <x v="52"/>
    <n v="1090"/>
    <n v="0"/>
    <n v="0"/>
    <n v="1090"/>
    <n v="109"/>
    <n v="0"/>
    <n v="1199"/>
    <x v="5"/>
  </r>
  <r>
    <x v="19"/>
    <n v="755"/>
    <x v="59"/>
    <n v="1185"/>
    <n v="0"/>
    <n v="0"/>
    <n v="1185"/>
    <n v="119"/>
    <n v="0"/>
    <n v="1304"/>
    <x v="5"/>
  </r>
  <r>
    <x v="20"/>
    <n v="703"/>
    <x v="75"/>
    <n v="890"/>
    <n v="0"/>
    <n v="0"/>
    <n v="890"/>
    <n v="89"/>
    <n v="0"/>
    <n v="979"/>
    <x v="5"/>
  </r>
  <r>
    <x v="21"/>
    <n v="662"/>
    <x v="129"/>
    <n v="1274"/>
    <n v="0"/>
    <n v="0"/>
    <n v="1274"/>
    <n v="127"/>
    <n v="0"/>
    <n v="1401"/>
    <x v="5"/>
  </r>
  <r>
    <x v="22"/>
    <n v="700"/>
    <x v="127"/>
    <n v="1126"/>
    <n v="0"/>
    <n v="0"/>
    <n v="1126"/>
    <n v="113"/>
    <n v="0"/>
    <n v="1239"/>
    <x v="5"/>
  </r>
  <r>
    <x v="23"/>
    <n v="757"/>
    <x v="115"/>
    <n v="1150"/>
    <n v="0"/>
    <n v="0"/>
    <n v="1150"/>
    <n v="115"/>
    <n v="0"/>
    <n v="1265"/>
    <x v="5"/>
  </r>
  <r>
    <x v="24"/>
    <n v="541"/>
    <x v="130"/>
    <n v="748"/>
    <n v="0"/>
    <n v="0"/>
    <n v="748"/>
    <n v="75"/>
    <n v="0"/>
    <n v="823"/>
    <x v="5"/>
  </r>
  <r>
    <x v="25"/>
    <n v="796"/>
    <x v="105"/>
    <n v="1434"/>
    <n v="0"/>
    <n v="0"/>
    <n v="1434"/>
    <n v="143"/>
    <n v="0"/>
    <n v="1577"/>
    <x v="5"/>
  </r>
  <r>
    <x v="26"/>
    <n v="524"/>
    <x v="84"/>
    <n v="962"/>
    <n v="0"/>
    <n v="0"/>
    <n v="962"/>
    <n v="96"/>
    <n v="0"/>
    <n v="1058"/>
    <x v="5"/>
  </r>
  <r>
    <x v="27"/>
    <n v="882"/>
    <x v="90"/>
    <n v="1728"/>
    <n v="0"/>
    <n v="0"/>
    <n v="1728"/>
    <n v="173"/>
    <n v="0"/>
    <n v="1901"/>
    <x v="5"/>
  </r>
  <r>
    <x v="28"/>
    <n v="1159"/>
    <x v="127"/>
    <n v="1862"/>
    <n v="0"/>
    <n v="0"/>
    <n v="1862"/>
    <n v="186"/>
    <n v="0"/>
    <n v="2049"/>
    <x v="5"/>
  </r>
  <r>
    <x v="29"/>
    <n v="1072"/>
    <x v="122"/>
    <n v="1674"/>
    <n v="0"/>
    <n v="0"/>
    <n v="1674"/>
    <n v="167"/>
    <n v="0"/>
    <n v="1841"/>
    <x v="5"/>
  </r>
  <r>
    <x v="30"/>
    <n v="1247"/>
    <x v="131"/>
    <n v="2169"/>
    <n v="0"/>
    <n v="0"/>
    <n v="2169"/>
    <n v="217"/>
    <n v="0"/>
    <n v="2386"/>
    <x v="5"/>
  </r>
  <r>
    <x v="31"/>
    <n v="1117"/>
    <x v="132"/>
    <n v="2111"/>
    <n v="0"/>
    <n v="0"/>
    <n v="2111"/>
    <n v="211"/>
    <n v="0"/>
    <n v="2323"/>
    <x v="5"/>
  </r>
  <r>
    <x v="32"/>
    <n v="1390"/>
    <x v="133"/>
    <n v="2541"/>
    <n v="0"/>
    <n v="0"/>
    <n v="2541"/>
    <n v="254"/>
    <n v="0"/>
    <n v="2795"/>
    <x v="5"/>
  </r>
  <r>
    <x v="33"/>
    <n v="1241"/>
    <x v="90"/>
    <n v="2430"/>
    <n v="0"/>
    <n v="0"/>
    <n v="2430"/>
    <n v="243"/>
    <n v="0"/>
    <n v="2673"/>
    <x v="5"/>
  </r>
  <r>
    <x v="34"/>
    <n v="1283"/>
    <x v="134"/>
    <n v="2553"/>
    <n v="0"/>
    <n v="0"/>
    <n v="2553"/>
    <n v="255"/>
    <n v="0"/>
    <n v="2809"/>
    <x v="5"/>
  </r>
  <r>
    <x v="35"/>
    <n v="1198"/>
    <x v="135"/>
    <n v="2847"/>
    <n v="0"/>
    <n v="0"/>
    <n v="2847"/>
    <n v="285"/>
    <n v="0"/>
    <n v="3132"/>
    <x v="5"/>
  </r>
  <r>
    <x v="36"/>
    <n v="1268"/>
    <x v="120"/>
    <n v="2106"/>
    <n v="0"/>
    <n v="0"/>
    <n v="2106"/>
    <n v="211"/>
    <n v="0"/>
    <n v="2317"/>
    <x v="5"/>
  </r>
  <r>
    <x v="37"/>
    <n v="1191"/>
    <x v="102"/>
    <n v="2548"/>
    <n v="0"/>
    <n v="0"/>
    <n v="2548"/>
    <n v="255"/>
    <n v="0"/>
    <n v="2803"/>
    <x v="5"/>
  </r>
  <r>
    <x v="38"/>
    <n v="1254"/>
    <x v="131"/>
    <n v="2180"/>
    <n v="0"/>
    <n v="0"/>
    <n v="2180"/>
    <n v="218"/>
    <n v="0"/>
    <n v="2398"/>
    <x v="5"/>
  </r>
  <r>
    <x v="39"/>
    <n v="1398"/>
    <x v="131"/>
    <n v="2429"/>
    <n v="0"/>
    <n v="0"/>
    <n v="2429"/>
    <n v="243"/>
    <n v="0"/>
    <n v="2672"/>
    <x v="5"/>
  </r>
  <r>
    <x v="40"/>
    <n v="1635"/>
    <x v="122"/>
    <n v="2548"/>
    <n v="0"/>
    <n v="0"/>
    <n v="2548"/>
    <n v="255"/>
    <n v="0"/>
    <n v="2803"/>
    <x v="5"/>
  </r>
  <r>
    <x v="41"/>
    <n v="1617"/>
    <x v="129"/>
    <n v="3103"/>
    <n v="0"/>
    <n v="0"/>
    <n v="3103"/>
    <n v="310"/>
    <n v="0"/>
    <n v="3413"/>
    <x v="5"/>
  </r>
  <r>
    <x v="42"/>
    <n v="1693"/>
    <x v="121"/>
    <n v="2412"/>
    <n v="0"/>
    <n v="0"/>
    <n v="2412"/>
    <n v="238"/>
    <n v="0"/>
    <n v="2650"/>
    <x v="5"/>
  </r>
  <r>
    <x v="43"/>
    <n v="1791"/>
    <x v="129"/>
    <n v="3432"/>
    <n v="0"/>
    <n v="0"/>
    <n v="3432"/>
    <n v="339"/>
    <n v="0"/>
    <n v="3771"/>
    <x v="5"/>
  </r>
  <r>
    <x v="44"/>
    <n v="1737"/>
    <x v="136"/>
    <n v="3632"/>
    <n v="0"/>
    <n v="0"/>
    <n v="3632"/>
    <n v="359"/>
    <n v="0"/>
    <n v="3991"/>
    <x v="5"/>
  </r>
  <r>
    <x v="45"/>
    <n v="1641"/>
    <x v="89"/>
    <n v="2795"/>
    <n v="0"/>
    <n v="0"/>
    <n v="2795"/>
    <n v="277"/>
    <n v="0"/>
    <n v="3072"/>
    <x v="5"/>
  </r>
  <r>
    <x v="46"/>
    <n v="1850"/>
    <x v="137"/>
    <n v="3430"/>
    <n v="0"/>
    <n v="0"/>
    <n v="3430"/>
    <n v="336"/>
    <n v="0"/>
    <n v="3766"/>
    <x v="5"/>
  </r>
  <r>
    <x v="47"/>
    <n v="1687"/>
    <x v="85"/>
    <n v="3278"/>
    <n v="0"/>
    <n v="0"/>
    <n v="3278"/>
    <n v="316"/>
    <n v="0"/>
    <n v="3594"/>
    <x v="5"/>
  </r>
  <r>
    <x v="48"/>
    <n v="1745"/>
    <x v="138"/>
    <n v="3250"/>
    <n v="0"/>
    <n v="0"/>
    <n v="3250"/>
    <n v="309"/>
    <n v="0"/>
    <n v="3559"/>
    <x v="5"/>
  </r>
  <r>
    <x v="49"/>
    <n v="1763"/>
    <x v="139"/>
    <n v="3742"/>
    <n v="0"/>
    <n v="0"/>
    <n v="3742"/>
    <n v="352"/>
    <n v="0"/>
    <n v="4093"/>
    <x v="5"/>
  </r>
  <r>
    <x v="50"/>
    <n v="1564"/>
    <x v="133"/>
    <n v="2861"/>
    <n v="0"/>
    <n v="0"/>
    <n v="2861"/>
    <n v="265"/>
    <n v="0"/>
    <n v="3126"/>
    <x v="5"/>
  </r>
  <r>
    <x v="51"/>
    <n v="1791"/>
    <x v="79"/>
    <n v="3348"/>
    <n v="0"/>
    <n v="0"/>
    <n v="3348"/>
    <n v="311"/>
    <n v="0"/>
    <n v="3660"/>
    <x v="5"/>
  </r>
  <r>
    <x v="52"/>
    <n v="1772"/>
    <x v="140"/>
    <n v="6944"/>
    <n v="0"/>
    <n v="0"/>
    <n v="6944"/>
    <n v="644"/>
    <n v="0"/>
    <n v="7588"/>
    <x v="5"/>
  </r>
  <r>
    <x v="0"/>
    <n v="290"/>
    <x v="84"/>
    <n v="532"/>
    <n v="0"/>
    <n v="0"/>
    <n v="532"/>
    <n v="53"/>
    <n v="0"/>
    <n v="586"/>
    <x v="6"/>
  </r>
  <r>
    <x v="1"/>
    <n v="440"/>
    <x v="141"/>
    <n v="915"/>
    <n v="0"/>
    <n v="0"/>
    <n v="915"/>
    <n v="91"/>
    <n v="0"/>
    <n v="1006"/>
    <x v="6"/>
  </r>
  <r>
    <x v="2"/>
    <n v="454"/>
    <x v="92"/>
    <n v="910"/>
    <n v="0"/>
    <n v="0"/>
    <n v="910"/>
    <n v="91"/>
    <n v="0"/>
    <n v="1001"/>
    <x v="6"/>
  </r>
  <r>
    <x v="3"/>
    <n v="399"/>
    <x v="137"/>
    <n v="737"/>
    <n v="0"/>
    <n v="0"/>
    <n v="737"/>
    <n v="74"/>
    <n v="0"/>
    <n v="811"/>
    <x v="6"/>
  </r>
  <r>
    <x v="4"/>
    <n v="437"/>
    <x v="97"/>
    <n v="730"/>
    <n v="0"/>
    <n v="0"/>
    <n v="730"/>
    <n v="73"/>
    <n v="0"/>
    <n v="803"/>
    <x v="6"/>
  </r>
  <r>
    <x v="5"/>
    <n v="344"/>
    <x v="98"/>
    <n v="727"/>
    <n v="0"/>
    <n v="0"/>
    <n v="727"/>
    <n v="73"/>
    <n v="0"/>
    <n v="800"/>
    <x v="6"/>
  </r>
  <r>
    <x v="6"/>
    <n v="497"/>
    <x v="84"/>
    <n v="916"/>
    <n v="0"/>
    <n v="0"/>
    <n v="916"/>
    <n v="92"/>
    <n v="0"/>
    <n v="1008"/>
    <x v="6"/>
  </r>
  <r>
    <x v="7"/>
    <n v="410"/>
    <x v="132"/>
    <n v="775"/>
    <n v="0"/>
    <n v="0"/>
    <n v="775"/>
    <n v="77"/>
    <n v="0"/>
    <n v="852"/>
    <x v="6"/>
  </r>
  <r>
    <x v="8"/>
    <n v="372"/>
    <x v="136"/>
    <n v="778"/>
    <n v="0"/>
    <n v="0"/>
    <n v="778"/>
    <n v="78"/>
    <n v="0"/>
    <n v="856"/>
    <x v="6"/>
  </r>
  <r>
    <x v="9"/>
    <n v="372"/>
    <x v="62"/>
    <n v="750"/>
    <n v="0"/>
    <n v="0"/>
    <n v="750"/>
    <n v="75"/>
    <n v="0"/>
    <n v="825"/>
    <x v="6"/>
  </r>
  <r>
    <x v="10"/>
    <n v="336"/>
    <x v="139"/>
    <n v="712"/>
    <n v="0"/>
    <n v="0"/>
    <n v="712"/>
    <n v="71"/>
    <n v="0"/>
    <n v="783"/>
    <x v="6"/>
  </r>
  <r>
    <x v="11"/>
    <n v="109"/>
    <x v="100"/>
    <n v="223"/>
    <n v="0"/>
    <n v="0"/>
    <n v="223"/>
    <n v="22"/>
    <n v="0"/>
    <n v="245"/>
    <x v="6"/>
  </r>
  <r>
    <x v="12"/>
    <n v="272"/>
    <x v="129"/>
    <n v="523"/>
    <n v="0"/>
    <n v="0"/>
    <n v="523"/>
    <n v="52"/>
    <n v="0"/>
    <n v="576"/>
    <x v="6"/>
  </r>
  <r>
    <x v="13"/>
    <n v="276"/>
    <x v="142"/>
    <n v="631"/>
    <n v="0"/>
    <n v="0"/>
    <n v="631"/>
    <n v="63"/>
    <n v="0"/>
    <n v="695"/>
    <x v="6"/>
  </r>
  <r>
    <x v="14"/>
    <n v="330"/>
    <x v="143"/>
    <n v="651"/>
    <n v="0"/>
    <n v="0"/>
    <n v="651"/>
    <n v="65"/>
    <n v="0"/>
    <n v="716"/>
    <x v="6"/>
  </r>
  <r>
    <x v="15"/>
    <n v="207"/>
    <x v="123"/>
    <n v="363"/>
    <n v="0"/>
    <n v="0"/>
    <n v="363"/>
    <n v="36"/>
    <n v="0"/>
    <n v="399"/>
    <x v="6"/>
  </r>
  <r>
    <x v="16"/>
    <n v="326"/>
    <x v="85"/>
    <n v="632"/>
    <n v="0"/>
    <n v="0"/>
    <n v="632"/>
    <n v="63"/>
    <n v="0"/>
    <n v="695"/>
    <x v="6"/>
  </r>
  <r>
    <x v="17"/>
    <n v="84"/>
    <x v="34"/>
    <n v="143"/>
    <n v="0"/>
    <n v="0"/>
    <n v="143"/>
    <n v="14"/>
    <n v="0"/>
    <n v="157"/>
    <x v="6"/>
  </r>
  <r>
    <x v="18"/>
    <n v="123"/>
    <x v="143"/>
    <n v="242"/>
    <n v="0"/>
    <n v="0"/>
    <n v="242"/>
    <n v="24"/>
    <n v="0"/>
    <n v="267"/>
    <x v="6"/>
  </r>
  <r>
    <x v="19"/>
    <n v="290"/>
    <x v="144"/>
    <n v="564"/>
    <n v="0"/>
    <n v="0"/>
    <n v="564"/>
    <n v="56"/>
    <n v="0"/>
    <n v="621"/>
    <x v="6"/>
  </r>
  <r>
    <x v="20"/>
    <n v="201"/>
    <x v="143"/>
    <n v="395"/>
    <n v="0"/>
    <n v="0"/>
    <n v="395"/>
    <n v="40"/>
    <n v="0"/>
    <n v="435"/>
    <x v="6"/>
  </r>
  <r>
    <x v="21"/>
    <n v="297"/>
    <x v="145"/>
    <n v="735"/>
    <n v="0"/>
    <n v="0"/>
    <n v="735"/>
    <n v="74"/>
    <n v="0"/>
    <n v="809"/>
    <x v="6"/>
  </r>
  <r>
    <x v="22"/>
    <n v="326"/>
    <x v="129"/>
    <n v="627"/>
    <n v="0"/>
    <n v="0"/>
    <n v="627"/>
    <n v="63"/>
    <n v="0"/>
    <n v="690"/>
    <x v="6"/>
  </r>
  <r>
    <x v="23"/>
    <n v="281"/>
    <x v="107"/>
    <n v="543"/>
    <n v="0"/>
    <n v="0"/>
    <n v="543"/>
    <n v="54"/>
    <n v="0"/>
    <n v="598"/>
    <x v="6"/>
  </r>
  <r>
    <x v="24"/>
    <n v="330"/>
    <x v="79"/>
    <n v="616"/>
    <n v="0"/>
    <n v="0"/>
    <n v="616"/>
    <n v="62"/>
    <n v="0"/>
    <n v="677"/>
    <x v="6"/>
  </r>
  <r>
    <x v="25"/>
    <n v="149"/>
    <x v="109"/>
    <n v="335"/>
    <n v="0"/>
    <n v="0"/>
    <n v="335"/>
    <n v="34"/>
    <n v="0"/>
    <n v="369"/>
    <x v="6"/>
  </r>
  <r>
    <x v="26"/>
    <n v="159"/>
    <x v="146"/>
    <n v="330"/>
    <n v="0"/>
    <n v="0"/>
    <n v="330"/>
    <n v="33"/>
    <n v="0"/>
    <n v="363"/>
    <x v="6"/>
  </r>
  <r>
    <x v="27"/>
    <n v="150"/>
    <x v="147"/>
    <n v="324"/>
    <n v="0"/>
    <n v="0"/>
    <n v="324"/>
    <n v="32"/>
    <n v="0"/>
    <n v="357"/>
    <x v="6"/>
  </r>
  <r>
    <x v="28"/>
    <n v="133"/>
    <x v="82"/>
    <n v="269"/>
    <n v="0"/>
    <n v="0"/>
    <n v="269"/>
    <n v="27"/>
    <n v="0"/>
    <n v="296"/>
    <x v="6"/>
  </r>
  <r>
    <x v="29"/>
    <n v="222"/>
    <x v="143"/>
    <n v="438"/>
    <n v="0"/>
    <n v="0"/>
    <n v="438"/>
    <n v="44"/>
    <n v="0"/>
    <n v="481"/>
    <x v="6"/>
  </r>
  <r>
    <x v="30"/>
    <n v="248"/>
    <x v="92"/>
    <n v="495"/>
    <n v="0"/>
    <n v="0"/>
    <n v="495"/>
    <n v="50"/>
    <n v="0"/>
    <n v="545"/>
    <x v="6"/>
  </r>
  <r>
    <x v="31"/>
    <n v="141"/>
    <x v="148"/>
    <n v="347"/>
    <n v="0"/>
    <n v="0"/>
    <n v="347"/>
    <n v="35"/>
    <n v="0"/>
    <n v="381"/>
    <x v="6"/>
  </r>
  <r>
    <x v="32"/>
    <n v="212"/>
    <x v="91"/>
    <n v="443"/>
    <n v="0"/>
    <n v="0"/>
    <n v="443"/>
    <n v="44"/>
    <n v="0"/>
    <n v="488"/>
    <x v="6"/>
  </r>
  <r>
    <x v="33"/>
    <n v="165"/>
    <x v="149"/>
    <n v="405"/>
    <n v="0"/>
    <n v="0"/>
    <n v="405"/>
    <n v="40"/>
    <n v="0"/>
    <n v="445"/>
    <x v="6"/>
  </r>
  <r>
    <x v="34"/>
    <n v="246"/>
    <x v="85"/>
    <n v="476"/>
    <n v="0"/>
    <n v="0"/>
    <n v="476"/>
    <n v="48"/>
    <n v="0"/>
    <n v="524"/>
    <x v="6"/>
  </r>
  <r>
    <x v="35"/>
    <n v="181"/>
    <x v="150"/>
    <n v="545"/>
    <n v="0"/>
    <n v="0"/>
    <n v="545"/>
    <n v="55"/>
    <n v="0"/>
    <n v="600"/>
    <x v="6"/>
  </r>
  <r>
    <x v="36"/>
    <n v="158"/>
    <x v="151"/>
    <n v="366"/>
    <n v="0"/>
    <n v="0"/>
    <n v="366"/>
    <n v="34"/>
    <n v="0"/>
    <n v="401"/>
    <x v="6"/>
  </r>
  <r>
    <x v="37"/>
    <n v="215"/>
    <x v="152"/>
    <n v="561"/>
    <n v="0"/>
    <n v="0"/>
    <n v="561"/>
    <n v="55"/>
    <n v="0"/>
    <n v="615"/>
    <x v="6"/>
  </r>
  <r>
    <x v="38"/>
    <n v="179"/>
    <x v="82"/>
    <n v="364"/>
    <n v="0"/>
    <n v="0"/>
    <n v="364"/>
    <n v="36"/>
    <n v="0"/>
    <n v="400"/>
    <x v="6"/>
  </r>
  <r>
    <x v="39"/>
    <n v="141"/>
    <x v="153"/>
    <n v="315"/>
    <n v="0"/>
    <n v="0"/>
    <n v="315"/>
    <n v="31"/>
    <n v="0"/>
    <n v="346"/>
    <x v="6"/>
  </r>
  <r>
    <x v="40"/>
    <n v="169"/>
    <x v="134"/>
    <n v="336"/>
    <n v="0"/>
    <n v="0"/>
    <n v="336"/>
    <n v="34"/>
    <n v="0"/>
    <n v="370"/>
    <x v="6"/>
  </r>
  <r>
    <x v="41"/>
    <n v="190"/>
    <x v="110"/>
    <n v="480"/>
    <n v="0"/>
    <n v="0"/>
    <n v="480"/>
    <n v="48"/>
    <n v="0"/>
    <n v="528"/>
    <x v="6"/>
  </r>
  <r>
    <x v="42"/>
    <n v="177"/>
    <x v="134"/>
    <n v="353"/>
    <n v="0"/>
    <n v="0"/>
    <n v="353"/>
    <n v="34"/>
    <n v="0"/>
    <n v="387"/>
    <x v="6"/>
  </r>
  <r>
    <x v="43"/>
    <n v="180"/>
    <x v="154"/>
    <n v="472"/>
    <n v="0"/>
    <n v="0"/>
    <n v="472"/>
    <n v="46"/>
    <n v="0"/>
    <n v="518"/>
    <x v="6"/>
  </r>
  <r>
    <x v="44"/>
    <n v="110"/>
    <x v="155"/>
    <n v="299"/>
    <n v="0"/>
    <n v="0"/>
    <n v="299"/>
    <n v="29"/>
    <n v="0"/>
    <n v="328"/>
    <x v="6"/>
  </r>
  <r>
    <x v="45"/>
    <n v="119"/>
    <x v="156"/>
    <n v="272"/>
    <n v="0"/>
    <n v="0"/>
    <n v="272"/>
    <n v="25"/>
    <n v="0"/>
    <n v="297"/>
    <x v="6"/>
  </r>
  <r>
    <x v="46"/>
    <n v="213"/>
    <x v="157"/>
    <n v="463"/>
    <n v="0"/>
    <n v="0"/>
    <n v="463"/>
    <n v="44"/>
    <n v="0"/>
    <n v="507"/>
    <x v="6"/>
  </r>
  <r>
    <x v="47"/>
    <n v="159"/>
    <x v="136"/>
    <n v="332"/>
    <n v="0"/>
    <n v="0"/>
    <n v="332"/>
    <n v="27"/>
    <n v="0"/>
    <n v="359"/>
    <x v="6"/>
  </r>
  <r>
    <x v="48"/>
    <n v="106"/>
    <x v="158"/>
    <n v="187"/>
    <n v="0"/>
    <n v="0"/>
    <n v="187"/>
    <n v="17"/>
    <n v="0"/>
    <n v="203"/>
    <x v="6"/>
  </r>
  <r>
    <x v="49"/>
    <n v="135"/>
    <x v="144"/>
    <n v="263"/>
    <n v="0"/>
    <n v="0"/>
    <n v="263"/>
    <n v="21"/>
    <n v="0"/>
    <n v="284"/>
    <x v="6"/>
  </r>
  <r>
    <x v="50"/>
    <n v="113"/>
    <x v="109"/>
    <n v="254"/>
    <n v="0"/>
    <n v="0"/>
    <n v="254"/>
    <n v="23"/>
    <n v="0"/>
    <n v="278"/>
    <x v="6"/>
  </r>
  <r>
    <x v="51"/>
    <n v="100"/>
    <x v="95"/>
    <n v="220"/>
    <n v="0"/>
    <n v="0"/>
    <n v="220"/>
    <n v="21"/>
    <n v="0"/>
    <n v="241"/>
    <x v="6"/>
  </r>
  <r>
    <x v="52"/>
    <n v="129"/>
    <x v="159"/>
    <n v="376"/>
    <n v="0"/>
    <n v="0"/>
    <n v="376"/>
    <n v="35"/>
    <n v="0"/>
    <n v="411"/>
    <x v="6"/>
  </r>
  <r>
    <x v="0"/>
    <n v="70"/>
    <x v="123"/>
    <n v="123"/>
    <n v="0"/>
    <n v="0"/>
    <n v="123"/>
    <n v="2"/>
    <n v="0"/>
    <n v="125"/>
    <x v="7"/>
  </r>
  <r>
    <x v="1"/>
    <n v="269"/>
    <x v="34"/>
    <n v="459"/>
    <n v="0"/>
    <n v="0"/>
    <n v="459"/>
    <n v="9"/>
    <n v="0"/>
    <n v="468"/>
    <x v="7"/>
  </r>
  <r>
    <x v="2"/>
    <n v="283"/>
    <x v="63"/>
    <n v="415"/>
    <n v="0"/>
    <n v="0"/>
    <n v="415"/>
    <n v="8"/>
    <n v="0"/>
    <n v="423"/>
    <x v="7"/>
  </r>
  <r>
    <x v="3"/>
    <n v="331"/>
    <x v="114"/>
    <n v="500"/>
    <n v="0"/>
    <n v="0"/>
    <n v="500"/>
    <n v="10"/>
    <n v="0"/>
    <n v="510"/>
    <x v="7"/>
  </r>
  <r>
    <x v="4"/>
    <n v="327"/>
    <x v="130"/>
    <n v="452"/>
    <n v="0"/>
    <n v="0"/>
    <n v="452"/>
    <n v="9"/>
    <n v="0"/>
    <n v="461"/>
    <x v="7"/>
  </r>
  <r>
    <x v="5"/>
    <n v="291"/>
    <x v="56"/>
    <n v="392"/>
    <n v="0"/>
    <n v="0"/>
    <n v="392"/>
    <n v="8"/>
    <n v="0"/>
    <n v="399"/>
    <x v="7"/>
  </r>
  <r>
    <x v="6"/>
    <n v="281"/>
    <x v="160"/>
    <n v="672"/>
    <n v="0"/>
    <n v="0"/>
    <n v="672"/>
    <n v="13"/>
    <n v="0"/>
    <n v="685"/>
    <x v="7"/>
  </r>
  <r>
    <x v="7"/>
    <n v="281"/>
    <x v="161"/>
    <n v="619"/>
    <n v="0"/>
    <n v="0"/>
    <n v="619"/>
    <n v="12"/>
    <n v="0"/>
    <n v="632"/>
    <x v="7"/>
  </r>
  <r>
    <x v="8"/>
    <n v="342"/>
    <x v="77"/>
    <n v="705"/>
    <n v="0"/>
    <n v="0"/>
    <n v="705"/>
    <n v="14"/>
    <n v="0"/>
    <n v="719"/>
    <x v="7"/>
  </r>
  <r>
    <x v="9"/>
    <n v="312"/>
    <x v="83"/>
    <n v="696"/>
    <n v="0"/>
    <n v="0"/>
    <n v="696"/>
    <n v="14"/>
    <n v="0"/>
    <n v="710"/>
    <x v="7"/>
  </r>
  <r>
    <x v="10"/>
    <n v="291"/>
    <x v="162"/>
    <n v="708"/>
    <n v="0"/>
    <n v="0"/>
    <n v="708"/>
    <n v="14"/>
    <n v="0"/>
    <n v="722"/>
    <x v="7"/>
  </r>
  <r>
    <x v="11"/>
    <n v="70"/>
    <x v="149"/>
    <n v="172"/>
    <n v="0"/>
    <n v="0"/>
    <n v="172"/>
    <n v="3"/>
    <n v="0"/>
    <n v="175"/>
    <x v="7"/>
  </r>
  <r>
    <x v="12"/>
    <n v="281"/>
    <x v="163"/>
    <n v="659"/>
    <n v="0"/>
    <n v="0"/>
    <n v="659"/>
    <n v="13"/>
    <n v="0"/>
    <n v="672"/>
    <x v="7"/>
  </r>
  <r>
    <x v="13"/>
    <n v="307"/>
    <x v="164"/>
    <n v="750"/>
    <n v="0"/>
    <n v="0"/>
    <n v="750"/>
    <n v="15"/>
    <n v="0"/>
    <n v="765"/>
    <x v="7"/>
  </r>
  <r>
    <x v="14"/>
    <n v="205"/>
    <x v="165"/>
    <n v="445"/>
    <n v="0"/>
    <n v="0"/>
    <n v="445"/>
    <n v="9"/>
    <n v="0"/>
    <n v="453"/>
    <x v="7"/>
  </r>
  <r>
    <x v="15"/>
    <n v="325"/>
    <x v="100"/>
    <n v="664"/>
    <n v="0"/>
    <n v="0"/>
    <n v="664"/>
    <n v="13"/>
    <n v="0"/>
    <n v="677"/>
    <x v="7"/>
  </r>
  <r>
    <x v="16"/>
    <n v="358"/>
    <x v="166"/>
    <n v="796"/>
    <n v="0"/>
    <n v="0"/>
    <n v="796"/>
    <n v="16"/>
    <n v="0"/>
    <n v="812"/>
    <x v="7"/>
  </r>
  <r>
    <x v="17"/>
    <n v="89"/>
    <x v="136"/>
    <n v="186"/>
    <n v="0"/>
    <n v="0"/>
    <n v="186"/>
    <n v="4"/>
    <n v="0"/>
    <n v="189"/>
    <x v="7"/>
  </r>
  <r>
    <x v="18"/>
    <n v="145"/>
    <x v="156"/>
    <n v="331"/>
    <n v="0"/>
    <n v="0"/>
    <n v="331"/>
    <n v="7"/>
    <n v="0"/>
    <n v="337"/>
    <x v="7"/>
  </r>
  <r>
    <x v="19"/>
    <n v="163"/>
    <x v="167"/>
    <n v="392"/>
    <n v="0"/>
    <n v="0"/>
    <n v="392"/>
    <n v="8"/>
    <n v="0"/>
    <n v="400"/>
    <x v="7"/>
  </r>
  <r>
    <x v="20"/>
    <n v="138"/>
    <x v="109"/>
    <n v="311"/>
    <n v="0"/>
    <n v="0"/>
    <n v="311"/>
    <n v="6"/>
    <n v="0"/>
    <n v="317"/>
    <x v="7"/>
  </r>
  <r>
    <x v="21"/>
    <n v="222"/>
    <x v="168"/>
    <n v="615"/>
    <n v="0"/>
    <n v="0"/>
    <n v="615"/>
    <n v="12"/>
    <n v="0"/>
    <n v="627"/>
    <x v="7"/>
  </r>
  <r>
    <x v="22"/>
    <n v="277"/>
    <x v="169"/>
    <n v="719"/>
    <n v="0"/>
    <n v="0"/>
    <n v="719"/>
    <n v="14"/>
    <n v="0"/>
    <n v="734"/>
    <x v="7"/>
  </r>
  <r>
    <x v="23"/>
    <n v="248"/>
    <x v="135"/>
    <n v="591"/>
    <n v="0"/>
    <n v="0"/>
    <n v="591"/>
    <n v="12"/>
    <n v="0"/>
    <n v="602"/>
    <x v="7"/>
  </r>
  <r>
    <x v="24"/>
    <n v="205"/>
    <x v="147"/>
    <n v="444"/>
    <n v="0"/>
    <n v="0"/>
    <n v="444"/>
    <n v="9"/>
    <n v="0"/>
    <n v="453"/>
    <x v="7"/>
  </r>
  <r>
    <x v="25"/>
    <n v="205"/>
    <x v="110"/>
    <n v="519"/>
    <n v="0"/>
    <n v="0"/>
    <n v="519"/>
    <n v="10"/>
    <n v="0"/>
    <n v="529"/>
    <x v="7"/>
  </r>
  <r>
    <x v="26"/>
    <n v="81"/>
    <x v="170"/>
    <n v="215"/>
    <n v="0"/>
    <n v="0"/>
    <n v="215"/>
    <n v="4"/>
    <n v="0"/>
    <n v="220"/>
    <x v="7"/>
  </r>
  <r>
    <x v="27"/>
    <n v="101"/>
    <x v="171"/>
    <n v="291"/>
    <n v="0"/>
    <n v="0"/>
    <n v="291"/>
    <n v="6"/>
    <n v="0"/>
    <n v="297"/>
    <x v="7"/>
  </r>
  <r>
    <x v="28"/>
    <n v="265"/>
    <x v="172"/>
    <n v="570"/>
    <n v="0"/>
    <n v="0"/>
    <n v="570"/>
    <n v="11"/>
    <n v="0"/>
    <n v="581"/>
    <x v="7"/>
  </r>
  <r>
    <x v="29"/>
    <n v="289"/>
    <x v="108"/>
    <n v="592"/>
    <n v="0"/>
    <n v="0"/>
    <n v="592"/>
    <n v="12"/>
    <n v="0"/>
    <n v="604"/>
    <x v="7"/>
  </r>
  <r>
    <x v="30"/>
    <n v="318"/>
    <x v="108"/>
    <n v="651"/>
    <n v="0"/>
    <n v="0"/>
    <n v="651"/>
    <n v="13"/>
    <n v="0"/>
    <n v="664"/>
    <x v="7"/>
  </r>
  <r>
    <x v="31"/>
    <n v="67"/>
    <x v="135"/>
    <n v="159"/>
    <n v="0"/>
    <n v="0"/>
    <n v="159"/>
    <n v="3"/>
    <n v="0"/>
    <n v="162"/>
    <x v="7"/>
  </r>
  <r>
    <x v="32"/>
    <n v="86"/>
    <x v="173"/>
    <n v="222"/>
    <n v="0"/>
    <n v="0"/>
    <n v="222"/>
    <n v="4"/>
    <n v="0"/>
    <n v="226"/>
    <x v="7"/>
  </r>
  <r>
    <x v="33"/>
    <n v="312"/>
    <x v="72"/>
    <n v="419"/>
    <n v="0"/>
    <n v="0"/>
    <n v="419"/>
    <n v="8"/>
    <n v="0"/>
    <n v="427"/>
    <x v="7"/>
  </r>
  <r>
    <x v="34"/>
    <n v="224"/>
    <x v="164"/>
    <n v="545"/>
    <n v="0"/>
    <n v="0"/>
    <n v="545"/>
    <n v="11"/>
    <n v="0"/>
    <n v="556"/>
    <x v="7"/>
  </r>
  <r>
    <x v="35"/>
    <n v="223"/>
    <x v="174"/>
    <n v="591"/>
    <n v="0"/>
    <n v="0"/>
    <n v="591"/>
    <n v="12"/>
    <n v="0"/>
    <n v="603"/>
    <x v="7"/>
  </r>
  <r>
    <x v="36"/>
    <n v="282"/>
    <x v="175"/>
    <n v="787"/>
    <n v="0"/>
    <n v="0"/>
    <n v="787"/>
    <n v="16"/>
    <n v="0"/>
    <n v="803"/>
    <x v="7"/>
  </r>
  <r>
    <x v="37"/>
    <n v="101"/>
    <x v="174"/>
    <n v="269"/>
    <n v="0"/>
    <n v="0"/>
    <n v="269"/>
    <n v="5"/>
    <n v="0"/>
    <n v="274"/>
    <x v="7"/>
  </r>
  <r>
    <x v="38"/>
    <n v="92"/>
    <x v="87"/>
    <n v="174"/>
    <n v="0"/>
    <n v="0"/>
    <n v="174"/>
    <n v="3"/>
    <n v="0"/>
    <n v="178"/>
    <x v="7"/>
  </r>
  <r>
    <x v="39"/>
    <n v="69"/>
    <x v="161"/>
    <n v="151"/>
    <n v="0"/>
    <n v="0"/>
    <n v="151"/>
    <n v="3"/>
    <n v="0"/>
    <n v="154"/>
    <x v="7"/>
  </r>
  <r>
    <x v="40"/>
    <n v="134"/>
    <x v="130"/>
    <n v="185"/>
    <n v="0"/>
    <n v="0"/>
    <n v="185"/>
    <n v="4"/>
    <n v="0"/>
    <n v="189"/>
    <x v="7"/>
  </r>
  <r>
    <x v="41"/>
    <n v="193"/>
    <x v="142"/>
    <n v="440"/>
    <n v="0"/>
    <n v="0"/>
    <n v="440"/>
    <n v="9"/>
    <n v="0"/>
    <n v="449"/>
    <x v="7"/>
  </r>
  <r>
    <x v="42"/>
    <n v="243"/>
    <x v="91"/>
    <n v="510"/>
    <n v="0"/>
    <n v="0"/>
    <n v="510"/>
    <n v="10"/>
    <n v="0"/>
    <n v="520"/>
    <x v="7"/>
  </r>
  <r>
    <x v="43"/>
    <n v="263"/>
    <x v="94"/>
    <n v="452"/>
    <n v="0"/>
    <n v="0"/>
    <n v="452"/>
    <n v="9"/>
    <n v="0"/>
    <n v="461"/>
    <x v="7"/>
  </r>
  <r>
    <x v="44"/>
    <n v="292"/>
    <x v="176"/>
    <n v="787"/>
    <n v="0"/>
    <n v="0"/>
    <n v="787"/>
    <n v="16"/>
    <n v="0"/>
    <n v="802"/>
    <x v="7"/>
  </r>
  <r>
    <x v="45"/>
    <n v="213"/>
    <x v="163"/>
    <n v="501"/>
    <n v="0"/>
    <n v="0"/>
    <n v="501"/>
    <n v="10"/>
    <n v="0"/>
    <n v="511"/>
    <x v="7"/>
  </r>
  <r>
    <x v="46"/>
    <n v="221"/>
    <x v="177"/>
    <n v="500"/>
    <n v="0"/>
    <n v="0"/>
    <n v="500"/>
    <n v="10"/>
    <n v="0"/>
    <n v="510"/>
    <x v="7"/>
  </r>
  <r>
    <x v="47"/>
    <n v="232"/>
    <x v="83"/>
    <n v="517"/>
    <n v="0"/>
    <n v="0"/>
    <n v="517"/>
    <n v="10"/>
    <n v="0"/>
    <n v="528"/>
    <x v="7"/>
  </r>
  <r>
    <x v="48"/>
    <n v="280"/>
    <x v="155"/>
    <n v="759"/>
    <n v="0"/>
    <n v="0"/>
    <n v="759"/>
    <n v="15"/>
    <n v="0"/>
    <n v="774"/>
    <x v="7"/>
  </r>
  <r>
    <x v="49"/>
    <n v="270"/>
    <x v="178"/>
    <n v="826"/>
    <n v="0"/>
    <n v="0"/>
    <n v="826"/>
    <n v="17"/>
    <n v="0"/>
    <n v="842"/>
    <x v="7"/>
  </r>
  <r>
    <x v="50"/>
    <n v="279"/>
    <x v="179"/>
    <n v="670"/>
    <n v="0"/>
    <n v="0"/>
    <n v="670"/>
    <n v="13"/>
    <n v="0"/>
    <n v="683"/>
    <x v="7"/>
  </r>
  <r>
    <x v="51"/>
    <n v="45"/>
    <x v="94"/>
    <n v="78"/>
    <n v="0"/>
    <n v="0"/>
    <n v="78"/>
    <n v="2"/>
    <n v="0"/>
    <n v="79"/>
    <x v="7"/>
  </r>
  <r>
    <x v="52"/>
    <n v="49"/>
    <x v="180"/>
    <n v="124"/>
    <n v="0"/>
    <n v="0"/>
    <n v="124"/>
    <n v="1"/>
    <n v="0"/>
    <n v="125"/>
    <x v="7"/>
  </r>
  <r>
    <x v="0"/>
    <n v="1753"/>
    <x v="128"/>
    <n v="3036"/>
    <n v="0"/>
    <n v="0"/>
    <n v="3036"/>
    <n v="61"/>
    <n v="0"/>
    <n v="3097"/>
    <x v="8"/>
  </r>
  <r>
    <x v="1"/>
    <n v="1863"/>
    <x v="158"/>
    <n v="3274"/>
    <n v="0"/>
    <n v="0"/>
    <n v="3274"/>
    <n v="65"/>
    <n v="0"/>
    <n v="3340"/>
    <x v="8"/>
  </r>
  <r>
    <x v="2"/>
    <n v="1652"/>
    <x v="125"/>
    <n v="2605"/>
    <n v="0"/>
    <n v="0"/>
    <n v="2605"/>
    <n v="52"/>
    <n v="0"/>
    <n v="2657"/>
    <x v="8"/>
  </r>
  <r>
    <x v="3"/>
    <n v="1984"/>
    <x v="78"/>
    <n v="3262"/>
    <n v="0"/>
    <n v="0"/>
    <n v="3262"/>
    <n v="65"/>
    <n v="0"/>
    <n v="3327"/>
    <x v="8"/>
  </r>
  <r>
    <x v="4"/>
    <n v="1927"/>
    <x v="58"/>
    <n v="2891"/>
    <n v="0"/>
    <n v="0"/>
    <n v="2891"/>
    <n v="58"/>
    <n v="0"/>
    <n v="2949"/>
    <x v="8"/>
  </r>
  <r>
    <x v="5"/>
    <n v="2194"/>
    <x v="78"/>
    <n v="3603"/>
    <n v="0"/>
    <n v="0"/>
    <n v="3603"/>
    <n v="72"/>
    <n v="0"/>
    <n v="3675"/>
    <x v="8"/>
  </r>
  <r>
    <x v="6"/>
    <n v="2309"/>
    <x v="64"/>
    <n v="3354"/>
    <n v="0"/>
    <n v="0"/>
    <n v="3354"/>
    <n v="67"/>
    <n v="0"/>
    <n v="3421"/>
    <x v="8"/>
  </r>
  <r>
    <x v="7"/>
    <n v="2276"/>
    <x v="64"/>
    <n v="3303"/>
    <n v="0"/>
    <n v="0"/>
    <n v="3303"/>
    <n v="66"/>
    <n v="0"/>
    <n v="3369"/>
    <x v="8"/>
  </r>
  <r>
    <x v="8"/>
    <n v="2346"/>
    <x v="125"/>
    <n v="3712"/>
    <n v="0"/>
    <n v="0"/>
    <n v="3712"/>
    <n v="74"/>
    <n v="0"/>
    <n v="3787"/>
    <x v="8"/>
  </r>
  <r>
    <x v="9"/>
    <n v="2144"/>
    <x v="63"/>
    <n v="3154"/>
    <n v="0"/>
    <n v="0"/>
    <n v="3154"/>
    <n v="63"/>
    <n v="0"/>
    <n v="3217"/>
    <x v="8"/>
  </r>
  <r>
    <x v="10"/>
    <n v="1719"/>
    <x v="88"/>
    <n v="3236"/>
    <n v="0"/>
    <n v="0"/>
    <n v="3236"/>
    <n v="65"/>
    <n v="0"/>
    <n v="3301"/>
    <x v="8"/>
  </r>
  <r>
    <x v="11"/>
    <n v="1427"/>
    <x v="125"/>
    <n v="2258"/>
    <n v="0"/>
    <n v="0"/>
    <n v="2258"/>
    <n v="45"/>
    <n v="0"/>
    <n v="2303"/>
    <x v="8"/>
  </r>
  <r>
    <x v="12"/>
    <n v="1719"/>
    <x v="34"/>
    <n v="2941"/>
    <n v="0"/>
    <n v="0"/>
    <n v="2941"/>
    <n v="59"/>
    <n v="0"/>
    <n v="3000"/>
    <x v="8"/>
  </r>
  <r>
    <x v="13"/>
    <n v="1613"/>
    <x v="127"/>
    <n v="2599"/>
    <n v="0"/>
    <n v="0"/>
    <n v="2599"/>
    <n v="52"/>
    <n v="0"/>
    <n v="2651"/>
    <x v="8"/>
  </r>
  <r>
    <x v="14"/>
    <n v="114"/>
    <x v="97"/>
    <n v="191"/>
    <n v="0"/>
    <n v="0"/>
    <n v="191"/>
    <n v="4"/>
    <n v="0"/>
    <n v="195"/>
    <x v="8"/>
  </r>
  <r>
    <x v="15"/>
    <n v="777"/>
    <x v="56"/>
    <n v="1050"/>
    <n v="0"/>
    <n v="0"/>
    <n v="1050"/>
    <n v="21"/>
    <n v="0"/>
    <n v="1071"/>
    <x v="8"/>
  </r>
  <r>
    <x v="16"/>
    <n v="917"/>
    <x v="114"/>
    <n v="1380"/>
    <n v="0"/>
    <n v="0"/>
    <n v="1380"/>
    <n v="28"/>
    <n v="0"/>
    <n v="1408"/>
    <x v="8"/>
  </r>
  <r>
    <x v="17"/>
    <n v="971"/>
    <x v="130"/>
    <n v="1345"/>
    <n v="0"/>
    <n v="0"/>
    <n v="1345"/>
    <n v="27"/>
    <n v="0"/>
    <n v="1372"/>
    <x v="8"/>
  </r>
  <r>
    <x v="18"/>
    <n v="1208"/>
    <x v="52"/>
    <n v="1735"/>
    <n v="0"/>
    <n v="0"/>
    <n v="1735"/>
    <n v="35"/>
    <n v="0"/>
    <n v="1769"/>
    <x v="8"/>
  </r>
  <r>
    <x v="19"/>
    <n v="546"/>
    <x v="118"/>
    <n v="810"/>
    <n v="0"/>
    <n v="0"/>
    <n v="810"/>
    <n v="16"/>
    <n v="0"/>
    <n v="826"/>
    <x v="8"/>
  </r>
  <r>
    <x v="20"/>
    <n v="511"/>
    <x v="75"/>
    <n v="648"/>
    <n v="0"/>
    <n v="0"/>
    <n v="648"/>
    <n v="13"/>
    <n v="0"/>
    <n v="661"/>
    <x v="8"/>
  </r>
  <r>
    <x v="21"/>
    <n v="454"/>
    <x v="84"/>
    <n v="836"/>
    <n v="0"/>
    <n v="0"/>
    <n v="836"/>
    <n v="17"/>
    <n v="0"/>
    <n v="852"/>
    <x v="8"/>
  </r>
  <r>
    <x v="22"/>
    <n v="299"/>
    <x v="115"/>
    <n v="455"/>
    <n v="0"/>
    <n v="0"/>
    <n v="455"/>
    <n v="9"/>
    <n v="0"/>
    <n v="464"/>
    <x v="8"/>
  </r>
  <r>
    <x v="23"/>
    <n v="136"/>
    <x v="69"/>
    <n v="174"/>
    <n v="0"/>
    <n v="0"/>
    <n v="174"/>
    <n v="3"/>
    <n v="0"/>
    <n v="178"/>
    <x v="8"/>
  </r>
  <r>
    <x v="24"/>
    <n v="114"/>
    <x v="73"/>
    <n v="166"/>
    <n v="0"/>
    <n v="0"/>
    <n v="166"/>
    <n v="3"/>
    <n v="0"/>
    <n v="170"/>
    <x v="8"/>
  </r>
  <r>
    <x v="25"/>
    <n v="216"/>
    <x v="84"/>
    <n v="398"/>
    <n v="0"/>
    <n v="0"/>
    <n v="398"/>
    <n v="8"/>
    <n v="0"/>
    <n v="406"/>
    <x v="8"/>
  </r>
  <r>
    <x v="26"/>
    <n v="116"/>
    <x v="79"/>
    <n v="217"/>
    <n v="0"/>
    <n v="0"/>
    <n v="217"/>
    <n v="4"/>
    <n v="0"/>
    <n v="221"/>
    <x v="8"/>
  </r>
  <r>
    <x v="27"/>
    <n v="158"/>
    <x v="93"/>
    <n v="282"/>
    <n v="0"/>
    <n v="0"/>
    <n v="282"/>
    <n v="6"/>
    <n v="0"/>
    <n v="288"/>
    <x v="8"/>
  </r>
  <r>
    <x v="28"/>
    <n v="487"/>
    <x v="104"/>
    <n v="1100"/>
    <n v="0"/>
    <n v="0"/>
    <n v="1100"/>
    <n v="22"/>
    <n v="0"/>
    <n v="1122"/>
    <x v="8"/>
  </r>
  <r>
    <x v="29"/>
    <n v="539"/>
    <x v="167"/>
    <n v="1299"/>
    <n v="0"/>
    <n v="0"/>
    <n v="1299"/>
    <n v="26"/>
    <n v="0"/>
    <n v="1325"/>
    <x v="8"/>
  </r>
  <r>
    <x v="30"/>
    <n v="1057"/>
    <x v="181"/>
    <n v="2653"/>
    <n v="0"/>
    <n v="0"/>
    <n v="2653"/>
    <n v="53"/>
    <n v="0"/>
    <n v="2706"/>
    <x v="8"/>
  </r>
  <r>
    <x v="31"/>
    <n v="689"/>
    <x v="174"/>
    <n v="1825"/>
    <n v="0"/>
    <n v="0"/>
    <n v="1825"/>
    <n v="36"/>
    <n v="0"/>
    <n v="1861"/>
    <x v="8"/>
  </r>
  <r>
    <x v="32"/>
    <n v="398"/>
    <x v="182"/>
    <n v="1064"/>
    <n v="0"/>
    <n v="0"/>
    <n v="1064"/>
    <n v="21"/>
    <n v="0"/>
    <n v="1086"/>
    <x v="8"/>
  </r>
  <r>
    <x v="33"/>
    <n v="451"/>
    <x v="152"/>
    <n v="1177"/>
    <n v="0"/>
    <n v="0"/>
    <n v="1177"/>
    <n v="24"/>
    <n v="0"/>
    <n v="1201"/>
    <x v="8"/>
  </r>
  <r>
    <x v="34"/>
    <n v="635"/>
    <x v="147"/>
    <n v="1372"/>
    <n v="0"/>
    <n v="0"/>
    <n v="1372"/>
    <n v="27"/>
    <n v="0"/>
    <n v="1399"/>
    <x v="8"/>
  </r>
  <r>
    <x v="35"/>
    <n v="654"/>
    <x v="98"/>
    <n v="1382"/>
    <n v="0"/>
    <n v="0"/>
    <n v="1382"/>
    <n v="28"/>
    <n v="0"/>
    <n v="1410"/>
    <x v="8"/>
  </r>
  <r>
    <x v="36"/>
    <n v="293"/>
    <x v="72"/>
    <n v="393"/>
    <n v="0"/>
    <n v="0"/>
    <n v="393"/>
    <n v="8"/>
    <n v="0"/>
    <n v="401"/>
    <x v="8"/>
  </r>
  <r>
    <x v="37"/>
    <n v="815"/>
    <x v="183"/>
    <n v="2407"/>
    <n v="0"/>
    <n v="0"/>
    <n v="2407"/>
    <n v="48"/>
    <n v="0"/>
    <n v="2455"/>
    <x v="8"/>
  </r>
  <r>
    <x v="38"/>
    <n v="372"/>
    <x v="184"/>
    <n v="1076"/>
    <n v="0"/>
    <n v="0"/>
    <n v="1076"/>
    <n v="22"/>
    <n v="0"/>
    <n v="1097"/>
    <x v="8"/>
  </r>
  <r>
    <x v="39"/>
    <n v="118"/>
    <x v="185"/>
    <n v="332"/>
    <n v="0"/>
    <n v="0"/>
    <n v="332"/>
    <n v="7"/>
    <n v="0"/>
    <n v="338"/>
    <x v="8"/>
  </r>
  <r>
    <x v="40"/>
    <n v="503"/>
    <x v="174"/>
    <n v="1333"/>
    <n v="0"/>
    <n v="0"/>
    <n v="1333"/>
    <n v="27"/>
    <n v="0"/>
    <n v="1359"/>
    <x v="8"/>
  </r>
  <r>
    <x v="41"/>
    <n v="524"/>
    <x v="186"/>
    <n v="1534"/>
    <n v="0"/>
    <n v="0"/>
    <n v="1534"/>
    <n v="31"/>
    <n v="0"/>
    <n v="1565"/>
    <x v="8"/>
  </r>
  <r>
    <x v="42"/>
    <n v="278"/>
    <x v="135"/>
    <n v="659"/>
    <n v="0"/>
    <n v="0"/>
    <n v="659"/>
    <n v="13"/>
    <n v="0"/>
    <n v="673"/>
    <x v="8"/>
  </r>
  <r>
    <x v="43"/>
    <n v="259"/>
    <x v="175"/>
    <n v="726"/>
    <n v="0"/>
    <n v="0"/>
    <n v="726"/>
    <n v="15"/>
    <n v="0"/>
    <n v="741"/>
    <x v="8"/>
  </r>
  <r>
    <x v="44"/>
    <n v="404"/>
    <x v="183"/>
    <n v="1191"/>
    <n v="0"/>
    <n v="0"/>
    <n v="1191"/>
    <n v="24"/>
    <n v="0"/>
    <n v="1215"/>
    <x v="8"/>
  </r>
  <r>
    <x v="45"/>
    <n v="220"/>
    <x v="151"/>
    <n v="511"/>
    <n v="0"/>
    <n v="0"/>
    <n v="511"/>
    <n v="10"/>
    <n v="0"/>
    <n v="521"/>
    <x v="8"/>
  </r>
  <r>
    <x v="46"/>
    <n v="201"/>
    <x v="108"/>
    <n v="412"/>
    <n v="0"/>
    <n v="0"/>
    <n v="412"/>
    <n v="8"/>
    <n v="0"/>
    <n v="420"/>
    <x v="8"/>
  </r>
  <r>
    <x v="47"/>
    <n v="543"/>
    <x v="117"/>
    <n v="879"/>
    <n v="0"/>
    <n v="0"/>
    <n v="879"/>
    <n v="18"/>
    <n v="0"/>
    <n v="896"/>
    <x v="8"/>
  </r>
  <r>
    <x v="48"/>
    <n v="672"/>
    <x v="109"/>
    <n v="1511"/>
    <n v="0"/>
    <n v="0"/>
    <n v="1511"/>
    <n v="30"/>
    <n v="0"/>
    <n v="1542"/>
    <x v="8"/>
  </r>
  <r>
    <x v="49"/>
    <n v="555"/>
    <x v="187"/>
    <n v="1435"/>
    <n v="0"/>
    <n v="0"/>
    <n v="1435"/>
    <n v="29"/>
    <n v="0"/>
    <n v="1463"/>
    <x v="8"/>
  </r>
  <r>
    <x v="50"/>
    <n v="919"/>
    <x v="177"/>
    <n v="2088"/>
    <n v="0"/>
    <n v="0"/>
    <n v="2088"/>
    <n v="42"/>
    <n v="0"/>
    <n v="2130"/>
    <x v="8"/>
  </r>
  <r>
    <x v="51"/>
    <n v="858"/>
    <x v="188"/>
    <n v="2182"/>
    <n v="0"/>
    <n v="0"/>
    <n v="2182"/>
    <n v="44"/>
    <n v="0"/>
    <n v="2225"/>
    <x v="8"/>
  </r>
  <r>
    <x v="52"/>
    <n v="624"/>
    <x v="189"/>
    <n v="1902"/>
    <n v="0"/>
    <n v="0"/>
    <n v="1902"/>
    <n v="38"/>
    <n v="0"/>
    <n v="1940"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s v="pasture (unimproved) "/>
    <n v="0.96299999999999997"/>
    <n v="177"/>
    <n v="18.96"/>
    <n v="9.77"/>
    <n v="9.19"/>
  </r>
  <r>
    <x v="1"/>
    <x v="0"/>
    <s v="pasture (unimproved) "/>
    <n v="0.94"/>
    <n v="217"/>
    <n v="22.189999999999998"/>
    <n v="10.83"/>
    <n v="11.36"/>
  </r>
  <r>
    <x v="2"/>
    <x v="0"/>
    <s v="pasture (unimproved) "/>
    <n v="0.95"/>
    <n v="191"/>
    <n v="22.439999999999998"/>
    <n v="9.32"/>
    <n v="13.12"/>
  </r>
  <r>
    <x v="3"/>
    <x v="0"/>
    <s v="pasture (unimproved) "/>
    <n v="0.98"/>
    <n v="192"/>
    <n v="20.100000000000001"/>
    <n v="8.52"/>
    <n v="11.58"/>
  </r>
  <r>
    <x v="4"/>
    <x v="0"/>
    <s v="pasture (unimproved) "/>
    <n v="0.97"/>
    <n v="210"/>
    <n v="23.13"/>
    <n v="2.57"/>
    <n v="20.56"/>
  </r>
  <r>
    <x v="0"/>
    <x v="1"/>
    <s v="Pasture (native)"/>
    <n v="0.95"/>
    <n v="244"/>
    <n v="26.58"/>
    <n v="11.88"/>
    <n v="14.699999999999998"/>
  </r>
  <r>
    <x v="1"/>
    <x v="1"/>
    <s v="Pasture (native)"/>
    <n v="0.95"/>
    <n v="244"/>
    <n v="25.8"/>
    <n v="6.88"/>
    <n v="18.920000000000002"/>
  </r>
  <r>
    <x v="2"/>
    <x v="1"/>
    <s v="Pasture (native)"/>
    <n v="0.92"/>
    <n v="235"/>
    <n v="29.77"/>
    <n v="11.45"/>
    <n v="18.32"/>
  </r>
  <r>
    <x v="3"/>
    <x v="1"/>
    <s v="Pasture (native)"/>
    <n v="0.93"/>
    <n v="227"/>
    <n v="26.95"/>
    <n v="7.89"/>
    <n v="19.059999999999999"/>
  </r>
  <r>
    <x v="4"/>
    <x v="1"/>
    <s v="Pasture (native)"/>
    <n v="0.97"/>
    <n v="243"/>
    <n v="28.98"/>
    <n v="4.84"/>
    <n v="24.14"/>
  </r>
  <r>
    <x v="0"/>
    <x v="2"/>
    <s v="Pasture (native)"/>
    <n v="0.94"/>
    <n v="244"/>
    <n v="26.51"/>
    <n v="11.88"/>
    <n v="14.63"/>
  </r>
  <r>
    <x v="1"/>
    <x v="2"/>
    <s v="Pasture (native)"/>
    <n v="0.85"/>
    <n v="244"/>
    <n v="25.73"/>
    <n v="6.88"/>
    <n v="18.850000000000001"/>
  </r>
  <r>
    <x v="2"/>
    <x v="2"/>
    <s v="Pasture (native)"/>
    <n v="0.85899999999999999"/>
    <n v="235"/>
    <n v="29.68"/>
    <n v="11.45"/>
    <n v="18.23"/>
  </r>
  <r>
    <x v="3"/>
    <x v="2"/>
    <s v="Pasture (native)"/>
    <n v="0.91"/>
    <n v="231"/>
    <n v="27.18"/>
    <n v="7.89"/>
    <n v="19.29"/>
  </r>
  <r>
    <x v="4"/>
    <x v="2"/>
    <s v="Pasture (native)"/>
    <n v="0.82"/>
    <n v="243"/>
    <n v="28.9"/>
    <n v="4.84"/>
    <n v="24.06"/>
  </r>
  <r>
    <x v="0"/>
    <x v="3"/>
    <s v="Alfalfa"/>
    <n v="0.35"/>
    <n v="259"/>
    <n v="36.99"/>
    <n v="12.44"/>
    <n v="24.550000000000004"/>
  </r>
  <r>
    <x v="1"/>
    <x v="3"/>
    <s v="Alfalfa"/>
    <n v="7.9000000000000001E-2"/>
    <n v="246"/>
    <n v="35.17"/>
    <n v="6.88"/>
    <n v="28.290000000000003"/>
  </r>
  <r>
    <x v="2"/>
    <x v="3"/>
    <s v="Alfalfa"/>
    <n v="1E-3"/>
    <n v="250"/>
    <n v="35.61"/>
    <n v="9.9499999999999993"/>
    <n v="25.66"/>
  </r>
  <r>
    <x v="3"/>
    <x v="3"/>
    <s v="Alfalfa"/>
    <n v="0"/>
    <n v="215"/>
    <n v="31.75"/>
    <n v="7.69"/>
    <n v="24.06"/>
  </r>
  <r>
    <x v="4"/>
    <x v="3"/>
    <s v="Alfalfa"/>
    <n v="0"/>
    <n v="221"/>
    <n v="36.409999999999997"/>
    <n v="3.1"/>
    <n v="33.309999999999995"/>
  </r>
  <r>
    <x v="0"/>
    <x v="4"/>
    <s v="Pasture (native)"/>
    <n v="53.8"/>
    <n v="262"/>
    <n v="28.31"/>
    <n v="11.31"/>
    <n v="17"/>
  </r>
  <r>
    <x v="1"/>
    <x v="4"/>
    <s v="Pasture (native)"/>
    <n v="0.85599999999999998"/>
    <n v="279"/>
    <n v="29.13"/>
    <n v="9.67"/>
    <n v="19.46"/>
  </r>
  <r>
    <x v="2"/>
    <x v="4"/>
    <s v="Pasture (native)"/>
    <n v="0.84699999999999998"/>
    <n v="248"/>
    <n v="27.97"/>
    <n v="10.1"/>
    <n v="17.869999999999997"/>
  </r>
  <r>
    <x v="3"/>
    <x v="4"/>
    <s v="Pasture (native)"/>
    <n v="0.93"/>
    <n v="251"/>
    <n v="27.46"/>
    <n v="10.39"/>
    <n v="17.07"/>
  </r>
  <r>
    <x v="4"/>
    <x v="4"/>
    <s v="Pasture (native)"/>
    <n v="0.7"/>
    <n v="257"/>
    <n v="27.77"/>
    <n v="6.94"/>
    <n v="20.83"/>
  </r>
  <r>
    <x v="0"/>
    <x v="5"/>
    <s v="Pasture (native)"/>
    <n v="0.54900000000000004"/>
    <n v="278"/>
    <n v="31.45"/>
    <n v="9.81"/>
    <n v="21.64"/>
  </r>
  <r>
    <x v="1"/>
    <x v="5"/>
    <s v="Pasture (native)"/>
    <n v="0.54300000000000004"/>
    <n v="286"/>
    <n v="31.44"/>
    <n v="5.69"/>
    <n v="25.75"/>
  </r>
  <r>
    <x v="2"/>
    <x v="5"/>
    <s v="Pasture (native)"/>
    <n v="0.77"/>
    <n v="263"/>
    <n v="31.18"/>
    <n v="9.66"/>
    <n v="21.52"/>
  </r>
  <r>
    <x v="3"/>
    <x v="5"/>
    <s v="Pasture (native)"/>
    <n v="0.83"/>
    <n v="262"/>
    <n v="29.66"/>
    <n v="7.22"/>
    <n v="22.44"/>
  </r>
  <r>
    <x v="4"/>
    <x v="5"/>
    <s v="Pasture (native)"/>
    <n v="0.70499999999999996"/>
    <n v="269"/>
    <n v="31.19"/>
    <n v="8"/>
    <n v="23.18"/>
  </r>
  <r>
    <x v="0"/>
    <x v="6"/>
    <s v="Pasture (native)"/>
    <n v="0.44"/>
    <n v="330"/>
    <n v="38.17"/>
    <n v="10.48"/>
    <n v="27.69"/>
  </r>
  <r>
    <x v="1"/>
    <x v="6"/>
    <s v="Pasture (native)"/>
    <n v="0.56000000000000005"/>
    <n v="324"/>
    <n v="36.39"/>
    <n v="7.34"/>
    <n v="29.05"/>
  </r>
  <r>
    <x v="2"/>
    <x v="6"/>
    <s v="Pasture (native)"/>
    <n v="0.51"/>
    <n v="306"/>
    <n v="36.840000000000003"/>
    <n v="11.89"/>
    <n v="24.950000000000003"/>
  </r>
  <r>
    <x v="3"/>
    <x v="6"/>
    <s v="Pasture (native)"/>
    <n v="0.45"/>
    <n v="291"/>
    <n v="33.79"/>
    <n v="9.06"/>
    <n v="24.729999999999997"/>
  </r>
  <r>
    <x v="4"/>
    <x v="6"/>
    <s v="Pasture (native)"/>
    <n v="0.33"/>
    <n v="300"/>
    <n v="36.71"/>
    <n v="4.45"/>
    <n v="32.26"/>
  </r>
  <r>
    <x v="0"/>
    <x v="7"/>
    <s v="Pasture (improved)"/>
    <n v="0.75"/>
    <n v="335"/>
    <n v="44.35"/>
    <n v="6.83"/>
    <n v="37.520000000000003"/>
  </r>
  <r>
    <x v="1"/>
    <x v="7"/>
    <s v="Pasture (improved)"/>
    <n v="0.66"/>
    <n v="348"/>
    <n v="44.53"/>
    <n v="4.4800000000000004"/>
    <n v="40.049999999999997"/>
  </r>
  <r>
    <x v="2"/>
    <x v="7"/>
    <s v="Pasture (improved)"/>
    <n v="0.71"/>
    <n v="322"/>
    <n v="43.52"/>
    <n v="12.31"/>
    <n v="31.21"/>
  </r>
  <r>
    <x v="3"/>
    <x v="7"/>
    <s v="Pasture (improved)"/>
    <n v="0.44"/>
    <n v="298"/>
    <n v="38.630000000000003"/>
    <n v="7.31"/>
    <n v="31.320000000000004"/>
  </r>
  <r>
    <x v="4"/>
    <x v="7"/>
    <s v="Pasture (improved)"/>
    <n v="0"/>
    <n v="313"/>
    <n v="42.86"/>
    <n v="4.32"/>
    <n v="38.54"/>
  </r>
  <r>
    <x v="0"/>
    <x v="8"/>
    <s v="pasture (unimproved) "/>
    <n v="0.27"/>
    <n v="343"/>
    <n v="43.29"/>
    <n v="8.85"/>
    <n v="34.44"/>
  </r>
  <r>
    <x v="1"/>
    <x v="8"/>
    <s v="pasture (unimproved) "/>
    <n v="3.1E-2"/>
    <n v="350"/>
    <n v="44.55"/>
    <n v="9.67"/>
    <n v="34.879999999999995"/>
  </r>
  <r>
    <x v="2"/>
    <x v="8"/>
    <s v="pasture (unimproved) "/>
    <n v="0.04"/>
    <n v="347"/>
    <n v="44.13"/>
    <n v="8.14"/>
    <n v="35.99"/>
  </r>
  <r>
    <x v="3"/>
    <x v="8"/>
    <s v="pasture (unimproved) "/>
    <n v="0.15"/>
    <n v="311"/>
    <n v="41.01"/>
    <n v="7.74"/>
    <n v="33.269999999999996"/>
  </r>
  <r>
    <x v="4"/>
    <x v="8"/>
    <s v="pasture (unimproved) "/>
    <m/>
    <n v="328"/>
    <n v="42.01"/>
    <n v="5.57"/>
    <n v="36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B14131-D3AB-409C-BFD5-3F27A100B1A8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69:Z76" firstHeaderRow="1" firstDataRow="2" firstDataCol="1"/>
  <pivotFields count="11">
    <pivotField axis="axisRow" showAll="0">
      <items count="5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x="48"/>
        <item x="49"/>
        <item x="50"/>
        <item x="51"/>
        <item x="5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0">
        <item x="1"/>
        <item x="5"/>
        <item x="3"/>
        <item x="0"/>
        <item x="6"/>
        <item x="2"/>
        <item x="8"/>
        <item x="4"/>
        <item x="7"/>
        <item t="default"/>
      </items>
    </pivotField>
  </pivotFields>
  <rowFields count="1">
    <field x="0"/>
  </rowFields>
  <rowItems count="6">
    <i>
      <x v="48"/>
    </i>
    <i>
      <x v="49"/>
    </i>
    <i>
      <x v="50"/>
    </i>
    <i>
      <x v="51"/>
    </i>
    <i>
      <x v="52"/>
    </i>
    <i t="grand">
      <x/>
    </i>
  </rowItems>
  <colFields count="1">
    <field x="1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rop Weighted CIR (ft)" fld="2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703EF2-4941-4F7B-8FD1-7DB27AD55D93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4:Y59" firstHeaderRow="1" firstDataRow="2" firstDataCol="1"/>
  <pivotFields count="11">
    <pivotField axis="axisRow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showAll="0"/>
    <pivotField showAll="0">
      <items count="191">
        <item x="14"/>
        <item x="8"/>
        <item x="21"/>
        <item x="31"/>
        <item x="7"/>
        <item x="26"/>
        <item x="17"/>
        <item x="42"/>
        <item x="18"/>
        <item x="32"/>
        <item x="47"/>
        <item x="9"/>
        <item x="27"/>
        <item x="15"/>
        <item x="3"/>
        <item x="30"/>
        <item x="45"/>
        <item x="1"/>
        <item x="13"/>
        <item x="12"/>
        <item x="22"/>
        <item x="28"/>
        <item x="10"/>
        <item x="19"/>
        <item x="11"/>
        <item x="5"/>
        <item x="6"/>
        <item x="4"/>
        <item x="20"/>
        <item x="0"/>
        <item x="2"/>
        <item x="54"/>
        <item x="46"/>
        <item x="43"/>
        <item x="16"/>
        <item x="40"/>
        <item x="33"/>
        <item x="23"/>
        <item x="44"/>
        <item x="38"/>
        <item x="55"/>
        <item x="39"/>
        <item x="41"/>
        <item x="25"/>
        <item x="65"/>
        <item x="48"/>
        <item x="36"/>
        <item x="29"/>
        <item x="24"/>
        <item x="124"/>
        <item x="68"/>
        <item x="75"/>
        <item x="69"/>
        <item x="113"/>
        <item x="67"/>
        <item x="74"/>
        <item x="116"/>
        <item x="71"/>
        <item x="72"/>
        <item x="56"/>
        <item x="66"/>
        <item x="70"/>
        <item x="130"/>
        <item x="50"/>
        <item x="37"/>
        <item x="49"/>
        <item x="121"/>
        <item x="35"/>
        <item x="52"/>
        <item x="64"/>
        <item x="73"/>
        <item x="63"/>
        <item x="118"/>
        <item x="58"/>
        <item x="114"/>
        <item x="115"/>
        <item x="51"/>
        <item x="60"/>
        <item x="81"/>
        <item x="122"/>
        <item x="59"/>
        <item x="125"/>
        <item x="61"/>
        <item x="53"/>
        <item x="127"/>
        <item x="117"/>
        <item x="119"/>
        <item x="78"/>
        <item x="103"/>
        <item x="120"/>
        <item x="97"/>
        <item x="57"/>
        <item x="89"/>
        <item x="34"/>
        <item x="94"/>
        <item x="128"/>
        <item x="131"/>
        <item x="123"/>
        <item x="158"/>
        <item x="80"/>
        <item x="96"/>
        <item x="93"/>
        <item x="105"/>
        <item x="76"/>
        <item x="86"/>
        <item x="133"/>
        <item x="84"/>
        <item x="137"/>
        <item x="138"/>
        <item x="79"/>
        <item x="88"/>
        <item x="132"/>
        <item x="87"/>
        <item x="106"/>
        <item x="129"/>
        <item x="107"/>
        <item x="85"/>
        <item x="144"/>
        <item x="90"/>
        <item x="143"/>
        <item x="134"/>
        <item x="92"/>
        <item x="111"/>
        <item x="62"/>
        <item x="82"/>
        <item x="100"/>
        <item x="108"/>
        <item x="77"/>
        <item x="146"/>
        <item x="141"/>
        <item x="136"/>
        <item x="91"/>
        <item x="98"/>
        <item x="139"/>
        <item x="102"/>
        <item x="172"/>
        <item x="147"/>
        <item x="165"/>
        <item x="157"/>
        <item x="161"/>
        <item x="95"/>
        <item x="166"/>
        <item x="83"/>
        <item x="153"/>
        <item x="109"/>
        <item x="104"/>
        <item x="177"/>
        <item x="156"/>
        <item x="142"/>
        <item x="101"/>
        <item x="99"/>
        <item x="151"/>
        <item x="163"/>
        <item x="135"/>
        <item x="160"/>
        <item x="179"/>
        <item x="167"/>
        <item x="162"/>
        <item x="164"/>
        <item x="149"/>
        <item x="148"/>
        <item x="145"/>
        <item x="181"/>
        <item x="110"/>
        <item x="188"/>
        <item x="180"/>
        <item x="187"/>
        <item x="173"/>
        <item x="169"/>
        <item x="152"/>
        <item x="154"/>
        <item x="174"/>
        <item x="170"/>
        <item x="182"/>
        <item x="176"/>
        <item x="155"/>
        <item x="168"/>
        <item x="175"/>
        <item x="185"/>
        <item x="126"/>
        <item x="171"/>
        <item x="184"/>
        <item x="159"/>
        <item x="186"/>
        <item x="183"/>
        <item x="150"/>
        <item x="189"/>
        <item x="178"/>
        <item x="112"/>
        <item x="14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10">
        <item x="1"/>
        <item x="5"/>
        <item x="3"/>
        <item x="0"/>
        <item x="6"/>
        <item x="2"/>
        <item x="8"/>
        <item x="4"/>
        <item x="7"/>
        <item t="default"/>
      </items>
    </pivotField>
  </pivotFields>
  <rowFields count="1">
    <field x="0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onsumptive Use (AF)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042DC-F6EA-4450-BEFB-23D9A4ACA588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5:V12" firstHeaderRow="1" firstDataRow="2" firstDataCol="1"/>
  <pivotFields count="8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10">
        <item x="1"/>
        <item x="5"/>
        <item x="3"/>
        <item x="0"/>
        <item x="6"/>
        <item x="2"/>
        <item x="8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CIR(in)" fld="7" baseField="0" baseItem="0"/>
  </dataFields>
  <chartFormats count="27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7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7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7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7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7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9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9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F616-6827-4239-B2E4-68EE9C632F63}">
  <dimension ref="A1:Z478"/>
  <sheetViews>
    <sheetView topLeftCell="A52" workbookViewId="0">
      <selection activeCell="P69" sqref="P69"/>
    </sheetView>
  </sheetViews>
  <sheetFormatPr defaultRowHeight="15" x14ac:dyDescent="0.25"/>
  <cols>
    <col min="15" max="15" width="27.85546875" bestFit="1" customWidth="1"/>
    <col min="16" max="16" width="28.140625" bestFit="1" customWidth="1"/>
    <col min="17" max="17" width="16.28515625" bestFit="1" customWidth="1"/>
    <col min="18" max="18" width="9.28515625" bestFit="1" customWidth="1"/>
    <col min="19" max="19" width="10.28515625" bestFit="1" customWidth="1"/>
    <col min="20" max="20" width="5.140625" bestFit="1" customWidth="1"/>
    <col min="21" max="22" width="8.140625" bestFit="1" customWidth="1"/>
    <col min="23" max="23" width="10.7109375" bestFit="1" customWidth="1"/>
    <col min="24" max="24" width="11.140625" bestFit="1" customWidth="1"/>
    <col min="25" max="25" width="13.7109375" bestFit="1" customWidth="1"/>
    <col min="26" max="26" width="11.28515625" bestFit="1" customWidth="1"/>
    <col min="27" max="27" width="12.42578125" bestFit="1" customWidth="1"/>
    <col min="28" max="28" width="27.85546875" bestFit="1" customWidth="1"/>
    <col min="29" max="29" width="12.42578125" bestFit="1" customWidth="1"/>
    <col min="30" max="30" width="27.85546875" bestFit="1" customWidth="1"/>
    <col min="31" max="31" width="12.42578125" bestFit="1" customWidth="1"/>
    <col min="32" max="32" width="27.85546875" bestFit="1" customWidth="1"/>
    <col min="33" max="33" width="12.42578125" bestFit="1" customWidth="1"/>
    <col min="34" max="34" width="32.85546875" bestFit="1" customWidth="1"/>
    <col min="35" max="35" width="17.5703125" bestFit="1" customWidth="1"/>
    <col min="36" max="36" width="5" bestFit="1" customWidth="1"/>
    <col min="37" max="37" width="4" bestFit="1" customWidth="1"/>
    <col min="38" max="44" width="5" bestFit="1" customWidth="1"/>
    <col min="45" max="45" width="2" bestFit="1" customWidth="1"/>
    <col min="46" max="59" width="5" bestFit="1" customWidth="1"/>
    <col min="60" max="60" width="4" bestFit="1" customWidth="1"/>
    <col min="61" max="69" width="5" bestFit="1" customWidth="1"/>
    <col min="70" max="70" width="4" bestFit="1" customWidth="1"/>
    <col min="71" max="79" width="5" bestFit="1" customWidth="1"/>
    <col min="80" max="80" width="4" bestFit="1" customWidth="1"/>
    <col min="81" max="88" width="5" bestFit="1" customWidth="1"/>
    <col min="89" max="89" width="4" bestFit="1" customWidth="1"/>
    <col min="90" max="98" width="5" bestFit="1" customWidth="1"/>
    <col min="99" max="99" width="4" bestFit="1" customWidth="1"/>
    <col min="100" max="107" width="5" bestFit="1" customWidth="1"/>
    <col min="108" max="108" width="4" bestFit="1" customWidth="1"/>
    <col min="109" max="117" width="5" bestFit="1" customWidth="1"/>
    <col min="118" max="118" width="4" bestFit="1" customWidth="1"/>
    <col min="119" max="127" width="5" bestFit="1" customWidth="1"/>
    <col min="128" max="128" width="4" bestFit="1" customWidth="1"/>
    <col min="129" max="136" width="5" bestFit="1" customWidth="1"/>
    <col min="137" max="137" width="2" bestFit="1" customWidth="1"/>
    <col min="138" max="146" width="5" bestFit="1" customWidth="1"/>
    <col min="147" max="147" width="4" bestFit="1" customWidth="1"/>
    <col min="148" max="154" width="5" bestFit="1" customWidth="1"/>
    <col min="155" max="155" width="4" bestFit="1" customWidth="1"/>
    <col min="156" max="164" width="5" bestFit="1" customWidth="1"/>
    <col min="165" max="165" width="4" bestFit="1" customWidth="1"/>
    <col min="166" max="170" width="5" bestFit="1" customWidth="1"/>
    <col min="171" max="171" width="4" bestFit="1" customWidth="1"/>
    <col min="172" max="183" width="5" bestFit="1" customWidth="1"/>
    <col min="184" max="184" width="4" bestFit="1" customWidth="1"/>
    <col min="185" max="189" width="5" bestFit="1" customWidth="1"/>
    <col min="190" max="190" width="4" bestFit="1" customWidth="1"/>
    <col min="191" max="192" width="5" bestFit="1" customWidth="1"/>
    <col min="193" max="193" width="4" bestFit="1" customWidth="1"/>
    <col min="194" max="205" width="5" bestFit="1" customWidth="1"/>
    <col min="206" max="206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25" x14ac:dyDescent="0.25">
      <c r="A2">
        <v>1968</v>
      </c>
      <c r="B2">
        <v>202</v>
      </c>
      <c r="C2">
        <v>1</v>
      </c>
      <c r="D2">
        <v>203</v>
      </c>
      <c r="E2">
        <v>0</v>
      </c>
      <c r="F2">
        <v>0</v>
      </c>
      <c r="G2">
        <v>203</v>
      </c>
      <c r="H2">
        <v>20</v>
      </c>
      <c r="I2">
        <v>0</v>
      </c>
      <c r="J2">
        <v>223</v>
      </c>
      <c r="K2" t="s">
        <v>11</v>
      </c>
    </row>
    <row r="3" spans="1:25" x14ac:dyDescent="0.25">
      <c r="A3">
        <v>1969</v>
      </c>
      <c r="B3">
        <v>269</v>
      </c>
      <c r="C3">
        <v>1</v>
      </c>
      <c r="D3">
        <v>269</v>
      </c>
      <c r="E3">
        <v>0</v>
      </c>
      <c r="F3">
        <v>0</v>
      </c>
      <c r="G3">
        <v>269</v>
      </c>
      <c r="H3">
        <v>27</v>
      </c>
      <c r="I3">
        <v>100</v>
      </c>
      <c r="J3">
        <v>396</v>
      </c>
      <c r="K3" t="s">
        <v>11</v>
      </c>
    </row>
    <row r="4" spans="1:25" x14ac:dyDescent="0.25">
      <c r="A4">
        <v>1970</v>
      </c>
      <c r="B4">
        <v>141</v>
      </c>
      <c r="C4">
        <v>0.85</v>
      </c>
      <c r="D4">
        <v>120</v>
      </c>
      <c r="E4">
        <v>0</v>
      </c>
      <c r="F4">
        <v>0</v>
      </c>
      <c r="G4">
        <v>120</v>
      </c>
      <c r="H4">
        <v>12</v>
      </c>
      <c r="I4">
        <v>0</v>
      </c>
      <c r="J4">
        <v>132</v>
      </c>
      <c r="K4" t="s">
        <v>11</v>
      </c>
      <c r="O4" s="1" t="s">
        <v>23</v>
      </c>
      <c r="P4" s="1" t="s">
        <v>22</v>
      </c>
    </row>
    <row r="5" spans="1:25" x14ac:dyDescent="0.25">
      <c r="A5">
        <v>1971</v>
      </c>
      <c r="B5">
        <v>82</v>
      </c>
      <c r="C5">
        <v>1.01</v>
      </c>
      <c r="D5">
        <v>83</v>
      </c>
      <c r="E5">
        <v>0</v>
      </c>
      <c r="F5">
        <v>0</v>
      </c>
      <c r="G5">
        <v>83</v>
      </c>
      <c r="H5">
        <v>8</v>
      </c>
      <c r="I5">
        <v>0</v>
      </c>
      <c r="J5">
        <v>91</v>
      </c>
      <c r="K5" t="s">
        <v>11</v>
      </c>
      <c r="O5" s="1" t="s">
        <v>20</v>
      </c>
      <c r="P5" t="s">
        <v>12</v>
      </c>
      <c r="Q5" t="s">
        <v>16</v>
      </c>
      <c r="R5" t="s">
        <v>14</v>
      </c>
      <c r="S5" t="s">
        <v>11</v>
      </c>
      <c r="T5" t="s">
        <v>17</v>
      </c>
      <c r="U5" t="s">
        <v>13</v>
      </c>
      <c r="V5" t="s">
        <v>18</v>
      </c>
      <c r="W5" t="s">
        <v>15</v>
      </c>
      <c r="X5" t="s">
        <v>19</v>
      </c>
      <c r="Y5" t="s">
        <v>21</v>
      </c>
    </row>
    <row r="6" spans="1:25" x14ac:dyDescent="0.25">
      <c r="A6">
        <v>1972</v>
      </c>
      <c r="B6">
        <v>49</v>
      </c>
      <c r="C6">
        <v>0.82</v>
      </c>
      <c r="D6">
        <v>40</v>
      </c>
      <c r="E6">
        <v>0</v>
      </c>
      <c r="F6">
        <v>0</v>
      </c>
      <c r="G6">
        <v>40</v>
      </c>
      <c r="H6">
        <v>4</v>
      </c>
      <c r="I6">
        <v>0</v>
      </c>
      <c r="J6">
        <v>44</v>
      </c>
      <c r="K6" t="s">
        <v>11</v>
      </c>
      <c r="O6" s="2">
        <v>1968</v>
      </c>
      <c r="P6" s="3">
        <v>216</v>
      </c>
      <c r="Q6" s="3">
        <v>4201</v>
      </c>
      <c r="R6" s="3">
        <v>1758</v>
      </c>
      <c r="S6" s="3">
        <v>203</v>
      </c>
      <c r="T6" s="3">
        <v>532</v>
      </c>
      <c r="U6" s="3">
        <v>507</v>
      </c>
      <c r="V6" s="3">
        <v>3036</v>
      </c>
      <c r="W6" s="3">
        <v>76</v>
      </c>
      <c r="X6" s="3">
        <v>123</v>
      </c>
      <c r="Y6" s="3">
        <v>10652</v>
      </c>
    </row>
    <row r="7" spans="1:25" x14ac:dyDescent="0.25">
      <c r="A7">
        <v>1973</v>
      </c>
      <c r="B7">
        <v>52</v>
      </c>
      <c r="C7">
        <v>0.97</v>
      </c>
      <c r="D7">
        <v>50</v>
      </c>
      <c r="E7">
        <v>0</v>
      </c>
      <c r="F7">
        <v>0</v>
      </c>
      <c r="G7">
        <v>50</v>
      </c>
      <c r="H7">
        <v>5</v>
      </c>
      <c r="I7">
        <v>0</v>
      </c>
      <c r="J7">
        <v>55</v>
      </c>
      <c r="K7" t="s">
        <v>11</v>
      </c>
      <c r="O7" s="2">
        <v>1969</v>
      </c>
      <c r="P7" s="3">
        <v>223</v>
      </c>
      <c r="Q7" s="3">
        <v>3729</v>
      </c>
      <c r="R7" s="3">
        <v>1447</v>
      </c>
      <c r="S7" s="3">
        <v>269</v>
      </c>
      <c r="T7" s="3">
        <v>915</v>
      </c>
      <c r="U7" s="3">
        <v>583</v>
      </c>
      <c r="V7" s="3">
        <v>3274</v>
      </c>
      <c r="W7" s="3">
        <v>145</v>
      </c>
      <c r="X7" s="3">
        <v>459</v>
      </c>
      <c r="Y7" s="3">
        <v>11044</v>
      </c>
    </row>
    <row r="8" spans="1:25" x14ac:dyDescent="0.25">
      <c r="A8">
        <v>1974</v>
      </c>
      <c r="B8">
        <v>121</v>
      </c>
      <c r="C8">
        <v>0.95</v>
      </c>
      <c r="D8">
        <v>115</v>
      </c>
      <c r="E8">
        <v>0</v>
      </c>
      <c r="F8">
        <v>0</v>
      </c>
      <c r="G8">
        <v>115</v>
      </c>
      <c r="H8">
        <v>12</v>
      </c>
      <c r="I8">
        <v>0</v>
      </c>
      <c r="J8">
        <v>127</v>
      </c>
      <c r="K8" t="s">
        <v>11</v>
      </c>
      <c r="O8" s="2">
        <v>1970</v>
      </c>
      <c r="P8" s="3">
        <v>200</v>
      </c>
      <c r="Q8" s="3">
        <v>4060</v>
      </c>
      <c r="R8" s="3">
        <v>1501</v>
      </c>
      <c r="S8" s="3">
        <v>120</v>
      </c>
      <c r="T8" s="3">
        <v>910</v>
      </c>
      <c r="U8" s="3">
        <v>400</v>
      </c>
      <c r="V8" s="3">
        <v>2605</v>
      </c>
      <c r="W8" s="3">
        <v>94</v>
      </c>
      <c r="X8" s="3">
        <v>415</v>
      </c>
      <c r="Y8" s="3">
        <v>10305</v>
      </c>
    </row>
    <row r="9" spans="1:25" x14ac:dyDescent="0.25">
      <c r="A9">
        <v>1975</v>
      </c>
      <c r="B9">
        <v>218</v>
      </c>
      <c r="C9">
        <v>0.96</v>
      </c>
      <c r="D9">
        <v>209</v>
      </c>
      <c r="E9">
        <v>0</v>
      </c>
      <c r="F9">
        <v>0</v>
      </c>
      <c r="G9">
        <v>209</v>
      </c>
      <c r="H9">
        <v>21</v>
      </c>
      <c r="I9">
        <v>0</v>
      </c>
      <c r="J9">
        <v>230</v>
      </c>
      <c r="K9" t="s">
        <v>11</v>
      </c>
      <c r="O9" s="2">
        <v>1971</v>
      </c>
      <c r="P9" s="3">
        <v>119</v>
      </c>
      <c r="Q9" s="3">
        <v>3202</v>
      </c>
      <c r="R9" s="3">
        <v>1151</v>
      </c>
      <c r="S9" s="3">
        <v>83</v>
      </c>
      <c r="T9" s="3">
        <v>737</v>
      </c>
      <c r="U9" s="3">
        <v>314</v>
      </c>
      <c r="V9" s="3">
        <v>3262</v>
      </c>
      <c r="W9" s="3">
        <v>53</v>
      </c>
      <c r="X9" s="3">
        <v>500</v>
      </c>
      <c r="Y9" s="3">
        <v>9421</v>
      </c>
    </row>
    <row r="10" spans="1:25" x14ac:dyDescent="0.25">
      <c r="A10">
        <v>1976</v>
      </c>
      <c r="B10">
        <v>217</v>
      </c>
      <c r="C10">
        <v>0.66</v>
      </c>
      <c r="D10">
        <v>142</v>
      </c>
      <c r="E10">
        <v>0</v>
      </c>
      <c r="F10">
        <v>0</v>
      </c>
      <c r="G10">
        <v>142</v>
      </c>
      <c r="H10">
        <v>14</v>
      </c>
      <c r="I10">
        <v>0</v>
      </c>
      <c r="J10">
        <v>157</v>
      </c>
      <c r="K10" t="s">
        <v>11</v>
      </c>
      <c r="O10" s="2">
        <v>1972</v>
      </c>
      <c r="P10" s="3">
        <v>55</v>
      </c>
      <c r="Q10" s="3">
        <v>3320</v>
      </c>
      <c r="R10" s="3">
        <v>944</v>
      </c>
      <c r="S10" s="3">
        <v>40</v>
      </c>
      <c r="T10" s="3">
        <v>730</v>
      </c>
      <c r="U10" s="3">
        <v>334</v>
      </c>
      <c r="V10" s="3">
        <v>2891</v>
      </c>
      <c r="W10" s="3">
        <v>58</v>
      </c>
      <c r="X10" s="3">
        <v>452</v>
      </c>
      <c r="Y10" s="3">
        <v>8824</v>
      </c>
    </row>
    <row r="11" spans="1:25" x14ac:dyDescent="0.25">
      <c r="A11">
        <v>1977</v>
      </c>
      <c r="B11">
        <v>85</v>
      </c>
      <c r="C11">
        <v>0.61</v>
      </c>
      <c r="D11">
        <v>52</v>
      </c>
      <c r="E11">
        <v>0</v>
      </c>
      <c r="F11">
        <v>0</v>
      </c>
      <c r="G11">
        <v>52</v>
      </c>
      <c r="H11">
        <v>5</v>
      </c>
      <c r="I11">
        <v>0</v>
      </c>
      <c r="J11">
        <v>57</v>
      </c>
      <c r="K11" t="s">
        <v>11</v>
      </c>
      <c r="O11" s="2">
        <v>1973</v>
      </c>
      <c r="P11" s="3">
        <v>112</v>
      </c>
      <c r="Q11" s="3">
        <v>3467</v>
      </c>
      <c r="R11" s="3">
        <v>867</v>
      </c>
      <c r="S11" s="3">
        <v>50</v>
      </c>
      <c r="T11" s="3">
        <v>727</v>
      </c>
      <c r="U11" s="3">
        <v>374</v>
      </c>
      <c r="V11" s="3">
        <v>3603</v>
      </c>
      <c r="W11" s="3">
        <v>14</v>
      </c>
      <c r="X11" s="3">
        <v>392</v>
      </c>
      <c r="Y11" s="3">
        <v>9606</v>
      </c>
    </row>
    <row r="12" spans="1:25" x14ac:dyDescent="0.25">
      <c r="A12">
        <v>1978</v>
      </c>
      <c r="B12">
        <v>149</v>
      </c>
      <c r="C12">
        <v>0.78</v>
      </c>
      <c r="D12">
        <v>117</v>
      </c>
      <c r="E12">
        <v>0</v>
      </c>
      <c r="F12">
        <v>0</v>
      </c>
      <c r="G12">
        <v>117</v>
      </c>
      <c r="H12">
        <v>12</v>
      </c>
      <c r="I12">
        <v>0</v>
      </c>
      <c r="J12">
        <v>128</v>
      </c>
      <c r="K12" t="s">
        <v>11</v>
      </c>
      <c r="O12" s="2">
        <v>1974</v>
      </c>
      <c r="P12" s="3">
        <v>146</v>
      </c>
      <c r="Q12" s="3">
        <v>2746</v>
      </c>
      <c r="R12" s="3">
        <v>956</v>
      </c>
      <c r="S12" s="3">
        <v>115</v>
      </c>
      <c r="T12" s="3">
        <v>916</v>
      </c>
      <c r="U12" s="3">
        <v>287</v>
      </c>
      <c r="V12" s="3">
        <v>3354</v>
      </c>
      <c r="W12" s="3">
        <v>90</v>
      </c>
      <c r="X12" s="3">
        <v>672</v>
      </c>
      <c r="Y12" s="3">
        <v>9282</v>
      </c>
    </row>
    <row r="13" spans="1:25" x14ac:dyDescent="0.25">
      <c r="A13">
        <v>1979</v>
      </c>
      <c r="B13">
        <v>104</v>
      </c>
      <c r="C13">
        <v>0.91</v>
      </c>
      <c r="D13">
        <v>95</v>
      </c>
      <c r="E13">
        <v>0</v>
      </c>
      <c r="F13">
        <v>0</v>
      </c>
      <c r="G13">
        <v>95</v>
      </c>
      <c r="H13">
        <v>9</v>
      </c>
      <c r="I13">
        <v>0</v>
      </c>
      <c r="J13">
        <v>104</v>
      </c>
      <c r="K13" t="s">
        <v>11</v>
      </c>
      <c r="O13" s="2">
        <v>1975</v>
      </c>
      <c r="P13" s="3">
        <v>200</v>
      </c>
      <c r="Q13" s="3">
        <v>2208</v>
      </c>
      <c r="R13" s="3">
        <v>1439</v>
      </c>
      <c r="S13" s="3">
        <v>209</v>
      </c>
      <c r="T13" s="3">
        <v>775</v>
      </c>
      <c r="U13" s="3">
        <v>430</v>
      </c>
      <c r="V13" s="3">
        <v>3303</v>
      </c>
      <c r="W13" s="3">
        <v>55</v>
      </c>
      <c r="X13" s="3">
        <v>619</v>
      </c>
      <c r="Y13" s="3">
        <v>9238</v>
      </c>
    </row>
    <row r="14" spans="1:25" x14ac:dyDescent="0.25">
      <c r="A14">
        <v>1980</v>
      </c>
      <c r="B14">
        <v>112</v>
      </c>
      <c r="C14">
        <v>0.94</v>
      </c>
      <c r="D14">
        <v>105</v>
      </c>
      <c r="E14">
        <v>0</v>
      </c>
      <c r="F14">
        <v>0</v>
      </c>
      <c r="G14">
        <v>105</v>
      </c>
      <c r="H14">
        <v>11</v>
      </c>
      <c r="I14">
        <v>0</v>
      </c>
      <c r="J14">
        <v>116</v>
      </c>
      <c r="K14" t="s">
        <v>11</v>
      </c>
      <c r="O14" s="2">
        <v>1976</v>
      </c>
      <c r="P14" s="3">
        <v>273</v>
      </c>
      <c r="Q14" s="3">
        <v>3184</v>
      </c>
      <c r="R14" s="3">
        <v>1485</v>
      </c>
      <c r="S14" s="3">
        <v>142</v>
      </c>
      <c r="T14" s="3">
        <v>778</v>
      </c>
      <c r="U14" s="3">
        <v>365</v>
      </c>
      <c r="V14" s="3">
        <v>3712</v>
      </c>
      <c r="W14" s="3">
        <v>60</v>
      </c>
      <c r="X14" s="3">
        <v>705</v>
      </c>
      <c r="Y14" s="3">
        <v>10704</v>
      </c>
    </row>
    <row r="15" spans="1:25" x14ac:dyDescent="0.25">
      <c r="A15">
        <v>1981</v>
      </c>
      <c r="B15">
        <v>89</v>
      </c>
      <c r="C15">
        <v>0.88</v>
      </c>
      <c r="D15">
        <v>79</v>
      </c>
      <c r="E15">
        <v>0</v>
      </c>
      <c r="F15">
        <v>0</v>
      </c>
      <c r="G15">
        <v>79</v>
      </c>
      <c r="H15">
        <v>8</v>
      </c>
      <c r="I15">
        <v>0</v>
      </c>
      <c r="J15">
        <v>86</v>
      </c>
      <c r="K15" t="s">
        <v>11</v>
      </c>
      <c r="O15" s="2">
        <v>1977</v>
      </c>
      <c r="P15" s="3">
        <v>151</v>
      </c>
      <c r="Q15" s="3">
        <v>1938</v>
      </c>
      <c r="R15" s="3">
        <v>1608</v>
      </c>
      <c r="S15" s="3">
        <v>52</v>
      </c>
      <c r="T15" s="3">
        <v>750</v>
      </c>
      <c r="U15" s="3">
        <v>489</v>
      </c>
      <c r="V15" s="3">
        <v>3154</v>
      </c>
      <c r="W15" s="3">
        <v>63</v>
      </c>
      <c r="X15" s="3">
        <v>696</v>
      </c>
      <c r="Y15" s="3">
        <v>8901</v>
      </c>
    </row>
    <row r="16" spans="1:25" x14ac:dyDescent="0.25">
      <c r="A16">
        <v>1982</v>
      </c>
      <c r="B16">
        <v>138</v>
      </c>
      <c r="C16">
        <v>0.87</v>
      </c>
      <c r="D16">
        <v>120</v>
      </c>
      <c r="E16">
        <v>0</v>
      </c>
      <c r="F16">
        <v>0</v>
      </c>
      <c r="G16">
        <v>120</v>
      </c>
      <c r="H16">
        <v>12</v>
      </c>
      <c r="I16">
        <v>0</v>
      </c>
      <c r="J16">
        <v>132</v>
      </c>
      <c r="K16" t="s">
        <v>11</v>
      </c>
      <c r="O16" s="2">
        <v>1978</v>
      </c>
      <c r="P16" s="3">
        <v>133</v>
      </c>
      <c r="Q16" s="3">
        <v>3576</v>
      </c>
      <c r="R16" s="3">
        <v>1333</v>
      </c>
      <c r="S16" s="3">
        <v>117</v>
      </c>
      <c r="T16" s="3">
        <v>712</v>
      </c>
      <c r="U16" s="3">
        <v>403</v>
      </c>
      <c r="V16" s="3">
        <v>3236</v>
      </c>
      <c r="W16" s="3">
        <v>125</v>
      </c>
      <c r="X16" s="3">
        <v>708</v>
      </c>
      <c r="Y16" s="3">
        <v>10343</v>
      </c>
    </row>
    <row r="17" spans="1:25" x14ac:dyDescent="0.25">
      <c r="A17">
        <v>1983</v>
      </c>
      <c r="B17">
        <v>158</v>
      </c>
      <c r="C17">
        <v>0.5</v>
      </c>
      <c r="D17">
        <v>79</v>
      </c>
      <c r="E17">
        <v>0</v>
      </c>
      <c r="F17">
        <v>0</v>
      </c>
      <c r="G17">
        <v>79</v>
      </c>
      <c r="H17">
        <v>8</v>
      </c>
      <c r="I17">
        <v>0</v>
      </c>
      <c r="J17">
        <v>86</v>
      </c>
      <c r="K17" t="s">
        <v>11</v>
      </c>
      <c r="O17" s="2">
        <v>1979</v>
      </c>
      <c r="P17" s="3">
        <v>102</v>
      </c>
      <c r="Q17" s="3">
        <v>931</v>
      </c>
      <c r="R17" s="3">
        <v>709</v>
      </c>
      <c r="S17" s="3">
        <v>95</v>
      </c>
      <c r="T17" s="3">
        <v>223</v>
      </c>
      <c r="U17" s="3">
        <v>26</v>
      </c>
      <c r="V17" s="3">
        <v>2258</v>
      </c>
      <c r="W17" s="3">
        <v>62</v>
      </c>
      <c r="X17" s="3">
        <v>172</v>
      </c>
      <c r="Y17" s="3">
        <v>4578</v>
      </c>
    </row>
    <row r="18" spans="1:25" x14ac:dyDescent="0.25">
      <c r="A18">
        <v>1984</v>
      </c>
      <c r="B18">
        <v>146</v>
      </c>
      <c r="C18">
        <v>0.61</v>
      </c>
      <c r="D18">
        <v>90</v>
      </c>
      <c r="E18">
        <v>0</v>
      </c>
      <c r="F18">
        <v>0</v>
      </c>
      <c r="G18">
        <v>90</v>
      </c>
      <c r="H18">
        <v>9</v>
      </c>
      <c r="I18">
        <v>0</v>
      </c>
      <c r="J18">
        <v>99</v>
      </c>
      <c r="K18" t="s">
        <v>11</v>
      </c>
      <c r="O18" s="2">
        <v>1980</v>
      </c>
      <c r="P18" s="3">
        <v>187</v>
      </c>
      <c r="Q18" s="3">
        <v>2174</v>
      </c>
      <c r="R18" s="3">
        <v>1730</v>
      </c>
      <c r="S18" s="3">
        <v>105</v>
      </c>
      <c r="T18" s="3">
        <v>523</v>
      </c>
      <c r="U18" s="3">
        <v>331</v>
      </c>
      <c r="V18" s="3">
        <v>2941</v>
      </c>
      <c r="W18" s="3">
        <v>53</v>
      </c>
      <c r="X18" s="3">
        <v>659</v>
      </c>
      <c r="Y18" s="3">
        <v>8703</v>
      </c>
    </row>
    <row r="19" spans="1:25" x14ac:dyDescent="0.25">
      <c r="A19">
        <v>1985</v>
      </c>
      <c r="B19">
        <v>45</v>
      </c>
      <c r="C19">
        <v>0.81</v>
      </c>
      <c r="D19">
        <v>36</v>
      </c>
      <c r="E19">
        <v>0</v>
      </c>
      <c r="F19">
        <v>0</v>
      </c>
      <c r="G19">
        <v>36</v>
      </c>
      <c r="H19">
        <v>4</v>
      </c>
      <c r="I19">
        <v>0</v>
      </c>
      <c r="J19">
        <v>40</v>
      </c>
      <c r="K19" t="s">
        <v>11</v>
      </c>
      <c r="O19" s="2">
        <v>1981</v>
      </c>
      <c r="P19" s="3">
        <v>173</v>
      </c>
      <c r="Q19" s="3">
        <v>1845</v>
      </c>
      <c r="R19" s="3">
        <v>1329</v>
      </c>
      <c r="S19" s="3">
        <v>79</v>
      </c>
      <c r="T19" s="3">
        <v>631</v>
      </c>
      <c r="U19" s="3">
        <v>472</v>
      </c>
      <c r="V19" s="3">
        <v>2599</v>
      </c>
      <c r="W19" s="3">
        <v>53</v>
      </c>
      <c r="X19" s="3">
        <v>750</v>
      </c>
      <c r="Y19" s="3">
        <v>7931</v>
      </c>
    </row>
    <row r="20" spans="1:25" x14ac:dyDescent="0.25">
      <c r="A20">
        <v>1986</v>
      </c>
      <c r="B20">
        <v>64</v>
      </c>
      <c r="C20">
        <v>0.78</v>
      </c>
      <c r="D20">
        <v>50</v>
      </c>
      <c r="E20">
        <v>0</v>
      </c>
      <c r="F20">
        <v>0</v>
      </c>
      <c r="G20">
        <v>50</v>
      </c>
      <c r="H20">
        <v>5</v>
      </c>
      <c r="I20">
        <v>0</v>
      </c>
      <c r="J20">
        <v>55</v>
      </c>
      <c r="K20" t="s">
        <v>11</v>
      </c>
      <c r="O20" s="2">
        <v>1982</v>
      </c>
      <c r="P20" s="3">
        <v>129</v>
      </c>
      <c r="Q20" s="3">
        <v>934</v>
      </c>
      <c r="R20" s="3">
        <v>1072</v>
      </c>
      <c r="S20" s="3">
        <v>120</v>
      </c>
      <c r="T20" s="3">
        <v>651</v>
      </c>
      <c r="U20" s="3">
        <v>252</v>
      </c>
      <c r="V20" s="3">
        <v>191</v>
      </c>
      <c r="W20" s="3">
        <v>38</v>
      </c>
      <c r="X20" s="3">
        <v>445</v>
      </c>
      <c r="Y20" s="3">
        <v>3832</v>
      </c>
    </row>
    <row r="21" spans="1:25" x14ac:dyDescent="0.25">
      <c r="A21">
        <v>1987</v>
      </c>
      <c r="B21">
        <v>117</v>
      </c>
      <c r="C21">
        <v>0.61</v>
      </c>
      <c r="D21">
        <v>71</v>
      </c>
      <c r="E21">
        <v>0</v>
      </c>
      <c r="F21">
        <v>0</v>
      </c>
      <c r="G21">
        <v>71</v>
      </c>
      <c r="H21">
        <v>7</v>
      </c>
      <c r="I21">
        <v>0</v>
      </c>
      <c r="J21">
        <v>78</v>
      </c>
      <c r="K21" t="s">
        <v>11</v>
      </c>
      <c r="O21" s="2">
        <v>1983</v>
      </c>
      <c r="P21" s="3">
        <v>237</v>
      </c>
      <c r="Q21" s="3">
        <v>2094</v>
      </c>
      <c r="R21" s="3">
        <v>1062</v>
      </c>
      <c r="S21" s="3">
        <v>79</v>
      </c>
      <c r="T21" s="3">
        <v>363</v>
      </c>
      <c r="U21" s="3">
        <v>191</v>
      </c>
      <c r="V21" s="3">
        <v>1050</v>
      </c>
      <c r="W21" s="3">
        <v>115</v>
      </c>
      <c r="X21" s="3">
        <v>664</v>
      </c>
      <c r="Y21" s="3">
        <v>5855</v>
      </c>
    </row>
    <row r="22" spans="1:25" x14ac:dyDescent="0.25">
      <c r="A22">
        <v>1988</v>
      </c>
      <c r="B22">
        <v>136</v>
      </c>
      <c r="C22">
        <v>0.66</v>
      </c>
      <c r="D22">
        <v>90</v>
      </c>
      <c r="E22">
        <v>0</v>
      </c>
      <c r="F22">
        <v>0</v>
      </c>
      <c r="G22">
        <v>90</v>
      </c>
      <c r="H22">
        <v>9</v>
      </c>
      <c r="I22">
        <v>0</v>
      </c>
      <c r="J22">
        <v>99</v>
      </c>
      <c r="K22" t="s">
        <v>11</v>
      </c>
      <c r="O22" s="2">
        <v>1984</v>
      </c>
      <c r="P22" s="3">
        <v>104</v>
      </c>
      <c r="Q22" s="3">
        <v>1357</v>
      </c>
      <c r="R22" s="3">
        <v>810</v>
      </c>
      <c r="S22" s="3">
        <v>90</v>
      </c>
      <c r="T22" s="3">
        <v>632</v>
      </c>
      <c r="U22" s="3">
        <v>139</v>
      </c>
      <c r="V22" s="3">
        <v>1380</v>
      </c>
      <c r="W22" s="3">
        <v>108</v>
      </c>
      <c r="X22" s="3">
        <v>796</v>
      </c>
      <c r="Y22" s="3">
        <v>5416</v>
      </c>
    </row>
    <row r="23" spans="1:25" x14ac:dyDescent="0.25">
      <c r="A23">
        <v>1989</v>
      </c>
      <c r="B23">
        <v>69</v>
      </c>
      <c r="C23">
        <v>1.06</v>
      </c>
      <c r="D23">
        <v>73</v>
      </c>
      <c r="E23">
        <v>0</v>
      </c>
      <c r="F23">
        <v>0</v>
      </c>
      <c r="G23">
        <v>73</v>
      </c>
      <c r="H23">
        <v>7</v>
      </c>
      <c r="I23">
        <v>0</v>
      </c>
      <c r="J23">
        <v>80</v>
      </c>
      <c r="K23" t="s">
        <v>11</v>
      </c>
      <c r="O23" s="2">
        <v>1985</v>
      </c>
      <c r="P23" s="3">
        <v>146</v>
      </c>
      <c r="Q23" s="3">
        <v>756</v>
      </c>
      <c r="R23" s="3">
        <v>600</v>
      </c>
      <c r="S23" s="3">
        <v>36</v>
      </c>
      <c r="T23" s="3">
        <v>143</v>
      </c>
      <c r="U23" s="3">
        <v>127</v>
      </c>
      <c r="V23" s="3">
        <v>1345</v>
      </c>
      <c r="W23" s="3">
        <v>32</v>
      </c>
      <c r="X23" s="3">
        <v>186</v>
      </c>
      <c r="Y23" s="3">
        <v>3371</v>
      </c>
    </row>
    <row r="24" spans="1:25" x14ac:dyDescent="0.25">
      <c r="A24">
        <v>1990</v>
      </c>
      <c r="B24">
        <v>68</v>
      </c>
      <c r="C24">
        <v>0.82</v>
      </c>
      <c r="D24">
        <v>56</v>
      </c>
      <c r="E24">
        <v>0</v>
      </c>
      <c r="F24">
        <v>0</v>
      </c>
      <c r="G24">
        <v>56</v>
      </c>
      <c r="H24">
        <v>6</v>
      </c>
      <c r="I24">
        <v>0</v>
      </c>
      <c r="J24">
        <v>62</v>
      </c>
      <c r="K24" t="s">
        <v>11</v>
      </c>
      <c r="O24" s="2">
        <v>1986</v>
      </c>
      <c r="P24" s="3">
        <v>129</v>
      </c>
      <c r="Q24" s="3">
        <v>1090</v>
      </c>
      <c r="R24" s="3">
        <v>772</v>
      </c>
      <c r="S24" s="3">
        <v>50</v>
      </c>
      <c r="T24" s="3">
        <v>242</v>
      </c>
      <c r="U24" s="3">
        <v>233</v>
      </c>
      <c r="V24" s="3">
        <v>1735</v>
      </c>
      <c r="W24" s="3">
        <v>53</v>
      </c>
      <c r="X24" s="3">
        <v>331</v>
      </c>
      <c r="Y24" s="3">
        <v>4635</v>
      </c>
    </row>
    <row r="25" spans="1:25" x14ac:dyDescent="0.25">
      <c r="A25">
        <v>1991</v>
      </c>
      <c r="B25">
        <v>180</v>
      </c>
      <c r="C25">
        <v>0.72</v>
      </c>
      <c r="D25">
        <v>129</v>
      </c>
      <c r="E25">
        <v>0</v>
      </c>
      <c r="F25">
        <v>0</v>
      </c>
      <c r="G25">
        <v>129</v>
      </c>
      <c r="H25">
        <v>13</v>
      </c>
      <c r="I25">
        <v>0</v>
      </c>
      <c r="J25">
        <v>142</v>
      </c>
      <c r="K25" t="s">
        <v>11</v>
      </c>
      <c r="O25" s="2">
        <v>1987</v>
      </c>
      <c r="P25" s="3">
        <v>158</v>
      </c>
      <c r="Q25" s="3">
        <v>1185</v>
      </c>
      <c r="R25" s="3">
        <v>895</v>
      </c>
      <c r="S25" s="3">
        <v>71</v>
      </c>
      <c r="T25" s="3">
        <v>564</v>
      </c>
      <c r="U25" s="3">
        <v>229</v>
      </c>
      <c r="V25" s="3">
        <v>810</v>
      </c>
      <c r="W25" s="3">
        <v>67</v>
      </c>
      <c r="X25" s="3">
        <v>392</v>
      </c>
      <c r="Y25" s="3">
        <v>4371</v>
      </c>
    </row>
    <row r="26" spans="1:25" x14ac:dyDescent="0.25">
      <c r="A26">
        <v>1992</v>
      </c>
      <c r="B26">
        <v>138</v>
      </c>
      <c r="C26">
        <v>0.75</v>
      </c>
      <c r="D26">
        <v>103</v>
      </c>
      <c r="E26">
        <v>0</v>
      </c>
      <c r="F26">
        <v>0</v>
      </c>
      <c r="G26">
        <v>103</v>
      </c>
      <c r="H26">
        <v>10</v>
      </c>
      <c r="I26">
        <v>0</v>
      </c>
      <c r="J26">
        <v>114</v>
      </c>
      <c r="K26" t="s">
        <v>11</v>
      </c>
      <c r="O26" s="2">
        <v>1988</v>
      </c>
      <c r="P26" s="3">
        <v>126</v>
      </c>
      <c r="Q26" s="3">
        <v>890</v>
      </c>
      <c r="R26" s="3">
        <v>937</v>
      </c>
      <c r="S26" s="3">
        <v>90</v>
      </c>
      <c r="T26" s="3">
        <v>395</v>
      </c>
      <c r="U26" s="3">
        <v>194</v>
      </c>
      <c r="V26" s="3">
        <v>648</v>
      </c>
      <c r="W26" s="3">
        <v>34</v>
      </c>
      <c r="X26" s="3">
        <v>311</v>
      </c>
      <c r="Y26" s="3">
        <v>3625</v>
      </c>
    </row>
    <row r="27" spans="1:25" x14ac:dyDescent="0.25">
      <c r="A27">
        <v>1993</v>
      </c>
      <c r="B27">
        <v>220</v>
      </c>
      <c r="C27">
        <v>0.93</v>
      </c>
      <c r="D27">
        <v>205</v>
      </c>
      <c r="E27">
        <v>0</v>
      </c>
      <c r="F27">
        <v>0</v>
      </c>
      <c r="G27">
        <v>205</v>
      </c>
      <c r="H27">
        <v>21</v>
      </c>
      <c r="I27">
        <v>0</v>
      </c>
      <c r="J27">
        <v>226</v>
      </c>
      <c r="K27" t="s">
        <v>11</v>
      </c>
      <c r="O27" s="2">
        <v>1989</v>
      </c>
      <c r="P27" s="3">
        <v>151</v>
      </c>
      <c r="Q27" s="3">
        <v>1274</v>
      </c>
      <c r="R27" s="3">
        <v>897</v>
      </c>
      <c r="S27" s="3">
        <v>73</v>
      </c>
      <c r="T27" s="3">
        <v>735</v>
      </c>
      <c r="U27" s="3">
        <v>337</v>
      </c>
      <c r="V27" s="3">
        <v>836</v>
      </c>
      <c r="W27" s="3">
        <v>69</v>
      </c>
      <c r="X27" s="3">
        <v>615</v>
      </c>
      <c r="Y27" s="3">
        <v>4987</v>
      </c>
    </row>
    <row r="28" spans="1:25" x14ac:dyDescent="0.25">
      <c r="A28">
        <v>1994</v>
      </c>
      <c r="B28">
        <v>59</v>
      </c>
      <c r="C28">
        <v>0.87</v>
      </c>
      <c r="D28">
        <v>51</v>
      </c>
      <c r="E28">
        <v>0</v>
      </c>
      <c r="F28">
        <v>0</v>
      </c>
      <c r="G28">
        <v>51</v>
      </c>
      <c r="H28">
        <v>5</v>
      </c>
      <c r="I28">
        <v>0</v>
      </c>
      <c r="J28">
        <v>56</v>
      </c>
      <c r="K28" t="s">
        <v>11</v>
      </c>
      <c r="O28" s="2">
        <v>1990</v>
      </c>
      <c r="P28" s="3">
        <v>165</v>
      </c>
      <c r="Q28" s="3">
        <v>1126</v>
      </c>
      <c r="R28" s="3">
        <v>838</v>
      </c>
      <c r="S28" s="3">
        <v>56</v>
      </c>
      <c r="T28" s="3">
        <v>627</v>
      </c>
      <c r="U28" s="3">
        <v>199</v>
      </c>
      <c r="V28" s="3">
        <v>455</v>
      </c>
      <c r="W28" s="3">
        <v>76</v>
      </c>
      <c r="X28" s="3">
        <v>719</v>
      </c>
      <c r="Y28" s="3">
        <v>4261</v>
      </c>
    </row>
    <row r="29" spans="1:25" x14ac:dyDescent="0.25">
      <c r="A29">
        <v>1995</v>
      </c>
      <c r="B29">
        <v>73</v>
      </c>
      <c r="C29">
        <v>0.98</v>
      </c>
      <c r="D29">
        <v>71</v>
      </c>
      <c r="E29">
        <v>0</v>
      </c>
      <c r="F29">
        <v>0</v>
      </c>
      <c r="G29">
        <v>71</v>
      </c>
      <c r="H29">
        <v>7</v>
      </c>
      <c r="I29">
        <v>0</v>
      </c>
      <c r="J29">
        <v>79</v>
      </c>
      <c r="K29" t="s">
        <v>11</v>
      </c>
      <c r="O29" s="2">
        <v>1991</v>
      </c>
      <c r="P29" s="3">
        <v>128</v>
      </c>
      <c r="Q29" s="3">
        <v>1150</v>
      </c>
      <c r="R29" s="3">
        <v>1109</v>
      </c>
      <c r="S29" s="3">
        <v>129</v>
      </c>
      <c r="T29" s="3">
        <v>543</v>
      </c>
      <c r="U29" s="3">
        <v>241</v>
      </c>
      <c r="V29" s="3">
        <v>174</v>
      </c>
      <c r="W29" s="3">
        <v>61</v>
      </c>
      <c r="X29" s="3">
        <v>591</v>
      </c>
      <c r="Y29" s="3">
        <v>4126</v>
      </c>
    </row>
    <row r="30" spans="1:25" x14ac:dyDescent="0.25">
      <c r="A30">
        <v>1996</v>
      </c>
      <c r="B30">
        <v>68</v>
      </c>
      <c r="C30">
        <v>0.81</v>
      </c>
      <c r="D30">
        <v>55</v>
      </c>
      <c r="E30">
        <v>0</v>
      </c>
      <c r="F30">
        <v>0</v>
      </c>
      <c r="G30">
        <v>55</v>
      </c>
      <c r="H30">
        <v>5</v>
      </c>
      <c r="I30">
        <v>0</v>
      </c>
      <c r="J30">
        <v>60</v>
      </c>
      <c r="K30" t="s">
        <v>11</v>
      </c>
      <c r="O30" s="2">
        <v>1992</v>
      </c>
      <c r="P30" s="3">
        <v>90</v>
      </c>
      <c r="Q30" s="3">
        <v>748</v>
      </c>
      <c r="R30" s="3">
        <v>897</v>
      </c>
      <c r="S30" s="3">
        <v>103</v>
      </c>
      <c r="T30" s="3">
        <v>616</v>
      </c>
      <c r="U30" s="3">
        <v>181</v>
      </c>
      <c r="V30" s="3">
        <v>166</v>
      </c>
      <c r="W30" s="3">
        <v>40</v>
      </c>
      <c r="X30" s="3">
        <v>444</v>
      </c>
      <c r="Y30" s="3">
        <v>3285</v>
      </c>
    </row>
    <row r="31" spans="1:25" x14ac:dyDescent="0.25">
      <c r="A31">
        <v>1997</v>
      </c>
      <c r="B31">
        <v>221</v>
      </c>
      <c r="C31">
        <v>0.63</v>
      </c>
      <c r="D31">
        <v>139</v>
      </c>
      <c r="E31">
        <v>0</v>
      </c>
      <c r="F31">
        <v>0</v>
      </c>
      <c r="G31">
        <v>139</v>
      </c>
      <c r="H31">
        <v>14</v>
      </c>
      <c r="I31">
        <v>0</v>
      </c>
      <c r="J31">
        <v>153</v>
      </c>
      <c r="K31" t="s">
        <v>11</v>
      </c>
      <c r="O31" s="2">
        <v>1993</v>
      </c>
      <c r="P31" s="3">
        <v>192</v>
      </c>
      <c r="Q31" s="3">
        <v>1434</v>
      </c>
      <c r="R31" s="3">
        <v>1096</v>
      </c>
      <c r="S31" s="3">
        <v>205</v>
      </c>
      <c r="T31" s="3">
        <v>335</v>
      </c>
      <c r="U31" s="3">
        <v>232</v>
      </c>
      <c r="V31" s="3">
        <v>398</v>
      </c>
      <c r="W31" s="3">
        <v>61</v>
      </c>
      <c r="X31" s="3">
        <v>519</v>
      </c>
      <c r="Y31" s="3">
        <v>4472</v>
      </c>
    </row>
    <row r="32" spans="1:25" x14ac:dyDescent="0.25">
      <c r="A32">
        <v>1998</v>
      </c>
      <c r="B32">
        <v>288</v>
      </c>
      <c r="C32">
        <v>0.78</v>
      </c>
      <c r="D32">
        <v>224</v>
      </c>
      <c r="E32">
        <v>0</v>
      </c>
      <c r="F32">
        <v>0</v>
      </c>
      <c r="G32">
        <v>224</v>
      </c>
      <c r="H32">
        <v>22</v>
      </c>
      <c r="I32">
        <v>0</v>
      </c>
      <c r="J32">
        <v>247</v>
      </c>
      <c r="K32" t="s">
        <v>11</v>
      </c>
      <c r="O32" s="2">
        <v>1994</v>
      </c>
      <c r="P32" s="3">
        <v>104</v>
      </c>
      <c r="Q32" s="3">
        <v>962</v>
      </c>
      <c r="R32" s="3">
        <v>642</v>
      </c>
      <c r="S32" s="3">
        <v>51</v>
      </c>
      <c r="T32" s="3">
        <v>330</v>
      </c>
      <c r="U32" s="3">
        <v>215</v>
      </c>
      <c r="V32" s="3">
        <v>217</v>
      </c>
      <c r="W32" s="3">
        <v>70</v>
      </c>
      <c r="X32" s="3">
        <v>215</v>
      </c>
      <c r="Y32" s="3">
        <v>2806</v>
      </c>
    </row>
    <row r="33" spans="1:25" x14ac:dyDescent="0.25">
      <c r="A33">
        <v>1999</v>
      </c>
      <c r="B33">
        <v>95</v>
      </c>
      <c r="C33">
        <v>0.89</v>
      </c>
      <c r="D33">
        <v>85</v>
      </c>
      <c r="E33">
        <v>0</v>
      </c>
      <c r="F33">
        <v>0</v>
      </c>
      <c r="G33">
        <v>85</v>
      </c>
      <c r="H33">
        <v>9</v>
      </c>
      <c r="I33">
        <v>0</v>
      </c>
      <c r="J33">
        <v>94</v>
      </c>
      <c r="K33" t="s">
        <v>11</v>
      </c>
      <c r="O33" s="2">
        <v>1995</v>
      </c>
      <c r="P33" s="3">
        <v>140</v>
      </c>
      <c r="Q33" s="3">
        <v>1728</v>
      </c>
      <c r="R33" s="3">
        <v>1289</v>
      </c>
      <c r="S33" s="3">
        <v>71</v>
      </c>
      <c r="T33" s="3">
        <v>324</v>
      </c>
      <c r="U33" s="3">
        <v>247</v>
      </c>
      <c r="V33" s="3">
        <v>282</v>
      </c>
      <c r="W33" s="3">
        <v>31</v>
      </c>
      <c r="X33" s="3">
        <v>291</v>
      </c>
      <c r="Y33" s="3">
        <v>4403</v>
      </c>
    </row>
    <row r="34" spans="1:25" x14ac:dyDescent="0.25">
      <c r="A34">
        <v>2000</v>
      </c>
      <c r="B34">
        <v>76</v>
      </c>
      <c r="C34">
        <v>1.1100000000000001</v>
      </c>
      <c r="D34">
        <v>84</v>
      </c>
      <c r="E34">
        <v>0</v>
      </c>
      <c r="F34">
        <v>0</v>
      </c>
      <c r="G34">
        <v>84</v>
      </c>
      <c r="H34">
        <v>8</v>
      </c>
      <c r="I34">
        <v>0</v>
      </c>
      <c r="J34">
        <v>93</v>
      </c>
      <c r="K34" t="s">
        <v>11</v>
      </c>
      <c r="O34" s="2">
        <v>1996</v>
      </c>
      <c r="P34" s="3">
        <v>178</v>
      </c>
      <c r="Q34" s="3">
        <v>1862</v>
      </c>
      <c r="R34" s="3">
        <v>848</v>
      </c>
      <c r="S34" s="3">
        <v>55</v>
      </c>
      <c r="T34" s="3">
        <v>269</v>
      </c>
      <c r="U34" s="3">
        <v>320</v>
      </c>
      <c r="V34" s="3">
        <v>1100</v>
      </c>
      <c r="W34" s="3">
        <v>61</v>
      </c>
      <c r="X34" s="3">
        <v>570</v>
      </c>
      <c r="Y34" s="3">
        <v>5263</v>
      </c>
    </row>
    <row r="35" spans="1:25" x14ac:dyDescent="0.25">
      <c r="A35">
        <v>2001</v>
      </c>
      <c r="B35">
        <v>73</v>
      </c>
      <c r="C35">
        <v>1.1100000000000001</v>
      </c>
      <c r="D35">
        <v>81</v>
      </c>
      <c r="E35">
        <v>0</v>
      </c>
      <c r="F35">
        <v>0</v>
      </c>
      <c r="G35">
        <v>81</v>
      </c>
      <c r="H35">
        <v>8</v>
      </c>
      <c r="I35">
        <v>0</v>
      </c>
      <c r="J35">
        <v>89</v>
      </c>
      <c r="K35" t="s">
        <v>11</v>
      </c>
      <c r="O35" s="2">
        <v>1997</v>
      </c>
      <c r="P35" s="3">
        <v>177</v>
      </c>
      <c r="Q35" s="3">
        <v>1674</v>
      </c>
      <c r="R35" s="3">
        <v>1047</v>
      </c>
      <c r="S35" s="3">
        <v>139</v>
      </c>
      <c r="T35" s="3">
        <v>438</v>
      </c>
      <c r="U35" s="3">
        <v>370</v>
      </c>
      <c r="V35" s="3">
        <v>1299</v>
      </c>
      <c r="W35" s="3">
        <v>88</v>
      </c>
      <c r="X35" s="3">
        <v>592</v>
      </c>
      <c r="Y35" s="3">
        <v>5824</v>
      </c>
    </row>
    <row r="36" spans="1:25" x14ac:dyDescent="0.25">
      <c r="A36">
        <v>2002</v>
      </c>
      <c r="B36">
        <v>98</v>
      </c>
      <c r="C36">
        <v>0.66</v>
      </c>
      <c r="D36">
        <v>64</v>
      </c>
      <c r="E36">
        <v>0</v>
      </c>
      <c r="F36">
        <v>0</v>
      </c>
      <c r="G36">
        <v>64</v>
      </c>
      <c r="H36">
        <v>6</v>
      </c>
      <c r="I36">
        <v>0</v>
      </c>
      <c r="J36">
        <v>71</v>
      </c>
      <c r="K36" t="s">
        <v>11</v>
      </c>
      <c r="O36" s="2">
        <v>1998</v>
      </c>
      <c r="P36" s="3">
        <v>274</v>
      </c>
      <c r="Q36" s="3">
        <v>2169</v>
      </c>
      <c r="R36" s="3">
        <v>1058</v>
      </c>
      <c r="S36" s="3">
        <v>224</v>
      </c>
      <c r="T36" s="3">
        <v>495</v>
      </c>
      <c r="U36" s="3">
        <v>393</v>
      </c>
      <c r="V36" s="3">
        <v>2653</v>
      </c>
      <c r="W36" s="3">
        <v>87</v>
      </c>
      <c r="X36" s="3">
        <v>651</v>
      </c>
      <c r="Y36" s="3">
        <v>8004</v>
      </c>
    </row>
    <row r="37" spans="1:25" x14ac:dyDescent="0.25">
      <c r="A37">
        <v>2003</v>
      </c>
      <c r="B37">
        <v>103</v>
      </c>
      <c r="C37">
        <v>1.24</v>
      </c>
      <c r="D37">
        <v>128</v>
      </c>
      <c r="E37">
        <v>0</v>
      </c>
      <c r="F37">
        <v>0</v>
      </c>
      <c r="G37">
        <v>128</v>
      </c>
      <c r="H37">
        <v>13</v>
      </c>
      <c r="I37">
        <v>0</v>
      </c>
      <c r="J37">
        <v>141</v>
      </c>
      <c r="K37" t="s">
        <v>11</v>
      </c>
      <c r="O37" s="2">
        <v>1999</v>
      </c>
      <c r="P37" s="3">
        <v>415</v>
      </c>
      <c r="Q37" s="3">
        <v>2111</v>
      </c>
      <c r="R37" s="3">
        <v>1025</v>
      </c>
      <c r="S37" s="3">
        <v>85</v>
      </c>
      <c r="T37" s="3">
        <v>347</v>
      </c>
      <c r="U37" s="3">
        <v>423</v>
      </c>
      <c r="V37" s="3">
        <v>1825</v>
      </c>
      <c r="W37" s="3">
        <v>95</v>
      </c>
      <c r="X37" s="3">
        <v>159</v>
      </c>
      <c r="Y37" s="3">
        <v>6485</v>
      </c>
    </row>
    <row r="38" spans="1:25" x14ac:dyDescent="0.25">
      <c r="A38">
        <v>2004</v>
      </c>
      <c r="B38">
        <v>50</v>
      </c>
      <c r="C38">
        <v>1.06</v>
      </c>
      <c r="D38">
        <v>53</v>
      </c>
      <c r="E38">
        <v>0</v>
      </c>
      <c r="F38">
        <v>0</v>
      </c>
      <c r="G38">
        <v>53</v>
      </c>
      <c r="H38">
        <v>5</v>
      </c>
      <c r="I38">
        <v>0</v>
      </c>
      <c r="J38">
        <v>58</v>
      </c>
      <c r="K38" t="s">
        <v>11</v>
      </c>
      <c r="O38" s="2">
        <v>2000</v>
      </c>
      <c r="P38" s="3">
        <v>356</v>
      </c>
      <c r="Q38" s="3">
        <v>2541</v>
      </c>
      <c r="R38" s="3">
        <v>1044</v>
      </c>
      <c r="S38" s="3">
        <v>84</v>
      </c>
      <c r="T38" s="3">
        <v>443</v>
      </c>
      <c r="U38" s="3">
        <v>440</v>
      </c>
      <c r="V38" s="3">
        <v>1064</v>
      </c>
      <c r="W38" s="3">
        <v>122</v>
      </c>
      <c r="X38" s="3">
        <v>222</v>
      </c>
      <c r="Y38" s="3">
        <v>6316</v>
      </c>
    </row>
    <row r="39" spans="1:25" x14ac:dyDescent="0.25">
      <c r="A39">
        <v>2005</v>
      </c>
      <c r="B39">
        <v>106</v>
      </c>
      <c r="C39">
        <v>1.18</v>
      </c>
      <c r="D39">
        <v>125</v>
      </c>
      <c r="E39">
        <v>0</v>
      </c>
      <c r="F39">
        <v>0</v>
      </c>
      <c r="G39">
        <v>125</v>
      </c>
      <c r="H39">
        <v>13</v>
      </c>
      <c r="I39">
        <v>0</v>
      </c>
      <c r="J39">
        <v>138</v>
      </c>
      <c r="K39" t="s">
        <v>11</v>
      </c>
      <c r="O39" s="2">
        <v>2001</v>
      </c>
      <c r="P39" s="3">
        <v>414</v>
      </c>
      <c r="Q39" s="3">
        <v>2430</v>
      </c>
      <c r="R39" s="3">
        <v>1043</v>
      </c>
      <c r="S39" s="3">
        <v>81</v>
      </c>
      <c r="T39" s="3">
        <v>405</v>
      </c>
      <c r="U39" s="3">
        <v>259</v>
      </c>
      <c r="V39" s="3">
        <v>1177</v>
      </c>
      <c r="W39" s="3">
        <v>135</v>
      </c>
      <c r="X39" s="3">
        <v>419</v>
      </c>
      <c r="Y39" s="3">
        <v>6363</v>
      </c>
    </row>
    <row r="40" spans="1:25" x14ac:dyDescent="0.25">
      <c r="A40">
        <v>2006</v>
      </c>
      <c r="B40">
        <v>77</v>
      </c>
      <c r="C40">
        <v>0.71</v>
      </c>
      <c r="D40">
        <v>54</v>
      </c>
      <c r="E40">
        <v>0</v>
      </c>
      <c r="F40">
        <v>0</v>
      </c>
      <c r="G40">
        <v>54</v>
      </c>
      <c r="H40">
        <v>5</v>
      </c>
      <c r="I40">
        <v>0</v>
      </c>
      <c r="J40">
        <v>59</v>
      </c>
      <c r="K40" t="s">
        <v>11</v>
      </c>
      <c r="O40" s="2">
        <v>2002</v>
      </c>
      <c r="P40" s="3">
        <v>306</v>
      </c>
      <c r="Q40" s="3">
        <v>2553</v>
      </c>
      <c r="R40" s="3">
        <v>879</v>
      </c>
      <c r="S40" s="3">
        <v>64</v>
      </c>
      <c r="T40" s="3">
        <v>476</v>
      </c>
      <c r="U40" s="3">
        <v>315</v>
      </c>
      <c r="V40" s="3">
        <v>1372</v>
      </c>
      <c r="W40" s="3">
        <v>102</v>
      </c>
      <c r="X40" s="3">
        <v>545</v>
      </c>
      <c r="Y40" s="3">
        <v>6612</v>
      </c>
    </row>
    <row r="41" spans="1:25" x14ac:dyDescent="0.25">
      <c r="A41">
        <v>2007</v>
      </c>
      <c r="B41">
        <v>126</v>
      </c>
      <c r="C41">
        <v>0.8</v>
      </c>
      <c r="D41">
        <v>101</v>
      </c>
      <c r="E41">
        <v>0</v>
      </c>
      <c r="F41">
        <v>0</v>
      </c>
      <c r="G41">
        <v>101</v>
      </c>
      <c r="H41">
        <v>10</v>
      </c>
      <c r="I41">
        <v>0</v>
      </c>
      <c r="J41">
        <v>111</v>
      </c>
      <c r="K41" t="s">
        <v>11</v>
      </c>
      <c r="O41" s="2">
        <v>2003</v>
      </c>
      <c r="P41" s="3">
        <v>307</v>
      </c>
      <c r="Q41" s="3">
        <v>2847</v>
      </c>
      <c r="R41" s="3">
        <v>1149</v>
      </c>
      <c r="S41" s="3">
        <v>128</v>
      </c>
      <c r="T41" s="3">
        <v>545</v>
      </c>
      <c r="U41" s="3">
        <v>447</v>
      </c>
      <c r="V41" s="3">
        <v>1382</v>
      </c>
      <c r="W41" s="3">
        <v>134</v>
      </c>
      <c r="X41" s="3">
        <v>591</v>
      </c>
      <c r="Y41" s="3">
        <v>7530</v>
      </c>
    </row>
    <row r="42" spans="1:25" x14ac:dyDescent="0.25">
      <c r="A42">
        <v>2008</v>
      </c>
      <c r="B42">
        <v>61</v>
      </c>
      <c r="C42">
        <v>0.9</v>
      </c>
      <c r="D42">
        <v>55</v>
      </c>
      <c r="E42">
        <v>0</v>
      </c>
      <c r="F42">
        <v>0</v>
      </c>
      <c r="G42">
        <v>55</v>
      </c>
      <c r="H42">
        <v>5</v>
      </c>
      <c r="I42">
        <v>0</v>
      </c>
      <c r="J42">
        <v>60</v>
      </c>
      <c r="K42" t="s">
        <v>11</v>
      </c>
      <c r="O42" s="2">
        <v>2004</v>
      </c>
      <c r="P42" s="3">
        <v>218</v>
      </c>
      <c r="Q42" s="3">
        <v>2106</v>
      </c>
      <c r="R42" s="3">
        <v>989</v>
      </c>
      <c r="S42" s="3">
        <v>53</v>
      </c>
      <c r="T42" s="3">
        <v>366</v>
      </c>
      <c r="U42" s="3">
        <v>273</v>
      </c>
      <c r="V42" s="3">
        <v>393</v>
      </c>
      <c r="W42" s="3">
        <v>58</v>
      </c>
      <c r="X42" s="3">
        <v>787</v>
      </c>
      <c r="Y42" s="3">
        <v>5243</v>
      </c>
    </row>
    <row r="43" spans="1:25" x14ac:dyDescent="0.25">
      <c r="A43">
        <v>2009</v>
      </c>
      <c r="B43">
        <v>139</v>
      </c>
      <c r="C43">
        <v>0.9</v>
      </c>
      <c r="D43">
        <v>125</v>
      </c>
      <c r="E43">
        <v>0</v>
      </c>
      <c r="F43">
        <v>0</v>
      </c>
      <c r="G43">
        <v>125</v>
      </c>
      <c r="H43">
        <v>13</v>
      </c>
      <c r="I43">
        <v>0</v>
      </c>
      <c r="J43">
        <v>138</v>
      </c>
      <c r="K43" t="s">
        <v>11</v>
      </c>
      <c r="O43" s="2">
        <v>2005</v>
      </c>
      <c r="P43" s="3">
        <v>241</v>
      </c>
      <c r="Q43" s="3">
        <v>2548</v>
      </c>
      <c r="R43" s="3">
        <v>1349</v>
      </c>
      <c r="S43" s="3">
        <v>125</v>
      </c>
      <c r="T43" s="3">
        <v>561</v>
      </c>
      <c r="U43" s="3">
        <v>402</v>
      </c>
      <c r="V43" s="3">
        <v>2407</v>
      </c>
      <c r="W43" s="3">
        <v>78</v>
      </c>
      <c r="X43" s="3">
        <v>269</v>
      </c>
      <c r="Y43" s="3">
        <v>7980</v>
      </c>
    </row>
    <row r="44" spans="1:25" x14ac:dyDescent="0.25">
      <c r="A44">
        <v>2010</v>
      </c>
      <c r="B44">
        <v>192</v>
      </c>
      <c r="C44">
        <v>1.06</v>
      </c>
      <c r="D44">
        <v>203</v>
      </c>
      <c r="E44">
        <v>0</v>
      </c>
      <c r="F44">
        <v>0</v>
      </c>
      <c r="G44">
        <v>203</v>
      </c>
      <c r="H44">
        <v>20</v>
      </c>
      <c r="I44">
        <v>0</v>
      </c>
      <c r="J44">
        <v>223</v>
      </c>
      <c r="K44" t="s">
        <v>11</v>
      </c>
      <c r="O44" s="2">
        <v>2006</v>
      </c>
      <c r="P44" s="3">
        <v>239</v>
      </c>
      <c r="Q44" s="3">
        <v>2180</v>
      </c>
      <c r="R44" s="3">
        <v>939</v>
      </c>
      <c r="S44" s="3">
        <v>54</v>
      </c>
      <c r="T44" s="3">
        <v>364</v>
      </c>
      <c r="U44" s="3">
        <v>236</v>
      </c>
      <c r="V44" s="3">
        <v>1076</v>
      </c>
      <c r="W44" s="3">
        <v>52</v>
      </c>
      <c r="X44" s="3">
        <v>174</v>
      </c>
      <c r="Y44" s="3">
        <v>5314</v>
      </c>
    </row>
    <row r="45" spans="1:25" x14ac:dyDescent="0.25">
      <c r="A45">
        <v>2011</v>
      </c>
      <c r="B45">
        <v>104</v>
      </c>
      <c r="C45">
        <v>1</v>
      </c>
      <c r="D45">
        <v>103</v>
      </c>
      <c r="E45">
        <v>0</v>
      </c>
      <c r="F45">
        <v>0</v>
      </c>
      <c r="G45">
        <v>103</v>
      </c>
      <c r="H45">
        <v>10</v>
      </c>
      <c r="I45">
        <v>0</v>
      </c>
      <c r="J45">
        <v>114</v>
      </c>
      <c r="K45" t="s">
        <v>11</v>
      </c>
      <c r="O45" s="2">
        <v>2007</v>
      </c>
      <c r="P45" s="3">
        <v>284</v>
      </c>
      <c r="Q45" s="3">
        <v>2429</v>
      </c>
      <c r="R45" s="3">
        <v>1240</v>
      </c>
      <c r="S45" s="3">
        <v>101</v>
      </c>
      <c r="T45" s="3">
        <v>315</v>
      </c>
      <c r="U45" s="3">
        <v>396</v>
      </c>
      <c r="V45" s="3">
        <v>332</v>
      </c>
      <c r="W45" s="3">
        <v>65</v>
      </c>
      <c r="X45" s="3">
        <v>151</v>
      </c>
      <c r="Y45" s="3">
        <v>5313</v>
      </c>
    </row>
    <row r="46" spans="1:25" x14ac:dyDescent="0.25">
      <c r="A46">
        <v>2012</v>
      </c>
      <c r="B46">
        <v>189</v>
      </c>
      <c r="C46">
        <v>1.23</v>
      </c>
      <c r="D46">
        <v>233</v>
      </c>
      <c r="E46">
        <v>0</v>
      </c>
      <c r="F46">
        <v>0</v>
      </c>
      <c r="G46">
        <v>233</v>
      </c>
      <c r="H46">
        <v>23</v>
      </c>
      <c r="I46">
        <v>0</v>
      </c>
      <c r="J46">
        <v>256</v>
      </c>
      <c r="K46" t="s">
        <v>11</v>
      </c>
      <c r="O46" s="2">
        <v>2008</v>
      </c>
      <c r="P46" s="3">
        <v>304</v>
      </c>
      <c r="Q46" s="3">
        <v>2548</v>
      </c>
      <c r="R46" s="3">
        <v>1078</v>
      </c>
      <c r="S46" s="3">
        <v>55</v>
      </c>
      <c r="T46" s="3">
        <v>336</v>
      </c>
      <c r="U46" s="3">
        <v>449</v>
      </c>
      <c r="V46" s="3">
        <v>1333</v>
      </c>
      <c r="W46" s="3">
        <v>123</v>
      </c>
      <c r="X46" s="3">
        <v>185</v>
      </c>
      <c r="Y46" s="3">
        <v>6411</v>
      </c>
    </row>
    <row r="47" spans="1:25" x14ac:dyDescent="0.25">
      <c r="A47">
        <v>2013</v>
      </c>
      <c r="B47">
        <v>113</v>
      </c>
      <c r="C47">
        <v>0.83</v>
      </c>
      <c r="D47">
        <v>94</v>
      </c>
      <c r="E47">
        <v>0</v>
      </c>
      <c r="F47">
        <v>0</v>
      </c>
      <c r="G47">
        <v>94</v>
      </c>
      <c r="H47">
        <v>9</v>
      </c>
      <c r="I47">
        <v>0</v>
      </c>
      <c r="J47">
        <v>103</v>
      </c>
      <c r="K47" t="s">
        <v>11</v>
      </c>
      <c r="O47" s="2">
        <v>2009</v>
      </c>
      <c r="P47" s="3">
        <v>339</v>
      </c>
      <c r="Q47" s="3">
        <v>3103</v>
      </c>
      <c r="R47" s="3">
        <v>866</v>
      </c>
      <c r="S47" s="3">
        <v>125</v>
      </c>
      <c r="T47" s="3">
        <v>480</v>
      </c>
      <c r="U47" s="3">
        <v>310</v>
      </c>
      <c r="V47" s="3">
        <v>1534</v>
      </c>
      <c r="W47" s="3">
        <v>70</v>
      </c>
      <c r="X47" s="3">
        <v>440</v>
      </c>
      <c r="Y47" s="3">
        <v>7267</v>
      </c>
    </row>
    <row r="48" spans="1:25" x14ac:dyDescent="0.25">
      <c r="A48">
        <v>2014</v>
      </c>
      <c r="B48">
        <v>150</v>
      </c>
      <c r="C48">
        <v>0.95</v>
      </c>
      <c r="D48">
        <v>143</v>
      </c>
      <c r="E48">
        <v>0</v>
      </c>
      <c r="F48">
        <v>0</v>
      </c>
      <c r="G48">
        <v>143</v>
      </c>
      <c r="H48">
        <v>14</v>
      </c>
      <c r="I48">
        <v>0</v>
      </c>
      <c r="J48">
        <v>157</v>
      </c>
      <c r="K48" t="s">
        <v>11</v>
      </c>
      <c r="O48" s="2">
        <v>2010</v>
      </c>
      <c r="P48" s="3">
        <v>488</v>
      </c>
      <c r="Q48" s="3">
        <v>2412</v>
      </c>
      <c r="R48" s="3">
        <v>1035</v>
      </c>
      <c r="S48" s="3">
        <v>203</v>
      </c>
      <c r="T48" s="3">
        <v>353</v>
      </c>
      <c r="U48" s="3">
        <v>480</v>
      </c>
      <c r="V48" s="3">
        <v>659</v>
      </c>
      <c r="W48" s="3">
        <v>57</v>
      </c>
      <c r="X48" s="3">
        <v>510</v>
      </c>
      <c r="Y48" s="3">
        <v>6197</v>
      </c>
    </row>
    <row r="49" spans="1:25" x14ac:dyDescent="0.25">
      <c r="A49">
        <v>2015</v>
      </c>
      <c r="B49">
        <v>150</v>
      </c>
      <c r="C49">
        <v>0.64</v>
      </c>
      <c r="D49">
        <v>97</v>
      </c>
      <c r="E49">
        <v>0</v>
      </c>
      <c r="F49">
        <v>0</v>
      </c>
      <c r="G49">
        <v>97</v>
      </c>
      <c r="H49">
        <v>10</v>
      </c>
      <c r="I49">
        <v>0</v>
      </c>
      <c r="J49">
        <v>106</v>
      </c>
      <c r="K49" t="s">
        <v>11</v>
      </c>
      <c r="O49" s="2">
        <v>2011</v>
      </c>
      <c r="P49" s="3">
        <v>235</v>
      </c>
      <c r="Q49" s="3">
        <v>3432</v>
      </c>
      <c r="R49" s="3">
        <v>1021</v>
      </c>
      <c r="S49" s="3">
        <v>103</v>
      </c>
      <c r="T49" s="3">
        <v>472</v>
      </c>
      <c r="U49" s="3">
        <v>392</v>
      </c>
      <c r="V49" s="3">
        <v>726</v>
      </c>
      <c r="W49" s="3">
        <v>65</v>
      </c>
      <c r="X49" s="3">
        <v>452</v>
      </c>
      <c r="Y49" s="3">
        <v>6898</v>
      </c>
    </row>
    <row r="50" spans="1:25" x14ac:dyDescent="0.25">
      <c r="A50">
        <v>2016</v>
      </c>
      <c r="B50">
        <v>125</v>
      </c>
      <c r="C50">
        <v>0.76</v>
      </c>
      <c r="D50">
        <v>96</v>
      </c>
      <c r="E50">
        <v>0</v>
      </c>
      <c r="F50">
        <v>0</v>
      </c>
      <c r="G50">
        <v>96</v>
      </c>
      <c r="H50">
        <v>10</v>
      </c>
      <c r="I50">
        <v>0</v>
      </c>
      <c r="J50">
        <v>105</v>
      </c>
      <c r="K50" t="s">
        <v>11</v>
      </c>
      <c r="O50" s="2">
        <v>2012</v>
      </c>
      <c r="P50" s="3">
        <v>188</v>
      </c>
      <c r="Q50" s="3">
        <v>3632</v>
      </c>
      <c r="R50" s="3">
        <v>1167</v>
      </c>
      <c r="S50" s="3">
        <v>233</v>
      </c>
      <c r="T50" s="3">
        <v>299</v>
      </c>
      <c r="U50" s="3">
        <v>487</v>
      </c>
      <c r="V50" s="3">
        <v>1191</v>
      </c>
      <c r="W50" s="3">
        <v>61</v>
      </c>
      <c r="X50" s="3">
        <v>787</v>
      </c>
      <c r="Y50" s="3">
        <v>8045</v>
      </c>
    </row>
    <row r="51" spans="1:25" x14ac:dyDescent="0.25">
      <c r="A51">
        <v>2017</v>
      </c>
      <c r="B51">
        <v>159</v>
      </c>
      <c r="C51">
        <v>0.93</v>
      </c>
      <c r="D51">
        <v>148</v>
      </c>
      <c r="E51">
        <v>0</v>
      </c>
      <c r="F51">
        <v>0</v>
      </c>
      <c r="G51">
        <v>148</v>
      </c>
      <c r="H51">
        <v>15</v>
      </c>
      <c r="I51">
        <v>0</v>
      </c>
      <c r="J51">
        <v>163</v>
      </c>
      <c r="K51" t="s">
        <v>11</v>
      </c>
      <c r="O51" s="2">
        <v>2013</v>
      </c>
      <c r="P51" s="3">
        <v>119</v>
      </c>
      <c r="Q51" s="3">
        <v>2795</v>
      </c>
      <c r="R51" s="3">
        <v>830</v>
      </c>
      <c r="S51" s="3">
        <v>94</v>
      </c>
      <c r="T51" s="3">
        <v>272</v>
      </c>
      <c r="U51" s="3">
        <v>375</v>
      </c>
      <c r="V51" s="3">
        <v>511</v>
      </c>
      <c r="W51" s="3">
        <v>57</v>
      </c>
      <c r="X51" s="3">
        <v>501</v>
      </c>
      <c r="Y51" s="3">
        <v>5554</v>
      </c>
    </row>
    <row r="52" spans="1:25" x14ac:dyDescent="0.25">
      <c r="A52">
        <v>2018</v>
      </c>
      <c r="B52">
        <v>101</v>
      </c>
      <c r="C52">
        <v>1.0900000000000001</v>
      </c>
      <c r="D52">
        <v>110</v>
      </c>
      <c r="E52">
        <v>0</v>
      </c>
      <c r="F52">
        <v>0</v>
      </c>
      <c r="G52">
        <v>110</v>
      </c>
      <c r="H52">
        <v>10</v>
      </c>
      <c r="I52">
        <v>0</v>
      </c>
      <c r="J52">
        <v>119</v>
      </c>
      <c r="K52" t="s">
        <v>11</v>
      </c>
      <c r="O52" s="2">
        <v>2014</v>
      </c>
      <c r="P52" s="3">
        <v>144</v>
      </c>
      <c r="Q52" s="3">
        <v>3430</v>
      </c>
      <c r="R52" s="3">
        <v>791</v>
      </c>
      <c r="S52" s="3">
        <v>143</v>
      </c>
      <c r="T52" s="3">
        <v>463</v>
      </c>
      <c r="U52" s="3">
        <v>533</v>
      </c>
      <c r="V52" s="3">
        <v>412</v>
      </c>
      <c r="W52" s="3">
        <v>79</v>
      </c>
      <c r="X52" s="3">
        <v>500</v>
      </c>
      <c r="Y52" s="3">
        <v>6495</v>
      </c>
    </row>
    <row r="53" spans="1:25" x14ac:dyDescent="0.25">
      <c r="A53">
        <v>2019</v>
      </c>
      <c r="B53">
        <v>108</v>
      </c>
      <c r="C53">
        <v>0.96</v>
      </c>
      <c r="D53">
        <v>104</v>
      </c>
      <c r="E53">
        <v>0</v>
      </c>
      <c r="F53">
        <v>0</v>
      </c>
      <c r="G53">
        <v>104</v>
      </c>
      <c r="H53">
        <v>10</v>
      </c>
      <c r="I53">
        <v>0</v>
      </c>
      <c r="J53">
        <v>114</v>
      </c>
      <c r="K53" t="s">
        <v>11</v>
      </c>
      <c r="O53" s="2">
        <v>2015</v>
      </c>
      <c r="P53" s="3">
        <v>248</v>
      </c>
      <c r="Q53" s="3">
        <v>3278</v>
      </c>
      <c r="R53" s="3">
        <v>1189</v>
      </c>
      <c r="S53" s="3">
        <v>97</v>
      </c>
      <c r="T53" s="3">
        <v>332</v>
      </c>
      <c r="U53" s="3">
        <v>468</v>
      </c>
      <c r="V53" s="3">
        <v>879</v>
      </c>
      <c r="W53" s="3">
        <v>75</v>
      </c>
      <c r="X53" s="3">
        <v>517</v>
      </c>
      <c r="Y53" s="3">
        <v>7083</v>
      </c>
    </row>
    <row r="54" spans="1:25" x14ac:dyDescent="0.25">
      <c r="A54">
        <v>2020</v>
      </c>
      <c r="B54">
        <v>114</v>
      </c>
      <c r="C54">
        <v>1.71</v>
      </c>
      <c r="D54">
        <v>196</v>
      </c>
      <c r="E54">
        <v>0</v>
      </c>
      <c r="F54">
        <v>0</v>
      </c>
      <c r="G54">
        <v>196</v>
      </c>
      <c r="H54">
        <v>19</v>
      </c>
      <c r="I54">
        <v>0</v>
      </c>
      <c r="J54">
        <v>215</v>
      </c>
      <c r="K54" t="s">
        <v>11</v>
      </c>
      <c r="O54" s="2">
        <v>2016</v>
      </c>
      <c r="P54" s="3">
        <v>182</v>
      </c>
      <c r="Q54" s="3">
        <v>3250</v>
      </c>
      <c r="R54" s="3">
        <v>1105</v>
      </c>
      <c r="S54" s="3">
        <v>96</v>
      </c>
      <c r="T54" s="3">
        <v>187</v>
      </c>
      <c r="U54" s="3">
        <v>352</v>
      </c>
      <c r="V54" s="3">
        <v>1511</v>
      </c>
      <c r="W54" s="3">
        <v>91</v>
      </c>
      <c r="X54" s="3">
        <v>759</v>
      </c>
      <c r="Y54" s="3">
        <v>7533</v>
      </c>
    </row>
    <row r="55" spans="1:25" x14ac:dyDescent="0.25">
      <c r="A55">
        <v>1968</v>
      </c>
      <c r="B55">
        <v>151</v>
      </c>
      <c r="C55">
        <v>1.43</v>
      </c>
      <c r="D55">
        <v>216</v>
      </c>
      <c r="E55">
        <v>0</v>
      </c>
      <c r="F55">
        <v>0</v>
      </c>
      <c r="G55">
        <v>216</v>
      </c>
      <c r="H55">
        <v>22</v>
      </c>
      <c r="I55">
        <v>0</v>
      </c>
      <c r="J55">
        <v>238</v>
      </c>
      <c r="K55" t="s">
        <v>12</v>
      </c>
      <c r="O55" s="2">
        <v>2017</v>
      </c>
      <c r="P55" s="3">
        <v>229</v>
      </c>
      <c r="Q55" s="3">
        <v>3742</v>
      </c>
      <c r="R55" s="3">
        <v>1474</v>
      </c>
      <c r="S55" s="3">
        <v>148</v>
      </c>
      <c r="T55" s="3">
        <v>263</v>
      </c>
      <c r="U55" s="3">
        <v>397</v>
      </c>
      <c r="V55" s="3">
        <v>1435</v>
      </c>
      <c r="W55" s="3">
        <v>115</v>
      </c>
      <c r="X55" s="3">
        <v>826</v>
      </c>
      <c r="Y55" s="3">
        <v>8629</v>
      </c>
    </row>
    <row r="56" spans="1:25" x14ac:dyDescent="0.25">
      <c r="A56">
        <v>1969</v>
      </c>
      <c r="B56">
        <v>183</v>
      </c>
      <c r="C56">
        <v>1.22</v>
      </c>
      <c r="D56">
        <v>223</v>
      </c>
      <c r="E56">
        <v>0</v>
      </c>
      <c r="F56">
        <v>0</v>
      </c>
      <c r="G56">
        <v>223</v>
      </c>
      <c r="H56">
        <v>22</v>
      </c>
      <c r="I56">
        <v>0</v>
      </c>
      <c r="J56">
        <v>245</v>
      </c>
      <c r="K56" t="s">
        <v>12</v>
      </c>
      <c r="O56" s="2">
        <v>2018</v>
      </c>
      <c r="P56" s="3">
        <v>217</v>
      </c>
      <c r="Q56" s="3">
        <v>2861</v>
      </c>
      <c r="R56" s="3">
        <v>981</v>
      </c>
      <c r="S56" s="3">
        <v>110</v>
      </c>
      <c r="T56" s="3">
        <v>254</v>
      </c>
      <c r="U56" s="3">
        <v>406</v>
      </c>
      <c r="V56" s="3">
        <v>2088</v>
      </c>
      <c r="W56" s="3">
        <v>100</v>
      </c>
      <c r="X56" s="3">
        <v>670</v>
      </c>
      <c r="Y56" s="3">
        <v>7687</v>
      </c>
    </row>
    <row r="57" spans="1:25" x14ac:dyDescent="0.25">
      <c r="A57">
        <v>1970</v>
      </c>
      <c r="B57">
        <v>143</v>
      </c>
      <c r="C57">
        <v>1.4</v>
      </c>
      <c r="D57">
        <v>200</v>
      </c>
      <c r="E57">
        <v>0</v>
      </c>
      <c r="F57">
        <v>0</v>
      </c>
      <c r="G57">
        <v>200</v>
      </c>
      <c r="H57">
        <v>20</v>
      </c>
      <c r="I57">
        <v>0</v>
      </c>
      <c r="J57">
        <v>220</v>
      </c>
      <c r="K57" t="s">
        <v>12</v>
      </c>
      <c r="O57" s="2">
        <v>2019</v>
      </c>
      <c r="P57" s="3">
        <v>205</v>
      </c>
      <c r="Q57" s="3">
        <v>3348</v>
      </c>
      <c r="R57" s="3">
        <v>1129</v>
      </c>
      <c r="S57" s="3">
        <v>104</v>
      </c>
      <c r="T57" s="3">
        <v>220</v>
      </c>
      <c r="U57" s="3">
        <v>489</v>
      </c>
      <c r="V57" s="3">
        <v>2182</v>
      </c>
      <c r="W57" s="3">
        <v>132</v>
      </c>
      <c r="X57" s="3">
        <v>78</v>
      </c>
      <c r="Y57" s="3">
        <v>7887</v>
      </c>
    </row>
    <row r="58" spans="1:25" x14ac:dyDescent="0.25">
      <c r="A58">
        <v>1971</v>
      </c>
      <c r="B58">
        <v>106</v>
      </c>
      <c r="C58">
        <v>1.1299999999999999</v>
      </c>
      <c r="D58">
        <v>119</v>
      </c>
      <c r="E58">
        <v>0</v>
      </c>
      <c r="F58">
        <v>0</v>
      </c>
      <c r="G58">
        <v>119</v>
      </c>
      <c r="H58">
        <v>12</v>
      </c>
      <c r="I58">
        <v>0</v>
      </c>
      <c r="J58">
        <v>131</v>
      </c>
      <c r="K58" t="s">
        <v>12</v>
      </c>
      <c r="O58" s="2">
        <v>2020</v>
      </c>
      <c r="P58" s="3">
        <v>392</v>
      </c>
      <c r="Q58" s="3">
        <v>6944</v>
      </c>
      <c r="R58" s="3">
        <v>2182</v>
      </c>
      <c r="S58" s="3">
        <v>196</v>
      </c>
      <c r="T58" s="3">
        <v>376</v>
      </c>
      <c r="U58" s="3">
        <v>622</v>
      </c>
      <c r="V58" s="3">
        <v>1902</v>
      </c>
      <c r="W58" s="3">
        <v>175</v>
      </c>
      <c r="X58" s="3">
        <v>124</v>
      </c>
      <c r="Y58" s="3">
        <v>12913</v>
      </c>
    </row>
    <row r="59" spans="1:25" x14ac:dyDescent="0.25">
      <c r="A59">
        <v>1972</v>
      </c>
      <c r="B59">
        <v>47</v>
      </c>
      <c r="C59">
        <v>1.1599999999999999</v>
      </c>
      <c r="D59">
        <v>55</v>
      </c>
      <c r="E59">
        <v>0</v>
      </c>
      <c r="F59">
        <v>0</v>
      </c>
      <c r="G59">
        <v>55</v>
      </c>
      <c r="H59">
        <v>5</v>
      </c>
      <c r="I59">
        <v>0</v>
      </c>
      <c r="J59">
        <v>60</v>
      </c>
      <c r="K59" t="s">
        <v>12</v>
      </c>
      <c r="O59" s="2" t="s">
        <v>21</v>
      </c>
      <c r="P59" s="3">
        <v>10988</v>
      </c>
      <c r="Q59" s="3">
        <v>129534</v>
      </c>
      <c r="R59" s="3">
        <v>58631</v>
      </c>
      <c r="S59" s="3">
        <v>5803</v>
      </c>
      <c r="T59" s="3">
        <v>25690</v>
      </c>
      <c r="U59" s="3">
        <v>18366</v>
      </c>
      <c r="V59" s="3">
        <v>85358</v>
      </c>
      <c r="W59" s="3">
        <v>4133</v>
      </c>
      <c r="X59" s="3">
        <v>25320</v>
      </c>
      <c r="Y59" s="3">
        <v>363823</v>
      </c>
    </row>
    <row r="60" spans="1:25" x14ac:dyDescent="0.25">
      <c r="A60">
        <v>1973</v>
      </c>
      <c r="B60">
        <v>104</v>
      </c>
      <c r="C60">
        <v>1.08</v>
      </c>
      <c r="D60">
        <v>112</v>
      </c>
      <c r="E60">
        <v>0</v>
      </c>
      <c r="F60">
        <v>0</v>
      </c>
      <c r="G60">
        <v>112</v>
      </c>
      <c r="H60">
        <v>11</v>
      </c>
      <c r="I60">
        <v>0</v>
      </c>
      <c r="J60">
        <v>123</v>
      </c>
      <c r="K60" t="s">
        <v>12</v>
      </c>
    </row>
    <row r="61" spans="1:25" x14ac:dyDescent="0.25">
      <c r="A61">
        <v>1974</v>
      </c>
      <c r="B61">
        <v>125</v>
      </c>
      <c r="C61">
        <v>1.1599999999999999</v>
      </c>
      <c r="D61">
        <v>146</v>
      </c>
      <c r="E61">
        <v>0</v>
      </c>
      <c r="F61">
        <v>0</v>
      </c>
      <c r="G61">
        <v>146</v>
      </c>
      <c r="H61">
        <v>15</v>
      </c>
      <c r="I61">
        <v>0</v>
      </c>
      <c r="J61">
        <v>160</v>
      </c>
      <c r="K61" t="s">
        <v>12</v>
      </c>
    </row>
    <row r="62" spans="1:25" x14ac:dyDescent="0.25">
      <c r="A62">
        <v>1975</v>
      </c>
      <c r="B62">
        <v>231</v>
      </c>
      <c r="C62">
        <v>0.87</v>
      </c>
      <c r="D62">
        <v>200</v>
      </c>
      <c r="E62">
        <v>0</v>
      </c>
      <c r="F62">
        <v>0</v>
      </c>
      <c r="G62">
        <v>200</v>
      </c>
      <c r="H62">
        <v>20</v>
      </c>
      <c r="I62">
        <v>0</v>
      </c>
      <c r="J62">
        <v>220</v>
      </c>
      <c r="K62" t="s">
        <v>12</v>
      </c>
    </row>
    <row r="63" spans="1:25" x14ac:dyDescent="0.25">
      <c r="A63">
        <v>1976</v>
      </c>
      <c r="B63">
        <v>233</v>
      </c>
      <c r="C63">
        <v>1.17</v>
      </c>
      <c r="D63">
        <v>273</v>
      </c>
      <c r="E63">
        <v>0</v>
      </c>
      <c r="F63">
        <v>0</v>
      </c>
      <c r="G63">
        <v>273</v>
      </c>
      <c r="H63">
        <v>27</v>
      </c>
      <c r="I63">
        <v>0</v>
      </c>
      <c r="J63">
        <v>300</v>
      </c>
      <c r="K63" t="s">
        <v>12</v>
      </c>
    </row>
    <row r="64" spans="1:25" x14ac:dyDescent="0.25">
      <c r="A64">
        <v>1977</v>
      </c>
      <c r="B64">
        <v>203</v>
      </c>
      <c r="C64">
        <v>0.74</v>
      </c>
      <c r="D64">
        <v>151</v>
      </c>
      <c r="E64">
        <v>0</v>
      </c>
      <c r="F64">
        <v>0</v>
      </c>
      <c r="G64">
        <v>151</v>
      </c>
      <c r="H64">
        <v>15</v>
      </c>
      <c r="I64">
        <v>0</v>
      </c>
      <c r="J64">
        <v>166</v>
      </c>
      <c r="K64" t="s">
        <v>12</v>
      </c>
    </row>
    <row r="65" spans="1:26" x14ac:dyDescent="0.25">
      <c r="A65">
        <v>1978</v>
      </c>
      <c r="B65">
        <v>138</v>
      </c>
      <c r="C65">
        <v>0.97</v>
      </c>
      <c r="D65">
        <v>133</v>
      </c>
      <c r="E65">
        <v>0</v>
      </c>
      <c r="F65">
        <v>0</v>
      </c>
      <c r="G65">
        <v>133</v>
      </c>
      <c r="H65">
        <v>13</v>
      </c>
      <c r="I65">
        <v>0</v>
      </c>
      <c r="J65">
        <v>146</v>
      </c>
      <c r="K65" t="s">
        <v>12</v>
      </c>
    </row>
    <row r="66" spans="1:26" x14ac:dyDescent="0.25">
      <c r="A66">
        <v>1979</v>
      </c>
      <c r="B66">
        <v>97</v>
      </c>
      <c r="C66">
        <v>1.05</v>
      </c>
      <c r="D66">
        <v>102</v>
      </c>
      <c r="E66">
        <v>0</v>
      </c>
      <c r="F66">
        <v>0</v>
      </c>
      <c r="G66">
        <v>102</v>
      </c>
      <c r="H66">
        <v>10</v>
      </c>
      <c r="I66">
        <v>0</v>
      </c>
      <c r="J66">
        <v>112</v>
      </c>
      <c r="K66" t="s">
        <v>12</v>
      </c>
    </row>
    <row r="67" spans="1:26" x14ac:dyDescent="0.25">
      <c r="A67">
        <v>1980</v>
      </c>
      <c r="B67">
        <v>152</v>
      </c>
      <c r="C67">
        <v>1.23</v>
      </c>
      <c r="D67">
        <v>187</v>
      </c>
      <c r="E67">
        <v>0</v>
      </c>
      <c r="F67">
        <v>0</v>
      </c>
      <c r="G67">
        <v>187</v>
      </c>
      <c r="H67">
        <v>19</v>
      </c>
      <c r="I67">
        <v>0</v>
      </c>
      <c r="J67">
        <v>205</v>
      </c>
      <c r="K67" t="s">
        <v>12</v>
      </c>
    </row>
    <row r="68" spans="1:26" x14ac:dyDescent="0.25">
      <c r="A68">
        <v>1981</v>
      </c>
      <c r="B68">
        <v>155</v>
      </c>
      <c r="C68">
        <v>1.1200000000000001</v>
      </c>
      <c r="D68">
        <v>173</v>
      </c>
      <c r="E68">
        <v>0</v>
      </c>
      <c r="F68">
        <v>0</v>
      </c>
      <c r="G68">
        <v>173</v>
      </c>
      <c r="H68">
        <v>17</v>
      </c>
      <c r="I68">
        <v>0</v>
      </c>
      <c r="J68">
        <v>190</v>
      </c>
      <c r="K68" t="s">
        <v>12</v>
      </c>
    </row>
    <row r="69" spans="1:26" x14ac:dyDescent="0.25">
      <c r="A69">
        <v>1982</v>
      </c>
      <c r="B69">
        <v>116</v>
      </c>
      <c r="C69">
        <v>1.1100000000000001</v>
      </c>
      <c r="D69">
        <v>129</v>
      </c>
      <c r="E69">
        <v>0</v>
      </c>
      <c r="F69">
        <v>0</v>
      </c>
      <c r="G69">
        <v>129</v>
      </c>
      <c r="H69">
        <v>13</v>
      </c>
      <c r="I69">
        <v>0</v>
      </c>
      <c r="J69">
        <v>142</v>
      </c>
      <c r="K69" t="s">
        <v>12</v>
      </c>
      <c r="P69" s="1" t="s">
        <v>41</v>
      </c>
      <c r="Q69" s="1" t="s">
        <v>22</v>
      </c>
    </row>
    <row r="70" spans="1:26" x14ac:dyDescent="0.25">
      <c r="A70">
        <v>1983</v>
      </c>
      <c r="B70">
        <v>219</v>
      </c>
      <c r="C70">
        <v>1.08</v>
      </c>
      <c r="D70">
        <v>237</v>
      </c>
      <c r="E70">
        <v>0</v>
      </c>
      <c r="F70">
        <v>0</v>
      </c>
      <c r="G70">
        <v>237</v>
      </c>
      <c r="H70">
        <v>24</v>
      </c>
      <c r="I70">
        <v>0</v>
      </c>
      <c r="J70">
        <v>261</v>
      </c>
      <c r="K70" t="s">
        <v>12</v>
      </c>
      <c r="P70" s="1" t="s">
        <v>20</v>
      </c>
      <c r="Q70" t="s">
        <v>12</v>
      </c>
      <c r="R70" t="s">
        <v>16</v>
      </c>
      <c r="S70" t="s">
        <v>14</v>
      </c>
      <c r="T70" t="s">
        <v>11</v>
      </c>
      <c r="U70" t="s">
        <v>17</v>
      </c>
      <c r="V70" t="s">
        <v>13</v>
      </c>
      <c r="W70" t="s">
        <v>18</v>
      </c>
      <c r="X70" t="s">
        <v>15</v>
      </c>
      <c r="Y70" t="s">
        <v>19</v>
      </c>
      <c r="Z70" t="s">
        <v>21</v>
      </c>
    </row>
    <row r="71" spans="1:26" x14ac:dyDescent="0.25">
      <c r="A71">
        <v>1984</v>
      </c>
      <c r="B71">
        <v>123</v>
      </c>
      <c r="C71">
        <v>0.84</v>
      </c>
      <c r="D71">
        <v>104</v>
      </c>
      <c r="E71">
        <v>0</v>
      </c>
      <c r="F71">
        <v>0</v>
      </c>
      <c r="G71">
        <v>104</v>
      </c>
      <c r="H71">
        <v>10</v>
      </c>
      <c r="I71">
        <v>0</v>
      </c>
      <c r="J71">
        <v>114</v>
      </c>
      <c r="K71" t="s">
        <v>12</v>
      </c>
      <c r="P71" s="2">
        <v>2016</v>
      </c>
      <c r="Q71" s="3">
        <v>1.21</v>
      </c>
      <c r="R71" s="3">
        <v>1.86</v>
      </c>
      <c r="S71" s="3">
        <v>1.84</v>
      </c>
      <c r="T71" s="3">
        <v>0.76</v>
      </c>
      <c r="U71" s="3">
        <v>1.76</v>
      </c>
      <c r="V71" s="3">
        <v>1.21</v>
      </c>
      <c r="W71" s="3">
        <v>2.25</v>
      </c>
      <c r="X71" s="3">
        <v>1.46</v>
      </c>
      <c r="Y71" s="3">
        <v>2.71</v>
      </c>
      <c r="Z71" s="3">
        <v>15.060000000000002</v>
      </c>
    </row>
    <row r="72" spans="1:26" x14ac:dyDescent="0.25">
      <c r="A72">
        <v>1985</v>
      </c>
      <c r="B72">
        <v>141</v>
      </c>
      <c r="C72">
        <v>1.03</v>
      </c>
      <c r="D72">
        <v>146</v>
      </c>
      <c r="E72">
        <v>0</v>
      </c>
      <c r="F72">
        <v>0</v>
      </c>
      <c r="G72">
        <v>146</v>
      </c>
      <c r="H72">
        <v>15</v>
      </c>
      <c r="I72">
        <v>0</v>
      </c>
      <c r="J72">
        <v>161</v>
      </c>
      <c r="K72" t="s">
        <v>12</v>
      </c>
      <c r="P72" s="2">
        <v>2017</v>
      </c>
      <c r="Q72" s="3">
        <v>1.57</v>
      </c>
      <c r="R72" s="3">
        <v>2.12</v>
      </c>
      <c r="S72" s="3">
        <v>2.25</v>
      </c>
      <c r="T72" s="3">
        <v>0.93</v>
      </c>
      <c r="U72" s="3">
        <v>1.95</v>
      </c>
      <c r="V72" s="3">
        <v>1.55</v>
      </c>
      <c r="W72" s="3">
        <v>2.58</v>
      </c>
      <c r="X72" s="3">
        <v>1.7</v>
      </c>
      <c r="Y72" s="3">
        <v>3.06</v>
      </c>
      <c r="Z72" s="3">
        <v>17.71</v>
      </c>
    </row>
    <row r="73" spans="1:26" x14ac:dyDescent="0.25">
      <c r="A73">
        <v>1986</v>
      </c>
      <c r="B73">
        <v>144</v>
      </c>
      <c r="C73">
        <v>0.89</v>
      </c>
      <c r="D73">
        <v>129</v>
      </c>
      <c r="E73">
        <v>0</v>
      </c>
      <c r="F73">
        <v>0</v>
      </c>
      <c r="G73">
        <v>129</v>
      </c>
      <c r="H73">
        <v>13</v>
      </c>
      <c r="I73">
        <v>0</v>
      </c>
      <c r="J73">
        <v>142</v>
      </c>
      <c r="K73" t="s">
        <v>12</v>
      </c>
      <c r="P73" s="2">
        <v>2018</v>
      </c>
      <c r="Q73" s="3">
        <v>1.54</v>
      </c>
      <c r="R73" s="3">
        <v>1.83</v>
      </c>
      <c r="S73" s="3">
        <v>1.91</v>
      </c>
      <c r="T73" s="3">
        <v>1.0900000000000001</v>
      </c>
      <c r="U73" s="3">
        <v>2.25</v>
      </c>
      <c r="V73" s="3">
        <v>1.54</v>
      </c>
      <c r="W73" s="3">
        <v>2.27</v>
      </c>
      <c r="X73" s="3">
        <v>1.58</v>
      </c>
      <c r="Y73" s="3">
        <v>2.4</v>
      </c>
      <c r="Z73" s="3">
        <v>16.41</v>
      </c>
    </row>
    <row r="74" spans="1:26" x14ac:dyDescent="0.25">
      <c r="A74">
        <v>1987</v>
      </c>
      <c r="B74">
        <v>158</v>
      </c>
      <c r="C74">
        <v>1</v>
      </c>
      <c r="D74">
        <v>158</v>
      </c>
      <c r="E74">
        <v>0</v>
      </c>
      <c r="F74">
        <v>0</v>
      </c>
      <c r="G74">
        <v>158</v>
      </c>
      <c r="H74">
        <v>16</v>
      </c>
      <c r="I74">
        <v>0</v>
      </c>
      <c r="J74">
        <v>174</v>
      </c>
      <c r="K74" t="s">
        <v>12</v>
      </c>
      <c r="P74" s="2">
        <v>2019</v>
      </c>
      <c r="Q74" s="3">
        <v>1.59</v>
      </c>
      <c r="R74" s="3">
        <v>1.87</v>
      </c>
      <c r="S74" s="3">
        <v>1.8</v>
      </c>
      <c r="T74" s="3">
        <v>0.96</v>
      </c>
      <c r="U74" s="3">
        <v>2.21</v>
      </c>
      <c r="V74" s="3">
        <v>1.6</v>
      </c>
      <c r="W74" s="3">
        <v>2.54</v>
      </c>
      <c r="X74" s="3">
        <v>1.46</v>
      </c>
      <c r="Y74" s="3">
        <v>1.72</v>
      </c>
      <c r="Z74" s="3">
        <v>15.750000000000002</v>
      </c>
    </row>
    <row r="75" spans="1:26" x14ac:dyDescent="0.25">
      <c r="A75">
        <v>1988</v>
      </c>
      <c r="B75">
        <v>178</v>
      </c>
      <c r="C75">
        <v>0.71</v>
      </c>
      <c r="D75">
        <v>126</v>
      </c>
      <c r="E75">
        <v>0</v>
      </c>
      <c r="F75">
        <v>0</v>
      </c>
      <c r="G75">
        <v>126</v>
      </c>
      <c r="H75">
        <v>13</v>
      </c>
      <c r="I75">
        <v>0</v>
      </c>
      <c r="J75">
        <v>139</v>
      </c>
      <c r="K75" t="s">
        <v>12</v>
      </c>
      <c r="P75" s="2">
        <v>2020</v>
      </c>
      <c r="Q75" s="3">
        <v>2.02</v>
      </c>
      <c r="R75" s="3">
        <v>3.92</v>
      </c>
      <c r="S75" s="3">
        <v>3.22</v>
      </c>
      <c r="T75" s="3">
        <v>1.71</v>
      </c>
      <c r="U75" s="3">
        <v>2.92</v>
      </c>
      <c r="V75" s="3">
        <v>2.0299999999999998</v>
      </c>
      <c r="W75" s="3">
        <v>3.05</v>
      </c>
      <c r="X75" s="3">
        <v>2.84</v>
      </c>
      <c r="Y75" s="3">
        <v>2.56</v>
      </c>
      <c r="Z75" s="3">
        <v>24.27</v>
      </c>
    </row>
    <row r="76" spans="1:26" x14ac:dyDescent="0.25">
      <c r="A76">
        <v>1989</v>
      </c>
      <c r="B76">
        <v>139</v>
      </c>
      <c r="C76">
        <v>1.0900000000000001</v>
      </c>
      <c r="D76">
        <v>151</v>
      </c>
      <c r="E76">
        <v>0</v>
      </c>
      <c r="F76">
        <v>0</v>
      </c>
      <c r="G76">
        <v>151</v>
      </c>
      <c r="H76">
        <v>15</v>
      </c>
      <c r="I76">
        <v>0</v>
      </c>
      <c r="J76">
        <v>166</v>
      </c>
      <c r="K76" t="s">
        <v>12</v>
      </c>
      <c r="P76" s="2" t="s">
        <v>21</v>
      </c>
      <c r="Q76" s="3">
        <v>7.93</v>
      </c>
      <c r="R76" s="3">
        <v>11.600000000000001</v>
      </c>
      <c r="S76" s="3">
        <v>11.02</v>
      </c>
      <c r="T76" s="3">
        <v>5.45</v>
      </c>
      <c r="U76" s="3">
        <v>11.09</v>
      </c>
      <c r="V76" s="3">
        <v>7.93</v>
      </c>
      <c r="W76" s="3">
        <v>12.690000000000001</v>
      </c>
      <c r="X76" s="3">
        <v>9.0399999999999991</v>
      </c>
      <c r="Y76" s="3">
        <v>12.450000000000001</v>
      </c>
      <c r="Z76" s="3">
        <v>89.2</v>
      </c>
    </row>
    <row r="77" spans="1:26" x14ac:dyDescent="0.25">
      <c r="A77">
        <v>1990</v>
      </c>
      <c r="B77">
        <v>155</v>
      </c>
      <c r="C77">
        <v>1.06</v>
      </c>
      <c r="D77">
        <v>165</v>
      </c>
      <c r="E77">
        <v>0</v>
      </c>
      <c r="F77">
        <v>0</v>
      </c>
      <c r="G77">
        <v>165</v>
      </c>
      <c r="H77">
        <v>16</v>
      </c>
      <c r="I77">
        <v>0</v>
      </c>
      <c r="J77">
        <v>181</v>
      </c>
      <c r="K77" t="s">
        <v>12</v>
      </c>
    </row>
    <row r="78" spans="1:26" x14ac:dyDescent="0.25">
      <c r="A78">
        <v>1991</v>
      </c>
      <c r="B78">
        <v>157</v>
      </c>
      <c r="C78">
        <v>0.81</v>
      </c>
      <c r="D78">
        <v>128</v>
      </c>
      <c r="E78">
        <v>0</v>
      </c>
      <c r="F78">
        <v>0</v>
      </c>
      <c r="G78">
        <v>128</v>
      </c>
      <c r="H78">
        <v>13</v>
      </c>
      <c r="I78">
        <v>0</v>
      </c>
      <c r="J78">
        <v>141</v>
      </c>
      <c r="K78" t="s">
        <v>12</v>
      </c>
    </row>
    <row r="79" spans="1:26" x14ac:dyDescent="0.25">
      <c r="A79">
        <v>1992</v>
      </c>
      <c r="B79">
        <v>116</v>
      </c>
      <c r="C79">
        <v>0.77</v>
      </c>
      <c r="D79">
        <v>90</v>
      </c>
      <c r="E79">
        <v>0</v>
      </c>
      <c r="F79">
        <v>0</v>
      </c>
      <c r="G79">
        <v>90</v>
      </c>
      <c r="H79">
        <v>9</v>
      </c>
      <c r="I79">
        <v>0</v>
      </c>
      <c r="J79">
        <v>99</v>
      </c>
      <c r="K79" t="s">
        <v>12</v>
      </c>
    </row>
    <row r="80" spans="1:26" x14ac:dyDescent="0.25">
      <c r="A80">
        <v>1993</v>
      </c>
      <c r="B80">
        <v>190</v>
      </c>
      <c r="C80">
        <v>1.01</v>
      </c>
      <c r="D80">
        <v>192</v>
      </c>
      <c r="E80">
        <v>0</v>
      </c>
      <c r="F80">
        <v>0</v>
      </c>
      <c r="G80">
        <v>192</v>
      </c>
      <c r="H80">
        <v>19</v>
      </c>
      <c r="I80">
        <v>0</v>
      </c>
      <c r="J80">
        <v>212</v>
      </c>
      <c r="K80" t="s">
        <v>12</v>
      </c>
    </row>
    <row r="81" spans="1:11" x14ac:dyDescent="0.25">
      <c r="A81">
        <v>1994</v>
      </c>
      <c r="B81">
        <v>86</v>
      </c>
      <c r="C81">
        <v>1.21</v>
      </c>
      <c r="D81">
        <v>104</v>
      </c>
      <c r="E81">
        <v>0</v>
      </c>
      <c r="F81">
        <v>0</v>
      </c>
      <c r="G81">
        <v>104</v>
      </c>
      <c r="H81">
        <v>10</v>
      </c>
      <c r="I81">
        <v>0</v>
      </c>
      <c r="J81">
        <v>114</v>
      </c>
      <c r="K81" t="s">
        <v>12</v>
      </c>
    </row>
    <row r="82" spans="1:11" x14ac:dyDescent="0.25">
      <c r="A82">
        <v>1995</v>
      </c>
      <c r="B82">
        <v>144</v>
      </c>
      <c r="C82">
        <v>0.97</v>
      </c>
      <c r="D82">
        <v>140</v>
      </c>
      <c r="E82">
        <v>0</v>
      </c>
      <c r="F82">
        <v>0</v>
      </c>
      <c r="G82">
        <v>140</v>
      </c>
      <c r="H82">
        <v>14</v>
      </c>
      <c r="I82">
        <v>0</v>
      </c>
      <c r="J82">
        <v>154</v>
      </c>
      <c r="K82" t="s">
        <v>12</v>
      </c>
    </row>
    <row r="83" spans="1:11" x14ac:dyDescent="0.25">
      <c r="A83">
        <v>1996</v>
      </c>
      <c r="B83">
        <v>189</v>
      </c>
      <c r="C83">
        <v>0.94</v>
      </c>
      <c r="D83">
        <v>178</v>
      </c>
      <c r="E83">
        <v>0</v>
      </c>
      <c r="F83">
        <v>0</v>
      </c>
      <c r="G83">
        <v>178</v>
      </c>
      <c r="H83">
        <v>18</v>
      </c>
      <c r="I83">
        <v>0</v>
      </c>
      <c r="J83">
        <v>195</v>
      </c>
      <c r="K83" t="s">
        <v>12</v>
      </c>
    </row>
    <row r="84" spans="1:11" x14ac:dyDescent="0.25">
      <c r="A84">
        <v>1997</v>
      </c>
      <c r="B84">
        <v>200</v>
      </c>
      <c r="C84">
        <v>0.89</v>
      </c>
      <c r="D84">
        <v>177</v>
      </c>
      <c r="E84">
        <v>0</v>
      </c>
      <c r="F84">
        <v>0</v>
      </c>
      <c r="G84">
        <v>177</v>
      </c>
      <c r="H84">
        <v>18</v>
      </c>
      <c r="I84">
        <v>0</v>
      </c>
      <c r="J84">
        <v>195</v>
      </c>
      <c r="K84" t="s">
        <v>12</v>
      </c>
    </row>
    <row r="85" spans="1:11" x14ac:dyDescent="0.25">
      <c r="A85">
        <v>1998</v>
      </c>
      <c r="B85">
        <v>317</v>
      </c>
      <c r="C85">
        <v>0.87</v>
      </c>
      <c r="D85">
        <v>274</v>
      </c>
      <c r="E85">
        <v>0</v>
      </c>
      <c r="F85">
        <v>0</v>
      </c>
      <c r="G85">
        <v>274</v>
      </c>
      <c r="H85">
        <v>27</v>
      </c>
      <c r="I85">
        <v>0</v>
      </c>
      <c r="J85">
        <v>302</v>
      </c>
      <c r="K85" t="s">
        <v>12</v>
      </c>
    </row>
    <row r="86" spans="1:11" x14ac:dyDescent="0.25">
      <c r="A86">
        <v>1999</v>
      </c>
      <c r="B86">
        <v>294</v>
      </c>
      <c r="C86">
        <v>1.41</v>
      </c>
      <c r="D86">
        <v>415</v>
      </c>
      <c r="E86">
        <v>0</v>
      </c>
      <c r="F86">
        <v>0</v>
      </c>
      <c r="G86">
        <v>415</v>
      </c>
      <c r="H86">
        <v>41</v>
      </c>
      <c r="I86">
        <v>0</v>
      </c>
      <c r="J86">
        <v>456</v>
      </c>
      <c r="K86" t="s">
        <v>12</v>
      </c>
    </row>
    <row r="87" spans="1:11" x14ac:dyDescent="0.25">
      <c r="A87">
        <v>2000</v>
      </c>
      <c r="B87">
        <v>256</v>
      </c>
      <c r="C87">
        <v>1.39</v>
      </c>
      <c r="D87">
        <v>356</v>
      </c>
      <c r="E87">
        <v>0</v>
      </c>
      <c r="F87">
        <v>0</v>
      </c>
      <c r="G87">
        <v>356</v>
      </c>
      <c r="H87">
        <v>36</v>
      </c>
      <c r="I87">
        <v>0</v>
      </c>
      <c r="J87">
        <v>391</v>
      </c>
      <c r="K87" t="s">
        <v>12</v>
      </c>
    </row>
    <row r="88" spans="1:11" x14ac:dyDescent="0.25">
      <c r="A88">
        <v>2001</v>
      </c>
      <c r="B88">
        <v>271</v>
      </c>
      <c r="C88">
        <v>1.53</v>
      </c>
      <c r="D88">
        <v>414</v>
      </c>
      <c r="E88">
        <v>0</v>
      </c>
      <c r="F88">
        <v>0</v>
      </c>
      <c r="G88">
        <v>414</v>
      </c>
      <c r="H88">
        <v>41</v>
      </c>
      <c r="I88">
        <v>0</v>
      </c>
      <c r="J88">
        <v>456</v>
      </c>
      <c r="K88" t="s">
        <v>12</v>
      </c>
    </row>
    <row r="89" spans="1:11" x14ac:dyDescent="0.25">
      <c r="A89">
        <v>2002</v>
      </c>
      <c r="B89">
        <v>212</v>
      </c>
      <c r="C89">
        <v>1.44</v>
      </c>
      <c r="D89">
        <v>306</v>
      </c>
      <c r="E89">
        <v>0</v>
      </c>
      <c r="F89">
        <v>0</v>
      </c>
      <c r="G89">
        <v>306</v>
      </c>
      <c r="H89">
        <v>31</v>
      </c>
      <c r="I89">
        <v>0</v>
      </c>
      <c r="J89">
        <v>336</v>
      </c>
      <c r="K89" t="s">
        <v>12</v>
      </c>
    </row>
    <row r="90" spans="1:11" x14ac:dyDescent="0.25">
      <c r="A90">
        <v>2003</v>
      </c>
      <c r="B90">
        <v>192</v>
      </c>
      <c r="C90">
        <v>1.6</v>
      </c>
      <c r="D90">
        <v>307</v>
      </c>
      <c r="E90">
        <v>0</v>
      </c>
      <c r="F90">
        <v>0</v>
      </c>
      <c r="G90">
        <v>307</v>
      </c>
      <c r="H90">
        <v>31</v>
      </c>
      <c r="I90">
        <v>0</v>
      </c>
      <c r="J90">
        <v>338</v>
      </c>
      <c r="K90" t="s">
        <v>12</v>
      </c>
    </row>
    <row r="91" spans="1:11" x14ac:dyDescent="0.25">
      <c r="A91">
        <v>2004</v>
      </c>
      <c r="B91">
        <v>215</v>
      </c>
      <c r="C91">
        <v>1.01</v>
      </c>
      <c r="D91">
        <v>218</v>
      </c>
      <c r="E91">
        <v>0</v>
      </c>
      <c r="F91">
        <v>0</v>
      </c>
      <c r="G91">
        <v>218</v>
      </c>
      <c r="H91">
        <v>22</v>
      </c>
      <c r="I91">
        <v>0</v>
      </c>
      <c r="J91">
        <v>240</v>
      </c>
      <c r="K91" t="s">
        <v>12</v>
      </c>
    </row>
    <row r="92" spans="1:11" x14ac:dyDescent="0.25">
      <c r="A92">
        <v>2005</v>
      </c>
      <c r="B92">
        <v>217</v>
      </c>
      <c r="C92">
        <v>1.1100000000000001</v>
      </c>
      <c r="D92">
        <v>241</v>
      </c>
      <c r="E92">
        <v>0</v>
      </c>
      <c r="F92">
        <v>0</v>
      </c>
      <c r="G92">
        <v>241</v>
      </c>
      <c r="H92">
        <v>24</v>
      </c>
      <c r="I92">
        <v>0</v>
      </c>
      <c r="J92">
        <v>265</v>
      </c>
      <c r="K92" t="s">
        <v>12</v>
      </c>
    </row>
    <row r="93" spans="1:11" x14ac:dyDescent="0.25">
      <c r="A93">
        <v>2006</v>
      </c>
      <c r="B93">
        <v>238</v>
      </c>
      <c r="C93">
        <v>1.01</v>
      </c>
      <c r="D93">
        <v>239</v>
      </c>
      <c r="E93">
        <v>0</v>
      </c>
      <c r="F93">
        <v>0</v>
      </c>
      <c r="G93">
        <v>239</v>
      </c>
      <c r="H93">
        <v>24</v>
      </c>
      <c r="I93">
        <v>0</v>
      </c>
      <c r="J93">
        <v>263</v>
      </c>
      <c r="K93" t="s">
        <v>12</v>
      </c>
    </row>
    <row r="94" spans="1:11" x14ac:dyDescent="0.25">
      <c r="A94">
        <v>2007</v>
      </c>
      <c r="B94">
        <v>279</v>
      </c>
      <c r="C94">
        <v>1.02</v>
      </c>
      <c r="D94">
        <v>284</v>
      </c>
      <c r="E94">
        <v>0</v>
      </c>
      <c r="F94">
        <v>0</v>
      </c>
      <c r="G94">
        <v>284</v>
      </c>
      <c r="H94">
        <v>28</v>
      </c>
      <c r="I94">
        <v>0</v>
      </c>
      <c r="J94">
        <v>312</v>
      </c>
      <c r="K94" t="s">
        <v>12</v>
      </c>
    </row>
    <row r="95" spans="1:11" x14ac:dyDescent="0.25">
      <c r="A95">
        <v>2008</v>
      </c>
      <c r="B95">
        <v>266</v>
      </c>
      <c r="C95">
        <v>1.1399999999999999</v>
      </c>
      <c r="D95">
        <v>304</v>
      </c>
      <c r="E95">
        <v>0</v>
      </c>
      <c r="F95">
        <v>0</v>
      </c>
      <c r="G95">
        <v>304</v>
      </c>
      <c r="H95">
        <v>30</v>
      </c>
      <c r="I95">
        <v>0</v>
      </c>
      <c r="J95">
        <v>334</v>
      </c>
      <c r="K95" t="s">
        <v>12</v>
      </c>
    </row>
    <row r="96" spans="1:11" x14ac:dyDescent="0.25">
      <c r="A96">
        <v>2009</v>
      </c>
      <c r="B96">
        <v>251</v>
      </c>
      <c r="C96">
        <v>1.35</v>
      </c>
      <c r="D96">
        <v>339</v>
      </c>
      <c r="E96">
        <v>0</v>
      </c>
      <c r="F96">
        <v>0</v>
      </c>
      <c r="G96">
        <v>339</v>
      </c>
      <c r="H96">
        <v>34</v>
      </c>
      <c r="I96">
        <v>0</v>
      </c>
      <c r="J96">
        <v>373</v>
      </c>
      <c r="K96" t="s">
        <v>12</v>
      </c>
    </row>
    <row r="97" spans="1:11" x14ac:dyDescent="0.25">
      <c r="A97">
        <v>2010</v>
      </c>
      <c r="B97">
        <v>289</v>
      </c>
      <c r="C97">
        <v>1.69</v>
      </c>
      <c r="D97">
        <v>488</v>
      </c>
      <c r="E97">
        <v>0</v>
      </c>
      <c r="F97">
        <v>0</v>
      </c>
      <c r="G97">
        <v>488</v>
      </c>
      <c r="H97">
        <v>49</v>
      </c>
      <c r="I97">
        <v>0</v>
      </c>
      <c r="J97">
        <v>537</v>
      </c>
      <c r="K97" t="s">
        <v>12</v>
      </c>
    </row>
    <row r="98" spans="1:11" x14ac:dyDescent="0.25">
      <c r="A98">
        <v>2011</v>
      </c>
      <c r="B98">
        <v>235</v>
      </c>
      <c r="C98">
        <v>1</v>
      </c>
      <c r="D98">
        <v>235</v>
      </c>
      <c r="E98">
        <v>0</v>
      </c>
      <c r="F98">
        <v>0</v>
      </c>
      <c r="G98">
        <v>235</v>
      </c>
      <c r="H98">
        <v>24</v>
      </c>
      <c r="I98">
        <v>0</v>
      </c>
      <c r="J98">
        <v>259</v>
      </c>
      <c r="K98" t="s">
        <v>12</v>
      </c>
    </row>
    <row r="99" spans="1:11" x14ac:dyDescent="0.25">
      <c r="A99">
        <v>2012</v>
      </c>
      <c r="B99">
        <v>151</v>
      </c>
      <c r="C99">
        <v>1.24</v>
      </c>
      <c r="D99">
        <v>188</v>
      </c>
      <c r="E99">
        <v>0</v>
      </c>
      <c r="F99">
        <v>0</v>
      </c>
      <c r="G99">
        <v>188</v>
      </c>
      <c r="H99">
        <v>19</v>
      </c>
      <c r="I99">
        <v>0</v>
      </c>
      <c r="J99">
        <v>206</v>
      </c>
      <c r="K99" t="s">
        <v>12</v>
      </c>
    </row>
    <row r="100" spans="1:11" x14ac:dyDescent="0.25">
      <c r="A100">
        <v>2013</v>
      </c>
      <c r="B100">
        <v>143</v>
      </c>
      <c r="C100">
        <v>0.83</v>
      </c>
      <c r="D100">
        <v>119</v>
      </c>
      <c r="E100">
        <v>0</v>
      </c>
      <c r="F100">
        <v>0</v>
      </c>
      <c r="G100">
        <v>119</v>
      </c>
      <c r="H100">
        <v>12</v>
      </c>
      <c r="I100">
        <v>0</v>
      </c>
      <c r="J100">
        <v>131</v>
      </c>
      <c r="K100" t="s">
        <v>12</v>
      </c>
    </row>
    <row r="101" spans="1:11" x14ac:dyDescent="0.25">
      <c r="A101">
        <v>2014</v>
      </c>
      <c r="B101">
        <v>166</v>
      </c>
      <c r="C101">
        <v>0.87</v>
      </c>
      <c r="D101">
        <v>144</v>
      </c>
      <c r="E101">
        <v>0</v>
      </c>
      <c r="F101">
        <v>0</v>
      </c>
      <c r="G101">
        <v>144</v>
      </c>
      <c r="H101">
        <v>14</v>
      </c>
      <c r="I101">
        <v>0</v>
      </c>
      <c r="J101">
        <v>158</v>
      </c>
      <c r="K101" t="s">
        <v>12</v>
      </c>
    </row>
    <row r="102" spans="1:11" x14ac:dyDescent="0.25">
      <c r="A102">
        <v>2015</v>
      </c>
      <c r="B102">
        <v>165</v>
      </c>
      <c r="C102">
        <v>1.5</v>
      </c>
      <c r="D102">
        <v>248</v>
      </c>
      <c r="E102">
        <v>0</v>
      </c>
      <c r="F102">
        <v>0</v>
      </c>
      <c r="G102">
        <v>248</v>
      </c>
      <c r="H102">
        <v>23</v>
      </c>
      <c r="I102">
        <v>0</v>
      </c>
      <c r="J102">
        <v>271</v>
      </c>
      <c r="K102" t="s">
        <v>12</v>
      </c>
    </row>
    <row r="103" spans="1:11" x14ac:dyDescent="0.25">
      <c r="A103">
        <v>2016</v>
      </c>
      <c r="B103">
        <v>151</v>
      </c>
      <c r="C103">
        <v>1.21</v>
      </c>
      <c r="D103">
        <v>182</v>
      </c>
      <c r="E103">
        <v>0</v>
      </c>
      <c r="F103">
        <v>0</v>
      </c>
      <c r="G103">
        <v>182</v>
      </c>
      <c r="H103">
        <v>17</v>
      </c>
      <c r="I103">
        <v>0</v>
      </c>
      <c r="J103">
        <v>199</v>
      </c>
      <c r="K103" t="s">
        <v>12</v>
      </c>
    </row>
    <row r="104" spans="1:11" x14ac:dyDescent="0.25">
      <c r="A104">
        <v>2017</v>
      </c>
      <c r="B104">
        <v>146</v>
      </c>
      <c r="C104">
        <v>1.57</v>
      </c>
      <c r="D104">
        <v>229</v>
      </c>
      <c r="E104">
        <v>0</v>
      </c>
      <c r="F104">
        <v>0</v>
      </c>
      <c r="G104">
        <v>229</v>
      </c>
      <c r="H104">
        <v>20</v>
      </c>
      <c r="I104">
        <v>0</v>
      </c>
      <c r="J104">
        <v>249</v>
      </c>
      <c r="K104" t="s">
        <v>12</v>
      </c>
    </row>
    <row r="105" spans="1:11" x14ac:dyDescent="0.25">
      <c r="A105">
        <v>2018</v>
      </c>
      <c r="B105">
        <v>141</v>
      </c>
      <c r="C105">
        <v>1.54</v>
      </c>
      <c r="D105">
        <v>217</v>
      </c>
      <c r="E105">
        <v>0</v>
      </c>
      <c r="F105">
        <v>0</v>
      </c>
      <c r="G105">
        <v>217</v>
      </c>
      <c r="H105">
        <v>19</v>
      </c>
      <c r="I105">
        <v>0</v>
      </c>
      <c r="J105">
        <v>236</v>
      </c>
      <c r="K105" t="s">
        <v>12</v>
      </c>
    </row>
    <row r="106" spans="1:11" x14ac:dyDescent="0.25">
      <c r="A106">
        <v>2019</v>
      </c>
      <c r="B106">
        <v>129</v>
      </c>
      <c r="C106">
        <v>1.59</v>
      </c>
      <c r="D106">
        <v>205</v>
      </c>
      <c r="E106">
        <v>0</v>
      </c>
      <c r="F106">
        <v>0</v>
      </c>
      <c r="G106">
        <v>205</v>
      </c>
      <c r="H106">
        <v>18</v>
      </c>
      <c r="I106">
        <v>0</v>
      </c>
      <c r="J106">
        <v>223</v>
      </c>
      <c r="K106" t="s">
        <v>12</v>
      </c>
    </row>
    <row r="107" spans="1:11" x14ac:dyDescent="0.25">
      <c r="A107">
        <v>2020</v>
      </c>
      <c r="B107">
        <v>194</v>
      </c>
      <c r="C107">
        <v>2.02</v>
      </c>
      <c r="D107">
        <v>392</v>
      </c>
      <c r="E107">
        <v>0</v>
      </c>
      <c r="F107">
        <v>0</v>
      </c>
      <c r="G107">
        <v>392</v>
      </c>
      <c r="H107">
        <v>32</v>
      </c>
      <c r="I107">
        <v>0</v>
      </c>
      <c r="J107">
        <v>424</v>
      </c>
      <c r="K107" t="s">
        <v>12</v>
      </c>
    </row>
    <row r="108" spans="1:11" x14ac:dyDescent="0.25">
      <c r="A108">
        <v>1968</v>
      </c>
      <c r="B108">
        <v>346</v>
      </c>
      <c r="C108">
        <v>1.47</v>
      </c>
      <c r="D108">
        <v>507</v>
      </c>
      <c r="E108">
        <v>0</v>
      </c>
      <c r="F108">
        <v>0</v>
      </c>
      <c r="G108">
        <v>507</v>
      </c>
      <c r="H108">
        <v>51</v>
      </c>
      <c r="I108">
        <v>0</v>
      </c>
      <c r="J108">
        <v>558</v>
      </c>
      <c r="K108" t="s">
        <v>13</v>
      </c>
    </row>
    <row r="109" spans="1:11" x14ac:dyDescent="0.25">
      <c r="A109">
        <v>1969</v>
      </c>
      <c r="B109">
        <v>403</v>
      </c>
      <c r="C109">
        <v>1.45</v>
      </c>
      <c r="D109">
        <v>583</v>
      </c>
      <c r="E109">
        <v>0</v>
      </c>
      <c r="F109">
        <v>0</v>
      </c>
      <c r="G109">
        <v>583</v>
      </c>
      <c r="H109">
        <v>58</v>
      </c>
      <c r="I109">
        <v>0</v>
      </c>
      <c r="J109">
        <v>642</v>
      </c>
      <c r="K109" t="s">
        <v>13</v>
      </c>
    </row>
    <row r="110" spans="1:11" x14ac:dyDescent="0.25">
      <c r="A110">
        <v>1970</v>
      </c>
      <c r="B110">
        <v>333</v>
      </c>
      <c r="C110">
        <v>1.2</v>
      </c>
      <c r="D110">
        <v>400</v>
      </c>
      <c r="E110">
        <v>0</v>
      </c>
      <c r="F110">
        <v>0</v>
      </c>
      <c r="G110">
        <v>400</v>
      </c>
      <c r="H110">
        <v>40</v>
      </c>
      <c r="I110">
        <v>0</v>
      </c>
      <c r="J110">
        <v>440</v>
      </c>
      <c r="K110" t="s">
        <v>13</v>
      </c>
    </row>
    <row r="111" spans="1:11" x14ac:dyDescent="0.25">
      <c r="A111">
        <v>1971</v>
      </c>
      <c r="B111">
        <v>267</v>
      </c>
      <c r="C111">
        <v>1.18</v>
      </c>
      <c r="D111">
        <v>314</v>
      </c>
      <c r="E111">
        <v>0</v>
      </c>
      <c r="F111">
        <v>0</v>
      </c>
      <c r="G111">
        <v>314</v>
      </c>
      <c r="H111">
        <v>31</v>
      </c>
      <c r="I111">
        <v>0</v>
      </c>
      <c r="J111">
        <v>345</v>
      </c>
      <c r="K111" t="s">
        <v>13</v>
      </c>
    </row>
    <row r="112" spans="1:11" x14ac:dyDescent="0.25">
      <c r="A112">
        <v>1972</v>
      </c>
      <c r="B112">
        <v>297</v>
      </c>
      <c r="C112">
        <v>1.1200000000000001</v>
      </c>
      <c r="D112">
        <v>334</v>
      </c>
      <c r="E112">
        <v>0</v>
      </c>
      <c r="F112">
        <v>0</v>
      </c>
      <c r="G112">
        <v>334</v>
      </c>
      <c r="H112">
        <v>33</v>
      </c>
      <c r="I112">
        <v>0</v>
      </c>
      <c r="J112">
        <v>367</v>
      </c>
      <c r="K112" t="s">
        <v>13</v>
      </c>
    </row>
    <row r="113" spans="1:11" x14ac:dyDescent="0.25">
      <c r="A113">
        <v>1973</v>
      </c>
      <c r="B113">
        <v>274</v>
      </c>
      <c r="C113">
        <v>1.36</v>
      </c>
      <c r="D113">
        <v>374</v>
      </c>
      <c r="E113">
        <v>0</v>
      </c>
      <c r="F113">
        <v>0</v>
      </c>
      <c r="G113">
        <v>374</v>
      </c>
      <c r="H113">
        <v>37</v>
      </c>
      <c r="I113">
        <v>0</v>
      </c>
      <c r="J113">
        <v>411</v>
      </c>
      <c r="K113" t="s">
        <v>13</v>
      </c>
    </row>
    <row r="114" spans="1:11" x14ac:dyDescent="0.25">
      <c r="A114">
        <v>1974</v>
      </c>
      <c r="B114">
        <v>231</v>
      </c>
      <c r="C114">
        <v>1.24</v>
      </c>
      <c r="D114">
        <v>287</v>
      </c>
      <c r="E114">
        <v>0</v>
      </c>
      <c r="F114">
        <v>0</v>
      </c>
      <c r="G114">
        <v>287</v>
      </c>
      <c r="H114">
        <v>29</v>
      </c>
      <c r="I114">
        <v>0</v>
      </c>
      <c r="J114">
        <v>316</v>
      </c>
      <c r="K114" t="s">
        <v>13</v>
      </c>
    </row>
    <row r="115" spans="1:11" x14ac:dyDescent="0.25">
      <c r="A115">
        <v>1975</v>
      </c>
      <c r="B115">
        <v>385</v>
      </c>
      <c r="C115">
        <v>1.1200000000000001</v>
      </c>
      <c r="D115">
        <v>430</v>
      </c>
      <c r="E115">
        <v>0</v>
      </c>
      <c r="F115">
        <v>0</v>
      </c>
      <c r="G115">
        <v>430</v>
      </c>
      <c r="H115">
        <v>43</v>
      </c>
      <c r="I115">
        <v>0</v>
      </c>
      <c r="J115">
        <v>473</v>
      </c>
      <c r="K115" t="s">
        <v>13</v>
      </c>
    </row>
    <row r="116" spans="1:11" x14ac:dyDescent="0.25">
      <c r="A116">
        <v>1976</v>
      </c>
      <c r="B116">
        <v>325</v>
      </c>
      <c r="C116">
        <v>1.1200000000000001</v>
      </c>
      <c r="D116">
        <v>365</v>
      </c>
      <c r="E116">
        <v>0</v>
      </c>
      <c r="F116">
        <v>0</v>
      </c>
      <c r="G116">
        <v>365</v>
      </c>
      <c r="H116">
        <v>36</v>
      </c>
      <c r="I116">
        <v>0</v>
      </c>
      <c r="J116">
        <v>401</v>
      </c>
      <c r="K116" t="s">
        <v>13</v>
      </c>
    </row>
    <row r="117" spans="1:11" x14ac:dyDescent="0.25">
      <c r="A117">
        <v>1977</v>
      </c>
      <c r="B117">
        <v>400</v>
      </c>
      <c r="C117">
        <v>1.22</v>
      </c>
      <c r="D117">
        <v>489</v>
      </c>
      <c r="E117">
        <v>0</v>
      </c>
      <c r="F117">
        <v>0</v>
      </c>
      <c r="G117">
        <v>489</v>
      </c>
      <c r="H117">
        <v>49</v>
      </c>
      <c r="I117">
        <v>0</v>
      </c>
      <c r="J117">
        <v>538</v>
      </c>
      <c r="K117" t="s">
        <v>13</v>
      </c>
    </row>
    <row r="118" spans="1:11" x14ac:dyDescent="0.25">
      <c r="A118">
        <v>1978</v>
      </c>
      <c r="B118">
        <v>309</v>
      </c>
      <c r="C118">
        <v>1.3</v>
      </c>
      <c r="D118">
        <v>403</v>
      </c>
      <c r="E118">
        <v>0</v>
      </c>
      <c r="F118">
        <v>0</v>
      </c>
      <c r="G118">
        <v>403</v>
      </c>
      <c r="H118">
        <v>40</v>
      </c>
      <c r="I118">
        <v>0</v>
      </c>
      <c r="J118">
        <v>444</v>
      </c>
      <c r="K118" t="s">
        <v>13</v>
      </c>
    </row>
    <row r="119" spans="1:11" x14ac:dyDescent="0.25">
      <c r="A119">
        <v>1979</v>
      </c>
      <c r="B119">
        <v>21</v>
      </c>
      <c r="C119">
        <v>1.26</v>
      </c>
      <c r="D119">
        <v>26</v>
      </c>
      <c r="E119">
        <v>0</v>
      </c>
      <c r="F119">
        <v>0</v>
      </c>
      <c r="G119">
        <v>26</v>
      </c>
      <c r="H119">
        <v>3</v>
      </c>
      <c r="I119">
        <v>0</v>
      </c>
      <c r="J119">
        <v>29</v>
      </c>
      <c r="K119" t="s">
        <v>13</v>
      </c>
    </row>
    <row r="120" spans="1:11" x14ac:dyDescent="0.25">
      <c r="A120">
        <v>1980</v>
      </c>
      <c r="B120">
        <v>258</v>
      </c>
      <c r="C120">
        <v>1.28</v>
      </c>
      <c r="D120">
        <v>331</v>
      </c>
      <c r="E120">
        <v>0</v>
      </c>
      <c r="F120">
        <v>0</v>
      </c>
      <c r="G120">
        <v>331</v>
      </c>
      <c r="H120">
        <v>33</v>
      </c>
      <c r="I120">
        <v>0</v>
      </c>
      <c r="J120">
        <v>365</v>
      </c>
      <c r="K120" t="s">
        <v>13</v>
      </c>
    </row>
    <row r="121" spans="1:11" x14ac:dyDescent="0.25">
      <c r="A121">
        <v>1981</v>
      </c>
      <c r="B121">
        <v>344</v>
      </c>
      <c r="C121">
        <v>1.37</v>
      </c>
      <c r="D121">
        <v>472</v>
      </c>
      <c r="E121">
        <v>0</v>
      </c>
      <c r="F121">
        <v>0</v>
      </c>
      <c r="G121">
        <v>472</v>
      </c>
      <c r="H121">
        <v>47</v>
      </c>
      <c r="I121">
        <v>0</v>
      </c>
      <c r="J121">
        <v>520</v>
      </c>
      <c r="K121" t="s">
        <v>13</v>
      </c>
    </row>
    <row r="122" spans="1:11" x14ac:dyDescent="0.25">
      <c r="A122">
        <v>1982</v>
      </c>
      <c r="B122">
        <v>175</v>
      </c>
      <c r="C122">
        <v>1.44</v>
      </c>
      <c r="D122">
        <v>252</v>
      </c>
      <c r="E122">
        <v>0</v>
      </c>
      <c r="F122">
        <v>0</v>
      </c>
      <c r="G122">
        <v>252</v>
      </c>
      <c r="H122">
        <v>25</v>
      </c>
      <c r="I122">
        <v>0</v>
      </c>
      <c r="J122">
        <v>277</v>
      </c>
      <c r="K122" t="s">
        <v>13</v>
      </c>
    </row>
    <row r="123" spans="1:11" x14ac:dyDescent="0.25">
      <c r="A123">
        <v>1983</v>
      </c>
      <c r="B123">
        <v>236</v>
      </c>
      <c r="C123">
        <v>0.81</v>
      </c>
      <c r="D123">
        <v>191</v>
      </c>
      <c r="E123">
        <v>0</v>
      </c>
      <c r="F123">
        <v>0</v>
      </c>
      <c r="G123">
        <v>191</v>
      </c>
      <c r="H123">
        <v>19</v>
      </c>
      <c r="I123">
        <v>0</v>
      </c>
      <c r="J123">
        <v>210</v>
      </c>
      <c r="K123" t="s">
        <v>13</v>
      </c>
    </row>
    <row r="124" spans="1:11" x14ac:dyDescent="0.25">
      <c r="A124">
        <v>1984</v>
      </c>
      <c r="B124">
        <v>129</v>
      </c>
      <c r="C124">
        <v>1.08</v>
      </c>
      <c r="D124">
        <v>139</v>
      </c>
      <c r="E124">
        <v>0</v>
      </c>
      <c r="F124">
        <v>0</v>
      </c>
      <c r="G124">
        <v>139</v>
      </c>
      <c r="H124">
        <v>14</v>
      </c>
      <c r="I124">
        <v>0</v>
      </c>
      <c r="J124">
        <v>153</v>
      </c>
      <c r="K124" t="s">
        <v>13</v>
      </c>
    </row>
    <row r="125" spans="1:11" x14ac:dyDescent="0.25">
      <c r="A125">
        <v>1985</v>
      </c>
      <c r="B125">
        <v>123</v>
      </c>
      <c r="C125">
        <v>1.03</v>
      </c>
      <c r="D125">
        <v>127</v>
      </c>
      <c r="E125">
        <v>0</v>
      </c>
      <c r="F125">
        <v>0</v>
      </c>
      <c r="G125">
        <v>127</v>
      </c>
      <c r="H125">
        <v>13</v>
      </c>
      <c r="I125">
        <v>0</v>
      </c>
      <c r="J125">
        <v>140</v>
      </c>
      <c r="K125" t="s">
        <v>13</v>
      </c>
    </row>
    <row r="126" spans="1:11" x14ac:dyDescent="0.25">
      <c r="A126">
        <v>1986</v>
      </c>
      <c r="B126">
        <v>207</v>
      </c>
      <c r="C126">
        <v>1.1299999999999999</v>
      </c>
      <c r="D126">
        <v>233</v>
      </c>
      <c r="E126">
        <v>0</v>
      </c>
      <c r="F126">
        <v>0</v>
      </c>
      <c r="G126">
        <v>233</v>
      </c>
      <c r="H126">
        <v>23</v>
      </c>
      <c r="I126">
        <v>0</v>
      </c>
      <c r="J126">
        <v>257</v>
      </c>
      <c r="K126" t="s">
        <v>13</v>
      </c>
    </row>
    <row r="127" spans="1:11" x14ac:dyDescent="0.25">
      <c r="A127">
        <v>1987</v>
      </c>
      <c r="B127">
        <v>173</v>
      </c>
      <c r="C127">
        <v>1.33</v>
      </c>
      <c r="D127">
        <v>229</v>
      </c>
      <c r="E127">
        <v>0</v>
      </c>
      <c r="F127">
        <v>0</v>
      </c>
      <c r="G127">
        <v>229</v>
      </c>
      <c r="H127">
        <v>23</v>
      </c>
      <c r="I127">
        <v>0</v>
      </c>
      <c r="J127">
        <v>252</v>
      </c>
      <c r="K127" t="s">
        <v>13</v>
      </c>
    </row>
    <row r="128" spans="1:11" x14ac:dyDescent="0.25">
      <c r="A128">
        <v>1988</v>
      </c>
      <c r="B128">
        <v>182</v>
      </c>
      <c r="C128">
        <v>1.06</v>
      </c>
      <c r="D128">
        <v>194</v>
      </c>
      <c r="E128">
        <v>0</v>
      </c>
      <c r="F128">
        <v>0</v>
      </c>
      <c r="G128">
        <v>194</v>
      </c>
      <c r="H128">
        <v>19</v>
      </c>
      <c r="I128">
        <v>0</v>
      </c>
      <c r="J128">
        <v>213</v>
      </c>
      <c r="K128" t="s">
        <v>13</v>
      </c>
    </row>
    <row r="129" spans="1:11" x14ac:dyDescent="0.25">
      <c r="A129">
        <v>1989</v>
      </c>
      <c r="B129">
        <v>211</v>
      </c>
      <c r="C129">
        <v>1.6</v>
      </c>
      <c r="D129">
        <v>337</v>
      </c>
      <c r="E129">
        <v>0</v>
      </c>
      <c r="F129">
        <v>0</v>
      </c>
      <c r="G129">
        <v>337</v>
      </c>
      <c r="H129">
        <v>34</v>
      </c>
      <c r="I129">
        <v>0</v>
      </c>
      <c r="J129">
        <v>370</v>
      </c>
      <c r="K129" t="s">
        <v>13</v>
      </c>
    </row>
    <row r="130" spans="1:11" x14ac:dyDescent="0.25">
      <c r="A130">
        <v>1990</v>
      </c>
      <c r="B130">
        <v>148</v>
      </c>
      <c r="C130">
        <v>1.34</v>
      </c>
      <c r="D130">
        <v>199</v>
      </c>
      <c r="E130">
        <v>0</v>
      </c>
      <c r="F130">
        <v>0</v>
      </c>
      <c r="G130">
        <v>199</v>
      </c>
      <c r="H130">
        <v>20</v>
      </c>
      <c r="I130">
        <v>0</v>
      </c>
      <c r="J130">
        <v>218</v>
      </c>
      <c r="K130" t="s">
        <v>13</v>
      </c>
    </row>
    <row r="131" spans="1:11" x14ac:dyDescent="0.25">
      <c r="A131">
        <v>1991</v>
      </c>
      <c r="B131">
        <v>215</v>
      </c>
      <c r="C131">
        <v>1.1200000000000001</v>
      </c>
      <c r="D131">
        <v>241</v>
      </c>
      <c r="E131">
        <v>0</v>
      </c>
      <c r="F131">
        <v>0</v>
      </c>
      <c r="G131">
        <v>241</v>
      </c>
      <c r="H131">
        <v>24</v>
      </c>
      <c r="I131">
        <v>0</v>
      </c>
      <c r="J131">
        <v>265</v>
      </c>
      <c r="K131" t="s">
        <v>13</v>
      </c>
    </row>
    <row r="132" spans="1:11" x14ac:dyDescent="0.25">
      <c r="A132">
        <v>1992</v>
      </c>
      <c r="B132">
        <v>175</v>
      </c>
      <c r="C132">
        <v>1.03</v>
      </c>
      <c r="D132">
        <v>181</v>
      </c>
      <c r="E132">
        <v>0</v>
      </c>
      <c r="F132">
        <v>0</v>
      </c>
      <c r="G132">
        <v>181</v>
      </c>
      <c r="H132">
        <v>18</v>
      </c>
      <c r="I132">
        <v>0</v>
      </c>
      <c r="J132">
        <v>199</v>
      </c>
      <c r="K132" t="s">
        <v>13</v>
      </c>
    </row>
    <row r="133" spans="1:11" x14ac:dyDescent="0.25">
      <c r="A133">
        <v>1993</v>
      </c>
      <c r="B133">
        <v>165</v>
      </c>
      <c r="C133">
        <v>1.41</v>
      </c>
      <c r="D133">
        <v>232</v>
      </c>
      <c r="E133">
        <v>0</v>
      </c>
      <c r="F133">
        <v>0</v>
      </c>
      <c r="G133">
        <v>232</v>
      </c>
      <c r="H133">
        <v>23</v>
      </c>
      <c r="I133">
        <v>0</v>
      </c>
      <c r="J133">
        <v>255</v>
      </c>
      <c r="K133" t="s">
        <v>13</v>
      </c>
    </row>
    <row r="134" spans="1:11" x14ac:dyDescent="0.25">
      <c r="A134">
        <v>1994</v>
      </c>
      <c r="B134">
        <v>179</v>
      </c>
      <c r="C134">
        <v>1.2</v>
      </c>
      <c r="D134">
        <v>215</v>
      </c>
      <c r="E134">
        <v>0</v>
      </c>
      <c r="F134">
        <v>0</v>
      </c>
      <c r="G134">
        <v>215</v>
      </c>
      <c r="H134">
        <v>21</v>
      </c>
      <c r="I134">
        <v>0</v>
      </c>
      <c r="J134">
        <v>236</v>
      </c>
      <c r="K134" t="s">
        <v>13</v>
      </c>
    </row>
    <row r="135" spans="1:11" x14ac:dyDescent="0.25">
      <c r="A135">
        <v>1995</v>
      </c>
      <c r="B135">
        <v>169</v>
      </c>
      <c r="C135">
        <v>1.46</v>
      </c>
      <c r="D135">
        <v>247</v>
      </c>
      <c r="E135">
        <v>0</v>
      </c>
      <c r="F135">
        <v>0</v>
      </c>
      <c r="G135">
        <v>247</v>
      </c>
      <c r="H135">
        <v>25</v>
      </c>
      <c r="I135">
        <v>0</v>
      </c>
      <c r="J135">
        <v>272</v>
      </c>
      <c r="K135" t="s">
        <v>13</v>
      </c>
    </row>
    <row r="136" spans="1:11" x14ac:dyDescent="0.25">
      <c r="A136">
        <v>1996</v>
      </c>
      <c r="B136">
        <v>244</v>
      </c>
      <c r="C136">
        <v>1.31</v>
      </c>
      <c r="D136">
        <v>320</v>
      </c>
      <c r="E136">
        <v>0</v>
      </c>
      <c r="F136">
        <v>0</v>
      </c>
      <c r="G136">
        <v>320</v>
      </c>
      <c r="H136">
        <v>32</v>
      </c>
      <c r="I136">
        <v>0</v>
      </c>
      <c r="J136">
        <v>352</v>
      </c>
      <c r="K136" t="s">
        <v>13</v>
      </c>
    </row>
    <row r="137" spans="1:11" x14ac:dyDescent="0.25">
      <c r="A137">
        <v>1997</v>
      </c>
      <c r="B137">
        <v>289</v>
      </c>
      <c r="C137">
        <v>1.28</v>
      </c>
      <c r="D137">
        <v>370</v>
      </c>
      <c r="E137">
        <v>0</v>
      </c>
      <c r="F137">
        <v>0</v>
      </c>
      <c r="G137">
        <v>370</v>
      </c>
      <c r="H137">
        <v>37</v>
      </c>
      <c r="I137">
        <v>0</v>
      </c>
      <c r="J137">
        <v>407</v>
      </c>
      <c r="K137" t="s">
        <v>13</v>
      </c>
    </row>
    <row r="138" spans="1:11" x14ac:dyDescent="0.25">
      <c r="A138">
        <v>1998</v>
      </c>
      <c r="B138">
        <v>310</v>
      </c>
      <c r="C138">
        <v>1.27</v>
      </c>
      <c r="D138">
        <v>393</v>
      </c>
      <c r="E138">
        <v>0</v>
      </c>
      <c r="F138">
        <v>0</v>
      </c>
      <c r="G138">
        <v>393</v>
      </c>
      <c r="H138">
        <v>39</v>
      </c>
      <c r="I138">
        <v>0</v>
      </c>
      <c r="J138">
        <v>432</v>
      </c>
      <c r="K138" t="s">
        <v>13</v>
      </c>
    </row>
    <row r="139" spans="1:11" x14ac:dyDescent="0.25">
      <c r="A139">
        <v>1999</v>
      </c>
      <c r="B139">
        <v>332</v>
      </c>
      <c r="C139">
        <v>1.27</v>
      </c>
      <c r="D139">
        <v>423</v>
      </c>
      <c r="E139">
        <v>0</v>
      </c>
      <c r="F139">
        <v>0</v>
      </c>
      <c r="G139">
        <v>423</v>
      </c>
      <c r="H139">
        <v>42</v>
      </c>
      <c r="I139">
        <v>0</v>
      </c>
      <c r="J139">
        <v>465</v>
      </c>
      <c r="K139" t="s">
        <v>13</v>
      </c>
    </row>
    <row r="140" spans="1:11" x14ac:dyDescent="0.25">
      <c r="A140">
        <v>2000</v>
      </c>
      <c r="B140">
        <v>244</v>
      </c>
      <c r="C140">
        <v>1.81</v>
      </c>
      <c r="D140">
        <v>440</v>
      </c>
      <c r="E140">
        <v>0</v>
      </c>
      <c r="F140">
        <v>0</v>
      </c>
      <c r="G140">
        <v>440</v>
      </c>
      <c r="H140">
        <v>44</v>
      </c>
      <c r="I140">
        <v>0</v>
      </c>
      <c r="J140">
        <v>484</v>
      </c>
      <c r="K140" t="s">
        <v>13</v>
      </c>
    </row>
    <row r="141" spans="1:11" x14ac:dyDescent="0.25">
      <c r="A141">
        <v>2001</v>
      </c>
      <c r="B141">
        <v>169</v>
      </c>
      <c r="C141">
        <v>1.53</v>
      </c>
      <c r="D141">
        <v>259</v>
      </c>
      <c r="E141">
        <v>0</v>
      </c>
      <c r="F141">
        <v>0</v>
      </c>
      <c r="G141">
        <v>259</v>
      </c>
      <c r="H141">
        <v>26</v>
      </c>
      <c r="I141">
        <v>0</v>
      </c>
      <c r="J141">
        <v>285</v>
      </c>
      <c r="K141" t="s">
        <v>13</v>
      </c>
    </row>
    <row r="142" spans="1:11" x14ac:dyDescent="0.25">
      <c r="A142">
        <v>2002</v>
      </c>
      <c r="B142">
        <v>214</v>
      </c>
      <c r="C142">
        <v>1.47</v>
      </c>
      <c r="D142">
        <v>315</v>
      </c>
      <c r="E142">
        <v>0</v>
      </c>
      <c r="F142">
        <v>0</v>
      </c>
      <c r="G142">
        <v>315</v>
      </c>
      <c r="H142">
        <v>31</v>
      </c>
      <c r="I142">
        <v>0</v>
      </c>
      <c r="J142">
        <v>346</v>
      </c>
      <c r="K142" t="s">
        <v>13</v>
      </c>
    </row>
    <row r="143" spans="1:11" x14ac:dyDescent="0.25">
      <c r="A143">
        <v>2003</v>
      </c>
      <c r="B143">
        <v>217</v>
      </c>
      <c r="C143">
        <v>2.06</v>
      </c>
      <c r="D143">
        <v>447</v>
      </c>
      <c r="E143">
        <v>0</v>
      </c>
      <c r="F143">
        <v>0</v>
      </c>
      <c r="G143">
        <v>447</v>
      </c>
      <c r="H143">
        <v>45</v>
      </c>
      <c r="I143">
        <v>0</v>
      </c>
      <c r="J143">
        <v>492</v>
      </c>
      <c r="K143" t="s">
        <v>13</v>
      </c>
    </row>
    <row r="144" spans="1:11" x14ac:dyDescent="0.25">
      <c r="A144">
        <v>2004</v>
      </c>
      <c r="B144">
        <v>209</v>
      </c>
      <c r="C144">
        <v>1.3</v>
      </c>
      <c r="D144">
        <v>273</v>
      </c>
      <c r="E144">
        <v>0</v>
      </c>
      <c r="F144">
        <v>0</v>
      </c>
      <c r="G144">
        <v>273</v>
      </c>
      <c r="H144">
        <v>27</v>
      </c>
      <c r="I144">
        <v>0</v>
      </c>
      <c r="J144">
        <v>300</v>
      </c>
      <c r="K144" t="s">
        <v>13</v>
      </c>
    </row>
    <row r="145" spans="1:11" x14ac:dyDescent="0.25">
      <c r="A145">
        <v>2005</v>
      </c>
      <c r="B145">
        <v>245</v>
      </c>
      <c r="C145">
        <v>1.64</v>
      </c>
      <c r="D145">
        <v>402</v>
      </c>
      <c r="E145">
        <v>0</v>
      </c>
      <c r="F145">
        <v>0</v>
      </c>
      <c r="G145">
        <v>402</v>
      </c>
      <c r="H145">
        <v>40</v>
      </c>
      <c r="I145">
        <v>0</v>
      </c>
      <c r="J145">
        <v>442</v>
      </c>
      <c r="K145" t="s">
        <v>13</v>
      </c>
    </row>
    <row r="146" spans="1:11" x14ac:dyDescent="0.25">
      <c r="A146">
        <v>2006</v>
      </c>
      <c r="B146">
        <v>246</v>
      </c>
      <c r="C146">
        <v>0.96</v>
      </c>
      <c r="D146">
        <v>236</v>
      </c>
      <c r="E146">
        <v>0</v>
      </c>
      <c r="F146">
        <v>0</v>
      </c>
      <c r="G146">
        <v>236</v>
      </c>
      <c r="H146">
        <v>24</v>
      </c>
      <c r="I146">
        <v>0</v>
      </c>
      <c r="J146">
        <v>260</v>
      </c>
      <c r="K146" t="s">
        <v>13</v>
      </c>
    </row>
    <row r="147" spans="1:11" x14ac:dyDescent="0.25">
      <c r="A147">
        <v>2007</v>
      </c>
      <c r="B147">
        <v>270</v>
      </c>
      <c r="C147">
        <v>1.47</v>
      </c>
      <c r="D147">
        <v>396</v>
      </c>
      <c r="E147">
        <v>0</v>
      </c>
      <c r="F147">
        <v>0</v>
      </c>
      <c r="G147">
        <v>396</v>
      </c>
      <c r="H147">
        <v>40</v>
      </c>
      <c r="I147">
        <v>0</v>
      </c>
      <c r="J147">
        <v>436</v>
      </c>
      <c r="K147" t="s">
        <v>13</v>
      </c>
    </row>
    <row r="148" spans="1:11" x14ac:dyDescent="0.25">
      <c r="A148">
        <v>2008</v>
      </c>
      <c r="B148">
        <v>310</v>
      </c>
      <c r="C148">
        <v>1.45</v>
      </c>
      <c r="D148">
        <v>449</v>
      </c>
      <c r="E148">
        <v>0</v>
      </c>
      <c r="F148">
        <v>0</v>
      </c>
      <c r="G148">
        <v>449</v>
      </c>
      <c r="H148">
        <v>45</v>
      </c>
      <c r="I148">
        <v>0</v>
      </c>
      <c r="J148">
        <v>494</v>
      </c>
      <c r="K148" t="s">
        <v>13</v>
      </c>
    </row>
    <row r="149" spans="1:11" x14ac:dyDescent="0.25">
      <c r="A149">
        <v>2009</v>
      </c>
      <c r="B149">
        <v>232</v>
      </c>
      <c r="C149">
        <v>1.33</v>
      </c>
      <c r="D149">
        <v>310</v>
      </c>
      <c r="E149">
        <v>0</v>
      </c>
      <c r="F149">
        <v>0</v>
      </c>
      <c r="G149">
        <v>310</v>
      </c>
      <c r="H149">
        <v>31</v>
      </c>
      <c r="I149">
        <v>0</v>
      </c>
      <c r="J149">
        <v>341</v>
      </c>
      <c r="K149" t="s">
        <v>13</v>
      </c>
    </row>
    <row r="150" spans="1:11" x14ac:dyDescent="0.25">
      <c r="A150">
        <v>2010</v>
      </c>
      <c r="B150">
        <v>256</v>
      </c>
      <c r="C150">
        <v>1.87</v>
      </c>
      <c r="D150">
        <v>480</v>
      </c>
      <c r="E150">
        <v>0</v>
      </c>
      <c r="F150">
        <v>0</v>
      </c>
      <c r="G150">
        <v>480</v>
      </c>
      <c r="H150">
        <v>48</v>
      </c>
      <c r="I150">
        <v>0</v>
      </c>
      <c r="J150">
        <v>527</v>
      </c>
      <c r="K150" t="s">
        <v>13</v>
      </c>
    </row>
    <row r="151" spans="1:11" x14ac:dyDescent="0.25">
      <c r="A151">
        <v>2011</v>
      </c>
      <c r="B151">
        <v>268</v>
      </c>
      <c r="C151">
        <v>1.46</v>
      </c>
      <c r="D151">
        <v>392</v>
      </c>
      <c r="E151">
        <v>0</v>
      </c>
      <c r="F151">
        <v>0</v>
      </c>
      <c r="G151">
        <v>392</v>
      </c>
      <c r="H151">
        <v>39</v>
      </c>
      <c r="I151">
        <v>0</v>
      </c>
      <c r="J151">
        <v>431</v>
      </c>
      <c r="K151" t="s">
        <v>13</v>
      </c>
    </row>
    <row r="152" spans="1:11" x14ac:dyDescent="0.25">
      <c r="A152">
        <v>2012</v>
      </c>
      <c r="B152">
        <v>285</v>
      </c>
      <c r="C152">
        <v>1.71</v>
      </c>
      <c r="D152">
        <v>487</v>
      </c>
      <c r="E152">
        <v>0</v>
      </c>
      <c r="F152">
        <v>0</v>
      </c>
      <c r="G152">
        <v>487</v>
      </c>
      <c r="H152">
        <v>48</v>
      </c>
      <c r="I152">
        <v>0</v>
      </c>
      <c r="J152">
        <v>535</v>
      </c>
      <c r="K152" t="s">
        <v>13</v>
      </c>
    </row>
    <row r="153" spans="1:11" x14ac:dyDescent="0.25">
      <c r="A153">
        <v>2013</v>
      </c>
      <c r="B153">
        <v>282</v>
      </c>
      <c r="C153">
        <v>1.33</v>
      </c>
      <c r="D153">
        <v>375</v>
      </c>
      <c r="E153">
        <v>0</v>
      </c>
      <c r="F153">
        <v>0</v>
      </c>
      <c r="G153">
        <v>375</v>
      </c>
      <c r="H153">
        <v>38</v>
      </c>
      <c r="I153">
        <v>0</v>
      </c>
      <c r="J153">
        <v>413</v>
      </c>
      <c r="K153" t="s">
        <v>13</v>
      </c>
    </row>
    <row r="154" spans="1:11" x14ac:dyDescent="0.25">
      <c r="A154">
        <v>2014</v>
      </c>
      <c r="B154">
        <v>302</v>
      </c>
      <c r="C154">
        <v>1.77</v>
      </c>
      <c r="D154">
        <v>533</v>
      </c>
      <c r="E154">
        <v>0</v>
      </c>
      <c r="F154">
        <v>0</v>
      </c>
      <c r="G154">
        <v>533</v>
      </c>
      <c r="H154">
        <v>47</v>
      </c>
      <c r="I154">
        <v>0</v>
      </c>
      <c r="J154">
        <v>580</v>
      </c>
      <c r="K154" t="s">
        <v>13</v>
      </c>
    </row>
    <row r="155" spans="1:11" x14ac:dyDescent="0.25">
      <c r="A155">
        <v>2015</v>
      </c>
      <c r="B155">
        <v>274</v>
      </c>
      <c r="C155">
        <v>1.71</v>
      </c>
      <c r="D155">
        <v>468</v>
      </c>
      <c r="E155">
        <v>0</v>
      </c>
      <c r="F155">
        <v>0</v>
      </c>
      <c r="G155">
        <v>468</v>
      </c>
      <c r="H155">
        <v>44</v>
      </c>
      <c r="I155">
        <v>0</v>
      </c>
      <c r="J155">
        <v>512</v>
      </c>
      <c r="K155" t="s">
        <v>13</v>
      </c>
    </row>
    <row r="156" spans="1:11" x14ac:dyDescent="0.25">
      <c r="A156">
        <v>2016</v>
      </c>
      <c r="B156">
        <v>292</v>
      </c>
      <c r="C156">
        <v>1.21</v>
      </c>
      <c r="D156">
        <v>352</v>
      </c>
      <c r="E156">
        <v>0</v>
      </c>
      <c r="F156">
        <v>0</v>
      </c>
      <c r="G156">
        <v>352</v>
      </c>
      <c r="H156">
        <v>34</v>
      </c>
      <c r="I156">
        <v>0</v>
      </c>
      <c r="J156">
        <v>386</v>
      </c>
      <c r="K156" t="s">
        <v>13</v>
      </c>
    </row>
    <row r="157" spans="1:11" x14ac:dyDescent="0.25">
      <c r="A157">
        <v>2017</v>
      </c>
      <c r="B157">
        <v>256</v>
      </c>
      <c r="C157">
        <v>1.55</v>
      </c>
      <c r="D157">
        <v>397</v>
      </c>
      <c r="E157">
        <v>0</v>
      </c>
      <c r="F157">
        <v>0</v>
      </c>
      <c r="G157">
        <v>397</v>
      </c>
      <c r="H157">
        <v>38</v>
      </c>
      <c r="I157">
        <v>0</v>
      </c>
      <c r="J157">
        <v>435</v>
      </c>
      <c r="K157" t="s">
        <v>13</v>
      </c>
    </row>
    <row r="158" spans="1:11" x14ac:dyDescent="0.25">
      <c r="A158">
        <v>2018</v>
      </c>
      <c r="B158">
        <v>263</v>
      </c>
      <c r="C158">
        <v>1.54</v>
      </c>
      <c r="D158">
        <v>406</v>
      </c>
      <c r="E158">
        <v>0</v>
      </c>
      <c r="F158">
        <v>0</v>
      </c>
      <c r="G158">
        <v>406</v>
      </c>
      <c r="H158">
        <v>38</v>
      </c>
      <c r="I158">
        <v>0</v>
      </c>
      <c r="J158">
        <v>443</v>
      </c>
      <c r="K158" t="s">
        <v>13</v>
      </c>
    </row>
    <row r="159" spans="1:11" x14ac:dyDescent="0.25">
      <c r="A159">
        <v>2019</v>
      </c>
      <c r="B159">
        <v>307</v>
      </c>
      <c r="C159">
        <v>1.6</v>
      </c>
      <c r="D159">
        <v>489</v>
      </c>
      <c r="E159">
        <v>0</v>
      </c>
      <c r="F159">
        <v>0</v>
      </c>
      <c r="G159">
        <v>489</v>
      </c>
      <c r="H159">
        <v>44</v>
      </c>
      <c r="I159">
        <v>0</v>
      </c>
      <c r="J159">
        <v>534</v>
      </c>
      <c r="K159" t="s">
        <v>13</v>
      </c>
    </row>
    <row r="160" spans="1:11" x14ac:dyDescent="0.25">
      <c r="A160">
        <v>2020</v>
      </c>
      <c r="B160">
        <v>307</v>
      </c>
      <c r="C160">
        <v>2.0299999999999998</v>
      </c>
      <c r="D160">
        <v>622</v>
      </c>
      <c r="E160">
        <v>0</v>
      </c>
      <c r="F160">
        <v>0</v>
      </c>
      <c r="G160">
        <v>622</v>
      </c>
      <c r="H160">
        <v>55</v>
      </c>
      <c r="I160">
        <v>0</v>
      </c>
      <c r="J160">
        <v>677</v>
      </c>
      <c r="K160" t="s">
        <v>13</v>
      </c>
    </row>
    <row r="161" spans="1:11" x14ac:dyDescent="0.25">
      <c r="A161">
        <v>1968</v>
      </c>
      <c r="B161">
        <v>789</v>
      </c>
      <c r="C161">
        <v>2.23</v>
      </c>
      <c r="D161">
        <v>1758</v>
      </c>
      <c r="E161">
        <v>0</v>
      </c>
      <c r="F161">
        <v>0</v>
      </c>
      <c r="G161">
        <v>1758</v>
      </c>
      <c r="H161">
        <v>176</v>
      </c>
      <c r="I161">
        <v>0</v>
      </c>
      <c r="J161">
        <v>1934</v>
      </c>
      <c r="K161" t="s">
        <v>14</v>
      </c>
    </row>
    <row r="162" spans="1:11" x14ac:dyDescent="0.25">
      <c r="A162">
        <v>1969</v>
      </c>
      <c r="B162">
        <v>788</v>
      </c>
      <c r="C162">
        <v>1.84</v>
      </c>
      <c r="D162">
        <v>1447</v>
      </c>
      <c r="E162">
        <v>0</v>
      </c>
      <c r="F162">
        <v>0</v>
      </c>
      <c r="G162">
        <v>1447</v>
      </c>
      <c r="H162">
        <v>145</v>
      </c>
      <c r="I162">
        <v>0</v>
      </c>
      <c r="J162">
        <v>1592</v>
      </c>
      <c r="K162" t="s">
        <v>14</v>
      </c>
    </row>
    <row r="163" spans="1:11" x14ac:dyDescent="0.25">
      <c r="A163">
        <v>1970</v>
      </c>
      <c r="B163">
        <v>773</v>
      </c>
      <c r="C163">
        <v>1.94</v>
      </c>
      <c r="D163">
        <v>1501</v>
      </c>
      <c r="E163">
        <v>0</v>
      </c>
      <c r="F163">
        <v>0</v>
      </c>
      <c r="G163">
        <v>1501</v>
      </c>
      <c r="H163">
        <v>150</v>
      </c>
      <c r="I163">
        <v>0</v>
      </c>
      <c r="J163">
        <v>1651</v>
      </c>
      <c r="K163" t="s">
        <v>14</v>
      </c>
    </row>
    <row r="164" spans="1:11" x14ac:dyDescent="0.25">
      <c r="A164">
        <v>1971</v>
      </c>
      <c r="B164">
        <v>633</v>
      </c>
      <c r="C164">
        <v>1.82</v>
      </c>
      <c r="D164">
        <v>1151</v>
      </c>
      <c r="E164">
        <v>0</v>
      </c>
      <c r="F164">
        <v>0</v>
      </c>
      <c r="G164">
        <v>1151</v>
      </c>
      <c r="H164">
        <v>115</v>
      </c>
      <c r="I164">
        <v>0</v>
      </c>
      <c r="J164">
        <v>1267</v>
      </c>
      <c r="K164" t="s">
        <v>14</v>
      </c>
    </row>
    <row r="165" spans="1:11" x14ac:dyDescent="0.25">
      <c r="A165">
        <v>1972</v>
      </c>
      <c r="B165">
        <v>595</v>
      </c>
      <c r="C165">
        <v>1.59</v>
      </c>
      <c r="D165">
        <v>944</v>
      </c>
      <c r="E165">
        <v>0</v>
      </c>
      <c r="F165">
        <v>0</v>
      </c>
      <c r="G165">
        <v>944</v>
      </c>
      <c r="H165">
        <v>94</v>
      </c>
      <c r="I165">
        <v>0</v>
      </c>
      <c r="J165">
        <v>1038</v>
      </c>
      <c r="K165" t="s">
        <v>14</v>
      </c>
    </row>
    <row r="166" spans="1:11" x14ac:dyDescent="0.25">
      <c r="A166">
        <v>1973</v>
      </c>
      <c r="B166">
        <v>456</v>
      </c>
      <c r="C166">
        <v>1.9</v>
      </c>
      <c r="D166">
        <v>867</v>
      </c>
      <c r="E166">
        <v>0</v>
      </c>
      <c r="F166">
        <v>0</v>
      </c>
      <c r="G166">
        <v>867</v>
      </c>
      <c r="H166">
        <v>87</v>
      </c>
      <c r="I166">
        <v>0</v>
      </c>
      <c r="J166">
        <v>954</v>
      </c>
      <c r="K166" t="s">
        <v>14</v>
      </c>
    </row>
    <row r="167" spans="1:11" x14ac:dyDescent="0.25">
      <c r="A167">
        <v>1974</v>
      </c>
      <c r="B167">
        <v>508</v>
      </c>
      <c r="C167">
        <v>1.88</v>
      </c>
      <c r="D167">
        <v>956</v>
      </c>
      <c r="E167">
        <v>0</v>
      </c>
      <c r="F167">
        <v>0</v>
      </c>
      <c r="G167">
        <v>956</v>
      </c>
      <c r="H167">
        <v>96</v>
      </c>
      <c r="I167">
        <v>0</v>
      </c>
      <c r="J167">
        <v>1052</v>
      </c>
      <c r="K167" t="s">
        <v>14</v>
      </c>
    </row>
    <row r="168" spans="1:11" x14ac:dyDescent="0.25">
      <c r="A168">
        <v>1975</v>
      </c>
      <c r="B168">
        <v>849</v>
      </c>
      <c r="C168">
        <v>1.7</v>
      </c>
      <c r="D168">
        <v>1439</v>
      </c>
      <c r="E168">
        <v>0</v>
      </c>
      <c r="F168">
        <v>0</v>
      </c>
      <c r="G168">
        <v>1439</v>
      </c>
      <c r="H168">
        <v>144</v>
      </c>
      <c r="I168">
        <v>0</v>
      </c>
      <c r="J168">
        <v>1583</v>
      </c>
      <c r="K168" t="s">
        <v>14</v>
      </c>
    </row>
    <row r="169" spans="1:11" x14ac:dyDescent="0.25">
      <c r="A169">
        <v>1976</v>
      </c>
      <c r="B169">
        <v>759</v>
      </c>
      <c r="C169">
        <v>1.96</v>
      </c>
      <c r="D169">
        <v>1485</v>
      </c>
      <c r="E169">
        <v>0</v>
      </c>
      <c r="F169">
        <v>0</v>
      </c>
      <c r="G169">
        <v>1485</v>
      </c>
      <c r="H169">
        <v>148</v>
      </c>
      <c r="I169">
        <v>0</v>
      </c>
      <c r="J169">
        <v>1633</v>
      </c>
      <c r="K169" t="s">
        <v>14</v>
      </c>
    </row>
    <row r="170" spans="1:11" x14ac:dyDescent="0.25">
      <c r="A170">
        <v>1977</v>
      </c>
      <c r="B170">
        <v>764</v>
      </c>
      <c r="C170">
        <v>2.1</v>
      </c>
      <c r="D170">
        <v>1608</v>
      </c>
      <c r="E170">
        <v>0</v>
      </c>
      <c r="F170">
        <v>0</v>
      </c>
      <c r="G170">
        <v>1608</v>
      </c>
      <c r="H170">
        <v>161</v>
      </c>
      <c r="I170">
        <v>0</v>
      </c>
      <c r="J170">
        <v>1769</v>
      </c>
      <c r="K170" t="s">
        <v>14</v>
      </c>
    </row>
    <row r="171" spans="1:11" x14ac:dyDescent="0.25">
      <c r="A171">
        <v>1978</v>
      </c>
      <c r="B171">
        <v>753</v>
      </c>
      <c r="C171">
        <v>1.77</v>
      </c>
      <c r="D171">
        <v>1333</v>
      </c>
      <c r="E171">
        <v>0</v>
      </c>
      <c r="F171">
        <v>0</v>
      </c>
      <c r="G171">
        <v>1333</v>
      </c>
      <c r="H171">
        <v>133</v>
      </c>
      <c r="I171">
        <v>0</v>
      </c>
      <c r="J171">
        <v>1467</v>
      </c>
      <c r="K171" t="s">
        <v>14</v>
      </c>
    </row>
    <row r="172" spans="1:11" x14ac:dyDescent="0.25">
      <c r="A172">
        <v>1979</v>
      </c>
      <c r="B172">
        <v>378</v>
      </c>
      <c r="C172">
        <v>1.88</v>
      </c>
      <c r="D172">
        <v>709</v>
      </c>
      <c r="E172">
        <v>0</v>
      </c>
      <c r="F172">
        <v>0</v>
      </c>
      <c r="G172">
        <v>709</v>
      </c>
      <c r="H172">
        <v>71</v>
      </c>
      <c r="I172">
        <v>0</v>
      </c>
      <c r="J172">
        <v>780</v>
      </c>
      <c r="K172" t="s">
        <v>14</v>
      </c>
    </row>
    <row r="173" spans="1:11" x14ac:dyDescent="0.25">
      <c r="A173">
        <v>1980</v>
      </c>
      <c r="B173">
        <v>775</v>
      </c>
      <c r="C173">
        <v>2.23</v>
      </c>
      <c r="D173">
        <v>1730</v>
      </c>
      <c r="E173">
        <v>0</v>
      </c>
      <c r="F173">
        <v>0</v>
      </c>
      <c r="G173">
        <v>1730</v>
      </c>
      <c r="H173">
        <v>173</v>
      </c>
      <c r="I173">
        <v>0</v>
      </c>
      <c r="J173">
        <v>1903</v>
      </c>
      <c r="K173" t="s">
        <v>14</v>
      </c>
    </row>
    <row r="174" spans="1:11" x14ac:dyDescent="0.25">
      <c r="A174">
        <v>1981</v>
      </c>
      <c r="B174">
        <v>698</v>
      </c>
      <c r="C174">
        <v>1.9</v>
      </c>
      <c r="D174">
        <v>1329</v>
      </c>
      <c r="E174">
        <v>0</v>
      </c>
      <c r="F174">
        <v>0</v>
      </c>
      <c r="G174">
        <v>1329</v>
      </c>
      <c r="H174">
        <v>133</v>
      </c>
      <c r="I174">
        <v>0</v>
      </c>
      <c r="J174">
        <v>1462</v>
      </c>
      <c r="K174" t="s">
        <v>14</v>
      </c>
    </row>
    <row r="175" spans="1:11" x14ac:dyDescent="0.25">
      <c r="A175">
        <v>1982</v>
      </c>
      <c r="B175">
        <v>537</v>
      </c>
      <c r="C175">
        <v>2</v>
      </c>
      <c r="D175">
        <v>1072</v>
      </c>
      <c r="E175">
        <v>0</v>
      </c>
      <c r="F175">
        <v>0</v>
      </c>
      <c r="G175">
        <v>1072</v>
      </c>
      <c r="H175">
        <v>107</v>
      </c>
      <c r="I175">
        <v>0</v>
      </c>
      <c r="J175">
        <v>1179</v>
      </c>
      <c r="K175" t="s">
        <v>14</v>
      </c>
    </row>
    <row r="176" spans="1:11" x14ac:dyDescent="0.25">
      <c r="A176">
        <v>1983</v>
      </c>
      <c r="B176">
        <v>693</v>
      </c>
      <c r="C176">
        <v>1.53</v>
      </c>
      <c r="D176">
        <v>1062</v>
      </c>
      <c r="E176">
        <v>0</v>
      </c>
      <c r="F176">
        <v>0</v>
      </c>
      <c r="G176">
        <v>1062</v>
      </c>
      <c r="H176">
        <v>106</v>
      </c>
      <c r="I176">
        <v>0</v>
      </c>
      <c r="J176">
        <v>1168</v>
      </c>
      <c r="K176" t="s">
        <v>14</v>
      </c>
    </row>
    <row r="177" spans="1:11" x14ac:dyDescent="0.25">
      <c r="A177">
        <v>1984</v>
      </c>
      <c r="B177">
        <v>474</v>
      </c>
      <c r="C177">
        <v>1.71</v>
      </c>
      <c r="D177">
        <v>810</v>
      </c>
      <c r="E177">
        <v>0</v>
      </c>
      <c r="F177">
        <v>0</v>
      </c>
      <c r="G177">
        <v>810</v>
      </c>
      <c r="H177">
        <v>81</v>
      </c>
      <c r="I177">
        <v>0</v>
      </c>
      <c r="J177">
        <v>891</v>
      </c>
      <c r="K177" t="s">
        <v>14</v>
      </c>
    </row>
    <row r="178" spans="1:11" x14ac:dyDescent="0.25">
      <c r="A178">
        <v>1985</v>
      </c>
      <c r="B178">
        <v>387</v>
      </c>
      <c r="C178">
        <v>1.55</v>
      </c>
      <c r="D178">
        <v>600</v>
      </c>
      <c r="E178">
        <v>0</v>
      </c>
      <c r="F178">
        <v>0</v>
      </c>
      <c r="G178">
        <v>600</v>
      </c>
      <c r="H178">
        <v>60</v>
      </c>
      <c r="I178">
        <v>0</v>
      </c>
      <c r="J178">
        <v>660</v>
      </c>
      <c r="K178" t="s">
        <v>14</v>
      </c>
    </row>
    <row r="179" spans="1:11" x14ac:dyDescent="0.25">
      <c r="A179">
        <v>1986</v>
      </c>
      <c r="B179">
        <v>411</v>
      </c>
      <c r="C179">
        <v>1.88</v>
      </c>
      <c r="D179">
        <v>772</v>
      </c>
      <c r="E179">
        <v>0</v>
      </c>
      <c r="F179">
        <v>0</v>
      </c>
      <c r="G179">
        <v>772</v>
      </c>
      <c r="H179">
        <v>77</v>
      </c>
      <c r="I179">
        <v>0</v>
      </c>
      <c r="J179">
        <v>849</v>
      </c>
      <c r="K179" t="s">
        <v>14</v>
      </c>
    </row>
    <row r="180" spans="1:11" x14ac:dyDescent="0.25">
      <c r="A180">
        <v>1987</v>
      </c>
      <c r="B180">
        <v>500</v>
      </c>
      <c r="C180">
        <v>1.79</v>
      </c>
      <c r="D180">
        <v>895</v>
      </c>
      <c r="E180">
        <v>0</v>
      </c>
      <c r="F180">
        <v>0</v>
      </c>
      <c r="G180">
        <v>895</v>
      </c>
      <c r="H180">
        <v>89</v>
      </c>
      <c r="I180">
        <v>0</v>
      </c>
      <c r="J180">
        <v>984</v>
      </c>
      <c r="K180" t="s">
        <v>14</v>
      </c>
    </row>
    <row r="181" spans="1:11" x14ac:dyDescent="0.25">
      <c r="A181">
        <v>1988</v>
      </c>
      <c r="B181">
        <v>544</v>
      </c>
      <c r="C181">
        <v>1.72</v>
      </c>
      <c r="D181">
        <v>937</v>
      </c>
      <c r="E181">
        <v>0</v>
      </c>
      <c r="F181">
        <v>0</v>
      </c>
      <c r="G181">
        <v>937</v>
      </c>
      <c r="H181">
        <v>94</v>
      </c>
      <c r="I181">
        <v>0</v>
      </c>
      <c r="J181">
        <v>1031</v>
      </c>
      <c r="K181" t="s">
        <v>14</v>
      </c>
    </row>
    <row r="182" spans="1:11" x14ac:dyDescent="0.25">
      <c r="A182">
        <v>1989</v>
      </c>
      <c r="B182">
        <v>406</v>
      </c>
      <c r="C182">
        <v>2.21</v>
      </c>
      <c r="D182">
        <v>897</v>
      </c>
      <c r="E182">
        <v>0</v>
      </c>
      <c r="F182">
        <v>0</v>
      </c>
      <c r="G182">
        <v>897</v>
      </c>
      <c r="H182">
        <v>90</v>
      </c>
      <c r="I182">
        <v>0</v>
      </c>
      <c r="J182">
        <v>987</v>
      </c>
      <c r="K182" t="s">
        <v>14</v>
      </c>
    </row>
    <row r="183" spans="1:11" x14ac:dyDescent="0.25">
      <c r="A183">
        <v>1990</v>
      </c>
      <c r="B183">
        <v>428</v>
      </c>
      <c r="C183">
        <v>1.96</v>
      </c>
      <c r="D183">
        <v>838</v>
      </c>
      <c r="E183">
        <v>0</v>
      </c>
      <c r="F183">
        <v>0</v>
      </c>
      <c r="G183">
        <v>838</v>
      </c>
      <c r="H183">
        <v>84</v>
      </c>
      <c r="I183">
        <v>0</v>
      </c>
      <c r="J183">
        <v>922</v>
      </c>
      <c r="K183" t="s">
        <v>14</v>
      </c>
    </row>
    <row r="184" spans="1:11" x14ac:dyDescent="0.25">
      <c r="A184">
        <v>1991</v>
      </c>
      <c r="B184">
        <v>622</v>
      </c>
      <c r="C184">
        <v>1.78</v>
      </c>
      <c r="D184">
        <v>1109</v>
      </c>
      <c r="E184">
        <v>0</v>
      </c>
      <c r="F184">
        <v>0</v>
      </c>
      <c r="G184">
        <v>1109</v>
      </c>
      <c r="H184">
        <v>111</v>
      </c>
      <c r="I184">
        <v>0</v>
      </c>
      <c r="J184">
        <v>1220</v>
      </c>
      <c r="K184" t="s">
        <v>14</v>
      </c>
    </row>
    <row r="185" spans="1:11" x14ac:dyDescent="0.25">
      <c r="A185">
        <v>1992</v>
      </c>
      <c r="B185">
        <v>537</v>
      </c>
      <c r="C185">
        <v>1.67</v>
      </c>
      <c r="D185">
        <v>897</v>
      </c>
      <c r="E185">
        <v>0</v>
      </c>
      <c r="F185">
        <v>0</v>
      </c>
      <c r="G185">
        <v>897</v>
      </c>
      <c r="H185">
        <v>90</v>
      </c>
      <c r="I185">
        <v>0</v>
      </c>
      <c r="J185">
        <v>986</v>
      </c>
      <c r="K185" t="s">
        <v>14</v>
      </c>
    </row>
    <row r="186" spans="1:11" x14ac:dyDescent="0.25">
      <c r="A186">
        <v>1993</v>
      </c>
      <c r="B186">
        <v>520</v>
      </c>
      <c r="C186">
        <v>2.11</v>
      </c>
      <c r="D186">
        <v>1096</v>
      </c>
      <c r="E186">
        <v>0</v>
      </c>
      <c r="F186">
        <v>0</v>
      </c>
      <c r="G186">
        <v>1096</v>
      </c>
      <c r="H186">
        <v>110</v>
      </c>
      <c r="I186">
        <v>0</v>
      </c>
      <c r="J186">
        <v>1206</v>
      </c>
      <c r="K186" t="s">
        <v>14</v>
      </c>
    </row>
    <row r="187" spans="1:11" x14ac:dyDescent="0.25">
      <c r="A187">
        <v>1994</v>
      </c>
      <c r="B187">
        <v>361</v>
      </c>
      <c r="C187">
        <v>1.78</v>
      </c>
      <c r="D187">
        <v>642</v>
      </c>
      <c r="E187">
        <v>0</v>
      </c>
      <c r="F187">
        <v>0</v>
      </c>
      <c r="G187">
        <v>642</v>
      </c>
      <c r="H187">
        <v>64</v>
      </c>
      <c r="I187">
        <v>0</v>
      </c>
      <c r="J187">
        <v>706</v>
      </c>
      <c r="K187" t="s">
        <v>14</v>
      </c>
    </row>
    <row r="188" spans="1:11" x14ac:dyDescent="0.25">
      <c r="A188">
        <v>1995</v>
      </c>
      <c r="B188">
        <v>557</v>
      </c>
      <c r="C188">
        <v>2.31</v>
      </c>
      <c r="D188">
        <v>1289</v>
      </c>
      <c r="E188">
        <v>0</v>
      </c>
      <c r="F188">
        <v>0</v>
      </c>
      <c r="G188">
        <v>1289</v>
      </c>
      <c r="H188">
        <v>129</v>
      </c>
      <c r="I188">
        <v>0</v>
      </c>
      <c r="J188">
        <v>1418</v>
      </c>
      <c r="K188" t="s">
        <v>14</v>
      </c>
    </row>
    <row r="189" spans="1:11" x14ac:dyDescent="0.25">
      <c r="A189">
        <v>1996</v>
      </c>
      <c r="B189">
        <v>438</v>
      </c>
      <c r="C189">
        <v>1.94</v>
      </c>
      <c r="D189">
        <v>848</v>
      </c>
      <c r="E189">
        <v>0</v>
      </c>
      <c r="F189">
        <v>0</v>
      </c>
      <c r="G189">
        <v>848</v>
      </c>
      <c r="H189">
        <v>85</v>
      </c>
      <c r="I189">
        <v>0</v>
      </c>
      <c r="J189">
        <v>933</v>
      </c>
      <c r="K189" t="s">
        <v>14</v>
      </c>
    </row>
    <row r="190" spans="1:11" x14ac:dyDescent="0.25">
      <c r="A190">
        <v>1997</v>
      </c>
      <c r="B190">
        <v>512</v>
      </c>
      <c r="C190">
        <v>2.04</v>
      </c>
      <c r="D190">
        <v>1047</v>
      </c>
      <c r="E190">
        <v>0</v>
      </c>
      <c r="F190">
        <v>0</v>
      </c>
      <c r="G190">
        <v>1047</v>
      </c>
      <c r="H190">
        <v>105</v>
      </c>
      <c r="I190">
        <v>0</v>
      </c>
      <c r="J190">
        <v>1151</v>
      </c>
      <c r="K190" t="s">
        <v>14</v>
      </c>
    </row>
    <row r="191" spans="1:11" x14ac:dyDescent="0.25">
      <c r="A191">
        <v>1998</v>
      </c>
      <c r="B191">
        <v>583</v>
      </c>
      <c r="C191">
        <v>1.81</v>
      </c>
      <c r="D191">
        <v>1058</v>
      </c>
      <c r="E191">
        <v>0</v>
      </c>
      <c r="F191">
        <v>0</v>
      </c>
      <c r="G191">
        <v>1058</v>
      </c>
      <c r="H191">
        <v>106</v>
      </c>
      <c r="I191">
        <v>0</v>
      </c>
      <c r="J191">
        <v>1163</v>
      </c>
      <c r="K191" t="s">
        <v>14</v>
      </c>
    </row>
    <row r="192" spans="1:11" x14ac:dyDescent="0.25">
      <c r="A192">
        <v>1999</v>
      </c>
      <c r="B192">
        <v>513</v>
      </c>
      <c r="C192">
        <v>2</v>
      </c>
      <c r="D192">
        <v>1025</v>
      </c>
      <c r="E192">
        <v>0</v>
      </c>
      <c r="F192">
        <v>0</v>
      </c>
      <c r="G192">
        <v>1025</v>
      </c>
      <c r="H192">
        <v>102</v>
      </c>
      <c r="I192">
        <v>0</v>
      </c>
      <c r="J192">
        <v>1127</v>
      </c>
      <c r="K192" t="s">
        <v>14</v>
      </c>
    </row>
    <row r="193" spans="1:11" x14ac:dyDescent="0.25">
      <c r="A193">
        <v>2000</v>
      </c>
      <c r="B193">
        <v>453</v>
      </c>
      <c r="C193">
        <v>2.2999999999999998</v>
      </c>
      <c r="D193">
        <v>1044</v>
      </c>
      <c r="E193">
        <v>0</v>
      </c>
      <c r="F193">
        <v>0</v>
      </c>
      <c r="G193">
        <v>1044</v>
      </c>
      <c r="H193">
        <v>104</v>
      </c>
      <c r="I193">
        <v>0</v>
      </c>
      <c r="J193">
        <v>1148</v>
      </c>
      <c r="K193" t="s">
        <v>14</v>
      </c>
    </row>
    <row r="194" spans="1:11" x14ac:dyDescent="0.25">
      <c r="A194">
        <v>2001</v>
      </c>
      <c r="B194">
        <v>487</v>
      </c>
      <c r="C194">
        <v>2.14</v>
      </c>
      <c r="D194">
        <v>1043</v>
      </c>
      <c r="E194">
        <v>0</v>
      </c>
      <c r="F194">
        <v>0</v>
      </c>
      <c r="G194">
        <v>1043</v>
      </c>
      <c r="H194">
        <v>104</v>
      </c>
      <c r="I194">
        <v>0</v>
      </c>
      <c r="J194">
        <v>1147</v>
      </c>
      <c r="K194" t="s">
        <v>14</v>
      </c>
    </row>
    <row r="195" spans="1:11" x14ac:dyDescent="0.25">
      <c r="A195">
        <v>2002</v>
      </c>
      <c r="B195">
        <v>533</v>
      </c>
      <c r="C195">
        <v>1.65</v>
      </c>
      <c r="D195">
        <v>879</v>
      </c>
      <c r="E195">
        <v>0</v>
      </c>
      <c r="F195">
        <v>0</v>
      </c>
      <c r="G195">
        <v>879</v>
      </c>
      <c r="H195">
        <v>88</v>
      </c>
      <c r="I195">
        <v>0</v>
      </c>
      <c r="J195">
        <v>967</v>
      </c>
      <c r="K195" t="s">
        <v>14</v>
      </c>
    </row>
    <row r="196" spans="1:11" x14ac:dyDescent="0.25">
      <c r="A196">
        <v>2003</v>
      </c>
      <c r="B196">
        <v>508</v>
      </c>
      <c r="C196">
        <v>2.2599999999999998</v>
      </c>
      <c r="D196">
        <v>1149</v>
      </c>
      <c r="E196">
        <v>0</v>
      </c>
      <c r="F196">
        <v>0</v>
      </c>
      <c r="G196">
        <v>1149</v>
      </c>
      <c r="H196">
        <v>115</v>
      </c>
      <c r="I196">
        <v>0</v>
      </c>
      <c r="J196">
        <v>1264</v>
      </c>
      <c r="K196" t="s">
        <v>14</v>
      </c>
    </row>
    <row r="197" spans="1:11" x14ac:dyDescent="0.25">
      <c r="A197">
        <v>2004</v>
      </c>
      <c r="B197">
        <v>549</v>
      </c>
      <c r="C197">
        <v>1.8</v>
      </c>
      <c r="D197">
        <v>989</v>
      </c>
      <c r="E197">
        <v>0</v>
      </c>
      <c r="F197">
        <v>0</v>
      </c>
      <c r="G197">
        <v>989</v>
      </c>
      <c r="H197">
        <v>99</v>
      </c>
      <c r="I197">
        <v>0</v>
      </c>
      <c r="J197">
        <v>1087</v>
      </c>
      <c r="K197" t="s">
        <v>14</v>
      </c>
    </row>
    <row r="198" spans="1:11" x14ac:dyDescent="0.25">
      <c r="A198">
        <v>2005</v>
      </c>
      <c r="B198">
        <v>690</v>
      </c>
      <c r="C198">
        <v>1.96</v>
      </c>
      <c r="D198">
        <v>1349</v>
      </c>
      <c r="E198">
        <v>0</v>
      </c>
      <c r="F198">
        <v>0</v>
      </c>
      <c r="G198">
        <v>1349</v>
      </c>
      <c r="H198">
        <v>135</v>
      </c>
      <c r="I198">
        <v>0</v>
      </c>
      <c r="J198">
        <v>1484</v>
      </c>
      <c r="K198" t="s">
        <v>14</v>
      </c>
    </row>
    <row r="199" spans="1:11" x14ac:dyDescent="0.25">
      <c r="A199">
        <v>2006</v>
      </c>
      <c r="B199">
        <v>479</v>
      </c>
      <c r="C199">
        <v>1.96</v>
      </c>
      <c r="D199">
        <v>939</v>
      </c>
      <c r="E199">
        <v>0</v>
      </c>
      <c r="F199">
        <v>0</v>
      </c>
      <c r="G199">
        <v>939</v>
      </c>
      <c r="H199">
        <v>94</v>
      </c>
      <c r="I199">
        <v>0</v>
      </c>
      <c r="J199">
        <v>1033</v>
      </c>
      <c r="K199" t="s">
        <v>14</v>
      </c>
    </row>
    <row r="200" spans="1:11" x14ac:dyDescent="0.25">
      <c r="A200">
        <v>2007</v>
      </c>
      <c r="B200">
        <v>650</v>
      </c>
      <c r="C200">
        <v>1.91</v>
      </c>
      <c r="D200">
        <v>1240</v>
      </c>
      <c r="E200">
        <v>0</v>
      </c>
      <c r="F200">
        <v>0</v>
      </c>
      <c r="G200">
        <v>1240</v>
      </c>
      <c r="H200">
        <v>124</v>
      </c>
      <c r="I200">
        <v>0</v>
      </c>
      <c r="J200">
        <v>1364</v>
      </c>
      <c r="K200" t="s">
        <v>14</v>
      </c>
    </row>
    <row r="201" spans="1:11" x14ac:dyDescent="0.25">
      <c r="A201">
        <v>2008</v>
      </c>
      <c r="B201">
        <v>655</v>
      </c>
      <c r="C201">
        <v>1.65</v>
      </c>
      <c r="D201">
        <v>1078</v>
      </c>
      <c r="E201">
        <v>0</v>
      </c>
      <c r="F201">
        <v>0</v>
      </c>
      <c r="G201">
        <v>1078</v>
      </c>
      <c r="H201">
        <v>108</v>
      </c>
      <c r="I201">
        <v>0</v>
      </c>
      <c r="J201">
        <v>1186</v>
      </c>
      <c r="K201" t="s">
        <v>14</v>
      </c>
    </row>
    <row r="202" spans="1:11" x14ac:dyDescent="0.25">
      <c r="A202">
        <v>2009</v>
      </c>
      <c r="B202">
        <v>449</v>
      </c>
      <c r="C202">
        <v>1.93</v>
      </c>
      <c r="D202">
        <v>866</v>
      </c>
      <c r="E202">
        <v>0</v>
      </c>
      <c r="F202">
        <v>0</v>
      </c>
      <c r="G202">
        <v>866</v>
      </c>
      <c r="H202">
        <v>87</v>
      </c>
      <c r="I202">
        <v>0</v>
      </c>
      <c r="J202">
        <v>952</v>
      </c>
      <c r="K202" t="s">
        <v>14</v>
      </c>
    </row>
    <row r="203" spans="1:11" x14ac:dyDescent="0.25">
      <c r="A203">
        <v>2010</v>
      </c>
      <c r="B203">
        <v>505</v>
      </c>
      <c r="C203">
        <v>2.0499999999999998</v>
      </c>
      <c r="D203">
        <v>1035</v>
      </c>
      <c r="E203">
        <v>0</v>
      </c>
      <c r="F203">
        <v>0</v>
      </c>
      <c r="G203">
        <v>1035</v>
      </c>
      <c r="H203">
        <v>104</v>
      </c>
      <c r="I203">
        <v>0</v>
      </c>
      <c r="J203">
        <v>1139</v>
      </c>
      <c r="K203" t="s">
        <v>14</v>
      </c>
    </row>
    <row r="204" spans="1:11" x14ac:dyDescent="0.25">
      <c r="A204">
        <v>2011</v>
      </c>
      <c r="B204">
        <v>454</v>
      </c>
      <c r="C204">
        <v>2.25</v>
      </c>
      <c r="D204">
        <v>1021</v>
      </c>
      <c r="E204">
        <v>0</v>
      </c>
      <c r="F204">
        <v>0</v>
      </c>
      <c r="G204">
        <v>1021</v>
      </c>
      <c r="H204">
        <v>102</v>
      </c>
      <c r="I204">
        <v>0</v>
      </c>
      <c r="J204">
        <v>1123</v>
      </c>
      <c r="K204" t="s">
        <v>14</v>
      </c>
    </row>
    <row r="205" spans="1:11" x14ac:dyDescent="0.25">
      <c r="A205">
        <v>2012</v>
      </c>
      <c r="B205">
        <v>461</v>
      </c>
      <c r="C205">
        <v>2.5299999999999998</v>
      </c>
      <c r="D205">
        <v>1167</v>
      </c>
      <c r="E205">
        <v>0</v>
      </c>
      <c r="F205">
        <v>0</v>
      </c>
      <c r="G205">
        <v>1167</v>
      </c>
      <c r="H205">
        <v>117</v>
      </c>
      <c r="I205">
        <v>0</v>
      </c>
      <c r="J205">
        <v>1283</v>
      </c>
      <c r="K205" t="s">
        <v>14</v>
      </c>
    </row>
    <row r="206" spans="1:11" x14ac:dyDescent="0.25">
      <c r="A206">
        <v>2013</v>
      </c>
      <c r="B206">
        <v>484</v>
      </c>
      <c r="C206">
        <v>1.72</v>
      </c>
      <c r="D206">
        <v>830</v>
      </c>
      <c r="E206">
        <v>0</v>
      </c>
      <c r="F206">
        <v>0</v>
      </c>
      <c r="G206">
        <v>830</v>
      </c>
      <c r="H206">
        <v>83</v>
      </c>
      <c r="I206">
        <v>0</v>
      </c>
      <c r="J206">
        <v>913</v>
      </c>
      <c r="K206" t="s">
        <v>14</v>
      </c>
    </row>
    <row r="207" spans="1:11" x14ac:dyDescent="0.25">
      <c r="A207">
        <v>2014</v>
      </c>
      <c r="B207">
        <v>415</v>
      </c>
      <c r="C207">
        <v>1.91</v>
      </c>
      <c r="D207">
        <v>791</v>
      </c>
      <c r="E207">
        <v>0</v>
      </c>
      <c r="F207">
        <v>0</v>
      </c>
      <c r="G207">
        <v>791</v>
      </c>
      <c r="H207">
        <v>75</v>
      </c>
      <c r="I207">
        <v>0</v>
      </c>
      <c r="J207">
        <v>867</v>
      </c>
      <c r="K207" t="s">
        <v>14</v>
      </c>
    </row>
    <row r="208" spans="1:11" x14ac:dyDescent="0.25">
      <c r="A208">
        <v>2015</v>
      </c>
      <c r="B208">
        <v>592</v>
      </c>
      <c r="C208">
        <v>2.0099999999999998</v>
      </c>
      <c r="D208">
        <v>1189</v>
      </c>
      <c r="E208">
        <v>0</v>
      </c>
      <c r="F208">
        <v>0</v>
      </c>
      <c r="G208">
        <v>1189</v>
      </c>
      <c r="H208">
        <v>112</v>
      </c>
      <c r="I208">
        <v>0</v>
      </c>
      <c r="J208">
        <v>1300</v>
      </c>
      <c r="K208" t="s">
        <v>14</v>
      </c>
    </row>
    <row r="209" spans="1:11" x14ac:dyDescent="0.25">
      <c r="A209">
        <v>2016</v>
      </c>
      <c r="B209">
        <v>600</v>
      </c>
      <c r="C209">
        <v>1.84</v>
      </c>
      <c r="D209">
        <v>1105</v>
      </c>
      <c r="E209">
        <v>0</v>
      </c>
      <c r="F209">
        <v>0</v>
      </c>
      <c r="G209">
        <v>1105</v>
      </c>
      <c r="H209">
        <v>105</v>
      </c>
      <c r="I209">
        <v>0</v>
      </c>
      <c r="J209">
        <v>1210</v>
      </c>
      <c r="K209" t="s">
        <v>14</v>
      </c>
    </row>
    <row r="210" spans="1:11" x14ac:dyDescent="0.25">
      <c r="A210">
        <v>2017</v>
      </c>
      <c r="B210">
        <v>655</v>
      </c>
      <c r="C210">
        <v>2.25</v>
      </c>
      <c r="D210">
        <v>1474</v>
      </c>
      <c r="E210">
        <v>0</v>
      </c>
      <c r="F210">
        <v>0</v>
      </c>
      <c r="G210">
        <v>1474</v>
      </c>
      <c r="H210">
        <v>138</v>
      </c>
      <c r="I210">
        <v>0</v>
      </c>
      <c r="J210">
        <v>1612</v>
      </c>
      <c r="K210" t="s">
        <v>14</v>
      </c>
    </row>
    <row r="211" spans="1:11" x14ac:dyDescent="0.25">
      <c r="A211">
        <v>2018</v>
      </c>
      <c r="B211">
        <v>513</v>
      </c>
      <c r="C211">
        <v>1.91</v>
      </c>
      <c r="D211">
        <v>981</v>
      </c>
      <c r="E211">
        <v>0</v>
      </c>
      <c r="F211">
        <v>0</v>
      </c>
      <c r="G211">
        <v>981</v>
      </c>
      <c r="H211">
        <v>89</v>
      </c>
      <c r="I211">
        <v>0</v>
      </c>
      <c r="J211">
        <v>1071</v>
      </c>
      <c r="K211" t="s">
        <v>14</v>
      </c>
    </row>
    <row r="212" spans="1:11" x14ac:dyDescent="0.25">
      <c r="A212">
        <v>2019</v>
      </c>
      <c r="B212">
        <v>628</v>
      </c>
      <c r="C212">
        <v>1.8</v>
      </c>
      <c r="D212">
        <v>1129</v>
      </c>
      <c r="E212">
        <v>0</v>
      </c>
      <c r="F212">
        <v>0</v>
      </c>
      <c r="G212">
        <v>1129</v>
      </c>
      <c r="H212">
        <v>103</v>
      </c>
      <c r="I212">
        <v>0</v>
      </c>
      <c r="J212">
        <v>1232</v>
      </c>
      <c r="K212" t="s">
        <v>14</v>
      </c>
    </row>
    <row r="213" spans="1:11" x14ac:dyDescent="0.25">
      <c r="A213">
        <v>2020</v>
      </c>
      <c r="B213">
        <v>677</v>
      </c>
      <c r="C213">
        <v>3.22</v>
      </c>
      <c r="D213">
        <v>2182</v>
      </c>
      <c r="E213">
        <v>0</v>
      </c>
      <c r="F213">
        <v>0</v>
      </c>
      <c r="G213">
        <v>2182</v>
      </c>
      <c r="H213">
        <v>198</v>
      </c>
      <c r="I213">
        <v>0</v>
      </c>
      <c r="J213">
        <v>2380</v>
      </c>
      <c r="K213" t="s">
        <v>14</v>
      </c>
    </row>
    <row r="214" spans="1:11" x14ac:dyDescent="0.25">
      <c r="A214">
        <v>1968</v>
      </c>
      <c r="B214">
        <v>56</v>
      </c>
      <c r="C214">
        <v>1.35</v>
      </c>
      <c r="D214">
        <v>76</v>
      </c>
      <c r="E214">
        <v>0</v>
      </c>
      <c r="F214">
        <v>0</v>
      </c>
      <c r="G214">
        <v>76</v>
      </c>
      <c r="H214">
        <v>8</v>
      </c>
      <c r="I214">
        <v>0</v>
      </c>
      <c r="J214">
        <v>83</v>
      </c>
      <c r="K214" t="s">
        <v>15</v>
      </c>
    </row>
    <row r="215" spans="1:11" x14ac:dyDescent="0.25">
      <c r="A215">
        <v>1969</v>
      </c>
      <c r="B215">
        <v>101</v>
      </c>
      <c r="C215">
        <v>1.44</v>
      </c>
      <c r="D215">
        <v>145</v>
      </c>
      <c r="E215">
        <v>0</v>
      </c>
      <c r="F215">
        <v>0</v>
      </c>
      <c r="G215">
        <v>145</v>
      </c>
      <c r="H215">
        <v>15</v>
      </c>
      <c r="I215">
        <v>0</v>
      </c>
      <c r="J215">
        <v>160</v>
      </c>
      <c r="K215" t="s">
        <v>15</v>
      </c>
    </row>
    <row r="216" spans="1:11" x14ac:dyDescent="0.25">
      <c r="A216">
        <v>1970</v>
      </c>
      <c r="B216">
        <v>73</v>
      </c>
      <c r="C216">
        <v>1.29</v>
      </c>
      <c r="D216">
        <v>94</v>
      </c>
      <c r="E216">
        <v>0</v>
      </c>
      <c r="F216">
        <v>0</v>
      </c>
      <c r="G216">
        <v>94</v>
      </c>
      <c r="H216">
        <v>9</v>
      </c>
      <c r="I216">
        <v>0</v>
      </c>
      <c r="J216">
        <v>104</v>
      </c>
      <c r="K216" t="s">
        <v>15</v>
      </c>
    </row>
    <row r="217" spans="1:11" x14ac:dyDescent="0.25">
      <c r="A217">
        <v>1971</v>
      </c>
      <c r="B217">
        <v>40</v>
      </c>
      <c r="C217">
        <v>1.33</v>
      </c>
      <c r="D217">
        <v>53</v>
      </c>
      <c r="E217">
        <v>0</v>
      </c>
      <c r="F217">
        <v>0</v>
      </c>
      <c r="G217">
        <v>53</v>
      </c>
      <c r="H217">
        <v>5</v>
      </c>
      <c r="I217">
        <v>0</v>
      </c>
      <c r="J217">
        <v>58</v>
      </c>
      <c r="K217" t="s">
        <v>15</v>
      </c>
    </row>
    <row r="218" spans="1:11" x14ac:dyDescent="0.25">
      <c r="A218">
        <v>1972</v>
      </c>
      <c r="B218">
        <v>46</v>
      </c>
      <c r="C218">
        <v>1.26</v>
      </c>
      <c r="D218">
        <v>58</v>
      </c>
      <c r="E218">
        <v>0</v>
      </c>
      <c r="F218">
        <v>0</v>
      </c>
      <c r="G218">
        <v>58</v>
      </c>
      <c r="H218">
        <v>6</v>
      </c>
      <c r="I218">
        <v>0</v>
      </c>
      <c r="J218">
        <v>64</v>
      </c>
      <c r="K218" t="s">
        <v>15</v>
      </c>
    </row>
    <row r="219" spans="1:11" x14ac:dyDescent="0.25">
      <c r="A219">
        <v>1973</v>
      </c>
      <c r="B219">
        <v>9</v>
      </c>
      <c r="C219">
        <v>1.51</v>
      </c>
      <c r="D219">
        <v>14</v>
      </c>
      <c r="E219">
        <v>0</v>
      </c>
      <c r="F219">
        <v>0</v>
      </c>
      <c r="G219">
        <v>14</v>
      </c>
      <c r="H219">
        <v>1</v>
      </c>
      <c r="I219">
        <v>0</v>
      </c>
      <c r="J219">
        <v>15</v>
      </c>
      <c r="K219" t="s">
        <v>15</v>
      </c>
    </row>
    <row r="220" spans="1:11" x14ac:dyDescent="0.25">
      <c r="A220">
        <v>1974</v>
      </c>
      <c r="B220">
        <v>53</v>
      </c>
      <c r="C220">
        <v>1.7</v>
      </c>
      <c r="D220">
        <v>90</v>
      </c>
      <c r="E220">
        <v>0</v>
      </c>
      <c r="F220">
        <v>0</v>
      </c>
      <c r="G220">
        <v>90</v>
      </c>
      <c r="H220">
        <v>9</v>
      </c>
      <c r="I220">
        <v>0</v>
      </c>
      <c r="J220">
        <v>99</v>
      </c>
      <c r="K220" t="s">
        <v>15</v>
      </c>
    </row>
    <row r="221" spans="1:11" x14ac:dyDescent="0.25">
      <c r="A221">
        <v>1975</v>
      </c>
      <c r="B221">
        <v>47</v>
      </c>
      <c r="C221">
        <v>1.1599999999999999</v>
      </c>
      <c r="D221">
        <v>55</v>
      </c>
      <c r="E221">
        <v>0</v>
      </c>
      <c r="F221">
        <v>0</v>
      </c>
      <c r="G221">
        <v>55</v>
      </c>
      <c r="H221">
        <v>5</v>
      </c>
      <c r="I221">
        <v>0</v>
      </c>
      <c r="J221">
        <v>60</v>
      </c>
      <c r="K221" t="s">
        <v>15</v>
      </c>
    </row>
    <row r="222" spans="1:11" x14ac:dyDescent="0.25">
      <c r="A222">
        <v>1976</v>
      </c>
      <c r="B222">
        <v>45</v>
      </c>
      <c r="C222">
        <v>1.33</v>
      </c>
      <c r="D222">
        <v>60</v>
      </c>
      <c r="E222">
        <v>0</v>
      </c>
      <c r="F222">
        <v>0</v>
      </c>
      <c r="G222">
        <v>60</v>
      </c>
      <c r="H222">
        <v>6</v>
      </c>
      <c r="I222">
        <v>0</v>
      </c>
      <c r="J222">
        <v>66</v>
      </c>
      <c r="K222" t="s">
        <v>15</v>
      </c>
    </row>
    <row r="223" spans="1:11" x14ac:dyDescent="0.25">
      <c r="A223">
        <v>1977</v>
      </c>
      <c r="B223">
        <v>46</v>
      </c>
      <c r="C223">
        <v>1.37</v>
      </c>
      <c r="D223">
        <v>63</v>
      </c>
      <c r="E223">
        <v>0</v>
      </c>
      <c r="F223">
        <v>0</v>
      </c>
      <c r="G223">
        <v>63</v>
      </c>
      <c r="H223">
        <v>6</v>
      </c>
      <c r="I223">
        <v>0</v>
      </c>
      <c r="J223">
        <v>69</v>
      </c>
      <c r="K223" t="s">
        <v>15</v>
      </c>
    </row>
    <row r="224" spans="1:11" x14ac:dyDescent="0.25">
      <c r="A224">
        <v>1978</v>
      </c>
      <c r="B224">
        <v>82</v>
      </c>
      <c r="C224">
        <v>1.52</v>
      </c>
      <c r="D224">
        <v>125</v>
      </c>
      <c r="E224">
        <v>0</v>
      </c>
      <c r="F224">
        <v>0</v>
      </c>
      <c r="G224">
        <v>125</v>
      </c>
      <c r="H224">
        <v>12</v>
      </c>
      <c r="I224">
        <v>0</v>
      </c>
      <c r="J224">
        <v>137</v>
      </c>
      <c r="K224" t="s">
        <v>15</v>
      </c>
    </row>
    <row r="225" spans="1:11" x14ac:dyDescent="0.25">
      <c r="A225">
        <v>1979</v>
      </c>
      <c r="B225">
        <v>40</v>
      </c>
      <c r="C225">
        <v>1.55</v>
      </c>
      <c r="D225">
        <v>62</v>
      </c>
      <c r="E225">
        <v>0</v>
      </c>
      <c r="F225">
        <v>0</v>
      </c>
      <c r="G225">
        <v>62</v>
      </c>
      <c r="H225">
        <v>6</v>
      </c>
      <c r="I225">
        <v>0</v>
      </c>
      <c r="J225">
        <v>68</v>
      </c>
      <c r="K225" t="s">
        <v>15</v>
      </c>
    </row>
    <row r="226" spans="1:11" x14ac:dyDescent="0.25">
      <c r="A226">
        <v>1980</v>
      </c>
      <c r="B226">
        <v>35</v>
      </c>
      <c r="C226">
        <v>1.52</v>
      </c>
      <c r="D226">
        <v>53</v>
      </c>
      <c r="E226">
        <v>0</v>
      </c>
      <c r="F226">
        <v>0</v>
      </c>
      <c r="G226">
        <v>53</v>
      </c>
      <c r="H226">
        <v>5</v>
      </c>
      <c r="I226">
        <v>0</v>
      </c>
      <c r="J226">
        <v>58</v>
      </c>
      <c r="K226" t="s">
        <v>15</v>
      </c>
    </row>
    <row r="227" spans="1:11" x14ac:dyDescent="0.25">
      <c r="A227">
        <v>1981</v>
      </c>
      <c r="B227">
        <v>40</v>
      </c>
      <c r="C227">
        <v>1.32</v>
      </c>
      <c r="D227">
        <v>53</v>
      </c>
      <c r="E227">
        <v>0</v>
      </c>
      <c r="F227">
        <v>0</v>
      </c>
      <c r="G227">
        <v>53</v>
      </c>
      <c r="H227">
        <v>5</v>
      </c>
      <c r="I227">
        <v>0</v>
      </c>
      <c r="J227">
        <v>58</v>
      </c>
      <c r="K227" t="s">
        <v>15</v>
      </c>
    </row>
    <row r="228" spans="1:11" x14ac:dyDescent="0.25">
      <c r="A228">
        <v>1982</v>
      </c>
      <c r="B228">
        <v>29</v>
      </c>
      <c r="C228">
        <v>1.29</v>
      </c>
      <c r="D228">
        <v>38</v>
      </c>
      <c r="E228">
        <v>0</v>
      </c>
      <c r="F228">
        <v>0</v>
      </c>
      <c r="G228">
        <v>38</v>
      </c>
      <c r="H228">
        <v>4</v>
      </c>
      <c r="I228">
        <v>0</v>
      </c>
      <c r="J228">
        <v>41</v>
      </c>
      <c r="K228" t="s">
        <v>15</v>
      </c>
    </row>
    <row r="229" spans="1:11" x14ac:dyDescent="0.25">
      <c r="A229">
        <v>1983</v>
      </c>
      <c r="B229">
        <v>91</v>
      </c>
      <c r="C229">
        <v>1.26</v>
      </c>
      <c r="D229">
        <v>115</v>
      </c>
      <c r="E229">
        <v>0</v>
      </c>
      <c r="F229">
        <v>0</v>
      </c>
      <c r="G229">
        <v>115</v>
      </c>
      <c r="H229">
        <v>11</v>
      </c>
      <c r="I229">
        <v>0</v>
      </c>
      <c r="J229">
        <v>126</v>
      </c>
      <c r="K229" t="s">
        <v>15</v>
      </c>
    </row>
    <row r="230" spans="1:11" x14ac:dyDescent="0.25">
      <c r="A230">
        <v>1984</v>
      </c>
      <c r="B230">
        <v>76</v>
      </c>
      <c r="C230">
        <v>1.43</v>
      </c>
      <c r="D230">
        <v>108</v>
      </c>
      <c r="E230">
        <v>0</v>
      </c>
      <c r="F230">
        <v>0</v>
      </c>
      <c r="G230">
        <v>108</v>
      </c>
      <c r="H230">
        <v>11</v>
      </c>
      <c r="I230">
        <v>0</v>
      </c>
      <c r="J230">
        <v>119</v>
      </c>
      <c r="K230" t="s">
        <v>15</v>
      </c>
    </row>
    <row r="231" spans="1:11" x14ac:dyDescent="0.25">
      <c r="A231">
        <v>1985</v>
      </c>
      <c r="B231">
        <v>24</v>
      </c>
      <c r="C231">
        <v>1.37</v>
      </c>
      <c r="D231">
        <v>32</v>
      </c>
      <c r="E231">
        <v>0</v>
      </c>
      <c r="F231">
        <v>0</v>
      </c>
      <c r="G231">
        <v>32</v>
      </c>
      <c r="H231">
        <v>3</v>
      </c>
      <c r="I231">
        <v>0</v>
      </c>
      <c r="J231">
        <v>35</v>
      </c>
      <c r="K231" t="s">
        <v>15</v>
      </c>
    </row>
    <row r="232" spans="1:11" x14ac:dyDescent="0.25">
      <c r="A232">
        <v>1986</v>
      </c>
      <c r="B232">
        <v>44</v>
      </c>
      <c r="C232">
        <v>1.2</v>
      </c>
      <c r="D232">
        <v>53</v>
      </c>
      <c r="E232">
        <v>0</v>
      </c>
      <c r="F232">
        <v>0</v>
      </c>
      <c r="G232">
        <v>53</v>
      </c>
      <c r="H232">
        <v>5</v>
      </c>
      <c r="I232">
        <v>0</v>
      </c>
      <c r="J232">
        <v>58</v>
      </c>
      <c r="K232" t="s">
        <v>15</v>
      </c>
    </row>
    <row r="233" spans="1:11" x14ac:dyDescent="0.25">
      <c r="A233">
        <v>1987</v>
      </c>
      <c r="B233">
        <v>56</v>
      </c>
      <c r="C233">
        <v>1.2</v>
      </c>
      <c r="D233">
        <v>67</v>
      </c>
      <c r="E233">
        <v>0</v>
      </c>
      <c r="F233">
        <v>0</v>
      </c>
      <c r="G233">
        <v>67</v>
      </c>
      <c r="H233">
        <v>7</v>
      </c>
      <c r="I233">
        <v>0</v>
      </c>
      <c r="J233">
        <v>74</v>
      </c>
      <c r="K233" t="s">
        <v>15</v>
      </c>
    </row>
    <row r="234" spans="1:11" x14ac:dyDescent="0.25">
      <c r="A234">
        <v>1988</v>
      </c>
      <c r="B234">
        <v>39</v>
      </c>
      <c r="C234">
        <v>0.88</v>
      </c>
      <c r="D234">
        <v>34</v>
      </c>
      <c r="E234">
        <v>0</v>
      </c>
      <c r="F234">
        <v>0</v>
      </c>
      <c r="G234">
        <v>34</v>
      </c>
      <c r="H234">
        <v>3</v>
      </c>
      <c r="I234">
        <v>0</v>
      </c>
      <c r="J234">
        <v>38</v>
      </c>
      <c r="K234" t="s">
        <v>15</v>
      </c>
    </row>
    <row r="235" spans="1:11" x14ac:dyDescent="0.25">
      <c r="A235">
        <v>1989</v>
      </c>
      <c r="B235">
        <v>45</v>
      </c>
      <c r="C235">
        <v>1.54</v>
      </c>
      <c r="D235">
        <v>69</v>
      </c>
      <c r="E235">
        <v>0</v>
      </c>
      <c r="F235">
        <v>0</v>
      </c>
      <c r="G235">
        <v>69</v>
      </c>
      <c r="H235">
        <v>7</v>
      </c>
      <c r="I235">
        <v>0</v>
      </c>
      <c r="J235">
        <v>76</v>
      </c>
      <c r="K235" t="s">
        <v>15</v>
      </c>
    </row>
    <row r="236" spans="1:11" x14ac:dyDescent="0.25">
      <c r="A236">
        <v>1990</v>
      </c>
      <c r="B236">
        <v>53</v>
      </c>
      <c r="C236">
        <v>1.44</v>
      </c>
      <c r="D236">
        <v>76</v>
      </c>
      <c r="E236">
        <v>0</v>
      </c>
      <c r="F236">
        <v>0</v>
      </c>
      <c r="G236">
        <v>76</v>
      </c>
      <c r="H236">
        <v>8</v>
      </c>
      <c r="I236">
        <v>0</v>
      </c>
      <c r="J236">
        <v>84</v>
      </c>
      <c r="K236" t="s">
        <v>15</v>
      </c>
    </row>
    <row r="237" spans="1:11" x14ac:dyDescent="0.25">
      <c r="A237">
        <v>1991</v>
      </c>
      <c r="B237">
        <v>49</v>
      </c>
      <c r="C237">
        <v>1.24</v>
      </c>
      <c r="D237">
        <v>61</v>
      </c>
      <c r="E237">
        <v>0</v>
      </c>
      <c r="F237">
        <v>0</v>
      </c>
      <c r="G237">
        <v>61</v>
      </c>
      <c r="H237">
        <v>6</v>
      </c>
      <c r="I237">
        <v>0</v>
      </c>
      <c r="J237">
        <v>67</v>
      </c>
      <c r="K237" t="s">
        <v>15</v>
      </c>
    </row>
    <row r="238" spans="1:11" x14ac:dyDescent="0.25">
      <c r="A238">
        <v>1992</v>
      </c>
      <c r="B238">
        <v>29</v>
      </c>
      <c r="C238">
        <v>1.37</v>
      </c>
      <c r="D238">
        <v>40</v>
      </c>
      <c r="E238">
        <v>0</v>
      </c>
      <c r="F238">
        <v>0</v>
      </c>
      <c r="G238">
        <v>40</v>
      </c>
      <c r="H238">
        <v>4</v>
      </c>
      <c r="I238">
        <v>0</v>
      </c>
      <c r="J238">
        <v>44</v>
      </c>
      <c r="K238" t="s">
        <v>15</v>
      </c>
    </row>
    <row r="239" spans="1:11" x14ac:dyDescent="0.25">
      <c r="A239">
        <v>1993</v>
      </c>
      <c r="B239">
        <v>43</v>
      </c>
      <c r="C239">
        <v>1.41</v>
      </c>
      <c r="D239">
        <v>61</v>
      </c>
      <c r="E239">
        <v>0</v>
      </c>
      <c r="F239">
        <v>0</v>
      </c>
      <c r="G239">
        <v>61</v>
      </c>
      <c r="H239">
        <v>6</v>
      </c>
      <c r="I239">
        <v>0</v>
      </c>
      <c r="J239">
        <v>67</v>
      </c>
      <c r="K239" t="s">
        <v>15</v>
      </c>
    </row>
    <row r="240" spans="1:11" x14ac:dyDescent="0.25">
      <c r="A240">
        <v>1994</v>
      </c>
      <c r="B240">
        <v>43</v>
      </c>
      <c r="C240">
        <v>1.62</v>
      </c>
      <c r="D240">
        <v>70</v>
      </c>
      <c r="E240">
        <v>0</v>
      </c>
      <c r="F240">
        <v>0</v>
      </c>
      <c r="G240">
        <v>70</v>
      </c>
      <c r="H240">
        <v>7</v>
      </c>
      <c r="I240">
        <v>0</v>
      </c>
      <c r="J240">
        <v>77</v>
      </c>
      <c r="K240" t="s">
        <v>15</v>
      </c>
    </row>
    <row r="241" spans="1:11" x14ac:dyDescent="0.25">
      <c r="A241">
        <v>1995</v>
      </c>
      <c r="B241">
        <v>21</v>
      </c>
      <c r="C241">
        <v>1.48</v>
      </c>
      <c r="D241">
        <v>31</v>
      </c>
      <c r="E241">
        <v>0</v>
      </c>
      <c r="F241">
        <v>0</v>
      </c>
      <c r="G241">
        <v>31</v>
      </c>
      <c r="H241">
        <v>3</v>
      </c>
      <c r="I241">
        <v>0</v>
      </c>
      <c r="J241">
        <v>34</v>
      </c>
      <c r="K241" t="s">
        <v>15</v>
      </c>
    </row>
    <row r="242" spans="1:11" x14ac:dyDescent="0.25">
      <c r="A242">
        <v>1996</v>
      </c>
      <c r="B242">
        <v>45</v>
      </c>
      <c r="C242">
        <v>1.35</v>
      </c>
      <c r="D242">
        <v>61</v>
      </c>
      <c r="E242">
        <v>0</v>
      </c>
      <c r="F242">
        <v>0</v>
      </c>
      <c r="G242">
        <v>61</v>
      </c>
      <c r="H242">
        <v>6</v>
      </c>
      <c r="I242">
        <v>0</v>
      </c>
      <c r="J242">
        <v>67</v>
      </c>
      <c r="K242" t="s">
        <v>15</v>
      </c>
    </row>
    <row r="243" spans="1:11" x14ac:dyDescent="0.25">
      <c r="A243">
        <v>1997</v>
      </c>
      <c r="B243">
        <v>62</v>
      </c>
      <c r="C243">
        <v>1.41</v>
      </c>
      <c r="D243">
        <v>88</v>
      </c>
      <c r="E243">
        <v>0</v>
      </c>
      <c r="F243">
        <v>0</v>
      </c>
      <c r="G243">
        <v>88</v>
      </c>
      <c r="H243">
        <v>9</v>
      </c>
      <c r="I243">
        <v>0</v>
      </c>
      <c r="J243">
        <v>96</v>
      </c>
      <c r="K243" t="s">
        <v>15</v>
      </c>
    </row>
    <row r="244" spans="1:11" x14ac:dyDescent="0.25">
      <c r="A244">
        <v>1998</v>
      </c>
      <c r="B244">
        <v>68</v>
      </c>
      <c r="C244">
        <v>1.29</v>
      </c>
      <c r="D244">
        <v>87</v>
      </c>
      <c r="E244">
        <v>0</v>
      </c>
      <c r="F244">
        <v>0</v>
      </c>
      <c r="G244">
        <v>87</v>
      </c>
      <c r="H244">
        <v>9</v>
      </c>
      <c r="I244">
        <v>0</v>
      </c>
      <c r="J244">
        <v>96</v>
      </c>
      <c r="K244" t="s">
        <v>15</v>
      </c>
    </row>
    <row r="245" spans="1:11" x14ac:dyDescent="0.25">
      <c r="A245">
        <v>1999</v>
      </c>
      <c r="B245">
        <v>63</v>
      </c>
      <c r="C245">
        <v>1.52</v>
      </c>
      <c r="D245">
        <v>95</v>
      </c>
      <c r="E245">
        <v>0</v>
      </c>
      <c r="F245">
        <v>0</v>
      </c>
      <c r="G245">
        <v>95</v>
      </c>
      <c r="H245">
        <v>10</v>
      </c>
      <c r="I245">
        <v>0</v>
      </c>
      <c r="J245">
        <v>105</v>
      </c>
      <c r="K245" t="s">
        <v>15</v>
      </c>
    </row>
    <row r="246" spans="1:11" x14ac:dyDescent="0.25">
      <c r="A246">
        <v>2000</v>
      </c>
      <c r="B246">
        <v>75</v>
      </c>
      <c r="C246">
        <v>1.63</v>
      </c>
      <c r="D246">
        <v>122</v>
      </c>
      <c r="E246">
        <v>0</v>
      </c>
      <c r="F246">
        <v>0</v>
      </c>
      <c r="G246">
        <v>122</v>
      </c>
      <c r="H246">
        <v>12</v>
      </c>
      <c r="I246">
        <v>0</v>
      </c>
      <c r="J246">
        <v>134</v>
      </c>
      <c r="K246" t="s">
        <v>15</v>
      </c>
    </row>
    <row r="247" spans="1:11" x14ac:dyDescent="0.25">
      <c r="A247">
        <v>2001</v>
      </c>
      <c r="B247">
        <v>74</v>
      </c>
      <c r="C247">
        <v>1.82</v>
      </c>
      <c r="D247">
        <v>135</v>
      </c>
      <c r="E247">
        <v>0</v>
      </c>
      <c r="F247">
        <v>0</v>
      </c>
      <c r="G247">
        <v>135</v>
      </c>
      <c r="H247">
        <v>13</v>
      </c>
      <c r="I247">
        <v>0</v>
      </c>
      <c r="J247">
        <v>148</v>
      </c>
      <c r="K247" t="s">
        <v>15</v>
      </c>
    </row>
    <row r="248" spans="1:11" x14ac:dyDescent="0.25">
      <c r="A248">
        <v>2002</v>
      </c>
      <c r="B248">
        <v>62</v>
      </c>
      <c r="C248">
        <v>1.66</v>
      </c>
      <c r="D248">
        <v>102</v>
      </c>
      <c r="E248">
        <v>0</v>
      </c>
      <c r="F248">
        <v>0</v>
      </c>
      <c r="G248">
        <v>102</v>
      </c>
      <c r="H248">
        <v>10</v>
      </c>
      <c r="I248">
        <v>0</v>
      </c>
      <c r="J248">
        <v>113</v>
      </c>
      <c r="K248" t="s">
        <v>15</v>
      </c>
    </row>
    <row r="249" spans="1:11" x14ac:dyDescent="0.25">
      <c r="A249">
        <v>2003</v>
      </c>
      <c r="B249">
        <v>75</v>
      </c>
      <c r="C249">
        <v>1.78</v>
      </c>
      <c r="D249">
        <v>134</v>
      </c>
      <c r="E249">
        <v>0</v>
      </c>
      <c r="F249">
        <v>0</v>
      </c>
      <c r="G249">
        <v>134</v>
      </c>
      <c r="H249">
        <v>13</v>
      </c>
      <c r="I249">
        <v>0</v>
      </c>
      <c r="J249">
        <v>148</v>
      </c>
      <c r="K249" t="s">
        <v>15</v>
      </c>
    </row>
    <row r="250" spans="1:11" x14ac:dyDescent="0.25">
      <c r="A250">
        <v>2004</v>
      </c>
      <c r="B250">
        <v>44</v>
      </c>
      <c r="C250">
        <v>1.33</v>
      </c>
      <c r="D250">
        <v>58</v>
      </c>
      <c r="E250">
        <v>0</v>
      </c>
      <c r="F250">
        <v>0</v>
      </c>
      <c r="G250">
        <v>58</v>
      </c>
      <c r="H250">
        <v>6</v>
      </c>
      <c r="I250">
        <v>0</v>
      </c>
      <c r="J250">
        <v>64</v>
      </c>
      <c r="K250" t="s">
        <v>15</v>
      </c>
    </row>
    <row r="251" spans="1:11" x14ac:dyDescent="0.25">
      <c r="A251">
        <v>2005</v>
      </c>
      <c r="B251">
        <v>41</v>
      </c>
      <c r="C251">
        <v>1.88</v>
      </c>
      <c r="D251">
        <v>78</v>
      </c>
      <c r="E251">
        <v>0</v>
      </c>
      <c r="F251">
        <v>0</v>
      </c>
      <c r="G251">
        <v>78</v>
      </c>
      <c r="H251">
        <v>8</v>
      </c>
      <c r="I251">
        <v>0</v>
      </c>
      <c r="J251">
        <v>86</v>
      </c>
      <c r="K251" t="s">
        <v>15</v>
      </c>
    </row>
    <row r="252" spans="1:11" x14ac:dyDescent="0.25">
      <c r="A252">
        <v>2006</v>
      </c>
      <c r="B252">
        <v>37</v>
      </c>
      <c r="C252">
        <v>1.44</v>
      </c>
      <c r="D252">
        <v>52</v>
      </c>
      <c r="E252">
        <v>0</v>
      </c>
      <c r="F252">
        <v>0</v>
      </c>
      <c r="G252">
        <v>52</v>
      </c>
      <c r="H252">
        <v>5</v>
      </c>
      <c r="I252">
        <v>0</v>
      </c>
      <c r="J252">
        <v>58</v>
      </c>
      <c r="K252" t="s">
        <v>15</v>
      </c>
    </row>
    <row r="253" spans="1:11" x14ac:dyDescent="0.25">
      <c r="A253">
        <v>2007</v>
      </c>
      <c r="B253">
        <v>64</v>
      </c>
      <c r="C253">
        <v>1.02</v>
      </c>
      <c r="D253">
        <v>65</v>
      </c>
      <c r="E253">
        <v>0</v>
      </c>
      <c r="F253">
        <v>0</v>
      </c>
      <c r="G253">
        <v>65</v>
      </c>
      <c r="H253">
        <v>7</v>
      </c>
      <c r="I253">
        <v>0</v>
      </c>
      <c r="J253">
        <v>72</v>
      </c>
      <c r="K253" t="s">
        <v>15</v>
      </c>
    </row>
    <row r="254" spans="1:11" x14ac:dyDescent="0.25">
      <c r="A254">
        <v>2008</v>
      </c>
      <c r="B254">
        <v>87</v>
      </c>
      <c r="C254">
        <v>1.42</v>
      </c>
      <c r="D254">
        <v>123</v>
      </c>
      <c r="E254">
        <v>0</v>
      </c>
      <c r="F254">
        <v>0</v>
      </c>
      <c r="G254">
        <v>123</v>
      </c>
      <c r="H254">
        <v>12</v>
      </c>
      <c r="I254">
        <v>0</v>
      </c>
      <c r="J254">
        <v>135</v>
      </c>
      <c r="K254" t="s">
        <v>15</v>
      </c>
    </row>
    <row r="255" spans="1:11" x14ac:dyDescent="0.25">
      <c r="A255">
        <v>2009</v>
      </c>
      <c r="B255">
        <v>39</v>
      </c>
      <c r="C255">
        <v>1.81</v>
      </c>
      <c r="D255">
        <v>70</v>
      </c>
      <c r="E255">
        <v>0</v>
      </c>
      <c r="F255">
        <v>0</v>
      </c>
      <c r="G255">
        <v>70</v>
      </c>
      <c r="H255">
        <v>7</v>
      </c>
      <c r="I255">
        <v>0</v>
      </c>
      <c r="J255">
        <v>77</v>
      </c>
      <c r="K255" t="s">
        <v>15</v>
      </c>
    </row>
    <row r="256" spans="1:11" x14ac:dyDescent="0.25">
      <c r="A256">
        <v>2010</v>
      </c>
      <c r="B256">
        <v>37</v>
      </c>
      <c r="C256">
        <v>1.56</v>
      </c>
      <c r="D256">
        <v>57</v>
      </c>
      <c r="E256">
        <v>0</v>
      </c>
      <c r="F256">
        <v>0</v>
      </c>
      <c r="G256">
        <v>57</v>
      </c>
      <c r="H256">
        <v>6</v>
      </c>
      <c r="I256">
        <v>0</v>
      </c>
      <c r="J256">
        <v>63</v>
      </c>
      <c r="K256" t="s">
        <v>15</v>
      </c>
    </row>
    <row r="257" spans="1:11" x14ac:dyDescent="0.25">
      <c r="A257">
        <v>2011</v>
      </c>
      <c r="B257">
        <v>37</v>
      </c>
      <c r="C257">
        <v>1.75</v>
      </c>
      <c r="D257">
        <v>65</v>
      </c>
      <c r="E257">
        <v>0</v>
      </c>
      <c r="F257">
        <v>0</v>
      </c>
      <c r="G257">
        <v>65</v>
      </c>
      <c r="H257">
        <v>7</v>
      </c>
      <c r="I257">
        <v>0</v>
      </c>
      <c r="J257">
        <v>72</v>
      </c>
      <c r="K257" t="s">
        <v>15</v>
      </c>
    </row>
    <row r="258" spans="1:11" x14ac:dyDescent="0.25">
      <c r="A258">
        <v>2012</v>
      </c>
      <c r="B258">
        <v>32</v>
      </c>
      <c r="C258">
        <v>1.93</v>
      </c>
      <c r="D258">
        <v>61</v>
      </c>
      <c r="E258">
        <v>0</v>
      </c>
      <c r="F258">
        <v>0</v>
      </c>
      <c r="G258">
        <v>61</v>
      </c>
      <c r="H258">
        <v>6</v>
      </c>
      <c r="I258">
        <v>0</v>
      </c>
      <c r="J258">
        <v>67</v>
      </c>
      <c r="K258" t="s">
        <v>15</v>
      </c>
    </row>
    <row r="259" spans="1:11" x14ac:dyDescent="0.25">
      <c r="A259">
        <v>2013</v>
      </c>
      <c r="B259">
        <v>38</v>
      </c>
      <c r="C259">
        <v>1.51</v>
      </c>
      <c r="D259">
        <v>57</v>
      </c>
      <c r="E259">
        <v>0</v>
      </c>
      <c r="F259">
        <v>0</v>
      </c>
      <c r="G259">
        <v>57</v>
      </c>
      <c r="H259">
        <v>6</v>
      </c>
      <c r="I259">
        <v>0</v>
      </c>
      <c r="J259">
        <v>62</v>
      </c>
      <c r="K259" t="s">
        <v>15</v>
      </c>
    </row>
    <row r="260" spans="1:11" x14ac:dyDescent="0.25">
      <c r="A260">
        <v>2014</v>
      </c>
      <c r="B260">
        <v>55</v>
      </c>
      <c r="C260">
        <v>1.43</v>
      </c>
      <c r="D260">
        <v>79</v>
      </c>
      <c r="E260">
        <v>0</v>
      </c>
      <c r="F260">
        <v>0</v>
      </c>
      <c r="G260">
        <v>79</v>
      </c>
      <c r="H260">
        <v>8</v>
      </c>
      <c r="I260">
        <v>0</v>
      </c>
      <c r="J260">
        <v>86</v>
      </c>
      <c r="K260" t="s">
        <v>15</v>
      </c>
    </row>
    <row r="261" spans="1:11" x14ac:dyDescent="0.25">
      <c r="A261">
        <v>2015</v>
      </c>
      <c r="B261">
        <v>60</v>
      </c>
      <c r="C261">
        <v>1.25</v>
      </c>
      <c r="D261">
        <v>75</v>
      </c>
      <c r="E261">
        <v>0</v>
      </c>
      <c r="F261">
        <v>0</v>
      </c>
      <c r="G261">
        <v>75</v>
      </c>
      <c r="H261">
        <v>7</v>
      </c>
      <c r="I261">
        <v>0</v>
      </c>
      <c r="J261">
        <v>82</v>
      </c>
      <c r="K261" t="s">
        <v>15</v>
      </c>
    </row>
    <row r="262" spans="1:11" x14ac:dyDescent="0.25">
      <c r="A262">
        <v>2016</v>
      </c>
      <c r="B262">
        <v>62</v>
      </c>
      <c r="C262">
        <v>1.46</v>
      </c>
      <c r="D262">
        <v>91</v>
      </c>
      <c r="E262">
        <v>0</v>
      </c>
      <c r="F262">
        <v>0</v>
      </c>
      <c r="G262">
        <v>91</v>
      </c>
      <c r="H262">
        <v>8</v>
      </c>
      <c r="I262">
        <v>0</v>
      </c>
      <c r="J262">
        <v>99</v>
      </c>
      <c r="K262" t="s">
        <v>15</v>
      </c>
    </row>
    <row r="263" spans="1:11" x14ac:dyDescent="0.25">
      <c r="A263">
        <v>2017</v>
      </c>
      <c r="B263">
        <v>68</v>
      </c>
      <c r="C263">
        <v>1.7</v>
      </c>
      <c r="D263">
        <v>115</v>
      </c>
      <c r="E263">
        <v>0</v>
      </c>
      <c r="F263">
        <v>0</v>
      </c>
      <c r="G263">
        <v>115</v>
      </c>
      <c r="H263">
        <v>9</v>
      </c>
      <c r="I263">
        <v>0</v>
      </c>
      <c r="J263">
        <v>125</v>
      </c>
      <c r="K263" t="s">
        <v>15</v>
      </c>
    </row>
    <row r="264" spans="1:11" x14ac:dyDescent="0.25">
      <c r="A264">
        <v>2018</v>
      </c>
      <c r="B264">
        <v>63</v>
      </c>
      <c r="C264">
        <v>1.58</v>
      </c>
      <c r="D264">
        <v>100</v>
      </c>
      <c r="E264">
        <v>0</v>
      </c>
      <c r="F264">
        <v>0</v>
      </c>
      <c r="G264">
        <v>100</v>
      </c>
      <c r="H264">
        <v>8</v>
      </c>
      <c r="I264">
        <v>0</v>
      </c>
      <c r="J264">
        <v>108</v>
      </c>
      <c r="K264" t="s">
        <v>15</v>
      </c>
    </row>
    <row r="265" spans="1:11" x14ac:dyDescent="0.25">
      <c r="A265">
        <v>2019</v>
      </c>
      <c r="B265">
        <v>90</v>
      </c>
      <c r="C265">
        <v>1.46</v>
      </c>
      <c r="D265">
        <v>132</v>
      </c>
      <c r="E265">
        <v>0</v>
      </c>
      <c r="F265">
        <v>0</v>
      </c>
      <c r="G265">
        <v>132</v>
      </c>
      <c r="H265">
        <v>11</v>
      </c>
      <c r="I265">
        <v>0</v>
      </c>
      <c r="J265">
        <v>143</v>
      </c>
      <c r="K265" t="s">
        <v>15</v>
      </c>
    </row>
    <row r="266" spans="1:11" x14ac:dyDescent="0.25">
      <c r="A266">
        <v>2020</v>
      </c>
      <c r="B266">
        <v>62</v>
      </c>
      <c r="C266">
        <v>2.84</v>
      </c>
      <c r="D266">
        <v>175</v>
      </c>
      <c r="E266">
        <v>0</v>
      </c>
      <c r="F266">
        <v>0</v>
      </c>
      <c r="G266">
        <v>175</v>
      </c>
      <c r="H266">
        <v>14</v>
      </c>
      <c r="I266">
        <v>0</v>
      </c>
      <c r="J266">
        <v>189</v>
      </c>
      <c r="K266" t="s">
        <v>15</v>
      </c>
    </row>
    <row r="267" spans="1:11" x14ac:dyDescent="0.25">
      <c r="A267">
        <v>1968</v>
      </c>
      <c r="B267">
        <v>2336</v>
      </c>
      <c r="C267">
        <v>1.8</v>
      </c>
      <c r="D267">
        <v>4201</v>
      </c>
      <c r="E267">
        <v>0</v>
      </c>
      <c r="F267">
        <v>0</v>
      </c>
      <c r="G267">
        <v>4201</v>
      </c>
      <c r="H267">
        <v>420</v>
      </c>
      <c r="I267">
        <v>0</v>
      </c>
      <c r="J267">
        <v>4621</v>
      </c>
      <c r="K267" t="s">
        <v>16</v>
      </c>
    </row>
    <row r="268" spans="1:11" x14ac:dyDescent="0.25">
      <c r="A268">
        <v>1969</v>
      </c>
      <c r="B268">
        <v>2306</v>
      </c>
      <c r="C268">
        <v>1.62</v>
      </c>
      <c r="D268">
        <v>3729</v>
      </c>
      <c r="E268">
        <v>0</v>
      </c>
      <c r="F268">
        <v>0</v>
      </c>
      <c r="G268">
        <v>3729</v>
      </c>
      <c r="H268">
        <v>373</v>
      </c>
      <c r="I268">
        <v>0</v>
      </c>
      <c r="J268">
        <v>4102</v>
      </c>
      <c r="K268" t="s">
        <v>16</v>
      </c>
    </row>
    <row r="269" spans="1:11" x14ac:dyDescent="0.25">
      <c r="A269">
        <v>1970</v>
      </c>
      <c r="B269">
        <v>2317</v>
      </c>
      <c r="C269">
        <v>1.75</v>
      </c>
      <c r="D269">
        <v>4060</v>
      </c>
      <c r="E269">
        <v>0</v>
      </c>
      <c r="F269">
        <v>0</v>
      </c>
      <c r="G269">
        <v>4060</v>
      </c>
      <c r="H269">
        <v>406</v>
      </c>
      <c r="I269">
        <v>0</v>
      </c>
      <c r="J269">
        <v>4466</v>
      </c>
      <c r="K269" t="s">
        <v>16</v>
      </c>
    </row>
    <row r="270" spans="1:11" x14ac:dyDescent="0.25">
      <c r="A270">
        <v>1971</v>
      </c>
      <c r="B270">
        <v>1894</v>
      </c>
      <c r="C270">
        <v>1.69</v>
      </c>
      <c r="D270">
        <v>3202</v>
      </c>
      <c r="E270">
        <v>0</v>
      </c>
      <c r="F270">
        <v>0</v>
      </c>
      <c r="G270">
        <v>3202</v>
      </c>
      <c r="H270">
        <v>320</v>
      </c>
      <c r="I270">
        <v>0</v>
      </c>
      <c r="J270">
        <v>3522</v>
      </c>
      <c r="K270" t="s">
        <v>16</v>
      </c>
    </row>
    <row r="271" spans="1:11" x14ac:dyDescent="0.25">
      <c r="A271">
        <v>1972</v>
      </c>
      <c r="B271">
        <v>2059</v>
      </c>
      <c r="C271">
        <v>1.61</v>
      </c>
      <c r="D271">
        <v>3320</v>
      </c>
      <c r="E271">
        <v>0</v>
      </c>
      <c r="F271">
        <v>0</v>
      </c>
      <c r="G271">
        <v>3320</v>
      </c>
      <c r="H271">
        <v>332</v>
      </c>
      <c r="I271">
        <v>0</v>
      </c>
      <c r="J271">
        <v>3652</v>
      </c>
      <c r="K271" t="s">
        <v>16</v>
      </c>
    </row>
    <row r="272" spans="1:11" x14ac:dyDescent="0.25">
      <c r="A272">
        <v>1973</v>
      </c>
      <c r="B272">
        <v>1947</v>
      </c>
      <c r="C272">
        <v>1.78</v>
      </c>
      <c r="D272">
        <v>3467</v>
      </c>
      <c r="E272">
        <v>0</v>
      </c>
      <c r="F272">
        <v>0</v>
      </c>
      <c r="G272">
        <v>3467</v>
      </c>
      <c r="H272">
        <v>347</v>
      </c>
      <c r="I272">
        <v>0</v>
      </c>
      <c r="J272">
        <v>3814</v>
      </c>
      <c r="K272" t="s">
        <v>16</v>
      </c>
    </row>
    <row r="273" spans="1:11" x14ac:dyDescent="0.25">
      <c r="A273">
        <v>1974</v>
      </c>
      <c r="B273">
        <v>1491</v>
      </c>
      <c r="C273">
        <v>1.84</v>
      </c>
      <c r="D273">
        <v>2746</v>
      </c>
      <c r="E273">
        <v>0</v>
      </c>
      <c r="F273">
        <v>0</v>
      </c>
      <c r="G273">
        <v>2746</v>
      </c>
      <c r="H273">
        <v>275</v>
      </c>
      <c r="I273">
        <v>0</v>
      </c>
      <c r="J273">
        <v>3021</v>
      </c>
      <c r="K273" t="s">
        <v>16</v>
      </c>
    </row>
    <row r="274" spans="1:11" x14ac:dyDescent="0.25">
      <c r="A274">
        <v>1975</v>
      </c>
      <c r="B274">
        <v>1645</v>
      </c>
      <c r="C274">
        <v>1.34</v>
      </c>
      <c r="D274">
        <v>2208</v>
      </c>
      <c r="E274">
        <v>0</v>
      </c>
      <c r="F274">
        <v>0</v>
      </c>
      <c r="G274">
        <v>2208</v>
      </c>
      <c r="H274">
        <v>221</v>
      </c>
      <c r="I274">
        <v>0</v>
      </c>
      <c r="J274">
        <v>2429</v>
      </c>
      <c r="K274" t="s">
        <v>16</v>
      </c>
    </row>
    <row r="275" spans="1:11" x14ac:dyDescent="0.25">
      <c r="A275">
        <v>1976</v>
      </c>
      <c r="B275">
        <v>1746</v>
      </c>
      <c r="C275">
        <v>1.82</v>
      </c>
      <c r="D275">
        <v>3184</v>
      </c>
      <c r="E275">
        <v>0</v>
      </c>
      <c r="F275">
        <v>0</v>
      </c>
      <c r="G275">
        <v>3184</v>
      </c>
      <c r="H275">
        <v>318</v>
      </c>
      <c r="I275">
        <v>0</v>
      </c>
      <c r="J275">
        <v>3502</v>
      </c>
      <c r="K275" t="s">
        <v>16</v>
      </c>
    </row>
    <row r="276" spans="1:11" x14ac:dyDescent="0.25">
      <c r="A276">
        <v>1977</v>
      </c>
      <c r="B276">
        <v>1106</v>
      </c>
      <c r="C276">
        <v>1.75</v>
      </c>
      <c r="D276">
        <v>1938</v>
      </c>
      <c r="E276">
        <v>0</v>
      </c>
      <c r="F276">
        <v>0</v>
      </c>
      <c r="G276">
        <v>1938</v>
      </c>
      <c r="H276">
        <v>194</v>
      </c>
      <c r="I276">
        <v>0</v>
      </c>
      <c r="J276">
        <v>2132</v>
      </c>
      <c r="K276" t="s">
        <v>16</v>
      </c>
    </row>
    <row r="277" spans="1:11" x14ac:dyDescent="0.25">
      <c r="A277">
        <v>1978</v>
      </c>
      <c r="B277">
        <v>1939</v>
      </c>
      <c r="C277">
        <v>1.84</v>
      </c>
      <c r="D277">
        <v>3576</v>
      </c>
      <c r="E277">
        <v>0</v>
      </c>
      <c r="F277">
        <v>0</v>
      </c>
      <c r="G277">
        <v>3576</v>
      </c>
      <c r="H277">
        <v>358</v>
      </c>
      <c r="I277">
        <v>0</v>
      </c>
      <c r="J277">
        <v>3933</v>
      </c>
      <c r="K277" t="s">
        <v>16</v>
      </c>
    </row>
    <row r="278" spans="1:11" x14ac:dyDescent="0.25">
      <c r="A278">
        <v>1979</v>
      </c>
      <c r="B278">
        <v>577</v>
      </c>
      <c r="C278">
        <v>1.61</v>
      </c>
      <c r="D278">
        <v>931</v>
      </c>
      <c r="E278">
        <v>0</v>
      </c>
      <c r="F278">
        <v>0</v>
      </c>
      <c r="G278">
        <v>931</v>
      </c>
      <c r="H278">
        <v>93</v>
      </c>
      <c r="I278">
        <v>0</v>
      </c>
      <c r="J278">
        <v>1025</v>
      </c>
      <c r="K278" t="s">
        <v>16</v>
      </c>
    </row>
    <row r="279" spans="1:11" x14ac:dyDescent="0.25">
      <c r="A279">
        <v>1980</v>
      </c>
      <c r="B279">
        <v>1163</v>
      </c>
      <c r="C279">
        <v>1.87</v>
      </c>
      <c r="D279">
        <v>2174</v>
      </c>
      <c r="E279">
        <v>0</v>
      </c>
      <c r="F279">
        <v>0</v>
      </c>
      <c r="G279">
        <v>2174</v>
      </c>
      <c r="H279">
        <v>217</v>
      </c>
      <c r="I279">
        <v>0</v>
      </c>
      <c r="J279">
        <v>2392</v>
      </c>
      <c r="K279" t="s">
        <v>16</v>
      </c>
    </row>
    <row r="280" spans="1:11" x14ac:dyDescent="0.25">
      <c r="A280">
        <v>1981</v>
      </c>
      <c r="B280">
        <v>1014</v>
      </c>
      <c r="C280">
        <v>1.82</v>
      </c>
      <c r="D280">
        <v>1845</v>
      </c>
      <c r="E280">
        <v>0</v>
      </c>
      <c r="F280">
        <v>0</v>
      </c>
      <c r="G280">
        <v>1845</v>
      </c>
      <c r="H280">
        <v>184</v>
      </c>
      <c r="I280">
        <v>0</v>
      </c>
      <c r="J280">
        <v>2029</v>
      </c>
      <c r="K280" t="s">
        <v>16</v>
      </c>
    </row>
    <row r="281" spans="1:11" x14ac:dyDescent="0.25">
      <c r="A281">
        <v>1982</v>
      </c>
      <c r="B281">
        <v>541</v>
      </c>
      <c r="C281">
        <v>1.73</v>
      </c>
      <c r="D281">
        <v>934</v>
      </c>
      <c r="E281">
        <v>0</v>
      </c>
      <c r="F281">
        <v>0</v>
      </c>
      <c r="G281">
        <v>934</v>
      </c>
      <c r="H281">
        <v>93</v>
      </c>
      <c r="I281">
        <v>0</v>
      </c>
      <c r="J281">
        <v>1028</v>
      </c>
      <c r="K281" t="s">
        <v>16</v>
      </c>
    </row>
    <row r="282" spans="1:11" x14ac:dyDescent="0.25">
      <c r="A282">
        <v>1983</v>
      </c>
      <c r="B282">
        <v>1466</v>
      </c>
      <c r="C282">
        <v>1.43</v>
      </c>
      <c r="D282">
        <v>2094</v>
      </c>
      <c r="E282">
        <v>0</v>
      </c>
      <c r="F282">
        <v>0</v>
      </c>
      <c r="G282">
        <v>2094</v>
      </c>
      <c r="H282">
        <v>209</v>
      </c>
      <c r="I282">
        <v>0</v>
      </c>
      <c r="J282">
        <v>2303</v>
      </c>
      <c r="K282" t="s">
        <v>16</v>
      </c>
    </row>
    <row r="283" spans="1:11" x14ac:dyDescent="0.25">
      <c r="A283">
        <v>1984</v>
      </c>
      <c r="B283">
        <v>855</v>
      </c>
      <c r="C283">
        <v>1.59</v>
      </c>
      <c r="D283">
        <v>1357</v>
      </c>
      <c r="E283">
        <v>0</v>
      </c>
      <c r="F283">
        <v>0</v>
      </c>
      <c r="G283">
        <v>1357</v>
      </c>
      <c r="H283">
        <v>136</v>
      </c>
      <c r="I283">
        <v>0</v>
      </c>
      <c r="J283">
        <v>1493</v>
      </c>
      <c r="K283" t="s">
        <v>16</v>
      </c>
    </row>
    <row r="284" spans="1:11" x14ac:dyDescent="0.25">
      <c r="A284">
        <v>1985</v>
      </c>
      <c r="B284">
        <v>469</v>
      </c>
      <c r="C284">
        <v>1.61</v>
      </c>
      <c r="D284">
        <v>756</v>
      </c>
      <c r="E284">
        <v>0</v>
      </c>
      <c r="F284">
        <v>0</v>
      </c>
      <c r="G284">
        <v>756</v>
      </c>
      <c r="H284">
        <v>76</v>
      </c>
      <c r="I284">
        <v>0</v>
      </c>
      <c r="J284">
        <v>832</v>
      </c>
      <c r="K284" t="s">
        <v>16</v>
      </c>
    </row>
    <row r="285" spans="1:11" x14ac:dyDescent="0.25">
      <c r="A285">
        <v>1986</v>
      </c>
      <c r="B285">
        <v>757</v>
      </c>
      <c r="C285">
        <v>1.44</v>
      </c>
      <c r="D285">
        <v>1090</v>
      </c>
      <c r="E285">
        <v>0</v>
      </c>
      <c r="F285">
        <v>0</v>
      </c>
      <c r="G285">
        <v>1090</v>
      </c>
      <c r="H285">
        <v>109</v>
      </c>
      <c r="I285">
        <v>0</v>
      </c>
      <c r="J285">
        <v>1199</v>
      </c>
      <c r="K285" t="s">
        <v>16</v>
      </c>
    </row>
    <row r="286" spans="1:11" x14ac:dyDescent="0.25">
      <c r="A286">
        <v>1987</v>
      </c>
      <c r="B286">
        <v>755</v>
      </c>
      <c r="C286">
        <v>1.57</v>
      </c>
      <c r="D286">
        <v>1185</v>
      </c>
      <c r="E286">
        <v>0</v>
      </c>
      <c r="F286">
        <v>0</v>
      </c>
      <c r="G286">
        <v>1185</v>
      </c>
      <c r="H286">
        <v>119</v>
      </c>
      <c r="I286">
        <v>0</v>
      </c>
      <c r="J286">
        <v>1304</v>
      </c>
      <c r="K286" t="s">
        <v>16</v>
      </c>
    </row>
    <row r="287" spans="1:11" x14ac:dyDescent="0.25">
      <c r="A287">
        <v>1988</v>
      </c>
      <c r="B287">
        <v>703</v>
      </c>
      <c r="C287">
        <v>1.27</v>
      </c>
      <c r="D287">
        <v>890</v>
      </c>
      <c r="E287">
        <v>0</v>
      </c>
      <c r="F287">
        <v>0</v>
      </c>
      <c r="G287">
        <v>890</v>
      </c>
      <c r="H287">
        <v>89</v>
      </c>
      <c r="I287">
        <v>0</v>
      </c>
      <c r="J287">
        <v>979</v>
      </c>
      <c r="K287" t="s">
        <v>16</v>
      </c>
    </row>
    <row r="288" spans="1:11" x14ac:dyDescent="0.25">
      <c r="A288">
        <v>1989</v>
      </c>
      <c r="B288">
        <v>662</v>
      </c>
      <c r="C288">
        <v>1.92</v>
      </c>
      <c r="D288">
        <v>1274</v>
      </c>
      <c r="E288">
        <v>0</v>
      </c>
      <c r="F288">
        <v>0</v>
      </c>
      <c r="G288">
        <v>1274</v>
      </c>
      <c r="H288">
        <v>127</v>
      </c>
      <c r="I288">
        <v>0</v>
      </c>
      <c r="J288">
        <v>1401</v>
      </c>
      <c r="K288" t="s">
        <v>16</v>
      </c>
    </row>
    <row r="289" spans="1:11" x14ac:dyDescent="0.25">
      <c r="A289">
        <v>1990</v>
      </c>
      <c r="B289">
        <v>700</v>
      </c>
      <c r="C289">
        <v>1.61</v>
      </c>
      <c r="D289">
        <v>1126</v>
      </c>
      <c r="E289">
        <v>0</v>
      </c>
      <c r="F289">
        <v>0</v>
      </c>
      <c r="G289">
        <v>1126</v>
      </c>
      <c r="H289">
        <v>113</v>
      </c>
      <c r="I289">
        <v>0</v>
      </c>
      <c r="J289">
        <v>1239</v>
      </c>
      <c r="K289" t="s">
        <v>16</v>
      </c>
    </row>
    <row r="290" spans="1:11" x14ac:dyDescent="0.25">
      <c r="A290">
        <v>1991</v>
      </c>
      <c r="B290">
        <v>757</v>
      </c>
      <c r="C290">
        <v>1.52</v>
      </c>
      <c r="D290">
        <v>1150</v>
      </c>
      <c r="E290">
        <v>0</v>
      </c>
      <c r="F290">
        <v>0</v>
      </c>
      <c r="G290">
        <v>1150</v>
      </c>
      <c r="H290">
        <v>115</v>
      </c>
      <c r="I290">
        <v>0</v>
      </c>
      <c r="J290">
        <v>1265</v>
      </c>
      <c r="K290" t="s">
        <v>16</v>
      </c>
    </row>
    <row r="291" spans="1:11" x14ac:dyDescent="0.25">
      <c r="A291">
        <v>1992</v>
      </c>
      <c r="B291">
        <v>541</v>
      </c>
      <c r="C291">
        <v>1.38</v>
      </c>
      <c r="D291">
        <v>748</v>
      </c>
      <c r="E291">
        <v>0</v>
      </c>
      <c r="F291">
        <v>0</v>
      </c>
      <c r="G291">
        <v>748</v>
      </c>
      <c r="H291">
        <v>75</v>
      </c>
      <c r="I291">
        <v>0</v>
      </c>
      <c r="J291">
        <v>823</v>
      </c>
      <c r="K291" t="s">
        <v>16</v>
      </c>
    </row>
    <row r="292" spans="1:11" x14ac:dyDescent="0.25">
      <c r="A292">
        <v>1993</v>
      </c>
      <c r="B292">
        <v>796</v>
      </c>
      <c r="C292">
        <v>1.8</v>
      </c>
      <c r="D292">
        <v>1434</v>
      </c>
      <c r="E292">
        <v>0</v>
      </c>
      <c r="F292">
        <v>0</v>
      </c>
      <c r="G292">
        <v>1434</v>
      </c>
      <c r="H292">
        <v>143</v>
      </c>
      <c r="I292">
        <v>0</v>
      </c>
      <c r="J292">
        <v>1577</v>
      </c>
      <c r="K292" t="s">
        <v>16</v>
      </c>
    </row>
    <row r="293" spans="1:11" x14ac:dyDescent="0.25">
      <c r="A293">
        <v>1994</v>
      </c>
      <c r="B293">
        <v>524</v>
      </c>
      <c r="C293">
        <v>1.84</v>
      </c>
      <c r="D293">
        <v>962</v>
      </c>
      <c r="E293">
        <v>0</v>
      </c>
      <c r="F293">
        <v>0</v>
      </c>
      <c r="G293">
        <v>962</v>
      </c>
      <c r="H293">
        <v>96</v>
      </c>
      <c r="I293">
        <v>0</v>
      </c>
      <c r="J293">
        <v>1058</v>
      </c>
      <c r="K293" t="s">
        <v>16</v>
      </c>
    </row>
    <row r="294" spans="1:11" x14ac:dyDescent="0.25">
      <c r="A294">
        <v>1995</v>
      </c>
      <c r="B294">
        <v>882</v>
      </c>
      <c r="C294">
        <v>1.96</v>
      </c>
      <c r="D294">
        <v>1728</v>
      </c>
      <c r="E294">
        <v>0</v>
      </c>
      <c r="F294">
        <v>0</v>
      </c>
      <c r="G294">
        <v>1728</v>
      </c>
      <c r="H294">
        <v>173</v>
      </c>
      <c r="I294">
        <v>0</v>
      </c>
      <c r="J294">
        <v>1901</v>
      </c>
      <c r="K294" t="s">
        <v>16</v>
      </c>
    </row>
    <row r="295" spans="1:11" x14ac:dyDescent="0.25">
      <c r="A295">
        <v>1996</v>
      </c>
      <c r="B295">
        <v>1159</v>
      </c>
      <c r="C295">
        <v>1.61</v>
      </c>
      <c r="D295">
        <v>1862</v>
      </c>
      <c r="E295">
        <v>0</v>
      </c>
      <c r="F295">
        <v>0</v>
      </c>
      <c r="G295">
        <v>1862</v>
      </c>
      <c r="H295">
        <v>186</v>
      </c>
      <c r="I295">
        <v>0</v>
      </c>
      <c r="J295">
        <v>2049</v>
      </c>
      <c r="K295" t="s">
        <v>16</v>
      </c>
    </row>
    <row r="296" spans="1:11" x14ac:dyDescent="0.25">
      <c r="A296">
        <v>1997</v>
      </c>
      <c r="B296">
        <v>1072</v>
      </c>
      <c r="C296">
        <v>1.56</v>
      </c>
      <c r="D296">
        <v>1674</v>
      </c>
      <c r="E296">
        <v>0</v>
      </c>
      <c r="F296">
        <v>0</v>
      </c>
      <c r="G296">
        <v>1674</v>
      </c>
      <c r="H296">
        <v>167</v>
      </c>
      <c r="I296">
        <v>0</v>
      </c>
      <c r="J296">
        <v>1841</v>
      </c>
      <c r="K296" t="s">
        <v>16</v>
      </c>
    </row>
    <row r="297" spans="1:11" x14ac:dyDescent="0.25">
      <c r="A297">
        <v>1998</v>
      </c>
      <c r="B297">
        <v>1247</v>
      </c>
      <c r="C297">
        <v>1.74</v>
      </c>
      <c r="D297">
        <v>2169</v>
      </c>
      <c r="E297">
        <v>0</v>
      </c>
      <c r="F297">
        <v>0</v>
      </c>
      <c r="G297">
        <v>2169</v>
      </c>
      <c r="H297">
        <v>217</v>
      </c>
      <c r="I297">
        <v>0</v>
      </c>
      <c r="J297">
        <v>2386</v>
      </c>
      <c r="K297" t="s">
        <v>16</v>
      </c>
    </row>
    <row r="298" spans="1:11" x14ac:dyDescent="0.25">
      <c r="A298">
        <v>1999</v>
      </c>
      <c r="B298">
        <v>1117</v>
      </c>
      <c r="C298">
        <v>1.89</v>
      </c>
      <c r="D298">
        <v>2111</v>
      </c>
      <c r="E298">
        <v>0</v>
      </c>
      <c r="F298">
        <v>0</v>
      </c>
      <c r="G298">
        <v>2111</v>
      </c>
      <c r="H298">
        <v>211</v>
      </c>
      <c r="I298">
        <v>0</v>
      </c>
      <c r="J298">
        <v>2323</v>
      </c>
      <c r="K298" t="s">
        <v>16</v>
      </c>
    </row>
    <row r="299" spans="1:11" x14ac:dyDescent="0.25">
      <c r="A299">
        <v>2000</v>
      </c>
      <c r="B299">
        <v>1390</v>
      </c>
      <c r="C299">
        <v>1.83</v>
      </c>
      <c r="D299">
        <v>2541</v>
      </c>
      <c r="E299">
        <v>0</v>
      </c>
      <c r="F299">
        <v>0</v>
      </c>
      <c r="G299">
        <v>2541</v>
      </c>
      <c r="H299">
        <v>254</v>
      </c>
      <c r="I299">
        <v>0</v>
      </c>
      <c r="J299">
        <v>2795</v>
      </c>
      <c r="K299" t="s">
        <v>16</v>
      </c>
    </row>
    <row r="300" spans="1:11" x14ac:dyDescent="0.25">
      <c r="A300">
        <v>2001</v>
      </c>
      <c r="B300">
        <v>1241</v>
      </c>
      <c r="C300">
        <v>1.96</v>
      </c>
      <c r="D300">
        <v>2430</v>
      </c>
      <c r="E300">
        <v>0</v>
      </c>
      <c r="F300">
        <v>0</v>
      </c>
      <c r="G300">
        <v>2430</v>
      </c>
      <c r="H300">
        <v>243</v>
      </c>
      <c r="I300">
        <v>0</v>
      </c>
      <c r="J300">
        <v>2673</v>
      </c>
      <c r="K300" t="s">
        <v>16</v>
      </c>
    </row>
    <row r="301" spans="1:11" x14ac:dyDescent="0.25">
      <c r="A301">
        <v>2002</v>
      </c>
      <c r="B301">
        <v>1283</v>
      </c>
      <c r="C301">
        <v>1.99</v>
      </c>
      <c r="D301">
        <v>2553</v>
      </c>
      <c r="E301">
        <v>0</v>
      </c>
      <c r="F301">
        <v>0</v>
      </c>
      <c r="G301">
        <v>2553</v>
      </c>
      <c r="H301">
        <v>255</v>
      </c>
      <c r="I301">
        <v>0</v>
      </c>
      <c r="J301">
        <v>2809</v>
      </c>
      <c r="K301" t="s">
        <v>16</v>
      </c>
    </row>
    <row r="302" spans="1:11" x14ac:dyDescent="0.25">
      <c r="A302">
        <v>2003</v>
      </c>
      <c r="B302">
        <v>1198</v>
      </c>
      <c r="C302">
        <v>2.38</v>
      </c>
      <c r="D302">
        <v>2847</v>
      </c>
      <c r="E302">
        <v>0</v>
      </c>
      <c r="F302">
        <v>0</v>
      </c>
      <c r="G302">
        <v>2847</v>
      </c>
      <c r="H302">
        <v>285</v>
      </c>
      <c r="I302">
        <v>0</v>
      </c>
      <c r="J302">
        <v>3132</v>
      </c>
      <c r="K302" t="s">
        <v>16</v>
      </c>
    </row>
    <row r="303" spans="1:11" x14ac:dyDescent="0.25">
      <c r="A303">
        <v>2004</v>
      </c>
      <c r="B303">
        <v>1268</v>
      </c>
      <c r="C303">
        <v>1.66</v>
      </c>
      <c r="D303">
        <v>2106</v>
      </c>
      <c r="E303">
        <v>0</v>
      </c>
      <c r="F303">
        <v>0</v>
      </c>
      <c r="G303">
        <v>2106</v>
      </c>
      <c r="H303">
        <v>211</v>
      </c>
      <c r="I303">
        <v>0</v>
      </c>
      <c r="J303">
        <v>2317</v>
      </c>
      <c r="K303" t="s">
        <v>16</v>
      </c>
    </row>
    <row r="304" spans="1:11" x14ac:dyDescent="0.25">
      <c r="A304">
        <v>2005</v>
      </c>
      <c r="B304">
        <v>1191</v>
      </c>
      <c r="C304">
        <v>2.14</v>
      </c>
      <c r="D304">
        <v>2548</v>
      </c>
      <c r="E304">
        <v>0</v>
      </c>
      <c r="F304">
        <v>0</v>
      </c>
      <c r="G304">
        <v>2548</v>
      </c>
      <c r="H304">
        <v>255</v>
      </c>
      <c r="I304">
        <v>0</v>
      </c>
      <c r="J304">
        <v>2803</v>
      </c>
      <c r="K304" t="s">
        <v>16</v>
      </c>
    </row>
    <row r="305" spans="1:11" x14ac:dyDescent="0.25">
      <c r="A305">
        <v>2006</v>
      </c>
      <c r="B305">
        <v>1254</v>
      </c>
      <c r="C305">
        <v>1.74</v>
      </c>
      <c r="D305">
        <v>2180</v>
      </c>
      <c r="E305">
        <v>0</v>
      </c>
      <c r="F305">
        <v>0</v>
      </c>
      <c r="G305">
        <v>2180</v>
      </c>
      <c r="H305">
        <v>218</v>
      </c>
      <c r="I305">
        <v>0</v>
      </c>
      <c r="J305">
        <v>2398</v>
      </c>
      <c r="K305" t="s">
        <v>16</v>
      </c>
    </row>
    <row r="306" spans="1:11" x14ac:dyDescent="0.25">
      <c r="A306">
        <v>2007</v>
      </c>
      <c r="B306">
        <v>1398</v>
      </c>
      <c r="C306">
        <v>1.74</v>
      </c>
      <c r="D306">
        <v>2429</v>
      </c>
      <c r="E306">
        <v>0</v>
      </c>
      <c r="F306">
        <v>0</v>
      </c>
      <c r="G306">
        <v>2429</v>
      </c>
      <c r="H306">
        <v>243</v>
      </c>
      <c r="I306">
        <v>0</v>
      </c>
      <c r="J306">
        <v>2672</v>
      </c>
      <c r="K306" t="s">
        <v>16</v>
      </c>
    </row>
    <row r="307" spans="1:11" x14ac:dyDescent="0.25">
      <c r="A307">
        <v>2008</v>
      </c>
      <c r="B307">
        <v>1635</v>
      </c>
      <c r="C307">
        <v>1.56</v>
      </c>
      <c r="D307">
        <v>2548</v>
      </c>
      <c r="E307">
        <v>0</v>
      </c>
      <c r="F307">
        <v>0</v>
      </c>
      <c r="G307">
        <v>2548</v>
      </c>
      <c r="H307">
        <v>255</v>
      </c>
      <c r="I307">
        <v>0</v>
      </c>
      <c r="J307">
        <v>2803</v>
      </c>
      <c r="K307" t="s">
        <v>16</v>
      </c>
    </row>
    <row r="308" spans="1:11" x14ac:dyDescent="0.25">
      <c r="A308">
        <v>2009</v>
      </c>
      <c r="B308">
        <v>1617</v>
      </c>
      <c r="C308">
        <v>1.92</v>
      </c>
      <c r="D308">
        <v>3103</v>
      </c>
      <c r="E308">
        <v>0</v>
      </c>
      <c r="F308">
        <v>0</v>
      </c>
      <c r="G308">
        <v>3103</v>
      </c>
      <c r="H308">
        <v>310</v>
      </c>
      <c r="I308">
        <v>0</v>
      </c>
      <c r="J308">
        <v>3413</v>
      </c>
      <c r="K308" t="s">
        <v>16</v>
      </c>
    </row>
    <row r="309" spans="1:11" x14ac:dyDescent="0.25">
      <c r="A309">
        <v>2010</v>
      </c>
      <c r="B309">
        <v>1693</v>
      </c>
      <c r="C309">
        <v>1.42</v>
      </c>
      <c r="D309">
        <v>2412</v>
      </c>
      <c r="E309">
        <v>0</v>
      </c>
      <c r="F309">
        <v>0</v>
      </c>
      <c r="G309">
        <v>2412</v>
      </c>
      <c r="H309">
        <v>238</v>
      </c>
      <c r="I309">
        <v>0</v>
      </c>
      <c r="J309">
        <v>2650</v>
      </c>
      <c r="K309" t="s">
        <v>16</v>
      </c>
    </row>
    <row r="310" spans="1:11" x14ac:dyDescent="0.25">
      <c r="A310">
        <v>2011</v>
      </c>
      <c r="B310">
        <v>1791</v>
      </c>
      <c r="C310">
        <v>1.92</v>
      </c>
      <c r="D310">
        <v>3432</v>
      </c>
      <c r="E310">
        <v>0</v>
      </c>
      <c r="F310">
        <v>0</v>
      </c>
      <c r="G310">
        <v>3432</v>
      </c>
      <c r="H310">
        <v>339</v>
      </c>
      <c r="I310">
        <v>0</v>
      </c>
      <c r="J310">
        <v>3771</v>
      </c>
      <c r="K310" t="s">
        <v>16</v>
      </c>
    </row>
    <row r="311" spans="1:11" x14ac:dyDescent="0.25">
      <c r="A311">
        <v>2012</v>
      </c>
      <c r="B311">
        <v>1737</v>
      </c>
      <c r="C311">
        <v>2.09</v>
      </c>
      <c r="D311">
        <v>3632</v>
      </c>
      <c r="E311">
        <v>0</v>
      </c>
      <c r="F311">
        <v>0</v>
      </c>
      <c r="G311">
        <v>3632</v>
      </c>
      <c r="H311">
        <v>359</v>
      </c>
      <c r="I311">
        <v>0</v>
      </c>
      <c r="J311">
        <v>3991</v>
      </c>
      <c r="K311" t="s">
        <v>16</v>
      </c>
    </row>
    <row r="312" spans="1:11" x14ac:dyDescent="0.25">
      <c r="A312">
        <v>2013</v>
      </c>
      <c r="B312">
        <v>1641</v>
      </c>
      <c r="C312">
        <v>1.7</v>
      </c>
      <c r="D312">
        <v>2795</v>
      </c>
      <c r="E312">
        <v>0</v>
      </c>
      <c r="F312">
        <v>0</v>
      </c>
      <c r="G312">
        <v>2795</v>
      </c>
      <c r="H312">
        <v>277</v>
      </c>
      <c r="I312">
        <v>0</v>
      </c>
      <c r="J312">
        <v>3072</v>
      </c>
      <c r="K312" t="s">
        <v>16</v>
      </c>
    </row>
    <row r="313" spans="1:11" x14ac:dyDescent="0.25">
      <c r="A313">
        <v>2014</v>
      </c>
      <c r="B313">
        <v>1850</v>
      </c>
      <c r="C313">
        <v>1.85</v>
      </c>
      <c r="D313">
        <v>3430</v>
      </c>
      <c r="E313">
        <v>0</v>
      </c>
      <c r="F313">
        <v>0</v>
      </c>
      <c r="G313">
        <v>3430</v>
      </c>
      <c r="H313">
        <v>336</v>
      </c>
      <c r="I313">
        <v>0</v>
      </c>
      <c r="J313">
        <v>3766</v>
      </c>
      <c r="K313" t="s">
        <v>16</v>
      </c>
    </row>
    <row r="314" spans="1:11" x14ac:dyDescent="0.25">
      <c r="A314">
        <v>2015</v>
      </c>
      <c r="B314">
        <v>1687</v>
      </c>
      <c r="C314">
        <v>1.94</v>
      </c>
      <c r="D314">
        <v>3278</v>
      </c>
      <c r="E314">
        <v>0</v>
      </c>
      <c r="F314">
        <v>0</v>
      </c>
      <c r="G314">
        <v>3278</v>
      </c>
      <c r="H314">
        <v>316</v>
      </c>
      <c r="I314">
        <v>0</v>
      </c>
      <c r="J314">
        <v>3594</v>
      </c>
      <c r="K314" t="s">
        <v>16</v>
      </c>
    </row>
    <row r="315" spans="1:11" x14ac:dyDescent="0.25">
      <c r="A315">
        <v>2016</v>
      </c>
      <c r="B315">
        <v>1745</v>
      </c>
      <c r="C315">
        <v>1.86</v>
      </c>
      <c r="D315">
        <v>3250</v>
      </c>
      <c r="E315">
        <v>0</v>
      </c>
      <c r="F315">
        <v>0</v>
      </c>
      <c r="G315">
        <v>3250</v>
      </c>
      <c r="H315">
        <v>309</v>
      </c>
      <c r="I315">
        <v>0</v>
      </c>
      <c r="J315">
        <v>3559</v>
      </c>
      <c r="K315" t="s">
        <v>16</v>
      </c>
    </row>
    <row r="316" spans="1:11" x14ac:dyDescent="0.25">
      <c r="A316">
        <v>2017</v>
      </c>
      <c r="B316">
        <v>1763</v>
      </c>
      <c r="C316">
        <v>2.12</v>
      </c>
      <c r="D316">
        <v>3742</v>
      </c>
      <c r="E316">
        <v>0</v>
      </c>
      <c r="F316">
        <v>0</v>
      </c>
      <c r="G316">
        <v>3742</v>
      </c>
      <c r="H316">
        <v>352</v>
      </c>
      <c r="I316">
        <v>0</v>
      </c>
      <c r="J316">
        <v>4093</v>
      </c>
      <c r="K316" t="s">
        <v>16</v>
      </c>
    </row>
    <row r="317" spans="1:11" x14ac:dyDescent="0.25">
      <c r="A317">
        <v>2018</v>
      </c>
      <c r="B317">
        <v>1564</v>
      </c>
      <c r="C317">
        <v>1.83</v>
      </c>
      <c r="D317">
        <v>2861</v>
      </c>
      <c r="E317">
        <v>0</v>
      </c>
      <c r="F317">
        <v>0</v>
      </c>
      <c r="G317">
        <v>2861</v>
      </c>
      <c r="H317">
        <v>265</v>
      </c>
      <c r="I317">
        <v>0</v>
      </c>
      <c r="J317">
        <v>3126</v>
      </c>
      <c r="K317" t="s">
        <v>16</v>
      </c>
    </row>
    <row r="318" spans="1:11" x14ac:dyDescent="0.25">
      <c r="A318">
        <v>2019</v>
      </c>
      <c r="B318">
        <v>1791</v>
      </c>
      <c r="C318">
        <v>1.87</v>
      </c>
      <c r="D318">
        <v>3348</v>
      </c>
      <c r="E318">
        <v>0</v>
      </c>
      <c r="F318">
        <v>0</v>
      </c>
      <c r="G318">
        <v>3348</v>
      </c>
      <c r="H318">
        <v>311</v>
      </c>
      <c r="I318">
        <v>0</v>
      </c>
      <c r="J318">
        <v>3660</v>
      </c>
      <c r="K318" t="s">
        <v>16</v>
      </c>
    </row>
    <row r="319" spans="1:11" x14ac:dyDescent="0.25">
      <c r="A319">
        <v>2020</v>
      </c>
      <c r="B319">
        <v>1772</v>
      </c>
      <c r="C319">
        <v>3.92</v>
      </c>
      <c r="D319">
        <v>6944</v>
      </c>
      <c r="E319">
        <v>0</v>
      </c>
      <c r="F319">
        <v>0</v>
      </c>
      <c r="G319">
        <v>6944</v>
      </c>
      <c r="H319">
        <v>644</v>
      </c>
      <c r="I319">
        <v>0</v>
      </c>
      <c r="J319">
        <v>7588</v>
      </c>
      <c r="K319" t="s">
        <v>16</v>
      </c>
    </row>
    <row r="320" spans="1:11" x14ac:dyDescent="0.25">
      <c r="A320">
        <v>1968</v>
      </c>
      <c r="B320">
        <v>290</v>
      </c>
      <c r="C320">
        <v>1.84</v>
      </c>
      <c r="D320">
        <v>532</v>
      </c>
      <c r="E320">
        <v>0</v>
      </c>
      <c r="F320">
        <v>0</v>
      </c>
      <c r="G320">
        <v>532</v>
      </c>
      <c r="H320">
        <v>53</v>
      </c>
      <c r="I320">
        <v>0</v>
      </c>
      <c r="J320">
        <v>586</v>
      </c>
      <c r="K320" t="s">
        <v>17</v>
      </c>
    </row>
    <row r="321" spans="1:11" x14ac:dyDescent="0.25">
      <c r="A321">
        <v>1969</v>
      </c>
      <c r="B321">
        <v>440</v>
      </c>
      <c r="C321">
        <v>2.08</v>
      </c>
      <c r="D321">
        <v>915</v>
      </c>
      <c r="E321">
        <v>0</v>
      </c>
      <c r="F321">
        <v>0</v>
      </c>
      <c r="G321">
        <v>915</v>
      </c>
      <c r="H321">
        <v>91</v>
      </c>
      <c r="I321">
        <v>0</v>
      </c>
      <c r="J321">
        <v>1006</v>
      </c>
      <c r="K321" t="s">
        <v>17</v>
      </c>
    </row>
    <row r="322" spans="1:11" x14ac:dyDescent="0.25">
      <c r="A322">
        <v>1970</v>
      </c>
      <c r="B322">
        <v>454</v>
      </c>
      <c r="C322">
        <v>2</v>
      </c>
      <c r="D322">
        <v>910</v>
      </c>
      <c r="E322">
        <v>0</v>
      </c>
      <c r="F322">
        <v>0</v>
      </c>
      <c r="G322">
        <v>910</v>
      </c>
      <c r="H322">
        <v>91</v>
      </c>
      <c r="I322">
        <v>0</v>
      </c>
      <c r="J322">
        <v>1001</v>
      </c>
      <c r="K322" t="s">
        <v>17</v>
      </c>
    </row>
    <row r="323" spans="1:11" x14ac:dyDescent="0.25">
      <c r="A323">
        <v>1971</v>
      </c>
      <c r="B323">
        <v>399</v>
      </c>
      <c r="C323">
        <v>1.85</v>
      </c>
      <c r="D323">
        <v>737</v>
      </c>
      <c r="E323">
        <v>0</v>
      </c>
      <c r="F323">
        <v>0</v>
      </c>
      <c r="G323">
        <v>737</v>
      </c>
      <c r="H323">
        <v>74</v>
      </c>
      <c r="I323">
        <v>0</v>
      </c>
      <c r="J323">
        <v>811</v>
      </c>
      <c r="K323" t="s">
        <v>17</v>
      </c>
    </row>
    <row r="324" spans="1:11" x14ac:dyDescent="0.25">
      <c r="A324">
        <v>1972</v>
      </c>
      <c r="B324">
        <v>437</v>
      </c>
      <c r="C324">
        <v>1.67</v>
      </c>
      <c r="D324">
        <v>730</v>
      </c>
      <c r="E324">
        <v>0</v>
      </c>
      <c r="F324">
        <v>0</v>
      </c>
      <c r="G324">
        <v>730</v>
      </c>
      <c r="H324">
        <v>73</v>
      </c>
      <c r="I324">
        <v>0</v>
      </c>
      <c r="J324">
        <v>803</v>
      </c>
      <c r="K324" t="s">
        <v>17</v>
      </c>
    </row>
    <row r="325" spans="1:11" x14ac:dyDescent="0.25">
      <c r="A325">
        <v>1973</v>
      </c>
      <c r="B325">
        <v>344</v>
      </c>
      <c r="C325">
        <v>2.11</v>
      </c>
      <c r="D325">
        <v>727</v>
      </c>
      <c r="E325">
        <v>0</v>
      </c>
      <c r="F325">
        <v>0</v>
      </c>
      <c r="G325">
        <v>727</v>
      </c>
      <c r="H325">
        <v>73</v>
      </c>
      <c r="I325">
        <v>0</v>
      </c>
      <c r="J325">
        <v>800</v>
      </c>
      <c r="K325" t="s">
        <v>17</v>
      </c>
    </row>
    <row r="326" spans="1:11" x14ac:dyDescent="0.25">
      <c r="A326">
        <v>1974</v>
      </c>
      <c r="B326">
        <v>497</v>
      </c>
      <c r="C326">
        <v>1.84</v>
      </c>
      <c r="D326">
        <v>916</v>
      </c>
      <c r="E326">
        <v>0</v>
      </c>
      <c r="F326">
        <v>0</v>
      </c>
      <c r="G326">
        <v>916</v>
      </c>
      <c r="H326">
        <v>92</v>
      </c>
      <c r="I326">
        <v>0</v>
      </c>
      <c r="J326">
        <v>1008</v>
      </c>
      <c r="K326" t="s">
        <v>17</v>
      </c>
    </row>
    <row r="327" spans="1:11" x14ac:dyDescent="0.25">
      <c r="A327">
        <v>1975</v>
      </c>
      <c r="B327">
        <v>410</v>
      </c>
      <c r="C327">
        <v>1.89</v>
      </c>
      <c r="D327">
        <v>775</v>
      </c>
      <c r="E327">
        <v>0</v>
      </c>
      <c r="F327">
        <v>0</v>
      </c>
      <c r="G327">
        <v>775</v>
      </c>
      <c r="H327">
        <v>77</v>
      </c>
      <c r="I327">
        <v>0</v>
      </c>
      <c r="J327">
        <v>852</v>
      </c>
      <c r="K327" t="s">
        <v>17</v>
      </c>
    </row>
    <row r="328" spans="1:11" x14ac:dyDescent="0.25">
      <c r="A328">
        <v>1976</v>
      </c>
      <c r="B328">
        <v>372</v>
      </c>
      <c r="C328">
        <v>2.09</v>
      </c>
      <c r="D328">
        <v>778</v>
      </c>
      <c r="E328">
        <v>0</v>
      </c>
      <c r="F328">
        <v>0</v>
      </c>
      <c r="G328">
        <v>778</v>
      </c>
      <c r="H328">
        <v>78</v>
      </c>
      <c r="I328">
        <v>0</v>
      </c>
      <c r="J328">
        <v>856</v>
      </c>
      <c r="K328" t="s">
        <v>17</v>
      </c>
    </row>
    <row r="329" spans="1:11" x14ac:dyDescent="0.25">
      <c r="A329">
        <v>1977</v>
      </c>
      <c r="B329">
        <v>372</v>
      </c>
      <c r="C329">
        <v>2.02</v>
      </c>
      <c r="D329">
        <v>750</v>
      </c>
      <c r="E329">
        <v>0</v>
      </c>
      <c r="F329">
        <v>0</v>
      </c>
      <c r="G329">
        <v>750</v>
      </c>
      <c r="H329">
        <v>75</v>
      </c>
      <c r="I329">
        <v>0</v>
      </c>
      <c r="J329">
        <v>825</v>
      </c>
      <c r="K329" t="s">
        <v>17</v>
      </c>
    </row>
    <row r="330" spans="1:11" x14ac:dyDescent="0.25">
      <c r="A330">
        <v>1978</v>
      </c>
      <c r="B330">
        <v>336</v>
      </c>
      <c r="C330">
        <v>2.12</v>
      </c>
      <c r="D330">
        <v>712</v>
      </c>
      <c r="E330">
        <v>0</v>
      </c>
      <c r="F330">
        <v>0</v>
      </c>
      <c r="G330">
        <v>712</v>
      </c>
      <c r="H330">
        <v>71</v>
      </c>
      <c r="I330">
        <v>0</v>
      </c>
      <c r="J330">
        <v>783</v>
      </c>
      <c r="K330" t="s">
        <v>17</v>
      </c>
    </row>
    <row r="331" spans="1:11" x14ac:dyDescent="0.25">
      <c r="A331">
        <v>1979</v>
      </c>
      <c r="B331">
        <v>109</v>
      </c>
      <c r="C331">
        <v>2.04</v>
      </c>
      <c r="D331">
        <v>223</v>
      </c>
      <c r="E331">
        <v>0</v>
      </c>
      <c r="F331">
        <v>0</v>
      </c>
      <c r="G331">
        <v>223</v>
      </c>
      <c r="H331">
        <v>22</v>
      </c>
      <c r="I331">
        <v>0</v>
      </c>
      <c r="J331">
        <v>245</v>
      </c>
      <c r="K331" t="s">
        <v>17</v>
      </c>
    </row>
    <row r="332" spans="1:11" x14ac:dyDescent="0.25">
      <c r="A332">
        <v>1980</v>
      </c>
      <c r="B332">
        <v>272</v>
      </c>
      <c r="C332">
        <v>1.92</v>
      </c>
      <c r="D332">
        <v>523</v>
      </c>
      <c r="E332">
        <v>0</v>
      </c>
      <c r="F332">
        <v>0</v>
      </c>
      <c r="G332">
        <v>523</v>
      </c>
      <c r="H332">
        <v>52</v>
      </c>
      <c r="I332">
        <v>0</v>
      </c>
      <c r="J332">
        <v>576</v>
      </c>
      <c r="K332" t="s">
        <v>17</v>
      </c>
    </row>
    <row r="333" spans="1:11" x14ac:dyDescent="0.25">
      <c r="A333">
        <v>1981</v>
      </c>
      <c r="B333">
        <v>276</v>
      </c>
      <c r="C333">
        <v>2.29</v>
      </c>
      <c r="D333">
        <v>631</v>
      </c>
      <c r="E333">
        <v>0</v>
      </c>
      <c r="F333">
        <v>0</v>
      </c>
      <c r="G333">
        <v>631</v>
      </c>
      <c r="H333">
        <v>63</v>
      </c>
      <c r="I333">
        <v>0</v>
      </c>
      <c r="J333">
        <v>695</v>
      </c>
      <c r="K333" t="s">
        <v>17</v>
      </c>
    </row>
    <row r="334" spans="1:11" x14ac:dyDescent="0.25">
      <c r="A334">
        <v>1982</v>
      </c>
      <c r="B334">
        <v>330</v>
      </c>
      <c r="C334">
        <v>1.97</v>
      </c>
      <c r="D334">
        <v>651</v>
      </c>
      <c r="E334">
        <v>0</v>
      </c>
      <c r="F334">
        <v>0</v>
      </c>
      <c r="G334">
        <v>651</v>
      </c>
      <c r="H334">
        <v>65</v>
      </c>
      <c r="I334">
        <v>0</v>
      </c>
      <c r="J334">
        <v>716</v>
      </c>
      <c r="K334" t="s">
        <v>17</v>
      </c>
    </row>
    <row r="335" spans="1:11" x14ac:dyDescent="0.25">
      <c r="A335">
        <v>1983</v>
      </c>
      <c r="B335">
        <v>207</v>
      </c>
      <c r="C335">
        <v>1.75</v>
      </c>
      <c r="D335">
        <v>363</v>
      </c>
      <c r="E335">
        <v>0</v>
      </c>
      <c r="F335">
        <v>0</v>
      </c>
      <c r="G335">
        <v>363</v>
      </c>
      <c r="H335">
        <v>36</v>
      </c>
      <c r="I335">
        <v>0</v>
      </c>
      <c r="J335">
        <v>399</v>
      </c>
      <c r="K335" t="s">
        <v>17</v>
      </c>
    </row>
    <row r="336" spans="1:11" x14ac:dyDescent="0.25">
      <c r="A336">
        <v>1984</v>
      </c>
      <c r="B336">
        <v>326</v>
      </c>
      <c r="C336">
        <v>1.94</v>
      </c>
      <c r="D336">
        <v>632</v>
      </c>
      <c r="E336">
        <v>0</v>
      </c>
      <c r="F336">
        <v>0</v>
      </c>
      <c r="G336">
        <v>632</v>
      </c>
      <c r="H336">
        <v>63</v>
      </c>
      <c r="I336">
        <v>0</v>
      </c>
      <c r="J336">
        <v>695</v>
      </c>
      <c r="K336" t="s">
        <v>17</v>
      </c>
    </row>
    <row r="337" spans="1:11" x14ac:dyDescent="0.25">
      <c r="A337">
        <v>1985</v>
      </c>
      <c r="B337">
        <v>84</v>
      </c>
      <c r="C337">
        <v>1.71</v>
      </c>
      <c r="D337">
        <v>143</v>
      </c>
      <c r="E337">
        <v>0</v>
      </c>
      <c r="F337">
        <v>0</v>
      </c>
      <c r="G337">
        <v>143</v>
      </c>
      <c r="H337">
        <v>14</v>
      </c>
      <c r="I337">
        <v>0</v>
      </c>
      <c r="J337">
        <v>157</v>
      </c>
      <c r="K337" t="s">
        <v>17</v>
      </c>
    </row>
    <row r="338" spans="1:11" x14ac:dyDescent="0.25">
      <c r="A338">
        <v>1986</v>
      </c>
      <c r="B338">
        <v>123</v>
      </c>
      <c r="C338">
        <v>1.97</v>
      </c>
      <c r="D338">
        <v>242</v>
      </c>
      <c r="E338">
        <v>0</v>
      </c>
      <c r="F338">
        <v>0</v>
      </c>
      <c r="G338">
        <v>242</v>
      </c>
      <c r="H338">
        <v>24</v>
      </c>
      <c r="I338">
        <v>0</v>
      </c>
      <c r="J338">
        <v>267</v>
      </c>
      <c r="K338" t="s">
        <v>17</v>
      </c>
    </row>
    <row r="339" spans="1:11" x14ac:dyDescent="0.25">
      <c r="A339">
        <v>1987</v>
      </c>
      <c r="B339">
        <v>290</v>
      </c>
      <c r="C339">
        <v>1.95</v>
      </c>
      <c r="D339">
        <v>564</v>
      </c>
      <c r="E339">
        <v>0</v>
      </c>
      <c r="F339">
        <v>0</v>
      </c>
      <c r="G339">
        <v>564</v>
      </c>
      <c r="H339">
        <v>56</v>
      </c>
      <c r="I339">
        <v>0</v>
      </c>
      <c r="J339">
        <v>621</v>
      </c>
      <c r="K339" t="s">
        <v>17</v>
      </c>
    </row>
    <row r="340" spans="1:11" x14ac:dyDescent="0.25">
      <c r="A340">
        <v>1988</v>
      </c>
      <c r="B340">
        <v>201</v>
      </c>
      <c r="C340">
        <v>1.97</v>
      </c>
      <c r="D340">
        <v>395</v>
      </c>
      <c r="E340">
        <v>0</v>
      </c>
      <c r="F340">
        <v>0</v>
      </c>
      <c r="G340">
        <v>395</v>
      </c>
      <c r="H340">
        <v>40</v>
      </c>
      <c r="I340">
        <v>0</v>
      </c>
      <c r="J340">
        <v>435</v>
      </c>
      <c r="K340" t="s">
        <v>17</v>
      </c>
    </row>
    <row r="341" spans="1:11" x14ac:dyDescent="0.25">
      <c r="A341">
        <v>1989</v>
      </c>
      <c r="B341">
        <v>297</v>
      </c>
      <c r="C341">
        <v>2.48</v>
      </c>
      <c r="D341">
        <v>735</v>
      </c>
      <c r="E341">
        <v>0</v>
      </c>
      <c r="F341">
        <v>0</v>
      </c>
      <c r="G341">
        <v>735</v>
      </c>
      <c r="H341">
        <v>74</v>
      </c>
      <c r="I341">
        <v>0</v>
      </c>
      <c r="J341">
        <v>809</v>
      </c>
      <c r="K341" t="s">
        <v>17</v>
      </c>
    </row>
    <row r="342" spans="1:11" x14ac:dyDescent="0.25">
      <c r="A342">
        <v>1990</v>
      </c>
      <c r="B342">
        <v>326</v>
      </c>
      <c r="C342">
        <v>1.92</v>
      </c>
      <c r="D342">
        <v>627</v>
      </c>
      <c r="E342">
        <v>0</v>
      </c>
      <c r="F342">
        <v>0</v>
      </c>
      <c r="G342">
        <v>627</v>
      </c>
      <c r="H342">
        <v>63</v>
      </c>
      <c r="I342">
        <v>0</v>
      </c>
      <c r="J342">
        <v>690</v>
      </c>
      <c r="K342" t="s">
        <v>17</v>
      </c>
    </row>
    <row r="343" spans="1:11" x14ac:dyDescent="0.25">
      <c r="A343">
        <v>1991</v>
      </c>
      <c r="B343">
        <v>281</v>
      </c>
      <c r="C343">
        <v>1.93</v>
      </c>
      <c r="D343">
        <v>543</v>
      </c>
      <c r="E343">
        <v>0</v>
      </c>
      <c r="F343">
        <v>0</v>
      </c>
      <c r="G343">
        <v>543</v>
      </c>
      <c r="H343">
        <v>54</v>
      </c>
      <c r="I343">
        <v>0</v>
      </c>
      <c r="J343">
        <v>598</v>
      </c>
      <c r="K343" t="s">
        <v>17</v>
      </c>
    </row>
    <row r="344" spans="1:11" x14ac:dyDescent="0.25">
      <c r="A344">
        <v>1992</v>
      </c>
      <c r="B344">
        <v>330</v>
      </c>
      <c r="C344">
        <v>1.87</v>
      </c>
      <c r="D344">
        <v>616</v>
      </c>
      <c r="E344">
        <v>0</v>
      </c>
      <c r="F344">
        <v>0</v>
      </c>
      <c r="G344">
        <v>616</v>
      </c>
      <c r="H344">
        <v>62</v>
      </c>
      <c r="I344">
        <v>0</v>
      </c>
      <c r="J344">
        <v>677</v>
      </c>
      <c r="K344" t="s">
        <v>17</v>
      </c>
    </row>
    <row r="345" spans="1:11" x14ac:dyDescent="0.25">
      <c r="A345">
        <v>1993</v>
      </c>
      <c r="B345">
        <v>149</v>
      </c>
      <c r="C345">
        <v>2.25</v>
      </c>
      <c r="D345">
        <v>335</v>
      </c>
      <c r="E345">
        <v>0</v>
      </c>
      <c r="F345">
        <v>0</v>
      </c>
      <c r="G345">
        <v>335</v>
      </c>
      <c r="H345">
        <v>34</v>
      </c>
      <c r="I345">
        <v>0</v>
      </c>
      <c r="J345">
        <v>369</v>
      </c>
      <c r="K345" t="s">
        <v>17</v>
      </c>
    </row>
    <row r="346" spans="1:11" x14ac:dyDescent="0.25">
      <c r="A346">
        <v>1994</v>
      </c>
      <c r="B346">
        <v>159</v>
      </c>
      <c r="C346">
        <v>2.0699999999999998</v>
      </c>
      <c r="D346">
        <v>330</v>
      </c>
      <c r="E346">
        <v>0</v>
      </c>
      <c r="F346">
        <v>0</v>
      </c>
      <c r="G346">
        <v>330</v>
      </c>
      <c r="H346">
        <v>33</v>
      </c>
      <c r="I346">
        <v>0</v>
      </c>
      <c r="J346">
        <v>363</v>
      </c>
      <c r="K346" t="s">
        <v>17</v>
      </c>
    </row>
    <row r="347" spans="1:11" x14ac:dyDescent="0.25">
      <c r="A347">
        <v>1995</v>
      </c>
      <c r="B347">
        <v>150</v>
      </c>
      <c r="C347">
        <v>2.16</v>
      </c>
      <c r="D347">
        <v>324</v>
      </c>
      <c r="E347">
        <v>0</v>
      </c>
      <c r="F347">
        <v>0</v>
      </c>
      <c r="G347">
        <v>324</v>
      </c>
      <c r="H347">
        <v>32</v>
      </c>
      <c r="I347">
        <v>0</v>
      </c>
      <c r="J347">
        <v>357</v>
      </c>
      <c r="K347" t="s">
        <v>17</v>
      </c>
    </row>
    <row r="348" spans="1:11" x14ac:dyDescent="0.25">
      <c r="A348">
        <v>1996</v>
      </c>
      <c r="B348">
        <v>133</v>
      </c>
      <c r="C348">
        <v>2.0299999999999998</v>
      </c>
      <c r="D348">
        <v>269</v>
      </c>
      <c r="E348">
        <v>0</v>
      </c>
      <c r="F348">
        <v>0</v>
      </c>
      <c r="G348">
        <v>269</v>
      </c>
      <c r="H348">
        <v>27</v>
      </c>
      <c r="I348">
        <v>0</v>
      </c>
      <c r="J348">
        <v>296</v>
      </c>
      <c r="K348" t="s">
        <v>17</v>
      </c>
    </row>
    <row r="349" spans="1:11" x14ac:dyDescent="0.25">
      <c r="A349">
        <v>1997</v>
      </c>
      <c r="B349">
        <v>222</v>
      </c>
      <c r="C349">
        <v>1.97</v>
      </c>
      <c r="D349">
        <v>438</v>
      </c>
      <c r="E349">
        <v>0</v>
      </c>
      <c r="F349">
        <v>0</v>
      </c>
      <c r="G349">
        <v>438</v>
      </c>
      <c r="H349">
        <v>44</v>
      </c>
      <c r="I349">
        <v>0</v>
      </c>
      <c r="J349">
        <v>481</v>
      </c>
      <c r="K349" t="s">
        <v>17</v>
      </c>
    </row>
    <row r="350" spans="1:11" x14ac:dyDescent="0.25">
      <c r="A350">
        <v>1998</v>
      </c>
      <c r="B350">
        <v>248</v>
      </c>
      <c r="C350">
        <v>2</v>
      </c>
      <c r="D350">
        <v>495</v>
      </c>
      <c r="E350">
        <v>0</v>
      </c>
      <c r="F350">
        <v>0</v>
      </c>
      <c r="G350">
        <v>495</v>
      </c>
      <c r="H350">
        <v>50</v>
      </c>
      <c r="I350">
        <v>0</v>
      </c>
      <c r="J350">
        <v>545</v>
      </c>
      <c r="K350" t="s">
        <v>17</v>
      </c>
    </row>
    <row r="351" spans="1:11" x14ac:dyDescent="0.25">
      <c r="A351">
        <v>1999</v>
      </c>
      <c r="B351">
        <v>141</v>
      </c>
      <c r="C351">
        <v>2.4700000000000002</v>
      </c>
      <c r="D351">
        <v>347</v>
      </c>
      <c r="E351">
        <v>0</v>
      </c>
      <c r="F351">
        <v>0</v>
      </c>
      <c r="G351">
        <v>347</v>
      </c>
      <c r="H351">
        <v>35</v>
      </c>
      <c r="I351">
        <v>0</v>
      </c>
      <c r="J351">
        <v>381</v>
      </c>
      <c r="K351" t="s">
        <v>17</v>
      </c>
    </row>
    <row r="352" spans="1:11" x14ac:dyDescent="0.25">
      <c r="A352">
        <v>2000</v>
      </c>
      <c r="B352">
        <v>212</v>
      </c>
      <c r="C352">
        <v>2.1</v>
      </c>
      <c r="D352">
        <v>443</v>
      </c>
      <c r="E352">
        <v>0</v>
      </c>
      <c r="F352">
        <v>0</v>
      </c>
      <c r="G352">
        <v>443</v>
      </c>
      <c r="H352">
        <v>44</v>
      </c>
      <c r="I352">
        <v>0</v>
      </c>
      <c r="J352">
        <v>488</v>
      </c>
      <c r="K352" t="s">
        <v>17</v>
      </c>
    </row>
    <row r="353" spans="1:11" x14ac:dyDescent="0.25">
      <c r="A353">
        <v>2001</v>
      </c>
      <c r="B353">
        <v>165</v>
      </c>
      <c r="C353">
        <v>2.4500000000000002</v>
      </c>
      <c r="D353">
        <v>405</v>
      </c>
      <c r="E353">
        <v>0</v>
      </c>
      <c r="F353">
        <v>0</v>
      </c>
      <c r="G353">
        <v>405</v>
      </c>
      <c r="H353">
        <v>40</v>
      </c>
      <c r="I353">
        <v>0</v>
      </c>
      <c r="J353">
        <v>445</v>
      </c>
      <c r="K353" t="s">
        <v>17</v>
      </c>
    </row>
    <row r="354" spans="1:11" x14ac:dyDescent="0.25">
      <c r="A354">
        <v>2002</v>
      </c>
      <c r="B354">
        <v>246</v>
      </c>
      <c r="C354">
        <v>1.94</v>
      </c>
      <c r="D354">
        <v>476</v>
      </c>
      <c r="E354">
        <v>0</v>
      </c>
      <c r="F354">
        <v>0</v>
      </c>
      <c r="G354">
        <v>476</v>
      </c>
      <c r="H354">
        <v>48</v>
      </c>
      <c r="I354">
        <v>0</v>
      </c>
      <c r="J354">
        <v>524</v>
      </c>
      <c r="K354" t="s">
        <v>17</v>
      </c>
    </row>
    <row r="355" spans="1:11" x14ac:dyDescent="0.25">
      <c r="A355">
        <v>2003</v>
      </c>
      <c r="B355">
        <v>181</v>
      </c>
      <c r="C355">
        <v>3.01</v>
      </c>
      <c r="D355">
        <v>545</v>
      </c>
      <c r="E355">
        <v>0</v>
      </c>
      <c r="F355">
        <v>0</v>
      </c>
      <c r="G355">
        <v>545</v>
      </c>
      <c r="H355">
        <v>55</v>
      </c>
      <c r="I355">
        <v>0</v>
      </c>
      <c r="J355">
        <v>600</v>
      </c>
      <c r="K355" t="s">
        <v>17</v>
      </c>
    </row>
    <row r="356" spans="1:11" x14ac:dyDescent="0.25">
      <c r="A356">
        <v>2004</v>
      </c>
      <c r="B356">
        <v>158</v>
      </c>
      <c r="C356">
        <v>2.3199999999999998</v>
      </c>
      <c r="D356">
        <v>366</v>
      </c>
      <c r="E356">
        <v>0</v>
      </c>
      <c r="F356">
        <v>0</v>
      </c>
      <c r="G356">
        <v>366</v>
      </c>
      <c r="H356">
        <v>34</v>
      </c>
      <c r="I356">
        <v>0</v>
      </c>
      <c r="J356">
        <v>401</v>
      </c>
      <c r="K356" t="s">
        <v>17</v>
      </c>
    </row>
    <row r="357" spans="1:11" x14ac:dyDescent="0.25">
      <c r="A357">
        <v>2005</v>
      </c>
      <c r="B357">
        <v>215</v>
      </c>
      <c r="C357">
        <v>2.61</v>
      </c>
      <c r="D357">
        <v>561</v>
      </c>
      <c r="E357">
        <v>0</v>
      </c>
      <c r="F357">
        <v>0</v>
      </c>
      <c r="G357">
        <v>561</v>
      </c>
      <c r="H357">
        <v>55</v>
      </c>
      <c r="I357">
        <v>0</v>
      </c>
      <c r="J357">
        <v>615</v>
      </c>
      <c r="K357" t="s">
        <v>17</v>
      </c>
    </row>
    <row r="358" spans="1:11" x14ac:dyDescent="0.25">
      <c r="A358">
        <v>2006</v>
      </c>
      <c r="B358">
        <v>179</v>
      </c>
      <c r="C358">
        <v>2.0299999999999998</v>
      </c>
      <c r="D358">
        <v>364</v>
      </c>
      <c r="E358">
        <v>0</v>
      </c>
      <c r="F358">
        <v>0</v>
      </c>
      <c r="G358">
        <v>364</v>
      </c>
      <c r="H358">
        <v>36</v>
      </c>
      <c r="I358">
        <v>0</v>
      </c>
      <c r="J358">
        <v>400</v>
      </c>
      <c r="K358" t="s">
        <v>17</v>
      </c>
    </row>
    <row r="359" spans="1:11" x14ac:dyDescent="0.25">
      <c r="A359">
        <v>2007</v>
      </c>
      <c r="B359">
        <v>141</v>
      </c>
      <c r="C359">
        <v>2.2400000000000002</v>
      </c>
      <c r="D359">
        <v>315</v>
      </c>
      <c r="E359">
        <v>0</v>
      </c>
      <c r="F359">
        <v>0</v>
      </c>
      <c r="G359">
        <v>315</v>
      </c>
      <c r="H359">
        <v>31</v>
      </c>
      <c r="I359">
        <v>0</v>
      </c>
      <c r="J359">
        <v>346</v>
      </c>
      <c r="K359" t="s">
        <v>17</v>
      </c>
    </row>
    <row r="360" spans="1:11" x14ac:dyDescent="0.25">
      <c r="A360">
        <v>2008</v>
      </c>
      <c r="B360">
        <v>169</v>
      </c>
      <c r="C360">
        <v>1.99</v>
      </c>
      <c r="D360">
        <v>336</v>
      </c>
      <c r="E360">
        <v>0</v>
      </c>
      <c r="F360">
        <v>0</v>
      </c>
      <c r="G360">
        <v>336</v>
      </c>
      <c r="H360">
        <v>34</v>
      </c>
      <c r="I360">
        <v>0</v>
      </c>
      <c r="J360">
        <v>370</v>
      </c>
      <c r="K360" t="s">
        <v>17</v>
      </c>
    </row>
    <row r="361" spans="1:11" x14ac:dyDescent="0.25">
      <c r="A361">
        <v>2009</v>
      </c>
      <c r="B361">
        <v>190</v>
      </c>
      <c r="C361">
        <v>2.5299999999999998</v>
      </c>
      <c r="D361">
        <v>480</v>
      </c>
      <c r="E361">
        <v>0</v>
      </c>
      <c r="F361">
        <v>0</v>
      </c>
      <c r="G361">
        <v>480</v>
      </c>
      <c r="H361">
        <v>48</v>
      </c>
      <c r="I361">
        <v>0</v>
      </c>
      <c r="J361">
        <v>528</v>
      </c>
      <c r="K361" t="s">
        <v>17</v>
      </c>
    </row>
    <row r="362" spans="1:11" x14ac:dyDescent="0.25">
      <c r="A362">
        <v>2010</v>
      </c>
      <c r="B362">
        <v>177</v>
      </c>
      <c r="C362">
        <v>1.99</v>
      </c>
      <c r="D362">
        <v>353</v>
      </c>
      <c r="E362">
        <v>0</v>
      </c>
      <c r="F362">
        <v>0</v>
      </c>
      <c r="G362">
        <v>353</v>
      </c>
      <c r="H362">
        <v>34</v>
      </c>
      <c r="I362">
        <v>0</v>
      </c>
      <c r="J362">
        <v>387</v>
      </c>
      <c r="K362" t="s">
        <v>17</v>
      </c>
    </row>
    <row r="363" spans="1:11" x14ac:dyDescent="0.25">
      <c r="A363">
        <v>2011</v>
      </c>
      <c r="B363">
        <v>180</v>
      </c>
      <c r="C363">
        <v>2.62</v>
      </c>
      <c r="D363">
        <v>472</v>
      </c>
      <c r="E363">
        <v>0</v>
      </c>
      <c r="F363">
        <v>0</v>
      </c>
      <c r="G363">
        <v>472</v>
      </c>
      <c r="H363">
        <v>46</v>
      </c>
      <c r="I363">
        <v>0</v>
      </c>
      <c r="J363">
        <v>518</v>
      </c>
      <c r="K363" t="s">
        <v>17</v>
      </c>
    </row>
    <row r="364" spans="1:11" x14ac:dyDescent="0.25">
      <c r="A364">
        <v>2012</v>
      </c>
      <c r="B364">
        <v>110</v>
      </c>
      <c r="C364">
        <v>2.71</v>
      </c>
      <c r="D364">
        <v>299</v>
      </c>
      <c r="E364">
        <v>0</v>
      </c>
      <c r="F364">
        <v>0</v>
      </c>
      <c r="G364">
        <v>299</v>
      </c>
      <c r="H364">
        <v>29</v>
      </c>
      <c r="I364">
        <v>0</v>
      </c>
      <c r="J364">
        <v>328</v>
      </c>
      <c r="K364" t="s">
        <v>17</v>
      </c>
    </row>
    <row r="365" spans="1:11" x14ac:dyDescent="0.25">
      <c r="A365">
        <v>2013</v>
      </c>
      <c r="B365">
        <v>119</v>
      </c>
      <c r="C365">
        <v>2.2799999999999998</v>
      </c>
      <c r="D365">
        <v>272</v>
      </c>
      <c r="E365">
        <v>0</v>
      </c>
      <c r="F365">
        <v>0</v>
      </c>
      <c r="G365">
        <v>272</v>
      </c>
      <c r="H365">
        <v>25</v>
      </c>
      <c r="I365">
        <v>0</v>
      </c>
      <c r="J365">
        <v>297</v>
      </c>
      <c r="K365" t="s">
        <v>17</v>
      </c>
    </row>
    <row r="366" spans="1:11" x14ac:dyDescent="0.25">
      <c r="A366">
        <v>2014</v>
      </c>
      <c r="B366">
        <v>213</v>
      </c>
      <c r="C366">
        <v>2.1800000000000002</v>
      </c>
      <c r="D366">
        <v>463</v>
      </c>
      <c r="E366">
        <v>0</v>
      </c>
      <c r="F366">
        <v>0</v>
      </c>
      <c r="G366">
        <v>463</v>
      </c>
      <c r="H366">
        <v>44</v>
      </c>
      <c r="I366">
        <v>0</v>
      </c>
      <c r="J366">
        <v>507</v>
      </c>
      <c r="K366" t="s">
        <v>17</v>
      </c>
    </row>
    <row r="367" spans="1:11" x14ac:dyDescent="0.25">
      <c r="A367">
        <v>2015</v>
      </c>
      <c r="B367">
        <v>159</v>
      </c>
      <c r="C367">
        <v>2.09</v>
      </c>
      <c r="D367">
        <v>332</v>
      </c>
      <c r="E367">
        <v>0</v>
      </c>
      <c r="F367">
        <v>0</v>
      </c>
      <c r="G367">
        <v>332</v>
      </c>
      <c r="H367">
        <v>27</v>
      </c>
      <c r="I367">
        <v>0</v>
      </c>
      <c r="J367">
        <v>359</v>
      </c>
      <c r="K367" t="s">
        <v>17</v>
      </c>
    </row>
    <row r="368" spans="1:11" x14ac:dyDescent="0.25">
      <c r="A368">
        <v>2016</v>
      </c>
      <c r="B368">
        <v>106</v>
      </c>
      <c r="C368">
        <v>1.76</v>
      </c>
      <c r="D368">
        <v>187</v>
      </c>
      <c r="E368">
        <v>0</v>
      </c>
      <c r="F368">
        <v>0</v>
      </c>
      <c r="G368">
        <v>187</v>
      </c>
      <c r="H368">
        <v>17</v>
      </c>
      <c r="I368">
        <v>0</v>
      </c>
      <c r="J368">
        <v>203</v>
      </c>
      <c r="K368" t="s">
        <v>17</v>
      </c>
    </row>
    <row r="369" spans="1:11" x14ac:dyDescent="0.25">
      <c r="A369">
        <v>2017</v>
      </c>
      <c r="B369">
        <v>135</v>
      </c>
      <c r="C369">
        <v>1.95</v>
      </c>
      <c r="D369">
        <v>263</v>
      </c>
      <c r="E369">
        <v>0</v>
      </c>
      <c r="F369">
        <v>0</v>
      </c>
      <c r="G369">
        <v>263</v>
      </c>
      <c r="H369">
        <v>21</v>
      </c>
      <c r="I369">
        <v>0</v>
      </c>
      <c r="J369">
        <v>284</v>
      </c>
      <c r="K369" t="s">
        <v>17</v>
      </c>
    </row>
    <row r="370" spans="1:11" x14ac:dyDescent="0.25">
      <c r="A370">
        <v>2018</v>
      </c>
      <c r="B370">
        <v>113</v>
      </c>
      <c r="C370">
        <v>2.25</v>
      </c>
      <c r="D370">
        <v>254</v>
      </c>
      <c r="E370">
        <v>0</v>
      </c>
      <c r="F370">
        <v>0</v>
      </c>
      <c r="G370">
        <v>254</v>
      </c>
      <c r="H370">
        <v>23</v>
      </c>
      <c r="I370">
        <v>0</v>
      </c>
      <c r="J370">
        <v>278</v>
      </c>
      <c r="K370" t="s">
        <v>17</v>
      </c>
    </row>
    <row r="371" spans="1:11" x14ac:dyDescent="0.25">
      <c r="A371">
        <v>2019</v>
      </c>
      <c r="B371">
        <v>100</v>
      </c>
      <c r="C371">
        <v>2.21</v>
      </c>
      <c r="D371">
        <v>220</v>
      </c>
      <c r="E371">
        <v>0</v>
      </c>
      <c r="F371">
        <v>0</v>
      </c>
      <c r="G371">
        <v>220</v>
      </c>
      <c r="H371">
        <v>21</v>
      </c>
      <c r="I371">
        <v>0</v>
      </c>
      <c r="J371">
        <v>241</v>
      </c>
      <c r="K371" t="s">
        <v>17</v>
      </c>
    </row>
    <row r="372" spans="1:11" x14ac:dyDescent="0.25">
      <c r="A372">
        <v>2020</v>
      </c>
      <c r="B372">
        <v>129</v>
      </c>
      <c r="C372">
        <v>2.92</v>
      </c>
      <c r="D372">
        <v>376</v>
      </c>
      <c r="E372">
        <v>0</v>
      </c>
      <c r="F372">
        <v>0</v>
      </c>
      <c r="G372">
        <v>376</v>
      </c>
      <c r="H372">
        <v>35</v>
      </c>
      <c r="I372">
        <v>0</v>
      </c>
      <c r="J372">
        <v>411</v>
      </c>
      <c r="K372" t="s">
        <v>17</v>
      </c>
    </row>
    <row r="373" spans="1:11" x14ac:dyDescent="0.25">
      <c r="A373">
        <v>1968</v>
      </c>
      <c r="B373">
        <v>70</v>
      </c>
      <c r="C373">
        <v>1.75</v>
      </c>
      <c r="D373">
        <v>123</v>
      </c>
      <c r="E373">
        <v>0</v>
      </c>
      <c r="F373">
        <v>0</v>
      </c>
      <c r="G373">
        <v>123</v>
      </c>
      <c r="H373">
        <v>2</v>
      </c>
      <c r="I373">
        <v>0</v>
      </c>
      <c r="J373">
        <v>125</v>
      </c>
      <c r="K373" t="s">
        <v>19</v>
      </c>
    </row>
    <row r="374" spans="1:11" x14ac:dyDescent="0.25">
      <c r="A374">
        <v>1969</v>
      </c>
      <c r="B374">
        <v>269</v>
      </c>
      <c r="C374">
        <v>1.71</v>
      </c>
      <c r="D374">
        <v>459</v>
      </c>
      <c r="E374">
        <v>0</v>
      </c>
      <c r="F374">
        <v>0</v>
      </c>
      <c r="G374">
        <v>459</v>
      </c>
      <c r="H374">
        <v>9</v>
      </c>
      <c r="I374">
        <v>0</v>
      </c>
      <c r="J374">
        <v>468</v>
      </c>
      <c r="K374" t="s">
        <v>19</v>
      </c>
    </row>
    <row r="375" spans="1:11" x14ac:dyDescent="0.25">
      <c r="A375">
        <v>1970</v>
      </c>
      <c r="B375">
        <v>283</v>
      </c>
      <c r="C375">
        <v>1.47</v>
      </c>
      <c r="D375">
        <v>415</v>
      </c>
      <c r="E375">
        <v>0</v>
      </c>
      <c r="F375">
        <v>0</v>
      </c>
      <c r="G375">
        <v>415</v>
      </c>
      <c r="H375">
        <v>8</v>
      </c>
      <c r="I375">
        <v>0</v>
      </c>
      <c r="J375">
        <v>423</v>
      </c>
      <c r="K375" t="s">
        <v>19</v>
      </c>
    </row>
    <row r="376" spans="1:11" x14ac:dyDescent="0.25">
      <c r="A376">
        <v>1971</v>
      </c>
      <c r="B376">
        <v>331</v>
      </c>
      <c r="C376">
        <v>1.51</v>
      </c>
      <c r="D376">
        <v>500</v>
      </c>
      <c r="E376">
        <v>0</v>
      </c>
      <c r="F376">
        <v>0</v>
      </c>
      <c r="G376">
        <v>500</v>
      </c>
      <c r="H376">
        <v>10</v>
      </c>
      <c r="I376">
        <v>0</v>
      </c>
      <c r="J376">
        <v>510</v>
      </c>
      <c r="K376" t="s">
        <v>19</v>
      </c>
    </row>
    <row r="377" spans="1:11" x14ac:dyDescent="0.25">
      <c r="A377">
        <v>1972</v>
      </c>
      <c r="B377">
        <v>327</v>
      </c>
      <c r="C377">
        <v>1.38</v>
      </c>
      <c r="D377">
        <v>452</v>
      </c>
      <c r="E377">
        <v>0</v>
      </c>
      <c r="F377">
        <v>0</v>
      </c>
      <c r="G377">
        <v>452</v>
      </c>
      <c r="H377">
        <v>9</v>
      </c>
      <c r="I377">
        <v>0</v>
      </c>
      <c r="J377">
        <v>461</v>
      </c>
      <c r="K377" t="s">
        <v>19</v>
      </c>
    </row>
    <row r="378" spans="1:11" x14ac:dyDescent="0.25">
      <c r="A378">
        <v>1973</v>
      </c>
      <c r="B378">
        <v>291</v>
      </c>
      <c r="C378">
        <v>1.35</v>
      </c>
      <c r="D378">
        <v>392</v>
      </c>
      <c r="E378">
        <v>0</v>
      </c>
      <c r="F378">
        <v>0</v>
      </c>
      <c r="G378">
        <v>392</v>
      </c>
      <c r="H378">
        <v>8</v>
      </c>
      <c r="I378">
        <v>0</v>
      </c>
      <c r="J378">
        <v>399</v>
      </c>
      <c r="K378" t="s">
        <v>19</v>
      </c>
    </row>
    <row r="379" spans="1:11" x14ac:dyDescent="0.25">
      <c r="A379">
        <v>1974</v>
      </c>
      <c r="B379">
        <v>281</v>
      </c>
      <c r="C379">
        <v>2.39</v>
      </c>
      <c r="D379">
        <v>672</v>
      </c>
      <c r="E379">
        <v>0</v>
      </c>
      <c r="F379">
        <v>0</v>
      </c>
      <c r="G379">
        <v>672</v>
      </c>
      <c r="H379">
        <v>13</v>
      </c>
      <c r="I379">
        <v>0</v>
      </c>
      <c r="J379">
        <v>685</v>
      </c>
      <c r="K379" t="s">
        <v>19</v>
      </c>
    </row>
    <row r="380" spans="1:11" x14ac:dyDescent="0.25">
      <c r="A380">
        <v>1975</v>
      </c>
      <c r="B380">
        <v>281</v>
      </c>
      <c r="C380">
        <v>2.2000000000000002</v>
      </c>
      <c r="D380">
        <v>619</v>
      </c>
      <c r="E380">
        <v>0</v>
      </c>
      <c r="F380">
        <v>0</v>
      </c>
      <c r="G380">
        <v>619</v>
      </c>
      <c r="H380">
        <v>12</v>
      </c>
      <c r="I380">
        <v>0</v>
      </c>
      <c r="J380">
        <v>632</v>
      </c>
      <c r="K380" t="s">
        <v>19</v>
      </c>
    </row>
    <row r="381" spans="1:11" x14ac:dyDescent="0.25">
      <c r="A381">
        <v>1976</v>
      </c>
      <c r="B381">
        <v>342</v>
      </c>
      <c r="C381">
        <v>2.06</v>
      </c>
      <c r="D381">
        <v>705</v>
      </c>
      <c r="E381">
        <v>0</v>
      </c>
      <c r="F381">
        <v>0</v>
      </c>
      <c r="G381">
        <v>705</v>
      </c>
      <c r="H381">
        <v>14</v>
      </c>
      <c r="I381">
        <v>0</v>
      </c>
      <c r="J381">
        <v>719</v>
      </c>
      <c r="K381" t="s">
        <v>19</v>
      </c>
    </row>
    <row r="382" spans="1:11" x14ac:dyDescent="0.25">
      <c r="A382">
        <v>1977</v>
      </c>
      <c r="B382">
        <v>312</v>
      </c>
      <c r="C382">
        <v>2.23</v>
      </c>
      <c r="D382">
        <v>696</v>
      </c>
      <c r="E382">
        <v>0</v>
      </c>
      <c r="F382">
        <v>0</v>
      </c>
      <c r="G382">
        <v>696</v>
      </c>
      <c r="H382">
        <v>14</v>
      </c>
      <c r="I382">
        <v>0</v>
      </c>
      <c r="J382">
        <v>710</v>
      </c>
      <c r="K382" t="s">
        <v>19</v>
      </c>
    </row>
    <row r="383" spans="1:11" x14ac:dyDescent="0.25">
      <c r="A383">
        <v>1978</v>
      </c>
      <c r="B383">
        <v>291</v>
      </c>
      <c r="C383">
        <v>2.4300000000000002</v>
      </c>
      <c r="D383">
        <v>708</v>
      </c>
      <c r="E383">
        <v>0</v>
      </c>
      <c r="F383">
        <v>0</v>
      </c>
      <c r="G383">
        <v>708</v>
      </c>
      <c r="H383">
        <v>14</v>
      </c>
      <c r="I383">
        <v>0</v>
      </c>
      <c r="J383">
        <v>722</v>
      </c>
      <c r="K383" t="s">
        <v>19</v>
      </c>
    </row>
    <row r="384" spans="1:11" x14ac:dyDescent="0.25">
      <c r="A384">
        <v>1979</v>
      </c>
      <c r="B384">
        <v>70</v>
      </c>
      <c r="C384">
        <v>2.4500000000000002</v>
      </c>
      <c r="D384">
        <v>172</v>
      </c>
      <c r="E384">
        <v>0</v>
      </c>
      <c r="F384">
        <v>0</v>
      </c>
      <c r="G384">
        <v>172</v>
      </c>
      <c r="H384">
        <v>3</v>
      </c>
      <c r="I384">
        <v>0</v>
      </c>
      <c r="J384">
        <v>175</v>
      </c>
      <c r="K384" t="s">
        <v>19</v>
      </c>
    </row>
    <row r="385" spans="1:11" x14ac:dyDescent="0.25">
      <c r="A385">
        <v>1980</v>
      </c>
      <c r="B385">
        <v>281</v>
      </c>
      <c r="C385">
        <v>2.35</v>
      </c>
      <c r="D385">
        <v>659</v>
      </c>
      <c r="E385">
        <v>0</v>
      </c>
      <c r="F385">
        <v>0</v>
      </c>
      <c r="G385">
        <v>659</v>
      </c>
      <c r="H385">
        <v>13</v>
      </c>
      <c r="I385">
        <v>0</v>
      </c>
      <c r="J385">
        <v>672</v>
      </c>
      <c r="K385" t="s">
        <v>19</v>
      </c>
    </row>
    <row r="386" spans="1:11" x14ac:dyDescent="0.25">
      <c r="A386">
        <v>1981</v>
      </c>
      <c r="B386">
        <v>307</v>
      </c>
      <c r="C386">
        <v>2.44</v>
      </c>
      <c r="D386">
        <v>750</v>
      </c>
      <c r="E386">
        <v>0</v>
      </c>
      <c r="F386">
        <v>0</v>
      </c>
      <c r="G386">
        <v>750</v>
      </c>
      <c r="H386">
        <v>15</v>
      </c>
      <c r="I386">
        <v>0</v>
      </c>
      <c r="J386">
        <v>765</v>
      </c>
      <c r="K386" t="s">
        <v>19</v>
      </c>
    </row>
    <row r="387" spans="1:11" x14ac:dyDescent="0.25">
      <c r="A387">
        <v>1982</v>
      </c>
      <c r="B387">
        <v>205</v>
      </c>
      <c r="C387">
        <v>2.17</v>
      </c>
      <c r="D387">
        <v>445</v>
      </c>
      <c r="E387">
        <v>0</v>
      </c>
      <c r="F387">
        <v>0</v>
      </c>
      <c r="G387">
        <v>445</v>
      </c>
      <c r="H387">
        <v>9</v>
      </c>
      <c r="I387">
        <v>0</v>
      </c>
      <c r="J387">
        <v>453</v>
      </c>
      <c r="K387" t="s">
        <v>19</v>
      </c>
    </row>
    <row r="388" spans="1:11" x14ac:dyDescent="0.25">
      <c r="A388">
        <v>1983</v>
      </c>
      <c r="B388">
        <v>325</v>
      </c>
      <c r="C388">
        <v>2.04</v>
      </c>
      <c r="D388">
        <v>664</v>
      </c>
      <c r="E388">
        <v>0</v>
      </c>
      <c r="F388">
        <v>0</v>
      </c>
      <c r="G388">
        <v>664</v>
      </c>
      <c r="H388">
        <v>13</v>
      </c>
      <c r="I388">
        <v>0</v>
      </c>
      <c r="J388">
        <v>677</v>
      </c>
      <c r="K388" t="s">
        <v>19</v>
      </c>
    </row>
    <row r="389" spans="1:11" x14ac:dyDescent="0.25">
      <c r="A389">
        <v>1984</v>
      </c>
      <c r="B389">
        <v>358</v>
      </c>
      <c r="C389">
        <v>2.2200000000000002</v>
      </c>
      <c r="D389">
        <v>796</v>
      </c>
      <c r="E389">
        <v>0</v>
      </c>
      <c r="F389">
        <v>0</v>
      </c>
      <c r="G389">
        <v>796</v>
      </c>
      <c r="H389">
        <v>16</v>
      </c>
      <c r="I389">
        <v>0</v>
      </c>
      <c r="J389">
        <v>812</v>
      </c>
      <c r="K389" t="s">
        <v>19</v>
      </c>
    </row>
    <row r="390" spans="1:11" x14ac:dyDescent="0.25">
      <c r="A390">
        <v>1985</v>
      </c>
      <c r="B390">
        <v>89</v>
      </c>
      <c r="C390">
        <v>2.09</v>
      </c>
      <c r="D390">
        <v>186</v>
      </c>
      <c r="E390">
        <v>0</v>
      </c>
      <c r="F390">
        <v>0</v>
      </c>
      <c r="G390">
        <v>186</v>
      </c>
      <c r="H390">
        <v>4</v>
      </c>
      <c r="I390">
        <v>0</v>
      </c>
      <c r="J390">
        <v>189</v>
      </c>
      <c r="K390" t="s">
        <v>19</v>
      </c>
    </row>
    <row r="391" spans="1:11" x14ac:dyDescent="0.25">
      <c r="A391">
        <v>1986</v>
      </c>
      <c r="B391">
        <v>145</v>
      </c>
      <c r="C391">
        <v>2.2799999999999998</v>
      </c>
      <c r="D391">
        <v>331</v>
      </c>
      <c r="E391">
        <v>0</v>
      </c>
      <c r="F391">
        <v>0</v>
      </c>
      <c r="G391">
        <v>331</v>
      </c>
      <c r="H391">
        <v>7</v>
      </c>
      <c r="I391">
        <v>0</v>
      </c>
      <c r="J391">
        <v>337</v>
      </c>
      <c r="K391" t="s">
        <v>19</v>
      </c>
    </row>
    <row r="392" spans="1:11" x14ac:dyDescent="0.25">
      <c r="A392">
        <v>1987</v>
      </c>
      <c r="B392">
        <v>163</v>
      </c>
      <c r="C392">
        <v>2.41</v>
      </c>
      <c r="D392">
        <v>392</v>
      </c>
      <c r="E392">
        <v>0</v>
      </c>
      <c r="F392">
        <v>0</v>
      </c>
      <c r="G392">
        <v>392</v>
      </c>
      <c r="H392">
        <v>8</v>
      </c>
      <c r="I392">
        <v>0</v>
      </c>
      <c r="J392">
        <v>400</v>
      </c>
      <c r="K392" t="s">
        <v>19</v>
      </c>
    </row>
    <row r="393" spans="1:11" x14ac:dyDescent="0.25">
      <c r="A393">
        <v>1988</v>
      </c>
      <c r="B393">
        <v>138</v>
      </c>
      <c r="C393">
        <v>2.25</v>
      </c>
      <c r="D393">
        <v>311</v>
      </c>
      <c r="E393">
        <v>0</v>
      </c>
      <c r="F393">
        <v>0</v>
      </c>
      <c r="G393">
        <v>311</v>
      </c>
      <c r="H393">
        <v>6</v>
      </c>
      <c r="I393">
        <v>0</v>
      </c>
      <c r="J393">
        <v>317</v>
      </c>
      <c r="K393" t="s">
        <v>19</v>
      </c>
    </row>
    <row r="394" spans="1:11" x14ac:dyDescent="0.25">
      <c r="A394">
        <v>1989</v>
      </c>
      <c r="B394">
        <v>222</v>
      </c>
      <c r="C394">
        <v>2.77</v>
      </c>
      <c r="D394">
        <v>615</v>
      </c>
      <c r="E394">
        <v>0</v>
      </c>
      <c r="F394">
        <v>0</v>
      </c>
      <c r="G394">
        <v>615</v>
      </c>
      <c r="H394">
        <v>12</v>
      </c>
      <c r="I394">
        <v>0</v>
      </c>
      <c r="J394">
        <v>627</v>
      </c>
      <c r="K394" t="s">
        <v>19</v>
      </c>
    </row>
    <row r="395" spans="1:11" x14ac:dyDescent="0.25">
      <c r="A395">
        <v>1990</v>
      </c>
      <c r="B395">
        <v>277</v>
      </c>
      <c r="C395">
        <v>2.6</v>
      </c>
      <c r="D395">
        <v>719</v>
      </c>
      <c r="E395">
        <v>0</v>
      </c>
      <c r="F395">
        <v>0</v>
      </c>
      <c r="G395">
        <v>719</v>
      </c>
      <c r="H395">
        <v>14</v>
      </c>
      <c r="I395">
        <v>0</v>
      </c>
      <c r="J395">
        <v>734</v>
      </c>
      <c r="K395" t="s">
        <v>19</v>
      </c>
    </row>
    <row r="396" spans="1:11" x14ac:dyDescent="0.25">
      <c r="A396">
        <v>1991</v>
      </c>
      <c r="B396">
        <v>248</v>
      </c>
      <c r="C396">
        <v>2.38</v>
      </c>
      <c r="D396">
        <v>591</v>
      </c>
      <c r="E396">
        <v>0</v>
      </c>
      <c r="F396">
        <v>0</v>
      </c>
      <c r="G396">
        <v>591</v>
      </c>
      <c r="H396">
        <v>12</v>
      </c>
      <c r="I396">
        <v>0</v>
      </c>
      <c r="J396">
        <v>602</v>
      </c>
      <c r="K396" t="s">
        <v>19</v>
      </c>
    </row>
    <row r="397" spans="1:11" x14ac:dyDescent="0.25">
      <c r="A397">
        <v>1992</v>
      </c>
      <c r="B397">
        <v>205</v>
      </c>
      <c r="C397">
        <v>2.16</v>
      </c>
      <c r="D397">
        <v>444</v>
      </c>
      <c r="E397">
        <v>0</v>
      </c>
      <c r="F397">
        <v>0</v>
      </c>
      <c r="G397">
        <v>444</v>
      </c>
      <c r="H397">
        <v>9</v>
      </c>
      <c r="I397">
        <v>0</v>
      </c>
      <c r="J397">
        <v>453</v>
      </c>
      <c r="K397" t="s">
        <v>19</v>
      </c>
    </row>
    <row r="398" spans="1:11" x14ac:dyDescent="0.25">
      <c r="A398">
        <v>1993</v>
      </c>
      <c r="B398">
        <v>205</v>
      </c>
      <c r="C398">
        <v>2.5299999999999998</v>
      </c>
      <c r="D398">
        <v>519</v>
      </c>
      <c r="E398">
        <v>0</v>
      </c>
      <c r="F398">
        <v>0</v>
      </c>
      <c r="G398">
        <v>519</v>
      </c>
      <c r="H398">
        <v>10</v>
      </c>
      <c r="I398">
        <v>0</v>
      </c>
      <c r="J398">
        <v>529</v>
      </c>
      <c r="K398" t="s">
        <v>19</v>
      </c>
    </row>
    <row r="399" spans="1:11" x14ac:dyDescent="0.25">
      <c r="A399">
        <v>1994</v>
      </c>
      <c r="B399">
        <v>81</v>
      </c>
      <c r="C399">
        <v>2.66</v>
      </c>
      <c r="D399">
        <v>215</v>
      </c>
      <c r="E399">
        <v>0</v>
      </c>
      <c r="F399">
        <v>0</v>
      </c>
      <c r="G399">
        <v>215</v>
      </c>
      <c r="H399">
        <v>4</v>
      </c>
      <c r="I399">
        <v>0</v>
      </c>
      <c r="J399">
        <v>220</v>
      </c>
      <c r="K399" t="s">
        <v>19</v>
      </c>
    </row>
    <row r="400" spans="1:11" x14ac:dyDescent="0.25">
      <c r="A400">
        <v>1995</v>
      </c>
      <c r="B400">
        <v>101</v>
      </c>
      <c r="C400">
        <v>2.88</v>
      </c>
      <c r="D400">
        <v>291</v>
      </c>
      <c r="E400">
        <v>0</v>
      </c>
      <c r="F400">
        <v>0</v>
      </c>
      <c r="G400">
        <v>291</v>
      </c>
      <c r="H400">
        <v>6</v>
      </c>
      <c r="I400">
        <v>0</v>
      </c>
      <c r="J400">
        <v>297</v>
      </c>
      <c r="K400" t="s">
        <v>19</v>
      </c>
    </row>
    <row r="401" spans="1:11" x14ac:dyDescent="0.25">
      <c r="A401">
        <v>1996</v>
      </c>
      <c r="B401">
        <v>265</v>
      </c>
      <c r="C401">
        <v>2.15</v>
      </c>
      <c r="D401">
        <v>570</v>
      </c>
      <c r="E401">
        <v>0</v>
      </c>
      <c r="F401">
        <v>0</v>
      </c>
      <c r="G401">
        <v>570</v>
      </c>
      <c r="H401">
        <v>11</v>
      </c>
      <c r="I401">
        <v>0</v>
      </c>
      <c r="J401">
        <v>581</v>
      </c>
      <c r="K401" t="s">
        <v>19</v>
      </c>
    </row>
    <row r="402" spans="1:11" x14ac:dyDescent="0.25">
      <c r="A402">
        <v>1997</v>
      </c>
      <c r="B402">
        <v>289</v>
      </c>
      <c r="C402">
        <v>2.0499999999999998</v>
      </c>
      <c r="D402">
        <v>592</v>
      </c>
      <c r="E402">
        <v>0</v>
      </c>
      <c r="F402">
        <v>0</v>
      </c>
      <c r="G402">
        <v>592</v>
      </c>
      <c r="H402">
        <v>12</v>
      </c>
      <c r="I402">
        <v>0</v>
      </c>
      <c r="J402">
        <v>604</v>
      </c>
      <c r="K402" t="s">
        <v>19</v>
      </c>
    </row>
    <row r="403" spans="1:11" x14ac:dyDescent="0.25">
      <c r="A403">
        <v>1998</v>
      </c>
      <c r="B403">
        <v>318</v>
      </c>
      <c r="C403">
        <v>2.0499999999999998</v>
      </c>
      <c r="D403">
        <v>651</v>
      </c>
      <c r="E403">
        <v>0</v>
      </c>
      <c r="F403">
        <v>0</v>
      </c>
      <c r="G403">
        <v>651</v>
      </c>
      <c r="H403">
        <v>13</v>
      </c>
      <c r="I403">
        <v>0</v>
      </c>
      <c r="J403">
        <v>664</v>
      </c>
      <c r="K403" t="s">
        <v>19</v>
      </c>
    </row>
    <row r="404" spans="1:11" x14ac:dyDescent="0.25">
      <c r="A404">
        <v>1999</v>
      </c>
      <c r="B404">
        <v>67</v>
      </c>
      <c r="C404">
        <v>2.38</v>
      </c>
      <c r="D404">
        <v>159</v>
      </c>
      <c r="E404">
        <v>0</v>
      </c>
      <c r="F404">
        <v>0</v>
      </c>
      <c r="G404">
        <v>159</v>
      </c>
      <c r="H404">
        <v>3</v>
      </c>
      <c r="I404">
        <v>0</v>
      </c>
      <c r="J404">
        <v>162</v>
      </c>
      <c r="K404" t="s">
        <v>19</v>
      </c>
    </row>
    <row r="405" spans="1:11" x14ac:dyDescent="0.25">
      <c r="A405">
        <v>2000</v>
      </c>
      <c r="B405">
        <v>86</v>
      </c>
      <c r="C405">
        <v>2.59</v>
      </c>
      <c r="D405">
        <v>222</v>
      </c>
      <c r="E405">
        <v>0</v>
      </c>
      <c r="F405">
        <v>0</v>
      </c>
      <c r="G405">
        <v>222</v>
      </c>
      <c r="H405">
        <v>4</v>
      </c>
      <c r="I405">
        <v>0</v>
      </c>
      <c r="J405">
        <v>226</v>
      </c>
      <c r="K405" t="s">
        <v>19</v>
      </c>
    </row>
    <row r="406" spans="1:11" x14ac:dyDescent="0.25">
      <c r="A406">
        <v>2001</v>
      </c>
      <c r="B406">
        <v>312</v>
      </c>
      <c r="C406">
        <v>1.34</v>
      </c>
      <c r="D406">
        <v>419</v>
      </c>
      <c r="E406">
        <v>0</v>
      </c>
      <c r="F406">
        <v>0</v>
      </c>
      <c r="G406">
        <v>419</v>
      </c>
      <c r="H406">
        <v>8</v>
      </c>
      <c r="I406">
        <v>0</v>
      </c>
      <c r="J406">
        <v>427</v>
      </c>
      <c r="K406" t="s">
        <v>19</v>
      </c>
    </row>
    <row r="407" spans="1:11" x14ac:dyDescent="0.25">
      <c r="A407">
        <v>2002</v>
      </c>
      <c r="B407">
        <v>224</v>
      </c>
      <c r="C407">
        <v>2.44</v>
      </c>
      <c r="D407">
        <v>545</v>
      </c>
      <c r="E407">
        <v>0</v>
      </c>
      <c r="F407">
        <v>0</v>
      </c>
      <c r="G407">
        <v>545</v>
      </c>
      <c r="H407">
        <v>11</v>
      </c>
      <c r="I407">
        <v>0</v>
      </c>
      <c r="J407">
        <v>556</v>
      </c>
      <c r="K407" t="s">
        <v>19</v>
      </c>
    </row>
    <row r="408" spans="1:11" x14ac:dyDescent="0.25">
      <c r="A408">
        <v>2003</v>
      </c>
      <c r="B408">
        <v>223</v>
      </c>
      <c r="C408">
        <v>2.65</v>
      </c>
      <c r="D408">
        <v>591</v>
      </c>
      <c r="E408">
        <v>0</v>
      </c>
      <c r="F408">
        <v>0</v>
      </c>
      <c r="G408">
        <v>591</v>
      </c>
      <c r="H408">
        <v>12</v>
      </c>
      <c r="I408">
        <v>0</v>
      </c>
      <c r="J408">
        <v>603</v>
      </c>
      <c r="K408" t="s">
        <v>19</v>
      </c>
    </row>
    <row r="409" spans="1:11" x14ac:dyDescent="0.25">
      <c r="A409">
        <v>2004</v>
      </c>
      <c r="B409">
        <v>282</v>
      </c>
      <c r="C409">
        <v>2.8</v>
      </c>
      <c r="D409">
        <v>787</v>
      </c>
      <c r="E409">
        <v>0</v>
      </c>
      <c r="F409">
        <v>0</v>
      </c>
      <c r="G409">
        <v>787</v>
      </c>
      <c r="H409">
        <v>16</v>
      </c>
      <c r="I409">
        <v>0</v>
      </c>
      <c r="J409">
        <v>803</v>
      </c>
      <c r="K409" t="s">
        <v>19</v>
      </c>
    </row>
    <row r="410" spans="1:11" x14ac:dyDescent="0.25">
      <c r="A410">
        <v>2005</v>
      </c>
      <c r="B410">
        <v>101</v>
      </c>
      <c r="C410">
        <v>2.65</v>
      </c>
      <c r="D410">
        <v>269</v>
      </c>
      <c r="E410">
        <v>0</v>
      </c>
      <c r="F410">
        <v>0</v>
      </c>
      <c r="G410">
        <v>269</v>
      </c>
      <c r="H410">
        <v>5</v>
      </c>
      <c r="I410">
        <v>0</v>
      </c>
      <c r="J410">
        <v>274</v>
      </c>
      <c r="K410" t="s">
        <v>19</v>
      </c>
    </row>
    <row r="411" spans="1:11" x14ac:dyDescent="0.25">
      <c r="A411">
        <v>2006</v>
      </c>
      <c r="B411">
        <v>92</v>
      </c>
      <c r="C411">
        <v>1.9</v>
      </c>
      <c r="D411">
        <v>174</v>
      </c>
      <c r="E411">
        <v>0</v>
      </c>
      <c r="F411">
        <v>0</v>
      </c>
      <c r="G411">
        <v>174</v>
      </c>
      <c r="H411">
        <v>3</v>
      </c>
      <c r="I411">
        <v>0</v>
      </c>
      <c r="J411">
        <v>178</v>
      </c>
      <c r="K411" t="s">
        <v>19</v>
      </c>
    </row>
    <row r="412" spans="1:11" x14ac:dyDescent="0.25">
      <c r="A412">
        <v>2007</v>
      </c>
      <c r="B412">
        <v>69</v>
      </c>
      <c r="C412">
        <v>2.2000000000000002</v>
      </c>
      <c r="D412">
        <v>151</v>
      </c>
      <c r="E412">
        <v>0</v>
      </c>
      <c r="F412">
        <v>0</v>
      </c>
      <c r="G412">
        <v>151</v>
      </c>
      <c r="H412">
        <v>3</v>
      </c>
      <c r="I412">
        <v>0</v>
      </c>
      <c r="J412">
        <v>154</v>
      </c>
      <c r="K412" t="s">
        <v>19</v>
      </c>
    </row>
    <row r="413" spans="1:11" x14ac:dyDescent="0.25">
      <c r="A413">
        <v>2008</v>
      </c>
      <c r="B413">
        <v>134</v>
      </c>
      <c r="C413">
        <v>1.38</v>
      </c>
      <c r="D413">
        <v>185</v>
      </c>
      <c r="E413">
        <v>0</v>
      </c>
      <c r="F413">
        <v>0</v>
      </c>
      <c r="G413">
        <v>185</v>
      </c>
      <c r="H413">
        <v>4</v>
      </c>
      <c r="I413">
        <v>0</v>
      </c>
      <c r="J413">
        <v>189</v>
      </c>
      <c r="K413" t="s">
        <v>19</v>
      </c>
    </row>
    <row r="414" spans="1:11" x14ac:dyDescent="0.25">
      <c r="A414">
        <v>2009</v>
      </c>
      <c r="B414">
        <v>193</v>
      </c>
      <c r="C414">
        <v>2.29</v>
      </c>
      <c r="D414">
        <v>440</v>
      </c>
      <c r="E414">
        <v>0</v>
      </c>
      <c r="F414">
        <v>0</v>
      </c>
      <c r="G414">
        <v>440</v>
      </c>
      <c r="H414">
        <v>9</v>
      </c>
      <c r="I414">
        <v>0</v>
      </c>
      <c r="J414">
        <v>449</v>
      </c>
      <c r="K414" t="s">
        <v>19</v>
      </c>
    </row>
    <row r="415" spans="1:11" x14ac:dyDescent="0.25">
      <c r="A415">
        <v>2010</v>
      </c>
      <c r="B415">
        <v>243</v>
      </c>
      <c r="C415">
        <v>2.1</v>
      </c>
      <c r="D415">
        <v>510</v>
      </c>
      <c r="E415">
        <v>0</v>
      </c>
      <c r="F415">
        <v>0</v>
      </c>
      <c r="G415">
        <v>510</v>
      </c>
      <c r="H415">
        <v>10</v>
      </c>
      <c r="I415">
        <v>0</v>
      </c>
      <c r="J415">
        <v>520</v>
      </c>
      <c r="K415" t="s">
        <v>19</v>
      </c>
    </row>
    <row r="416" spans="1:11" x14ac:dyDescent="0.25">
      <c r="A416">
        <v>2011</v>
      </c>
      <c r="B416">
        <v>263</v>
      </c>
      <c r="C416">
        <v>1.72</v>
      </c>
      <c r="D416">
        <v>452</v>
      </c>
      <c r="E416">
        <v>0</v>
      </c>
      <c r="F416">
        <v>0</v>
      </c>
      <c r="G416">
        <v>452</v>
      </c>
      <c r="H416">
        <v>9</v>
      </c>
      <c r="I416">
        <v>0</v>
      </c>
      <c r="J416">
        <v>461</v>
      </c>
      <c r="K416" t="s">
        <v>19</v>
      </c>
    </row>
    <row r="417" spans="1:11" x14ac:dyDescent="0.25">
      <c r="A417">
        <v>2012</v>
      </c>
      <c r="B417">
        <v>292</v>
      </c>
      <c r="C417">
        <v>2.7</v>
      </c>
      <c r="D417">
        <v>787</v>
      </c>
      <c r="E417">
        <v>0</v>
      </c>
      <c r="F417">
        <v>0</v>
      </c>
      <c r="G417">
        <v>787</v>
      </c>
      <c r="H417">
        <v>16</v>
      </c>
      <c r="I417">
        <v>0</v>
      </c>
      <c r="J417">
        <v>802</v>
      </c>
      <c r="K417" t="s">
        <v>19</v>
      </c>
    </row>
    <row r="418" spans="1:11" x14ac:dyDescent="0.25">
      <c r="A418">
        <v>2013</v>
      </c>
      <c r="B418">
        <v>213</v>
      </c>
      <c r="C418">
        <v>2.35</v>
      </c>
      <c r="D418">
        <v>501</v>
      </c>
      <c r="E418">
        <v>0</v>
      </c>
      <c r="F418">
        <v>0</v>
      </c>
      <c r="G418">
        <v>501</v>
      </c>
      <c r="H418">
        <v>10</v>
      </c>
      <c r="I418">
        <v>0</v>
      </c>
      <c r="J418">
        <v>511</v>
      </c>
      <c r="K418" t="s">
        <v>19</v>
      </c>
    </row>
    <row r="419" spans="1:11" x14ac:dyDescent="0.25">
      <c r="A419">
        <v>2014</v>
      </c>
      <c r="B419">
        <v>221</v>
      </c>
      <c r="C419">
        <v>2.27</v>
      </c>
      <c r="D419">
        <v>500</v>
      </c>
      <c r="E419">
        <v>0</v>
      </c>
      <c r="F419">
        <v>0</v>
      </c>
      <c r="G419">
        <v>500</v>
      </c>
      <c r="H419">
        <v>10</v>
      </c>
      <c r="I419">
        <v>0</v>
      </c>
      <c r="J419">
        <v>510</v>
      </c>
      <c r="K419" t="s">
        <v>19</v>
      </c>
    </row>
    <row r="420" spans="1:11" x14ac:dyDescent="0.25">
      <c r="A420">
        <v>2015</v>
      </c>
      <c r="B420">
        <v>232</v>
      </c>
      <c r="C420">
        <v>2.23</v>
      </c>
      <c r="D420">
        <v>517</v>
      </c>
      <c r="E420">
        <v>0</v>
      </c>
      <c r="F420">
        <v>0</v>
      </c>
      <c r="G420">
        <v>517</v>
      </c>
      <c r="H420">
        <v>10</v>
      </c>
      <c r="I420">
        <v>0</v>
      </c>
      <c r="J420">
        <v>528</v>
      </c>
      <c r="K420" t="s">
        <v>19</v>
      </c>
    </row>
    <row r="421" spans="1:11" x14ac:dyDescent="0.25">
      <c r="A421">
        <v>2016</v>
      </c>
      <c r="B421">
        <v>280</v>
      </c>
      <c r="C421">
        <v>2.71</v>
      </c>
      <c r="D421">
        <v>759</v>
      </c>
      <c r="E421">
        <v>0</v>
      </c>
      <c r="F421">
        <v>0</v>
      </c>
      <c r="G421">
        <v>759</v>
      </c>
      <c r="H421">
        <v>15</v>
      </c>
      <c r="I421">
        <v>0</v>
      </c>
      <c r="J421">
        <v>774</v>
      </c>
      <c r="K421" t="s">
        <v>19</v>
      </c>
    </row>
    <row r="422" spans="1:11" x14ac:dyDescent="0.25">
      <c r="A422">
        <v>2017</v>
      </c>
      <c r="B422">
        <v>270</v>
      </c>
      <c r="C422">
        <v>3.06</v>
      </c>
      <c r="D422">
        <v>826</v>
      </c>
      <c r="E422">
        <v>0</v>
      </c>
      <c r="F422">
        <v>0</v>
      </c>
      <c r="G422">
        <v>826</v>
      </c>
      <c r="H422">
        <v>17</v>
      </c>
      <c r="I422">
        <v>0</v>
      </c>
      <c r="J422">
        <v>842</v>
      </c>
      <c r="K422" t="s">
        <v>19</v>
      </c>
    </row>
    <row r="423" spans="1:11" x14ac:dyDescent="0.25">
      <c r="A423">
        <v>2018</v>
      </c>
      <c r="B423">
        <v>279</v>
      </c>
      <c r="C423">
        <v>2.4</v>
      </c>
      <c r="D423">
        <v>670</v>
      </c>
      <c r="E423">
        <v>0</v>
      </c>
      <c r="F423">
        <v>0</v>
      </c>
      <c r="G423">
        <v>670</v>
      </c>
      <c r="H423">
        <v>13</v>
      </c>
      <c r="I423">
        <v>0</v>
      </c>
      <c r="J423">
        <v>683</v>
      </c>
      <c r="K423" t="s">
        <v>19</v>
      </c>
    </row>
    <row r="424" spans="1:11" x14ac:dyDescent="0.25">
      <c r="A424">
        <v>2019</v>
      </c>
      <c r="B424">
        <v>45</v>
      </c>
      <c r="C424">
        <v>1.72</v>
      </c>
      <c r="D424">
        <v>78</v>
      </c>
      <c r="E424">
        <v>0</v>
      </c>
      <c r="F424">
        <v>0</v>
      </c>
      <c r="G424">
        <v>78</v>
      </c>
      <c r="H424">
        <v>2</v>
      </c>
      <c r="I424">
        <v>0</v>
      </c>
      <c r="J424">
        <v>79</v>
      </c>
      <c r="K424" t="s">
        <v>19</v>
      </c>
    </row>
    <row r="425" spans="1:11" x14ac:dyDescent="0.25">
      <c r="A425">
        <v>2020</v>
      </c>
      <c r="B425">
        <v>49</v>
      </c>
      <c r="C425">
        <v>2.56</v>
      </c>
      <c r="D425">
        <v>124</v>
      </c>
      <c r="E425">
        <v>0</v>
      </c>
      <c r="F425">
        <v>0</v>
      </c>
      <c r="G425">
        <v>124</v>
      </c>
      <c r="H425">
        <v>1</v>
      </c>
      <c r="I425">
        <v>0</v>
      </c>
      <c r="J425">
        <v>125</v>
      </c>
      <c r="K425" t="s">
        <v>19</v>
      </c>
    </row>
    <row r="426" spans="1:11" x14ac:dyDescent="0.25">
      <c r="A426">
        <v>1968</v>
      </c>
      <c r="B426">
        <v>1753</v>
      </c>
      <c r="C426">
        <v>1.73</v>
      </c>
      <c r="D426">
        <v>3036</v>
      </c>
      <c r="E426">
        <v>0</v>
      </c>
      <c r="F426">
        <v>0</v>
      </c>
      <c r="G426">
        <v>3036</v>
      </c>
      <c r="H426">
        <v>61</v>
      </c>
      <c r="I426">
        <v>0</v>
      </c>
      <c r="J426">
        <v>3097</v>
      </c>
      <c r="K426" t="s">
        <v>18</v>
      </c>
    </row>
    <row r="427" spans="1:11" x14ac:dyDescent="0.25">
      <c r="A427">
        <v>1969</v>
      </c>
      <c r="B427">
        <v>1863</v>
      </c>
      <c r="C427">
        <v>1.76</v>
      </c>
      <c r="D427">
        <v>3274</v>
      </c>
      <c r="E427">
        <v>0</v>
      </c>
      <c r="F427">
        <v>0</v>
      </c>
      <c r="G427">
        <v>3274</v>
      </c>
      <c r="H427">
        <v>65</v>
      </c>
      <c r="I427">
        <v>0</v>
      </c>
      <c r="J427">
        <v>3340</v>
      </c>
      <c r="K427" t="s">
        <v>18</v>
      </c>
    </row>
    <row r="428" spans="1:11" x14ac:dyDescent="0.25">
      <c r="A428">
        <v>1970</v>
      </c>
      <c r="B428">
        <v>1652</v>
      </c>
      <c r="C428">
        <v>1.58</v>
      </c>
      <c r="D428">
        <v>2605</v>
      </c>
      <c r="E428">
        <v>0</v>
      </c>
      <c r="F428">
        <v>0</v>
      </c>
      <c r="G428">
        <v>2605</v>
      </c>
      <c r="H428">
        <v>52</v>
      </c>
      <c r="I428">
        <v>0</v>
      </c>
      <c r="J428">
        <v>2657</v>
      </c>
      <c r="K428" t="s">
        <v>18</v>
      </c>
    </row>
    <row r="429" spans="1:11" x14ac:dyDescent="0.25">
      <c r="A429">
        <v>1971</v>
      </c>
      <c r="B429">
        <v>1984</v>
      </c>
      <c r="C429">
        <v>1.64</v>
      </c>
      <c r="D429">
        <v>3262</v>
      </c>
      <c r="E429">
        <v>0</v>
      </c>
      <c r="F429">
        <v>0</v>
      </c>
      <c r="G429">
        <v>3262</v>
      </c>
      <c r="H429">
        <v>65</v>
      </c>
      <c r="I429">
        <v>0</v>
      </c>
      <c r="J429">
        <v>3327</v>
      </c>
      <c r="K429" t="s">
        <v>18</v>
      </c>
    </row>
    <row r="430" spans="1:11" x14ac:dyDescent="0.25">
      <c r="A430">
        <v>1972</v>
      </c>
      <c r="B430">
        <v>1927</v>
      </c>
      <c r="C430">
        <v>1.5</v>
      </c>
      <c r="D430">
        <v>2891</v>
      </c>
      <c r="E430">
        <v>0</v>
      </c>
      <c r="F430">
        <v>0</v>
      </c>
      <c r="G430">
        <v>2891</v>
      </c>
      <c r="H430">
        <v>58</v>
      </c>
      <c r="I430">
        <v>0</v>
      </c>
      <c r="J430">
        <v>2949</v>
      </c>
      <c r="K430" t="s">
        <v>18</v>
      </c>
    </row>
    <row r="431" spans="1:11" x14ac:dyDescent="0.25">
      <c r="A431">
        <v>1973</v>
      </c>
      <c r="B431">
        <v>2194</v>
      </c>
      <c r="C431">
        <v>1.64</v>
      </c>
      <c r="D431">
        <v>3603</v>
      </c>
      <c r="E431">
        <v>0</v>
      </c>
      <c r="F431">
        <v>0</v>
      </c>
      <c r="G431">
        <v>3603</v>
      </c>
      <c r="H431">
        <v>72</v>
      </c>
      <c r="I431">
        <v>0</v>
      </c>
      <c r="J431">
        <v>3675</v>
      </c>
      <c r="K431" t="s">
        <v>18</v>
      </c>
    </row>
    <row r="432" spans="1:11" x14ac:dyDescent="0.25">
      <c r="A432">
        <v>1974</v>
      </c>
      <c r="B432">
        <v>2309</v>
      </c>
      <c r="C432">
        <v>1.45</v>
      </c>
      <c r="D432">
        <v>3354</v>
      </c>
      <c r="E432">
        <v>0</v>
      </c>
      <c r="F432">
        <v>0</v>
      </c>
      <c r="G432">
        <v>3354</v>
      </c>
      <c r="H432">
        <v>67</v>
      </c>
      <c r="I432">
        <v>0</v>
      </c>
      <c r="J432">
        <v>3421</v>
      </c>
      <c r="K432" t="s">
        <v>18</v>
      </c>
    </row>
    <row r="433" spans="1:11" x14ac:dyDescent="0.25">
      <c r="A433">
        <v>1975</v>
      </c>
      <c r="B433">
        <v>2276</v>
      </c>
      <c r="C433">
        <v>1.45</v>
      </c>
      <c r="D433">
        <v>3303</v>
      </c>
      <c r="E433">
        <v>0</v>
      </c>
      <c r="F433">
        <v>0</v>
      </c>
      <c r="G433">
        <v>3303</v>
      </c>
      <c r="H433">
        <v>66</v>
      </c>
      <c r="I433">
        <v>0</v>
      </c>
      <c r="J433">
        <v>3369</v>
      </c>
      <c r="K433" t="s">
        <v>18</v>
      </c>
    </row>
    <row r="434" spans="1:11" x14ac:dyDescent="0.25">
      <c r="A434">
        <v>1976</v>
      </c>
      <c r="B434">
        <v>2346</v>
      </c>
      <c r="C434">
        <v>1.58</v>
      </c>
      <c r="D434">
        <v>3712</v>
      </c>
      <c r="E434">
        <v>0</v>
      </c>
      <c r="F434">
        <v>0</v>
      </c>
      <c r="G434">
        <v>3712</v>
      </c>
      <c r="H434">
        <v>74</v>
      </c>
      <c r="I434">
        <v>0</v>
      </c>
      <c r="J434">
        <v>3787</v>
      </c>
      <c r="K434" t="s">
        <v>18</v>
      </c>
    </row>
    <row r="435" spans="1:11" x14ac:dyDescent="0.25">
      <c r="A435">
        <v>1977</v>
      </c>
      <c r="B435">
        <v>2144</v>
      </c>
      <c r="C435">
        <v>1.47</v>
      </c>
      <c r="D435">
        <v>3154</v>
      </c>
      <c r="E435">
        <v>0</v>
      </c>
      <c r="F435">
        <v>0</v>
      </c>
      <c r="G435">
        <v>3154</v>
      </c>
      <c r="H435">
        <v>63</v>
      </c>
      <c r="I435">
        <v>0</v>
      </c>
      <c r="J435">
        <v>3217</v>
      </c>
      <c r="K435" t="s">
        <v>18</v>
      </c>
    </row>
    <row r="436" spans="1:11" x14ac:dyDescent="0.25">
      <c r="A436">
        <v>1978</v>
      </c>
      <c r="B436">
        <v>1719</v>
      </c>
      <c r="C436">
        <v>1.88</v>
      </c>
      <c r="D436">
        <v>3236</v>
      </c>
      <c r="E436">
        <v>0</v>
      </c>
      <c r="F436">
        <v>0</v>
      </c>
      <c r="G436">
        <v>3236</v>
      </c>
      <c r="H436">
        <v>65</v>
      </c>
      <c r="I436">
        <v>0</v>
      </c>
      <c r="J436">
        <v>3301</v>
      </c>
      <c r="K436" t="s">
        <v>18</v>
      </c>
    </row>
    <row r="437" spans="1:11" x14ac:dyDescent="0.25">
      <c r="A437">
        <v>1979</v>
      </c>
      <c r="B437">
        <v>1427</v>
      </c>
      <c r="C437">
        <v>1.58</v>
      </c>
      <c r="D437">
        <v>2258</v>
      </c>
      <c r="E437">
        <v>0</v>
      </c>
      <c r="F437">
        <v>0</v>
      </c>
      <c r="G437">
        <v>2258</v>
      </c>
      <c r="H437">
        <v>45</v>
      </c>
      <c r="I437">
        <v>0</v>
      </c>
      <c r="J437">
        <v>2303</v>
      </c>
      <c r="K437" t="s">
        <v>18</v>
      </c>
    </row>
    <row r="438" spans="1:11" x14ac:dyDescent="0.25">
      <c r="A438">
        <v>1980</v>
      </c>
      <c r="B438">
        <v>1719</v>
      </c>
      <c r="C438">
        <v>1.71</v>
      </c>
      <c r="D438">
        <v>2941</v>
      </c>
      <c r="E438">
        <v>0</v>
      </c>
      <c r="F438">
        <v>0</v>
      </c>
      <c r="G438">
        <v>2941</v>
      </c>
      <c r="H438">
        <v>59</v>
      </c>
      <c r="I438">
        <v>0</v>
      </c>
      <c r="J438">
        <v>3000</v>
      </c>
      <c r="K438" t="s">
        <v>18</v>
      </c>
    </row>
    <row r="439" spans="1:11" x14ac:dyDescent="0.25">
      <c r="A439">
        <v>1981</v>
      </c>
      <c r="B439">
        <v>1613</v>
      </c>
      <c r="C439">
        <v>1.61</v>
      </c>
      <c r="D439">
        <v>2599</v>
      </c>
      <c r="E439">
        <v>0</v>
      </c>
      <c r="F439">
        <v>0</v>
      </c>
      <c r="G439">
        <v>2599</v>
      </c>
      <c r="H439">
        <v>52</v>
      </c>
      <c r="I439">
        <v>0</v>
      </c>
      <c r="J439">
        <v>2651</v>
      </c>
      <c r="K439" t="s">
        <v>18</v>
      </c>
    </row>
    <row r="440" spans="1:11" x14ac:dyDescent="0.25">
      <c r="A440">
        <v>1982</v>
      </c>
      <c r="B440">
        <v>114</v>
      </c>
      <c r="C440">
        <v>1.67</v>
      </c>
      <c r="D440">
        <v>191</v>
      </c>
      <c r="E440">
        <v>0</v>
      </c>
      <c r="F440">
        <v>0</v>
      </c>
      <c r="G440">
        <v>191</v>
      </c>
      <c r="H440">
        <v>4</v>
      </c>
      <c r="I440">
        <v>0</v>
      </c>
      <c r="J440">
        <v>195</v>
      </c>
      <c r="K440" t="s">
        <v>18</v>
      </c>
    </row>
    <row r="441" spans="1:11" x14ac:dyDescent="0.25">
      <c r="A441">
        <v>1983</v>
      </c>
      <c r="B441">
        <v>777</v>
      </c>
      <c r="C441">
        <v>1.35</v>
      </c>
      <c r="D441">
        <v>1050</v>
      </c>
      <c r="E441">
        <v>0</v>
      </c>
      <c r="F441">
        <v>0</v>
      </c>
      <c r="G441">
        <v>1050</v>
      </c>
      <c r="H441">
        <v>21</v>
      </c>
      <c r="I441">
        <v>0</v>
      </c>
      <c r="J441">
        <v>1071</v>
      </c>
      <c r="K441" t="s">
        <v>18</v>
      </c>
    </row>
    <row r="442" spans="1:11" x14ac:dyDescent="0.25">
      <c r="A442">
        <v>1984</v>
      </c>
      <c r="B442">
        <v>917</v>
      </c>
      <c r="C442">
        <v>1.51</v>
      </c>
      <c r="D442">
        <v>1380</v>
      </c>
      <c r="E442">
        <v>0</v>
      </c>
      <c r="F442">
        <v>0</v>
      </c>
      <c r="G442">
        <v>1380</v>
      </c>
      <c r="H442">
        <v>28</v>
      </c>
      <c r="I442">
        <v>0</v>
      </c>
      <c r="J442">
        <v>1408</v>
      </c>
      <c r="K442" t="s">
        <v>18</v>
      </c>
    </row>
    <row r="443" spans="1:11" x14ac:dyDescent="0.25">
      <c r="A443">
        <v>1985</v>
      </c>
      <c r="B443">
        <v>971</v>
      </c>
      <c r="C443">
        <v>1.38</v>
      </c>
      <c r="D443">
        <v>1345</v>
      </c>
      <c r="E443">
        <v>0</v>
      </c>
      <c r="F443">
        <v>0</v>
      </c>
      <c r="G443">
        <v>1345</v>
      </c>
      <c r="H443">
        <v>27</v>
      </c>
      <c r="I443">
        <v>0</v>
      </c>
      <c r="J443">
        <v>1372</v>
      </c>
      <c r="K443" t="s">
        <v>18</v>
      </c>
    </row>
    <row r="444" spans="1:11" x14ac:dyDescent="0.25">
      <c r="A444">
        <v>1986</v>
      </c>
      <c r="B444">
        <v>1208</v>
      </c>
      <c r="C444">
        <v>1.44</v>
      </c>
      <c r="D444">
        <v>1735</v>
      </c>
      <c r="E444">
        <v>0</v>
      </c>
      <c r="F444">
        <v>0</v>
      </c>
      <c r="G444">
        <v>1735</v>
      </c>
      <c r="H444">
        <v>35</v>
      </c>
      <c r="I444">
        <v>0</v>
      </c>
      <c r="J444">
        <v>1769</v>
      </c>
      <c r="K444" t="s">
        <v>18</v>
      </c>
    </row>
    <row r="445" spans="1:11" x14ac:dyDescent="0.25">
      <c r="A445">
        <v>1987</v>
      </c>
      <c r="B445">
        <v>546</v>
      </c>
      <c r="C445">
        <v>1.48</v>
      </c>
      <c r="D445">
        <v>810</v>
      </c>
      <c r="E445">
        <v>0</v>
      </c>
      <c r="F445">
        <v>0</v>
      </c>
      <c r="G445">
        <v>810</v>
      </c>
      <c r="H445">
        <v>16</v>
      </c>
      <c r="I445">
        <v>0</v>
      </c>
      <c r="J445">
        <v>826</v>
      </c>
      <c r="K445" t="s">
        <v>18</v>
      </c>
    </row>
    <row r="446" spans="1:11" x14ac:dyDescent="0.25">
      <c r="A446">
        <v>1988</v>
      </c>
      <c r="B446">
        <v>511</v>
      </c>
      <c r="C446">
        <v>1.27</v>
      </c>
      <c r="D446">
        <v>648</v>
      </c>
      <c r="E446">
        <v>0</v>
      </c>
      <c r="F446">
        <v>0</v>
      </c>
      <c r="G446">
        <v>648</v>
      </c>
      <c r="H446">
        <v>13</v>
      </c>
      <c r="I446">
        <v>0</v>
      </c>
      <c r="J446">
        <v>661</v>
      </c>
      <c r="K446" t="s">
        <v>18</v>
      </c>
    </row>
    <row r="447" spans="1:11" x14ac:dyDescent="0.25">
      <c r="A447">
        <v>1989</v>
      </c>
      <c r="B447">
        <v>454</v>
      </c>
      <c r="C447">
        <v>1.84</v>
      </c>
      <c r="D447">
        <v>836</v>
      </c>
      <c r="E447">
        <v>0</v>
      </c>
      <c r="F447">
        <v>0</v>
      </c>
      <c r="G447">
        <v>836</v>
      </c>
      <c r="H447">
        <v>17</v>
      </c>
      <c r="I447">
        <v>0</v>
      </c>
      <c r="J447">
        <v>852</v>
      </c>
      <c r="K447" t="s">
        <v>18</v>
      </c>
    </row>
    <row r="448" spans="1:11" x14ac:dyDescent="0.25">
      <c r="A448">
        <v>1990</v>
      </c>
      <c r="B448">
        <v>299</v>
      </c>
      <c r="C448">
        <v>1.52</v>
      </c>
      <c r="D448">
        <v>455</v>
      </c>
      <c r="E448">
        <v>0</v>
      </c>
      <c r="F448">
        <v>0</v>
      </c>
      <c r="G448">
        <v>455</v>
      </c>
      <c r="H448">
        <v>9</v>
      </c>
      <c r="I448">
        <v>0</v>
      </c>
      <c r="J448">
        <v>464</v>
      </c>
      <c r="K448" t="s">
        <v>18</v>
      </c>
    </row>
    <row r="449" spans="1:11" x14ac:dyDescent="0.25">
      <c r="A449">
        <v>1991</v>
      </c>
      <c r="B449">
        <v>136</v>
      </c>
      <c r="C449">
        <v>1.28</v>
      </c>
      <c r="D449">
        <v>174</v>
      </c>
      <c r="E449">
        <v>0</v>
      </c>
      <c r="F449">
        <v>0</v>
      </c>
      <c r="G449">
        <v>174</v>
      </c>
      <c r="H449">
        <v>3</v>
      </c>
      <c r="I449">
        <v>0</v>
      </c>
      <c r="J449">
        <v>178</v>
      </c>
      <c r="K449" t="s">
        <v>18</v>
      </c>
    </row>
    <row r="450" spans="1:11" x14ac:dyDescent="0.25">
      <c r="A450">
        <v>1992</v>
      </c>
      <c r="B450">
        <v>114</v>
      </c>
      <c r="C450">
        <v>1.46</v>
      </c>
      <c r="D450">
        <v>166</v>
      </c>
      <c r="E450">
        <v>0</v>
      </c>
      <c r="F450">
        <v>0</v>
      </c>
      <c r="G450">
        <v>166</v>
      </c>
      <c r="H450">
        <v>3</v>
      </c>
      <c r="I450">
        <v>0</v>
      </c>
      <c r="J450">
        <v>170</v>
      </c>
      <c r="K450" t="s">
        <v>18</v>
      </c>
    </row>
    <row r="451" spans="1:11" x14ac:dyDescent="0.25">
      <c r="A451">
        <v>1993</v>
      </c>
      <c r="B451">
        <v>216</v>
      </c>
      <c r="C451">
        <v>1.84</v>
      </c>
      <c r="D451">
        <v>398</v>
      </c>
      <c r="E451">
        <v>0</v>
      </c>
      <c r="F451">
        <v>0</v>
      </c>
      <c r="G451">
        <v>398</v>
      </c>
      <c r="H451">
        <v>8</v>
      </c>
      <c r="I451">
        <v>0</v>
      </c>
      <c r="J451">
        <v>406</v>
      </c>
      <c r="K451" t="s">
        <v>18</v>
      </c>
    </row>
    <row r="452" spans="1:11" x14ac:dyDescent="0.25">
      <c r="A452">
        <v>1994</v>
      </c>
      <c r="B452">
        <v>116</v>
      </c>
      <c r="C452">
        <v>1.87</v>
      </c>
      <c r="D452">
        <v>217</v>
      </c>
      <c r="E452">
        <v>0</v>
      </c>
      <c r="F452">
        <v>0</v>
      </c>
      <c r="G452">
        <v>217</v>
      </c>
      <c r="H452">
        <v>4</v>
      </c>
      <c r="I452">
        <v>0</v>
      </c>
      <c r="J452">
        <v>221</v>
      </c>
      <c r="K452" t="s">
        <v>18</v>
      </c>
    </row>
    <row r="453" spans="1:11" x14ac:dyDescent="0.25">
      <c r="A453">
        <v>1995</v>
      </c>
      <c r="B453">
        <v>158</v>
      </c>
      <c r="C453">
        <v>1.79</v>
      </c>
      <c r="D453">
        <v>282</v>
      </c>
      <c r="E453">
        <v>0</v>
      </c>
      <c r="F453">
        <v>0</v>
      </c>
      <c r="G453">
        <v>282</v>
      </c>
      <c r="H453">
        <v>6</v>
      </c>
      <c r="I453">
        <v>0</v>
      </c>
      <c r="J453">
        <v>288</v>
      </c>
      <c r="K453" t="s">
        <v>18</v>
      </c>
    </row>
    <row r="454" spans="1:11" x14ac:dyDescent="0.25">
      <c r="A454">
        <v>1996</v>
      </c>
      <c r="B454">
        <v>487</v>
      </c>
      <c r="C454">
        <v>2.2599999999999998</v>
      </c>
      <c r="D454">
        <v>1100</v>
      </c>
      <c r="E454">
        <v>0</v>
      </c>
      <c r="F454">
        <v>0</v>
      </c>
      <c r="G454">
        <v>1100</v>
      </c>
      <c r="H454">
        <v>22</v>
      </c>
      <c r="I454">
        <v>0</v>
      </c>
      <c r="J454">
        <v>1122</v>
      </c>
      <c r="K454" t="s">
        <v>18</v>
      </c>
    </row>
    <row r="455" spans="1:11" x14ac:dyDescent="0.25">
      <c r="A455">
        <v>1997</v>
      </c>
      <c r="B455">
        <v>539</v>
      </c>
      <c r="C455">
        <v>2.41</v>
      </c>
      <c r="D455">
        <v>1299</v>
      </c>
      <c r="E455">
        <v>0</v>
      </c>
      <c r="F455">
        <v>0</v>
      </c>
      <c r="G455">
        <v>1299</v>
      </c>
      <c r="H455">
        <v>26</v>
      </c>
      <c r="I455">
        <v>0</v>
      </c>
      <c r="J455">
        <v>1325</v>
      </c>
      <c r="K455" t="s">
        <v>18</v>
      </c>
    </row>
    <row r="456" spans="1:11" x14ac:dyDescent="0.25">
      <c r="A456">
        <v>1998</v>
      </c>
      <c r="B456">
        <v>1057</v>
      </c>
      <c r="C456">
        <v>2.5099999999999998</v>
      </c>
      <c r="D456">
        <v>2653</v>
      </c>
      <c r="E456">
        <v>0</v>
      </c>
      <c r="F456">
        <v>0</v>
      </c>
      <c r="G456">
        <v>2653</v>
      </c>
      <c r="H456">
        <v>53</v>
      </c>
      <c r="I456">
        <v>0</v>
      </c>
      <c r="J456">
        <v>2706</v>
      </c>
      <c r="K456" t="s">
        <v>18</v>
      </c>
    </row>
    <row r="457" spans="1:11" x14ac:dyDescent="0.25">
      <c r="A457">
        <v>1999</v>
      </c>
      <c r="B457">
        <v>689</v>
      </c>
      <c r="C457">
        <v>2.65</v>
      </c>
      <c r="D457">
        <v>1825</v>
      </c>
      <c r="E457">
        <v>0</v>
      </c>
      <c r="F457">
        <v>0</v>
      </c>
      <c r="G457">
        <v>1825</v>
      </c>
      <c r="H457">
        <v>36</v>
      </c>
      <c r="I457">
        <v>0</v>
      </c>
      <c r="J457">
        <v>1861</v>
      </c>
      <c r="K457" t="s">
        <v>18</v>
      </c>
    </row>
    <row r="458" spans="1:11" x14ac:dyDescent="0.25">
      <c r="A458">
        <v>2000</v>
      </c>
      <c r="B458">
        <v>398</v>
      </c>
      <c r="C458">
        <v>2.68</v>
      </c>
      <c r="D458">
        <v>1064</v>
      </c>
      <c r="E458">
        <v>0</v>
      </c>
      <c r="F458">
        <v>0</v>
      </c>
      <c r="G458">
        <v>1064</v>
      </c>
      <c r="H458">
        <v>21</v>
      </c>
      <c r="I458">
        <v>0</v>
      </c>
      <c r="J458">
        <v>1086</v>
      </c>
      <c r="K458" t="s">
        <v>18</v>
      </c>
    </row>
    <row r="459" spans="1:11" x14ac:dyDescent="0.25">
      <c r="A459">
        <v>2001</v>
      </c>
      <c r="B459">
        <v>451</v>
      </c>
      <c r="C459">
        <v>2.61</v>
      </c>
      <c r="D459">
        <v>1177</v>
      </c>
      <c r="E459">
        <v>0</v>
      </c>
      <c r="F459">
        <v>0</v>
      </c>
      <c r="G459">
        <v>1177</v>
      </c>
      <c r="H459">
        <v>24</v>
      </c>
      <c r="I459">
        <v>0</v>
      </c>
      <c r="J459">
        <v>1201</v>
      </c>
      <c r="K459" t="s">
        <v>18</v>
      </c>
    </row>
    <row r="460" spans="1:11" x14ac:dyDescent="0.25">
      <c r="A460">
        <v>2002</v>
      </c>
      <c r="B460">
        <v>635</v>
      </c>
      <c r="C460">
        <v>2.16</v>
      </c>
      <c r="D460">
        <v>1372</v>
      </c>
      <c r="E460">
        <v>0</v>
      </c>
      <c r="F460">
        <v>0</v>
      </c>
      <c r="G460">
        <v>1372</v>
      </c>
      <c r="H460">
        <v>27</v>
      </c>
      <c r="I460">
        <v>0</v>
      </c>
      <c r="J460">
        <v>1399</v>
      </c>
      <c r="K460" t="s">
        <v>18</v>
      </c>
    </row>
    <row r="461" spans="1:11" x14ac:dyDescent="0.25">
      <c r="A461">
        <v>2003</v>
      </c>
      <c r="B461">
        <v>654</v>
      </c>
      <c r="C461">
        <v>2.11</v>
      </c>
      <c r="D461">
        <v>1382</v>
      </c>
      <c r="E461">
        <v>0</v>
      </c>
      <c r="F461">
        <v>0</v>
      </c>
      <c r="G461">
        <v>1382</v>
      </c>
      <c r="H461">
        <v>28</v>
      </c>
      <c r="I461">
        <v>0</v>
      </c>
      <c r="J461">
        <v>1410</v>
      </c>
      <c r="K461" t="s">
        <v>18</v>
      </c>
    </row>
    <row r="462" spans="1:11" x14ac:dyDescent="0.25">
      <c r="A462">
        <v>2004</v>
      </c>
      <c r="B462">
        <v>293</v>
      </c>
      <c r="C462">
        <v>1.34</v>
      </c>
      <c r="D462">
        <v>393</v>
      </c>
      <c r="E462">
        <v>0</v>
      </c>
      <c r="F462">
        <v>0</v>
      </c>
      <c r="G462">
        <v>393</v>
      </c>
      <c r="H462">
        <v>8</v>
      </c>
      <c r="I462">
        <v>0</v>
      </c>
      <c r="J462">
        <v>401</v>
      </c>
      <c r="K462" t="s">
        <v>18</v>
      </c>
    </row>
    <row r="463" spans="1:11" x14ac:dyDescent="0.25">
      <c r="A463">
        <v>2005</v>
      </c>
      <c r="B463">
        <v>815</v>
      </c>
      <c r="C463">
        <v>2.95</v>
      </c>
      <c r="D463">
        <v>2407</v>
      </c>
      <c r="E463">
        <v>0</v>
      </c>
      <c r="F463">
        <v>0</v>
      </c>
      <c r="G463">
        <v>2407</v>
      </c>
      <c r="H463">
        <v>48</v>
      </c>
      <c r="I463">
        <v>0</v>
      </c>
      <c r="J463">
        <v>2455</v>
      </c>
      <c r="K463" t="s">
        <v>18</v>
      </c>
    </row>
    <row r="464" spans="1:11" x14ac:dyDescent="0.25">
      <c r="A464">
        <v>2006</v>
      </c>
      <c r="B464">
        <v>372</v>
      </c>
      <c r="C464">
        <v>2.89</v>
      </c>
      <c r="D464">
        <v>1076</v>
      </c>
      <c r="E464">
        <v>0</v>
      </c>
      <c r="F464">
        <v>0</v>
      </c>
      <c r="G464">
        <v>1076</v>
      </c>
      <c r="H464">
        <v>22</v>
      </c>
      <c r="I464">
        <v>0</v>
      </c>
      <c r="J464">
        <v>1097</v>
      </c>
      <c r="K464" t="s">
        <v>18</v>
      </c>
    </row>
    <row r="465" spans="1:11" x14ac:dyDescent="0.25">
      <c r="A465">
        <v>2007</v>
      </c>
      <c r="B465">
        <v>118</v>
      </c>
      <c r="C465">
        <v>2.81</v>
      </c>
      <c r="D465">
        <v>332</v>
      </c>
      <c r="E465">
        <v>0</v>
      </c>
      <c r="F465">
        <v>0</v>
      </c>
      <c r="G465">
        <v>332</v>
      </c>
      <c r="H465">
        <v>7</v>
      </c>
      <c r="I465">
        <v>0</v>
      </c>
      <c r="J465">
        <v>338</v>
      </c>
      <c r="K465" t="s">
        <v>18</v>
      </c>
    </row>
    <row r="466" spans="1:11" x14ac:dyDescent="0.25">
      <c r="A466">
        <v>2008</v>
      </c>
      <c r="B466">
        <v>503</v>
      </c>
      <c r="C466">
        <v>2.65</v>
      </c>
      <c r="D466">
        <v>1333</v>
      </c>
      <c r="E466">
        <v>0</v>
      </c>
      <c r="F466">
        <v>0</v>
      </c>
      <c r="G466">
        <v>1333</v>
      </c>
      <c r="H466">
        <v>27</v>
      </c>
      <c r="I466">
        <v>0</v>
      </c>
      <c r="J466">
        <v>1359</v>
      </c>
      <c r="K466" t="s">
        <v>18</v>
      </c>
    </row>
    <row r="467" spans="1:11" x14ac:dyDescent="0.25">
      <c r="A467">
        <v>2009</v>
      </c>
      <c r="B467">
        <v>524</v>
      </c>
      <c r="C467">
        <v>2.93</v>
      </c>
      <c r="D467">
        <v>1534</v>
      </c>
      <c r="E467">
        <v>0</v>
      </c>
      <c r="F467">
        <v>0</v>
      </c>
      <c r="G467">
        <v>1534</v>
      </c>
      <c r="H467">
        <v>31</v>
      </c>
      <c r="I467">
        <v>0</v>
      </c>
      <c r="J467">
        <v>1565</v>
      </c>
      <c r="K467" t="s">
        <v>18</v>
      </c>
    </row>
    <row r="468" spans="1:11" x14ac:dyDescent="0.25">
      <c r="A468">
        <v>2010</v>
      </c>
      <c r="B468">
        <v>278</v>
      </c>
      <c r="C468">
        <v>2.38</v>
      </c>
      <c r="D468">
        <v>659</v>
      </c>
      <c r="E468">
        <v>0</v>
      </c>
      <c r="F468">
        <v>0</v>
      </c>
      <c r="G468">
        <v>659</v>
      </c>
      <c r="H468">
        <v>13</v>
      </c>
      <c r="I468">
        <v>0</v>
      </c>
      <c r="J468">
        <v>673</v>
      </c>
      <c r="K468" t="s">
        <v>18</v>
      </c>
    </row>
    <row r="469" spans="1:11" x14ac:dyDescent="0.25">
      <c r="A469">
        <v>2011</v>
      </c>
      <c r="B469">
        <v>259</v>
      </c>
      <c r="C469">
        <v>2.8</v>
      </c>
      <c r="D469">
        <v>726</v>
      </c>
      <c r="E469">
        <v>0</v>
      </c>
      <c r="F469">
        <v>0</v>
      </c>
      <c r="G469">
        <v>726</v>
      </c>
      <c r="H469">
        <v>15</v>
      </c>
      <c r="I469">
        <v>0</v>
      </c>
      <c r="J469">
        <v>741</v>
      </c>
      <c r="K469" t="s">
        <v>18</v>
      </c>
    </row>
    <row r="470" spans="1:11" x14ac:dyDescent="0.25">
      <c r="A470">
        <v>2012</v>
      </c>
      <c r="B470">
        <v>404</v>
      </c>
      <c r="C470">
        <v>2.95</v>
      </c>
      <c r="D470">
        <v>1191</v>
      </c>
      <c r="E470">
        <v>0</v>
      </c>
      <c r="F470">
        <v>0</v>
      </c>
      <c r="G470">
        <v>1191</v>
      </c>
      <c r="H470">
        <v>24</v>
      </c>
      <c r="I470">
        <v>0</v>
      </c>
      <c r="J470">
        <v>1215</v>
      </c>
      <c r="K470" t="s">
        <v>18</v>
      </c>
    </row>
    <row r="471" spans="1:11" x14ac:dyDescent="0.25">
      <c r="A471">
        <v>2013</v>
      </c>
      <c r="B471">
        <v>220</v>
      </c>
      <c r="C471">
        <v>2.3199999999999998</v>
      </c>
      <c r="D471">
        <v>511</v>
      </c>
      <c r="E471">
        <v>0</v>
      </c>
      <c r="F471">
        <v>0</v>
      </c>
      <c r="G471">
        <v>511</v>
      </c>
      <c r="H471">
        <v>10</v>
      </c>
      <c r="I471">
        <v>0</v>
      </c>
      <c r="J471">
        <v>521</v>
      </c>
      <c r="K471" t="s">
        <v>18</v>
      </c>
    </row>
    <row r="472" spans="1:11" x14ac:dyDescent="0.25">
      <c r="A472">
        <v>2014</v>
      </c>
      <c r="B472">
        <v>201</v>
      </c>
      <c r="C472">
        <v>2.0499999999999998</v>
      </c>
      <c r="D472">
        <v>412</v>
      </c>
      <c r="E472">
        <v>0</v>
      </c>
      <c r="F472">
        <v>0</v>
      </c>
      <c r="G472">
        <v>412</v>
      </c>
      <c r="H472">
        <v>8</v>
      </c>
      <c r="I472">
        <v>0</v>
      </c>
      <c r="J472">
        <v>420</v>
      </c>
      <c r="K472" t="s">
        <v>18</v>
      </c>
    </row>
    <row r="473" spans="1:11" x14ac:dyDescent="0.25">
      <c r="A473">
        <v>2015</v>
      </c>
      <c r="B473">
        <v>543</v>
      </c>
      <c r="C473">
        <v>1.62</v>
      </c>
      <c r="D473">
        <v>879</v>
      </c>
      <c r="E473">
        <v>0</v>
      </c>
      <c r="F473">
        <v>0</v>
      </c>
      <c r="G473">
        <v>879</v>
      </c>
      <c r="H473">
        <v>18</v>
      </c>
      <c r="I473">
        <v>0</v>
      </c>
      <c r="J473">
        <v>896</v>
      </c>
      <c r="K473" t="s">
        <v>18</v>
      </c>
    </row>
    <row r="474" spans="1:11" x14ac:dyDescent="0.25">
      <c r="A474">
        <v>2016</v>
      </c>
      <c r="B474">
        <v>672</v>
      </c>
      <c r="C474">
        <v>2.25</v>
      </c>
      <c r="D474">
        <v>1511</v>
      </c>
      <c r="E474">
        <v>0</v>
      </c>
      <c r="F474">
        <v>0</v>
      </c>
      <c r="G474">
        <v>1511</v>
      </c>
      <c r="H474">
        <v>30</v>
      </c>
      <c r="I474">
        <v>0</v>
      </c>
      <c r="J474">
        <v>1542</v>
      </c>
      <c r="K474" t="s">
        <v>18</v>
      </c>
    </row>
    <row r="475" spans="1:11" x14ac:dyDescent="0.25">
      <c r="A475">
        <v>2017</v>
      </c>
      <c r="B475">
        <v>555</v>
      </c>
      <c r="C475">
        <v>2.58</v>
      </c>
      <c r="D475">
        <v>1435</v>
      </c>
      <c r="E475">
        <v>0</v>
      </c>
      <c r="F475">
        <v>0</v>
      </c>
      <c r="G475">
        <v>1435</v>
      </c>
      <c r="H475">
        <v>29</v>
      </c>
      <c r="I475">
        <v>0</v>
      </c>
      <c r="J475">
        <v>1463</v>
      </c>
      <c r="K475" t="s">
        <v>18</v>
      </c>
    </row>
    <row r="476" spans="1:11" x14ac:dyDescent="0.25">
      <c r="A476">
        <v>2018</v>
      </c>
      <c r="B476">
        <v>919</v>
      </c>
      <c r="C476">
        <v>2.27</v>
      </c>
      <c r="D476">
        <v>2088</v>
      </c>
      <c r="E476">
        <v>0</v>
      </c>
      <c r="F476">
        <v>0</v>
      </c>
      <c r="G476">
        <v>2088</v>
      </c>
      <c r="H476">
        <v>42</v>
      </c>
      <c r="I476">
        <v>0</v>
      </c>
      <c r="J476">
        <v>2130</v>
      </c>
      <c r="K476" t="s">
        <v>18</v>
      </c>
    </row>
    <row r="477" spans="1:11" x14ac:dyDescent="0.25">
      <c r="A477">
        <v>2019</v>
      </c>
      <c r="B477">
        <v>858</v>
      </c>
      <c r="C477">
        <v>2.54</v>
      </c>
      <c r="D477">
        <v>2182</v>
      </c>
      <c r="E477">
        <v>0</v>
      </c>
      <c r="F477">
        <v>0</v>
      </c>
      <c r="G477">
        <v>2182</v>
      </c>
      <c r="H477">
        <v>44</v>
      </c>
      <c r="I477">
        <v>0</v>
      </c>
      <c r="J477">
        <v>2225</v>
      </c>
      <c r="K477" t="s">
        <v>18</v>
      </c>
    </row>
    <row r="478" spans="1:11" x14ac:dyDescent="0.25">
      <c r="A478">
        <v>2020</v>
      </c>
      <c r="B478">
        <v>624</v>
      </c>
      <c r="C478">
        <v>3.05</v>
      </c>
      <c r="D478">
        <v>1902</v>
      </c>
      <c r="E478">
        <v>0</v>
      </c>
      <c r="F478">
        <v>0</v>
      </c>
      <c r="G478">
        <v>1902</v>
      </c>
      <c r="H478">
        <v>38</v>
      </c>
      <c r="I478">
        <v>0</v>
      </c>
      <c r="J478">
        <v>1940</v>
      </c>
      <c r="K478" t="s">
        <v>18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529E-9D09-42EF-8EB2-75E1E892CD5F}">
  <dimension ref="A3:V48"/>
  <sheetViews>
    <sheetView workbookViewId="0">
      <selection activeCell="K11" sqref="K11"/>
    </sheetView>
  </sheetViews>
  <sheetFormatPr defaultRowHeight="15" x14ac:dyDescent="0.25"/>
  <cols>
    <col min="2" max="2" width="11.7109375" customWidth="1"/>
    <col min="3" max="3" width="12.140625" customWidth="1"/>
    <col min="12" max="12" width="13.7109375" bestFit="1" customWidth="1"/>
    <col min="13" max="13" width="16.28515625" bestFit="1" customWidth="1"/>
    <col min="14" max="14" width="8.28515625" bestFit="1" customWidth="1"/>
    <col min="15" max="15" width="10.28515625" bestFit="1" customWidth="1"/>
    <col min="16" max="16" width="6" bestFit="1" customWidth="1"/>
    <col min="17" max="18" width="8.140625" bestFit="1" customWidth="1"/>
    <col min="19" max="19" width="9.7109375" bestFit="1" customWidth="1"/>
    <col min="20" max="20" width="10.140625" bestFit="1" customWidth="1"/>
    <col min="21" max="21" width="12.5703125" bestFit="1" customWidth="1"/>
    <col min="22" max="22" width="11.28515625" bestFit="1" customWidth="1"/>
    <col min="23" max="23" width="13.7109375" bestFit="1" customWidth="1"/>
    <col min="24" max="24" width="10.140625" bestFit="1" customWidth="1"/>
    <col min="25" max="25" width="13.7109375" bestFit="1" customWidth="1"/>
    <col min="26" max="26" width="10.140625" bestFit="1" customWidth="1"/>
    <col min="27" max="27" width="13.7109375" bestFit="1" customWidth="1"/>
    <col min="28" max="28" width="10.140625" bestFit="1" customWidth="1"/>
    <col min="29" max="29" width="13.7109375" bestFit="1" customWidth="1"/>
    <col min="30" max="30" width="10.140625" bestFit="1" customWidth="1"/>
    <col min="31" max="31" width="18.7109375" bestFit="1" customWidth="1"/>
    <col min="32" max="32" width="15.140625" bestFit="1" customWidth="1"/>
  </cols>
  <sheetData>
    <row r="3" spans="1:22" x14ac:dyDescent="0.25">
      <c r="A3" t="s">
        <v>26</v>
      </c>
      <c r="B3" t="s">
        <v>27</v>
      </c>
      <c r="C3" t="s">
        <v>28</v>
      </c>
      <c r="D3" t="s">
        <v>36</v>
      </c>
      <c r="E3" t="s">
        <v>29</v>
      </c>
      <c r="F3" t="s">
        <v>34</v>
      </c>
      <c r="G3" t="s">
        <v>30</v>
      </c>
      <c r="H3" t="s">
        <v>31</v>
      </c>
    </row>
    <row r="4" spans="1:22" x14ac:dyDescent="0.25">
      <c r="A4">
        <v>2016</v>
      </c>
      <c r="B4" t="s">
        <v>24</v>
      </c>
      <c r="C4" t="s">
        <v>25</v>
      </c>
      <c r="D4" s="4">
        <v>0.96299999999999997</v>
      </c>
      <c r="E4">
        <v>177</v>
      </c>
      <c r="F4">
        <f>H4+G4</f>
        <v>18.96</v>
      </c>
      <c r="G4">
        <v>9.77</v>
      </c>
      <c r="H4">
        <v>9.19</v>
      </c>
    </row>
    <row r="5" spans="1:22" x14ac:dyDescent="0.25">
      <c r="A5">
        <v>2017</v>
      </c>
      <c r="B5" t="s">
        <v>24</v>
      </c>
      <c r="C5" t="s">
        <v>25</v>
      </c>
      <c r="D5" s="4">
        <v>0.94</v>
      </c>
      <c r="E5">
        <v>217</v>
      </c>
      <c r="F5">
        <f t="shared" ref="F5:F8" si="0">H5+G5</f>
        <v>22.189999999999998</v>
      </c>
      <c r="G5">
        <v>10.83</v>
      </c>
      <c r="H5">
        <v>11.36</v>
      </c>
      <c r="L5" s="1" t="s">
        <v>42</v>
      </c>
      <c r="M5" s="1" t="s">
        <v>22</v>
      </c>
    </row>
    <row r="6" spans="1:22" x14ac:dyDescent="0.25">
      <c r="A6">
        <v>2018</v>
      </c>
      <c r="B6" t="s">
        <v>24</v>
      </c>
      <c r="C6" t="s">
        <v>25</v>
      </c>
      <c r="D6" s="4">
        <v>0.95</v>
      </c>
      <c r="E6">
        <v>191</v>
      </c>
      <c r="F6">
        <f t="shared" si="0"/>
        <v>22.439999999999998</v>
      </c>
      <c r="G6">
        <v>9.32</v>
      </c>
      <c r="H6">
        <v>13.12</v>
      </c>
      <c r="L6" s="1" t="s">
        <v>20</v>
      </c>
      <c r="M6" t="s">
        <v>32</v>
      </c>
      <c r="N6" t="s">
        <v>37</v>
      </c>
      <c r="O6" t="s">
        <v>14</v>
      </c>
      <c r="P6" t="s">
        <v>24</v>
      </c>
      <c r="Q6" t="s">
        <v>17</v>
      </c>
      <c r="R6" t="s">
        <v>13</v>
      </c>
      <c r="S6" t="s">
        <v>40</v>
      </c>
      <c r="T6" t="s">
        <v>35</v>
      </c>
      <c r="U6" t="s">
        <v>38</v>
      </c>
      <c r="V6" t="s">
        <v>21</v>
      </c>
    </row>
    <row r="7" spans="1:22" x14ac:dyDescent="0.25">
      <c r="A7">
        <v>2019</v>
      </c>
      <c r="B7" t="s">
        <v>24</v>
      </c>
      <c r="C7" t="s">
        <v>25</v>
      </c>
      <c r="D7" s="4">
        <v>0.98</v>
      </c>
      <c r="E7">
        <v>192</v>
      </c>
      <c r="F7">
        <f t="shared" si="0"/>
        <v>20.100000000000001</v>
      </c>
      <c r="G7">
        <v>8.52</v>
      </c>
      <c r="H7">
        <v>11.58</v>
      </c>
      <c r="L7" s="2">
        <v>2016</v>
      </c>
      <c r="M7" s="3">
        <v>14.699999999999998</v>
      </c>
      <c r="N7" s="3">
        <v>21.64</v>
      </c>
      <c r="O7" s="3">
        <v>24.550000000000004</v>
      </c>
      <c r="P7" s="3">
        <v>9.19</v>
      </c>
      <c r="Q7" s="3">
        <v>27.69</v>
      </c>
      <c r="R7" s="3">
        <v>14.63</v>
      </c>
      <c r="S7" s="3">
        <v>34.44</v>
      </c>
      <c r="T7" s="3">
        <v>17</v>
      </c>
      <c r="U7" s="3">
        <v>37.520000000000003</v>
      </c>
      <c r="V7" s="3">
        <v>201.35999999999999</v>
      </c>
    </row>
    <row r="8" spans="1:22" x14ac:dyDescent="0.25">
      <c r="A8">
        <v>2020</v>
      </c>
      <c r="B8" t="s">
        <v>24</v>
      </c>
      <c r="C8" t="s">
        <v>25</v>
      </c>
      <c r="D8" s="4">
        <v>0.97</v>
      </c>
      <c r="E8">
        <v>210</v>
      </c>
      <c r="F8">
        <f t="shared" si="0"/>
        <v>23.13</v>
      </c>
      <c r="G8">
        <v>2.57</v>
      </c>
      <c r="H8">
        <v>20.56</v>
      </c>
      <c r="L8" s="2">
        <v>2017</v>
      </c>
      <c r="M8" s="3">
        <v>18.920000000000002</v>
      </c>
      <c r="N8" s="3">
        <v>25.75</v>
      </c>
      <c r="O8" s="3">
        <v>28.290000000000003</v>
      </c>
      <c r="P8" s="3">
        <v>11.36</v>
      </c>
      <c r="Q8" s="3">
        <v>29.05</v>
      </c>
      <c r="R8" s="3">
        <v>18.850000000000001</v>
      </c>
      <c r="S8" s="3">
        <v>34.879999999999995</v>
      </c>
      <c r="T8" s="3">
        <v>19.46</v>
      </c>
      <c r="U8" s="3">
        <v>40.049999999999997</v>
      </c>
      <c r="V8" s="3">
        <v>226.61</v>
      </c>
    </row>
    <row r="9" spans="1:22" x14ac:dyDescent="0.25">
      <c r="A9">
        <v>2016</v>
      </c>
      <c r="B9" t="s">
        <v>32</v>
      </c>
      <c r="C9" t="s">
        <v>33</v>
      </c>
      <c r="D9" s="4">
        <v>0.95</v>
      </c>
      <c r="E9">
        <v>244</v>
      </c>
      <c r="F9">
        <v>26.58</v>
      </c>
      <c r="G9">
        <v>11.88</v>
      </c>
      <c r="H9">
        <f>F9-G9</f>
        <v>14.699999999999998</v>
      </c>
      <c r="L9" s="2">
        <v>2018</v>
      </c>
      <c r="M9" s="3">
        <v>18.32</v>
      </c>
      <c r="N9" s="3">
        <v>21.52</v>
      </c>
      <c r="O9" s="3">
        <v>25.66</v>
      </c>
      <c r="P9" s="3">
        <v>13.12</v>
      </c>
      <c r="Q9" s="3">
        <v>24.950000000000003</v>
      </c>
      <c r="R9" s="3">
        <v>18.23</v>
      </c>
      <c r="S9" s="3">
        <v>35.99</v>
      </c>
      <c r="T9" s="3">
        <v>17.869999999999997</v>
      </c>
      <c r="U9" s="3">
        <v>31.21</v>
      </c>
      <c r="V9" s="3">
        <v>206.87000000000003</v>
      </c>
    </row>
    <row r="10" spans="1:22" x14ac:dyDescent="0.25">
      <c r="A10">
        <v>2017</v>
      </c>
      <c r="B10" t="s">
        <v>32</v>
      </c>
      <c r="C10" t="s">
        <v>33</v>
      </c>
      <c r="D10" s="4">
        <v>0.95</v>
      </c>
      <c r="E10">
        <v>244</v>
      </c>
      <c r="F10">
        <v>25.8</v>
      </c>
      <c r="G10">
        <v>6.88</v>
      </c>
      <c r="H10">
        <f t="shared" ref="H10:H48" si="1">F10-G10</f>
        <v>18.920000000000002</v>
      </c>
      <c r="L10" s="2">
        <v>2019</v>
      </c>
      <c r="M10" s="3">
        <v>19.059999999999999</v>
      </c>
      <c r="N10" s="3">
        <v>22.44</v>
      </c>
      <c r="O10" s="3">
        <v>24.06</v>
      </c>
      <c r="P10" s="3">
        <v>11.58</v>
      </c>
      <c r="Q10" s="3">
        <v>24.729999999999997</v>
      </c>
      <c r="R10" s="3">
        <v>19.29</v>
      </c>
      <c r="S10" s="3">
        <v>33.269999999999996</v>
      </c>
      <c r="T10" s="3">
        <v>17.07</v>
      </c>
      <c r="U10" s="3">
        <v>31.320000000000004</v>
      </c>
      <c r="V10" s="3">
        <v>202.82</v>
      </c>
    </row>
    <row r="11" spans="1:22" x14ac:dyDescent="0.25">
      <c r="A11">
        <v>2018</v>
      </c>
      <c r="B11" t="s">
        <v>32</v>
      </c>
      <c r="C11" t="s">
        <v>33</v>
      </c>
      <c r="D11" s="4">
        <v>0.92</v>
      </c>
      <c r="E11">
        <v>235</v>
      </c>
      <c r="F11">
        <v>29.77</v>
      </c>
      <c r="G11">
        <v>11.45</v>
      </c>
      <c r="H11">
        <f t="shared" si="1"/>
        <v>18.32</v>
      </c>
      <c r="L11" s="2">
        <v>2020</v>
      </c>
      <c r="M11" s="3">
        <v>24.14</v>
      </c>
      <c r="N11" s="3">
        <v>23.18</v>
      </c>
      <c r="O11" s="3">
        <v>33.309999999999995</v>
      </c>
      <c r="P11" s="3">
        <v>20.56</v>
      </c>
      <c r="Q11" s="3">
        <v>32.26</v>
      </c>
      <c r="R11" s="3">
        <v>24.06</v>
      </c>
      <c r="S11" s="3">
        <v>36.44</v>
      </c>
      <c r="T11" s="3">
        <v>20.83</v>
      </c>
      <c r="U11" s="3">
        <v>38.54</v>
      </c>
      <c r="V11" s="3">
        <v>253.31999999999996</v>
      </c>
    </row>
    <row r="12" spans="1:22" x14ac:dyDescent="0.25">
      <c r="A12">
        <v>2019</v>
      </c>
      <c r="B12" t="s">
        <v>32</v>
      </c>
      <c r="C12" t="s">
        <v>33</v>
      </c>
      <c r="D12" s="4">
        <v>0.93</v>
      </c>
      <c r="E12">
        <v>227</v>
      </c>
      <c r="F12">
        <v>26.95</v>
      </c>
      <c r="G12">
        <v>7.89</v>
      </c>
      <c r="H12">
        <f t="shared" si="1"/>
        <v>19.059999999999999</v>
      </c>
      <c r="L12" s="2" t="s">
        <v>21</v>
      </c>
      <c r="M12" s="3">
        <v>95.14</v>
      </c>
      <c r="N12" s="3">
        <v>114.53</v>
      </c>
      <c r="O12" s="3">
        <v>135.87</v>
      </c>
      <c r="P12" s="3">
        <v>65.809999999999988</v>
      </c>
      <c r="Q12" s="3">
        <v>138.67999999999998</v>
      </c>
      <c r="R12" s="3">
        <v>95.06</v>
      </c>
      <c r="S12" s="3">
        <v>175.01999999999998</v>
      </c>
      <c r="T12" s="3">
        <v>92.23</v>
      </c>
      <c r="U12" s="3">
        <v>178.64</v>
      </c>
      <c r="V12" s="3">
        <v>1090.98</v>
      </c>
    </row>
    <row r="13" spans="1:22" x14ac:dyDescent="0.25">
      <c r="A13">
        <v>2020</v>
      </c>
      <c r="B13" t="s">
        <v>32</v>
      </c>
      <c r="C13" t="s">
        <v>33</v>
      </c>
      <c r="D13" s="4">
        <v>0.97</v>
      </c>
      <c r="E13">
        <v>243</v>
      </c>
      <c r="F13">
        <v>28.98</v>
      </c>
      <c r="G13">
        <v>4.84</v>
      </c>
      <c r="H13">
        <f t="shared" si="1"/>
        <v>24.14</v>
      </c>
    </row>
    <row r="14" spans="1:22" x14ac:dyDescent="0.25">
      <c r="A14">
        <v>2016</v>
      </c>
      <c r="B14" t="s">
        <v>13</v>
      </c>
      <c r="C14" t="s">
        <v>33</v>
      </c>
      <c r="D14" s="4">
        <v>0.94</v>
      </c>
      <c r="E14">
        <v>244</v>
      </c>
      <c r="F14">
        <v>26.51</v>
      </c>
      <c r="G14">
        <v>11.88</v>
      </c>
      <c r="H14">
        <f t="shared" si="1"/>
        <v>14.63</v>
      </c>
    </row>
    <row r="15" spans="1:22" x14ac:dyDescent="0.25">
      <c r="A15">
        <v>2017</v>
      </c>
      <c r="B15" t="s">
        <v>13</v>
      </c>
      <c r="C15" t="s">
        <v>33</v>
      </c>
      <c r="D15" s="4">
        <v>0.85</v>
      </c>
      <c r="E15">
        <v>244</v>
      </c>
      <c r="F15">
        <v>25.73</v>
      </c>
      <c r="G15">
        <v>6.88</v>
      </c>
      <c r="H15">
        <f t="shared" si="1"/>
        <v>18.850000000000001</v>
      </c>
    </row>
    <row r="16" spans="1:22" x14ac:dyDescent="0.25">
      <c r="A16">
        <v>2018</v>
      </c>
      <c r="B16" t="s">
        <v>13</v>
      </c>
      <c r="C16" t="s">
        <v>33</v>
      </c>
      <c r="D16" s="4">
        <v>0.85899999999999999</v>
      </c>
      <c r="E16">
        <v>235</v>
      </c>
      <c r="F16">
        <v>29.68</v>
      </c>
      <c r="G16">
        <v>11.45</v>
      </c>
      <c r="H16">
        <f t="shared" si="1"/>
        <v>18.23</v>
      </c>
    </row>
    <row r="17" spans="1:8" x14ac:dyDescent="0.25">
      <c r="A17">
        <v>2019</v>
      </c>
      <c r="B17" t="s">
        <v>13</v>
      </c>
      <c r="C17" t="s">
        <v>33</v>
      </c>
      <c r="D17" s="4">
        <v>0.91</v>
      </c>
      <c r="E17">
        <v>231</v>
      </c>
      <c r="F17">
        <v>27.18</v>
      </c>
      <c r="G17">
        <v>7.89</v>
      </c>
      <c r="H17">
        <f t="shared" si="1"/>
        <v>19.29</v>
      </c>
    </row>
    <row r="18" spans="1:8" x14ac:dyDescent="0.25">
      <c r="A18">
        <v>2020</v>
      </c>
      <c r="B18" t="s">
        <v>13</v>
      </c>
      <c r="C18" t="s">
        <v>33</v>
      </c>
      <c r="D18" s="4">
        <v>0.82</v>
      </c>
      <c r="E18">
        <v>243</v>
      </c>
      <c r="F18">
        <v>28.9</v>
      </c>
      <c r="G18">
        <v>4.84</v>
      </c>
      <c r="H18">
        <f>F18-G18</f>
        <v>24.06</v>
      </c>
    </row>
    <row r="19" spans="1:8" x14ac:dyDescent="0.25">
      <c r="A19">
        <v>2016</v>
      </c>
      <c r="B19" t="s">
        <v>14</v>
      </c>
      <c r="C19" t="s">
        <v>33</v>
      </c>
      <c r="D19" s="4">
        <v>0.47</v>
      </c>
      <c r="E19">
        <v>310</v>
      </c>
      <c r="F19">
        <v>34.32</v>
      </c>
      <c r="G19">
        <v>13.12</v>
      </c>
      <c r="H19">
        <f>F19-G19</f>
        <v>21.200000000000003</v>
      </c>
    </row>
    <row r="20" spans="1:8" x14ac:dyDescent="0.25">
      <c r="A20">
        <v>2017</v>
      </c>
      <c r="B20" t="s">
        <v>14</v>
      </c>
      <c r="C20" t="s">
        <v>33</v>
      </c>
      <c r="D20" s="4">
        <v>0.53</v>
      </c>
      <c r="E20">
        <v>303</v>
      </c>
      <c r="F20">
        <v>33.450000000000003</v>
      </c>
      <c r="G20">
        <v>7.91</v>
      </c>
      <c r="H20">
        <f t="shared" ref="H20:H22" si="2">F20-G20</f>
        <v>25.540000000000003</v>
      </c>
    </row>
    <row r="21" spans="1:8" x14ac:dyDescent="0.25">
      <c r="A21">
        <v>2018</v>
      </c>
      <c r="B21" t="s">
        <v>14</v>
      </c>
      <c r="C21" t="s">
        <v>33</v>
      </c>
      <c r="D21" s="4">
        <v>0.52</v>
      </c>
      <c r="E21">
        <v>286</v>
      </c>
      <c r="F21">
        <v>32.659999999999997</v>
      </c>
      <c r="G21">
        <v>11.1</v>
      </c>
      <c r="H21">
        <f t="shared" si="2"/>
        <v>21.559999999999995</v>
      </c>
    </row>
    <row r="22" spans="1:8" x14ac:dyDescent="0.25">
      <c r="A22">
        <v>2019</v>
      </c>
      <c r="B22" t="s">
        <v>14</v>
      </c>
      <c r="C22" t="s">
        <v>33</v>
      </c>
      <c r="D22" s="4">
        <v>0.55000000000000004</v>
      </c>
      <c r="E22">
        <v>275</v>
      </c>
      <c r="F22">
        <v>30.76</v>
      </c>
      <c r="G22">
        <v>10.49</v>
      </c>
      <c r="H22">
        <f t="shared" si="2"/>
        <v>20.270000000000003</v>
      </c>
    </row>
    <row r="23" spans="1:8" x14ac:dyDescent="0.25">
      <c r="A23">
        <v>2020</v>
      </c>
      <c r="B23" t="s">
        <v>14</v>
      </c>
      <c r="C23" t="s">
        <v>33</v>
      </c>
      <c r="D23" s="4">
        <v>0.33</v>
      </c>
      <c r="E23">
        <v>283</v>
      </c>
      <c r="F23">
        <v>34.31</v>
      </c>
      <c r="G23">
        <v>5</v>
      </c>
      <c r="H23">
        <f>F23-G23</f>
        <v>29.310000000000002</v>
      </c>
    </row>
    <row r="24" spans="1:8" x14ac:dyDescent="0.25">
      <c r="A24">
        <v>2016</v>
      </c>
      <c r="B24" t="s">
        <v>35</v>
      </c>
      <c r="C24" t="s">
        <v>33</v>
      </c>
      <c r="D24">
        <v>53.8</v>
      </c>
      <c r="E24">
        <v>262</v>
      </c>
      <c r="F24">
        <v>28.31</v>
      </c>
      <c r="G24">
        <v>11.31</v>
      </c>
      <c r="H24">
        <f t="shared" si="1"/>
        <v>17</v>
      </c>
    </row>
    <row r="25" spans="1:8" x14ac:dyDescent="0.25">
      <c r="A25">
        <v>2017</v>
      </c>
      <c r="B25" t="s">
        <v>35</v>
      </c>
      <c r="C25" t="s">
        <v>33</v>
      </c>
      <c r="D25" s="4">
        <v>0.85599999999999998</v>
      </c>
      <c r="E25">
        <v>279</v>
      </c>
      <c r="F25">
        <v>29.13</v>
      </c>
      <c r="G25">
        <v>9.67</v>
      </c>
      <c r="H25">
        <f t="shared" si="1"/>
        <v>19.46</v>
      </c>
    </row>
    <row r="26" spans="1:8" x14ac:dyDescent="0.25">
      <c r="A26">
        <v>2018</v>
      </c>
      <c r="B26" t="s">
        <v>35</v>
      </c>
      <c r="C26" t="s">
        <v>33</v>
      </c>
      <c r="D26" s="4">
        <v>0.84699999999999998</v>
      </c>
      <c r="E26">
        <v>248</v>
      </c>
      <c r="F26">
        <v>27.97</v>
      </c>
      <c r="G26">
        <v>10.1</v>
      </c>
      <c r="H26">
        <f t="shared" si="1"/>
        <v>17.869999999999997</v>
      </c>
    </row>
    <row r="27" spans="1:8" x14ac:dyDescent="0.25">
      <c r="A27">
        <v>2019</v>
      </c>
      <c r="B27" t="s">
        <v>35</v>
      </c>
      <c r="C27" t="s">
        <v>33</v>
      </c>
      <c r="D27" s="4">
        <v>0.93</v>
      </c>
      <c r="E27">
        <v>251</v>
      </c>
      <c r="F27">
        <v>27.46</v>
      </c>
      <c r="G27">
        <v>10.39</v>
      </c>
      <c r="H27">
        <f t="shared" si="1"/>
        <v>17.07</v>
      </c>
    </row>
    <row r="28" spans="1:8" x14ac:dyDescent="0.25">
      <c r="A28">
        <v>2020</v>
      </c>
      <c r="B28" t="s">
        <v>35</v>
      </c>
      <c r="C28" t="s">
        <v>33</v>
      </c>
      <c r="D28" s="4">
        <v>0.7</v>
      </c>
      <c r="E28">
        <v>257</v>
      </c>
      <c r="F28">
        <v>27.77</v>
      </c>
      <c r="G28">
        <v>6.94</v>
      </c>
      <c r="H28">
        <f t="shared" si="1"/>
        <v>20.83</v>
      </c>
    </row>
    <row r="29" spans="1:8" x14ac:dyDescent="0.25">
      <c r="A29">
        <v>2016</v>
      </c>
      <c r="B29" t="s">
        <v>37</v>
      </c>
      <c r="C29" t="s">
        <v>33</v>
      </c>
      <c r="D29" s="4">
        <v>0.54900000000000004</v>
      </c>
      <c r="E29">
        <v>278</v>
      </c>
      <c r="F29">
        <v>31.45</v>
      </c>
      <c r="G29">
        <v>9.81</v>
      </c>
      <c r="H29">
        <f t="shared" si="1"/>
        <v>21.64</v>
      </c>
    </row>
    <row r="30" spans="1:8" x14ac:dyDescent="0.25">
      <c r="A30">
        <v>2017</v>
      </c>
      <c r="B30" t="s">
        <v>37</v>
      </c>
      <c r="C30" t="s">
        <v>33</v>
      </c>
      <c r="D30" s="4">
        <v>0.54300000000000004</v>
      </c>
      <c r="E30">
        <v>286</v>
      </c>
      <c r="F30">
        <v>31.44</v>
      </c>
      <c r="G30">
        <v>5.69</v>
      </c>
      <c r="H30">
        <f t="shared" si="1"/>
        <v>25.75</v>
      </c>
    </row>
    <row r="31" spans="1:8" x14ac:dyDescent="0.25">
      <c r="A31">
        <v>2018</v>
      </c>
      <c r="B31" t="s">
        <v>37</v>
      </c>
      <c r="C31" t="s">
        <v>33</v>
      </c>
      <c r="D31" s="4">
        <v>0.77</v>
      </c>
      <c r="E31">
        <v>263</v>
      </c>
      <c r="F31">
        <v>31.18</v>
      </c>
      <c r="G31">
        <v>9.66</v>
      </c>
      <c r="H31">
        <f t="shared" si="1"/>
        <v>21.52</v>
      </c>
    </row>
    <row r="32" spans="1:8" x14ac:dyDescent="0.25">
      <c r="A32">
        <v>2019</v>
      </c>
      <c r="B32" t="s">
        <v>37</v>
      </c>
      <c r="C32" t="s">
        <v>33</v>
      </c>
      <c r="D32" s="4">
        <v>0.83</v>
      </c>
      <c r="E32">
        <v>262</v>
      </c>
      <c r="F32">
        <v>29.66</v>
      </c>
      <c r="G32">
        <v>7.22</v>
      </c>
      <c r="H32">
        <f t="shared" si="1"/>
        <v>22.44</v>
      </c>
    </row>
    <row r="33" spans="1:8" x14ac:dyDescent="0.25">
      <c r="A33">
        <v>2020</v>
      </c>
      <c r="B33" t="s">
        <v>37</v>
      </c>
      <c r="C33" t="s">
        <v>33</v>
      </c>
      <c r="D33" s="4">
        <v>0.70499999999999996</v>
      </c>
      <c r="E33">
        <v>269</v>
      </c>
      <c r="F33">
        <v>31.19</v>
      </c>
      <c r="G33">
        <v>8</v>
      </c>
      <c r="H33">
        <v>23.18</v>
      </c>
    </row>
    <row r="34" spans="1:8" x14ac:dyDescent="0.25">
      <c r="A34">
        <v>2016</v>
      </c>
      <c r="B34" t="s">
        <v>17</v>
      </c>
      <c r="C34" t="s">
        <v>33</v>
      </c>
      <c r="D34" s="4">
        <v>0.44</v>
      </c>
      <c r="E34">
        <v>330</v>
      </c>
      <c r="F34">
        <v>38.17</v>
      </c>
      <c r="G34">
        <v>10.48</v>
      </c>
      <c r="H34">
        <f t="shared" si="1"/>
        <v>27.69</v>
      </c>
    </row>
    <row r="35" spans="1:8" x14ac:dyDescent="0.25">
      <c r="A35">
        <v>2017</v>
      </c>
      <c r="B35" t="s">
        <v>17</v>
      </c>
      <c r="C35" t="s">
        <v>33</v>
      </c>
      <c r="D35" s="4">
        <v>0.56000000000000005</v>
      </c>
      <c r="E35">
        <v>324</v>
      </c>
      <c r="F35">
        <v>36.39</v>
      </c>
      <c r="G35">
        <v>7.34</v>
      </c>
      <c r="H35">
        <f t="shared" si="1"/>
        <v>29.05</v>
      </c>
    </row>
    <row r="36" spans="1:8" x14ac:dyDescent="0.25">
      <c r="A36">
        <v>2018</v>
      </c>
      <c r="B36" t="s">
        <v>17</v>
      </c>
      <c r="C36" t="s">
        <v>33</v>
      </c>
      <c r="D36" s="4">
        <v>0.51</v>
      </c>
      <c r="E36">
        <v>306</v>
      </c>
      <c r="F36">
        <v>36.840000000000003</v>
      </c>
      <c r="G36">
        <v>11.89</v>
      </c>
      <c r="H36">
        <f t="shared" si="1"/>
        <v>24.950000000000003</v>
      </c>
    </row>
    <row r="37" spans="1:8" x14ac:dyDescent="0.25">
      <c r="A37">
        <v>2019</v>
      </c>
      <c r="B37" t="s">
        <v>17</v>
      </c>
      <c r="C37" t="s">
        <v>33</v>
      </c>
      <c r="D37" s="4">
        <v>0.45</v>
      </c>
      <c r="E37">
        <v>291</v>
      </c>
      <c r="F37">
        <v>33.79</v>
      </c>
      <c r="G37">
        <v>9.06</v>
      </c>
      <c r="H37">
        <f t="shared" si="1"/>
        <v>24.729999999999997</v>
      </c>
    </row>
    <row r="38" spans="1:8" x14ac:dyDescent="0.25">
      <c r="A38">
        <v>2020</v>
      </c>
      <c r="B38" t="s">
        <v>17</v>
      </c>
      <c r="C38" t="s">
        <v>33</v>
      </c>
      <c r="D38" s="4">
        <v>0.33</v>
      </c>
      <c r="E38">
        <v>300</v>
      </c>
      <c r="F38">
        <v>36.71</v>
      </c>
      <c r="G38">
        <v>4.45</v>
      </c>
      <c r="H38">
        <f t="shared" si="1"/>
        <v>32.26</v>
      </c>
    </row>
    <row r="39" spans="1:8" x14ac:dyDescent="0.25">
      <c r="A39">
        <v>2016</v>
      </c>
      <c r="B39" t="s">
        <v>38</v>
      </c>
      <c r="C39" t="s">
        <v>39</v>
      </c>
      <c r="D39" s="4">
        <v>0.75</v>
      </c>
      <c r="E39">
        <v>335</v>
      </c>
      <c r="F39">
        <v>44.35</v>
      </c>
      <c r="G39">
        <v>6.83</v>
      </c>
      <c r="H39">
        <f t="shared" si="1"/>
        <v>37.520000000000003</v>
      </c>
    </row>
    <row r="40" spans="1:8" x14ac:dyDescent="0.25">
      <c r="A40">
        <v>2017</v>
      </c>
      <c r="B40" t="s">
        <v>38</v>
      </c>
      <c r="C40" t="s">
        <v>39</v>
      </c>
      <c r="D40" s="4">
        <v>0.66</v>
      </c>
      <c r="E40">
        <v>348</v>
      </c>
      <c r="F40">
        <v>44.53</v>
      </c>
      <c r="G40">
        <v>4.4800000000000004</v>
      </c>
      <c r="H40">
        <f t="shared" si="1"/>
        <v>40.049999999999997</v>
      </c>
    </row>
    <row r="41" spans="1:8" x14ac:dyDescent="0.25">
      <c r="A41">
        <v>2018</v>
      </c>
      <c r="B41" t="s">
        <v>38</v>
      </c>
      <c r="C41" t="s">
        <v>39</v>
      </c>
      <c r="D41" s="4">
        <v>0.71</v>
      </c>
      <c r="E41">
        <v>322</v>
      </c>
      <c r="F41">
        <v>43.52</v>
      </c>
      <c r="G41">
        <v>12.31</v>
      </c>
      <c r="H41">
        <f t="shared" si="1"/>
        <v>31.21</v>
      </c>
    </row>
    <row r="42" spans="1:8" x14ac:dyDescent="0.25">
      <c r="A42">
        <v>2019</v>
      </c>
      <c r="B42" t="s">
        <v>38</v>
      </c>
      <c r="C42" t="s">
        <v>39</v>
      </c>
      <c r="D42" s="4">
        <v>0.44</v>
      </c>
      <c r="E42">
        <v>298</v>
      </c>
      <c r="F42">
        <v>38.630000000000003</v>
      </c>
      <c r="G42">
        <v>7.31</v>
      </c>
      <c r="H42">
        <f t="shared" si="1"/>
        <v>31.320000000000004</v>
      </c>
    </row>
    <row r="43" spans="1:8" x14ac:dyDescent="0.25">
      <c r="A43">
        <v>2020</v>
      </c>
      <c r="B43" t="s">
        <v>38</v>
      </c>
      <c r="C43" t="s">
        <v>39</v>
      </c>
      <c r="D43" s="4">
        <v>0</v>
      </c>
      <c r="E43">
        <v>313</v>
      </c>
      <c r="F43">
        <v>42.86</v>
      </c>
      <c r="G43">
        <v>4.32</v>
      </c>
      <c r="H43">
        <f t="shared" si="1"/>
        <v>38.54</v>
      </c>
    </row>
    <row r="44" spans="1:8" x14ac:dyDescent="0.25">
      <c r="A44">
        <v>2016</v>
      </c>
      <c r="B44" t="s">
        <v>40</v>
      </c>
      <c r="C44" t="s">
        <v>25</v>
      </c>
      <c r="D44" s="4">
        <v>0.27</v>
      </c>
      <c r="E44">
        <v>343</v>
      </c>
      <c r="F44">
        <v>43.29</v>
      </c>
      <c r="G44">
        <v>8.85</v>
      </c>
      <c r="H44">
        <f t="shared" si="1"/>
        <v>34.44</v>
      </c>
    </row>
    <row r="45" spans="1:8" x14ac:dyDescent="0.25">
      <c r="A45">
        <v>2017</v>
      </c>
      <c r="B45" t="s">
        <v>40</v>
      </c>
      <c r="C45" t="s">
        <v>25</v>
      </c>
      <c r="D45" s="4">
        <v>3.1E-2</v>
      </c>
      <c r="E45">
        <v>350</v>
      </c>
      <c r="F45">
        <v>44.55</v>
      </c>
      <c r="G45">
        <v>9.67</v>
      </c>
      <c r="H45">
        <f t="shared" si="1"/>
        <v>34.879999999999995</v>
      </c>
    </row>
    <row r="46" spans="1:8" x14ac:dyDescent="0.25">
      <c r="A46">
        <v>2018</v>
      </c>
      <c r="B46" t="s">
        <v>40</v>
      </c>
      <c r="C46" t="s">
        <v>25</v>
      </c>
      <c r="D46" s="4">
        <v>0.04</v>
      </c>
      <c r="E46">
        <v>347</v>
      </c>
      <c r="F46">
        <v>44.13</v>
      </c>
      <c r="G46">
        <v>8.14</v>
      </c>
      <c r="H46">
        <f t="shared" si="1"/>
        <v>35.99</v>
      </c>
    </row>
    <row r="47" spans="1:8" x14ac:dyDescent="0.25">
      <c r="A47">
        <v>2019</v>
      </c>
      <c r="B47" t="s">
        <v>40</v>
      </c>
      <c r="C47" t="s">
        <v>25</v>
      </c>
      <c r="D47" s="4">
        <v>0.15</v>
      </c>
      <c r="E47">
        <v>311</v>
      </c>
      <c r="F47">
        <v>41.01</v>
      </c>
      <c r="G47">
        <v>7.74</v>
      </c>
      <c r="H47">
        <f t="shared" si="1"/>
        <v>33.269999999999996</v>
      </c>
    </row>
    <row r="48" spans="1:8" x14ac:dyDescent="0.25">
      <c r="A48">
        <v>2020</v>
      </c>
      <c r="B48" t="s">
        <v>40</v>
      </c>
      <c r="C48" t="s">
        <v>25</v>
      </c>
      <c r="D48" s="4"/>
      <c r="E48">
        <v>328</v>
      </c>
      <c r="F48">
        <v>42.01</v>
      </c>
      <c r="G48">
        <v>5.57</v>
      </c>
      <c r="H48">
        <f t="shared" si="1"/>
        <v>36.44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510E-8E00-47E9-ABC4-B6B4D3A79418}">
  <dimension ref="A1"/>
  <sheetViews>
    <sheetView tabSelected="1" zoomScale="85" zoomScaleNormal="85" workbookViewId="0">
      <selection activeCell="D43" sqref="D4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Regionsum</vt:lpstr>
      <vt:lpstr>CropWeightedStats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tbirt</dc:creator>
  <cp:lastModifiedBy>tbirt</cp:lastModifiedBy>
  <dcterms:created xsi:type="dcterms:W3CDTF">2022-08-23T17:40:02Z</dcterms:created>
  <dcterms:modified xsi:type="dcterms:W3CDTF">2022-08-31T23:10:08Z</dcterms:modified>
</cp:coreProperties>
</file>